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3.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4.xml" ContentType="application/vnd.openxmlformats-officedocument.drawing+xml"/>
  <Override PartName="/xl/ctrlProps/ctrlProp27.xml" ContentType="application/vnd.ms-excel.controlproperties+xml"/>
  <Override PartName="/xl/ctrlProps/ctrlProp28.xml" ContentType="application/vnd.ms-excel.controlproperties+xml"/>
  <Override PartName="/xl/drawings/drawing5.xml" ContentType="application/vnd.openxmlformats-officedocument.drawing+xml"/>
  <Override PartName="/xl/ctrlProps/ctrlProp29.xml" ContentType="application/vnd.ms-excel.controlproperties+xml"/>
  <Override PartName="/xl/ctrlProps/ctrlProp3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mc:AlternateContent xmlns:mc="http://schemas.openxmlformats.org/markup-compatibility/2006">
    <mc:Choice Requires="x15">
      <x15ac:absPath xmlns:x15ac="http://schemas.microsoft.com/office/spreadsheetml/2010/11/ac" url="C:\Users\pwjva\Documents\GitHub\CMMITools\2024-05-04to05-10 (A5) C384400 NASA\01_BASEfiles\"/>
    </mc:Choice>
  </mc:AlternateContent>
  <xr:revisionPtr revIDLastSave="0" documentId="13_ncr:1_{F5B8DC6F-3751-4614-BF2C-76B9D6298F63}" xr6:coauthVersionLast="47" xr6:coauthVersionMax="47" xr10:uidLastSave="{00000000-0000-0000-0000-000000000000}"/>
  <bookViews>
    <workbookView xWindow="960" yWindow="-15240" windowWidth="21600" windowHeight="11235" firstSheet="37" activeTab="40" xr2:uid="{5E70D45E-1FC1-4D58-B4EB-A0DC07D21E63}"/>
  </bookViews>
  <sheets>
    <sheet name="Tools" sheetId="74" r:id="rId1"/>
    <sheet name="TV_TS" sheetId="209" state="hidden" r:id="rId2"/>
    <sheet name="TV_PI" sheetId="210" state="hidden" r:id="rId3"/>
    <sheet name="TV_PR" sheetId="211" state="hidden" r:id="rId4"/>
    <sheet name="TV_VV" sheetId="212" state="hidden" r:id="rId5"/>
    <sheet name="TV_PQA" sheetId="213" state="hidden" r:id="rId6"/>
    <sheet name="TV_RDM" sheetId="214" state="hidden" r:id="rId7"/>
    <sheet name="TV_PCM" sheetId="215" state="hidden" r:id="rId8"/>
    <sheet name="TV_PAD" sheetId="216" state="hidden" r:id="rId9"/>
    <sheet name="TV_MPM" sheetId="217" state="hidden" r:id="rId10"/>
    <sheet name="TV_RSK" sheetId="218" state="hidden" r:id="rId11"/>
    <sheet name="TV_OT" sheetId="219" state="hidden" r:id="rId12"/>
    <sheet name="TV_MC" sheetId="220" state="hidden" r:id="rId13"/>
    <sheet name="TV_PLAN" sheetId="221" state="hidden" r:id="rId14"/>
    <sheet name="TV_EST" sheetId="222" state="hidden" r:id="rId15"/>
    <sheet name="TV_CAR" sheetId="223" state="hidden" r:id="rId16"/>
    <sheet name="TV_DAR" sheetId="224" state="hidden" r:id="rId17"/>
    <sheet name="TV_CM" sheetId="225" state="hidden" r:id="rId18"/>
    <sheet name="TV_II" sheetId="226" state="hidden" r:id="rId19"/>
    <sheet name="TV_GOV" sheetId="227" state="hidden" r:id="rId20"/>
    <sheet name="Tables" sheetId="147" state="hidden" r:id="rId21"/>
    <sheet name="Tasks" sheetId="237" state="hidden" r:id="rId22"/>
    <sheet name="FindingsDB" sheetId="76" r:id="rId23"/>
    <sheet name="QuestionsDB" sheetId="125" r:id="rId24"/>
    <sheet name="Working" sheetId="151" state="hidden" r:id="rId25"/>
    <sheet name="OpenClose" sheetId="97" r:id="rId26"/>
    <sheet name="tmp" sheetId="98" state="hidden" r:id="rId27"/>
    <sheet name="ou" sheetId="99" r:id="rId28"/>
    <sheet name="ou-gov&amp;ii" sheetId="100" r:id="rId29"/>
    <sheet name="Findings" sheetId="101" r:id="rId30"/>
    <sheet name="Template1" sheetId="102" r:id="rId31"/>
    <sheet name="CAR" sheetId="262" r:id="rId32"/>
    <sheet name="CM" sheetId="259" r:id="rId33"/>
    <sheet name="DAR" sheetId="267" r:id="rId34"/>
    <sheet name="EST" sheetId="264" r:id="rId35"/>
    <sheet name="GOV" sheetId="257" r:id="rId36"/>
    <sheet name="II" sheetId="258" r:id="rId37"/>
    <sheet name="MPM" sheetId="261" r:id="rId38"/>
    <sheet name="MC" sheetId="268" r:id="rId39"/>
    <sheet name="OT" sheetId="266" r:id="rId40"/>
    <sheet name="PR" sheetId="269" r:id="rId41"/>
    <sheet name="Template2" sheetId="103" r:id="rId42"/>
    <sheet name="ATM" sheetId="127" r:id="rId43"/>
    <sheet name="PQA" sheetId="260" r:id="rId44"/>
    <sheet name="PAD" sheetId="263" r:id="rId45"/>
    <sheet name="PCM" sheetId="265" r:id="rId46"/>
    <sheet name="RSK" sheetId="270" r:id="rId47"/>
    <sheet name="PLAN" sheetId="271" r:id="rId48"/>
    <sheet name="RDM" sheetId="272" r:id="rId49"/>
    <sheet name="PI" sheetId="273" r:id="rId50"/>
    <sheet name="TS" sheetId="274" r:id="rId51"/>
    <sheet name="VV" sheetId="275" r:id="rId52"/>
    <sheet name="SAM" sheetId="276" r:id="rId53"/>
    <sheet name="Processes" sheetId="169" r:id="rId54"/>
  </sheets>
  <functionGroups builtInGroupCount="19"/>
  <externalReferences>
    <externalReference r:id="rId55"/>
    <externalReference r:id="rId56"/>
    <externalReference r:id="rId57"/>
    <externalReference r:id="rId58"/>
  </externalReferences>
  <definedNames>
    <definedName name="_xlnm._FilterDatabase" localSheetId="29" hidden="1">Findings!$A$1:$C$30</definedName>
    <definedName name="_xlnm._FilterDatabase" localSheetId="22" hidden="1">FindingsDB!$A$4:$G$1675</definedName>
    <definedName name="_xlnm._FilterDatabase" localSheetId="23" hidden="1">QuestionsDB!$A$4:$I$10</definedName>
    <definedName name="_xlnm.Print_Area" localSheetId="27">ou!$A$1:$W$40</definedName>
    <definedName name="_xlnm.Print_Area" localSheetId="28">'ou-gov&amp;ii'!$A$1:$U$37</definedName>
    <definedName name="tbl_Application_domain">[1]TablesLookup!$A$2:$A$8</definedName>
    <definedName name="tbl_AppraisalArtifacts">[2]Tables!$AL$5:$AL$10</definedName>
    <definedName name="tbl_Business_Category">[3]TableLookup!$A$11:$A$15</definedName>
    <definedName name="tbl_CMMI_models">[3]TableLookup!$A$22:$A$25</definedName>
    <definedName name="tbl_COI">[2]Tables!$AF$5:$AF$19</definedName>
    <definedName name="tbl_CollectionApproach">[2]Tables!$R$5:$R$7</definedName>
    <definedName name="tbl_collectiontechnique">[2]Tables!$T$5:$T$11</definedName>
    <definedName name="tbl_constraints">[2]Tables!$AB$5:$AB$11</definedName>
    <definedName name="tbl_country">[2]Tables!$B$5:$B$258</definedName>
    <definedName name="tbl_Day_of_week">[3]TableLookup!$C$2:$D$8</definedName>
    <definedName name="tbl_equipment">[2]Tables!$Z$5:$Z$17</definedName>
    <definedName name="tbl_followon">[2]Tables!$AH$5:$AH$9</definedName>
    <definedName name="tbl_isic">[2]Tables!$D$5:$D$92</definedName>
    <definedName name="tbl_logisticalRequirement">[2]Tables!$X$5:$X$9</definedName>
    <definedName name="tbl_modelview">[2]Tables!$H$5:$H$9</definedName>
    <definedName name="tbl_PAcount">[2]Tables!$U$36:$Z$56</definedName>
    <definedName name="tbl_practiceCharacterization" localSheetId="20">Tables!$B$2:$B$6</definedName>
    <definedName name="tbl_practiceCharacterization" localSheetId="16">[4]Tables!$B$2:$B$6</definedName>
    <definedName name="tbl_practiceCharacterization" localSheetId="19">[4]Tables!$B$2:$B$6</definedName>
    <definedName name="tbl_practiceCharacterization" localSheetId="11">[4]Tables!$B$2:$B$6</definedName>
    <definedName name="tbl_practiceCharacterization" localSheetId="8">[4]Tables!$B$2:$B$6</definedName>
    <definedName name="tbl_practiceCharacterization" localSheetId="7">[4]Tables!$B$2:$B$6</definedName>
    <definedName name="tbl_practiceCharacterization" localSheetId="5">[4]Tables!$B$2:$B$6</definedName>
    <definedName name="tbl_practiceCharacterization">#REF!</definedName>
    <definedName name="tbl_practiceGroupRated" localSheetId="20">Tables!$B$9:$B$11</definedName>
    <definedName name="tbl_practiceGroupRated" localSheetId="16">[4]Tables!$B$9:$B$11</definedName>
    <definedName name="tbl_practiceGroupRated" localSheetId="19">[4]Tables!$B$9:$B$11</definedName>
    <definedName name="tbl_practiceGroupRated" localSheetId="11">[4]Tables!$B$9:$B$11</definedName>
    <definedName name="tbl_practiceGroupRated" localSheetId="8">[4]Tables!$B$9:$B$11</definedName>
    <definedName name="tbl_practiceGroupRated" localSheetId="7">[4]Tables!$B$9:$B$11</definedName>
    <definedName name="tbl_practiceGroupRated" localSheetId="5">[4]Tables!$B$9:$B$11</definedName>
    <definedName name="tbl_practiceGroupRated">#REF!</definedName>
    <definedName name="tbl_projectNames">'[2]Project&amp;Support'!$A$3:$B$59</definedName>
    <definedName name="tbl_reportingRelationship">[2]Tables!$AJ$5:$AJ$10</definedName>
    <definedName name="tbl_responsibleEntity">[2]Tables!$V$5:$V$9</definedName>
    <definedName name="tbl_riskCategory">[2]Tables!$AD$5:$AD$11</definedName>
    <definedName name="tbl_RolePAlookup">[2]StaffGuide!$A$3:$V$13</definedName>
    <definedName name="tbl_sampling">[2]Tables!$L$5:$L$10</definedName>
    <definedName name="tbl_Staff">Tables!$D$16:$D$38</definedName>
    <definedName name="tbl_StaffRole">Tables!$H$16:$H$26</definedName>
    <definedName name="tbl_StaffRoleX">Tables!$E$16:$H$26</definedName>
    <definedName name="tbl_StaffX">Tables!$A$16:$D$37</definedName>
    <definedName name="tbl_target">[2]Tables!$F$5:$F$9</definedName>
    <definedName name="tbl_TaskCodeX">Tables!$I$16:$L$26</definedName>
    <definedName name="tbl_TaskStatusX">Tables!$M$16:$P$19</definedName>
    <definedName name="tbl_timezone">[2]Tables!$N$5:$N$143</definedName>
    <definedName name="tbl_WorkTaskCode">Tables!$L$16:$L$26</definedName>
    <definedName name="tbl_WorkTaskStatus">Tables!$P$16:$P$19</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5" i="99" l="1"/>
  <c r="D8" i="99"/>
  <c r="D9" i="99"/>
  <c r="D10" i="99"/>
  <c r="D11" i="99"/>
  <c r="H52" i="99" s="1"/>
  <c r="D18" i="99"/>
  <c r="H59" i="99" s="1"/>
  <c r="D19" i="99"/>
  <c r="H60" i="99" s="1"/>
  <c r="D20" i="99"/>
  <c r="H61" i="99" s="1"/>
  <c r="D21" i="99"/>
  <c r="C5" i="99"/>
  <c r="C8" i="99"/>
  <c r="C9" i="99"/>
  <c r="G50" i="99" s="1"/>
  <c r="C10" i="99"/>
  <c r="C11" i="99"/>
  <c r="C12" i="99"/>
  <c r="C13" i="99"/>
  <c r="C18" i="99"/>
  <c r="G59" i="99" s="1"/>
  <c r="C19" i="99"/>
  <c r="G60" i="99" s="1"/>
  <c r="C20" i="99"/>
  <c r="G61" i="99" s="1"/>
  <c r="C26" i="99"/>
  <c r="C27" i="99"/>
  <c r="G68" i="99" s="1"/>
  <c r="D4" i="99"/>
  <c r="C4" i="99"/>
  <c r="G7" i="276"/>
  <c r="G7" i="275"/>
  <c r="G7" i="274"/>
  <c r="G7" i="273"/>
  <c r="G7" i="270"/>
  <c r="G7" i="269"/>
  <c r="G7" i="268"/>
  <c r="G7" i="264"/>
  <c r="C17" i="223"/>
  <c r="C16" i="223"/>
  <c r="C24" i="212"/>
  <c r="C23" i="212"/>
  <c r="C22" i="212"/>
  <c r="C21" i="212"/>
  <c r="C20" i="212"/>
  <c r="C19" i="212"/>
  <c r="C18" i="212"/>
  <c r="C17" i="212"/>
  <c r="C16" i="212"/>
  <c r="C25" i="209"/>
  <c r="C24" i="209"/>
  <c r="C23" i="209"/>
  <c r="C22" i="209"/>
  <c r="C21" i="209"/>
  <c r="C20" i="209"/>
  <c r="C19" i="209"/>
  <c r="C18" i="209"/>
  <c r="C17" i="209"/>
  <c r="C16" i="209"/>
  <c r="C20" i="218"/>
  <c r="C19" i="218"/>
  <c r="C18" i="218"/>
  <c r="C17" i="218"/>
  <c r="C16" i="218"/>
  <c r="C25" i="214"/>
  <c r="C24" i="214"/>
  <c r="C23" i="214"/>
  <c r="C22" i="214"/>
  <c r="C21" i="214"/>
  <c r="C20" i="214"/>
  <c r="C19" i="214"/>
  <c r="C18" i="214"/>
  <c r="C17" i="214"/>
  <c r="C16" i="214"/>
  <c r="C27" i="211"/>
  <c r="C26" i="211"/>
  <c r="C25" i="211"/>
  <c r="C24" i="211"/>
  <c r="C23" i="211"/>
  <c r="C22" i="211"/>
  <c r="C21" i="211"/>
  <c r="C20" i="211"/>
  <c r="C19" i="211"/>
  <c r="C18" i="211"/>
  <c r="C17" i="211"/>
  <c r="C16" i="211"/>
  <c r="C20" i="213"/>
  <c r="C19" i="213"/>
  <c r="C18" i="213"/>
  <c r="C17" i="213"/>
  <c r="C16" i="213"/>
  <c r="C22" i="221"/>
  <c r="C21" i="221"/>
  <c r="C20" i="221"/>
  <c r="C19" i="221"/>
  <c r="C18" i="221"/>
  <c r="C17" i="221"/>
  <c r="C26" i="210"/>
  <c r="C25" i="210"/>
  <c r="C24" i="210"/>
  <c r="C23" i="210"/>
  <c r="C22" i="210"/>
  <c r="C21" i="210"/>
  <c r="C20" i="210"/>
  <c r="C19" i="210"/>
  <c r="C18" i="210"/>
  <c r="C17" i="210"/>
  <c r="C16" i="210"/>
  <c r="C27" i="215"/>
  <c r="C26" i="215"/>
  <c r="C25" i="215"/>
  <c r="C23" i="215"/>
  <c r="C22" i="215"/>
  <c r="C20" i="215"/>
  <c r="C19" i="215"/>
  <c r="C18" i="215"/>
  <c r="C17" i="215"/>
  <c r="C16" i="215"/>
  <c r="C27" i="216"/>
  <c r="C26" i="216"/>
  <c r="C25" i="216"/>
  <c r="C24" i="216"/>
  <c r="C21" i="216"/>
  <c r="C20" i="216"/>
  <c r="C19" i="216"/>
  <c r="C25" i="219"/>
  <c r="C24" i="219"/>
  <c r="C23" i="219"/>
  <c r="C22" i="219"/>
  <c r="C21" i="219"/>
  <c r="C20" i="219"/>
  <c r="C19" i="219"/>
  <c r="C16" i="219"/>
  <c r="C22" i="217"/>
  <c r="C21" i="217"/>
  <c r="C20" i="217"/>
  <c r="C19" i="217"/>
  <c r="C18" i="217"/>
  <c r="C17" i="217"/>
  <c r="C16" i="217"/>
  <c r="C28" i="220"/>
  <c r="C26" i="220"/>
  <c r="C25" i="220"/>
  <c r="C24" i="220"/>
  <c r="C23" i="220"/>
  <c r="C22" i="220"/>
  <c r="C21" i="220"/>
  <c r="C20" i="220"/>
  <c r="C19" i="220"/>
  <c r="C18" i="220"/>
  <c r="C17" i="220"/>
  <c r="C16" i="220"/>
  <c r="C24" i="226"/>
  <c r="C23" i="226"/>
  <c r="C22" i="226"/>
  <c r="C21" i="226"/>
  <c r="C20" i="226"/>
  <c r="C19" i="226"/>
  <c r="C18" i="226"/>
  <c r="C17" i="226"/>
  <c r="C26" i="227"/>
  <c r="C25" i="227"/>
  <c r="C24" i="227"/>
  <c r="C23" i="227"/>
  <c r="C22" i="227"/>
  <c r="C18" i="227"/>
  <c r="C17" i="227"/>
  <c r="C16" i="227"/>
  <c r="C21" i="222"/>
  <c r="C20" i="222"/>
  <c r="C19" i="222"/>
  <c r="C18" i="222"/>
  <c r="C17" i="222"/>
  <c r="C16" i="222"/>
  <c r="C17" i="224"/>
  <c r="C16" i="224"/>
  <c r="C20" i="225"/>
  <c r="C19" i="225"/>
  <c r="C18" i="225"/>
  <c r="C17" i="225"/>
  <c r="C16" i="225"/>
  <c r="G11" i="237"/>
  <c r="F11" i="237"/>
  <c r="E11" i="237"/>
  <c r="C11" i="237"/>
  <c r="G10" i="237"/>
  <c r="F10" i="237"/>
  <c r="E10" i="237"/>
  <c r="C10" i="237"/>
  <c r="G9" i="237"/>
  <c r="F9" i="237"/>
  <c r="E9" i="237"/>
  <c r="C9" i="237"/>
  <c r="G8" i="237"/>
  <c r="F8" i="237"/>
  <c r="E8" i="237"/>
  <c r="C8" i="237"/>
  <c r="D37" i="147"/>
  <c r="D36" i="147"/>
  <c r="D35" i="147"/>
  <c r="D34" i="147"/>
  <c r="D33" i="147"/>
  <c r="D32" i="147"/>
  <c r="D31" i="147"/>
  <c r="D30" i="147"/>
  <c r="D29" i="147"/>
  <c r="D28" i="147"/>
  <c r="D27" i="147"/>
  <c r="D26" i="147"/>
  <c r="D25" i="147"/>
  <c r="D24" i="147"/>
  <c r="D23" i="147"/>
  <c r="D22" i="147"/>
  <c r="D21" i="147"/>
  <c r="D20" i="147"/>
  <c r="D19" i="147"/>
  <c r="D18" i="147"/>
  <c r="D17" i="147"/>
  <c r="D16" i="147"/>
  <c r="P19" i="147"/>
  <c r="P18" i="147"/>
  <c r="P17" i="147"/>
  <c r="P16" i="147"/>
  <c r="L25" i="147"/>
  <c r="L24" i="147"/>
  <c r="L23" i="147"/>
  <c r="L22" i="147"/>
  <c r="L21" i="147"/>
  <c r="L20" i="147"/>
  <c r="L19" i="147"/>
  <c r="L18" i="147"/>
  <c r="L17" i="147"/>
  <c r="L16" i="147"/>
  <c r="H25" i="147"/>
  <c r="H24" i="147"/>
  <c r="H23" i="147"/>
  <c r="H22" i="147"/>
  <c r="H21" i="147"/>
  <c r="H20" i="147"/>
  <c r="H19" i="147"/>
  <c r="H18" i="147"/>
  <c r="H17" i="147"/>
  <c r="H16" i="147"/>
  <c r="X15" i="127"/>
  <c r="W15" i="127"/>
  <c r="V15" i="127"/>
  <c r="U15" i="127"/>
  <c r="T15" i="127"/>
  <c r="S15" i="127"/>
  <c r="R15" i="127"/>
  <c r="Q15" i="127"/>
  <c r="P15" i="127"/>
  <c r="O15" i="127"/>
  <c r="N15" i="127"/>
  <c r="M15" i="127"/>
  <c r="L15" i="127"/>
  <c r="K15" i="127"/>
  <c r="J15" i="127"/>
  <c r="I15" i="127"/>
  <c r="H15" i="127"/>
  <c r="G15" i="127"/>
  <c r="F15" i="127"/>
  <c r="E15" i="127"/>
  <c r="D14" i="127"/>
  <c r="D13" i="127"/>
  <c r="D12" i="127"/>
  <c r="D11" i="127"/>
  <c r="D10" i="127"/>
  <c r="D9" i="127"/>
  <c r="D8" i="127"/>
  <c r="M11" i="216"/>
  <c r="M10" i="216"/>
  <c r="J76" i="99"/>
  <c r="J75" i="99"/>
  <c r="J74" i="99"/>
  <c r="C74" i="99"/>
  <c r="J73" i="99"/>
  <c r="C73" i="99"/>
  <c r="J72" i="99"/>
  <c r="J71" i="99"/>
  <c r="J70" i="99"/>
  <c r="J69" i="99"/>
  <c r="C69" i="99"/>
  <c r="V68" i="99"/>
  <c r="O68" i="99"/>
  <c r="M68" i="99"/>
  <c r="J68" i="99"/>
  <c r="C68" i="99"/>
  <c r="O67" i="99"/>
  <c r="M67" i="99"/>
  <c r="J67" i="99"/>
  <c r="G67" i="99"/>
  <c r="C67" i="99"/>
  <c r="R66" i="99"/>
  <c r="L66" i="99"/>
  <c r="T65" i="99"/>
  <c r="R65" i="99"/>
  <c r="M65" i="99"/>
  <c r="L65" i="99"/>
  <c r="K65" i="99"/>
  <c r="J65" i="99"/>
  <c r="T64" i="99"/>
  <c r="S64" i="99"/>
  <c r="R64" i="99"/>
  <c r="M64" i="99"/>
  <c r="L64" i="99"/>
  <c r="K64" i="99"/>
  <c r="J64" i="99"/>
  <c r="C64" i="99"/>
  <c r="T63" i="99"/>
  <c r="S63" i="99"/>
  <c r="R63" i="99"/>
  <c r="O63" i="99"/>
  <c r="M63" i="99"/>
  <c r="L63" i="99"/>
  <c r="K63" i="99"/>
  <c r="J63" i="99"/>
  <c r="I63" i="99"/>
  <c r="C63" i="99"/>
  <c r="T62" i="99"/>
  <c r="S62" i="99"/>
  <c r="R62" i="99"/>
  <c r="O62" i="99"/>
  <c r="N62" i="99"/>
  <c r="M62" i="99"/>
  <c r="L62" i="99"/>
  <c r="K62" i="99"/>
  <c r="J62" i="99"/>
  <c r="I62" i="99"/>
  <c r="H62" i="99"/>
  <c r="C62" i="99"/>
  <c r="V61" i="99"/>
  <c r="U61" i="99"/>
  <c r="T61" i="99"/>
  <c r="S61" i="99"/>
  <c r="R61" i="99"/>
  <c r="O61" i="99"/>
  <c r="N61" i="99"/>
  <c r="M61" i="99"/>
  <c r="L61" i="99"/>
  <c r="K61" i="99"/>
  <c r="J61" i="99"/>
  <c r="I61" i="99"/>
  <c r="F61" i="99"/>
  <c r="C61" i="99"/>
  <c r="V60" i="99"/>
  <c r="U60" i="99"/>
  <c r="T60" i="99"/>
  <c r="S60" i="99"/>
  <c r="R60" i="99"/>
  <c r="Q60" i="99"/>
  <c r="P60" i="99"/>
  <c r="O60" i="99"/>
  <c r="N60" i="99"/>
  <c r="M60" i="99"/>
  <c r="L60" i="99"/>
  <c r="K60" i="99"/>
  <c r="J60" i="99"/>
  <c r="I60" i="99"/>
  <c r="F60" i="99"/>
  <c r="E60" i="99"/>
  <c r="C60" i="99"/>
  <c r="V59" i="99"/>
  <c r="U59" i="99"/>
  <c r="T59" i="99"/>
  <c r="S59" i="99"/>
  <c r="R59" i="99"/>
  <c r="Q59" i="99"/>
  <c r="P59" i="99"/>
  <c r="O59" i="99"/>
  <c r="N59" i="99"/>
  <c r="M59" i="99"/>
  <c r="L59" i="99"/>
  <c r="K59" i="99"/>
  <c r="J59" i="99"/>
  <c r="I59" i="99"/>
  <c r="F59" i="99"/>
  <c r="E59" i="99"/>
  <c r="C59" i="99"/>
  <c r="O58" i="99"/>
  <c r="O57" i="99"/>
  <c r="R56" i="99"/>
  <c r="O56" i="99"/>
  <c r="N56" i="99"/>
  <c r="J56" i="99"/>
  <c r="D56" i="99"/>
  <c r="R55" i="99"/>
  <c r="O55" i="99"/>
  <c r="N55" i="99"/>
  <c r="J55" i="99"/>
  <c r="E55" i="99"/>
  <c r="D55" i="99"/>
  <c r="V54" i="99"/>
  <c r="R54" i="99"/>
  <c r="Q54" i="99"/>
  <c r="P54" i="99"/>
  <c r="O54" i="99"/>
  <c r="N54" i="99"/>
  <c r="J54" i="99"/>
  <c r="I54" i="99"/>
  <c r="G54" i="99"/>
  <c r="E54" i="99"/>
  <c r="D54" i="99"/>
  <c r="V53" i="99"/>
  <c r="U53" i="99"/>
  <c r="T53" i="99"/>
  <c r="R53" i="99"/>
  <c r="Q53" i="99"/>
  <c r="P53" i="99"/>
  <c r="O53" i="99"/>
  <c r="N53" i="99"/>
  <c r="L53" i="99"/>
  <c r="J53" i="99"/>
  <c r="I53" i="99"/>
  <c r="G53" i="99"/>
  <c r="F53" i="99"/>
  <c r="E53" i="99"/>
  <c r="D53" i="99"/>
  <c r="V52" i="99"/>
  <c r="U52" i="99"/>
  <c r="T52" i="99"/>
  <c r="S52" i="99"/>
  <c r="R52" i="99"/>
  <c r="Q52" i="99"/>
  <c r="P52" i="99"/>
  <c r="O52" i="99"/>
  <c r="N52" i="99"/>
  <c r="M52" i="99"/>
  <c r="L52" i="99"/>
  <c r="K52" i="99"/>
  <c r="J52" i="99"/>
  <c r="I52" i="99"/>
  <c r="G52" i="99"/>
  <c r="F52" i="99"/>
  <c r="E52" i="99"/>
  <c r="D52" i="99"/>
  <c r="C52" i="99"/>
  <c r="V51" i="99"/>
  <c r="U51" i="99"/>
  <c r="T51" i="99"/>
  <c r="S51" i="99"/>
  <c r="R51" i="99"/>
  <c r="Q51" i="99"/>
  <c r="P51" i="99"/>
  <c r="O51" i="99"/>
  <c r="N51" i="99"/>
  <c r="M51" i="99"/>
  <c r="L51" i="99"/>
  <c r="K51" i="99"/>
  <c r="J51" i="99"/>
  <c r="I51" i="99"/>
  <c r="H51" i="99"/>
  <c r="G51" i="99"/>
  <c r="F51" i="99"/>
  <c r="E51" i="99"/>
  <c r="D51" i="99"/>
  <c r="C51" i="99"/>
  <c r="U50" i="99"/>
  <c r="T50" i="99"/>
  <c r="S50" i="99"/>
  <c r="R50" i="99"/>
  <c r="Q50" i="99"/>
  <c r="P50" i="99"/>
  <c r="O50" i="99"/>
  <c r="N50" i="99"/>
  <c r="M50" i="99"/>
  <c r="L50" i="99"/>
  <c r="K50" i="99"/>
  <c r="J50" i="99"/>
  <c r="I50" i="99"/>
  <c r="H50" i="99"/>
  <c r="F50" i="99"/>
  <c r="E50" i="99"/>
  <c r="D50" i="99"/>
  <c r="C50" i="99"/>
  <c r="V49" i="99"/>
  <c r="M49" i="99"/>
  <c r="V48" i="99"/>
  <c r="U48" i="99"/>
  <c r="O48" i="99"/>
  <c r="M48" i="99"/>
  <c r="J48" i="99"/>
  <c r="I48" i="99"/>
  <c r="E48" i="99"/>
  <c r="V47" i="99"/>
  <c r="U47" i="99"/>
  <c r="T47" i="99"/>
  <c r="S47" i="99"/>
  <c r="R47" i="99"/>
  <c r="Q47" i="99"/>
  <c r="P47" i="99"/>
  <c r="O47" i="99"/>
  <c r="N47" i="99"/>
  <c r="M47" i="99"/>
  <c r="L47" i="99"/>
  <c r="K47" i="99"/>
  <c r="J47" i="99"/>
  <c r="I47" i="99"/>
  <c r="H47" i="99"/>
  <c r="G47" i="99"/>
  <c r="F47" i="99"/>
  <c r="E47" i="99"/>
  <c r="D47" i="99"/>
  <c r="C47" i="99"/>
  <c r="V46" i="99"/>
  <c r="U46" i="99"/>
  <c r="T46" i="99"/>
  <c r="S46" i="99"/>
  <c r="R46" i="99"/>
  <c r="Q46" i="99"/>
  <c r="P46" i="99"/>
  <c r="O46" i="99"/>
  <c r="N46" i="99"/>
  <c r="M46" i="99"/>
  <c r="L46" i="99"/>
  <c r="K46" i="99"/>
  <c r="J46" i="99"/>
  <c r="I46" i="99"/>
  <c r="H46" i="99"/>
  <c r="G46" i="99"/>
  <c r="F46" i="99"/>
  <c r="E46" i="99"/>
  <c r="D46" i="99"/>
  <c r="C46" i="99"/>
</calcChain>
</file>

<file path=xl/sharedStrings.xml><?xml version="1.0" encoding="utf-8"?>
<sst xmlns="http://schemas.openxmlformats.org/spreadsheetml/2006/main" count="4407" uniqueCount="2095">
  <si>
    <t>Standard interview</t>
  </si>
  <si>
    <t>Introduce appraisal team</t>
  </si>
  <si>
    <t>Explain purpose of interview and appraisal</t>
  </si>
  <si>
    <t>Go over appraisal activities to date</t>
  </si>
  <si>
    <t>Go over confidentiality rules</t>
  </si>
  <si>
    <t>Explain interview process briefly</t>
  </si>
  <si>
    <t>Ask if the interviewee has any questions for the team</t>
  </si>
  <si>
    <t>Move to first question</t>
  </si>
  <si>
    <t>Tell us what you do</t>
  </si>
  <si>
    <t>Close the interview</t>
  </si>
  <si>
    <t>Ask transition questions.</t>
  </si>
  <si>
    <t>If you could change anything, other than your boss or paycheck, what would it be?</t>
  </si>
  <si>
    <t>What has improved the most over the last year?</t>
  </si>
  <si>
    <t>Review list of artifacts requested.</t>
  </si>
  <si>
    <t>Remind them of the preliminary and final findings schedule.</t>
  </si>
  <si>
    <t>Remind them of the confidentiality and non-attribution of the interview.</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</si>
  <si>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</si>
  <si>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</si>
  <si>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</si>
  <si>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</si>
  <si>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</si>
  <si>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</si>
  <si>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</si>
  <si>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</si>
  <si>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</si>
  <si>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</si>
  <si>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</si>
  <si>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GOV</t>
  </si>
  <si>
    <t>II</t>
  </si>
  <si>
    <t>TS</t>
  </si>
  <si>
    <t>PI</t>
  </si>
  <si>
    <t>PR</t>
  </si>
  <si>
    <t>VV</t>
  </si>
  <si>
    <t>PQA</t>
  </si>
  <si>
    <t>RDM</t>
  </si>
  <si>
    <t>PCM</t>
  </si>
  <si>
    <t>PAD</t>
  </si>
  <si>
    <t>MPM</t>
  </si>
  <si>
    <t>RSK</t>
  </si>
  <si>
    <t>OT</t>
  </si>
  <si>
    <t>MC</t>
  </si>
  <si>
    <t>PLAN</t>
  </si>
  <si>
    <t>EST</t>
  </si>
  <si>
    <t>CAR</t>
  </si>
  <si>
    <t>DAR</t>
  </si>
  <si>
    <t>CM</t>
  </si>
  <si>
    <t>SAM</t>
  </si>
  <si>
    <t>Level 1</t>
  </si>
  <si>
    <t>-</t>
  </si>
  <si>
    <t>U</t>
  </si>
  <si>
    <t>OoS</t>
  </si>
  <si>
    <t>DM</t>
  </si>
  <si>
    <t>PM</t>
  </si>
  <si>
    <t>LM</t>
  </si>
  <si>
    <t>Level 2</t>
  </si>
  <si>
    <t>FM</t>
  </si>
  <si>
    <t>Level 3</t>
  </si>
  <si>
    <t>Level 4</t>
  </si>
  <si>
    <t>Level 5</t>
  </si>
  <si>
    <t>OU Level Characterisation and Practice Area Level Rating</t>
  </si>
  <si>
    <t>Level</t>
  </si>
  <si>
    <t>GOV and II should still be manually link to tab:ou-gov&amp;ii after the appraisal. It is not yet done automatically.</t>
  </si>
  <si>
    <t>GOV and II OU and Process Level Characterisation</t>
  </si>
  <si>
    <t>OU</t>
  </si>
  <si>
    <t>Engineering</t>
  </si>
  <si>
    <t>Project Management</t>
  </si>
  <si>
    <t>Configuraiton Management</t>
  </si>
  <si>
    <t>Process Management</t>
  </si>
  <si>
    <t>Organisatinal Training</t>
  </si>
  <si>
    <t>Process Quality Assurance</t>
  </si>
  <si>
    <t>Measurement Management</t>
  </si>
  <si>
    <t>The above rating should still be manually link into II and GOV after the appraisal. This is not yet done automatically.</t>
  </si>
  <si>
    <t>The processes must be checked against what is in the CAS plan tab:Project&amp;Support. It is not yet done automatically.</t>
  </si>
  <si>
    <t>PA</t>
  </si>
  <si>
    <t>Strength/Weakness/Improvement</t>
  </si>
  <si>
    <t>Description</t>
  </si>
  <si>
    <t>Heading</t>
  </si>
  <si>
    <t>Level
Practice
Project
OE Source</t>
  </si>
  <si>
    <t>OE reference</t>
  </si>
  <si>
    <t>URL</t>
  </si>
  <si>
    <t>Engl</t>
  </si>
  <si>
    <t>OE Type</t>
  </si>
  <si>
    <t>OE Source</t>
  </si>
  <si>
    <t>Affirmation Source (Session and Person)</t>
  </si>
  <si>
    <t>Affirm.
Yes | No</t>
  </si>
  <si>
    <t>Questions</t>
  </si>
  <si>
    <t>Weakness</t>
  </si>
  <si>
    <t>Strength</t>
  </si>
  <si>
    <t>Recommendations</t>
  </si>
  <si>
    <t>Rating/
Char</t>
  </si>
  <si>
    <t>Notes</t>
  </si>
  <si>
    <t>Update
Y</t>
  </si>
  <si>
    <t>1 Prac_Group</t>
  </si>
  <si>
    <t>2 Prac_OU</t>
  </si>
  <si>
    <t>GOV 1.1</t>
  </si>
  <si>
    <t>Example Work products</t>
  </si>
  <si>
    <t>Example Activities</t>
  </si>
  <si>
    <t>3 Process</t>
  </si>
  <si>
    <t>Engineering process</t>
  </si>
  <si>
    <t>4 Prac_Instan</t>
  </si>
  <si>
    <t>Project A</t>
  </si>
  <si>
    <t>[Project management] (ABC)</t>
  </si>
  <si>
    <t>5 OE</t>
  </si>
  <si>
    <t>Evidence name</t>
  </si>
  <si>
    <t>link</t>
  </si>
  <si>
    <t>engl</t>
  </si>
  <si>
    <t>none</t>
  </si>
  <si>
    <t>OE DB</t>
  </si>
  <si>
    <t>2 Prac_OU2</t>
  </si>
  <si>
    <t>Fully Meets</t>
  </si>
  <si>
    <t>Largely  Meets</t>
  </si>
  <si>
    <t>Adequate OE is judged sufficient to demonstrate that the intent and value of the practice is met, and one or more weaknesses are identified.</t>
  </si>
  <si>
    <t>Some or all OE are absent or judged to be inadequate, but other OE suggests that limited aspects of the intent and value of the practice are met, and one or more weaknesses are identified. || Conflicts are identified in the OE, and one or more weaknesses are identified.</t>
  </si>
  <si>
    <t>Does Not Meet</t>
  </si>
  <si>
    <t>Some or all OE are absent or judged to be inadequate to demonstrate that the intent and value of the practice is met, and one or more weaknesses are identified.</t>
  </si>
  <si>
    <t>NY</t>
  </si>
  <si>
    <t>Not Yet</t>
  </si>
  <si>
    <t>OE for the sampled projects and organizational support functions indicates that the planned sequence of work has not been reached yet, to have implemented processes that meet the intent and value of the practice.</t>
  </si>
  <si>
    <t>Y</t>
  </si>
  <si>
    <t>Yes</t>
  </si>
  <si>
    <t>N</t>
  </si>
  <si>
    <t>No</t>
  </si>
  <si>
    <t>NR</t>
  </si>
  <si>
    <t>PRODUCT INTEGRATION</t>
  </si>
  <si>
    <t>Integrate and deliver the solution that addresses functionality and quality requirements.</t>
  </si>
  <si>
    <t>Increases customers' satisfaction by giving them a solution that meets or exceeds their functionality and quality requirements.</t>
  </si>
  <si>
    <t>PI 1.1</t>
  </si>
  <si>
    <t>- How do you assemble the solution and deliver it to the customer?
如何组装解决方案并交付给客户</t>
  </si>
  <si>
    <t>PI 2.1</t>
  </si>
  <si>
    <t>- Describe your integration strategy.
描述集成策略</t>
  </si>
  <si>
    <t>PI 2.2</t>
  </si>
  <si>
    <t>- Describe your integration environment.
描述集成环境</t>
  </si>
  <si>
    <t>PI 2.3</t>
  </si>
  <si>
    <t>- Descried the procedures and criteria you use to integrate components and solutions?
描述用于集成解决方案和组件地规程和准则</t>
  </si>
  <si>
    <t>PI 2.4</t>
  </si>
  <si>
    <t>PI 2.5</t>
  </si>
  <si>
    <t>PI 2.6</t>
  </si>
  <si>
    <t>PI 3.1</t>
  </si>
  <si>
    <t>PI 3.2</t>
  </si>
  <si>
    <t>Confirm, prior to integration, that component interfaces or connections comply with interface or connection descriptions.
在集成之前，确认组件地接口或连接符合接口或连接描述</t>
  </si>
  <si>
    <t>PI 3.3</t>
  </si>
  <si>
    <t>TECHNICAL SOLUTION</t>
  </si>
  <si>
    <t>Design and build solutions that meet customer requirements.</t>
  </si>
  <si>
    <t>TS 1.1</t>
  </si>
  <si>
    <t>- Do you build solutions that meet requirements?
如何构建能够满足需求的解决方案？</t>
  </si>
  <si>
    <t>TS 2.1</t>
  </si>
  <si>
    <t>- Describe how you design and build a solution to meet the requirements?
如何设计和构建能够满足需求的解决方案？</t>
  </si>
  <si>
    <t>TS 2.2</t>
  </si>
  <si>
    <t>TS 2.3</t>
  </si>
  <si>
    <t>TS 3.1</t>
  </si>
  <si>
    <t>TS 3.2</t>
  </si>
  <si>
    <t>TS 3.3</t>
  </si>
  <si>
    <t>TS 3.4</t>
  </si>
  <si>
    <t>TS 3.5</t>
  </si>
  <si>
    <t>TS 3.6</t>
  </si>
  <si>
    <t>PROCESS QUALITY ASSURANCE</t>
  </si>
  <si>
    <t>Verify and enable improvement of the quality of the performed processes and resulting work products.</t>
  </si>
  <si>
    <t>Increases the consistent use and improvement of the processes to maximize business benefit and customer satisfaction.</t>
  </si>
  <si>
    <t>PQA 1.1</t>
  </si>
  <si>
    <t>PQA 2.1</t>
  </si>
  <si>
    <t>Develop, keep updated, and follow a quality assurance approach and plan based on historical quality data.
根据历史质量数据开发、持续更新并遵循质量保证方法和计划</t>
  </si>
  <si>
    <t>PQA 2.2</t>
  </si>
  <si>
    <t>PQA 2.3</t>
  </si>
  <si>
    <t>PQA 2.4</t>
  </si>
  <si>
    <t>PQA 3.1</t>
  </si>
  <si>
    <t>PEER REVIEWS</t>
  </si>
  <si>
    <t>Identify and address work product issues through reviews by the producer's peers or Subject Matter Experts (SMEs).</t>
  </si>
  <si>
    <t>Reduce cost and rework by uncovering issues or defects early.</t>
  </si>
  <si>
    <t>PR 1.1</t>
  </si>
  <si>
    <t>PR 2.1</t>
  </si>
  <si>
    <t>PR 2.2</t>
  </si>
  <si>
    <t>PR 2.3</t>
  </si>
  <si>
    <t>- Can you describe the peer review process, how is it performed from preparation to end?
同行评审的既定程序有哪些？请描述</t>
  </si>
  <si>
    <t>PR 2.4</t>
  </si>
  <si>
    <t>PR 3.1</t>
  </si>
  <si>
    <t>REQUIREMENTS DEVELOPMENT AND MANAGEMENT</t>
  </si>
  <si>
    <t>Elicit requirements, ensure common understanding by stakeholders, and align requirements, plans, and work products.</t>
  </si>
  <si>
    <t>Ensures that customer's needs and expectations are satisfied.</t>
  </si>
  <si>
    <t>RDM 1.1</t>
  </si>
  <si>
    <t>RDM 2.1</t>
  </si>
  <si>
    <t>RDM 2.2</t>
  </si>
  <si>
    <t>RDM 2.3</t>
  </si>
  <si>
    <t>RDM 2.4</t>
  </si>
  <si>
    <t>- How (or what) commitments do you obtain from project participants (developers, testers, etc) that they can implement the requirements?
可以获得项目参与者地什么承诺，使得这些需求可以落实</t>
  </si>
  <si>
    <t>RDM 2.5</t>
  </si>
  <si>
    <t>RDM 2.6</t>
  </si>
  <si>
    <t>RDM 3.1</t>
  </si>
  <si>
    <t>RDM 3.2</t>
  </si>
  <si>
    <t>RDM 3.3</t>
  </si>
  <si>
    <t>- How do you allocate requirements for implementation?
如何分配要落实地需求？</t>
  </si>
  <si>
    <t>RDM 3.4</t>
  </si>
  <si>
    <t>RDM 3.5</t>
  </si>
  <si>
    <t>RDM 3.6</t>
  </si>
  <si>
    <t>- How do you balance stakeholder needs and constraints?
如何在利益相关方地需求和约束条件之间取得平衡？</t>
  </si>
  <si>
    <t>RDM 3.7</t>
  </si>
  <si>
    <t>VERIFICATION AND VALIDATION</t>
  </si>
  <si>
    <t>Verification and validation includes activities that:
Confirm selected solutions and components meet their requirements
Validate selected solutions and components fulfill their intended use in their target environment</t>
  </si>
  <si>
    <t>Verification and validation of selected solutions and components throughout the project increases the likelihood that the solution will satisfy the customer.</t>
  </si>
  <si>
    <t>VV 1.1</t>
  </si>
  <si>
    <t>VV 1.2</t>
  </si>
  <si>
    <t>VV 2.1</t>
  </si>
  <si>
    <t>VV 2.2</t>
  </si>
  <si>
    <t>VV 2.3</t>
  </si>
  <si>
    <t>VV 3.1</t>
  </si>
  <si>
    <t>VV 3.2</t>
  </si>
  <si>
    <t>MANAGING PERFORMANCE AND MEASUREMENT</t>
  </si>
  <si>
    <t>Manage performance using measurement and analysis to achieve business objectives.</t>
  </si>
  <si>
    <t>Maximizes business return on investment by focusing management and improvement efforts on cost, schedule, and quality performance.</t>
  </si>
  <si>
    <t>MPM 1.1</t>
  </si>
  <si>
    <t>MPM 1.2</t>
  </si>
  <si>
    <t>MPM 2.1</t>
  </si>
  <si>
    <t>- Do you identify your business needs and then derive measurement objectives from it?
会识别相应的业务需求，然后从中得出度量目标吗？</t>
  </si>
  <si>
    <t>MPM 2.2</t>
  </si>
  <si>
    <t>MPM 2.3</t>
  </si>
  <si>
    <t>- Do you collect measurements according to the operation definiens? If yes, please elaborate?
是否根据操作定义收集收集度量项？如果是，请详细说明？</t>
  </si>
  <si>
    <t>MPM 2.4</t>
  </si>
  <si>
    <t>- Do you analyse performance according to the operation definiens? If yes, please elaborate?
您是否根据操作定义分析性能？如果是，请详细说明？</t>
  </si>
  <si>
    <t>MPM 2.5</t>
  </si>
  <si>
    <t>- Do you store measurements and analysis results? If yes, please elaborate?
您是否会存储测量和分析结果？如果是，请详细说明？</t>
  </si>
  <si>
    <t>MPM 2.6</t>
  </si>
  <si>
    <t>MPM 3.1</t>
  </si>
  <si>
    <t>- How are measurement objectives traced to business objectives?
度量目标是如何追溯到业务目标？</t>
  </si>
  <si>
    <t>MPM 3.2</t>
  </si>
  <si>
    <t>MPM 3.3</t>
  </si>
  <si>
    <t>MPM 3.4</t>
  </si>
  <si>
    <t>- Do you have a measurement repository? If yes, what is it used for.
有度量库吗？主要用途是什么。</t>
  </si>
  <si>
    <t>MPM 3.5</t>
  </si>
  <si>
    <t>- How do you analyse organization performance?
如何分析组织性能？</t>
  </si>
  <si>
    <t>MPM 3.6</t>
  </si>
  <si>
    <t>MPM 4.1</t>
  </si>
  <si>
    <t>MPM 4.2</t>
  </si>
  <si>
    <t>MPM 4.3</t>
  </si>
  <si>
    <t>MPM 4.4</t>
  </si>
  <si>
    <t>MPM 4.5</t>
  </si>
  <si>
    <t>MPM 5.1</t>
  </si>
  <si>
    <t>MPM 5.2</t>
  </si>
  <si>
    <t>MPM 5.3</t>
  </si>
  <si>
    <t>Develop and keep updated the process assets necessary to perform the work.</t>
  </si>
  <si>
    <t>Provides a capability to understand and repeat successful performance.</t>
  </si>
  <si>
    <t>PAD 1.1</t>
  </si>
  <si>
    <t>PAD 2.1</t>
  </si>
  <si>
    <t>PAD 2.2</t>
  </si>
  <si>
    <t>PAD 2.3</t>
  </si>
  <si>
    <t>PAD 3.1</t>
  </si>
  <si>
    <t>PAD 3.2</t>
  </si>
  <si>
    <t>PAD 3.3</t>
  </si>
  <si>
    <t>PAD 3.4</t>
  </si>
  <si>
    <t>PAD 3.5</t>
  </si>
  <si>
    <t>PAD 3.6</t>
  </si>
  <si>
    <t>PAD 3.7</t>
  </si>
  <si>
    <t>PROCESS MANAGEMENT</t>
  </si>
  <si>
    <t>Manages and implements the continuous improvement of processes and infrastructure to:
Support accomplishing business objectives
Identify and implement the most beneficial process improvements
Make the results of process improvement visible, accessible, and sustainable</t>
  </si>
  <si>
    <t>PCM 1.1</t>
  </si>
  <si>
    <t>PCM 1.2</t>
  </si>
  <si>
    <t>PCM 1.3</t>
  </si>
  <si>
    <t>PCM 2.1</t>
  </si>
  <si>
    <t>PCM 2.2</t>
  </si>
  <si>
    <t>PCM 3.1</t>
  </si>
  <si>
    <t>PCM 3.2</t>
  </si>
  <si>
    <t>PCM 3.3</t>
  </si>
  <si>
    <t>PCM 3.4</t>
  </si>
  <si>
    <t>PCM 3.5</t>
  </si>
  <si>
    <t>PCM 3.6</t>
  </si>
  <si>
    <t>PCM 4.1</t>
  </si>
  <si>
    <t>RISK AND OPPORTUNITY MANAGEMENT</t>
  </si>
  <si>
    <t>Identify, record, analyze, and manage potential risks or opportunities.</t>
  </si>
  <si>
    <t>Mitigate adverse impacts or capitalize on positive impacts to increase the likelihood of meeting objectives.</t>
  </si>
  <si>
    <t>RSK 1.1</t>
  </si>
  <si>
    <t>RSK 2.1</t>
  </si>
  <si>
    <t>- How do you analyse identified risks or opportunities?
如何分析已识别地风险或机会</t>
  </si>
  <si>
    <t>RSK 2.2</t>
  </si>
  <si>
    <t>RSK 3.1</t>
  </si>
  <si>
    <t>- Explain how you make use of risk or opportunity categories?
如何使用风险或机会类别？</t>
  </si>
  <si>
    <t>RSK 3.2</t>
  </si>
  <si>
    <t>RSK 3.3</t>
  </si>
  <si>
    <t>- Explain any risk or opportunity management strategies that you may develop and maintain?
制定和持续更新风险或机会管理策略有哪些？</t>
  </si>
  <si>
    <t>RSK 3.4</t>
  </si>
  <si>
    <t>- Explain any risk or opportunity management plans that you may develop and maintain?
制定和持续更新风险或机会管理计划有哪些？</t>
  </si>
  <si>
    <t>RSK 3.5</t>
  </si>
  <si>
    <t>- Explain how you manage (mitigate) risk or opportunity items?
如何管理风险或机会？</t>
  </si>
  <si>
    <t>ORGANIZATIONAL TRAINING</t>
  </si>
  <si>
    <t>Develop the skills and knowledge of personnel so they perform their roles efficiently and effectively.</t>
  </si>
  <si>
    <t>Enhances individuals' skills and knowledge to improve organizational work performance.</t>
  </si>
  <si>
    <t>OT 1.1</t>
  </si>
  <si>
    <t>- Do you provide training to staff?
是否向员工提供培训</t>
  </si>
  <si>
    <t>OT 2.1</t>
  </si>
  <si>
    <t>OT 2.2</t>
  </si>
  <si>
    <t>OT 3.1</t>
  </si>
  <si>
    <t>OT 3.2</t>
  </si>
  <si>
    <t>OT 3.3</t>
  </si>
  <si>
    <t>OT 3.4</t>
  </si>
  <si>
    <t>OT 3.5</t>
  </si>
  <si>
    <t>OT 3.6</t>
  </si>
  <si>
    <t>ESTIMATING</t>
  </si>
  <si>
    <t>EST 1.1</t>
  </si>
  <si>
    <t>EST 2.1</t>
  </si>
  <si>
    <t>EST 2.2</t>
  </si>
  <si>
    <t>EST 2.3</t>
  </si>
  <si>
    <t>EST 3.1</t>
  </si>
  <si>
    <t>- Explain how your estimation method works? Is this estimation method documented (recorded)?
解释一下如何制定并记录估算方法</t>
  </si>
  <si>
    <t>EST 3.2</t>
  </si>
  <si>
    <t>MONITOR AND CONTROL</t>
  </si>
  <si>
    <t>Provide an understanding of the project progress so appropriate corrective actions can be taken when performance deviates significantly from plans.</t>
  </si>
  <si>
    <t>Increases the probability of meeting objectives by taking early actions to adjust for significant performance deviations.</t>
  </si>
  <si>
    <t>MC 1.1</t>
  </si>
  <si>
    <t>MC 1.2</t>
  </si>
  <si>
    <t>MC 2.1</t>
  </si>
  <si>
    <t>MC 2.2</t>
  </si>
  <si>
    <t>MC 2.3</t>
  </si>
  <si>
    <t>MC 2.4</t>
  </si>
  <si>
    <t>MC 3.1</t>
  </si>
  <si>
    <t>MC 3.2</t>
  </si>
  <si>
    <t>MC 3.3</t>
  </si>
  <si>
    <t>MC 3.4</t>
  </si>
  <si>
    <t>PLANNING</t>
  </si>
  <si>
    <t>Optimizes cost, functionality, and quality to increase the likelihood of meeting objectives.</t>
  </si>
  <si>
    <t>PLAN 1.1</t>
  </si>
  <si>
    <t>- Do you have a list of tasks that needs to be performed?
有制定需要执行的任务列表嘛？</t>
  </si>
  <si>
    <t>PLAN 1.2</t>
  </si>
  <si>
    <t>- Do you assign people to the tasks?
如何将人员分配到任务</t>
  </si>
  <si>
    <t>PLAN 2.1</t>
  </si>
  <si>
    <t>- Do you have an approach (scrum, waterfall, etc) for doing the work?
开发的方法，（敏捷，瀑布？）</t>
  </si>
  <si>
    <t>PLAN 2.2</t>
  </si>
  <si>
    <t>PLAN 2.3</t>
  </si>
  <si>
    <t>PLAN 2.4</t>
  </si>
  <si>
    <t>PLAN 2.5</t>
  </si>
  <si>
    <t>PLAN 2.6</t>
  </si>
  <si>
    <t>PLAN 2.7</t>
  </si>
  <si>
    <t>PLAN 2.8</t>
  </si>
  <si>
    <t>PLAN 3.1</t>
  </si>
  <si>
    <t>PLAN 3.2</t>
  </si>
  <si>
    <t>PLAN 3.3</t>
  </si>
  <si>
    <t>- Explain how you identify and negotiate critical dependencies?
如何识别和协商关键依赖关系？</t>
  </si>
  <si>
    <t>PLAN 3.4</t>
  </si>
  <si>
    <t>PLAN 4.1</t>
  </si>
  <si>
    <t>CAUSAL ANALYSIS AND RESOLUTION</t>
  </si>
  <si>
    <t>CAR 1.1</t>
  </si>
  <si>
    <t>CAR 2.1</t>
  </si>
  <si>
    <t>CAR 2.2</t>
  </si>
  <si>
    <t>CAR 3.1</t>
  </si>
  <si>
    <t>CAR 3.2</t>
  </si>
  <si>
    <t>CAR 3.3</t>
  </si>
  <si>
    <t>CAR 3.4</t>
  </si>
  <si>
    <t>CAR 3.5</t>
  </si>
  <si>
    <t>CAR 4.1</t>
  </si>
  <si>
    <t>CAR 4.2</t>
  </si>
  <si>
    <t>CAR 5.1</t>
  </si>
  <si>
    <t>CONFIGURATION MANAGEMENT</t>
  </si>
  <si>
    <t>CM 1.1</t>
  </si>
  <si>
    <t>- Describe how you perform version control.
'请描述一下是如何执行版本控制的？</t>
  </si>
  <si>
    <t>CM 2.1</t>
  </si>
  <si>
    <t>CM 2.2</t>
  </si>
  <si>
    <t>CM 2.3</t>
  </si>
  <si>
    <t>CM 2.4</t>
  </si>
  <si>
    <t>CM 2.5</t>
  </si>
  <si>
    <t>CM 2.6</t>
  </si>
  <si>
    <t>DECISION ANALYSIS AND RESOLUTION</t>
  </si>
  <si>
    <t>DAR 1.1</t>
  </si>
  <si>
    <t>DAR 1.2</t>
  </si>
  <si>
    <t>DAR 2.1</t>
  </si>
  <si>
    <t>DAR 2.2</t>
  </si>
  <si>
    <t>DAR 2.3</t>
  </si>
  <si>
    <t>DAR 2.4</t>
  </si>
  <si>
    <t>DAR 2.5</t>
  </si>
  <si>
    <t>DAR 3.1</t>
  </si>
  <si>
    <t>IMPLEMENTATION INFRASTRUCTURE</t>
  </si>
  <si>
    <t>II 1.1</t>
  </si>
  <si>
    <t>- Do you follow process? How can this be shown?
'遵循相应的过程了嘛？如何体现？</t>
  </si>
  <si>
    <t>II 2.1</t>
  </si>
  <si>
    <t>- Engineering Process Group
工程过程组</t>
  </si>
  <si>
    <t>II 2.2</t>
  </si>
  <si>
    <t>II 3.1</t>
  </si>
  <si>
    <t>II 3.2</t>
  </si>
  <si>
    <t>II 3.3</t>
  </si>
  <si>
    <t>GOVERNANCE</t>
  </si>
  <si>
    <t>GOV 2.1</t>
  </si>
  <si>
    <t>GOV 2.2</t>
  </si>
  <si>
    <t>GOV 2.3</t>
  </si>
  <si>
    <t>GOV 2.4</t>
  </si>
  <si>
    <t>GOV 3.1</t>
  </si>
  <si>
    <t>GOV 3.2</t>
  </si>
  <si>
    <t>GOV 4.1</t>
  </si>
  <si>
    <t>RDM, TS, PI, VV, PR, CM, EST, PLAN, MC, RSK, PCM, PAD, MPM, CAR, OT, PQA, DAR, GOV, II</t>
  </si>
  <si>
    <t>PAs:</t>
  </si>
  <si>
    <t>ID</t>
  </si>
  <si>
    <t>PAxy</t>
  </si>
  <si>
    <t>FindingChinese</t>
  </si>
  <si>
    <t>ReviewedBy</t>
  </si>
  <si>
    <t>FindingType</t>
  </si>
  <si>
    <t>Update/Add/Delete</t>
  </si>
  <si>
    <t>FindingEnglish</t>
  </si>
  <si>
    <t>https://www.whatismyip.com/</t>
  </si>
  <si>
    <t xml:space="preserve">Adequate OE is judged sufficient to demonstrate that the intent and value of the practice is met, and no weaknesses are identified. </t>
  </si>
  <si>
    <t xml:space="preserve">Partially Meets </t>
  </si>
  <si>
    <t>Ask for Govement issued ID (if virtual appraisal)</t>
  </si>
  <si>
    <t xml:space="preserve">Did we miss anything?  </t>
  </si>
  <si>
    <t xml:space="preserve">Was there something you expected us to ask you that we missed? </t>
  </si>
  <si>
    <t xml:space="preserve">Ask summary questions:  </t>
  </si>
  <si>
    <t>Online document translator</t>
  </si>
  <si>
    <t>https://www.onlinedoctranslator.com/en/translationform</t>
  </si>
  <si>
    <t xml:space="preserve">Level 1 </t>
  </si>
  <si>
    <t xml:space="preserve">Level 4 </t>
  </si>
  <si>
    <t xml:space="preserve">Suff. Artifact 
Yes | No </t>
  </si>
  <si>
    <t>Senior management identifies what is important for doing the work and defines the approach needed to accomplish the objectives of the organization.  高级管理层识别对工作执行重要地因素，并定义实现组织目标所需地方法</t>
  </si>
  <si>
    <t xml:space="preserve">GOV - GOVERNANCE (GOV)  </t>
  </si>
  <si>
    <t>治理</t>
  </si>
  <si>
    <t xml:space="preserve">Intent </t>
  </si>
  <si>
    <t xml:space="preserve">Provides guidance to senior management on their role in the sponsorship and governance of process activities. </t>
  </si>
  <si>
    <t>目的</t>
  </si>
  <si>
    <t>指导高级管理层履行其在过程活动的发起和治理中的职责</t>
  </si>
  <si>
    <t xml:space="preserve">Value </t>
  </si>
  <si>
    <t xml:space="preserve">Minimizes the cost of process implementation, increases the likelihood of meeting objectives, and ensures that the implemented processes support and contribute to the success of the business. </t>
  </si>
  <si>
    <t>价值</t>
  </si>
  <si>
    <t>最大限度地降低过程实施成本，提高实现目标地可能性，并确保实施地过程支持并促成业务成功</t>
  </si>
  <si>
    <t>Ensures that processes, infrastructure, and their improvement contribute to successfully meeting business objectives.</t>
  </si>
  <si>
    <t>Review and keep updated interface or connection descriptions for coverage, completeness, and consistency throughout the solution's life.
在整个解决方案地生命周期中，评审并持续更新接口或连接描述地覆盖范围、完整性和一致性</t>
  </si>
  <si>
    <t>https://docs.microsoft.com/en-us/sql/connect/oledb/download-oledb-driver-for-sql-server?view=sql-server-ver15</t>
  </si>
  <si>
    <t>https://go.microsoft.com/fwlink/?linkid=866658</t>
  </si>
  <si>
    <t>NOTE: KEEP SPACE BETWEEN PA AND x.y, for example CAR 1.1 (NOT CAR1.1)</t>
  </si>
  <si>
    <t>Search string &gt;&gt;</t>
  </si>
  <si>
    <t>ATM</t>
  </si>
  <si>
    <t>email</t>
  </si>
  <si>
    <t>Sponsor detail</t>
  </si>
  <si>
    <t>OU Coordinator</t>
  </si>
  <si>
    <t>Registered Interpreter</t>
  </si>
  <si>
    <t>Lead appraiser</t>
  </si>
  <si>
    <t>x</t>
  </si>
  <si>
    <t>Appraisal team member</t>
  </si>
  <si>
    <t>Objective evidence done</t>
  </si>
  <si>
    <t>Affirmation done</t>
  </si>
  <si>
    <t xml:space="preserve">Characterisation  </t>
  </si>
  <si>
    <t>OU Characterisation done</t>
  </si>
  <si>
    <t>Manage the integrity of work products using configuration identification, version control, change control, and audits.</t>
  </si>
  <si>
    <t>FirstSort</t>
  </si>
  <si>
    <t>SecondSort</t>
  </si>
  <si>
    <t>QuestionEnglish</t>
  </si>
  <si>
    <t>QuestionChinese</t>
  </si>
  <si>
    <t>ExpectedAnswerEnglish</t>
  </si>
  <si>
    <t>What process improvement actions are followed to implement identified improvements?</t>
  </si>
  <si>
    <t>How do you prioritise your process improvements?</t>
  </si>
  <si>
    <t>What support is provided for implementing and deploying new process improvements?</t>
  </si>
  <si>
    <t>How are organisational standard processes and process assets deployed?</t>
  </si>
  <si>
    <t>\PAs</t>
  </si>
  <si>
    <t>Name</t>
  </si>
  <si>
    <t>Provides a cost effective design and solution that meets customer requirements and reduces rework.</t>
  </si>
  <si>
    <t>PROCESS ASSET DEVELOPMENT</t>
  </si>
  <si>
    <t xml:space="preserve">Reduces loss of work and increases the ability to deliver the correct version of the solution to the customer. </t>
  </si>
  <si>
    <t>Intent</t>
  </si>
  <si>
    <t>Value</t>
  </si>
  <si>
    <t>- PQA reports stored</t>
  </si>
  <si>
    <t>- PQA reports stored under CM</t>
  </si>
  <si>
    <t>- Identify quality trends and register improvements or training needs based on them</t>
  </si>
  <si>
    <t>- Performance measurements.</t>
  </si>
  <si>
    <t>- Collect "available" data and distribute performance reprots.</t>
  </si>
  <si>
    <t>- Performance issue analysis</t>
  </si>
  <si>
    <t>- Identify performance issues.</t>
  </si>
  <si>
    <t>- Measurement database</t>
  </si>
  <si>
    <t>- Collecting measurements</t>
  </si>
  <si>
    <t>- Measurement reports according to GQIM sheet</t>
  </si>
  <si>
    <t>- Analysing measurements</t>
  </si>
  <si>
    <t>- Measurement repository</t>
  </si>
  <si>
    <t>- Storing measurement, reports and analysis</t>
  </si>
  <si>
    <t>- Corrective actions</t>
  </si>
  <si>
    <t>- Take corrective action on measurement results as appropriate</t>
  </si>
  <si>
    <t>- Measurements process</t>
  </si>
  <si>
    <t>- Data quality checks (within Measurements process)</t>
  </si>
  <si>
    <t>- Process improvements based on measurement analysis reports</t>
  </si>
  <si>
    <t>- Defined QPPOs traced to business objectives</t>
  </si>
  <si>
    <t>- GQIM sheets that specify the QPPOs and its associated analytical techniques</t>
  </si>
  <si>
    <t>- Process Performance Baselines</t>
  </si>
  <si>
    <t>- Process Performance Models</t>
  </si>
  <si>
    <t>- Revised business objectives  based on QPPO achievements</t>
  </si>
  <si>
    <t>- Revised PPB and PPM results based on improvements incorporated</t>
  </si>
  <si>
    <t>- Evaluate improvement proposals based on its potential to achieve or improve QPPOs towards business objectives</t>
  </si>
  <si>
    <t>- Any process assets</t>
  </si>
  <si>
    <t>- Perform some form of process engineering</t>
  </si>
  <si>
    <t>- Processes and process template library on GitHub, SVN, Drobox or SharePoint</t>
  </si>
  <si>
    <t>- Process Engineering Steering committee meetings</t>
  </si>
  <si>
    <t>- EPG structure</t>
  </si>
  <si>
    <t>- EPG developing processes</t>
  </si>
  <si>
    <t>- Appraisal report</t>
  </si>
  <si>
    <t>- Process improvement register</t>
  </si>
  <si>
    <t>- Subset of proposed improvements from the full list of suggested (identified) improvements.</t>
  </si>
  <si>
    <t>- Evaluate improvements to select most promising improvements</t>
  </si>
  <si>
    <t>- Process improvement action plan (implementation plan)</t>
  </si>
  <si>
    <t>- Business objective traced to process improvement objectives</t>
  </si>
  <si>
    <t>- Process improvement value assessment</t>
  </si>
  <si>
    <t>- Identify major process improvements and their potential contribution to business objectives</t>
  </si>
  <si>
    <t>- Evaluation results of new processes, techniques, methods or tools</t>
  </si>
  <si>
    <t>- Released process asset library</t>
  </si>
  <si>
    <t>- Develop a transition plan for projects to manage the deployment of new process releases</t>
  </si>
  <si>
    <t>- Process release effectiveness assessment against business objectives</t>
  </si>
  <si>
    <t>Use statistical and other quantitative techniques to validate selected performance improvements against proposed improvement exceptions, business objectives, or quality and process performance objectives.</t>
  </si>
  <si>
    <t>- Mean values and UCL/LCL of previous baseline versus mean value and UCL/LCL of new process baseline</t>
  </si>
  <si>
    <t>- Make high level estimates of work effort, cost or duration</t>
  </si>
  <si>
    <t>- Work scoping session</t>
  </si>
  <si>
    <t>- Work package size estimates</t>
  </si>
  <si>
    <t>- Size the work packages</t>
  </si>
  <si>
    <t>- Use historical measurements and the size estimates to determine effort, duration or cost estimates</t>
  </si>
  <si>
    <t>- Estimation algorithm (or method)</t>
  </si>
  <si>
    <t>- Minutes with issues identified</t>
  </si>
  <si>
    <t>- Meeting attendance registers</t>
  </si>
  <si>
    <t>- Reports showing thresholds exceeded (planned versus actual)</t>
  </si>
  <si>
    <t>- Set thresholds for when corrective actions must be taken</t>
  </si>
  <si>
    <t>- Using the tailroing guidliens, develop a project plan for the project from the orgnaisaitonal set of standard process assets</t>
  </si>
  <si>
    <t>- What procesess do you use for manaign the projects?</t>
  </si>
  <si>
    <t>- Identified critical dependencies in the project plan and schedule</t>
  </si>
  <si>
    <t>- Minutes of actions to address work environments issues</t>
  </si>
  <si>
    <t>- Relevant stakeholder meeting minutes</t>
  </si>
  <si>
    <t>- Lost of actions identified to address causes</t>
  </si>
  <si>
    <t>- Identified actions to address causes</t>
  </si>
  <si>
    <t>- Prioritise actions based on benefits</t>
  </si>
  <si>
    <t>- How do you select actions proposals to address identified causes?</t>
  </si>
  <si>
    <t>- Root cause analysis records</t>
  </si>
  <si>
    <t>- Root cause analysis data is recorded and distributed</t>
  </si>
  <si>
    <t>- Control chart signal detection rules</t>
  </si>
  <si>
    <t>- Use of control charts to identify signals for root cause analysis</t>
  </si>
  <si>
    <t>- Projects process performance objective before the action proposal and after the action proposal.</t>
  </si>
  <si>
    <t>- Process control charts before and after root cause action proposal has been taken</t>
  </si>
  <si>
    <t>- Version management system (example GitHub)</t>
  </si>
  <si>
    <t>- Configuration Management plan listing items to put under CM</t>
  </si>
  <si>
    <t>- Develop and maintain a configuration management plan</t>
  </si>
  <si>
    <t>- Configuration Management System</t>
  </si>
  <si>
    <t>- Establish and maintain a configuration management system</t>
  </si>
  <si>
    <t>- CCB minutes</t>
  </si>
  <si>
    <t>- Establish and maintain configuration change histories on configuration items</t>
  </si>
  <si>
    <t>- Configuration audit reports</t>
  </si>
  <si>
    <t>- Perform configuration audits on configuration items, configuration baselines and configuration releases</t>
  </si>
  <si>
    <t>- Invoice approval limits based on management level</t>
  </si>
  <si>
    <t>- Process documentation</t>
  </si>
  <si>
    <t>- Write processes</t>
  </si>
  <si>
    <t>- Senior management makes training resources (budget, tools, staff) available to support process training</t>
  </si>
  <si>
    <t>- What information (reporting) do you request (and do you obtain) from projects and support functions that informat you about strategy (business goal) acheivement? How do you (senior management) provide governance and oversight of effective process implementation and improvement?</t>
  </si>
  <si>
    <t>- Improvement incentives, rewards and recognition for process "champions"</t>
  </si>
  <si>
    <t>- Make resources available for measurement activities</t>
  </si>
  <si>
    <t>- Develop measurement competencies</t>
  </si>
  <si>
    <t>atm to complete</t>
  </si>
  <si>
    <t>TS - TECHNICAL SOLUTION (TS)</t>
  </si>
  <si>
    <t>Provides a cost-effective design and solution that meets customer requirements and reduces rework.</t>
  </si>
  <si>
    <t>some measurement in place</t>
  </si>
  <si>
    <t>achieve full intent; use local measures to analyse performance / data stored / actions taken</t>
  </si>
  <si>
    <t xml:space="preserve">use organisational standards and tailoring; contribute improvements; set performance objectives; proactive not reactive </t>
  </si>
  <si>
    <t>Practices</t>
  </si>
  <si>
    <t>Build solution to meet requirements.</t>
  </si>
  <si>
    <r>
      <rPr>
        <b/>
        <sz val="10"/>
        <rFont val="Calibri"/>
        <family val="2"/>
        <scheme val="minor"/>
      </rPr>
      <t>Design</t>
    </r>
    <r>
      <rPr>
        <sz val="10"/>
        <rFont val="Calibri"/>
        <family val="2"/>
        <scheme val="minor"/>
      </rPr>
      <t xml:space="preserve"> and build a solution to meet requirements. </t>
    </r>
  </si>
  <si>
    <t xml:space="preserve">Evaluate the design and address identified issues. </t>
  </si>
  <si>
    <t xml:space="preserve">	Provide guidance on use of the solution. </t>
  </si>
  <si>
    <t xml:space="preserve">Develop criteria for design decisions. </t>
  </si>
  <si>
    <t xml:space="preserve">Develop alternative solutions for selected components. </t>
  </si>
  <si>
    <t xml:space="preserve">Perform a build, buy, or reuse analysis. </t>
  </si>
  <si>
    <t xml:space="preserve">	Select solutions based on design criteria. </t>
  </si>
  <si>
    <t xml:space="preserve">Develop, keep updated, and use information needed to implement the design. </t>
  </si>
  <si>
    <t>Design solution interfaces or connections using established criteria.</t>
  </si>
  <si>
    <t>Example Work Products</t>
  </si>
  <si>
    <t>product or service;</t>
  </si>
  <si>
    <t xml:space="preserve">architecture;
component design (preliminary and detailed);
completed solution;
</t>
  </si>
  <si>
    <t>design evaluation issues;
design review meeting minutes;
updated design;
updated solution;</t>
  </si>
  <si>
    <t>guidance material;</t>
  </si>
  <si>
    <t>design criteria (cost, complexity, time, technology, resources, performance, etc.)</t>
  </si>
  <si>
    <t>alternative solutions;</t>
  </si>
  <si>
    <t>build, buy or re-use analysis;</t>
  </si>
  <si>
    <t>recorded solutions, evaluations and rationale;</t>
  </si>
  <si>
    <t>technical data package
requirements, design, test and traceability information;</t>
  </si>
  <si>
    <t>interface or connection - specification criteria (safety, security, performance etc);
- design specification;
- control documents;
rationale for design selection;</t>
  </si>
  <si>
    <t>build a solution;</t>
  </si>
  <si>
    <t>define the architecture;
identify, develop or acquire effective design methods or tools;
evaluate COTS products;
develop a preliminary design;
develop a detailed design;
track requirements against design;
build the solution;</t>
  </si>
  <si>
    <t>determine what types of reviews to perform;
identify review participants;
send draft designs to reviewers;
conduct technical review;
record decisions, issues and concerns;
identify potential fixes;
communicate issues and decisions;
update the design;
review the solution;
revise components as necessary;</t>
  </si>
  <si>
    <t>develop and provide guidance material;</t>
  </si>
  <si>
    <t>analyse, develop, evaluate, use, update design criteria;
review and revise design criteria with stakeholders;</t>
  </si>
  <si>
    <t>develop, identify, record alternative solutions;
record requirements allocation for each alternative;
communicate results;</t>
  </si>
  <si>
    <t>perform a build buy or re-use analysis;
record analysis and communicate results;</t>
  </si>
  <si>
    <t>evaluate alternatives against criteria;
select solutions that satisfy criteria;
reassess and update criteria when necessary;
develop, use and update records of evaluations;</t>
  </si>
  <si>
    <t>record the information needed to implement the solution;
revise information as needed;</t>
  </si>
  <si>
    <t>define interface or connection criteria;
develop design alternatives;
identify internal and external interfaces or connections;
identify interfaces or connections between components and related processes;
identify user interfaces or connections;
record, update, use, communicate the criteria, design and selection rationale;</t>
  </si>
  <si>
    <r>
      <t xml:space="preserve">Standard Questions - </t>
    </r>
    <r>
      <rPr>
        <i/>
        <sz val="10"/>
        <color theme="1"/>
        <rFont val="Calibri"/>
        <family val="2"/>
        <scheme val="minor"/>
      </rPr>
      <t>explain how / what ? ...</t>
    </r>
  </si>
  <si>
    <t>- Describe how you design and build a solution to meet the requirements?</t>
  </si>
  <si>
    <t>- How do you evaluate the designs and how do you address identified issues?</t>
  </si>
  <si>
    <t>- What guidance material do you provide on the use of the solution?</t>
  </si>
  <si>
    <t>- What criteria do you develop for design decisions?</t>
  </si>
  <si>
    <t>- What alternative solutions for selected components do you make?</t>
  </si>
  <si>
    <t>- How do you perform, build, buy or re-use decisions?</t>
  </si>
  <si>
    <t>- How do you use criteria to select your solutions?
How do you select the solutions using the criteria?</t>
  </si>
  <si>
    <t>- What do you develop, keep updated, and use as the information needed to implement the design?</t>
  </si>
  <si>
    <t>How do you design solution interfaces (or connections) using established criteria?</t>
  </si>
  <si>
    <t>如何设计和构建能够满足需求的解决方案？</t>
  </si>
  <si>
    <t>如何评估设计并解决已识别的问题？</t>
  </si>
  <si>
    <t>提供了哪些解决方案的使用指南？</t>
  </si>
  <si>
    <t>会制定哪些设计决策标准？</t>
  </si>
  <si>
    <t>会制定哪些针对选定组件的备选解决方案？</t>
  </si>
  <si>
    <t>如何执行构建、采购或复用分析？</t>
  </si>
  <si>
    <t>如何使用设计标准选择解决方案？</t>
  </si>
  <si>
    <t>如何制定、保持更新并采用实现设计所需的信息？</t>
  </si>
  <si>
    <t>如何使用既定标准来设计解决方案的接口或连接？</t>
  </si>
  <si>
    <t>PI - PRODUCT INTEGRATION (PI)</t>
  </si>
  <si>
    <t xml:space="preserve">Assemble solutions and deliver to the customer. </t>
  </si>
  <si>
    <t xml:space="preserve">Develop, keep updated, and follow an integration strategy. </t>
  </si>
  <si>
    <t>Develop, keep updated, and use the integration environment.</t>
  </si>
  <si>
    <t xml:space="preserve">Develop, keep updated, and follow procedures and criteria for integrating solutions and components. </t>
  </si>
  <si>
    <t xml:space="preserve">Confirm, prior to integration, that each component has been properly identified and operates according to its requirements and design. </t>
  </si>
  <si>
    <t xml:space="preserve">Evaluate integrated components to ensure conformance to the solution's requirements and design. </t>
  </si>
  <si>
    <t xml:space="preserve">	Integrate solutions and components according to the integration strategy. </t>
  </si>
  <si>
    <t xml:space="preserve">Review and keep updated interface or connection descriptions for coverage, completeness, and consistency throughout the solution's life. </t>
  </si>
  <si>
    <t>Confirm, prior to integration, that component interfaces or connections comply with interface or connection descriptions.</t>
  </si>
  <si>
    <t xml:space="preserve">Evaluate integrated components for interface or connection compatibility. </t>
  </si>
  <si>
    <t>assembled solutions and related documentation;</t>
  </si>
  <si>
    <t>product integration strategy (includes detail of content);
recorded rationale for selection;
selected integration strategy;</t>
  </si>
  <si>
    <t xml:space="preserve">verified and validated environment;
build, buy or re-use analyses;
support documentation for the environment;
</t>
  </si>
  <si>
    <t>product integration procedures;
product integration criteria;</t>
  </si>
  <si>
    <t>acceptance documents or test criteria for each product component;
exception reports;</t>
  </si>
  <si>
    <t>integration evaluation reports;
interface or connection evaluation reports;
test  reports;
exception reports;</t>
  </si>
  <si>
    <t>integrated solution or components;
exception or test report</t>
  </si>
  <si>
    <t>interface or connection review results;
list of action items for updating interfaces or connections;
updated interface or connection descriptions;</t>
  </si>
  <si>
    <t>results of comparison to description of component interfaces or connections;
list of non-compliances;
list of action items for updating descriptions;
updated descriptions</t>
  </si>
  <si>
    <t>Interface or connection issues report;</t>
  </si>
  <si>
    <t>assemble solution;
record all necessary information to install and use;
use applicable methods to package and deliver;
deliver solution and related doc.;</t>
  </si>
  <si>
    <t>identify and record product components to be integrated;
identify how solutions and components will be verified and validated;
identify alternative integration strategies;
select best alternative;
periodically review strategy and revise;
record and communicate decision rationale and status;</t>
  </si>
  <si>
    <t xml:space="preserve">develop requirements for the integration environment;
develop verification and validation procedures and criteria;
decide whether to build, buy or re-use the environment;
develop or acquire an integration environment;
verify and validate the environment;
use the environment;
revise as needed;
communicate with stakeholders;
</t>
  </si>
  <si>
    <t xml:space="preserve">develop, use and update procedures for integration of product components;
develop, use and update criteria for integration and evaluation;
record, update and communicate product integration procedures and criteria; </t>
  </si>
  <si>
    <t>track the integration readiness status of the components;
ensure components are delivered as described in strategy and procedures;
confirm each component is correctly identified and received;
verify and validate each received component meets its requirements and design;
check the status of the current configuration against expected;
check all physical interfaces before integration;
communicate results with stakeholders;</t>
  </si>
  <si>
    <t>evaluate integrated components, interfaces and testing using the integration strategy, procedures and criteria;
record and communicate evaluation results;</t>
  </si>
  <si>
    <t xml:space="preserve">confirm readiness of the product integration environment;
integrate components according to the strategy, procedures and criteria;
update the product integration strategy, procedures and criteria as needed;
integrate and deliver the product and communicate results;
</t>
  </si>
  <si>
    <t>review with stakeholders and update interface or connection descriptions for coverage, completeness, and consistency;
resolve interface or connection issues;
update interface or connection descriptions and make accessible;</t>
  </si>
  <si>
    <t>compare interface or connection descriptions with component interfaces or connections and identify non-compliances;
address non-compliances and communicate results</t>
  </si>
  <si>
    <t>Evaluate integrated components for compatibility;
record and communicate the evaluation results;</t>
  </si>
  <si>
    <t>- Describe your integration strategy and how it is updated.</t>
  </si>
  <si>
    <t>- Describe your integration environment and how it is updated or maintained.</t>
  </si>
  <si>
    <t>- Describe the procedures and criteria you use to integrate components and solutions?</t>
  </si>
  <si>
    <t>- How do you ensure, prior to integration, that each component has been properly identified and operates according to its requirements and design?</t>
  </si>
  <si>
    <t>- How do you evaluate integrated components to ensure conformance to the solution's requirements and design?</t>
  </si>
  <si>
    <t>- Describe the integration of the components - how you follow the strategy?</t>
  </si>
  <si>
    <t>- How do you review and keep updated interface or connection descriptions for coverage, completeness, and consistency throughout the solution's life?</t>
  </si>
  <si>
    <t>- How do you confirm, prior to integration, that component interfaces or connections comply with interface or connection descriptions?</t>
  </si>
  <si>
    <t>- How do you evaluate integrated components for interface or connection compatibility?</t>
  </si>
  <si>
    <t>描述集成策略</t>
  </si>
  <si>
    <t>描述集成环境</t>
  </si>
  <si>
    <t>描述用于集成组件和解决方案的规程和准则</t>
  </si>
  <si>
    <t>在集成之前，如何确认每个组件已被正确识别、并按照其需求和设计正常工作？</t>
  </si>
  <si>
    <t>如何评价已集成的组件以确保其符合解决方案的需求和设计？</t>
  </si>
  <si>
    <t>描述下您是如何按照集成策略来集成组件的。</t>
  </si>
  <si>
    <t>在整个解决方案的生命周期中，如何评审并持续更新接口或连接描述的覆盖范围、完整性和一致性？</t>
  </si>
  <si>
    <t>在集成之前，如何确认组件的接口是符合接口描述的？</t>
  </si>
  <si>
    <t>如何评价已集成组件的接口的兼容性？</t>
  </si>
  <si>
    <t>PR -PEER REVIEWS (PR)</t>
  </si>
  <si>
    <t>Practice</t>
  </si>
  <si>
    <t>Perform reviews of work products and record issues.</t>
  </si>
  <si>
    <t>Develop and keep updated procedures and supporting materials used to prepare for and perform peer reviews.</t>
  </si>
  <si>
    <t xml:space="preserve">Select work products to be peer reviewed. </t>
  </si>
  <si>
    <t xml:space="preserve">Prepare and perform peer reviews on selected work products using established procedures. </t>
  </si>
  <si>
    <t xml:space="preserve">	Resolve issues identified in peer reviews.</t>
  </si>
  <si>
    <t xml:space="preserve">Analyze results and data from peer reviews. </t>
  </si>
  <si>
    <t>list of issues from work product reviews;</t>
  </si>
  <si>
    <t>procedures for preparing and performing peer reviews;
supporting materials;</t>
  </si>
  <si>
    <t>work product selection criteria;
list of selected work products;</t>
  </si>
  <si>
    <t>list of work products;
schedule;
peer review results;</t>
  </si>
  <si>
    <t>resolution of issues;
results;</t>
  </si>
  <si>
    <t>analysis results;</t>
  </si>
  <si>
    <t>review work products to identify issues;
record results;</t>
  </si>
  <si>
    <t>record and update peer review procedures;
record and update related supporting materials;</t>
  </si>
  <si>
    <t>evaluate the criticality of the work product;
determine and record the review type to use;</t>
  </si>
  <si>
    <t>develop schedule;
follow procedures;
record results;
communicate results to stakeholders;</t>
  </si>
  <si>
    <t>resolve issues;
record resolutions and results and communicate to stakeholders;</t>
  </si>
  <si>
    <t>analyse the results of peer reviews;
record and communicate analysis results;
register improvements based on results;
take corrective action on the project based on the results of the peer reviews;
monitor the performance of processes for possible signals from peer review data;</t>
  </si>
  <si>
    <t>What procedures and supporting materials do you have in place to perform peer reviews?</t>
  </si>
  <si>
    <t>What work products have been selected to be reviewed?
How do you select work products to be peer reviewed?</t>
  </si>
  <si>
    <t>Explain how you prepare for and perform peer reviews.</t>
  </si>
  <si>
    <t>Explain how you resolve the issues identified in the peer reviews.</t>
  </si>
  <si>
    <t>Explain how you analyse the results and what do you do with the analysed data from the peer reviews?</t>
  </si>
  <si>
    <t>准备和执行同行评审的步骤有哪些</t>
  </si>
  <si>
    <t>选择进行同行评审的工作产品有哪些？</t>
  </si>
  <si>
    <t>同行评审的既定程序（从准备阶段到结束）有哪些？请描述</t>
  </si>
  <si>
    <t>如何解决同行评审中发现的问题</t>
  </si>
  <si>
    <t>如何分析从同行评审得到的结果和数据</t>
  </si>
  <si>
    <t>VV -VERIFICATION AND VALIDATION (VV)</t>
  </si>
  <si>
    <t xml:space="preserve">	Perform verification to ensure the requirements are implemented and record and communicate results.</t>
  </si>
  <si>
    <t xml:space="preserve">Perform validation to ensure the solution will function as intended in its target environment and record and communicate results. </t>
  </si>
  <si>
    <t xml:space="preserve">Select components and methods for verification and validation. </t>
  </si>
  <si>
    <t xml:space="preserve">Develop, keep updated, and use the environment needed to support verification and validation. </t>
  </si>
  <si>
    <t xml:space="preserve">Develop, keep updated, and follow procedures for verification and validation. </t>
  </si>
  <si>
    <t xml:space="preserve">Develop, keep updated, and use criteria for verification and validation. </t>
  </si>
  <si>
    <t xml:space="preserve">Analyze and communicate verification and validation results. </t>
  </si>
  <si>
    <t>verfication results;
action items;</t>
  </si>
  <si>
    <t>validation results;
analysis results;</t>
  </si>
  <si>
    <t>list of solution components for verification and validation;
verfification and validation methods for each component;
list of requirements to be verified and validated;</t>
  </si>
  <si>
    <t>verification environment;
validation environment;</t>
  </si>
  <si>
    <t>verification procedures;
validation procedures;
verification and validation results;</t>
  </si>
  <si>
    <t>verification criteria;
validation criteria;</t>
  </si>
  <si>
    <t>results of actual vs expected (test results);
analysis results;
corrective actions;
improvement proposals;</t>
  </si>
  <si>
    <t>perform verification of selected work products and solns, against requirements;
record and communicate results of activities;
identify action items resulting from verification;</t>
  </si>
  <si>
    <t>validate selected work products and solns. with stakeholders throughout life cycle to ensure they function as intended;
analyse and communicate results of validation activities;</t>
  </si>
  <si>
    <t>select solution components for verification and validation;
identify requirements to be satisfied by each;
determine customer requirements and end user needs to be validated;
define, record and update verification and validation methods;
review validation selection, roles, responsibilities, constraints and methods with stakeholders;</t>
  </si>
  <si>
    <t>identify requirements for the verfification and validation environment;
identify customer-supplied solutions and components;
identify verification and validation resources, equipment and tools;
develop or acquire and keep the verification and validation environments updated;</t>
  </si>
  <si>
    <t>identify criteria for selecting work products and activities for verification and validation;
develop and keep updated procedures for verification and validation;
perform verification and validation in accordance with procedures;</t>
  </si>
  <si>
    <t>develop verification and validation criteria and refine them as work progresses;</t>
  </si>
  <si>
    <t>compare actual to expected results;
identify results that do not meet criteria for verification;
identify results that do not meet criteria for validation;
analyse results;
submit improvement proposals where process improvements are identified;
record and communicate analysis results and corrective actions to stakeholders;</t>
  </si>
  <si>
    <r>
      <t xml:space="preserve">Explain how you select the </t>
    </r>
    <r>
      <rPr>
        <u/>
        <sz val="10"/>
        <color theme="1"/>
        <rFont val="Calibri"/>
        <family val="2"/>
        <scheme val="minor"/>
      </rPr>
      <t>components</t>
    </r>
    <r>
      <rPr>
        <sz val="10"/>
        <color theme="1"/>
        <rFont val="Calibri"/>
        <family val="2"/>
        <scheme val="minor"/>
      </rPr>
      <t xml:space="preserve"> and the </t>
    </r>
    <r>
      <rPr>
        <u/>
        <sz val="10"/>
        <color theme="1"/>
        <rFont val="Calibri"/>
        <family val="2"/>
        <scheme val="minor"/>
      </rPr>
      <t>methods</t>
    </r>
    <r>
      <rPr>
        <sz val="10"/>
        <color theme="1"/>
        <rFont val="Calibri"/>
        <family val="2"/>
        <scheme val="minor"/>
      </rPr>
      <t xml:space="preserve"> for verification and validation.</t>
    </r>
  </si>
  <si>
    <r>
      <t xml:space="preserve">Explain how you develop and maintain the </t>
    </r>
    <r>
      <rPr>
        <u/>
        <sz val="10"/>
        <color theme="1"/>
        <rFont val="Calibri"/>
        <family val="2"/>
        <scheme val="minor"/>
      </rPr>
      <t>environment</t>
    </r>
    <r>
      <rPr>
        <sz val="10"/>
        <color theme="1"/>
        <rFont val="Calibri"/>
        <family val="2"/>
        <scheme val="minor"/>
      </rPr>
      <t xml:space="preserve"> needed to support verification and validation.</t>
    </r>
  </si>
  <si>
    <r>
      <t xml:space="preserve">How do you develop and maintain  the </t>
    </r>
    <r>
      <rPr>
        <u/>
        <sz val="10"/>
        <color theme="1"/>
        <rFont val="Calibri"/>
        <family val="2"/>
        <scheme val="minor"/>
      </rPr>
      <t>procedures</t>
    </r>
    <r>
      <rPr>
        <sz val="10"/>
        <color theme="1"/>
        <rFont val="Calibri"/>
        <family val="2"/>
        <scheme val="minor"/>
      </rPr>
      <t xml:space="preserve"> for verification and validation.</t>
    </r>
  </si>
  <si>
    <r>
      <t xml:space="preserve">How do you develop  and maintain the </t>
    </r>
    <r>
      <rPr>
        <u/>
        <sz val="10"/>
        <color theme="1"/>
        <rFont val="Calibri"/>
        <family val="2"/>
        <scheme val="minor"/>
      </rPr>
      <t>criteria</t>
    </r>
    <r>
      <rPr>
        <sz val="10"/>
        <color theme="1"/>
        <rFont val="Calibri"/>
        <family val="2"/>
        <scheme val="minor"/>
      </rPr>
      <t xml:space="preserve"> for verification and validation?</t>
    </r>
  </si>
  <si>
    <r>
      <t xml:space="preserve">How do you </t>
    </r>
    <r>
      <rPr>
        <u/>
        <sz val="10"/>
        <color theme="1"/>
        <rFont val="Calibri"/>
        <family val="2"/>
        <scheme val="minor"/>
      </rPr>
      <t>analyse</t>
    </r>
    <r>
      <rPr>
        <sz val="10"/>
        <color theme="1"/>
        <rFont val="Calibri"/>
        <family val="2"/>
        <scheme val="minor"/>
      </rPr>
      <t xml:space="preserve"> and </t>
    </r>
    <r>
      <rPr>
        <u/>
        <sz val="10"/>
        <color theme="1"/>
        <rFont val="Calibri"/>
        <family val="2"/>
        <scheme val="minor"/>
      </rPr>
      <t>communicate</t>
    </r>
    <r>
      <rPr>
        <sz val="10"/>
        <color theme="1"/>
        <rFont val="Calibri"/>
        <family val="2"/>
        <scheme val="minor"/>
      </rPr>
      <t xml:space="preserve"> the </t>
    </r>
    <r>
      <rPr>
        <u/>
        <sz val="10"/>
        <color theme="1"/>
        <rFont val="Calibri"/>
        <family val="2"/>
        <scheme val="minor"/>
      </rPr>
      <t>results</t>
    </r>
    <r>
      <rPr>
        <sz val="10"/>
        <color theme="1"/>
        <rFont val="Calibri"/>
        <family val="2"/>
        <scheme val="minor"/>
      </rPr>
      <t xml:space="preserve"> of verification and validation?</t>
    </r>
  </si>
  <si>
    <t>如何选择用于验证和确认的组件和方法？</t>
  </si>
  <si>
    <t>如何开发、使用并保持更新支持验证和确认所需的环境？</t>
  </si>
  <si>
    <t>这些(验证和确认的流程）是如何开发和维护的？</t>
  </si>
  <si>
    <t>这些（验证与确认的准则）是如何开发和维护的？</t>
  </si>
  <si>
    <t>如何使用和传达验证与确认的结果？</t>
  </si>
  <si>
    <t>PQA - PROCESS QUALITY ASSURANCE (PQA)</t>
  </si>
  <si>
    <r>
      <rPr>
        <sz val="10"/>
        <rFont val="Calibri"/>
        <family val="2"/>
      </rPr>
      <t xml:space="preserve">	</t>
    </r>
    <r>
      <rPr>
        <b/>
        <sz val="10"/>
        <rFont val="Calibri"/>
        <family val="2"/>
      </rPr>
      <t>Identify and address</t>
    </r>
    <r>
      <rPr>
        <sz val="10"/>
        <rFont val="Calibri"/>
        <family val="2"/>
      </rPr>
      <t xml:space="preserve"> process and work product issues. </t>
    </r>
  </si>
  <si>
    <r>
      <rPr>
        <sz val="10"/>
        <rFont val="Calibri"/>
        <family val="2"/>
      </rPr>
      <t xml:space="preserve">Develop, keep updated, and follow a </t>
    </r>
    <r>
      <rPr>
        <b/>
        <sz val="10"/>
        <rFont val="Calibri"/>
        <family val="2"/>
      </rPr>
      <t>quality assurance approach and plan</t>
    </r>
    <r>
      <rPr>
        <sz val="10"/>
        <rFont val="Calibri"/>
        <family val="2"/>
      </rPr>
      <t xml:space="preserve"> based on historical quality data.</t>
    </r>
  </si>
  <si>
    <r>
      <rPr>
        <sz val="10"/>
        <rFont val="Calibri"/>
        <family val="2"/>
      </rPr>
      <t xml:space="preserve">	Throughout the project, </t>
    </r>
    <r>
      <rPr>
        <b/>
        <sz val="10"/>
        <rFont val="Calibri"/>
        <family val="2"/>
      </rPr>
      <t>objectively evaluate</t>
    </r>
    <r>
      <rPr>
        <sz val="10"/>
        <rFont val="Calibri"/>
        <family val="2"/>
      </rPr>
      <t xml:space="preserve"> selected performed processes and work products against the recorded process and applicable standards. </t>
    </r>
  </si>
  <si>
    <r>
      <rPr>
        <b/>
        <sz val="10"/>
        <rFont val="Calibri"/>
        <family val="2"/>
      </rPr>
      <t>Communicate</t>
    </r>
    <r>
      <rPr>
        <sz val="10"/>
        <rFont val="Calibri"/>
        <family val="2"/>
      </rPr>
      <t xml:space="preserve"> quality and non-compliance </t>
    </r>
    <r>
      <rPr>
        <b/>
        <sz val="10"/>
        <rFont val="Calibri"/>
        <family val="2"/>
      </rPr>
      <t>issues</t>
    </r>
    <r>
      <rPr>
        <sz val="10"/>
        <rFont val="Calibri"/>
        <family val="2"/>
      </rPr>
      <t xml:space="preserve"> and ensure their resolution. </t>
    </r>
  </si>
  <si>
    <r>
      <rPr>
        <sz val="10"/>
        <rFont val="Calibri"/>
        <family val="2"/>
      </rPr>
      <t xml:space="preserve">	</t>
    </r>
    <r>
      <rPr>
        <b/>
        <sz val="10"/>
        <rFont val="Calibri"/>
        <family val="2"/>
      </rPr>
      <t>Record and use results</t>
    </r>
    <r>
      <rPr>
        <sz val="10"/>
        <rFont val="Calibri"/>
        <family val="2"/>
      </rPr>
      <t xml:space="preserve"> of quality assurance activities. </t>
    </r>
  </si>
  <si>
    <r>
      <rPr>
        <sz val="10"/>
        <rFont val="Calibri"/>
        <family val="2"/>
      </rPr>
      <t xml:space="preserve">Identify and record </t>
    </r>
    <r>
      <rPr>
        <b/>
        <sz val="10"/>
        <rFont val="Calibri"/>
        <family val="2"/>
      </rPr>
      <t>opportunities for improvement</t>
    </r>
    <r>
      <rPr>
        <sz val="10"/>
        <rFont val="Calibri"/>
        <family val="2"/>
      </rPr>
      <t xml:space="preserve"> during quality assurance activities. </t>
    </r>
  </si>
  <si>
    <t>recorded issues;
addressed issues;</t>
  </si>
  <si>
    <t>Quality assurance approach and plan;</t>
  </si>
  <si>
    <t>criteria;
checklists;
evaluation reports;
non-compliance reports;
improvement proposals;</t>
  </si>
  <si>
    <t>quality trend analysis reports;
non-compliance resolutions;</t>
  </si>
  <si>
    <t>evaluation records;
quality assurance reports;
status reports of non-compliance issues and corrective actions;
reports of quality trends;</t>
  </si>
  <si>
    <t>improvement proposals;</t>
  </si>
  <si>
    <t>identify issues;
record issues;
resolve issues;</t>
  </si>
  <si>
    <t>develop, record and update the quality approach and plan;
identify areas for evaluation;
review, update and approve approach with stakeholders;</t>
  </si>
  <si>
    <t>develop and update clearly stated criteria for evaluations;
develop and update checklists based on process descriptions;
use the defined criteria and checklists to evaluate if performed processes follow process descriptions;
identify and record non-compliances;
leverage recorded best practices;</t>
  </si>
  <si>
    <t>communicate and resolve each non-compliance issue;
escalate non-compliance issues that cannot be resolved;
analyse to identify trends;
ensure stakeholders are aware of evaluation results;</t>
  </si>
  <si>
    <t>record and update information about quality assurance activities;</t>
  </si>
  <si>
    <t>record potential improvements observed during QA activities;
submit improvement proposals;</t>
  </si>
  <si>
    <r>
      <rPr>
        <sz val="10"/>
        <rFont val="Calibri"/>
        <family val="2"/>
      </rPr>
      <t xml:space="preserve">*How do you </t>
    </r>
    <r>
      <rPr>
        <b/>
        <sz val="10"/>
        <rFont val="Calibri"/>
        <family val="2"/>
      </rPr>
      <t>identify</t>
    </r>
    <r>
      <rPr>
        <sz val="10"/>
        <rFont val="Calibri"/>
        <family val="2"/>
      </rPr>
      <t xml:space="preserve"> which work products and processes you want to check for process quality assurance?</t>
    </r>
  </si>
  <si>
    <r>
      <rPr>
        <sz val="10"/>
        <rFont val="Calibri"/>
        <family val="2"/>
      </rPr>
      <t xml:space="preserve">*How do you develop the </t>
    </r>
    <r>
      <rPr>
        <b/>
        <sz val="10"/>
        <rFont val="Calibri"/>
        <family val="2"/>
      </rPr>
      <t>approach or plan</t>
    </r>
    <r>
      <rPr>
        <sz val="10"/>
        <rFont val="Calibri"/>
        <family val="2"/>
      </rPr>
      <t xml:space="preserve"> for quality assurance?
*What historical data do you use?</t>
    </r>
  </si>
  <si>
    <r>
      <rPr>
        <sz val="10"/>
        <rFont val="Calibri"/>
        <family val="2"/>
      </rPr>
      <t xml:space="preserve">*How do you </t>
    </r>
    <r>
      <rPr>
        <b/>
        <sz val="10"/>
        <rFont val="Calibri"/>
        <family val="2"/>
      </rPr>
      <t>evaluate</t>
    </r>
    <r>
      <rPr>
        <sz val="10"/>
        <rFont val="Calibri"/>
        <family val="2"/>
      </rPr>
      <t xml:space="preserve"> compliance  to the recorded processes and work products?
*What do you check for?</t>
    </r>
  </si>
  <si>
    <r>
      <rPr>
        <sz val="10"/>
        <rFont val="Calibri"/>
        <family val="2"/>
      </rPr>
      <t xml:space="preserve">* How do you </t>
    </r>
    <r>
      <rPr>
        <b/>
        <sz val="10"/>
        <rFont val="Calibri"/>
        <family val="2"/>
      </rPr>
      <t>communicate and address</t>
    </r>
    <r>
      <rPr>
        <sz val="10"/>
        <rFont val="Calibri"/>
        <family val="2"/>
      </rPr>
      <t xml:space="preserve"> the non-compliance issues that have been identified?</t>
    </r>
  </si>
  <si>
    <r>
      <rPr>
        <sz val="10"/>
        <rFont val="Calibri"/>
        <family val="2"/>
      </rPr>
      <t xml:space="preserve">*Where do you </t>
    </r>
    <r>
      <rPr>
        <b/>
        <sz val="10"/>
        <rFont val="Calibri"/>
        <family val="2"/>
      </rPr>
      <t>record</t>
    </r>
    <r>
      <rPr>
        <sz val="10"/>
        <rFont val="Calibri"/>
        <family val="2"/>
      </rPr>
      <t xml:space="preserve"> the results of quality assurance activities?
*How do you </t>
    </r>
    <r>
      <rPr>
        <b/>
        <sz val="10"/>
        <rFont val="Calibri"/>
        <family val="2"/>
      </rPr>
      <t>use</t>
    </r>
    <r>
      <rPr>
        <sz val="10"/>
        <rFont val="Calibri"/>
        <family val="2"/>
      </rPr>
      <t xml:space="preserve"> the results? What actions follow?
*Where does your function report to? 
*Repeat offenders?
*Who has accountability for taking action on results?
*Most common areas of non-compliance?</t>
    </r>
  </si>
  <si>
    <r>
      <rPr>
        <sz val="10"/>
        <rFont val="Calibri"/>
        <family val="2"/>
      </rPr>
      <t xml:space="preserve">*What do you do with the </t>
    </r>
    <r>
      <rPr>
        <b/>
        <sz val="10"/>
        <rFont val="Calibri"/>
        <family val="2"/>
      </rPr>
      <t>improvement opportunities</t>
    </r>
    <r>
      <rPr>
        <sz val="10"/>
        <rFont val="Calibri"/>
        <family val="2"/>
      </rPr>
      <t xml:space="preserve"> that you identify?
*Do you follow-up on the use of these opportunities identified?
*Effect of non-compliance on process performance baseline? Used by MA?</t>
    </r>
  </si>
  <si>
    <t>你是如何指定QA方法或计划的？使用到了哪些历史数据？</t>
  </si>
  <si>
    <t>“*您如何评估所记录过程和工作产品的合规性?
你检查什么?</t>
  </si>
  <si>
    <t>“*对于已发现的不符合项问题，你们如何沟通和解决的?”</t>
  </si>
  <si>
    <r>
      <t>*</t>
    </r>
    <r>
      <rPr>
        <sz val="10"/>
        <rFont val="宋体"/>
        <family val="3"/>
        <charset val="134"/>
      </rPr>
      <t>你们在哪里记录QA活动的结果</t>
    </r>
    <r>
      <rPr>
        <sz val="10"/>
        <rFont val="Calibri"/>
        <family val="2"/>
      </rPr>
      <t xml:space="preserve">?
</t>
    </r>
    <r>
      <rPr>
        <sz val="10"/>
        <rFont val="宋体"/>
        <family val="3"/>
        <charset val="134"/>
      </rPr>
      <t>你如何使用这些结果</t>
    </r>
    <r>
      <rPr>
        <sz val="10"/>
        <rFont val="Calibri"/>
        <family val="2"/>
      </rPr>
      <t>?</t>
    </r>
    <r>
      <rPr>
        <sz val="10"/>
        <rFont val="宋体"/>
        <family val="3"/>
        <charset val="134"/>
      </rPr>
      <t>遵循什么行动</t>
    </r>
    <r>
      <rPr>
        <sz val="10"/>
        <rFont val="Calibri"/>
        <family val="2"/>
      </rPr>
      <t>?
*</t>
    </r>
    <r>
      <rPr>
        <sz val="10"/>
        <rFont val="宋体"/>
        <family val="3"/>
        <charset val="134"/>
      </rPr>
      <t>你的职能部门向哪里报告</t>
    </r>
    <r>
      <rPr>
        <sz val="10"/>
        <rFont val="Calibri"/>
        <family val="2"/>
      </rPr>
      <t>?
*</t>
    </r>
    <r>
      <rPr>
        <sz val="10"/>
        <rFont val="宋体"/>
        <family val="3"/>
        <charset val="134"/>
      </rPr>
      <t>常出现的不符合项</t>
    </r>
    <r>
      <rPr>
        <sz val="10"/>
        <rFont val="Calibri"/>
        <family val="2"/>
      </rPr>
      <t xml:space="preserve">?
</t>
    </r>
    <r>
      <rPr>
        <sz val="10"/>
        <rFont val="宋体"/>
        <family val="3"/>
        <charset val="134"/>
      </rPr>
      <t>谁有责任根据结果采取行动</t>
    </r>
    <r>
      <rPr>
        <sz val="10"/>
        <rFont val="Calibri"/>
        <family val="2"/>
      </rPr>
      <t>?
*</t>
    </r>
    <r>
      <rPr>
        <sz val="10"/>
        <rFont val="宋体"/>
        <family val="3"/>
        <charset val="134"/>
      </rPr>
      <t>最常见的违规行为</t>
    </r>
    <r>
      <rPr>
        <sz val="10"/>
        <rFont val="Calibri"/>
        <family val="2"/>
      </rPr>
      <t>?</t>
    </r>
  </si>
  <si>
    <t>“*当你发现有改进的机会时，你会怎么做?”
*你会继续利用这些发现的机会吗?
*不合规对过程性能基线的影响?度量分析人员会使用这些（改进机会）嘛?</t>
  </si>
  <si>
    <t>RDM - REQUIREMENTS DEVELOPMENT AND MANAGEMENT (RDM)</t>
  </si>
  <si>
    <t xml:space="preserve">Record requirements. </t>
  </si>
  <si>
    <r>
      <t xml:space="preserve">Elicit </t>
    </r>
    <r>
      <rPr>
        <b/>
        <sz val="10"/>
        <rFont val="Calibri"/>
        <family val="2"/>
        <scheme val="minor"/>
      </rPr>
      <t>stakeholder needs, expectations, constraints, and interfaces or connections</t>
    </r>
    <r>
      <rPr>
        <sz val="10"/>
        <rFont val="Calibri"/>
        <family val="2"/>
        <scheme val="minor"/>
      </rPr>
      <t xml:space="preserve">. </t>
    </r>
  </si>
  <si>
    <r>
      <t xml:space="preserve">Transform stakeholder needs, expectations, constraints, and interfaces or connections into </t>
    </r>
    <r>
      <rPr>
        <b/>
        <sz val="10"/>
        <rFont val="Calibri"/>
        <family val="2"/>
        <scheme val="minor"/>
      </rPr>
      <t>prioritized customer requirements</t>
    </r>
    <r>
      <rPr>
        <sz val="10"/>
        <rFont val="Calibri"/>
        <family val="2"/>
        <scheme val="minor"/>
      </rPr>
      <t xml:space="preserve">. </t>
    </r>
  </si>
  <si>
    <r>
      <t xml:space="preserve">Develop an understanding with the requirements providers on the </t>
    </r>
    <r>
      <rPr>
        <b/>
        <sz val="10"/>
        <rFont val="Calibri"/>
        <family val="2"/>
        <scheme val="minor"/>
      </rPr>
      <t>meaning of the requirements</t>
    </r>
    <r>
      <rPr>
        <sz val="10"/>
        <rFont val="Calibri"/>
        <family val="2"/>
        <scheme val="minor"/>
      </rPr>
      <t xml:space="preserve">. </t>
    </r>
  </si>
  <si>
    <r>
      <t xml:space="preserve">Obtain </t>
    </r>
    <r>
      <rPr>
        <b/>
        <sz val="10"/>
        <rFont val="Calibri"/>
        <family val="2"/>
        <scheme val="minor"/>
      </rPr>
      <t>commitment</t>
    </r>
    <r>
      <rPr>
        <sz val="10"/>
        <rFont val="Calibri"/>
        <family val="2"/>
        <scheme val="minor"/>
      </rPr>
      <t xml:space="preserve"> from project participants that they can implement the requirements.</t>
    </r>
  </si>
  <si>
    <r>
      <t xml:space="preserve">Develop, record, and maintain </t>
    </r>
    <r>
      <rPr>
        <b/>
        <sz val="10"/>
        <rFont val="Calibri"/>
        <family val="2"/>
        <scheme val="minor"/>
      </rPr>
      <t>bidirectional traceability</t>
    </r>
    <r>
      <rPr>
        <sz val="10"/>
        <rFont val="Calibri"/>
        <family val="2"/>
        <scheme val="minor"/>
      </rPr>
      <t xml:space="preserve"> among requirements and activities or work products. </t>
    </r>
  </si>
  <si>
    <r>
      <t xml:space="preserve">		Ensure that plans and activities or work products remain </t>
    </r>
    <r>
      <rPr>
        <b/>
        <sz val="10"/>
        <rFont val="Calibri"/>
        <family val="2"/>
        <scheme val="minor"/>
      </rPr>
      <t xml:space="preserve">consistent </t>
    </r>
    <r>
      <rPr>
        <sz val="10"/>
        <rFont val="Calibri"/>
        <family val="2"/>
        <scheme val="minor"/>
      </rPr>
      <t xml:space="preserve">with requirements. </t>
    </r>
  </si>
  <si>
    <r>
      <rPr>
        <b/>
        <sz val="10"/>
        <rFont val="Calibri"/>
        <family val="2"/>
        <scheme val="minor"/>
      </rPr>
      <t>Develop</t>
    </r>
    <r>
      <rPr>
        <sz val="10"/>
        <rFont val="Calibri"/>
        <family val="2"/>
        <scheme val="minor"/>
      </rPr>
      <t xml:space="preserve"> and keep </t>
    </r>
    <r>
      <rPr>
        <b/>
        <sz val="10"/>
        <rFont val="Calibri"/>
        <family val="2"/>
        <scheme val="minor"/>
      </rPr>
      <t>requirements</t>
    </r>
    <r>
      <rPr>
        <sz val="10"/>
        <rFont val="Calibri"/>
        <family val="2"/>
        <scheme val="minor"/>
      </rPr>
      <t xml:space="preserve"> updated for the </t>
    </r>
    <r>
      <rPr>
        <b/>
        <sz val="10"/>
        <rFont val="Calibri"/>
        <family val="2"/>
        <scheme val="minor"/>
      </rPr>
      <t>solution and its components</t>
    </r>
    <r>
      <rPr>
        <sz val="10"/>
        <rFont val="Calibri"/>
        <family val="2"/>
        <scheme val="minor"/>
      </rPr>
      <t xml:space="preserve">. </t>
    </r>
  </si>
  <si>
    <r>
      <t xml:space="preserve">Develop </t>
    </r>
    <r>
      <rPr>
        <b/>
        <sz val="10"/>
        <rFont val="Calibri"/>
        <family val="2"/>
        <scheme val="minor"/>
      </rPr>
      <t>operational concepts and scenarios</t>
    </r>
    <r>
      <rPr>
        <sz val="10"/>
        <rFont val="Calibri"/>
        <family val="2"/>
        <scheme val="minor"/>
      </rPr>
      <t xml:space="preserve">. </t>
    </r>
  </si>
  <si>
    <r>
      <rPr>
        <b/>
        <sz val="10"/>
        <rFont val="Calibri"/>
        <family val="2"/>
        <scheme val="minor"/>
      </rPr>
      <t>Allocate</t>
    </r>
    <r>
      <rPr>
        <sz val="10"/>
        <rFont val="Calibri"/>
        <family val="2"/>
        <scheme val="minor"/>
      </rPr>
      <t xml:space="preserve"> the requirements to be implemented. </t>
    </r>
  </si>
  <si>
    <r>
      <t xml:space="preserve">	Identify, develop, and keep updated </t>
    </r>
    <r>
      <rPr>
        <b/>
        <sz val="10"/>
        <rFont val="Calibri"/>
        <family val="2"/>
        <scheme val="minor"/>
      </rPr>
      <t>interface or connection</t>
    </r>
    <r>
      <rPr>
        <sz val="10"/>
        <rFont val="Calibri"/>
        <family val="2"/>
        <scheme val="minor"/>
      </rPr>
      <t xml:space="preserve"> requirements. </t>
    </r>
  </si>
  <si>
    <r>
      <t xml:space="preserve">Ensure that requirements are </t>
    </r>
    <r>
      <rPr>
        <b/>
        <sz val="10"/>
        <rFont val="Calibri"/>
        <family val="2"/>
        <scheme val="minor"/>
      </rPr>
      <t>necessary and sufficient</t>
    </r>
    <r>
      <rPr>
        <sz val="10"/>
        <rFont val="Calibri"/>
        <family val="2"/>
        <scheme val="minor"/>
      </rPr>
      <t>.</t>
    </r>
  </si>
  <si>
    <r>
      <rPr>
        <b/>
        <sz val="10"/>
        <rFont val="Calibri"/>
        <family val="2"/>
        <scheme val="minor"/>
      </rPr>
      <t>Balance</t>
    </r>
    <r>
      <rPr>
        <sz val="10"/>
        <rFont val="Calibri"/>
        <family val="2"/>
        <scheme val="minor"/>
      </rPr>
      <t xml:space="preserve"> stakeholder </t>
    </r>
    <r>
      <rPr>
        <b/>
        <sz val="10"/>
        <rFont val="Calibri"/>
        <family val="2"/>
        <scheme val="minor"/>
      </rPr>
      <t>needs and constraints</t>
    </r>
    <r>
      <rPr>
        <sz val="10"/>
        <rFont val="Calibri"/>
        <family val="2"/>
        <scheme val="minor"/>
      </rPr>
      <t xml:space="preserve"> </t>
    </r>
  </si>
  <si>
    <r>
      <rPr>
        <b/>
        <sz val="10"/>
        <rFont val="Calibri"/>
        <family val="2"/>
        <scheme val="minor"/>
      </rPr>
      <t>Validate</t>
    </r>
    <r>
      <rPr>
        <sz val="10"/>
        <rFont val="Calibri"/>
        <family val="2"/>
        <scheme val="minor"/>
      </rPr>
      <t xml:space="preserve"> requirements to ensure the resulting solution will perform as intended in the target environment. </t>
    </r>
  </si>
  <si>
    <t>list of requirements;
statement of work;
use cases;</t>
  </si>
  <si>
    <t>list of stakeholder needs, constraints, expectations;
list of interfaces or connections;</t>
  </si>
  <si>
    <t>prioritised customer requirements;
customer constraints;</t>
  </si>
  <si>
    <t>list of appropriate requirements providers;
criteria for evaluation and acceptance of requirements;
results of analyses against criteria;
- Recorded changes to requirements
- Set of approved requirements</t>
  </si>
  <si>
    <t>impact assessment;
recorded commitments that requirements can be met;</t>
  </si>
  <si>
    <t>records of bidirectional requirements traceability;</t>
  </si>
  <si>
    <t>records of inconsistencies between requirements, plans and work products;</t>
  </si>
  <si>
    <t>requirements;</t>
  </si>
  <si>
    <t>operational concepts and scenarios;</t>
  </si>
  <si>
    <t>requirement allocations;</t>
  </si>
  <si>
    <t>interface or connection requirements;
interface or connection requirements review results;
action items for updating interface or connection requirements;
- Updated interface or connection requirements</t>
  </si>
  <si>
    <t>requirements analysis results;</t>
  </si>
  <si>
    <t xml:space="preserve">analysis results;
proposed requirements changes;
</t>
  </si>
  <si>
    <t>selected validation techniques;
record of validation results;
updated requirements;</t>
  </si>
  <si>
    <t>record the requirements;</t>
  </si>
  <si>
    <t>demonstrations, interviews, questionnaires, scenarios, surveys, brainstorming, beta testing, use cases, business cases</t>
  </si>
  <si>
    <t>document customer requirements;
develop a prioritisation of customer requirements;</t>
  </si>
  <si>
    <t>develop criteria for identifying providers;
develop criteria for evaluation and acceptance of req.;
analyse req. to ensure criteria are met;
obtain commitments from providers and participants;
record changes;</t>
  </si>
  <si>
    <t>assess impact on existing commitments;
negotiate and record commitments;</t>
  </si>
  <si>
    <t>Develop, record, and maintain bidirectional traceability;</t>
  </si>
  <si>
    <t>review plans, activities for consistency with requirements;
record inconsistencies and sources;
initiate and record any corrective actions and communicate to stakeholders;</t>
  </si>
  <si>
    <t>develop, record, and update requirements in technical terms for solution selections and component design;
record bidirectional traceability;
review for impoact to architecture and design;
record prioritisation;
record nontechnical req.;
identify and record req. for external interfaces and connections;</t>
  </si>
  <si>
    <t>develop operational concepts and scenarios;
review and refine with stakeholders;</t>
  </si>
  <si>
    <t>allocate the requirements to be implemented;
record and update relationships;
review allocations and relationships;</t>
  </si>
  <si>
    <t xml:space="preserve">identify, record, update internal and external interface or connection requirements;
review for coverage and completeness with stakeholders;
</t>
  </si>
  <si>
    <t>perform a requirements analysis;
review results and update;</t>
  </si>
  <si>
    <t xml:space="preserve">analyse to ensure they balance;
review and negotiate trade-offs;
record and update changes with stakeholders;
</t>
  </si>
  <si>
    <t>identify and select validation techniques;
validate using techniques;
review and communicate results;
update requirements;</t>
  </si>
  <si>
    <t>- What requirements have you documented (or recorded)</t>
  </si>
  <si>
    <t>- (Explain) How do you elicit (extract) stakeholder needs, expectations, constraints, and interfaces (or connections)?</t>
  </si>
  <si>
    <t>- (Explain) How do you transform stakeholder needs, expectations, contains, and interfaces (or connections) into prioritized customer requirements?</t>
  </si>
  <si>
    <t>- (Explain) How do you developed and understanding with the requirements provider on the meaning of the requirements?</t>
  </si>
  <si>
    <t>- (Explain) How (or what) commitments do you obtain from project participants (developers, testers, etc) that they can implement the requirements?</t>
  </si>
  <si>
    <t>What bidirectional traceability do you develop and maintain among requirements, other work products or planned activities?</t>
  </si>
  <si>
    <t>How do you ensure that plans and activities (or work products to be delivered) are consistent with the requirements?</t>
  </si>
  <si>
    <t>How do you ensure that requirements are kept up to date for the solution (and its components)?</t>
  </si>
  <si>
    <t>- What operational concepts and scenarios do you develop for requirements?</t>
  </si>
  <si>
    <t>- How do you allocate requirements for implementation?</t>
  </si>
  <si>
    <t>- How do you identify, develop, and keep updated interfaces or connection requirements?</t>
  </si>
  <si>
    <t>- How do you ensure requirements are necessary and sufficient?</t>
  </si>
  <si>
    <t>- How do you balance stakeholder needs and constraints?</t>
  </si>
  <si>
    <t>- How do you validate requirements to ensure the resulting solution will perform as intended in the target environment?</t>
  </si>
  <si>
    <t>—(解释)您如何引出(获取)干系人的需求、期望、约束和接口(或连接)?</t>
  </si>
  <si>
    <t>—(解释)你如何将干系人的需求、期望、约束条件和接口(或连接)转换为优先级的客户需求?</t>
  </si>
  <si>
    <t>—(解释)你是如何开发需求并与需求提供者一起理解需求的含义的?</t>
  </si>
  <si>
    <t>—(解释)你如何(或什么)从项目参与者(开发人员、测试人员等)那里获得他们能够实现需求的承诺?</t>
  </si>
  <si>
    <t>在需求、其他工作产品或计划的活动中，您开发并维护什么样的双向追溯性?</t>
  </si>
  <si>
    <t>您如何确保计划和活动(或要交付的工作产品)与需求保持一致?</t>
  </si>
  <si>
    <t>您如何确保解决方案(及其组件)的需求是最新的?</t>
  </si>
  <si>
    <t>’—您针对需求开发了哪些操作概念和场景?</t>
  </si>
  <si>
    <t>—如何分配待实现的需求?</t>
  </si>
  <si>
    <t>—您如何识别、开发和更新接口或连接需求?</t>
  </si>
  <si>
    <t>—你如何确保需求是必要和充分的?</t>
  </si>
  <si>
    <t>——你如何平衡干系人的需求和约束条件?</t>
  </si>
  <si>
    <t>’—您如何验证需求，以确保最终解决方案在目标环境中能够按照预期的方式执行?</t>
  </si>
  <si>
    <t>PCM - PROCESS MANAGEMENT (PCM)</t>
  </si>
  <si>
    <t>use measurement and analysis to control/ stabilise/ predict/ identify and reduce variance; set QPPOs to meet Bos</t>
  </si>
  <si>
    <t xml:space="preserve">Develop a support structure to provide process guidance, identify and fix process problems, and continuously improve processes. </t>
  </si>
  <si>
    <t xml:space="preserve">Appraise the current process implementation and identify strengths and weaknesses. </t>
  </si>
  <si>
    <t>Address improvement opportunities or process issues.</t>
  </si>
  <si>
    <r>
      <rPr>
        <b/>
        <sz val="10"/>
        <rFont val="Calibri"/>
        <family val="2"/>
      </rPr>
      <t>Identify improvements</t>
    </r>
    <r>
      <rPr>
        <sz val="10"/>
        <rFont val="Calibri"/>
        <family val="2"/>
      </rPr>
      <t xml:space="preserve"> to the processes and process assets. </t>
    </r>
  </si>
  <si>
    <r>
      <rPr>
        <sz val="10"/>
        <rFont val="Calibri"/>
        <family val="2"/>
      </rPr>
      <t xml:space="preserve">Develop, keep updated, and follow </t>
    </r>
    <r>
      <rPr>
        <b/>
        <sz val="10"/>
        <rFont val="Calibri"/>
        <family val="2"/>
      </rPr>
      <t xml:space="preserve">plans for </t>
    </r>
    <r>
      <rPr>
        <sz val="10"/>
        <rFont val="Calibri"/>
        <family val="2"/>
      </rPr>
      <t xml:space="preserve">implementing </t>
    </r>
    <r>
      <rPr>
        <b/>
        <sz val="10"/>
        <rFont val="Calibri"/>
        <family val="2"/>
      </rPr>
      <t>selected process improvements</t>
    </r>
    <r>
      <rPr>
        <sz val="10"/>
        <rFont val="Calibri"/>
        <family val="2"/>
      </rPr>
      <t>.</t>
    </r>
  </si>
  <si>
    <r>
      <rPr>
        <sz val="10"/>
        <rFont val="Calibri"/>
        <family val="2"/>
      </rPr>
      <t xml:space="preserve">	Develop, keep updated, and use </t>
    </r>
    <r>
      <rPr>
        <b/>
        <sz val="10"/>
        <rFont val="Calibri"/>
        <family val="2"/>
      </rPr>
      <t>process improvement objectives</t>
    </r>
    <r>
      <rPr>
        <sz val="10"/>
        <rFont val="Calibri"/>
        <family val="2"/>
      </rPr>
      <t xml:space="preserve"> traceable to the business objectives.</t>
    </r>
  </si>
  <si>
    <r>
      <rPr>
        <sz val="10"/>
        <rFont val="Calibri"/>
        <family val="2"/>
      </rPr>
      <t xml:space="preserve">	</t>
    </r>
    <r>
      <rPr>
        <b/>
        <sz val="10"/>
        <rFont val="Calibri"/>
        <family val="2"/>
      </rPr>
      <t>Identify</t>
    </r>
    <r>
      <rPr>
        <sz val="10"/>
        <rFont val="Calibri"/>
        <family val="2"/>
      </rPr>
      <t xml:space="preserve"> processes that are the </t>
    </r>
    <r>
      <rPr>
        <b/>
        <sz val="10"/>
        <rFont val="Calibri"/>
        <family val="2"/>
      </rPr>
      <t>largest contributors</t>
    </r>
    <r>
      <rPr>
        <sz val="10"/>
        <rFont val="Calibri"/>
        <family val="2"/>
      </rPr>
      <t xml:space="preserve"> to meeting business objectives.</t>
    </r>
  </si>
  <si>
    <r>
      <rPr>
        <sz val="10"/>
        <rFont val="Calibri"/>
        <family val="2"/>
      </rPr>
      <t xml:space="preserve">Explore and evaluate potential new processes, </t>
    </r>
    <r>
      <rPr>
        <b/>
        <sz val="10"/>
        <rFont val="Calibri"/>
        <family val="2"/>
      </rPr>
      <t>techniques, methods, and tools</t>
    </r>
    <r>
      <rPr>
        <sz val="10"/>
        <rFont val="Calibri"/>
        <family val="2"/>
      </rPr>
      <t xml:space="preserve"> to </t>
    </r>
    <r>
      <rPr>
        <b/>
        <sz val="10"/>
        <rFont val="Calibri"/>
        <family val="2"/>
      </rPr>
      <t>identify improvement opportunities</t>
    </r>
    <r>
      <rPr>
        <sz val="10"/>
        <rFont val="Calibri"/>
        <family val="2"/>
      </rPr>
      <t xml:space="preserve">. </t>
    </r>
  </si>
  <si>
    <r>
      <rPr>
        <sz val="10"/>
        <rFont val="Calibri"/>
        <family val="2"/>
      </rPr>
      <t>Provide support for</t>
    </r>
    <r>
      <rPr>
        <b/>
        <sz val="10"/>
        <rFont val="Calibri"/>
        <family val="2"/>
      </rPr>
      <t xml:space="preserve"> implementing, deploying, and sustaining process improvements</t>
    </r>
    <r>
      <rPr>
        <sz val="10"/>
        <rFont val="Calibri"/>
        <family val="2"/>
      </rPr>
      <t xml:space="preserve">. </t>
    </r>
  </si>
  <si>
    <r>
      <rPr>
        <sz val="10"/>
        <rFont val="Calibri"/>
        <family val="2"/>
      </rPr>
      <t xml:space="preserve">	</t>
    </r>
    <r>
      <rPr>
        <b/>
        <sz val="10"/>
        <rFont val="Calibri"/>
        <family val="2"/>
      </rPr>
      <t>Deploy</t>
    </r>
    <r>
      <rPr>
        <sz val="10"/>
        <rFont val="Calibri"/>
        <family val="2"/>
      </rPr>
      <t xml:space="preserve"> organizational </t>
    </r>
    <r>
      <rPr>
        <b/>
        <sz val="10"/>
        <rFont val="Calibri"/>
        <family val="2"/>
      </rPr>
      <t>standard processes</t>
    </r>
    <r>
      <rPr>
        <sz val="10"/>
        <rFont val="Calibri"/>
        <family val="2"/>
      </rPr>
      <t xml:space="preserve"> and process assets. </t>
    </r>
  </si>
  <si>
    <r>
      <rPr>
        <b/>
        <sz val="10"/>
        <rFont val="Calibri"/>
        <family val="2"/>
      </rPr>
      <t>Evaluate the effectiveness</t>
    </r>
    <r>
      <rPr>
        <sz val="10"/>
        <rFont val="Calibri"/>
        <family val="2"/>
      </rPr>
      <t xml:space="preserve"> of deployed improvements in achieving process improvement objectives. </t>
    </r>
  </si>
  <si>
    <r>
      <rPr>
        <sz val="10"/>
        <rFont val="Calibri"/>
        <family val="2"/>
      </rPr>
      <t>Use statistical and other quantitative techniques to</t>
    </r>
    <r>
      <rPr>
        <b/>
        <sz val="10"/>
        <rFont val="Calibri"/>
        <family val="2"/>
      </rPr>
      <t xml:space="preserve"> validate selected performance improvements</t>
    </r>
    <r>
      <rPr>
        <sz val="10"/>
        <rFont val="Calibri"/>
        <family val="2"/>
      </rPr>
      <t xml:space="preserve"> against proposed improvement exceptions, business objectives, or quality and process performance objectives.</t>
    </r>
  </si>
  <si>
    <t>process support structure - EPG;</t>
  </si>
  <si>
    <t>appraisal plan and schedule;
appraisal findings;</t>
  </si>
  <si>
    <t>action items;</t>
  </si>
  <si>
    <t>proposed improvement list;
recorded selection criteria;
list of selected improvements for implementation;</t>
  </si>
  <si>
    <t>process improvement plan;
action plan;
developed process assets;
status report;
recorded results;</t>
  </si>
  <si>
    <t xml:space="preserve">process improvement objectives traced to business objectives;
</t>
  </si>
  <si>
    <t>description of relationships between bus. obj., processes and process objs.and value;</t>
  </si>
  <si>
    <t xml:space="preserve">potential improvement opportunities;
</t>
  </si>
  <si>
    <t>plan for deployment;
implementation records;</t>
  </si>
  <si>
    <t>list of whether improvements will be deployed;
deployment status report;</t>
  </si>
  <si>
    <t>process improvement evaluation report;</t>
  </si>
  <si>
    <t>validation plans;
validation reports (may include PPBs)</t>
  </si>
  <si>
    <t>identify and apply a structure for supporting process related activities;
assign responsibilities for co-ordinating process related activities;</t>
  </si>
  <si>
    <t>obtain sponsorship and support for appraisal from snr mgt;
define scope of appraisal;
select or define the criteria and method for appraisal;
plan and schedule;
perform appraisal;
record and communicate findings;</t>
  </si>
  <si>
    <t>assign relevant personnel to address improvement opportunities and issues;
identify and record action items;
address opportunities and issues and communicate results;</t>
  </si>
  <si>
    <t>identify issues and improvements;
group and analyse proposed improvements;
record and update criteria for selecting improvements;
select proposed improvements for implementation;
review selections with stakeholders;
record proposed improvements and communicate results;</t>
  </si>
  <si>
    <t>select performance improvements to deploy;
develop plan;
ensure deployment is announced, well co-ordinated and supported;
manage progress, review, update;
develop or update process assets;
pilot improvements;
deploy improvements;
analyse and communicate results; 
record improvements;</t>
  </si>
  <si>
    <t>identify and record improvement objectives;
review with stakeholders;
monitor and update improvement objectives;</t>
  </si>
  <si>
    <t>review current business model, objectives, and environment;
review potential internal or external business changes;
identify and record relationships between objectives and processes;  
estimate value of each process contribution;
record, update, communicate results;</t>
  </si>
  <si>
    <t>identify, research, and record improvements;
use established criteria to decide which docs and measures to include in PAL;
analyse and evaluate potential process improvement opportunities;
record, update and communicate results;</t>
  </si>
  <si>
    <t>identify mechanisms needed to support process implementation and deployment;
ensure that implementation and deployment activities are planned and co-ordinated;
align multiple improvement activities;
obtain snr mgt commitment for visible support of deployment;
provide a migration approach;
review deployment results with stakeholders;
provide records about success, issues, obstacles;</t>
  </si>
  <si>
    <t>ensure sufficient support for deployment;
identify projects for deployment;
co-ordinate deployment of improved processes;
deply org. set of standard processes and assets to projects;
monitor deployment;
review results of objective evaluation;
identify, record and trackimplementation issues;
review results with stakeholders;</t>
  </si>
  <si>
    <t>analyse current improvement results against business, process, and performance objectives;
record results and communicate to stakeholders;
initiate and track corrective actions;</t>
  </si>
  <si>
    <t>plan the validation;
review plans with stakeholders;
perform each validationaccording to plan;
use statistical or other quant. methods to analyse validation results;
review, record and communicate results of validation analysis;</t>
  </si>
  <si>
    <t>What process support structure (for example an EPG) do you have in place?</t>
  </si>
  <si>
    <t>What appraisals do you do on your current processes?
- What appraisals (CMMI, COBIT, ISO) have you done on your current processes?</t>
  </si>
  <si>
    <t>What process improvement are registered?
- How do you collect improvements submitted internally within the organisation?</t>
  </si>
  <si>
    <t>How do you identify improvements in processes and process assets?
- How do you select the proposed improvements?</t>
  </si>
  <si>
    <t>Explain how you link your process improvements to business objectives?</t>
  </si>
  <si>
    <t>How do you evaluate potential new improvements opportunities. 
Improvements include new processes, techniques, methods and tools?</t>
  </si>
  <si>
    <t>How do you evaluate the effectiveness of improvements towards achieving business objectives?
How do you evaluate the non-statistically measured improvements (small improvements)?</t>
  </si>
  <si>
    <t>- How do you make use of statistical and other quantitative techniques to validate selected performance improvements against proposed improvement exceptions, business objectives, or quality and process performance objectives?</t>
  </si>
  <si>
    <t>你是如何评估你目前的工作流程的?
-你对目前的流程做过哪些评估(CMMI, COBIT, ISO) ?</t>
  </si>
  <si>
    <t>记录了哪些流程改进?
-你如何收集组织内部提交的改进?</t>
  </si>
  <si>
    <t>针对过程和过程资产确定了哪些改进?
-你如何确定和选择建议的改进?</t>
  </si>
  <si>
    <t>遵循什么过程改进行动（计划）来实施已确定的改进?</t>
  </si>
  <si>
    <t>如何将过程改进与业务目标联系起来?</t>
  </si>
  <si>
    <t>您如何确定过程改进的优先级?</t>
  </si>
  <si>
    <t>你如何评估潜在的新的改进机会?改进包括对过程、技术、方法和工具的改进。</t>
  </si>
  <si>
    <t>为实现和部署新的过程改进提供了什么支持?</t>
  </si>
  <si>
    <t>如何部署组织的标准过程和过程资产?</t>
  </si>
  <si>
    <t>您如何评估（为实现业务目标而进行的）改进的有效性?
如何评估非统计度量的改进(小改进)?</t>
  </si>
  <si>
    <t>PAD - PROCESS ASSET DEVELOPMENT (PAD)</t>
  </si>
  <si>
    <t xml:space="preserve">Develop process assets to perform the work. </t>
  </si>
  <si>
    <r>
      <rPr>
        <sz val="10"/>
        <rFont val="Calibri"/>
        <family val="2"/>
      </rPr>
      <t xml:space="preserve">Determine </t>
    </r>
    <r>
      <rPr>
        <b/>
        <sz val="10"/>
        <rFont val="Calibri"/>
        <family val="2"/>
      </rPr>
      <t>what process assets will be needed</t>
    </r>
    <r>
      <rPr>
        <sz val="10"/>
        <rFont val="Calibri"/>
        <family val="2"/>
      </rPr>
      <t xml:space="preserve"> to perform the work.</t>
    </r>
  </si>
  <si>
    <r>
      <rPr>
        <sz val="10"/>
        <rFont val="Calibri"/>
        <family val="2"/>
      </rPr>
      <t xml:space="preserve">	</t>
    </r>
    <r>
      <rPr>
        <b/>
        <sz val="10"/>
        <rFont val="Calibri"/>
        <family val="2"/>
      </rPr>
      <t>Develop, buy, or reuse</t>
    </r>
    <r>
      <rPr>
        <sz val="10"/>
        <rFont val="Calibri"/>
        <family val="2"/>
      </rPr>
      <t xml:space="preserve"> process assets. </t>
    </r>
  </si>
  <si>
    <r>
      <rPr>
        <b/>
        <sz val="10"/>
        <rFont val="Calibri"/>
        <family val="2"/>
      </rPr>
      <t>Make</t>
    </r>
    <r>
      <rPr>
        <sz val="10"/>
        <rFont val="Calibri"/>
        <family val="2"/>
      </rPr>
      <t xml:space="preserve"> processes and assets </t>
    </r>
    <r>
      <rPr>
        <b/>
        <sz val="10"/>
        <rFont val="Calibri"/>
        <family val="2"/>
      </rPr>
      <t>available</t>
    </r>
    <r>
      <rPr>
        <sz val="10"/>
        <rFont val="Calibri"/>
        <family val="2"/>
      </rPr>
      <t xml:space="preserve">. </t>
    </r>
  </si>
  <si>
    <r>
      <rPr>
        <sz val="10"/>
        <rFont val="Calibri"/>
        <family val="2"/>
      </rPr>
      <t xml:space="preserve">Develop, keep updated, and follow a </t>
    </r>
    <r>
      <rPr>
        <b/>
        <sz val="10"/>
        <rFont val="Calibri"/>
        <family val="2"/>
      </rPr>
      <t>strategy for building and updating</t>
    </r>
    <r>
      <rPr>
        <sz val="10"/>
        <rFont val="Calibri"/>
        <family val="2"/>
      </rPr>
      <t xml:space="preserve"> process assets. </t>
    </r>
  </si>
  <si>
    <r>
      <rPr>
        <sz val="10"/>
        <rFont val="Calibri"/>
        <family val="2"/>
      </rPr>
      <t xml:space="preserve">Develop, record, and keep updated a </t>
    </r>
    <r>
      <rPr>
        <b/>
        <sz val="10"/>
        <rFont val="Calibri"/>
        <family val="2"/>
      </rPr>
      <t>process architecture</t>
    </r>
    <r>
      <rPr>
        <sz val="10"/>
        <rFont val="Calibri"/>
        <family val="2"/>
      </rPr>
      <t xml:space="preserve"> that describes the structure of the organization's processes and process assets.</t>
    </r>
  </si>
  <si>
    <r>
      <rPr>
        <sz val="10"/>
        <rFont val="Calibri"/>
        <family val="2"/>
      </rPr>
      <t xml:space="preserve">Develop, keep updated, and make </t>
    </r>
    <r>
      <rPr>
        <b/>
        <sz val="10"/>
        <rFont val="Calibri"/>
        <family val="2"/>
      </rPr>
      <t>processes and assets available</t>
    </r>
    <r>
      <rPr>
        <sz val="10"/>
        <rFont val="Calibri"/>
        <family val="2"/>
      </rPr>
      <t xml:space="preserve"> for use. </t>
    </r>
  </si>
  <si>
    <r>
      <rPr>
        <sz val="10"/>
        <rFont val="Calibri"/>
        <family val="2"/>
      </rPr>
      <t xml:space="preserve">Develop, keep updated, and use </t>
    </r>
    <r>
      <rPr>
        <b/>
        <sz val="10"/>
        <rFont val="Calibri"/>
        <family val="2"/>
      </rPr>
      <t>tailoring criteria</t>
    </r>
    <r>
      <rPr>
        <sz val="10"/>
        <rFont val="Calibri"/>
        <family val="2"/>
      </rPr>
      <t xml:space="preserve"> and </t>
    </r>
    <r>
      <rPr>
        <b/>
        <sz val="10"/>
        <rFont val="Calibri"/>
        <family val="2"/>
      </rPr>
      <t>guidelines</t>
    </r>
    <r>
      <rPr>
        <sz val="10"/>
        <rFont val="Calibri"/>
        <family val="2"/>
      </rPr>
      <t xml:space="preserve"> for the set of standard processes and assets.</t>
    </r>
  </si>
  <si>
    <r>
      <rPr>
        <sz val="10"/>
        <rFont val="Calibri"/>
        <family val="2"/>
      </rPr>
      <t xml:space="preserve">Develop, keep updated, and make the </t>
    </r>
    <r>
      <rPr>
        <b/>
        <sz val="10"/>
        <rFont val="Calibri"/>
        <family val="2"/>
      </rPr>
      <t>organization's process asset library available</t>
    </r>
    <r>
      <rPr>
        <sz val="10"/>
        <rFont val="Calibri"/>
        <family val="2"/>
      </rPr>
      <t xml:space="preserve"> for use. </t>
    </r>
  </si>
  <si>
    <r>
      <rPr>
        <sz val="10"/>
        <rFont val="Calibri"/>
        <family val="2"/>
      </rPr>
      <t xml:space="preserve">Develop, keep updated, and make </t>
    </r>
    <r>
      <rPr>
        <b/>
        <sz val="10"/>
        <rFont val="Calibri"/>
        <family val="2"/>
      </rPr>
      <t>work environment standards available</t>
    </r>
    <r>
      <rPr>
        <sz val="10"/>
        <rFont val="Calibri"/>
        <family val="2"/>
      </rPr>
      <t xml:space="preserve"> for use.</t>
    </r>
  </si>
  <si>
    <r>
      <rPr>
        <sz val="10"/>
        <rFont val="Calibri"/>
        <family val="2"/>
      </rPr>
      <t xml:space="preserve">Develop, keep updated, and make </t>
    </r>
    <r>
      <rPr>
        <b/>
        <sz val="10"/>
        <rFont val="Calibri"/>
        <family val="2"/>
      </rPr>
      <t>organizational measurement and analysis standards</t>
    </r>
    <r>
      <rPr>
        <sz val="10"/>
        <rFont val="Calibri"/>
        <family val="2"/>
      </rPr>
      <t xml:space="preserve"> available for use. </t>
    </r>
  </si>
  <si>
    <t>work instructions;
process descriptions;
templates;</t>
  </si>
  <si>
    <t xml:space="preserve">templates;
work instructions;
tools;
</t>
  </si>
  <si>
    <t>build, buy, re-use analysis results;
process assets;</t>
  </si>
  <si>
    <t>process assets;</t>
  </si>
  <si>
    <t>strategy for building and updating process assets;</t>
  </si>
  <si>
    <t>process requirements;
process architecture format;
process architecture;</t>
  </si>
  <si>
    <t>action plans;
status and results of action plans;
org. set of standard processes and assets;
new processes or assets;</t>
  </si>
  <si>
    <t xml:space="preserve">tailoring guidelines;
waivers or requests for process waivers;
</t>
  </si>
  <si>
    <t>design of org. PAL;
org. PAL;
process related work products in PAL;</t>
  </si>
  <si>
    <t>work env. standards;
waivers or requests for work env. waivers;</t>
  </si>
  <si>
    <t>org. measuremnt and analysis standards;
waivers or requests for measurement and analysis waivers;</t>
  </si>
  <si>
    <t>record work instructions;</t>
  </si>
  <si>
    <t>identify process assets needed (for the project);</t>
  </si>
  <si>
    <t>select which assets will be analysed for build, buy, re-use;
perform build, buy, re-use analysis;
record results;
build, buy or re-use the assets;</t>
  </si>
  <si>
    <t>make assets available for use (by projects);
communicate availability of assets for use;</t>
  </si>
  <si>
    <t>develop a strategy for building and updating process assets;</t>
  </si>
  <si>
    <t>identify process requirements;
identify process architecture objectives;
develop and record format;
develop, record, update process architecture;
review and update with stakeholders;
communicate and make available;</t>
  </si>
  <si>
    <t>verify that org. standard process set is aligned to strategic process needs and objectives;
assign responsibilities for acquiring, developing, maintaining processes;
review and decide if improvement recommendations should be incorporated;
record process action plans;
develop org. standards for processes and assets;
track progress and commitments;
establish process action teams;
build and record processesand assets;
perform reviews on standard processes and assets;
revise processes and assets;
make processes and assets available;</t>
  </si>
  <si>
    <t>specify selection criteria and procedures for tailoring;
specify standards for recording defined process;
specifu proceudres to submit and approve waivers from org std processes;
record, approve, communicate tailoring guidelines;
revise tailoring guidelines;</t>
  </si>
  <si>
    <t>design and implement the org. PAL;
specify criteria for including assets in PAL;
specify procedures for storing and retrieving assets;
make assets available;
periodically review usefulness of assets;
enter selected assets in library;</t>
  </si>
  <si>
    <t xml:space="preserve">evaluate commercially available work environment standards;
periodically analyse work env. to identify changes or resources that could improve;
prioritise potential improvements to work env.;
identify resources that could improve performance;
ensure projects have authority to organise or tailor work env.;
review work env. with project;
adopt, develop or tailor work env. Stds. To fill gaps;
</t>
  </si>
  <si>
    <t>specify org. standards for measurement and analysis;
specify tailoring guidelines for applying measurement standards;</t>
  </si>
  <si>
    <r>
      <rPr>
        <sz val="10"/>
        <rFont val="Calibri"/>
        <family val="2"/>
      </rPr>
      <t>- How do you determine or identify what process assets are</t>
    </r>
    <r>
      <rPr>
        <b/>
        <sz val="10"/>
        <rFont val="Calibri"/>
        <family val="2"/>
      </rPr>
      <t xml:space="preserve"> needed</t>
    </r>
    <r>
      <rPr>
        <sz val="10"/>
        <rFont val="Calibri"/>
        <family val="2"/>
      </rPr>
      <t xml:space="preserve">?
- </t>
    </r>
  </si>
  <si>
    <t>- Which process assets have been developed (or re-used) and which purchased?
Analysis?</t>
  </si>
  <si>
    <t>- (3.3) How are the process assets made available to the organisation?</t>
  </si>
  <si>
    <t>- Which process is defined for developing process assets?</t>
  </si>
  <si>
    <t>- What process architecture is in place describing the structure of the organization's processes?</t>
  </si>
  <si>
    <t>- (2.3) How are the process assets made available for use in the organisation?</t>
  </si>
  <si>
    <t>- How do you use tailoring guidelines for your standard process assets?
How do you update the tailoring guidelines?</t>
  </si>
  <si>
    <t>- What work environment standards have been established and maintained?</t>
  </si>
  <si>
    <t>- What organisational measurement and analysis standards are available for use?</t>
  </si>
  <si>
    <r>
      <t>—</t>
    </r>
    <r>
      <rPr>
        <sz val="10"/>
        <rFont val="宋体"/>
        <family val="3"/>
        <charset val="134"/>
      </rPr>
      <t>根据需要确定了哪些过程资产</t>
    </r>
    <r>
      <rPr>
        <sz val="10"/>
        <rFont val="Calibri"/>
        <family val="2"/>
      </rPr>
      <t xml:space="preserve">?
- </t>
    </r>
  </si>
  <si>
    <t>—哪些过程资产已经被开发(或重用)，哪些被购买?
有没有执行分析?</t>
  </si>
  <si>
    <t>组织如何使用过程资产?</t>
  </si>
  <si>
    <t>—为开发过程资产定义了哪个过程?</t>
  </si>
  <si>
    <t>—描述组织过程结构的过程体系结构是什么?</t>
  </si>
  <si>
    <t>—(2.3)如何使过程资产在组织中可用?</t>
  </si>
  <si>
    <t>—对于您的标准过程资产，您有什么裁剪指南?</t>
  </si>
  <si>
    <t>建立并保持了什么样的工作环境标准?</t>
  </si>
  <si>
    <t>有什么组织度量和分析标准可供使用?</t>
  </si>
  <si>
    <t>use stat. analysis to optimise performance and improvement to achieve the QPPO's, business objectives and strategy</t>
  </si>
  <si>
    <t xml:space="preserve">Collect measures and record performance. </t>
  </si>
  <si>
    <t xml:space="preserve">Identify and address performance issues. </t>
  </si>
  <si>
    <r>
      <rPr>
        <i/>
        <sz val="10"/>
        <rFont val="Calibri"/>
        <family val="2"/>
        <scheme val="minor"/>
      </rPr>
      <t>Derive and record</t>
    </r>
    <r>
      <rPr>
        <sz val="10"/>
        <rFont val="Calibri"/>
        <family val="2"/>
        <scheme val="minor"/>
      </rPr>
      <t xml:space="preserve"> </t>
    </r>
    <r>
      <rPr>
        <b/>
        <sz val="10"/>
        <rFont val="Calibri"/>
        <family val="2"/>
        <scheme val="minor"/>
      </rPr>
      <t>measurement and performance objectives</t>
    </r>
    <r>
      <rPr>
        <sz val="10"/>
        <rFont val="Calibri"/>
        <family val="2"/>
        <scheme val="minor"/>
      </rPr>
      <t xml:space="preserve"> (</t>
    </r>
    <r>
      <rPr>
        <b/>
        <sz val="10"/>
        <rFont val="Calibri"/>
        <family val="2"/>
        <scheme val="minor"/>
      </rPr>
      <t>MPOs) from selected business needs</t>
    </r>
    <r>
      <rPr>
        <sz val="10"/>
        <rFont val="Calibri"/>
        <family val="2"/>
        <scheme val="minor"/>
      </rPr>
      <t xml:space="preserve"> and objectives and keep them updated. </t>
    </r>
  </si>
  <si>
    <r>
      <rPr>
        <i/>
        <sz val="10"/>
        <rFont val="Calibri"/>
        <family val="2"/>
        <scheme val="minor"/>
      </rPr>
      <t>Develop, keep updated, and use</t>
    </r>
    <r>
      <rPr>
        <sz val="10"/>
        <rFont val="Calibri"/>
        <family val="2"/>
        <scheme val="minor"/>
      </rPr>
      <t xml:space="preserve"> </t>
    </r>
    <r>
      <rPr>
        <b/>
        <sz val="10"/>
        <rFont val="Calibri"/>
        <family val="2"/>
        <scheme val="minor"/>
      </rPr>
      <t>operational definitions for measures</t>
    </r>
    <r>
      <rPr>
        <sz val="10"/>
        <rFont val="Calibri"/>
        <family val="2"/>
        <scheme val="minor"/>
      </rPr>
      <t xml:space="preserve">. </t>
    </r>
  </si>
  <si>
    <r>
      <rPr>
        <i/>
        <sz val="10"/>
        <rFont val="Calibri"/>
        <family val="2"/>
        <scheme val="minor"/>
      </rPr>
      <t xml:space="preserve">Obtain specified </t>
    </r>
    <r>
      <rPr>
        <b/>
        <sz val="10"/>
        <rFont val="Calibri"/>
        <family val="2"/>
        <scheme val="minor"/>
      </rPr>
      <t>measurement data</t>
    </r>
    <r>
      <rPr>
        <sz val="10"/>
        <rFont val="Calibri"/>
        <family val="2"/>
        <scheme val="minor"/>
      </rPr>
      <t xml:space="preserve"> according to the operational definitions. </t>
    </r>
  </si>
  <si>
    <r>
      <rPr>
        <i/>
        <sz val="10"/>
        <rFont val="Calibri"/>
        <family val="2"/>
        <scheme val="minor"/>
      </rPr>
      <t>Analyze</t>
    </r>
    <r>
      <rPr>
        <sz val="10"/>
        <rFont val="Calibri"/>
        <family val="2"/>
        <scheme val="minor"/>
      </rPr>
      <t xml:space="preserve"> </t>
    </r>
    <r>
      <rPr>
        <b/>
        <sz val="10"/>
        <rFont val="Calibri"/>
        <family val="2"/>
        <scheme val="minor"/>
      </rPr>
      <t>performance and measurement data</t>
    </r>
    <r>
      <rPr>
        <sz val="10"/>
        <rFont val="Calibri"/>
        <family val="2"/>
        <scheme val="minor"/>
      </rPr>
      <t xml:space="preserve"> according to the operational definitions. </t>
    </r>
  </si>
  <si>
    <r>
      <rPr>
        <i/>
        <sz val="10"/>
        <rFont val="Calibri"/>
        <family val="2"/>
        <scheme val="minor"/>
      </rPr>
      <t>Store</t>
    </r>
    <r>
      <rPr>
        <sz val="10"/>
        <rFont val="Calibri"/>
        <family val="2"/>
        <scheme val="minor"/>
      </rPr>
      <t xml:space="preserve"> </t>
    </r>
    <r>
      <rPr>
        <b/>
        <sz val="10"/>
        <rFont val="Calibri"/>
        <family val="2"/>
        <scheme val="minor"/>
      </rPr>
      <t>measurement data</t>
    </r>
    <r>
      <rPr>
        <sz val="10"/>
        <rFont val="Calibri"/>
        <family val="2"/>
        <scheme val="minor"/>
      </rPr>
      <t xml:space="preserve">, measurement </t>
    </r>
    <r>
      <rPr>
        <b/>
        <sz val="10"/>
        <rFont val="Calibri"/>
        <family val="2"/>
        <scheme val="minor"/>
      </rPr>
      <t>specifications</t>
    </r>
    <r>
      <rPr>
        <sz val="10"/>
        <rFont val="Calibri"/>
        <family val="2"/>
        <scheme val="minor"/>
      </rPr>
      <t xml:space="preserve">, and </t>
    </r>
    <r>
      <rPr>
        <b/>
        <sz val="10"/>
        <rFont val="Calibri"/>
        <family val="2"/>
        <scheme val="minor"/>
      </rPr>
      <t>analysis results</t>
    </r>
    <r>
      <rPr>
        <sz val="10"/>
        <rFont val="Calibri"/>
        <family val="2"/>
        <scheme val="minor"/>
      </rPr>
      <t xml:space="preserve"> according to the operational definitions. </t>
    </r>
  </si>
  <si>
    <r>
      <rPr>
        <i/>
        <sz val="10"/>
        <rFont val="Calibri"/>
        <family val="2"/>
        <scheme val="minor"/>
      </rPr>
      <t xml:space="preserve">Take actions to address </t>
    </r>
    <r>
      <rPr>
        <b/>
        <sz val="10"/>
        <rFont val="Calibri"/>
        <family val="2"/>
        <scheme val="minor"/>
      </rPr>
      <t>identified issues</t>
    </r>
    <r>
      <rPr>
        <sz val="10"/>
        <rFont val="Calibri"/>
        <family val="2"/>
        <scheme val="minor"/>
      </rPr>
      <t xml:space="preserve"> with meeting measurement and performance objectives. </t>
    </r>
  </si>
  <si>
    <r>
      <rPr>
        <i/>
        <sz val="10"/>
        <rFont val="Calibri"/>
        <family val="2"/>
        <scheme val="minor"/>
      </rPr>
      <t>Develop, keep updated, and use</t>
    </r>
    <r>
      <rPr>
        <sz val="10"/>
        <rFont val="Calibri"/>
        <family val="2"/>
        <scheme val="minor"/>
      </rPr>
      <t xml:space="preserve"> </t>
    </r>
    <r>
      <rPr>
        <b/>
        <sz val="10"/>
        <rFont val="Calibri"/>
        <family val="2"/>
        <scheme val="minor"/>
      </rPr>
      <t>organizational measurement and performance objectives (OMPOs) traceable to business objectives (BOs)</t>
    </r>
    <r>
      <rPr>
        <sz val="10"/>
        <rFont val="Calibri"/>
        <family val="2"/>
        <scheme val="minor"/>
      </rPr>
      <t xml:space="preserve">. </t>
    </r>
  </si>
  <si>
    <r>
      <rPr>
        <i/>
        <sz val="10"/>
        <rFont val="Calibri"/>
        <family val="2"/>
        <scheme val="minor"/>
      </rPr>
      <t>Follow organizational processes</t>
    </r>
    <r>
      <rPr>
        <sz val="10"/>
        <rFont val="Calibri"/>
        <family val="2"/>
        <scheme val="minor"/>
      </rPr>
      <t xml:space="preserve"> </t>
    </r>
    <r>
      <rPr>
        <i/>
        <sz val="10"/>
        <rFont val="Calibri"/>
        <family val="2"/>
        <scheme val="minor"/>
      </rPr>
      <t>and standards</t>
    </r>
    <r>
      <rPr>
        <sz val="10"/>
        <rFont val="Calibri"/>
        <family val="2"/>
        <scheme val="minor"/>
      </rPr>
      <t xml:space="preserve"> to develop and use </t>
    </r>
    <r>
      <rPr>
        <b/>
        <sz val="10"/>
        <rFont val="Calibri"/>
        <family val="2"/>
        <scheme val="minor"/>
      </rPr>
      <t>operational definitions for measures</t>
    </r>
    <r>
      <rPr>
        <sz val="10"/>
        <rFont val="Calibri"/>
        <family val="2"/>
        <scheme val="minor"/>
      </rPr>
      <t xml:space="preserve"> and keep them updated. </t>
    </r>
  </si>
  <si>
    <r>
      <t xml:space="preserve">	</t>
    </r>
    <r>
      <rPr>
        <i/>
        <sz val="10"/>
        <rFont val="Calibri"/>
        <family val="2"/>
        <scheme val="minor"/>
      </rPr>
      <t>Develop, keep updated, and follow a</t>
    </r>
    <r>
      <rPr>
        <sz val="10"/>
        <rFont val="Calibri"/>
        <family val="2"/>
        <scheme val="minor"/>
      </rPr>
      <t xml:space="preserve"> </t>
    </r>
    <r>
      <rPr>
        <b/>
        <sz val="10"/>
        <rFont val="Calibri"/>
        <family val="2"/>
        <scheme val="minor"/>
      </rPr>
      <t>data quality process</t>
    </r>
    <r>
      <rPr>
        <sz val="10"/>
        <rFont val="Calibri"/>
        <family val="2"/>
        <scheme val="minor"/>
      </rPr>
      <t xml:space="preserve">. </t>
    </r>
  </si>
  <si>
    <r>
      <rPr>
        <i/>
        <sz val="10"/>
        <rFont val="Calibri"/>
        <family val="2"/>
        <scheme val="minor"/>
      </rPr>
      <t xml:space="preserve">Develop, keep updated, and use the </t>
    </r>
    <r>
      <rPr>
        <b/>
        <sz val="10"/>
        <rFont val="Calibri"/>
        <family val="2"/>
        <scheme val="minor"/>
      </rPr>
      <t>organization's measurement repository</t>
    </r>
    <r>
      <rPr>
        <sz val="10"/>
        <rFont val="Calibri"/>
        <family val="2"/>
        <scheme val="minor"/>
      </rPr>
      <t xml:space="preserve">. </t>
    </r>
  </si>
  <si>
    <r>
      <rPr>
        <i/>
        <sz val="10"/>
        <rFont val="Calibri"/>
        <family val="2"/>
        <scheme val="minor"/>
      </rPr>
      <t>Analyze organizational performance</t>
    </r>
    <r>
      <rPr>
        <sz val="10"/>
        <rFont val="Calibri"/>
        <family val="2"/>
        <scheme val="minor"/>
      </rPr>
      <t xml:space="preserve"> using measurement and performance data to determine </t>
    </r>
    <r>
      <rPr>
        <b/>
        <sz val="10"/>
        <rFont val="Calibri"/>
        <family val="2"/>
        <scheme val="minor"/>
      </rPr>
      <t>performance improvement needs</t>
    </r>
    <r>
      <rPr>
        <sz val="10"/>
        <rFont val="Calibri"/>
        <family val="2"/>
        <scheme val="minor"/>
      </rPr>
      <t xml:space="preserve">. </t>
    </r>
  </si>
  <si>
    <r>
      <rPr>
        <i/>
        <sz val="10"/>
        <rFont val="Calibri"/>
        <family val="2"/>
        <scheme val="minor"/>
      </rPr>
      <t>Periodically communicate</t>
    </r>
    <r>
      <rPr>
        <sz val="10"/>
        <rFont val="Calibri"/>
        <family val="2"/>
        <scheme val="minor"/>
      </rPr>
      <t xml:space="preserve"> </t>
    </r>
    <r>
      <rPr>
        <b/>
        <sz val="10"/>
        <rFont val="Calibri"/>
        <family val="2"/>
        <scheme val="minor"/>
      </rPr>
      <t xml:space="preserve">performance results </t>
    </r>
    <r>
      <rPr>
        <sz val="10"/>
        <rFont val="Calibri"/>
        <family val="2"/>
        <scheme val="minor"/>
      </rPr>
      <t xml:space="preserve">to the organization.  </t>
    </r>
  </si>
  <si>
    <r>
      <t xml:space="preserve">Use statistical and other quantitative techniques </t>
    </r>
    <r>
      <rPr>
        <i/>
        <sz val="10"/>
        <rFont val="Calibri"/>
        <family val="2"/>
        <scheme val="minor"/>
      </rPr>
      <t>to</t>
    </r>
    <r>
      <rPr>
        <sz val="10"/>
        <rFont val="Calibri"/>
        <family val="2"/>
        <scheme val="minor"/>
      </rPr>
      <t xml:space="preserve"> </t>
    </r>
    <r>
      <rPr>
        <i/>
        <sz val="10"/>
        <rFont val="Calibri"/>
        <family val="2"/>
        <scheme val="minor"/>
      </rPr>
      <t>develop, keep updated, and communicate</t>
    </r>
    <r>
      <rPr>
        <sz val="10"/>
        <rFont val="Calibri"/>
        <family val="2"/>
        <scheme val="minor"/>
      </rPr>
      <t xml:space="preserve"> </t>
    </r>
    <r>
      <rPr>
        <b/>
        <sz val="10"/>
        <rFont val="Calibri"/>
        <family val="2"/>
        <scheme val="minor"/>
      </rPr>
      <t>quality and process performance objectives (QPPOs) that are traceable to business objectives (BOs)</t>
    </r>
    <r>
      <rPr>
        <sz val="10"/>
        <rFont val="Calibri"/>
        <family val="2"/>
        <scheme val="minor"/>
      </rPr>
      <t xml:space="preserve">. </t>
    </r>
  </si>
  <si>
    <r>
      <rPr>
        <i/>
        <sz val="10"/>
        <rFont val="Calibri"/>
        <family val="2"/>
        <scheme val="minor"/>
      </rPr>
      <t xml:space="preserve">Select </t>
    </r>
    <r>
      <rPr>
        <b/>
        <sz val="10"/>
        <rFont val="Calibri"/>
        <family val="2"/>
        <scheme val="minor"/>
      </rPr>
      <t>measures and analytical techniques</t>
    </r>
    <r>
      <rPr>
        <sz val="10"/>
        <rFont val="Calibri"/>
        <family val="2"/>
        <scheme val="minor"/>
      </rPr>
      <t xml:space="preserve"> to quantitatively manage performance to achieve quality and process performance objectives (QPPOs). </t>
    </r>
  </si>
  <si>
    <r>
      <t>Use statistical and other quantitative techniques</t>
    </r>
    <r>
      <rPr>
        <i/>
        <sz val="10"/>
        <rFont val="Calibri"/>
        <family val="2"/>
        <scheme val="minor"/>
      </rPr>
      <t xml:space="preserve"> to develop and analyze</t>
    </r>
    <r>
      <rPr>
        <b/>
        <sz val="10"/>
        <rFont val="Calibri"/>
        <family val="2"/>
        <scheme val="minor"/>
      </rPr>
      <t xml:space="preserve"> process performance baselines</t>
    </r>
    <r>
      <rPr>
        <sz val="10"/>
        <rFont val="Calibri"/>
        <family val="2"/>
        <scheme val="minor"/>
      </rPr>
      <t xml:space="preserve"> </t>
    </r>
    <r>
      <rPr>
        <b/>
        <sz val="10"/>
        <rFont val="Calibri"/>
        <family val="2"/>
        <scheme val="minor"/>
      </rPr>
      <t>(PPBs)</t>
    </r>
    <r>
      <rPr>
        <sz val="10"/>
        <rFont val="Calibri"/>
        <family val="2"/>
        <scheme val="minor"/>
      </rPr>
      <t xml:space="preserve"> and keep them updated. </t>
    </r>
  </si>
  <si>
    <r>
      <t xml:space="preserve">	Use statistical and other quantitative techniques </t>
    </r>
    <r>
      <rPr>
        <i/>
        <sz val="10"/>
        <rFont val="Calibri"/>
        <family val="2"/>
        <scheme val="minor"/>
      </rPr>
      <t>to develop and analyze</t>
    </r>
    <r>
      <rPr>
        <sz val="10"/>
        <rFont val="Calibri"/>
        <family val="2"/>
        <scheme val="minor"/>
      </rPr>
      <t xml:space="preserve"> </t>
    </r>
    <r>
      <rPr>
        <b/>
        <sz val="10"/>
        <rFont val="Calibri"/>
        <family val="2"/>
        <scheme val="minor"/>
      </rPr>
      <t xml:space="preserve">process performance models (PPMs) </t>
    </r>
    <r>
      <rPr>
        <sz val="10"/>
        <rFont val="Calibri"/>
        <family val="2"/>
        <scheme val="minor"/>
      </rPr>
      <t xml:space="preserve">and keep them updated. </t>
    </r>
  </si>
  <si>
    <r>
      <t xml:space="preserve">	Use statistical and other quantitative techniques</t>
    </r>
    <r>
      <rPr>
        <i/>
        <sz val="10"/>
        <rFont val="Calibri"/>
        <family val="2"/>
        <scheme val="minor"/>
      </rPr>
      <t xml:space="preserve"> to determine or predict </t>
    </r>
    <r>
      <rPr>
        <b/>
        <sz val="10"/>
        <rFont val="Calibri"/>
        <family val="2"/>
        <scheme val="minor"/>
      </rPr>
      <t>achievement of quality and process performance objectives (QPPOs)</t>
    </r>
    <r>
      <rPr>
        <sz val="10"/>
        <rFont val="Calibri"/>
        <family val="2"/>
        <scheme val="minor"/>
      </rPr>
      <t>.</t>
    </r>
  </si>
  <si>
    <r>
      <t>Use statistical and other quantitative techniques</t>
    </r>
    <r>
      <rPr>
        <i/>
        <sz val="10"/>
        <rFont val="Calibri"/>
        <family val="2"/>
        <scheme val="minor"/>
      </rPr>
      <t xml:space="preserve"> to ensure that</t>
    </r>
    <r>
      <rPr>
        <sz val="10"/>
        <rFont val="Calibri"/>
        <family val="2"/>
        <scheme val="minor"/>
      </rPr>
      <t xml:space="preserve"> </t>
    </r>
    <r>
      <rPr>
        <b/>
        <sz val="10"/>
        <rFont val="Calibri"/>
        <family val="2"/>
        <scheme val="minor"/>
      </rPr>
      <t xml:space="preserve">business objectives (BOs) </t>
    </r>
    <r>
      <rPr>
        <i/>
        <sz val="10"/>
        <rFont val="Calibri"/>
        <family val="2"/>
        <scheme val="minor"/>
      </rPr>
      <t xml:space="preserve">are aligned with </t>
    </r>
    <r>
      <rPr>
        <b/>
        <sz val="10"/>
        <rFont val="Calibri"/>
        <family val="2"/>
        <scheme val="minor"/>
      </rPr>
      <t>business strategy (BS) and performance</t>
    </r>
    <r>
      <rPr>
        <sz val="10"/>
        <rFont val="Calibri"/>
        <family val="2"/>
        <scheme val="minor"/>
      </rPr>
      <t xml:space="preserve">. </t>
    </r>
  </si>
  <si>
    <r>
      <rPr>
        <i/>
        <sz val="10"/>
        <rFont val="Calibri"/>
        <family val="2"/>
        <scheme val="minor"/>
      </rPr>
      <t>Analyze performance data</t>
    </r>
    <r>
      <rPr>
        <sz val="10"/>
        <rFont val="Calibri"/>
        <family val="2"/>
        <scheme val="minor"/>
      </rPr>
      <t xml:space="preserve"> using statistical and other quantitative techniques </t>
    </r>
    <r>
      <rPr>
        <i/>
        <sz val="10"/>
        <rFont val="Calibri"/>
        <family val="2"/>
        <scheme val="minor"/>
      </rPr>
      <t>to determine the organization's ability to satisfy</t>
    </r>
    <r>
      <rPr>
        <b/>
        <sz val="10"/>
        <rFont val="Calibri"/>
        <family val="2"/>
        <scheme val="minor"/>
      </rPr>
      <t xml:space="preserve"> selected business objectives </t>
    </r>
    <r>
      <rPr>
        <i/>
        <sz val="10"/>
        <rFont val="Calibri"/>
        <family val="2"/>
        <scheme val="minor"/>
      </rPr>
      <t xml:space="preserve">and identify </t>
    </r>
    <r>
      <rPr>
        <b/>
        <sz val="10"/>
        <rFont val="Calibri"/>
        <family val="2"/>
        <scheme val="minor"/>
      </rPr>
      <t>potential areas for performance improvement</t>
    </r>
    <r>
      <rPr>
        <sz val="10"/>
        <rFont val="Calibri"/>
        <family val="2"/>
        <scheme val="minor"/>
      </rPr>
      <t xml:space="preserve">. </t>
    </r>
  </si>
  <si>
    <r>
      <rPr>
        <i/>
        <sz val="10"/>
        <rFont val="Calibri"/>
        <family val="2"/>
        <scheme val="minor"/>
      </rPr>
      <t>Select and implement</t>
    </r>
    <r>
      <rPr>
        <b/>
        <sz val="10"/>
        <rFont val="Calibri"/>
        <family val="2"/>
        <scheme val="minor"/>
      </rPr>
      <t xml:space="preserve"> improvement proposals</t>
    </r>
    <r>
      <rPr>
        <sz val="10"/>
        <rFont val="Calibri"/>
        <family val="2"/>
        <scheme val="minor"/>
      </rPr>
      <t xml:space="preserve">, based on the statistical and quantitative analysis of the </t>
    </r>
    <r>
      <rPr>
        <b/>
        <sz val="10"/>
        <rFont val="Calibri"/>
        <family val="2"/>
        <scheme val="minor"/>
      </rPr>
      <t>expected effect of proposed improvements on meeting business, quality and process performance objectives</t>
    </r>
    <r>
      <rPr>
        <sz val="10"/>
        <rFont val="Calibri"/>
        <family val="2"/>
        <scheme val="minor"/>
      </rPr>
      <t xml:space="preserve">. </t>
    </r>
  </si>
  <si>
    <t>measures;
performance analysis results;</t>
  </si>
  <si>
    <t>list of performance issues;
list of suggestions;</t>
  </si>
  <si>
    <t>measurement and performance objectives;</t>
  </si>
  <si>
    <t>operational definitions of measures;
analysis methods and tools;
data collection mechanisms;</t>
  </si>
  <si>
    <t>base and derived measurement data;
results of data integrity checks;</t>
  </si>
  <si>
    <t>performance data analysis results;
updated operational definitions;</t>
  </si>
  <si>
    <t>stored data</t>
  </si>
  <si>
    <t>revised objectives, plans, commitments;
records of performance evaluations;
records of significant deviations; 
proposed improvements</t>
  </si>
  <si>
    <t>business objectives traced to measurement and performance objectives;
allocation of measurement and performance objectives;</t>
  </si>
  <si>
    <t>operational definitions following org. stds.;</t>
  </si>
  <si>
    <t>data quality criteria;
meas. rep. data quality report;
data quality issues;
improvement proposals;</t>
  </si>
  <si>
    <t>measurement repository design;
measurement repository;
measurement data;</t>
  </si>
  <si>
    <t xml:space="preserve">aggregated performance results;
performance analysis results;
performance improvement needs;
performance improvement suggestions;
</t>
  </si>
  <si>
    <t>performance improvement and analysis reports;
dashboards, monitors, intranet sites;</t>
  </si>
  <si>
    <t>defined QPPOs traced to business objectives;
risks of not achieving QPPO's;</t>
  </si>
  <si>
    <t>list of selected measures;
repository of analytical and stat. techniques;
environment to support collection and analysis;
results of analyses;
traceability to objectives;</t>
  </si>
  <si>
    <t>results of analysis of process performance data;
process performance baselines;</t>
  </si>
  <si>
    <t>process performance models;
validation results;
calibration results;</t>
  </si>
  <si>
    <t>results of analysis, validation and calibration (control charts, regression analysis);
prediction of results to be achieved;
recorded risks of no achievement;
list of actions to address deficiencies in process stability or capability;</t>
  </si>
  <si>
    <t>results of analysis of current performance against QPPOs, BOs, BS;
revised BOs and BS;
revised QPPOs;
revised measures;</t>
  </si>
  <si>
    <t>performance analysis results;
list of performance shortfalls;
list of potential improvement proposals;</t>
  </si>
  <si>
    <t>analysis of potential impacts of proposals;
piloting report;
cost benefit analysis;
list of potential barriers and risks;
recorded validation methods;
list of submitted proposals for implementation;</t>
  </si>
  <si>
    <t>identify available measures and collection methods;
collect and record measures;</t>
  </si>
  <si>
    <t>collect measurements and derive performance data;
review performance;
identify issues;
understand causes;
make suggestions;
address issues;</t>
  </si>
  <si>
    <t>identify current or planned perf. objectives;
record and prioritise business needs and objectives;
review and keep updated measurement and perf. obj.;
review bus.needs and obj. against performance needs;</t>
  </si>
  <si>
    <t>identify existing measures;
select measures;
establish operational definitions;
specify collection and storage;
select data analysis methods and tools;
review with stakeholders;</t>
  </si>
  <si>
    <t>collect data for specified base measures;
calculate derived measures;
check data integrity close to source;</t>
  </si>
  <si>
    <t>perform analyses, interpret results, draw conclusions;
record analysis results and significant deviations;
review results;
refine measurements and analysis techniques;</t>
  </si>
  <si>
    <t>review data to ensure quality;
store data;
make available for use;
control access to data;</t>
  </si>
  <si>
    <t>record and implement corrective actions;
record and submit proposed improvements;
communicate results</t>
  </si>
  <si>
    <t>develop, review, analyse business objectives;
develop, record, use OMPOs;
analyse performance of projects;
allocate objectives to projects;
trace OMPOs to BOs;
review and update allocations;</t>
  </si>
  <si>
    <t>record, communicate, and use org. std. operational definitions;
revise as needed;</t>
  </si>
  <si>
    <t>develop criteria for data quality, accuracy, precision and validity;
check whether criteria are met;
identify and communicate data quality issues;
identify and communicate data improvement proposals;</t>
  </si>
  <si>
    <t>determine org. needs for storing, retrieving and analysing;
design and implement the measurement repository;
populate contents, communicate availability;
revise as needed;</t>
  </si>
  <si>
    <t>aggregate performance data to the business level;
analyse OMPOs against current performance;
identify shortfalls and pot. improvement areas where not meeting BOs;
record performance improvement needs;
analyse cost / benefit;
communicate results;
submit perf. improvement suggestions;</t>
  </si>
  <si>
    <t>develop and record performance improvement reports;
communicate performance improvement results;</t>
  </si>
  <si>
    <t>define, record, update, communicate, QPPO's;
derive interim objectives to monitor progress;
determine and record risks of not achieving;
resolve conflicts between objectives;</t>
  </si>
  <si>
    <t>identify common measures;
identify additional measures;
select measures to manage processes;
specify operational definitions of new measures;
identify stat. and quant. techniques;
analyse relationship of measures to QPPO's;
develop environment to support collection and analysis of measures;
record, update and use measures and stat. techniques;</t>
  </si>
  <si>
    <t>analyse the measures for central tendency and normal variation;
record, update and use process performance baselines;
review with stakeholders;
make available and communicate to org.;
revise as needed;</t>
  </si>
  <si>
    <t>establish process performance models;
validate the PPM;
calibrate PPM based on results;
review with stakeholders;
make available and communicate to org.;
support the use of PPMs;
revise as needed;</t>
  </si>
  <si>
    <t xml:space="preserve">analyse the variation and stability of selected processes;
address deficiencies and signals;
implement actions needed to address deficiencies;
use validated PPMs to assess progress toward QPPOs;
identify and manage risks;
record and communicate results, decisions, and actions;
</t>
  </si>
  <si>
    <t>evaluate and update business objectives to align with business strategies;
compare business objectives (BOs) with PP predictions to ensure achievability;
prioritise BOs based on criteria;
maintain QPPOs to address changes in Bos;
revise measures to align with QPPOs;
communicate changes to BS, BOs, QPPOs to stakeholders;</t>
  </si>
  <si>
    <t>compare QPPOs to current PPBs and PPMs to evaluate and predict org ability to satisfy BOs;
identify shortfalls;
identify potential improvement areas;
communicate results and list improvement proposals;</t>
  </si>
  <si>
    <t>use PPMs to predict process performance based on proposed improvements;
run pilots;
run tests for stat significance of modelled or piloted results;
analyse cost / benefit of proposed improvements;
identify potential barries and risks;
record evaluation results;
determine and record validation method;
implement selected proposals;
validate implemented proposals;
deploy throughout;</t>
  </si>
  <si>
    <t>What performance measures do you collect?</t>
  </si>
  <si>
    <t>How do you identify performance issues?</t>
  </si>
  <si>
    <t>How do you derive measurement objectives from your business needs?
How and how often are they updated?</t>
  </si>
  <si>
    <t>Do you have op defns?
What operational definitions of measures do you have (who to collect, what to collect, when to collect)?
How and how often are they updated?</t>
  </si>
  <si>
    <t>Do you … ?
How do you collect measurement data?
Who collects …?</t>
  </si>
  <si>
    <t>Do you … ?
How do you analyse the performance and measurement data?</t>
  </si>
  <si>
    <t>Do you … ?
'How / where do you store the measurement data and analysis results?</t>
  </si>
  <si>
    <t>Do you … ?
What actions to you take on issues identified from performance reports?</t>
  </si>
  <si>
    <t>How are measurement objectives traced to business objectives?
Developed and maintained?</t>
  </si>
  <si>
    <t>*Please explain how your measurement process functions?
*How did you develop your set of measures and how do you update and improve them?</t>
  </si>
  <si>
    <t>How do you ensure data quality for measurements?
What data quality checks do you do?</t>
  </si>
  <si>
    <t>Do you have a measurement repository? 
Describe it - how is it set-up?</t>
  </si>
  <si>
    <t xml:space="preserve">How do you analyse organization performance?
What measurement reports are used?
How do you determine performance improvement needs?
</t>
  </si>
  <si>
    <t>How do you communicate performance results within the organisation?</t>
  </si>
  <si>
    <t>*How do you use statistical and other quantile techniques to develop, keep updated, and communicate quality and process performance objectives? 
*How do you set Quantitative Process Performance Objectives (QPPOs), what methods do you use?
*How are the QPPO's kept traceable to your business objectives?</t>
  </si>
  <si>
    <t>*How do you select measures and analytical techniques to quantitively manage performance to achieve quality and process performance objectives?
*How do you stay up to date with methods / research / approaches?
*Which techniques do you use?
*Do you use six sigma?</t>
  </si>
  <si>
    <t>*How do you make use of statistical and other quantitative techniques to develop and analyse process performance baselines and keep them updated.
*What process performance baselines (PPBs) from which methods exist?
*How do you develop the baselines?
*How often updated?</t>
  </si>
  <si>
    <t>*How do you make use of statistical and other quantitative techniques to develop and analyse process performance models and keep them updated.
*What process performance models (PPMs) exist developed from which methods?
*How do you develop the models?</t>
  </si>
  <si>
    <t>*How do you make use of statistical and other quantitative techniques to determine or predict achievement of quality and process performance objectives.
*How do you predict the achievement of the QPPOs? (eg. Monte Carlo simualtion)</t>
  </si>
  <si>
    <t>*How do you make use of statistical and other quantitative techniques to ensure that business objectives are aligned with business strategy and performance?
*Explain how the business objectives (through the QPPOs) are aligned to the business strategy - who is involved, where do you start, what is the process?
* Explain how the business objectives are used to check / support the achievement of business strategy and performance?</t>
  </si>
  <si>
    <t>How do you analyse performance data using statistical and other quantitative techniques to determine the organization's ability to satisfy selected business objectives and identify potential areas for performance improvement.</t>
  </si>
  <si>
    <t>How do you select and implement improvement proposals, based on the statistical and quantitative analysis of the expected effect of proposed improvements on meeting business, quality, and process performance objectives.</t>
  </si>
  <si>
    <t>Do you … ?
What performance measures do you collect?您收集了哪些性能指标?</t>
  </si>
  <si>
    <t>您如何从您的业务需求中获得度量目标?
它们如何更新，多长时间更新一次?</t>
  </si>
  <si>
    <t>您对度量有什么操作性定义(谁收集谁收集什么、何时收集)?
它们如何更新，多长时间更新一次?</t>
  </si>
  <si>
    <t>如何收集度量数据?</t>
  </si>
  <si>
    <t>你如何分析绩效和度量数据?</t>
  </si>
  <si>
    <t>如何/在哪里存储度量数据和分析结果?”</t>
  </si>
  <si>
    <t>对于从性能报告中发现的问题，你会采取什么行动?</t>
  </si>
  <si>
    <t>如何将度量目标跟踪到业务目标?
开发和维护?</t>
  </si>
  <si>
    <t>请解释您的度量过程是如何运作的?
*你是如何制定你的度量标准的?你是如何更新和改进它们的?</t>
  </si>
  <si>
    <t>如何确保度量的数据质量?
你做什么数据质量检查?</t>
  </si>
  <si>
    <t>您有度量存储库吗?
描述一下，它是如何建立的?</t>
  </si>
  <si>
    <t xml:space="preserve">你如何分析组织性能?
使用什么度量报告?
您如何确定性能改进需求?
</t>
  </si>
  <si>
    <t>你如何在组织内部传达性能结果?</t>
  </si>
  <si>
    <t>RSK - RISK AND OPPORTUNITY MANAGEMENT (RSK)</t>
  </si>
  <si>
    <t>Identify and record risks or opportunities and keep them updated.</t>
  </si>
  <si>
    <t xml:space="preserve">Analyze identified risks or opportunities. </t>
  </si>
  <si>
    <t xml:space="preserve">Monitor identified risks or opportunities and communicate status to affected stakeholders. </t>
  </si>
  <si>
    <t xml:space="preserve">		Identify and use risk or opportunity categories. </t>
  </si>
  <si>
    <t xml:space="preserve">Define and use parameters for risk or opportunity analysis and handling. </t>
  </si>
  <si>
    <t xml:space="preserve">Develop and keep updated a risk or opportunity management strategy. </t>
  </si>
  <si>
    <t xml:space="preserve">Develop and keep updated risk or opportunity management plans. </t>
  </si>
  <si>
    <t xml:space="preserve">	Manage risks or opportunities by implementing planned risk or opportunity management activities. </t>
  </si>
  <si>
    <t>list of identified risks and opportunities;</t>
  </si>
  <si>
    <t>identified risks or opportunities;
risk or opportunity priorities;
risk and opportunity analysis report;</t>
  </si>
  <si>
    <t>records of risk or opportunity monitoring;
updated risks or opportunities;</t>
  </si>
  <si>
    <t>categories list;
categorised risks or opportunities;</t>
  </si>
  <si>
    <t>risk or opportunity evaluation, categorisation, and prioritisation parameters;
list of risks or opportunities and their assigned priority;
risk or opportunity assessment results;</t>
  </si>
  <si>
    <t>risk or opportunity management strategy;</t>
  </si>
  <si>
    <t>risk management plans;
opportunity leveraging plans;
updated plans and status;</t>
  </si>
  <si>
    <t>updated status;</t>
  </si>
  <si>
    <t>identify the risks associated with the work;
record the risks;
identify opportunities;
identify affected stakeholders;</t>
  </si>
  <si>
    <t>analyse the identified risks;
analyse identified opportunities;
review wbs, plan and schedule;
identify impact for each;
identify probability for each;
assign priorities to each;
identify cost benefit for opportunities;
review with stakeholders;
develop risk and opportunity report;</t>
  </si>
  <si>
    <t>periodically review risks and opportunities;
update with additional information;
communicate status to stakeholders;</t>
  </si>
  <si>
    <t>identify risk or opportunity categories;
organise risks and opportunities according to categories;</t>
  </si>
  <si>
    <t>identify relative priority for each based on parameters;
define thresholds;
prepare and perform assessments;</t>
  </si>
  <si>
    <t>develop record and keep updated a risk or opportunity management strategy;
review strategy with stakeholders;</t>
  </si>
  <si>
    <t>develop mitigation plans and contingency plans for risks;
develop leverage plans for opportunities;
review plans with stakeholders;</t>
  </si>
  <si>
    <t>manage risks or opportunities using management plans;</t>
  </si>
  <si>
    <t>- How do you identify and record risks or opportunities and keep them updated?</t>
  </si>
  <si>
    <t>- Explain how / what do you analyse the identified risks or opportunities?</t>
  </si>
  <si>
    <t>- How do you monitor identified risks or opportunities and communicate this status to affected stakeholders?</t>
  </si>
  <si>
    <t>- Explain how you make use of risk or opportunity categories?
- Do you have standard categories of risks and maybe lists of expected possible risks</t>
  </si>
  <si>
    <t>- What parameters for risk or opportunity analysis is defined and what is it used for?</t>
  </si>
  <si>
    <t>- Explain the risk and the opportunity management strategies that you have developed and maintain?</t>
  </si>
  <si>
    <t>- Explain the risk and opportunity management plans that you have developed and maintain?</t>
  </si>
  <si>
    <t>- Explain how you manage (mitigate) risk or opportunity items?</t>
  </si>
  <si>
    <t>——你如何识别和记录风险或机会，并保持更新?</t>
  </si>
  <si>
    <t>——你如何分析已确定的风险或机会?</t>
  </si>
  <si>
    <t>—您如何监控已发现的风险或机会，并将这一状况告知受影响的干系人?</t>
  </si>
  <si>
    <t>—解释一下你是如何利用风险或机会类别的?</t>
  </si>
  <si>
    <t>定义了风险或机会分析的哪些参数，用于什么用途?</t>
  </si>
  <si>
    <t>—请解释你可能会建立和维护的任何风险或机会管理策略?</t>
  </si>
  <si>
    <t>—请解释您可能制定和维护的任何风险或机会管理计划?</t>
  </si>
  <si>
    <t>—解释一下你是如何管理(减轻)风险或机会项目的?</t>
  </si>
  <si>
    <t>OT - ORGANIZATIONAL TRAINING (OT)</t>
  </si>
  <si>
    <t xml:space="preserve">	Train people.</t>
  </si>
  <si>
    <r>
      <rPr>
        <b/>
        <sz val="10"/>
        <rFont val="Calibri"/>
        <family val="2"/>
      </rPr>
      <t>Identify training needs</t>
    </r>
    <r>
      <rPr>
        <sz val="10"/>
        <rFont val="Calibri"/>
        <family val="2"/>
      </rPr>
      <t xml:space="preserve">. </t>
    </r>
  </si>
  <si>
    <r>
      <rPr>
        <b/>
        <sz val="10"/>
        <rFont val="Calibri"/>
        <family val="2"/>
      </rPr>
      <t>Train</t>
    </r>
    <r>
      <rPr>
        <sz val="10"/>
        <rFont val="Calibri"/>
        <family val="2"/>
      </rPr>
      <t xml:space="preserve"> personnel and </t>
    </r>
    <r>
      <rPr>
        <b/>
        <sz val="10"/>
        <rFont val="Calibri"/>
        <family val="2"/>
      </rPr>
      <t>keep records</t>
    </r>
    <r>
      <rPr>
        <sz val="10"/>
        <rFont val="Calibri"/>
        <family val="2"/>
      </rPr>
      <t xml:space="preserve">. </t>
    </r>
  </si>
  <si>
    <r>
      <rPr>
        <sz val="10"/>
        <rFont val="Calibri"/>
        <family val="2"/>
      </rPr>
      <t xml:space="preserve">	Develop and keep updated the organization's</t>
    </r>
    <r>
      <rPr>
        <b/>
        <sz val="10"/>
        <rFont val="Calibri"/>
        <family val="2"/>
      </rPr>
      <t xml:space="preserve"> strategic and short-term training needs</t>
    </r>
    <r>
      <rPr>
        <sz val="10"/>
        <rFont val="Calibri"/>
        <family val="2"/>
      </rPr>
      <t xml:space="preserve">. </t>
    </r>
  </si>
  <si>
    <r>
      <rPr>
        <sz val="10"/>
        <rFont val="Calibri"/>
        <family val="2"/>
      </rPr>
      <t xml:space="preserve">	</t>
    </r>
    <r>
      <rPr>
        <b/>
        <sz val="10"/>
        <rFont val="Calibri"/>
        <family val="2"/>
      </rPr>
      <t>Coordinate</t>
    </r>
    <r>
      <rPr>
        <sz val="10"/>
        <rFont val="Calibri"/>
        <family val="2"/>
      </rPr>
      <t xml:space="preserve"> training needs and delivery </t>
    </r>
    <r>
      <rPr>
        <b/>
        <sz val="10"/>
        <rFont val="Calibri"/>
        <family val="2"/>
      </rPr>
      <t>between the projects and the organization</t>
    </r>
    <r>
      <rPr>
        <sz val="10"/>
        <rFont val="Calibri"/>
        <family val="2"/>
      </rPr>
      <t xml:space="preserve">. </t>
    </r>
  </si>
  <si>
    <r>
      <rPr>
        <sz val="10"/>
        <rFont val="Calibri"/>
        <family val="2"/>
      </rPr>
      <t>Develop, keep updated, and follow</t>
    </r>
    <r>
      <rPr>
        <b/>
        <sz val="10"/>
        <rFont val="Calibri"/>
        <family val="2"/>
      </rPr>
      <t xml:space="preserve"> organizational strategic and short-term training plans</t>
    </r>
    <r>
      <rPr>
        <sz val="10"/>
        <rFont val="Calibri"/>
        <family val="2"/>
      </rPr>
      <t xml:space="preserve">. </t>
    </r>
  </si>
  <si>
    <r>
      <rPr>
        <sz val="10"/>
        <rFont val="Calibri"/>
        <family val="2"/>
      </rPr>
      <t xml:space="preserve">Develop, keep updated, and use a </t>
    </r>
    <r>
      <rPr>
        <b/>
        <sz val="10"/>
        <rFont val="Calibri"/>
        <family val="2"/>
      </rPr>
      <t>training capability</t>
    </r>
    <r>
      <rPr>
        <sz val="10"/>
        <rFont val="Calibri"/>
        <family val="2"/>
      </rPr>
      <t xml:space="preserve"> to address organizational training needs.</t>
    </r>
  </si>
  <si>
    <r>
      <rPr>
        <sz val="10"/>
        <rFont val="Calibri"/>
        <family val="2"/>
      </rPr>
      <t xml:space="preserve">Assess the </t>
    </r>
    <r>
      <rPr>
        <b/>
        <sz val="10"/>
        <rFont val="Calibri"/>
        <family val="2"/>
      </rPr>
      <t>effectiveness</t>
    </r>
    <r>
      <rPr>
        <sz val="10"/>
        <rFont val="Calibri"/>
        <family val="2"/>
      </rPr>
      <t xml:space="preserve"> of the organization's training program. </t>
    </r>
  </si>
  <si>
    <r>
      <rPr>
        <sz val="10"/>
        <rFont val="Calibri"/>
        <family val="2"/>
      </rPr>
      <t xml:space="preserve">Record, keep updated, and use the set of organizational </t>
    </r>
    <r>
      <rPr>
        <b/>
        <sz val="10"/>
        <rFont val="Calibri"/>
        <family val="2"/>
      </rPr>
      <t>training records</t>
    </r>
    <r>
      <rPr>
        <sz val="10"/>
        <rFont val="Calibri"/>
        <family val="2"/>
      </rPr>
      <t xml:space="preserve">. </t>
    </r>
  </si>
  <si>
    <t>completed training;</t>
  </si>
  <si>
    <t>list of training needs;</t>
  </si>
  <si>
    <t>records of delivered training;</t>
  </si>
  <si>
    <t>training needs;</t>
  </si>
  <si>
    <t>allocated training needs;
training delivery responsibilities;</t>
  </si>
  <si>
    <t>org. training strategic plan;
org. training short term plan;
recorded commitments;</t>
  </si>
  <si>
    <t>training materials;
list of courses;
training records;
list of instructors;
instruction design standards;
training facilities and resources;</t>
  </si>
  <si>
    <t>training effectiveness surveys;
training program assessments;
training program analysis results;
instructor evaluation forms;
training examinatiosn;
training measures;</t>
  </si>
  <si>
    <t>training records;</t>
  </si>
  <si>
    <t>identify people to receive training;
schedule training;
deliver the training;</t>
  </si>
  <si>
    <t>identify skills and knowledge for each role;
record and update skills and knowledge of individuals;
perform a gap analysis to determine needs;
record and communicate training needs;</t>
  </si>
  <si>
    <t>deliver training based on identified training needs;
maintain training records;</t>
  </si>
  <si>
    <t xml:space="preserve">determine the roles and skills needed to perform org. standard processes and work;
determine training needs;
record and update the prioritised strategic and short term org. training needs;
review the org. training needs periodically and on an event driven basis and update;
</t>
  </si>
  <si>
    <t>analyse training needs identified by work and support groups;
co-ordinate to determinehow training needs will be addressed;
record responsibilities among oreg.,project and support groups for delivery;</t>
  </si>
  <si>
    <t>develop the content of the org. training strategic plan;
develop the content of the org. training short term plan;
review plans, determine commitments and communicate review results;
revise plans and commitments;</t>
  </si>
  <si>
    <t>select approaches to satisfy org. training needs;
decide whether to develop training internally or acquire externally;
develop or obtain training materials;
identify, train or hire trainers;
describe training in org. training curriculum;
review training periodically;
revise as needed;
identify and make resources available;
update training and development program;
keep training records updated;
communicate availability of training;</t>
  </si>
  <si>
    <t>assess the effectiveness of each training course;
assess the effectiveness of the training programs;</t>
  </si>
  <si>
    <t>keep and use records of participants;
keep and use records of all personnel waived;
keep and use records of training course and program effectiveness;
make training records available for consideration in asignments;</t>
  </si>
  <si>
    <t>Do you … ?
How do you identify training needs?</t>
  </si>
  <si>
    <t>Do you …?
What training records do you maintain?</t>
  </si>
  <si>
    <t>Do you …?
How do you identify strategic training needs?
How do you identify short-term training needs?</t>
  </si>
  <si>
    <t>How are training needs between projects co-ordinated with organisational training needs? (and support functions)</t>
  </si>
  <si>
    <t>How do you execute the strategic and short-term training plans?</t>
  </si>
  <si>
    <t>How do you establish and maintain a training capability for the organisation?</t>
  </si>
  <si>
    <t>How do you assess the effectiveness of the organisation training program?</t>
  </si>
  <si>
    <t>What org. training records do you establish and maintain?</t>
  </si>
  <si>
    <t>如何识别培训需求？</t>
  </si>
  <si>
    <t>有哪些培训记录？</t>
  </si>
  <si>
    <t>如何确定战略和短期培训需求？</t>
  </si>
  <si>
    <t>项目（和支持职能）的培训需求如何与组织培训需求相协调一致？</t>
  </si>
  <si>
    <t>如何执行战略和短期培训计划？</t>
  </si>
  <si>
    <t>如何建立和维护组织的培训能力？</t>
  </si>
  <si>
    <t>如何评估组织培训计划的有效性？</t>
  </si>
  <si>
    <t>需要建立并维护哪些培训记录</t>
  </si>
  <si>
    <t>MC - MONITOR AND CONTROL (MC)</t>
  </si>
  <si>
    <t xml:space="preserve">Record task completions. </t>
  </si>
  <si>
    <t xml:space="preserve">Identify and resolve issues. </t>
  </si>
  <si>
    <t xml:space="preserve">Track actual results against estimates for size, effort, schedule, resources, knowledge and skills, and budget. </t>
  </si>
  <si>
    <t>Track the involvement of identified stakeholders and commitments.</t>
  </si>
  <si>
    <t xml:space="preserve">Monitor the transition to operations and support. </t>
  </si>
  <si>
    <t xml:space="preserve">Take corrective actions when actual results differ significantly from planned results and manage to closure. </t>
  </si>
  <si>
    <t xml:space="preserve">Manage the project using the project plan and the project process. </t>
  </si>
  <si>
    <t xml:space="preserve">Manage critical dependencies and activities. </t>
  </si>
  <si>
    <t>Monitor the work environment to identify issues.</t>
  </si>
  <si>
    <t>Manage and resolve issues with affected stakeholders.</t>
  </si>
  <si>
    <t>task list;
- Minutes with completed tasks
- Plan with completed tasks</t>
  </si>
  <si>
    <t>issues and action item list;
- Minutes with issues identified</t>
  </si>
  <si>
    <t>records of actuals vs estimates;
records of significant deviations;
records of status reviews;
corrective actions;
cost performance reports;
schedule performance reports;</t>
  </si>
  <si>
    <t>records of stakeholder involvement (meeting attendance registers);
agendas and schedules for collaborative activities;
recorded issues;
recommendations for resolving issues;</t>
  </si>
  <si>
    <t>status reports of transition activities;
transition readiness report;
record of transition report reviews;
lessons learned report;
- Release records
- Operation and support acceptance records</t>
  </si>
  <si>
    <t>list of issues requiring corrective action;
- reports showing thresholds exceeded (planned versus actual)</t>
  </si>
  <si>
    <t>results of monitoring;
collected measures and status records or reports;
project schedule (actual vs planned);</t>
  </si>
  <si>
    <t>updated critical dependencies;
recorded agendas and meeting minutes;
recorded issues;</t>
  </si>
  <si>
    <t>corrections needed to work env.;
- minutes of actions to address work env. Issues;</t>
  </si>
  <si>
    <t>recorded issues;
- relevant stakeholder meeting minutes</t>
  </si>
  <si>
    <t>record task completion;
review updated task list with affected stakeholders;</t>
  </si>
  <si>
    <t>record the issue in the issue and action list;
assign responsibility;
assign a due date;
track issues and actions;</t>
  </si>
  <si>
    <t>track actual results to plans and estimates;
monitor resources provided and used;
monitor knowledge and skills of  workgroup;
monitor commitments against those id. In plan;
record significant differences in planned vs actual;
monitor progress against schedule;
monitor expended effort and costs;</t>
  </si>
  <si>
    <t>periodically review and record the status of stakeholder involvement;
identify and record significant stakeholder issues;
develop recommendations and coordinate actions to resolve issues;</t>
  </si>
  <si>
    <t>monitor the capabilities of ops and support to receive, store, use and maintain new or modified solns;
monitor training delivery to stakeholders;
review and analyse the results of transition activities;</t>
  </si>
  <si>
    <t>collect issues for analysis;
analyse issues to decide if corrective action is needed;
take corrective action on identified issues;
manage corrective actions to closure;</t>
  </si>
  <si>
    <t>manage the project activities using the project process and all related plans;
collect and analyse selected measurements to manage the project and support proj. needs;
periodically review and align project performance with org., customer, and end user requirements and objectives;
resolve causes of issues affecting project objectives;</t>
  </si>
  <si>
    <t>review and update dependencies;
record minutes from reviews and discussions;
record issues;</t>
  </si>
  <si>
    <t>monitor work environment elements that affect safety, health, effectiveness and productivity and identify and record any corrections needed;
monitor physical factors in the work environment that could degrade performance and identify and record corrections needed;
identify, recordand report potential work env. issues;
take reasonable steps to accommodate work env. issues;
remove or reduce interruptions that degrade performance;
remove or reduce physical factors that degrade performance;
monitor progress of work env. issue resolution;
resolve interpersonal problems;</t>
  </si>
  <si>
    <t>identify and record issues;
communicate to stakeholders;
escalate issues not resolvable;
track issues to closure;
communicate status and resolution to stakeholders;</t>
  </si>
  <si>
    <t>- How do you identify and resolve issues?</t>
  </si>
  <si>
    <t>- Explain how you track actual results achieved against planned values (for size, effort, duration, or cost)?</t>
  </si>
  <si>
    <t>- How do you check that stakeholders are involved as per the plan?</t>
  </si>
  <si>
    <t>- How do you monitor the transition of solutions to operations and support?</t>
  </si>
  <si>
    <t>- When and how do you take corrective actions when actual results differ significantly from planned result?</t>
  </si>
  <si>
    <t>- Explain how you manage the project using the project plan and the project process?
- What monitoring results are addressed in what meetings?</t>
  </si>
  <si>
    <t>- Explain how you manage critical dependencies?</t>
  </si>
  <si>
    <t>- How do you identify work environment issues?</t>
  </si>
  <si>
    <t>- Explain how you manage and resolve issues with affected stakeholders?</t>
  </si>
  <si>
    <t>—你如何发现问题并解决问题?</t>
  </si>
  <si>
    <t>—您如何根据计划的值跟踪实际实现的结果(规模、工作量、持续时间或成本)?</t>
  </si>
  <si>
    <t>—你如何检查干系人是否按照计划参与进来?</t>
  </si>
  <si>
    <t>—您如何监督解决方案向运营和支持的转移?</t>
  </si>
  <si>
    <t>—当实际结果与计划结果有显著差异时，你何时以及如何采取纠正措施?</t>
  </si>
  <si>
    <t>—你如何使用项目计划和项目过程来管理项目?</t>
  </si>
  <si>
    <t>—如何管理关键依赖关系?</t>
  </si>
  <si>
    <t>—你如何识别工作环境问题?</t>
  </si>
  <si>
    <t>—你如何与受影响的干系人管理和解决问题?</t>
  </si>
  <si>
    <t>PLAN - PLANNING (PLAN)</t>
  </si>
  <si>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</si>
  <si>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r>
      <t xml:space="preserve">Develop a </t>
    </r>
    <r>
      <rPr>
        <b/>
        <sz val="10"/>
        <rFont val="Calibri"/>
        <family val="2"/>
        <scheme val="minor"/>
      </rPr>
      <t>list of tasks</t>
    </r>
    <r>
      <rPr>
        <sz val="10"/>
        <rFont val="Calibri"/>
        <family val="2"/>
        <scheme val="minor"/>
      </rPr>
      <t xml:space="preserve">. </t>
    </r>
  </si>
  <si>
    <r>
      <rPr>
        <b/>
        <sz val="10"/>
        <rFont val="Calibri"/>
        <family val="2"/>
        <scheme val="minor"/>
      </rPr>
      <t>Assign people</t>
    </r>
    <r>
      <rPr>
        <sz val="10"/>
        <rFont val="Calibri"/>
        <family val="2"/>
        <scheme val="minor"/>
      </rPr>
      <t xml:space="preserve"> to tasks. </t>
    </r>
  </si>
  <si>
    <r>
      <t xml:space="preserve">Develop and keep updated </t>
    </r>
    <r>
      <rPr>
        <b/>
        <sz val="10"/>
        <rFont val="Calibri"/>
        <family val="2"/>
        <scheme val="minor"/>
      </rPr>
      <t>the approach</t>
    </r>
    <r>
      <rPr>
        <sz val="10"/>
        <rFont val="Calibri"/>
        <family val="2"/>
        <scheme val="minor"/>
      </rPr>
      <t xml:space="preserve"> for accomplishing the work. </t>
    </r>
  </si>
  <si>
    <r>
      <t xml:space="preserve">Plan for the </t>
    </r>
    <r>
      <rPr>
        <b/>
        <sz val="10"/>
        <rFont val="Calibri"/>
        <family val="2"/>
        <scheme val="minor"/>
      </rPr>
      <t>knowledge and skills</t>
    </r>
    <r>
      <rPr>
        <sz val="10"/>
        <rFont val="Calibri"/>
        <family val="2"/>
        <scheme val="minor"/>
      </rPr>
      <t xml:space="preserve"> needed to perform the work. </t>
    </r>
  </si>
  <si>
    <r>
      <t>Based on recorded estimates, develop and keep the b</t>
    </r>
    <r>
      <rPr>
        <b/>
        <sz val="10"/>
        <rFont val="Calibri"/>
        <family val="2"/>
        <scheme val="minor"/>
      </rPr>
      <t>udget and schedule</t>
    </r>
    <r>
      <rPr>
        <sz val="10"/>
        <rFont val="Calibri"/>
        <family val="2"/>
        <scheme val="minor"/>
      </rPr>
      <t xml:space="preserve"> updated.</t>
    </r>
  </si>
  <si>
    <r>
      <t xml:space="preserve">Plan the </t>
    </r>
    <r>
      <rPr>
        <b/>
        <sz val="10"/>
        <rFont val="Calibri"/>
        <family val="2"/>
        <scheme val="minor"/>
      </rPr>
      <t>involvement</t>
    </r>
    <r>
      <rPr>
        <sz val="10"/>
        <rFont val="Calibri"/>
        <family val="2"/>
        <scheme val="minor"/>
      </rPr>
      <t xml:space="preserve"> of identified </t>
    </r>
    <r>
      <rPr>
        <b/>
        <sz val="10"/>
        <rFont val="Calibri"/>
        <family val="2"/>
        <scheme val="minor"/>
      </rPr>
      <t>stakeholders</t>
    </r>
    <r>
      <rPr>
        <sz val="10"/>
        <rFont val="Calibri"/>
        <family val="2"/>
        <scheme val="minor"/>
      </rPr>
      <t>.</t>
    </r>
  </si>
  <si>
    <r>
      <t xml:space="preserve">Plan </t>
    </r>
    <r>
      <rPr>
        <b/>
        <sz val="10"/>
        <rFont val="Calibri"/>
        <family val="2"/>
        <scheme val="minor"/>
      </rPr>
      <t>transition to operations</t>
    </r>
    <r>
      <rPr>
        <sz val="10"/>
        <rFont val="Calibri"/>
        <family val="2"/>
        <scheme val="minor"/>
      </rPr>
      <t xml:space="preserve"> </t>
    </r>
    <r>
      <rPr>
        <b/>
        <sz val="10"/>
        <rFont val="Calibri"/>
        <family val="2"/>
        <scheme val="minor"/>
      </rPr>
      <t>and support</t>
    </r>
    <r>
      <rPr>
        <sz val="10"/>
        <rFont val="Calibri"/>
        <family val="2"/>
        <scheme val="minor"/>
      </rPr>
      <t xml:space="preserve">. </t>
    </r>
  </si>
  <si>
    <r>
      <t xml:space="preserve">Ensure plans are feasible by </t>
    </r>
    <r>
      <rPr>
        <b/>
        <sz val="10"/>
        <rFont val="Calibri"/>
        <family val="2"/>
        <scheme val="minor"/>
      </rPr>
      <t>reconciling available and estimated resources</t>
    </r>
    <r>
      <rPr>
        <sz val="10"/>
        <rFont val="Calibri"/>
        <family val="2"/>
        <scheme val="minor"/>
      </rPr>
      <t xml:space="preserve">. </t>
    </r>
  </si>
  <si>
    <r>
      <t xml:space="preserve">Develop the </t>
    </r>
    <r>
      <rPr>
        <b/>
        <sz val="10"/>
        <rFont val="Calibri"/>
        <family val="2"/>
        <scheme val="minor"/>
      </rPr>
      <t>project plan</t>
    </r>
    <r>
      <rPr>
        <sz val="10"/>
        <rFont val="Calibri"/>
        <family val="2"/>
        <scheme val="minor"/>
      </rPr>
      <t xml:space="preserve">, ensure consistency among its elements, and keep it updated. </t>
    </r>
  </si>
  <si>
    <r>
      <t xml:space="preserve">	Review plans and </t>
    </r>
    <r>
      <rPr>
        <b/>
        <sz val="10"/>
        <rFont val="Calibri"/>
        <family val="2"/>
        <scheme val="minor"/>
      </rPr>
      <t>obtain commitments</t>
    </r>
    <r>
      <rPr>
        <sz val="10"/>
        <rFont val="Calibri"/>
        <family val="2"/>
        <scheme val="minor"/>
      </rPr>
      <t xml:space="preserve"> from affected stakeholders. </t>
    </r>
  </si>
  <si>
    <r>
      <t xml:space="preserve">Use the organization's set of standard processes and tailoring guidelines to </t>
    </r>
    <r>
      <rPr>
        <b/>
        <sz val="10"/>
        <rFont val="Calibri"/>
        <family val="2"/>
        <scheme val="minor"/>
      </rPr>
      <t>develop</t>
    </r>
    <r>
      <rPr>
        <sz val="10"/>
        <rFont val="Calibri"/>
        <family val="2"/>
        <scheme val="minor"/>
      </rPr>
      <t xml:space="preserve">, keep updated, </t>
    </r>
    <r>
      <rPr>
        <b/>
        <sz val="10"/>
        <rFont val="Calibri"/>
        <family val="2"/>
        <scheme val="minor"/>
      </rPr>
      <t>and follow the project process</t>
    </r>
    <r>
      <rPr>
        <sz val="10"/>
        <rFont val="Calibri"/>
        <family val="2"/>
        <scheme val="minor"/>
      </rPr>
      <t xml:space="preserve">. </t>
    </r>
  </si>
  <si>
    <r>
      <rPr>
        <b/>
        <sz val="10"/>
        <rFont val="Calibri"/>
        <family val="2"/>
        <scheme val="minor"/>
      </rPr>
      <t>Develop a plan</t>
    </r>
    <r>
      <rPr>
        <sz val="10"/>
        <rFont val="Calibri"/>
        <family val="2"/>
        <scheme val="minor"/>
      </rPr>
      <t xml:space="preserve"> and keep it updated, using the project process, the organization's process assets, and the measurement repository. </t>
    </r>
  </si>
  <si>
    <r>
      <t xml:space="preserve">Identify and negotiate </t>
    </r>
    <r>
      <rPr>
        <b/>
        <sz val="10"/>
        <rFont val="Calibri"/>
        <family val="2"/>
        <scheme val="minor"/>
      </rPr>
      <t>critical dependencies</t>
    </r>
    <r>
      <rPr>
        <sz val="10"/>
        <rFont val="Calibri"/>
        <family val="2"/>
        <scheme val="minor"/>
      </rPr>
      <t xml:space="preserve">. </t>
    </r>
  </si>
  <si>
    <r>
      <t xml:space="preserve">Plan for the </t>
    </r>
    <r>
      <rPr>
        <b/>
        <sz val="10"/>
        <rFont val="Calibri"/>
        <family val="2"/>
        <scheme val="minor"/>
      </rPr>
      <t>project environment</t>
    </r>
    <r>
      <rPr>
        <sz val="10"/>
        <rFont val="Calibri"/>
        <family val="2"/>
        <scheme val="minor"/>
      </rPr>
      <t xml:space="preserve"> and keep it updated based on the </t>
    </r>
    <r>
      <rPr>
        <b/>
        <sz val="10"/>
        <rFont val="Calibri"/>
        <family val="2"/>
        <scheme val="minor"/>
      </rPr>
      <t>organization's standards</t>
    </r>
    <r>
      <rPr>
        <sz val="10"/>
        <rFont val="Calibri"/>
        <family val="2"/>
        <scheme val="minor"/>
      </rPr>
      <t>.</t>
    </r>
  </si>
  <si>
    <r>
      <t xml:space="preserve">	Use statistical and other quantitative techniques to develop and keep the project processes updated to enable achievement of the quality and </t>
    </r>
    <r>
      <rPr>
        <b/>
        <sz val="10"/>
        <rFont val="Calibri"/>
        <family val="2"/>
        <scheme val="minor"/>
      </rPr>
      <t>process performance objectives</t>
    </r>
    <r>
      <rPr>
        <sz val="10"/>
        <rFont val="Calibri"/>
        <family val="2"/>
        <scheme val="minor"/>
      </rPr>
      <t xml:space="preserve">. </t>
    </r>
  </si>
  <si>
    <t>task list;</t>
  </si>
  <si>
    <t>task list with assignments;</t>
  </si>
  <si>
    <t>recorded approach to achieve objectives;
recorded project lifecycle;</t>
  </si>
  <si>
    <t>inventory of skills needed;</t>
  </si>
  <si>
    <t>budget;
schedule;
resource plan;
budget and schedule risks;</t>
  </si>
  <si>
    <t>stakeholder involvement plan;
responsible, accountable, support, consulted, informed (RASCI) table;</t>
  </si>
  <si>
    <t>plan for transition to operations and support;</t>
  </si>
  <si>
    <t>revised plan and commitments;</t>
  </si>
  <si>
    <t>overall project plan;</t>
  </si>
  <si>
    <t>results of plan reviews;
recorded commitments;</t>
  </si>
  <si>
    <t>the project process;</t>
  </si>
  <si>
    <t>revised project estimates;
project plans;
integrated plans;</t>
  </si>
  <si>
    <t>critical dependencies;</t>
  </si>
  <si>
    <t>project resources, facilities, and environment plan;
equipment and tools for project;
health and safety considerations;
installation and operation manuals;
user surveys and results;
support services;</t>
  </si>
  <si>
    <t>criteria used to evaluate alternatives for the project;
alternative processes;
selected defined project process;
risk assessment of not achieving projects QPPO's;</t>
  </si>
  <si>
    <t>develop a list of tasks;
review task list with stakeholders;
revise list as needed;</t>
  </si>
  <si>
    <t>assign an individual responsible for each task;
assign any additional people to the task;
review assignments with assigned individuals;
record assignments in task list;</t>
  </si>
  <si>
    <t xml:space="preserve">identify the objectives of the approach;
identify the approach to achieve the objectives;
identify requirements; record business considerations;
define project lifecycle;
identify major resource needs and constraints;
identify stakeholders;
record agreements with stakeholders;
identify risks;
identify safety and security approaches;
review project approach with stakeholders;
revise approach as needed;
</t>
  </si>
  <si>
    <t>identify knowledge and skills needed to perform the work;
determine gaps between needed and held;
select methods for providing needed knowledge and skills;
incorporate methods in plan;</t>
  </si>
  <si>
    <t>identify major milestones;
identify schedule assumptions;
identify constraints;
identify task dependencies;
identify resources;
identify and analyse risks;
develop the budget and schedule based on estimates;
establish corrective action criteria;</t>
  </si>
  <si>
    <t xml:space="preserve">develop a list of stakeholders;
identify involvement of each;
record when involvement is required;
</t>
  </si>
  <si>
    <t>determine transition scope and objectives;
determine transition requirements and criteria;
determine approach to transition;
develop schedule for transition;
determine transition responsibilities and resources including post-transition;
determine operations and support training needs;</t>
  </si>
  <si>
    <t>perform resource leveling to adjust scheduling of tasks and resources;
ensure commitments are supported by adequate resources;
negotiate commitments with affected stakeholders;</t>
  </si>
  <si>
    <t>record the project plan;
review the project plan with stakeholders;
revise the plan as necessary;</t>
  </si>
  <si>
    <t>ensure individuals review the work they are responsible for;
record commitments;
review and approve project commitments;</t>
  </si>
  <si>
    <t>select standard processes that best fit the needs of the project;
modify according to tailoring guidelines;
use other org. artefacts as appropriate;
record the project process;
review the project process;
revise as necessary;</t>
  </si>
  <si>
    <t>use tasks and work products as a basis for estimating and planning;
use the org. measurement repository to estimate the work;
integrate or develop plans;
incorporate the definitions of measures and measurement activities;
establish obj. entry and exit criteria for tasks;
identify how conflicts will be resolved;</t>
  </si>
  <si>
    <t>identify each critical dependency;
integrate schedules;
review and negotiate dependencies;
record commitments to address each critical dependency;</t>
  </si>
  <si>
    <t>analyse project and plan for resources, facilities and environment;
assign an individual to plan to acquire resources, facilities and environment;
develop a contingency plan;
plan for support personnel needs; 
ensure individuals participate in decisions;</t>
  </si>
  <si>
    <t>identify the criteria to use in evaluating process alternatives;
identify or develop alternative processes;
analyse and evaluate alt. processes against criteria;
select alt. process;
evaluate the risk of not achieving project QPPOs;</t>
  </si>
  <si>
    <t>- Do you assign people to the tasks?</t>
  </si>
  <si>
    <t>- Do you have a specific approach for doing the work?
(waterfall, iterative, agile etc) 
- What is the approach that you use?</t>
  </si>
  <si>
    <t>- How do you make sure you have the right knowledge and skills for the task to be performed?</t>
  </si>
  <si>
    <t>- How do you develop the budget and schedule?</t>
  </si>
  <si>
    <t>- How do you plan for stakeholder involvement?</t>
  </si>
  <si>
    <t>- Explain how you plan for transition to operations and support?</t>
  </si>
  <si>
    <t>- Explain how you ensure your plans are feasible in terms of resource availability and work that needs to be performed?</t>
  </si>
  <si>
    <t>- What information do you keep in your project plan?
- How often do you update / When do you update?</t>
  </si>
  <si>
    <t>- How do you review the plans with stakeholders?
- How do you get commitment to the plans?
- Where is it documented?</t>
  </si>
  <si>
    <t>- Explain how you use the organisational standard processes to develop the plan?
- How do you make use of tailoring guidelines to plan?</t>
  </si>
  <si>
    <t>- How do you use the process, the process assets and the measurement repository to keep your plan updated?</t>
  </si>
  <si>
    <t>- Explain how you identify and negotiate any critical dependencies?</t>
  </si>
  <si>
    <t>- Explain how you plan your project environment?
- Do you use org. standards to plan the environment?</t>
  </si>
  <si>
    <t>- How do you make use of statistical and quantitative techniques to develop and keep the project processes updated to enable achievement of the QPPOs for the project or organisation?</t>
  </si>
  <si>
    <t>—你是如何制定预算和项目进度的?</t>
  </si>
  <si>
    <t>—你如何规划干系人的参与?</t>
  </si>
  <si>
    <t>—您如何计划向运营和支持的转移?</t>
  </si>
  <si>
    <t>—你如何确保你的计划在可用资源和待执行的工作方面是可行的?</t>
  </si>
  <si>
    <t>—你在项目计划中记录了哪些信息?</t>
  </si>
  <si>
    <t>—你如何与干系人一起评估计划的?
-你如何得到对计划的承诺?</t>
  </si>
  <si>
    <t>—解释一下你是如何利用组织的标准流程来制定计划的?
-你如何利用裁剪指南来进行计划?</t>
  </si>
  <si>
    <t>—您如何使用过程、过程资产和度量存储库来更新您的计划?</t>
  </si>
  <si>
    <t>—解释一下你是如何识别和协商任何关键的依赖关系的?</t>
  </si>
  <si>
    <t>—解释你是如何规划你的项目环境的?
-你使用组织标准工作环境来策划项目所需的环境吗?</t>
  </si>
  <si>
    <t>EST - ESTIMATING</t>
  </si>
  <si>
    <t xml:space="preserve">Intent </t>
    <phoneticPr fontId="0" type="noConversion"/>
  </si>
  <si>
    <t xml:space="preserve">Estimate the size, effort, duration, and cost of the work and resources needed to develop, acquire, or deliver the solution. </t>
    <phoneticPr fontId="0" type="noConversion"/>
  </si>
  <si>
    <t xml:space="preserve">Value </t>
    <phoneticPr fontId="0" type="noConversion"/>
  </si>
  <si>
    <t xml:space="preserve">Estimation provides a basis for making commitments, planning, and reducing uncertainty, which allows for early corrective actions and increases the likelihood of meeting objectives. </t>
    <phoneticPr fontId="0" type="noConversion"/>
  </si>
  <si>
    <r>
      <t xml:space="preserve">Develop </t>
    </r>
    <r>
      <rPr>
        <b/>
        <sz val="10"/>
        <rFont val="Calibri"/>
        <family val="2"/>
        <scheme val="minor"/>
      </rPr>
      <t>high-level estimates</t>
    </r>
    <r>
      <rPr>
        <sz val="10"/>
        <rFont val="Calibri"/>
        <family val="2"/>
        <scheme val="minor"/>
      </rPr>
      <t xml:space="preserve"> to perform the work. </t>
    </r>
  </si>
  <si>
    <r>
      <t>Develop, keep updated, and use the</t>
    </r>
    <r>
      <rPr>
        <b/>
        <sz val="10"/>
        <rFont val="Calibri"/>
        <family val="2"/>
        <scheme val="minor"/>
      </rPr>
      <t xml:space="preserve"> scope</t>
    </r>
    <r>
      <rPr>
        <sz val="10"/>
        <rFont val="Calibri"/>
        <family val="2"/>
        <scheme val="minor"/>
      </rPr>
      <t xml:space="preserve"> of what is being estimated. </t>
    </r>
  </si>
  <si>
    <r>
      <t xml:space="preserve">Develop and keep updated </t>
    </r>
    <r>
      <rPr>
        <b/>
        <sz val="10"/>
        <rFont val="Calibri"/>
        <family val="2"/>
        <scheme val="minor"/>
      </rPr>
      <t>estimates</t>
    </r>
    <r>
      <rPr>
        <sz val="10"/>
        <rFont val="Calibri"/>
        <family val="2"/>
        <scheme val="minor"/>
      </rPr>
      <t xml:space="preserve"> for the </t>
    </r>
    <r>
      <rPr>
        <b/>
        <sz val="10"/>
        <rFont val="Calibri"/>
        <family val="2"/>
        <scheme val="minor"/>
      </rPr>
      <t xml:space="preserve">size </t>
    </r>
    <r>
      <rPr>
        <sz val="10"/>
        <rFont val="Calibri"/>
        <family val="2"/>
        <scheme val="minor"/>
      </rPr>
      <t xml:space="preserve">of the solution. </t>
    </r>
  </si>
  <si>
    <r>
      <t xml:space="preserve">Based on size estimates, develop and </t>
    </r>
    <r>
      <rPr>
        <b/>
        <sz val="10"/>
        <rFont val="Calibri"/>
        <family val="2"/>
        <scheme val="minor"/>
      </rPr>
      <t>record effort, duration, and cost estimates</t>
    </r>
    <r>
      <rPr>
        <sz val="10"/>
        <rFont val="Calibri"/>
        <family val="2"/>
        <scheme val="minor"/>
      </rPr>
      <t xml:space="preserve"> and their rationale for the solution. </t>
    </r>
  </si>
  <si>
    <r>
      <t xml:space="preserve">	Develop and keep updated a recorded </t>
    </r>
    <r>
      <rPr>
        <b/>
        <sz val="10"/>
        <rFont val="Calibri"/>
        <family val="2"/>
        <scheme val="minor"/>
      </rPr>
      <t>estimation method</t>
    </r>
    <r>
      <rPr>
        <sz val="10"/>
        <rFont val="Calibri"/>
        <family val="2"/>
        <scheme val="minor"/>
      </rPr>
      <t xml:space="preserve">. </t>
    </r>
  </si>
  <si>
    <r>
      <t xml:space="preserve">	Use the organizational </t>
    </r>
    <r>
      <rPr>
        <b/>
        <sz val="10"/>
        <rFont val="Calibri"/>
        <family val="2"/>
        <scheme val="minor"/>
      </rPr>
      <t>measurement repository</t>
    </r>
    <r>
      <rPr>
        <sz val="10"/>
        <rFont val="Calibri"/>
        <family val="2"/>
        <scheme val="minor"/>
      </rPr>
      <t xml:space="preserve"> and process assets for estimating work.</t>
    </r>
  </si>
  <si>
    <t>high level estimates;</t>
  </si>
  <si>
    <t>list of tasks or activities or WBS;
list of needed resources;
work flow diagram;</t>
  </si>
  <si>
    <t>size estimates;</t>
  </si>
  <si>
    <t>effort estimate;
duration estimate;
cost estimate;
estimating rationale;</t>
  </si>
  <si>
    <t>recorded estimation methods;</t>
  </si>
  <si>
    <t>work estimates;
updated org. process assets;</t>
  </si>
  <si>
    <t>review needs and assumptions and determine high level estimates with stakeholders;</t>
  </si>
  <si>
    <t>review requirements and objectives with stakeholders to determine scope;</t>
  </si>
  <si>
    <t>estimate size and complexity of solutions and tasks;</t>
  </si>
  <si>
    <t>collect and use historical data to develop and calibrate models to transform size and complexity into effort, duration, and cost estimates;
describe and record rationale for estimates of effort, duration, and cost;
include estimates of supporting infrastructure needs;</t>
  </si>
  <si>
    <t>determine acceptable estimation methods;
calibrate and adjust method based on actual results;
validate method;</t>
  </si>
  <si>
    <t>use org. assets and measures for estimation;
use estimation methods;
contribute results and measures to improve and update repository;
analyse org. data;</t>
  </si>
  <si>
    <t>Do you …?
What high level estimates do you make?</t>
  </si>
  <si>
    <t>Explain how you scope the work?
(what to estimate - what is included and what is excluded)?</t>
  </si>
  <si>
    <t>Explain how you estimate the size of work?
 (FP, LOC, number of UCs, number of workstations, number of network points, number of data records, etc)?</t>
  </si>
  <si>
    <t>Explain how you use the size estimates to develop effort, duration and cost estimates?
How do you use these estimates to schedule the work?</t>
  </si>
  <si>
    <t>Explain how your estimation method works? 
Is this estimation method documented?
How do you maintain or improve your estimates?
What method do you use? What is it called</t>
  </si>
  <si>
    <t>Explain how you make use of the org. measurement repository to perform your estimating?</t>
  </si>
  <si>
    <t>你做了什么粗略的估算?</t>
  </si>
  <si>
    <t>“你是怎么确定估算范围的?”
(估算什么——包括什么，不包括什么)?</t>
  </si>
  <si>
    <t>“你如何估算工作的规模?”
(FP, LOC, uc的数量，工作站的数量，网络点的数量，数据记录的数量，等等)?</t>
  </si>
  <si>
    <t>“如何利用规模估算来估算工作量、工期和成本?”
如何使用这些估算来安排工作?</t>
  </si>
  <si>
    <t>“解释一下你的评估方法是如何工作的?”
这个估算方法是否有文档记录?
您如何维护或改进您的评估?
你用的是什么方法?叫什么名字?</t>
  </si>
  <si>
    <t>你如何利用组织度量存储库来执行您的估算?</t>
  </si>
  <si>
    <t>CAR - CAUSAL ANALYSIS AND RESOLUTION (CAR)</t>
  </si>
  <si>
    <t>Intent</t>
    <phoneticPr fontId="17" type="noConversion"/>
  </si>
  <si>
    <t xml:space="preserve">Identify causes of selected outcomes and take action to either prevent recurrence of undesirable outcomes or ensure recurrence of positive outcomes. </t>
    <phoneticPr fontId="17" type="noConversion"/>
  </si>
  <si>
    <t>Value</t>
    <phoneticPr fontId="17" type="noConversion"/>
  </si>
  <si>
    <t>Addressing root cause issues eliminates rework and directly improves quality and productivity.</t>
    <phoneticPr fontId="17" type="noConversion"/>
  </si>
  <si>
    <t>Identify and address causes of selected outcomes.</t>
  </si>
  <si>
    <t xml:space="preserve">Select outcomes for analysis. </t>
  </si>
  <si>
    <t>Analyse and address causes of outcomes.</t>
  </si>
  <si>
    <t xml:space="preserve">Determine root causes of selected outcomes by following an organizational process. </t>
  </si>
  <si>
    <t>Propose actions to address identified root causes.</t>
  </si>
  <si>
    <t xml:space="preserve">Implement selected action proposals. </t>
  </si>
  <si>
    <t xml:space="preserve">Record root cause analysis and resolution data. </t>
  </si>
  <si>
    <t xml:space="preserve">Submit improvement proposals for changes proven to be effective. </t>
  </si>
  <si>
    <t>Perform root cause analysis of selected outcomes using statistical and other quantitative techniques.</t>
  </si>
  <si>
    <t>Evaluate the effect of implemented actions on process performance using statistical 
and other quantitative techniques.</t>
  </si>
  <si>
    <t xml:space="preserve">Use statistical and other quantitative techniques to evaluate other solutions and processes to determine 
if the resolution should be applied on a broader scale. </t>
  </si>
  <si>
    <t xml:space="preserve"> list of investigated outcomes;</t>
  </si>
  <si>
    <t>analysis results;
outcomes selected for further analysis;</t>
  </si>
  <si>
    <t>list of stakeholders;
identified causes;
actions to take;</t>
  </si>
  <si>
    <t>list of root causes;
list of affected stakeholders;</t>
  </si>
  <si>
    <t>action proposals;</t>
  </si>
  <si>
    <t>selected action proposals;
action plans;
updated process assets;
grouped common causes;</t>
  </si>
  <si>
    <t>root cause analysis and resolution records;</t>
  </si>
  <si>
    <t>improvement proposals</t>
  </si>
  <si>
    <t>process and project performance analyses;
identified root causes;
identified measures of effectiveness;
action plans;
updated solns. or processes;</t>
  </si>
  <si>
    <t>analysis of change in process performance;
org. improvement proposals;</t>
  </si>
  <si>
    <t>identified candidate processes and solns.;
results of changes;
process control charts before and after proposal;</t>
  </si>
  <si>
    <t>select outcomes that differed from expectation;
investigate causes of outcomes;
address causes and record changes made to address causes;</t>
  </si>
  <si>
    <t>define the scope of the analysis;
collect relevant data;
determine which outcomes to analyse further;</t>
  </si>
  <si>
    <t>identify the affected stakeholders and involve them;
perform causal analysis;
implement actions to address causes;
 assess the impact of the actions taken;
communicate the results;</t>
  </si>
  <si>
    <t>identify stakeholders;
collect data;
follow an org. process for root cause analysis;
record the root causes;</t>
  </si>
  <si>
    <t>develop an action proposal;
record action proposals;</t>
  </si>
  <si>
    <t>analyse action proposals and determine their priorities;
select action proposals to be implemented;
develop action plans for implementation;
implement action plans;
look for similar root causes and take action;</t>
  </si>
  <si>
    <t>record root cause analysis data and make available;</t>
  </si>
  <si>
    <t xml:space="preserve">submit improvement proposals
-&gt; DAR
</t>
  </si>
  <si>
    <t>use control charts to identify signals;
perform root cause analysis;
identify and analyse potential actions;
identify measures of effectiveness;
implement selected actions;</t>
  </si>
  <si>
    <t xml:space="preserve">measure and analyse the change in process performance of affected processes;
determine the impacts of the change on proj. QPPOs;
submit process improvement proposals for the org.;
</t>
  </si>
  <si>
    <t>identify similar processes or solutions;
analyse to determine candidates for change and prioritise;
apply changes to selected processes and communicate results;</t>
  </si>
  <si>
    <t>- Do you have a list of outcomes (opportunities or defects) to investigate?</t>
  </si>
  <si>
    <t xml:space="preserve">- Can you provide us with a list of outcomes (opportunity/defects) for analysis?
</t>
  </si>
  <si>
    <t>- Do you have a list of causes (for outcomes) identified in analysis?
- Do you have a list of actions to address the causes identified?</t>
  </si>
  <si>
    <t xml:space="preserve">- What is the process you follow to determine root causes?
</t>
  </si>
  <si>
    <t>- What actions have you identified to address causes?</t>
  </si>
  <si>
    <t>- What data is recorded about root cause resolution?</t>
  </si>
  <si>
    <t xml:space="preserve">- What root cause improvement proposals have been submitted and implemented?
</t>
  </si>
  <si>
    <t>- What statistical and other quantitative methods are used to perform root cause analysis?</t>
  </si>
  <si>
    <t>- What process performance measures have been used to demonstrate the causal analysis action proposal(s) where effective in achieving the process performance objectives?</t>
  </si>
  <si>
    <t>- Have you implemented the action proposal organisationally? If yes, how did you measure if it was effective?</t>
  </si>
  <si>
    <t>—你是否有一系列结果(机会或缺陷)需要调查?</t>
  </si>
  <si>
    <t xml:space="preserve">—您能提供一份结果(机会/缺陷)列表供我们分析吗?
</t>
  </si>
  <si>
    <t>’—在分析中，你是否有一份原因(结果)列表?
你是否有一系列针对已确定的原因的行动?</t>
  </si>
  <si>
    <t>—你是如何确定根本原因的?</t>
  </si>
  <si>
    <t>——你确定了哪些行动来解决问题?</t>
  </si>
  <si>
    <t>—你如何选择行动建议来解决已识别的原因?</t>
  </si>
  <si>
    <t>’—记录了关于根本原因解决的哪些数据?</t>
  </si>
  <si>
    <t xml:space="preserve">已提交并实施了哪些根本原因的改进建议?
</t>
  </si>
  <si>
    <t>DAR - DECISION ANALYSIS AND RESOLUTION (DAR)</t>
    <phoneticPr fontId="17" type="noConversion"/>
  </si>
  <si>
    <t xml:space="preserve">Make and record decisions using a recorded process that analyzes alternatives. </t>
    <phoneticPr fontId="17" type="noConversion"/>
  </si>
  <si>
    <t xml:space="preserve">Increases the objectivity of decision making and the probability of selecting the optimal solution. </t>
    <phoneticPr fontId="17" type="noConversion"/>
  </si>
  <si>
    <t xml:space="preserve">Define and record the alternatives. </t>
  </si>
  <si>
    <t xml:space="preserve">Make and record the decision. </t>
  </si>
  <si>
    <t xml:space="preserve">Develop, keep updated, and use rules to determine when to follow a recorded process for criteria-based decisions. </t>
  </si>
  <si>
    <t xml:space="preserve">Develop criteria for evaluating alternatives. </t>
  </si>
  <si>
    <t xml:space="preserve">Identify alternative solutions. </t>
  </si>
  <si>
    <t xml:space="preserve">	Select evaluation methods.</t>
  </si>
  <si>
    <t xml:space="preserve">	Evaluate and select solutions using criteria and methods. </t>
  </si>
  <si>
    <t xml:space="preserve">	Develop, keep updated, and use a description of role-based decision authority. </t>
  </si>
  <si>
    <t>statement of the alternatives;</t>
  </si>
  <si>
    <t>record of decisions;</t>
  </si>
  <si>
    <t xml:space="preserve">rules and guidelines for cbdm (DAR guidelines);
list of recorded criteria based decisions;
(DAR points can be specified within a process);
</t>
  </si>
  <si>
    <t>recorded evaluation criteria;</t>
  </si>
  <si>
    <t>recorded alternatives;</t>
  </si>
  <si>
    <t>selected evaluation methods;</t>
  </si>
  <si>
    <t>evaluation results;
assessed risks;
recommended solutions;</t>
  </si>
  <si>
    <t>list of roles and decision-making authority and responsibilities (SODA?);
list of decision authority levels;</t>
  </si>
  <si>
    <t>define the alternatives;
involve stakeholders in defining alternatives;</t>
  </si>
  <si>
    <t>make and record the decision;</t>
  </si>
  <si>
    <t>develop and record rules and guidelines for when to use criteria based decision making (cbdm);
follow rules and guidelines for cbdm;
communicate rules and guidelines;</t>
  </si>
  <si>
    <t>define criteria for evaluating alternative solutions;
define, use, and update the range and weighting for evaluation criteria;</t>
  </si>
  <si>
    <t>research information about similar decisions (internal or external);
identify additional alternatives;
record selected alternatives;</t>
  </si>
  <si>
    <t>select evaluation methods;</t>
  </si>
  <si>
    <t>evaluate alternatives using the cbdm process;
record results;
assess risks of implementation;
record and communicate results for recommended solution;</t>
  </si>
  <si>
    <t>identify, record, update and communicate the roles and levels of decision making authority;</t>
  </si>
  <si>
    <t>- Do you define and record alternative options (in the process he/she execute)?</t>
  </si>
  <si>
    <t>- Do you make and record the decisions on options selected (in the process he/she executes)?</t>
  </si>
  <si>
    <t>- Do you have a set of rules that determine when to follow a recorded process for criteria-based decision making?</t>
  </si>
  <si>
    <t>- At these DAR decision points of your process, how do you develop criteria for evaluating alternatives?</t>
  </si>
  <si>
    <t>- At these DAR decision points, what alternatives have you identified?</t>
  </si>
  <si>
    <t>- At these DAR decision points, what evaluation methods for making a decision have been used?</t>
  </si>
  <si>
    <t>- At these DAR decision points, what decision have you made? Was this based on the alternatives, criteria and decision methods specified previously?</t>
  </si>
  <si>
    <t>- Explain role-based decision authority in your organisation?</t>
  </si>
  <si>
    <t>你是否(在执行的过程中)定义并记录其他备选方案?</t>
  </si>
  <si>
    <t>“-（在执行的过程中），你是否对所选择的选项做出决定并记录下来?”</t>
  </si>
  <si>
    <t>—你是否有一套规则来决定什么时候应该遵循基于标准的决策过程?</t>
  </si>
  <si>
    <t>’—在你们流程的DAR决策点，你们如何制定评估备选方案的标准?</t>
  </si>
  <si>
    <t>’—在DAR决策点，你们确定了哪些备选方案?</t>
  </si>
  <si>
    <t>“在DAR决策点，采用了哪些评估方法来做决策?”</t>
  </si>
  <si>
    <t>在DAR决策点，你做了什么决定?这是基于上述的备选方案、标准和决策方法吗?</t>
  </si>
  <si>
    <t>—解释一下你的组织中基于角色的决策主体?</t>
  </si>
  <si>
    <t>CM - CONFIGURATION MANAGEMENT (CM)</t>
  </si>
  <si>
    <t>Perform version control.</t>
  </si>
  <si>
    <t xml:space="preserve">Identify items to be placed under configuration management. </t>
  </si>
  <si>
    <t xml:space="preserve">Develop, keep updated, and use a configuration and change management system. </t>
  </si>
  <si>
    <t xml:space="preserve">Develop or release baselines for internal use or for delivery to the customer. </t>
  </si>
  <si>
    <t xml:space="preserve">Manage changes to the items under configuration management. </t>
  </si>
  <si>
    <t xml:space="preserve">Develop, keep updated, and use records describing items under configuration management. </t>
  </si>
  <si>
    <t xml:space="preserve">Perform configuration audits to maintain the integrity of configuration baselines, changes, and content of the configuration management system. </t>
  </si>
  <si>
    <t>list of work products and their versions;</t>
  </si>
  <si>
    <t>identified Configuration Items (with details)</t>
  </si>
  <si>
    <t>configuration mgt (CM) system;
change mgt system;
updated CIs;</t>
  </si>
  <si>
    <t>baseline;
software releases;
authorisations;</t>
  </si>
  <si>
    <t>change requests;
results of change impact analysis;
approval board record - CCB minutes;
revision history of CIs;
results of reviews or tests;
revised work products and baselines;</t>
  </si>
  <si>
    <t>revision history or change log of CIs;
change request records;
status of CIs;
differences between baselines;</t>
  </si>
  <si>
    <t>configuration audit or review reports;
action items;</t>
  </si>
  <si>
    <t>list work products to be place under version control, update;
control the versions;</t>
  </si>
  <si>
    <t>assign unique identifiers to CIs;
describe important characteristics for each CI;
specify when each item is placed under CM;</t>
  </si>
  <si>
    <t>describe how CIs and changes are controlled and managed;
establish methods to manage multiple levels of control;
provide access control to CM system;
store and retrieve CIs in the CM system;
preserve the contents of the CM system;
update the CM system as necessary;</t>
  </si>
  <si>
    <t>obtain approval before developing or releasing CI baselines;
develop or release CI baselines in the system;
record the set of CI s in a baseline;
make the CI baselines available;</t>
  </si>
  <si>
    <t>initiate and record change requests;
analyse the impact of change requests;
categorise and prioritise CRs;
review and get agreement on CRs;
track the status of CRs;
incorporate changes;
perform reviews or testing;
record changes;</t>
  </si>
  <si>
    <t>record CM actions in sufficient detail;
ensure stakeholders have access to status of CIs;
specify differences previous, related and latest baselines;
identify the version of CI that constitutes a specific baseline;
revise status and history of CIs;
establish and maintain configuration change histories on CIs;</t>
  </si>
  <si>
    <t>assess the integrity of baselines and generate actions to address issues;
confirm integrity of CM records;
review structure and integrity of CIs;
record and track actions;</t>
  </si>
  <si>
    <t>- Describe how you perform version control.</t>
  </si>
  <si>
    <r>
      <rPr>
        <sz val="9"/>
        <rFont val="Calibri"/>
        <family val="2"/>
      </rPr>
      <t xml:space="preserve">- What items are put under configuration management?
- </t>
    </r>
    <r>
      <rPr>
        <sz val="9"/>
        <color theme="7" tint="-0.499984740745262"/>
        <rFont val="Calibri"/>
        <family val="2"/>
      </rPr>
      <t xml:space="preserve">How do you identify </t>
    </r>
    <r>
      <rPr>
        <b/>
        <sz val="9"/>
        <color theme="7" tint="-0.499984740745262"/>
        <rFont val="Calibri"/>
        <family val="2"/>
      </rPr>
      <t>what items</t>
    </r>
    <r>
      <rPr>
        <sz val="9"/>
        <color theme="7" tint="-0.499984740745262"/>
        <rFont val="Calibri"/>
        <family val="2"/>
      </rPr>
      <t xml:space="preserve"> to put under configuration management?</t>
    </r>
  </si>
  <si>
    <r>
      <rPr>
        <sz val="9"/>
        <rFont val="Calibri"/>
        <family val="2"/>
      </rPr>
      <t xml:space="preserve">- What configuration management </t>
    </r>
    <r>
      <rPr>
        <b/>
        <sz val="9"/>
        <rFont val="Calibri"/>
        <family val="2"/>
      </rPr>
      <t>system(s)</t>
    </r>
    <r>
      <rPr>
        <sz val="9"/>
        <rFont val="Calibri"/>
        <family val="2"/>
      </rPr>
      <t xml:space="preserve"> do you have?</t>
    </r>
  </si>
  <si>
    <r>
      <rPr>
        <sz val="9"/>
        <rFont val="Calibri"/>
        <family val="2"/>
      </rPr>
      <t xml:space="preserve">- Explain how you establish </t>
    </r>
    <r>
      <rPr>
        <b/>
        <sz val="9"/>
        <rFont val="Calibri"/>
        <family val="2"/>
      </rPr>
      <t>software baselines</t>
    </r>
    <r>
      <rPr>
        <sz val="9"/>
        <rFont val="Calibri"/>
        <family val="2"/>
      </rPr>
      <t xml:space="preserve"> for further development?
What authorisations are required before release?
- </t>
    </r>
    <r>
      <rPr>
        <sz val="9"/>
        <color theme="7" tint="-0.499984740745262"/>
        <rFont val="Calibri"/>
        <family val="2"/>
      </rPr>
      <t xml:space="preserve">Explain how you establish </t>
    </r>
    <r>
      <rPr>
        <b/>
        <sz val="9"/>
        <color theme="7" tint="-0.499984740745262"/>
        <rFont val="Calibri"/>
        <family val="2"/>
      </rPr>
      <t>software releases</t>
    </r>
    <r>
      <rPr>
        <sz val="9"/>
        <color theme="7" tint="-0.499984740745262"/>
        <rFont val="Calibri"/>
        <family val="2"/>
      </rPr>
      <t xml:space="preserve"> that form the basis for further development?
What baselines do they develop and release - software, project work products, process … ?</t>
    </r>
  </si>
  <si>
    <r>
      <rPr>
        <sz val="9"/>
        <rFont val="Calibri"/>
        <family val="2"/>
      </rPr>
      <t xml:space="preserve">- How do you </t>
    </r>
    <r>
      <rPr>
        <b/>
        <sz val="9"/>
        <rFont val="Calibri"/>
        <family val="2"/>
      </rPr>
      <t>manage changes</t>
    </r>
    <r>
      <rPr>
        <sz val="9"/>
        <rFont val="Calibri"/>
        <family val="2"/>
      </rPr>
      <t xml:space="preserve"> to items under configuration management?</t>
    </r>
  </si>
  <si>
    <r>
      <rPr>
        <sz val="9"/>
        <rFont val="Calibri"/>
        <family val="2"/>
      </rPr>
      <t xml:space="preserve">- What </t>
    </r>
    <r>
      <rPr>
        <b/>
        <sz val="9"/>
        <rFont val="Calibri"/>
        <family val="2"/>
      </rPr>
      <t>records</t>
    </r>
    <r>
      <rPr>
        <sz val="9"/>
        <rFont val="Calibri"/>
        <family val="2"/>
      </rPr>
      <t xml:space="preserve"> do you maintain on configuration items?</t>
    </r>
  </si>
  <si>
    <r>
      <rPr>
        <sz val="9"/>
        <rFont val="Calibri"/>
        <family val="2"/>
      </rPr>
      <t xml:space="preserve">- How do you ensure the </t>
    </r>
    <r>
      <rPr>
        <b/>
        <sz val="9"/>
        <rFont val="Calibri"/>
        <family val="2"/>
      </rPr>
      <t>integrity of items</t>
    </r>
    <r>
      <rPr>
        <sz val="9"/>
        <rFont val="Calibri"/>
        <family val="2"/>
      </rPr>
      <t xml:space="preserve"> under configuration management?
</t>
    </r>
    <r>
      <rPr>
        <sz val="9"/>
        <color theme="7" tint="-0.499984740745262"/>
        <rFont val="Calibri"/>
        <family val="2"/>
      </rPr>
      <t xml:space="preserve">- How do you ensure the </t>
    </r>
    <r>
      <rPr>
        <b/>
        <sz val="9"/>
        <color theme="7" tint="-0.499984740745262"/>
        <rFont val="Calibri"/>
        <family val="2"/>
      </rPr>
      <t>integrity of baselines</t>
    </r>
    <r>
      <rPr>
        <sz val="9"/>
        <color theme="7" tint="-0.499984740745262"/>
        <rFont val="Calibri"/>
        <family val="2"/>
      </rPr>
      <t xml:space="preserve"> and the integrity of releases?</t>
    </r>
    <r>
      <rPr>
        <sz val="9"/>
        <rFont val="Calibri"/>
        <family val="2"/>
        <scheme val="minor"/>
      </rPr>
      <t xml:space="preserve">
How do you conduct audits, what audits are conducted?</t>
    </r>
  </si>
  <si>
    <r>
      <rPr>
        <sz val="9"/>
        <color theme="7" tint="-0.499984740745262"/>
        <rFont val="Calibri"/>
        <family val="2"/>
      </rPr>
      <t>—</t>
    </r>
    <r>
      <rPr>
        <sz val="9"/>
        <color theme="7" tint="-0.499984740745262"/>
        <rFont val="宋体"/>
        <family val="3"/>
        <charset val="134"/>
      </rPr>
      <t>配置管理下有哪些配置项</t>
    </r>
    <r>
      <rPr>
        <sz val="9"/>
        <color theme="7" tint="-0.499984740745262"/>
        <rFont val="Calibri"/>
        <family val="2"/>
      </rPr>
      <t>?
—</t>
    </r>
    <r>
      <rPr>
        <sz val="9"/>
        <color theme="7" tint="-0.499984740745262"/>
        <rFont val="宋体"/>
        <family val="3"/>
        <charset val="134"/>
      </rPr>
      <t>如何识别需要进行配置管理的配置项</t>
    </r>
    <r>
      <rPr>
        <sz val="9"/>
        <color theme="7" tint="-0.499984740745262"/>
        <rFont val="Calibri"/>
        <family val="2"/>
      </rPr>
      <t>?</t>
    </r>
  </si>
  <si>
    <r>
      <rPr>
        <sz val="9"/>
        <rFont val="宋体"/>
        <family val="3"/>
        <charset val="134"/>
      </rPr>
      <t>你有什么配置管理系统</t>
    </r>
    <r>
      <rPr>
        <sz val="9"/>
        <rFont val="Calibri"/>
        <family val="2"/>
      </rPr>
      <t>?</t>
    </r>
  </si>
  <si>
    <r>
      <rPr>
        <sz val="9"/>
        <color theme="7" tint="-0.499984740745262"/>
        <rFont val="Calibri"/>
        <family val="2"/>
      </rPr>
      <t>—</t>
    </r>
    <r>
      <rPr>
        <sz val="9"/>
        <color theme="7" tint="-0.499984740745262"/>
        <rFont val="宋体"/>
        <family val="3"/>
        <charset val="134"/>
      </rPr>
      <t>解释一下你是如何为进一步的开发建立软件基线的</t>
    </r>
    <r>
      <rPr>
        <sz val="9"/>
        <color theme="7" tint="-0.499984740745262"/>
        <rFont val="Calibri"/>
        <family val="2"/>
      </rPr>
      <t xml:space="preserve">?
</t>
    </r>
    <r>
      <rPr>
        <sz val="9"/>
        <color theme="7" tint="-0.499984740745262"/>
        <rFont val="宋体"/>
        <family val="3"/>
        <charset val="134"/>
      </rPr>
      <t>解释一下你是如何建立软件发行版的，这些发行版是进一步开发的基础</t>
    </r>
    <r>
      <rPr>
        <sz val="9"/>
        <color theme="7" tint="-0.499984740745262"/>
        <rFont val="Calibri"/>
        <family val="2"/>
      </rPr>
      <t>?</t>
    </r>
  </si>
  <si>
    <r>
      <t>—</t>
    </r>
    <r>
      <rPr>
        <sz val="9"/>
        <rFont val="宋体"/>
        <family val="3"/>
        <charset val="134"/>
      </rPr>
      <t>如何在配置管理下管理对配置项的更改</t>
    </r>
    <r>
      <rPr>
        <sz val="9"/>
        <rFont val="Calibri"/>
        <family val="2"/>
      </rPr>
      <t>?</t>
    </r>
  </si>
  <si>
    <r>
      <t>—</t>
    </r>
    <r>
      <rPr>
        <sz val="9"/>
        <rFont val="宋体"/>
        <family val="3"/>
        <charset val="134"/>
      </rPr>
      <t>就配置项，您记录了哪些记录</t>
    </r>
  </si>
  <si>
    <r>
      <rPr>
        <sz val="9"/>
        <color theme="7" tint="-0.499984740745262"/>
        <rFont val="Calibri"/>
        <family val="2"/>
      </rPr>
      <t>—</t>
    </r>
    <r>
      <rPr>
        <sz val="9"/>
        <color theme="7" tint="-0.499984740745262"/>
        <rFont val="宋体"/>
        <family val="3"/>
        <charset val="134"/>
      </rPr>
      <t>如何确保配置管理下配置项的完整性</t>
    </r>
    <r>
      <rPr>
        <sz val="9"/>
        <color theme="7" tint="-0.499984740745262"/>
        <rFont val="Calibri"/>
        <family val="2"/>
      </rPr>
      <t>?
-</t>
    </r>
    <r>
      <rPr>
        <sz val="9"/>
        <color theme="7" tint="-0.499984740745262"/>
        <rFont val="宋体"/>
        <family val="3"/>
        <charset val="134"/>
      </rPr>
      <t>你如何确保基线和发布版本的完整性</t>
    </r>
    <r>
      <rPr>
        <sz val="9"/>
        <color theme="7" tint="-0.499984740745262"/>
        <rFont val="Calibri"/>
        <family val="2"/>
      </rPr>
      <t>?</t>
    </r>
  </si>
  <si>
    <t xml:space="preserve">II - IMPLEMENTATION INFRASTRUCTURE (II) </t>
  </si>
  <si>
    <t>Ensure that the processes important to an organization are persistently and habitually used and improved.</t>
    <phoneticPr fontId="17" type="noConversion"/>
  </si>
  <si>
    <t xml:space="preserve">Sustains the ability to consistently achieve goals and objectives efficiently and effectively. </t>
    <phoneticPr fontId="17" type="noConversion"/>
  </si>
  <si>
    <t xml:space="preserve">Perform processes that address the intent of the Level 1 practices. </t>
  </si>
  <si>
    <r>
      <t xml:space="preserve">Provide </t>
    </r>
    <r>
      <rPr>
        <b/>
        <sz val="10"/>
        <rFont val="Calibri"/>
        <family val="2"/>
        <scheme val="minor"/>
      </rPr>
      <t>sufficient resources, funding, and training</t>
    </r>
    <r>
      <rPr>
        <sz val="10"/>
        <rFont val="Calibri"/>
        <family val="2"/>
        <scheme val="minor"/>
      </rPr>
      <t xml:space="preserve"> for developing and performing processes.</t>
    </r>
  </si>
  <si>
    <r>
      <t xml:space="preserve">Develop and keep </t>
    </r>
    <r>
      <rPr>
        <b/>
        <sz val="10"/>
        <rFont val="Calibri"/>
        <family val="2"/>
        <scheme val="minor"/>
      </rPr>
      <t>processes updated</t>
    </r>
    <r>
      <rPr>
        <sz val="10"/>
        <rFont val="Calibri"/>
        <family val="2"/>
        <scheme val="minor"/>
      </rPr>
      <t xml:space="preserve">, and verify they are being </t>
    </r>
    <r>
      <rPr>
        <b/>
        <sz val="10"/>
        <rFont val="Calibri"/>
        <family val="2"/>
        <scheme val="minor"/>
      </rPr>
      <t>followed</t>
    </r>
    <r>
      <rPr>
        <sz val="10"/>
        <rFont val="Calibri"/>
        <family val="2"/>
        <scheme val="minor"/>
      </rPr>
      <t xml:space="preserve">. </t>
    </r>
  </si>
  <si>
    <r>
      <rPr>
        <b/>
        <sz val="10"/>
        <rFont val="Calibri"/>
        <family val="2"/>
        <scheme val="minor"/>
      </rPr>
      <t>Use organizational processes</t>
    </r>
    <r>
      <rPr>
        <sz val="10"/>
        <rFont val="Calibri"/>
        <family val="2"/>
        <scheme val="minor"/>
      </rPr>
      <t xml:space="preserve"> and process assets to plan, manage, and perform the work. </t>
    </r>
  </si>
  <si>
    <r>
      <rPr>
        <b/>
        <sz val="10"/>
        <rFont val="Calibri"/>
        <family val="2"/>
        <scheme val="minor"/>
      </rPr>
      <t>Evaluate the adherence to and effectiveness of</t>
    </r>
    <r>
      <rPr>
        <sz val="10"/>
        <rFont val="Calibri"/>
        <family val="2"/>
        <scheme val="minor"/>
      </rPr>
      <t xml:space="preserve"> the organizational processes. </t>
    </r>
  </si>
  <si>
    <r>
      <rPr>
        <b/>
        <sz val="10"/>
        <rFont val="Calibri"/>
        <family val="2"/>
        <scheme val="minor"/>
      </rPr>
      <t>Contribute process-related information</t>
    </r>
    <r>
      <rPr>
        <sz val="10"/>
        <rFont val="Calibri"/>
        <family val="2"/>
        <scheme val="minor"/>
      </rPr>
      <t xml:space="preserve"> or process assets to the organization. </t>
    </r>
  </si>
  <si>
    <t>outputs of processes;
process compliance check;</t>
  </si>
  <si>
    <t>budget for resources;
training materials, records;
list of people, roles, skills;
Process Group (EPG);
tools;</t>
  </si>
  <si>
    <t>process documentation;
process verification results;</t>
  </si>
  <si>
    <t>tailored process;
organisational process assets;
tailoring guidelines;</t>
  </si>
  <si>
    <t>evaluation results;
analysis results;
improvement proposals;
process compliance audit</t>
  </si>
  <si>
    <t>examples, best practices, lessons learned;
tailoring records;
process improvements registered;</t>
  </si>
  <si>
    <t>processes are performed (can be ad-hoc);</t>
  </si>
  <si>
    <t>make budget available for a process group;
establish a process group structure;</t>
  </si>
  <si>
    <t>identify process purpose;
determine format;
describe process;
perform process;
validate process is followed;
review and update processes;
communicate and make available;</t>
  </si>
  <si>
    <t>plan work using org. processes (includes tailoring);
manage work using org. processes;
perform work using org. processes;</t>
  </si>
  <si>
    <t>evaluate processes for effectiveness and usefulness;
analyse process pereformance;
examine results of evaluations, appraisals, audits;
record and communicate results;
submit improvements;</t>
  </si>
  <si>
    <t>collect and record best practice, lessons learned, and tailoring info.;
submit assets for inclusion in the PAL;
propose improvements;</t>
  </si>
  <si>
    <t>-Do you follow a process? 
- How can this be shown?</t>
  </si>
  <si>
    <r>
      <t xml:space="preserve">-What </t>
    </r>
    <r>
      <rPr>
        <b/>
        <sz val="9"/>
        <rFont val="Calibri"/>
        <family val="2"/>
        <scheme val="minor"/>
      </rPr>
      <t>resources</t>
    </r>
    <r>
      <rPr>
        <sz val="9"/>
        <rFont val="Calibri"/>
        <family val="2"/>
        <scheme val="minor"/>
      </rPr>
      <t xml:space="preserve"> are made available </t>
    </r>
    <r>
      <rPr>
        <b/>
        <sz val="9"/>
        <rFont val="Calibri"/>
        <family val="2"/>
        <scheme val="minor"/>
      </rPr>
      <t>for developing</t>
    </r>
    <r>
      <rPr>
        <sz val="9"/>
        <rFont val="Calibri"/>
        <family val="2"/>
        <scheme val="minor"/>
      </rPr>
      <t xml:space="preserve"> process? (people, budget, tools)
-How do you </t>
    </r>
    <r>
      <rPr>
        <b/>
        <sz val="9"/>
        <rFont val="Calibri"/>
        <family val="2"/>
        <scheme val="minor"/>
      </rPr>
      <t>find out</t>
    </r>
    <r>
      <rPr>
        <sz val="9"/>
        <rFont val="Calibri"/>
        <family val="2"/>
        <scheme val="minor"/>
      </rPr>
      <t xml:space="preserve"> about the processes in the process library?
-What happens if there are </t>
    </r>
    <r>
      <rPr>
        <b/>
        <sz val="9"/>
        <rFont val="Calibri"/>
        <family val="2"/>
        <scheme val="minor"/>
      </rPr>
      <t>new processes</t>
    </r>
    <r>
      <rPr>
        <sz val="9"/>
        <rFont val="Calibri"/>
        <family val="2"/>
        <scheme val="minor"/>
      </rPr>
      <t xml:space="preserve"> or process </t>
    </r>
    <r>
      <rPr>
        <b/>
        <sz val="9"/>
        <rFont val="Calibri"/>
        <family val="2"/>
        <scheme val="minor"/>
      </rPr>
      <t>updates</t>
    </r>
    <r>
      <rPr>
        <sz val="9"/>
        <rFont val="Calibri"/>
        <family val="2"/>
        <scheme val="minor"/>
      </rPr>
      <t xml:space="preserve">?
-Is </t>
    </r>
    <r>
      <rPr>
        <b/>
        <sz val="9"/>
        <rFont val="Calibri"/>
        <family val="2"/>
        <scheme val="minor"/>
      </rPr>
      <t>refresher training</t>
    </r>
    <r>
      <rPr>
        <sz val="9"/>
        <rFont val="Calibri"/>
        <family val="2"/>
        <scheme val="minor"/>
      </rPr>
      <t xml:space="preserve"> provided on the processes? (there may be small changes that have been put in place over a period of time)? 
</t>
    </r>
    <r>
      <rPr>
        <b/>
        <sz val="9"/>
        <rFont val="Calibri"/>
        <family val="2"/>
        <scheme val="minor"/>
      </rPr>
      <t>How often</t>
    </r>
    <r>
      <rPr>
        <sz val="9"/>
        <rFont val="Calibri"/>
        <family val="2"/>
        <scheme val="minor"/>
      </rPr>
      <t xml:space="preserve"> have you received refresher training?</t>
    </r>
  </si>
  <si>
    <t>- What process(es) do you follow?
- Are they all documented?
- Who checks that the processes are followed correctly? 
and templates are filled in correctly?</t>
  </si>
  <si>
    <t>- Do you have a standard process for doing your work?
- How do you apply the process in your work?
Escalation rules?</t>
  </si>
  <si>
    <t>- How is compliance to the processes checked?</t>
  </si>
  <si>
    <t>- Do you submit process improvements to the processes that you follow?
- If so how? 
- How do you know what process improvement suggestions have been submitted to the processes that you follow?
Lessons learned?</t>
  </si>
  <si>
    <t>开发过程中可用的资源是什么?(人、预算工具)
你如何找到过程库中的过程?
如果有新的过程或过程更新怎么办?
是否提供有关过程的进修培训?(在一段时间内可能会有一些小的改变)?
你多久接受一次进修训练?</t>
  </si>
  <si>
    <t>你遵循什么流程?
都得到了记录吗？
谁来检查您是否正确遵守了流程、正确使用了模板？</t>
  </si>
  <si>
    <t>—你是否有一个标准的工作流程?
在工作中你是如何运用这个过程的?
升级规则?</t>
  </si>
  <si>
    <t>—如何检查流程的合规性?</t>
  </si>
  <si>
    <t>—您是否向您所遵循的流程提交流程改进?
 是的话，怎么提交的？
你如何知道哪些过程改进建议已经提交给你所遵循的过程?
经验教训呢？</t>
  </si>
  <si>
    <t>What training on writing / developing new processes?</t>
  </si>
  <si>
    <t>How easy is it to find the processes?</t>
  </si>
  <si>
    <t>Do you know what the process is to submit process improvement suggestions?</t>
  </si>
  <si>
    <t>Are you trained on the concepts / requirements of high maturity? SPC</t>
  </si>
  <si>
    <t xml:space="preserve">Intent </t>
    <phoneticPr fontId="17" type="noConversion"/>
  </si>
  <si>
    <t xml:space="preserve">Provides guidance to senior management on their role in the sponsorship and governance of process activities. </t>
    <phoneticPr fontId="17" type="noConversion"/>
  </si>
  <si>
    <t xml:space="preserve">Value </t>
    <phoneticPr fontId="17" type="noConversion"/>
  </si>
  <si>
    <t xml:space="preserve">Minimizes the cost of process implementation, increases the likelihood of meeting objectives, and ensures that the implemented processes support and contribute to the success of the business. </t>
    <phoneticPr fontId="17" type="noConversion"/>
  </si>
  <si>
    <t xml:space="preserve">Senior management identifies what is important for doing the work and defines the approach needed to accomplish the objectives of the organization. </t>
  </si>
  <si>
    <r>
      <t xml:space="preserve">Senior management defines, keeps updated, and </t>
    </r>
    <r>
      <rPr>
        <b/>
        <sz val="10"/>
        <rFont val="Calibri"/>
        <family val="2"/>
        <scheme val="minor"/>
      </rPr>
      <t>communicates organizational directives</t>
    </r>
    <r>
      <rPr>
        <sz val="10"/>
        <rFont val="Calibri"/>
        <family val="2"/>
        <scheme val="minor"/>
      </rPr>
      <t xml:space="preserve"> for process implementation and improvement based on organization needs and objectives. </t>
    </r>
  </si>
  <si>
    <r>
      <t xml:space="preserve">Senior management ensures </t>
    </r>
    <r>
      <rPr>
        <b/>
        <sz val="10"/>
        <rFont val="Calibri"/>
        <family val="2"/>
        <scheme val="minor"/>
      </rPr>
      <t>resources and training</t>
    </r>
    <r>
      <rPr>
        <sz val="10"/>
        <rFont val="Calibri"/>
        <family val="2"/>
        <scheme val="minor"/>
      </rPr>
      <t xml:space="preserve"> are provided for developing, supporting, performing, improving, and evaluating adherence to expected processes. </t>
    </r>
  </si>
  <si>
    <r>
      <t xml:space="preserve">Senior management </t>
    </r>
    <r>
      <rPr>
        <b/>
        <sz val="10"/>
        <rFont val="Calibri"/>
        <family val="2"/>
        <scheme val="minor"/>
      </rPr>
      <t>identifies their information needs</t>
    </r>
    <r>
      <rPr>
        <sz val="10"/>
        <rFont val="Calibri"/>
        <family val="2"/>
        <scheme val="minor"/>
      </rPr>
      <t xml:space="preserve">, and uses the collected information to provide governance and oversight of effective process implementation and improvement. </t>
    </r>
  </si>
  <si>
    <r>
      <t xml:space="preserve">Senior management </t>
    </r>
    <r>
      <rPr>
        <b/>
        <sz val="10"/>
        <rFont val="Calibri"/>
        <family val="2"/>
        <scheme val="minor"/>
      </rPr>
      <t>holds people accountable</t>
    </r>
    <r>
      <rPr>
        <sz val="10"/>
        <rFont val="Calibri"/>
        <family val="2"/>
        <scheme val="minor"/>
      </rPr>
      <t xml:space="preserve"> for adhering to organization directives and achieving process implementation and improvement objectives. </t>
    </r>
  </si>
  <si>
    <r>
      <t xml:space="preserve">	Senior management ensures that </t>
    </r>
    <r>
      <rPr>
        <b/>
        <sz val="10"/>
        <rFont val="Calibri"/>
        <family val="2"/>
        <scheme val="minor"/>
      </rPr>
      <t>measures supporting objectives</t>
    </r>
    <r>
      <rPr>
        <sz val="10"/>
        <rFont val="Calibri"/>
        <family val="2"/>
        <scheme val="minor"/>
      </rPr>
      <t xml:space="preserve"> throughout the organization are </t>
    </r>
    <r>
      <rPr>
        <b/>
        <sz val="10"/>
        <rFont val="Calibri"/>
        <family val="2"/>
        <scheme val="minor"/>
      </rPr>
      <t>collected, analysed, and used</t>
    </r>
    <r>
      <rPr>
        <sz val="10"/>
        <rFont val="Calibri"/>
        <family val="2"/>
        <scheme val="minor"/>
      </rPr>
      <t xml:space="preserve">. </t>
    </r>
  </si>
  <si>
    <r>
      <t xml:space="preserve">Senior management ensures that </t>
    </r>
    <r>
      <rPr>
        <b/>
        <sz val="10"/>
        <rFont val="Calibri"/>
        <family val="2"/>
        <scheme val="minor"/>
      </rPr>
      <t>competencies and processes are aligned</t>
    </r>
    <r>
      <rPr>
        <sz val="10"/>
        <rFont val="Calibri"/>
        <family val="2"/>
        <scheme val="minor"/>
      </rPr>
      <t xml:space="preserve"> with the objectives of the organization. </t>
    </r>
  </si>
  <si>
    <r>
      <t xml:space="preserve">Senior management ensures that </t>
    </r>
    <r>
      <rPr>
        <b/>
        <sz val="10"/>
        <rFont val="Calibri"/>
        <family val="2"/>
        <scheme val="minor"/>
      </rPr>
      <t>selected decisions are driven by statistical and quantitative analysis</t>
    </r>
    <r>
      <rPr>
        <sz val="10"/>
        <rFont val="Calibri"/>
        <family val="2"/>
        <scheme val="minor"/>
      </rPr>
      <t xml:space="preserve"> related to performance and achievement of quality and process performance objectives. </t>
    </r>
  </si>
  <si>
    <t>identification of importance of and approach to improvement;
records of review and communications
(improvement approach/strategy);
(improvement targets);</t>
  </si>
  <si>
    <t>org. improvement directives;
records of communication;</t>
  </si>
  <si>
    <t>recorded allocation of needed funding and resources approved by snr mgt.;
records of reviews of communications;</t>
  </si>
  <si>
    <t xml:space="preserve">snr. mgt. information needs;
standard reporting format or agenda for review with snr mgt;
list of measures;
review results;
</t>
  </si>
  <si>
    <t>action items related to accountability;
rewards, recognitions, and incentives;
consequences;</t>
  </si>
  <si>
    <t>updated organisation measurement repository;
status reports, actions and decisions;
updated org. directives and objectives;</t>
  </si>
  <si>
    <t>results of strategy and process reviews and discussions;
reviews and comparisons between the organisations competencies and processes to be executed;</t>
  </si>
  <si>
    <t>results of strategy, process performance, and progress reviews and decision analyses;
communicated results;</t>
  </si>
  <si>
    <t>determine how the organisation will improve;
set the approach for improvement;
'communicate the results of improvement;</t>
  </si>
  <si>
    <t>define org. directives based on guiding principles;
review and refine process implementation and improvement objectives to ensure alignment with guiding principles;
communicates improvement directives;
reviews and updates improvement directives on a periodic basis;</t>
  </si>
  <si>
    <t>approves and provides funding and resources needed to develop, perform, improve and monitor the process;
reviews, revises, communicates, assignment of needed funding, personnel, and resources to develop, perform, improve and monitor the process;
review and refine the allocation of budget and resources;</t>
  </si>
  <si>
    <t>identifies and updates their information needs realted to process capability, improvement, and perf. Objectives;
ensure that measures supporting the org. objectives are defined;
reviews activities, accomplishments, status, and results of process implementation and improvement activities;
oversee updates to the process;
implementation and improvement plans;
oversees the appropriate integration of measurement and analysis activities into all org. processes;</t>
  </si>
  <si>
    <t>reviews issues and trends related to deploying and improving org. processes;
directs corrective actions when - org. obj. not met, issues identified, implementation and improvement progress deviates from plan;
provides incentives for improvement;</t>
  </si>
  <si>
    <t>ensures measures are collected, analysed and used;
directs corrective actions relating to collecting, analysing, and using measures;</t>
  </si>
  <si>
    <t>review the status of competencies, objectives and processes (alignment);
record and communicate results;</t>
  </si>
  <si>
    <t>review and discuss strategy, process performance, decisions and progress;
record and communicate results;</t>
  </si>
  <si>
    <t xml:space="preserve">* How does senior management identify what is important for doing work? 
* How does senior management define the approach needed to accomplish the objectives of the organisation?	 </t>
  </si>
  <si>
    <r>
      <rPr>
        <sz val="10"/>
        <color rgb="FFFF0000"/>
        <rFont val="Calibri"/>
        <family val="2"/>
        <scheme val="minor"/>
      </rPr>
      <t>*How do senior management communicate organisational process improvement objectives to you?</t>
    </r>
    <r>
      <rPr>
        <sz val="10"/>
        <rFont val="Calibri"/>
        <family val="2"/>
        <scheme val="minor"/>
      </rPr>
      <t xml:space="preserve">
* What organisational objectives have senior management defined and communicated?
- QPPOs
</t>
    </r>
    <r>
      <rPr>
        <sz val="10"/>
        <color theme="7" tint="-0.499984740745262"/>
        <rFont val="Calibri"/>
        <family val="2"/>
        <scheme val="minor"/>
      </rPr>
      <t xml:space="preserve">*Are these objectives to be achieved through process improvements?
</t>
    </r>
  </si>
  <si>
    <r>
      <rPr>
        <sz val="10"/>
        <color rgb="FFFF0000"/>
        <rFont val="Calibri"/>
        <family val="2"/>
        <scheme val="minor"/>
      </rPr>
      <t xml:space="preserve">* What resources and training have you (senior management) provided for 
1) </t>
    </r>
    <r>
      <rPr>
        <b/>
        <sz val="10"/>
        <color rgb="FFFF0000"/>
        <rFont val="Calibri"/>
        <family val="2"/>
        <scheme val="minor"/>
      </rPr>
      <t xml:space="preserve">developing, supporting, </t>
    </r>
    <r>
      <rPr>
        <sz val="10"/>
        <color rgb="FFFF0000"/>
        <rFont val="Calibri"/>
        <family val="2"/>
        <scheme val="minor"/>
      </rPr>
      <t xml:space="preserve">
2) </t>
    </r>
    <r>
      <rPr>
        <b/>
        <sz val="10"/>
        <color rgb="FFFF0000"/>
        <rFont val="Calibri"/>
        <family val="2"/>
        <scheme val="minor"/>
      </rPr>
      <t>performing</t>
    </r>
    <r>
      <rPr>
        <sz val="10"/>
        <color rgb="FFFF0000"/>
        <rFont val="Calibri"/>
        <family val="2"/>
        <scheme val="minor"/>
      </rPr>
      <t xml:space="preserve">, 
3) </t>
    </r>
    <r>
      <rPr>
        <b/>
        <sz val="10"/>
        <color rgb="FFFF0000"/>
        <rFont val="Calibri"/>
        <family val="2"/>
        <scheme val="minor"/>
      </rPr>
      <t>improving</t>
    </r>
    <r>
      <rPr>
        <sz val="10"/>
        <color rgb="FFFF0000"/>
        <rFont val="Calibri"/>
        <family val="2"/>
        <scheme val="minor"/>
      </rPr>
      <t xml:space="preserve"> and 
4) </t>
    </r>
    <r>
      <rPr>
        <b/>
        <sz val="10"/>
        <color rgb="FFFF0000"/>
        <rFont val="Calibri"/>
        <family val="2"/>
        <scheme val="minor"/>
      </rPr>
      <t>evaluating adherence</t>
    </r>
    <r>
      <rPr>
        <sz val="10"/>
        <color rgb="FFFF0000"/>
        <rFont val="Calibri"/>
        <family val="2"/>
        <scheme val="minor"/>
      </rPr>
      <t xml:space="preserve"> to expected processes?
</t>
    </r>
    <r>
      <rPr>
        <sz val="10"/>
        <rFont val="Calibri"/>
        <family val="2"/>
        <scheme val="minor"/>
      </rPr>
      <t>* How do you/they assess what is needed?
*</t>
    </r>
    <r>
      <rPr>
        <sz val="10"/>
        <color theme="7" tint="-0.499984740745262"/>
        <rFont val="Calibri"/>
        <family val="2"/>
        <scheme val="minor"/>
      </rPr>
      <t xml:space="preserve"> How do you/they </t>
    </r>
    <r>
      <rPr>
        <b/>
        <sz val="10"/>
        <color theme="7" tint="-0.499984740745262"/>
        <rFont val="Calibri"/>
        <family val="2"/>
        <scheme val="minor"/>
      </rPr>
      <t>provide resources and training</t>
    </r>
    <r>
      <rPr>
        <sz val="10"/>
        <color theme="7" tint="-0.499984740745262"/>
        <rFont val="Calibri"/>
        <family val="2"/>
        <scheme val="minor"/>
      </rPr>
      <t xml:space="preserve">?
</t>
    </r>
  </si>
  <si>
    <r>
      <t xml:space="preserve">*How do senior management provide governance and oversight of the implementation of </t>
    </r>
    <r>
      <rPr>
        <b/>
        <sz val="10"/>
        <color rgb="FFFF0000"/>
        <rFont val="Calibri"/>
        <family val="2"/>
        <scheme val="minor"/>
      </rPr>
      <t>effective process improvements</t>
    </r>
    <r>
      <rPr>
        <sz val="10"/>
        <color rgb="FFFF0000"/>
        <rFont val="Calibri"/>
        <family val="2"/>
        <scheme val="minor"/>
      </rPr>
      <t xml:space="preserve">?
</t>
    </r>
    <r>
      <rPr>
        <sz val="10"/>
        <color theme="7" tint="-0.499984740745262"/>
        <rFont val="Calibri"/>
        <family val="2"/>
        <scheme val="minor"/>
      </rPr>
      <t xml:space="preserve">
* How do senior management </t>
    </r>
    <r>
      <rPr>
        <b/>
        <sz val="10"/>
        <color theme="7" tint="-0.499984740745262"/>
        <rFont val="Calibri"/>
        <family val="2"/>
        <scheme val="minor"/>
      </rPr>
      <t>obtain oversight</t>
    </r>
    <r>
      <rPr>
        <sz val="10"/>
        <color theme="7" tint="-0.499984740745262"/>
        <rFont val="Calibri"/>
        <family val="2"/>
        <scheme val="minor"/>
      </rPr>
      <t xml:space="preserve"> of effective process implementation and improvement and </t>
    </r>
    <r>
      <rPr>
        <b/>
        <sz val="10"/>
        <color theme="7" tint="-0.499984740745262"/>
        <rFont val="Calibri"/>
        <family val="2"/>
        <scheme val="minor"/>
      </rPr>
      <t>provide governance</t>
    </r>
    <r>
      <rPr>
        <sz val="10"/>
        <color theme="7" tint="-0.499984740745262"/>
        <rFont val="Calibri"/>
        <family val="2"/>
        <scheme val="minor"/>
      </rPr>
      <t>?</t>
    </r>
  </si>
  <si>
    <r>
      <rPr>
        <sz val="10"/>
        <color rgb="FFFF0000"/>
        <rFont val="Calibri"/>
        <family val="2"/>
        <scheme val="minor"/>
      </rPr>
      <t xml:space="preserve">* How do senior management </t>
    </r>
    <r>
      <rPr>
        <b/>
        <sz val="10"/>
        <color rgb="FFFF0000"/>
        <rFont val="Calibri"/>
        <family val="2"/>
        <scheme val="minor"/>
      </rPr>
      <t>hold people/you accountable</t>
    </r>
    <r>
      <rPr>
        <sz val="10"/>
        <color rgb="FFFF0000"/>
        <rFont val="Calibri"/>
        <family val="2"/>
        <scheme val="minor"/>
      </rPr>
      <t xml:space="preserve"> for the achievement of process improvement objectives?</t>
    </r>
    <r>
      <rPr>
        <sz val="10"/>
        <color theme="7" tint="-0.499984740745262"/>
        <rFont val="Calibri"/>
        <family val="2"/>
        <scheme val="minor"/>
      </rPr>
      <t xml:space="preserve">
</t>
    </r>
    <r>
      <rPr>
        <sz val="10"/>
        <rFont val="Calibri"/>
        <family val="2"/>
        <scheme val="minor"/>
      </rPr>
      <t xml:space="preserve">
* cash bonus driven - to what level?
* what level of decision authority does a PM normally have?
eg. resourcing, hardware, budget and spend
* Is this information stored somewhere?
authority levels set at certain cost amounts</t>
    </r>
  </si>
  <si>
    <r>
      <t xml:space="preserve">* How do senior management </t>
    </r>
    <r>
      <rPr>
        <b/>
        <sz val="10"/>
        <color rgb="FFFF0000"/>
        <rFont val="Calibri"/>
        <family val="2"/>
        <scheme val="minor"/>
      </rPr>
      <t>ensure that measures supporting objectives are collected, analysed and used</t>
    </r>
    <r>
      <rPr>
        <sz val="10"/>
        <color rgb="FFFF0000"/>
        <rFont val="Calibri"/>
        <family val="2"/>
        <scheme val="minor"/>
      </rPr>
      <t xml:space="preserve">?	 
</t>
    </r>
    <r>
      <rPr>
        <sz val="10"/>
        <color theme="7" tint="-0.499984740745262"/>
        <rFont val="Calibri"/>
        <family val="2"/>
        <scheme val="minor"/>
      </rPr>
      <t xml:space="preserve">
* How do senior management ensure that the </t>
    </r>
    <r>
      <rPr>
        <b/>
        <sz val="10"/>
        <color theme="7" tint="-0.499984740745262"/>
        <rFont val="Calibri"/>
        <family val="2"/>
        <scheme val="minor"/>
      </rPr>
      <t>measures</t>
    </r>
    <r>
      <rPr>
        <sz val="10"/>
        <color theme="7" tint="-0.499984740745262"/>
        <rFont val="Calibri"/>
        <family val="2"/>
        <scheme val="minor"/>
      </rPr>
      <t xml:space="preserve"> supporting organisational objectives are </t>
    </r>
    <r>
      <rPr>
        <b/>
        <sz val="10"/>
        <color theme="7" tint="-0.499984740745262"/>
        <rFont val="Calibri"/>
        <family val="2"/>
        <scheme val="minor"/>
      </rPr>
      <t xml:space="preserve">collected and used?
*what role does SM play in ensuring alignment between business strategy, business objectives and process performance objctives
* </t>
    </r>
    <r>
      <rPr>
        <sz val="10"/>
        <color theme="7" tint="-0.499984740745262"/>
        <rFont val="Calibri"/>
        <family val="2"/>
        <scheme val="minor"/>
      </rPr>
      <t xml:space="preserve">What process performance objective measurements do you collect for senior management? </t>
    </r>
  </si>
  <si>
    <r>
      <t xml:space="preserve">*How do senior management ensure that </t>
    </r>
    <r>
      <rPr>
        <b/>
        <sz val="10"/>
        <color rgb="FFFF0000"/>
        <rFont val="Calibri"/>
        <family val="2"/>
        <scheme val="minor"/>
      </rPr>
      <t xml:space="preserve">competencies and processes </t>
    </r>
    <r>
      <rPr>
        <sz val="10"/>
        <color rgb="FFFF0000"/>
        <rFont val="Calibri"/>
        <family val="2"/>
        <scheme val="minor"/>
      </rPr>
      <t xml:space="preserve">align with the goals of the organisation?
</t>
    </r>
    <r>
      <rPr>
        <sz val="10"/>
        <color theme="7" tint="-0.499984740745262"/>
        <rFont val="Calibri"/>
        <family val="2"/>
        <scheme val="minor"/>
      </rPr>
      <t xml:space="preserve">* How do senior management ensure that </t>
    </r>
    <r>
      <rPr>
        <b/>
        <sz val="10"/>
        <color theme="7" tint="-0.499984740745262"/>
        <rFont val="Calibri"/>
        <family val="2"/>
        <scheme val="minor"/>
      </rPr>
      <t>competencies and processes align</t>
    </r>
    <r>
      <rPr>
        <sz val="10"/>
        <color theme="7" tint="-0.499984740745262"/>
        <rFont val="Calibri"/>
        <family val="2"/>
        <scheme val="minor"/>
      </rPr>
      <t xml:space="preserve"> with the goals of the organisation?</t>
    </r>
    <r>
      <rPr>
        <sz val="10"/>
        <color rgb="FFFF0000"/>
        <rFont val="Calibri"/>
        <family val="2"/>
        <scheme val="minor"/>
      </rPr>
      <t xml:space="preserve">
- technical 
- behavioural 
*do senior management have kpis that directly reflect the process performance and improvement targets?
*If so, can you describe one or more functions and their targets?
*what accountability does senior management have for the performance and improvement of key processes</t>
    </r>
  </si>
  <si>
    <r>
      <t xml:space="preserve">*How do senior management ensure that selected (key or important business) decisions are driven by statistical and quantitative analysis? 
*to what extent do you use statistical analysis </t>
    </r>
    <r>
      <rPr>
        <b/>
        <sz val="10"/>
        <color rgb="FFFF0000"/>
        <rFont val="Calibri"/>
        <family val="2"/>
        <scheme val="minor"/>
      </rPr>
      <t>to set objectives</t>
    </r>
    <r>
      <rPr>
        <sz val="10"/>
        <color rgb="FFFF0000"/>
        <rFont val="Calibri"/>
        <family val="2"/>
        <scheme val="minor"/>
      </rPr>
      <t>? and
*</t>
    </r>
    <r>
      <rPr>
        <b/>
        <sz val="10"/>
        <color rgb="FFFF0000"/>
        <rFont val="Calibri"/>
        <family val="2"/>
        <scheme val="minor"/>
      </rPr>
      <t>to measure achievement</t>
    </r>
    <r>
      <rPr>
        <sz val="10"/>
        <color rgb="FFFF0000"/>
        <rFont val="Calibri"/>
        <family val="2"/>
        <scheme val="minor"/>
      </rPr>
      <t xml:space="preserve"> of objectives?
- </t>
    </r>
    <r>
      <rPr>
        <sz val="10"/>
        <color theme="7" tint="-0.499984740745262"/>
        <rFont val="Calibri"/>
        <family val="2"/>
        <scheme val="minor"/>
      </rPr>
      <t xml:space="preserve">How do you </t>
    </r>
    <r>
      <rPr>
        <b/>
        <sz val="10"/>
        <color theme="7" tint="-0.499984740745262"/>
        <rFont val="Calibri"/>
        <family val="2"/>
        <scheme val="minor"/>
      </rPr>
      <t>use the statistical analysis</t>
    </r>
    <r>
      <rPr>
        <sz val="10"/>
        <color theme="7" tint="-0.499984740745262"/>
        <rFont val="Calibri"/>
        <family val="2"/>
        <scheme val="minor"/>
      </rPr>
      <t xml:space="preserve"> provided to senior management to</t>
    </r>
    <r>
      <rPr>
        <b/>
        <sz val="10"/>
        <color theme="7" tint="-0.499984740745262"/>
        <rFont val="Calibri"/>
        <family val="2"/>
        <scheme val="minor"/>
      </rPr>
      <t xml:space="preserve"> set your objectives</t>
    </r>
    <r>
      <rPr>
        <sz val="10"/>
        <color theme="7" tint="-0.499984740745262"/>
        <rFont val="Calibri"/>
        <family val="2"/>
        <scheme val="minor"/>
      </rPr>
      <t xml:space="preserve">? and
*to </t>
    </r>
    <r>
      <rPr>
        <b/>
        <sz val="10"/>
        <color theme="7" tint="-0.499984740745262"/>
        <rFont val="Calibri"/>
        <family val="2"/>
        <scheme val="minor"/>
      </rPr>
      <t xml:space="preserve">measure the achievement </t>
    </r>
    <r>
      <rPr>
        <sz val="10"/>
        <color theme="7" tint="-0.499984740745262"/>
        <rFont val="Calibri"/>
        <family val="2"/>
        <scheme val="minor"/>
      </rPr>
      <t>of your objectives?
'*what process performance measurement and analysis is reported at an executive level? And how often?</t>
    </r>
  </si>
  <si>
    <t xml:space="preserve"> “*高级管理层如何确定工作中什么是重要的?”
*高级管理层如何定义实现组织目标所需的方法?</t>
  </si>
  <si>
    <r>
      <t>“*高层管理人员如何向你传达组织过程改进目标?”</t>
    </r>
    <r>
      <rPr>
        <sz val="10"/>
        <rFont val="Calibri"/>
        <family val="2"/>
        <scheme val="minor"/>
      </rPr>
      <t xml:space="preserve">
*高级管理层确定并传达了哪些组织目标?
</t>
    </r>
    <r>
      <rPr>
        <sz val="10"/>
        <color theme="7" tint="-0.499984740745262"/>
        <rFont val="Calibri"/>
        <family val="2"/>
        <scheme val="minor"/>
      </rPr>
      <t xml:space="preserve">*这些目标是通过过程改进来实现的吗?
</t>
    </r>
  </si>
  <si>
    <r>
      <t xml:space="preserve">你(高级管理层)提供了什么资源和培训
1)开发、支持、
2)执行,
3)改善和
4)评估对预期过程的坚持?
</t>
    </r>
    <r>
      <rPr>
        <sz val="10"/>
        <rFont val="Calibri"/>
        <family val="2"/>
        <scheme val="minor"/>
      </rPr>
      <t>你/他们如何评估需要什么?</t>
    </r>
    <r>
      <rPr>
        <sz val="10"/>
        <color theme="7" tint="-0.499984740745262"/>
        <rFont val="Calibri"/>
        <family val="2"/>
        <scheme val="minor"/>
      </rPr>
      <t xml:space="preserve">
你/他们如何提供资源和培训?
</t>
    </r>
  </si>
  <si>
    <r>
      <t xml:space="preserve">*高级管理层如何提供治理和监督有效流程改进的实施?
</t>
    </r>
    <r>
      <rPr>
        <sz val="10"/>
        <color theme="7" tint="-0.499984740745262"/>
        <rFont val="Calibri"/>
        <family val="2"/>
        <scheme val="minor"/>
      </rPr>
      <t>*高级管理层如何监督有效的过程实施和改进，并提供治理?</t>
    </r>
  </si>
  <si>
    <r>
      <t>*高级管理层如何让员工/你对过程改进目标的实现负责?”</t>
    </r>
    <r>
      <rPr>
        <sz val="10"/>
        <color theme="7" tint="-0.499984740745262"/>
        <rFont val="Calibri"/>
        <family val="2"/>
        <scheme val="minor"/>
      </rPr>
      <t xml:space="preserve">
</t>
    </r>
    <r>
      <rPr>
        <sz val="10"/>
        <rFont val="Calibri"/>
        <family val="2"/>
        <scheme val="minor"/>
      </rPr>
      <t>现金奖金驱动-到什么水平?
*项目经理通常拥有什么样的决策权?
如资源，硬件，预算和支出
*这些信息是否存储在某个地方?
权力级别按一定的成本数额设定</t>
    </r>
  </si>
  <si>
    <r>
      <t xml:space="preserve">“*高级管理层如何确保收集、分析和使用支持目标的度量项?
</t>
    </r>
    <r>
      <rPr>
        <b/>
        <sz val="10"/>
        <color theme="7" tint="-0.499984740745262"/>
        <rFont val="Calibri"/>
        <family val="2"/>
        <scheme val="minor"/>
      </rPr>
      <t xml:space="preserve">“*高级管理层如何确保收集、分析和使用支持组织目标的度量项?
高层在确保业务战略、业务目标和过程性能目标之间的一致方面扮演什么角色
</t>
    </r>
    <r>
      <rPr>
        <sz val="10"/>
        <color theme="7" tint="-0.499984740745262"/>
        <rFont val="Calibri"/>
        <family val="2"/>
        <scheme val="minor"/>
      </rPr>
      <t xml:space="preserve"> *您为高级管理层收集了哪些过程绩效目标度量数据?</t>
    </r>
  </si>
  <si>
    <t>“*高级管理层如何确保能力和流程与组织的目标相一致?”
*高级管理层如何确保能力和流程与组织的目标相一致?
——技术
——行为
*高级管理层是否有直接反映过程绩效和改进目标的kpi ?
*如果有，你能描述一个或多个功能及其目标吗?
*高级管理层对关键流程的绩效和改进负有什么责任</t>
  </si>
  <si>
    <r>
      <rPr>
        <sz val="10"/>
        <color rgb="FFFF0000"/>
        <rFont val="Calibri"/>
        <family val="2"/>
        <scheme val="minor"/>
      </rPr>
      <t xml:space="preserve">*How do senior management ensure that selected (key or important business) decisions are driven by statistical and quantitative analysis? 
*to what extent do you use statistical analysis </t>
    </r>
    <r>
      <rPr>
        <b/>
        <sz val="10"/>
        <color rgb="FFFF0000"/>
        <rFont val="Calibri"/>
        <family val="2"/>
        <scheme val="minor"/>
      </rPr>
      <t>to set objectives</t>
    </r>
    <r>
      <rPr>
        <sz val="10"/>
        <color rgb="FFFF0000"/>
        <rFont val="Calibri"/>
        <family val="2"/>
        <scheme val="minor"/>
      </rPr>
      <t>? and
*</t>
    </r>
    <r>
      <rPr>
        <b/>
        <sz val="10"/>
        <color rgb="FFFF0000"/>
        <rFont val="Calibri"/>
        <family val="2"/>
        <scheme val="minor"/>
      </rPr>
      <t>to measure achievement</t>
    </r>
    <r>
      <rPr>
        <sz val="10"/>
        <color rgb="FFFF0000"/>
        <rFont val="Calibri"/>
        <family val="2"/>
        <scheme val="minor"/>
      </rPr>
      <t xml:space="preserve"> of objectives?
- </t>
    </r>
    <r>
      <rPr>
        <sz val="10"/>
        <color theme="7" tint="-0.499984740745262"/>
        <rFont val="Calibri"/>
        <family val="2"/>
        <scheme val="minor"/>
      </rPr>
      <t xml:space="preserve">How do you </t>
    </r>
    <r>
      <rPr>
        <b/>
        <sz val="10"/>
        <color theme="7" tint="-0.499984740745262"/>
        <rFont val="Calibri"/>
        <family val="2"/>
        <scheme val="minor"/>
      </rPr>
      <t>use the statistical analysis</t>
    </r>
    <r>
      <rPr>
        <sz val="10"/>
        <color theme="7" tint="-0.499984740745262"/>
        <rFont val="Calibri"/>
        <family val="2"/>
        <scheme val="minor"/>
      </rPr>
      <t xml:space="preserve"> provided to senior management to</t>
    </r>
    <r>
      <rPr>
        <b/>
        <sz val="10"/>
        <color theme="7" tint="-0.499984740745262"/>
        <rFont val="Calibri"/>
        <family val="2"/>
        <scheme val="minor"/>
      </rPr>
      <t xml:space="preserve"> set your objectives</t>
    </r>
    <r>
      <rPr>
        <sz val="10"/>
        <color theme="7" tint="-0.499984740745262"/>
        <rFont val="Calibri"/>
        <family val="2"/>
        <scheme val="minor"/>
      </rPr>
      <t xml:space="preserve">? and
*to </t>
    </r>
    <r>
      <rPr>
        <b/>
        <sz val="10"/>
        <color theme="7" tint="-0.499984740745262"/>
        <rFont val="Calibri"/>
        <family val="2"/>
        <scheme val="minor"/>
      </rPr>
      <t xml:space="preserve">measure the achievement </t>
    </r>
    <r>
      <rPr>
        <sz val="10"/>
        <color theme="7" tint="-0.499984740745262"/>
        <rFont val="Calibri"/>
        <family val="2"/>
        <scheme val="minor"/>
      </rPr>
      <t>of your objectives?
'*what process performance measurement and analysis is reported at an executive level? And how often?</t>
    </r>
  </si>
  <si>
    <t>Summarise at levels</t>
  </si>
  <si>
    <t>Summarise at PA level</t>
  </si>
  <si>
    <t>Summarise at Process level</t>
  </si>
  <si>
    <t>Summarise at PA instantiation level</t>
  </si>
  <si>
    <t>Clear all filters</t>
  </si>
  <si>
    <t>Set levels = 's'</t>
  </si>
  <si>
    <t>Set levels = 'FM'</t>
  </si>
  <si>
    <t>Clear PAs</t>
  </si>
  <si>
    <t>Set PA's = 'FM'</t>
  </si>
  <si>
    <t>Clear instantiations</t>
  </si>
  <si>
    <t>Clear all Level characterisations</t>
  </si>
  <si>
    <t>TV sheets</t>
  </si>
  <si>
    <t>Characterisation and filtering</t>
  </si>
  <si>
    <t>https://www.microsoft.com/en-us/sql-server/sql-server-downloads</t>
  </si>
  <si>
    <t>Jared Twigg</t>
  </si>
  <si>
    <t>Melanie van Zyl</t>
  </si>
  <si>
    <t>ATL</t>
  </si>
  <si>
    <t>ATL Coordinator</t>
  </si>
  <si>
    <t>Sponsor</t>
  </si>
  <si>
    <t>Scheduler</t>
  </si>
  <si>
    <t>BPOC</t>
  </si>
  <si>
    <t>30p</t>
  </si>
  <si>
    <t>50p</t>
  </si>
  <si>
    <t>90p</t>
  </si>
  <si>
    <t>100p</t>
  </si>
  <si>
    <t>60d b4 p2</t>
  </si>
  <si>
    <t>40d b4 p2</t>
  </si>
  <si>
    <t>Done</t>
  </si>
  <si>
    <t>Not started</t>
  </si>
  <si>
    <t>Work Task Status</t>
  </si>
  <si>
    <t>Task</t>
  </si>
  <si>
    <t>cmd</t>
  </si>
  <si>
    <t>AssignDate</t>
  </si>
  <si>
    <t>CompletionDate</t>
  </si>
  <si>
    <t>DueDate</t>
  </si>
  <si>
    <t>Staff</t>
  </si>
  <si>
    <t>StaffRole</t>
  </si>
  <si>
    <t>WorkTaskStatus</t>
  </si>
  <si>
    <t>WorkTaskCode</t>
  </si>
  <si>
    <t>Id</t>
  </si>
  <si>
    <t>AppraisalId</t>
  </si>
  <si>
    <t>WorkTaskCodeId</t>
  </si>
  <si>
    <t>WorkTaskStatusId</t>
  </si>
  <si>
    <t>StaffId</t>
  </si>
  <si>
    <t>StafRoleId</t>
  </si>
  <si>
    <t>End</t>
  </si>
  <si>
    <t>2. 30p</t>
  </si>
  <si>
    <t>3. Not started</t>
  </si>
  <si>
    <t>3. Frans Joubert</t>
  </si>
  <si>
    <t>2. ATL</t>
  </si>
  <si>
    <t>None</t>
  </si>
  <si>
    <t>ProjectCode</t>
  </si>
  <si>
    <t>CAS0123</t>
  </si>
  <si>
    <t>CAS321</t>
  </si>
  <si>
    <t>Pieter van Zyl</t>
  </si>
  <si>
    <t>Joan van Zyl</t>
  </si>
  <si>
    <t>Bianca Coetzee</t>
  </si>
  <si>
    <t>Marike Matthee</t>
  </si>
  <si>
    <t>Francois van Niekerk</t>
  </si>
  <si>
    <t>Andries vd Walt</t>
  </si>
  <si>
    <t>Francina Botha</t>
  </si>
  <si>
    <t>Tony Gardiner</t>
  </si>
  <si>
    <t>Elmo Scheffer</t>
  </si>
  <si>
    <t>Pieter Roos</t>
  </si>
  <si>
    <t>Barry Headland</t>
  </si>
  <si>
    <t>Nigel Owen</t>
  </si>
  <si>
    <t>Ria Fouche</t>
  </si>
  <si>
    <t>Elsabie Koster</t>
  </si>
  <si>
    <t>Lizwin Jacobs</t>
  </si>
  <si>
    <t>Michael</t>
  </si>
  <si>
    <t>Alice Erasmus</t>
  </si>
  <si>
    <t>Sasha</t>
  </si>
  <si>
    <t>Tembeka</t>
  </si>
  <si>
    <t>Translator</t>
  </si>
  <si>
    <t>IPOC</t>
  </si>
  <si>
    <t>ATLC Leader</t>
  </si>
  <si>
    <t>Scope approval</t>
  </si>
  <si>
    <t>Tech Test</t>
  </si>
  <si>
    <t>Final RR</t>
  </si>
  <si>
    <t>WIP</t>
  </si>
  <si>
    <t>CAS01234</t>
  </si>
  <si>
    <t>Task 1</t>
  </si>
  <si>
    <t>Task 2</t>
  </si>
  <si>
    <t>Task 3</t>
  </si>
  <si>
    <t>Task 4</t>
  </si>
  <si>
    <t>- How do you evaluate integrated components to ensure conformance to the solution's requirements and design?
如何评价集成地组件以确保其符合解决方案地需求和设计</t>
  </si>
  <si>
    <t>- What is your integration strategy?
集成策略是什么</t>
  </si>
  <si>
    <t>- How do you review and keep updated interface or connection descriptions for coverage, completeness, and consistency throughout the solution's life?
在整个解决方案地生命周期中，如何评审并持续更新接口或连接描述地覆盖范围、完整性和一致性？</t>
  </si>
  <si>
    <t>- How do you confirm, prior to integration, that component interfaces or connections comply with interface or connection descriptions?
在集成之前，如何确认组件地接口或连接符合接口或连接描述</t>
  </si>
  <si>
    <t>- How do you evaluate integrated components for interface or connection compatibility?
图和评价已集成组件地接口或连接地兼容性</t>
  </si>
  <si>
    <t>- How do you evaluate the designs (reviews) and how do you address identified issues?
如何评估设计并解决识别的问题？</t>
  </si>
  <si>
    <t>- What guidance do you (as designer) provide on the use of the solution (user manuals, instellation manuals)?
提供那些解决方案使用指南？</t>
  </si>
  <si>
    <t>- What criteria do you (user) develop for design decisions?
会制定哪些设计决策标准？</t>
  </si>
  <si>
    <t>- What alternative solutions for selected components do you make?
会制定哪些针对选定组件的备选解决方案？</t>
  </si>
  <si>
    <t>- How do you perform, build, buy or reuse decisions?
如何执行构建、采购或复用分析？</t>
  </si>
  <si>
    <t>- How do you use criteria to select your solutions?
如何使用设计标准选择解决方案？</t>
  </si>
  <si>
    <t>- How do you develop, keep updates, and use information needed to implement the design?
如何制定、保持更新并采用实现设计所需的信息？</t>
  </si>
  <si>
    <t>- How do you identify work products and processes for process quality assurance?
'如何识别工作产品和过程以保证过程质量？</t>
  </si>
  <si>
    <t>- Where do you record the results of quality assurance activities?
'将记录质量保证活动的结果记录在哪里</t>
  </si>
  <si>
    <t>- How do you record and use the results of quality assurance activities?
'如何记录和使用质量保证活动的结果？</t>
  </si>
  <si>
    <t>- What peer reviews do you (process actor) perform or are performed on your work products?
对哪些工作产品进行同行评审</t>
  </si>
  <si>
    <t>- What procedures do you use to prepare and perform peer reviews?
准备和执行同行评审的步骤有哪些</t>
  </si>
  <si>
    <t>- What works products (generated by the process actor) are selected for peer reviews?
选择进行同行评审的工作产品有哪些？</t>
  </si>
  <si>
    <t>- What do you do with issues identified during peer reviews?
如何解决同行评审中发现的问题</t>
  </si>
  <si>
    <t>- What do you do with the results of peer reviews?
如何分析从同行评审得到的结果和数据</t>
  </si>
  <si>
    <t>- What requirements have you documented (or recorded)
会记录哪些需求？</t>
  </si>
  <si>
    <t>- How do you elicit (extract) stakeholder needs, expectations, constraints, and interfaces (or connections)?
如何抽取利益相关方地需求、期望、约束条件和接口或连接？</t>
  </si>
  <si>
    <t>- How do you transform stakeholder needs, expectations, contains, and interfaces (or connections) into prioritized customer requirements?
如何将利益相关方地需求、期望、约束条件、接口或连接转化为优先地客户需求</t>
  </si>
  <si>
    <t>- How do you developed and understanding with the requirements provider on the meaning of the requirements?
如何与需求提供者就需求地含义达成一致？</t>
  </si>
  <si>
    <t>- What operational concepts and scenarios do you develop for requirements?
针对需求开发哪些操作概念和场景？</t>
  </si>
  <si>
    <t>- How do you identify, develop, and keep updated interfaces or connection requirements?
如何识别、开发并持续更新接口或连接需求？</t>
  </si>
  <si>
    <t>- How do you ensure requirements are necessary and sufficient?
如何确保需求是必要且充分的？</t>
  </si>
  <si>
    <t>- How do you validate requirements to ensure the resulting solution will perform as intended in the target environment?
如何 确认需求，以确保生成地解决方案在目标环境中按照预期工作？</t>
  </si>
  <si>
    <t>- What validation do you perform to ensure solutions function in the intended target environment?
执行哪些确认来确保解决方案在目标环境下按预期运行？</t>
  </si>
  <si>
    <t>- How do you decide which components and the methods that will be followed for verification and validation?
如何选择用于验证和确认的组件和方法？</t>
  </si>
  <si>
    <t>- How do you setup, maintain and use the environment needed to support verification and validation?
如何开发、使用并保持更新支持验证和确认所需的环境？</t>
  </si>
  <si>
    <t>- What performance measurements do you collect?
会收集哪些性能指标？</t>
  </si>
  <si>
    <t>- What performance issues do you identify?
会识别哪些性能问题？</t>
  </si>
  <si>
    <t>- What measurement operational definitions are specified (who to collect, what to collect, when to collect)?
有详细规定哪些度量项的操作性定义（谁收集，收集什么，何时收集）？</t>
  </si>
  <si>
    <t>- What actions to you take on issues identified from performance reports?
会对绩效报告中发现的问题采取了哪些措施？</t>
  </si>
  <si>
    <t>- Please explain how your measurement process functions?
请说明度量过程是怎样的？</t>
  </si>
  <si>
    <t>- How do you ensure data quality for measurements?
您如何确保度量数据的质量？</t>
  </si>
  <si>
    <t>- How do you select measures and analyst techniques to quantitively mange performance to achieve quality and process performance objectives?
您如何选择度量和分析技术来量化管理性能以实现质量和流程绩效目标？</t>
  </si>
  <si>
    <t>- How do you make use of statistical and other quantitative techniques to develop and analyse process performance baselines and keep them updated.
您如何利用统计和其他定量技术来开发和分析流程绩效基准并保持更新最新状态。</t>
  </si>
  <si>
    <t>- How do you make use of statistical and other quantitative techniques to develop and analyse process performance models and keep them updated.
您如何利用统计和其他定量技术来开发和分析流程绩效基准并保持更新最新状态。</t>
  </si>
  <si>
    <t>- How do you make use of statistical and other quantitative techniques to ensure that business objectives are aligned with business strategy and performance.
您如何利用统计和其他定量技术来确保业务目标与业务战略和绩效保持一致。</t>
  </si>
  <si>
    <t>- How do you select and implement improvement proposals, based on the statistical and quantitative analysis of the expected effect of proposed improvements on meeting business, quality, and process performance objectives.
对所建议的改进对满足业务，质量和过程性能目标达成的预期效果进行统计和定量分析，如何基于此分析结果来选择和实施改进建议。</t>
  </si>
  <si>
    <t>- What processes assets has been identified as needed?
多需要识别的过程资产有哪些？</t>
  </si>
  <si>
    <t>- What processes assets has been developed (reused) or purchased?
已开发（复用）或购买了哪些流程资产？</t>
  </si>
  <si>
    <t>- What process is defined for developing process assets?
为开发过程资产定义了什么流程？</t>
  </si>
  <si>
    <t>- What process architecture is in place describing the structure of the organization's processes?
哪种过体系结构描述了组织过程结构？</t>
  </si>
  <si>
    <t>- What tailoring guidelines do you have for your standard process assets?
对标准过程资产的裁剪准则有哪些？</t>
  </si>
  <si>
    <t>- What work environment standards have been established and maintained?
建立并维护了哪些工作环境标准？</t>
  </si>
  <si>
    <t>- What process support structure (for example an EPG) do you have in place?
您拥有什么过程支持结构（例如EPG）？</t>
  </si>
  <si>
    <t>- What appraisals (CMMI, COBIT, ISO) have you done on your current processes?
对当前过程进行了哪些评估？(update)</t>
  </si>
  <si>
    <t>- What process improvement actions are followed to implement identified improvements?
采取了哪些过程改进措施以实现识别的改进？</t>
  </si>
  <si>
    <t>- How do you link your process improvement objectives to your business objectives?
如何将过程改进与业务目标联系起来？</t>
  </si>
  <si>
    <t>- How do you prioritise your process improvements?
如何确定过程改进的优先级？</t>
  </si>
  <si>
    <t>- How do you evaluate potential new improvements opportunities. Improvements include against processes, techniques, methods and tools?
您如何评估潜在的新的改进机会。改进包括针对过程，技术，方法和工具使用的改进嘛？</t>
  </si>
  <si>
    <t>- What support is provided for implementing and deploying new process improvements?
为实施和部署新过程改进提供了哪些支持？</t>
  </si>
  <si>
    <t>- How do you evaluate the effectiveness of improvements towards achieving business objectives?
如何评估对实现业务目标的改进效果？</t>
  </si>
  <si>
    <t>- How do you make use of statistical and other quantitative techniques to validate selected performance improvements against proposed improvement exceptions, business objectives, or quality and process performance objectives?
你是如何使用统计化和量化技术来确认已实施改进项对商业目标和质量与过程性能目标的效果的？</t>
  </si>
  <si>
    <t>- How do you identify and record risks or opportunities and keep them updated?
如何识别、记录风险或机会并持续对其更新？</t>
  </si>
  <si>
    <t>- How do you monitor identified risks or opportunities and comminate this tatus to affected stakeholders?
如何监控已识别地风险或机会并与受影响地干系人沟通风险或机会地状态？</t>
  </si>
  <si>
    <t>- What parameters for risk or opportunity analysis is defined and what is it used for?
定义用于风险或机会分析的参数用那些，如何使用？</t>
  </si>
  <si>
    <t>- How do you identify training needs?
如何确定培训需求？</t>
  </si>
  <si>
    <t>- What training records do you maintain?
有哪些培训记录？</t>
  </si>
  <si>
    <t>- How do you execute the strategic and short term training plans?
如何执行战略和短期培训计划？</t>
  </si>
  <si>
    <t>- What training records to you establish ad maintain?
需要建立并维护哪些培训记录</t>
  </si>
  <si>
    <t>- What high level estimates do you make?
有制定哪些粗略估算来执行工作？</t>
  </si>
  <si>
    <t>- How do you scope the work (what is included and what is excluded)?
如何确定工作的估算范围，包含哪些？</t>
  </si>
  <si>
    <t>- How do you size the work (FP, LOC, number of UCs, number of workstations, number of network points, number of data records, etc)?
如何估算工作规模（FP，LOC，UC数，工作站数，网络点数，数据记录数等）？</t>
  </si>
  <si>
    <t>- How do you use the size estimates to develop effort, duration and cost estimates?
如何根据规模估算来制定所需的工作量、周期和成本</t>
  </si>
  <si>
    <t>- How do you record completed tasks?
如何记录任务完成情况</t>
  </si>
  <si>
    <t>- How do you identify and resolve issues?
如何识别并解决问题</t>
  </si>
  <si>
    <t>- How do you track actual results achieved (size, effort, duration, or cost) against planned values?
如何从规模、工作量、进度、资源、知识和技能以及预算等方面，对比估算跟踪实际结果？</t>
  </si>
  <si>
    <t>- How do you monitor transitioning of solutions to operations and support?
如何监控向运营和支持的迁移</t>
  </si>
  <si>
    <t>- When and how do you take corrective actions when actual results differ significantly from planned result?
当实际结果相较于计划结果存在显著差异时，如何采取纠正措施并管理直至关闭</t>
  </si>
  <si>
    <t>- How do you manage critical dependencies?
如何管理关键依赖关系？</t>
  </si>
  <si>
    <t>- How do you identify work environ issues?
如何识别工作环境问题</t>
  </si>
  <si>
    <t>- How do you make sure you have the right knowledge and skills for the task to be performed?
如何确保具备执行工作所需的知识和技能？</t>
  </si>
  <si>
    <t>- How do you develop the budget and schedule?
如何制定预算和进度表</t>
  </si>
  <si>
    <t>- How do you plan for stakeholder involvement?
如何对干系人的参与做相应的计划</t>
  </si>
  <si>
    <t>- How do you plan for transition to operations and support?
如何对向运营和支持的转移做相应的计划？</t>
  </si>
  <si>
    <t>- How do you ensure your plans are feasible in terms of resource availability and work that needs to be performed?
在资源可用性和需要执行的工作方面，如何确保计划可行？</t>
  </si>
  <si>
    <t>- How do you ensure the plan and its deliverablea are consistent and aligned.
在项目计划中会记录哪些信息？</t>
  </si>
  <si>
    <t>- How do you review the plans with stakeholders, and how do you get commitment to the plans?
如何制定评审计划？如何获得受影响的干系人的承诺？</t>
  </si>
  <si>
    <t>- How do you keep your plan updated with the project process, the process assets and the measurement repository?
如何使用项目过程、组织的过程资产和度量库制定计划并保持更新？</t>
  </si>
  <si>
    <t>- How do you identify what items (documents and source code) to put under configuration management?
'如何识别要管理的项目？</t>
  </si>
  <si>
    <t>- What configuration management systems do you use (the name of the system or systems)?
'使用什么配置管理系统？</t>
  </si>
  <si>
    <t>- How do you manage changes (who is allowed to make changes) to items under configuration management, as well as configuration management baselines and releases?
'如何管理配置管理下的变更？</t>
  </si>
  <si>
    <t>- What records, such as version history, do you maintain on configuration items?
'对于配置项会保留哪些记录？</t>
  </si>
  <si>
    <t>- How do you ensure the integrity of items under configuration management, the integrity of baselines and the integrity of releases?
'如何确保配置管理下项目的完整性，基准的完整性和发行版的完整性？</t>
  </si>
  <si>
    <t>- Process compliance check
过程遵从检查</t>
  </si>
  <si>
    <t>- What resources (people, budget, tools) are made available for developing process?
为开发过程提供了哪些资源（人员，预算，工具）？</t>
  </si>
  <si>
    <t>- What process do you (process actor) follow?
'您（过程参与者）遵循什么过程？</t>
  </si>
  <si>
    <t>- Process compliance
过程遵从</t>
  </si>
  <si>
    <t>- Process compliance audit
过程遵从检查</t>
  </si>
  <si>
    <t>- How is your (process actor) compliance to your process checked?
'如何检查（流程参与者）对过程是否被遵循？</t>
  </si>
  <si>
    <t>- Process improvements registered
已注册流程改进</t>
  </si>
  <si>
    <t>- What process improvements have you (process actor) submitted, or do you know of that has been submitted, to the processes that you follow?
'是否有提交过过程改进？内容是什么？</t>
  </si>
  <si>
    <t>Product Integration Plan</t>
  </si>
  <si>
    <t>Product Integration Phase Report</t>
  </si>
  <si>
    <t xml:space="preserve">Intent </t>
    <phoneticPr fontId="9" type="noConversion"/>
  </si>
  <si>
    <t xml:space="preserve">Value </t>
    <phoneticPr fontId="9" type="noConversion"/>
  </si>
  <si>
    <t>问题</t>
    <phoneticPr fontId="9" type="noConversion"/>
  </si>
  <si>
    <t>- Improvement approach/strategy
改进方法/策略
- Improvement targets
改进的目标</t>
  </si>
  <si>
    <t>高层如何识别工作重点？高层如何定义实现组织目标所需的方法？</t>
    <phoneticPr fontId="9" type="noConversion"/>
  </si>
  <si>
    <t>- Develop the strategy (may include a mission and/or vision statement) 
- Define a strategic target to be achieved</t>
  </si>
  <si>
    <t>高级管理层定义并传达了哪些组织目标？这些目标会通过过程改进实现嘛？</t>
    <phoneticPr fontId="9" type="noConversion"/>
  </si>
  <si>
    <t xml:space="preserve">- What resources (budget, people, tools, structure)  and training have you (senior management) provided for 1) developing, supporting, 2) performing, 3) improving and 4) evaluating adherence to expected processes?	 </t>
  </si>
  <si>
    <t>（高层）为开发、支持/执行过程/改进过程/评估对期望过程的遵循情况提供了哪些资源和培训？</t>
    <phoneticPr fontId="9" type="noConversion"/>
  </si>
  <si>
    <t>- Process improvement status review (improvements registered and incorporated)
- Process performance reporting to senior management</t>
  </si>
  <si>
    <t>- Process improvement register and the status thereof
- Process improvement performance reports</t>
  </si>
  <si>
    <t>（高层）如何对有效的过程实施和改进提供治理和监督？</t>
    <phoneticPr fontId="9" type="noConversion"/>
  </si>
  <si>
    <t>- Verify compliance to directives
- Review performance improvements
- Review improvement trends</t>
  </si>
  <si>
    <t>您如何（高级管理层）确保收集，分析和使用支持目标的度量？</t>
    <phoneticPr fontId="9" type="noConversion"/>
  </si>
  <si>
    <t>（高层）您如何确保能力和过程与组织目标的一致性？</t>
    <phoneticPr fontId="9" type="noConversion"/>
  </si>
  <si>
    <t>- Review process performance results (statistical and quantitative based)
- Set new targets based on existing performance results (statistical and quantitative based)</t>
  </si>
  <si>
    <t xml:space="preserve">- How do you (senior management) ensure that selected (key or important business) decisions are driven by statistical and quantitative analysis? </t>
    <phoneticPr fontId="9" type="noConversion"/>
  </si>
  <si>
    <t>（高层）如何确保所选的（关键或重要的）决策由统计和量化分析所驱动？</t>
    <phoneticPr fontId="9" type="noConversion"/>
  </si>
  <si>
    <t>实施基础条件</t>
  </si>
  <si>
    <t>Intent</t>
    <phoneticPr fontId="9" type="noConversion"/>
  </si>
  <si>
    <t>确保针对组织重要的过程能够坚持从而形成习惯并加以应用和改进</t>
  </si>
  <si>
    <t>Value</t>
    <phoneticPr fontId="9" type="noConversion"/>
  </si>
  <si>
    <t>维持有效和高效的实现目标的能力</t>
  </si>
  <si>
    <t>Possible answers</t>
  </si>
  <si>
    <t>- Processes are preformed (can be ad-hoc) 
执行过程</t>
  </si>
  <si>
    <t>- Budget is made available for a process group  
过程组的可用预算
- A process group structure is established
过程组结构已建立</t>
  </si>
  <si>
    <t>EPG</t>
  </si>
  <si>
    <t xml:space="preserve">
-</t>
  </si>
  <si>
    <t>- Yes/No
- By tailoring it</t>
  </si>
  <si>
    <t>- PQA audits</t>
  </si>
  <si>
    <t>- Lessons learned from following a process is collected 
收集相关过程中的经验教训</t>
  </si>
  <si>
    <t>配置管理</t>
  </si>
  <si>
    <t>Manage the integrity of work products using configuration identification, version control, change control, and audits.</t>
    <phoneticPr fontId="9" type="noConversion"/>
  </si>
  <si>
    <t>使用配置识别、版本控制、变更控制和审计来管理工作产品的完整性。</t>
  </si>
  <si>
    <t xml:space="preserve">Reduces loss of work and increases the ability to deliver the correct version of the solution to the customer. </t>
    <phoneticPr fontId="9" type="noConversion"/>
  </si>
  <si>
    <t>减少工作损失，并增加向客户提供正确版本解决方案的能力</t>
  </si>
  <si>
    <t xml:space="preserve">- Putting work products under version control
- Check in and check out of documents and source code
</t>
  </si>
  <si>
    <t>- Establish development and testing baselines
- Establish software releases to the customer</t>
  </si>
  <si>
    <t>- Baseline version
- Software releases</t>
  </si>
  <si>
    <t>- Explain how you establish software baselines and how these baselines form the basis for further development and furhter code releases?
'请解释如何为进一步开发建立软件基线？ 
- Explain how you establish software releases that for the basis for further development?
请解释如何建立软件版本作为进一步开发奠定基础？</t>
  </si>
  <si>
    <t xml:space="preserve">
</t>
  </si>
  <si>
    <t>- Check in and check out configuration items
- Register a change request against a configuration item
- CCB meetings to approve / decline changes to baselines and releases</t>
  </si>
  <si>
    <t>- Configuration item change histories
- Baseline label descriptions</t>
  </si>
  <si>
    <t>过程质量保证</t>
    <phoneticPr fontId="9" type="noConversion"/>
  </si>
  <si>
    <t>目的</t>
    <phoneticPr fontId="9" type="noConversion"/>
  </si>
  <si>
    <t>验证并改进已执行的过程和所产生的工作产品的质量</t>
    <phoneticPr fontId="9" type="noConversion"/>
  </si>
  <si>
    <t>价值</t>
    <phoneticPr fontId="9" type="noConversion"/>
  </si>
  <si>
    <t>增强过程使用和改进的一致性，以最大限度地提高业务效益和客户满意度</t>
    <phoneticPr fontId="9" type="noConversion"/>
  </si>
  <si>
    <t xml:space="preserve">	Identify and address process and work product issues. 
识别并解决过程和工作产品问题</t>
  </si>
  <si>
    <t>- Setup PQA checklists
- Perform process or product quality assurance</t>
  </si>
  <si>
    <t>- PQA checklists
- PQA results</t>
  </si>
  <si>
    <t>- Use historical quality assurance activities to plan future quality assurance
- Develop and keep updated checklists based on process descriptions, standards, and procedures.</t>
  </si>
  <si>
    <t>- PQA plan
- Evaluation reports
- Noncompliance reports
- Improvement proposals</t>
  </si>
  <si>
    <t>- Based on historical data, how do you plan for quality assurance?
- How do you plan for quality assurance?
'您如何为质量保证做计划？</t>
  </si>
  <si>
    <t xml:space="preserve">	Throughout the project, objectively evaluate selected performed processes and work products against the recorded process and applicable standards. 
在整个项目过程中，根据记录地过程和适用标准客观评价选定地已执行过程和工作产品</t>
  </si>
  <si>
    <t>- Objectively evaluate performed processes against recorded processes
- Objective value work products against applicable standards</t>
  </si>
  <si>
    <t>- PQA checklists
- PQA process compliance records
- PQA work product compliance records</t>
  </si>
  <si>
    <t>Communicate quality and non compliance issues and ensure their resolution. 
沟通质量和不合规问题并确保解决问题</t>
  </si>
  <si>
    <t>- Identify noncompliance issues and trends
- Communicate and resolve noncompliance issues
- Escale noncompliance issues that cannot be resolved</t>
  </si>
  <si>
    <t>- Develop quality trends analyssi reports
- Noncompliance resolutions</t>
  </si>
  <si>
    <t xml:space="preserve">	Record and use results of quality assurance activities. 
记录并使用质量保证活动地结果</t>
  </si>
  <si>
    <t>Identify and record opportunities for improvement during quality assurance activities. 
在质量保证活动中识别并记录改进机会</t>
  </si>
  <si>
    <t>- PQA reports stored
- Improvements and training initiatives based on PQA noncompliance reports</t>
  </si>
  <si>
    <t>管理性能与度量</t>
    <phoneticPr fontId="9" type="noConversion"/>
  </si>
  <si>
    <t>使用度量和分析来管理性能，以实现业务目标</t>
    <phoneticPr fontId="9" type="noConversion"/>
  </si>
  <si>
    <t>将管理和改进工作集中在成本、进度表和质量性能上，最大限度地提高业务投资回报</t>
    <phoneticPr fontId="9" type="noConversion"/>
  </si>
  <si>
    <t>- GQIM sheet
- Documented business objectives to measurement objectives</t>
  </si>
  <si>
    <t>- GQIM sheet
- Documented who, when, where of measurement collection</t>
  </si>
  <si>
    <t>- GQIM sheets
- Business objectives traced to measurement and performance objectives</t>
  </si>
  <si>
    <t>- How do you use statistical and other quantile techniques to develop, keep update, and communicate quality and process performance objectives? 
您如何使用统计和量化技术来制定，保持更新并传达质量和过程绩效目标？
- How is this traceable to your business objectives?
如何将QPPO追溯到您的业务目标？</t>
  </si>
  <si>
    <t>- Control Charts that predict process performance towards achieving a QPPO
- Regression analysis that predict process performance towards achieving a QPPO</t>
  </si>
  <si>
    <t xml:space="preserve">	'- How do you make use of statistical and other quantitative techniques to determine or predict achievement of quality and process performance objectives.
您如何利用统计和其他定量技术来确定或预测质量和过程绩效目标的可实现性？</t>
  </si>
  <si>
    <t>根因分析</t>
  </si>
  <si>
    <t xml:space="preserve">Identify causes of selected outcomes and take action to either prevent recurrence of undesirable outcomes or ensure recurrence of positive outcomes. </t>
    <phoneticPr fontId="9" type="noConversion"/>
  </si>
  <si>
    <t>识别选定结果的原因并采取行动，防止不合需要的结果再次发生或确保再次出现正面结果</t>
    <phoneticPr fontId="9" type="noConversion"/>
  </si>
  <si>
    <t>Addressing root cause issues eliminates rework and directly improves quality and productivity.</t>
    <phoneticPr fontId="9" type="noConversion"/>
  </si>
  <si>
    <t>解决根源问题可以消除返工并直接提高质量和生产率</t>
  </si>
  <si>
    <t xml:space="preserve"> -List of investigated outcomes</t>
  </si>
  <si>
    <t>- Do you have a list of outcomes (opportunities or defects) to investigate? 
有调查结果（改进机会或缺陷）的列表嘛？</t>
  </si>
  <si>
    <t>- Define the scope of the analysis
- Collect relevant data
- Determine which outcomes to analyse further</t>
  </si>
  <si>
    <t>- Analysis results
- Outcomes selected for further Analysis</t>
  </si>
  <si>
    <t>- Can you provide us with a list of outcomes (opportunity/defects) for analysis?
 可否向我们提供分析结果（机会/缺陷）列表？</t>
  </si>
  <si>
    <t>- Identify the affected stakeholders and involve them
- Perform causal analysis.
- Implement actions to address causes
- Communicate the result of the actions taken</t>
  </si>
  <si>
    <t>- List of causes identified
- List of actions taken on causes</t>
  </si>
  <si>
    <t>- Do you have a list of causes (for outcomes) identified in analysis?
是否有分析中识别出的原因的列表（结果）？ 
- Do you have a list of actions to address the causes identified? 
有没有针对已识别原因的解决方法的列表？</t>
  </si>
  <si>
    <t>- car processes, car tools and templates
- List of root causes identified</t>
  </si>
  <si>
    <t>- What is the process you follow to determine root causes?
 确定根本原因所遵循的过程是什么？</t>
  </si>
  <si>
    <t>- What actions have you identified to address causes?
 确定要采取哪些行动解决问题？</t>
  </si>
  <si>
    <t>- Prioritised actions
- Action implementation steps and plans
- Grouped common causes</t>
  </si>
  <si>
    <t>- How do you select actions proposals to address identified causes? 如何选择行动建议以解决已确定的问题</t>
  </si>
  <si>
    <t>- What data is recorded about root cause resolution? 
根本原因解决方案的记录数据有哪些？</t>
  </si>
  <si>
    <t xml:space="preserve">- Submit root cause improvement proposals
- Implement root cause improvement proposals
</t>
  </si>
  <si>
    <t xml:space="preserve">- List of root cause improvement proposals submitted and implemented </t>
  </si>
  <si>
    <t>- What root cause improvement proposals have been submitted and implemented?
 已提交并实施了哪些根本原因改进建议？</t>
  </si>
  <si>
    <t>- What statistical and other quantitative methods are used to perform root cause analysis? 
哪些统计方法和其他定量方法用于进行根本原因分析？</t>
  </si>
  <si>
    <t xml:space="preserve">- Based on the action proposal take action within the project towards the projects process performance objectives.
</t>
  </si>
  <si>
    <t>- What process performance measures have been used to demonstrate the causal analysis action proposal(s) where effective in achieving the process performance objectives? 
在实现过程性能目标方面，使用了哪些过程性能度量项来证明根因分析的有效性？</t>
  </si>
  <si>
    <t>过程资产开发</t>
    <phoneticPr fontId="9" type="noConversion"/>
  </si>
  <si>
    <t>开发并保持更新执行工作所需的过程资产</t>
    <phoneticPr fontId="9" type="noConversion"/>
  </si>
  <si>
    <t>提供了解和重复成功性能的能力</t>
    <phoneticPr fontId="9" type="noConversion"/>
  </si>
  <si>
    <t>Develop process assets to perform the work.
 开发过程资产来执行工作</t>
  </si>
  <si>
    <t>Determine what process assets will be needed to perform the work. 
确定执行工作所需的过程资产</t>
  </si>
  <si>
    <t>- Library of templates, standards or guidelines
'- Process and process support tools (Aris, Visio for bpm)</t>
  </si>
  <si>
    <t xml:space="preserve">	Develop, buy, or reuse process assets. 
开发、采购或重复使用过程资产</t>
  </si>
  <si>
    <t xml:space="preserve">- Purchased processes and templates, such as Rational unified process or IBM Rational Method Composer (RMC) </t>
  </si>
  <si>
    <t>Make processes and assets available. 
使过程和资产可供使用</t>
  </si>
  <si>
    <t>Develop, keep updated, and follow a strategy for building and updating process assets. 
制定、保持更新并遵循过程资产的构建和更新战略</t>
  </si>
  <si>
    <t>Develop, record, and keep updated a process architecture that describes the structure of the organization's processes and process assets.
 建立、记录并保持更新描述组织过程与过程资产之结构的过程架构</t>
  </si>
  <si>
    <t>- Process architecture contextualising individual processes, such as putting processes in an higher level value chain such as the business model canvas
- Process template format</t>
  </si>
  <si>
    <t>Develop, keep updated, and make processes and assets available for use. 
开发、保持更新过程与资产并使其可供使用</t>
  </si>
  <si>
    <t>Process sponsor/champion and workgroup lists
- Process work teams with Six Sigma black belts and green belts</t>
  </si>
  <si>
    <t>Develop, keep updated, and use tailoring criteria and guidelines for the set of standard processes and assets. 
制定、保持更新并使用标准过程和资产集的裁剪准则和指南</t>
  </si>
  <si>
    <t>Develop, keep updated, and make the organization's process asset library available for use. 
建立、保持更新组织的过程资产库并使其可供使用</t>
  </si>
  <si>
    <t>Develop, keep updated, and make work environment standards available for use. 
制定、保持更新工作环境并使其可供使用</t>
  </si>
  <si>
    <t>Develop, keep updated, and make organizational measurement and analysis standards available for use. 
制定、保持更新组织的度量与分析标准并使其可供使用</t>
  </si>
  <si>
    <t xml:space="preserve"> 估算</t>
  </si>
  <si>
    <t xml:space="preserve">Estimate the size, effort, duration, and cost of the work and resources needed to develop, acquire, or deliver the solution. </t>
    <phoneticPr fontId="9" type="noConversion"/>
  </si>
  <si>
    <t>估算开发、采购或交付解决方案所需的工作和资源的规模、工作量、周期和成本。</t>
  </si>
  <si>
    <t xml:space="preserve">Estimation provides a basis for making commitments, planning, and reducing uncertainty, which allows for early corrective actions and increases the likelihood of meeting objectives. </t>
    <phoneticPr fontId="9" type="noConversion"/>
  </si>
  <si>
    <t>估算为做出承诺、策划和减少不确定性提供了依据，有助于尽早采取纠正措施并提高实现目标的可能性</t>
  </si>
  <si>
    <t>- High level estimates
- WBS</t>
  </si>
  <si>
    <t/>
  </si>
  <si>
    <t>- Scope of work
- WBS</t>
  </si>
  <si>
    <t>- Effort, duration or cost estimates based on size estimates
- Algorithm to derive effort, duration, cost from size estimates</t>
  </si>
  <si>
    <t>过程管理</t>
    <phoneticPr fontId="9" type="noConversion"/>
  </si>
  <si>
    <t>管理和实施过程和基础条件的持续改进来：支持业务目标的实现；确定和实施能够带来最大效益的过程改进；使过程改进结果可见、可使用和可持续</t>
    <phoneticPr fontId="9" type="noConversion"/>
  </si>
  <si>
    <t>确保过程、基础条件及其环境有助于成功实现业务目标</t>
    <phoneticPr fontId="9" type="noConversion"/>
  </si>
  <si>
    <t>Develop a support structure to provide process guidance, identify and fix process problems, and continuously improve processes. 
建立支持团队来提供过程指导；识别和解决过程问题；以及持续改进流程</t>
  </si>
  <si>
    <t>Appraise the current process implementation and identify strengths and weaknesses. 
评估当前的过程实施情况并确定强项和弱项</t>
  </si>
  <si>
    <t>Address improvement opportunities or process issues. 
应对改进机会或过程问题</t>
  </si>
  <si>
    <t>Identify improvements to the processes and process assets. 
识别过程和过程资产的改进</t>
  </si>
  <si>
    <t>- How do you identify and select the proposed improvements? 
确定了针对过程和过程资产的改进有哪些？</t>
  </si>
  <si>
    <t>Develop, keep updated, and follow plans for implementing selected process improvements. 
制定、保持更新并遵循选定的过程改进的实施计划</t>
  </si>
  <si>
    <t>- Plan process updates to incorporate improvement
- Plan deployment of newly released processes
- Improvement pilots</t>
  </si>
  <si>
    <t xml:space="preserve">	Develop, keep updated, and use process improvement objectives traceable to the business objectives. 
制定、使用并保持更新可追溯到业务目标的过程改进目标</t>
  </si>
  <si>
    <t>- Develop process improvement objectives
- Link process improvement objectives to business objectives</t>
  </si>
  <si>
    <t xml:space="preserve">	Identify processes that are the largest contributors to meeting business objectives. 
确定最有助于实现业务目标的过程</t>
  </si>
  <si>
    <t>Explore and evaluate potential new processes, techniques, methods, and tools to identify improvement opportunities.
 探索和评估潜在的新过程、技术、方法和工具来识别改进机会</t>
  </si>
  <si>
    <t>Provide support for implementing, deploying, and sustaining process improvements. 
支持过程改进的实施、部署和维持</t>
  </si>
  <si>
    <t>- Training on new processes releases
- Coaching on new process releases</t>
  </si>
  <si>
    <t>- Process deployment support training
- Process deployment coaching and mentoring- Process deployment PQA</t>
  </si>
  <si>
    <t xml:space="preserve">	Deploy organizational standard processes and process assets. 
部署组织的标准过程和过程资产</t>
  </si>
  <si>
    <t>Evaluate the effectiveness of deployed improvements in achieving process improvement objectives. 
评估已部署的改进在实现过程改进目标方面的有效性</t>
  </si>
  <si>
    <t>- Perform statistical or quantitative analysis that demonstrate improved performance form implementing the improvements
'- Link statistical and quantitively analysis of improvements to business objectives or quality and process performance objectives</t>
  </si>
  <si>
    <t>组织级培训</t>
    <phoneticPr fontId="9" type="noConversion"/>
  </si>
  <si>
    <t>培养人员的技能和知识，以便他们高效且有效地执行他们的角色</t>
    <phoneticPr fontId="9" type="noConversion"/>
  </si>
  <si>
    <t>增强个人的技能和知识，提高组织工作性能</t>
    <phoneticPr fontId="9" type="noConversion"/>
  </si>
  <si>
    <t>-  How do you identify strategic and short term training needs?
如何确定战略和短期培训需求？</t>
  </si>
  <si>
    <t>- Class rooms
- Training facilities
- Instructors
- Outsourced courses</t>
  </si>
  <si>
    <t>决策分析和解决</t>
  </si>
  <si>
    <t xml:space="preserve">Make and record decisions using a recorded process that analyzes alternatives. </t>
    <phoneticPr fontId="9" type="noConversion"/>
  </si>
  <si>
    <t>使用分析备选方案的已记录过程做出并记录决策</t>
  </si>
  <si>
    <t xml:space="preserve">Increases the objectivity of decision making and the probability of selecting the optimal solution. </t>
    <phoneticPr fontId="9" type="noConversion"/>
  </si>
  <si>
    <t>增加决策的客观性和提高找到最佳解决方案的概率</t>
  </si>
  <si>
    <r>
      <t xml:space="preserve">- Describe decisions you had to make on your project where you had to select from alternative options?
</t>
    </r>
    <r>
      <rPr>
        <sz val="10"/>
        <color rgb="FF002060"/>
        <rFont val="Calibri"/>
        <family val="2"/>
        <scheme val="minor"/>
      </rPr>
      <t xml:space="preserve"> </t>
    </r>
    <r>
      <rPr>
        <sz val="10"/>
        <color rgb="FFFF0000"/>
        <rFont val="Calibri"/>
        <family val="2"/>
        <scheme val="minor"/>
      </rPr>
      <t>是否在执行的过程中定义和记录备选方案？</t>
    </r>
    <r>
      <rPr>
        <sz val="10"/>
        <rFont val="Calibri"/>
        <family val="2"/>
        <scheme val="minor"/>
      </rPr>
      <t xml:space="preserve">
- Do you (a process actor) define and record alternative options (in the process he/she execute)?</t>
    </r>
  </si>
  <si>
    <t>- What records of decision making do you keep (after decisions have been made)?
- Do you (a process actor) make and record the decisions on options selected (in the process he/she executes)? 
 是否根据所选备选方案在执行的过程中做出并记录决策？</t>
  </si>
  <si>
    <t>- DAR guidelines
- DAR points specified within a process activity (for example select a supplier using a defined DAR approach)</t>
  </si>
  <si>
    <t>- Do you (a process actor) have a set of rules that determine when to follow a recorded process for criteria based decision making?
 - What guidelines do you (process actor) have to guide criteria based (or formalised) decision making?
 是否有一套规则来确定何时遵循已记录的基于准则的决策过程</t>
  </si>
  <si>
    <t xml:space="preserve">- At these DAR decision points (a process actor) of your process, how do you develop criteria for evaluating alternatives?
 - Can you describe how you develop criteria for the formal decisions you have taken on your project?
 在处理的这些DAR决策点上，您如何建立评价备选方案的准则？
</t>
  </si>
  <si>
    <t>- At these formal project decision points, what alternatives have you identified?
 - At these DAR decision points, what alternatives have you identified?
 识别了哪些备选解决方案？</t>
  </si>
  <si>
    <t>- Can you describe the evaluation methods you follow for these formal decisions on your project?
 - At these DAR decision points, what evaluation methods for making a decision have been used?
 决策的评价方法有哪些</t>
  </si>
  <si>
    <t>- Have you followed these methods and recorded the results of decisions made using criteria?
 - At these DAR decision points, what decision have you made? Was this based on the alternatives, criteria and decision methods specified above?
 做了哪些决策？使用了哪些准则和评价方法来评价和选择解决方案?</t>
  </si>
  <si>
    <t>监视与控制</t>
    <phoneticPr fontId="9" type="noConversion"/>
  </si>
  <si>
    <t>提供对项目进度的掌握，以便在绩效显著偏离计划时采取适当的纠正措施</t>
    <phoneticPr fontId="9" type="noConversion"/>
  </si>
  <si>
    <t>通过及早采取行动调整显著绩效偏差，提高达成目标的可能性</t>
    <phoneticPr fontId="9" type="noConversion"/>
  </si>
  <si>
    <t>- Minutes with completed tasks
- Plan with completed tasks</t>
  </si>
  <si>
    <t>- How do you manage stakeholder invovlment to ensure successful work completion?
- How do you check that stakeholders are involve as per the plan?
如何跟踪利益相关方的参与情况</t>
  </si>
  <si>
    <t>- Monitor transition and support activities
- Attend change control board meetings for transitioning of solution</t>
  </si>
  <si>
    <t xml:space="preserve"> Reports showing activities/tasks are achived as per transaiton planning.
- Monitoring Transition milestones are met.
- Release records
- Operation and support acceptance records</t>
  </si>
  <si>
    <t>- Project plan
- Project schedule</t>
  </si>
  <si>
    <t>- How do you manage issues early on with stakhodlers to increase the likelihood of meeting ojbeictvs
- What quantitive tehcnciqes do they use to monitor the porject is on track?
- How do you manage and resolve issues with affected stakeholders?
如何管理和解决受影响的干系人的问题</t>
  </si>
  <si>
    <t>同行评审</t>
    <phoneticPr fontId="9" type="noConversion"/>
  </si>
  <si>
    <t>通过生产者同行或主体专家（SME）的评审来识别并解决工作产品的问题</t>
    <phoneticPr fontId="9" type="noConversion"/>
  </si>
  <si>
    <t>及早发现问题或缺陷，降低成本和返工</t>
    <phoneticPr fontId="9" type="noConversion"/>
  </si>
  <si>
    <t>Perform reviews of work products and record issues. 
对工作产品进行评审并记录问题</t>
  </si>
  <si>
    <t>Develop and keep updated procedures and supporting materials used to prepare for and perform peer reviews. 
开发并持续更新用于准备和执行同行评审的程序与支持材料</t>
  </si>
  <si>
    <t>Select work products to be peer reviewed. 
选择要进行同行评审的工作产品</t>
  </si>
  <si>
    <t>Prepare and perform peer reviews on selected work products using established procedures. 
使用既定程序准备和执行选定工作产品的同行评审</t>
  </si>
  <si>
    <t>- Prepare for peer reviews
- Conduct peer reviews based on review criteria
- Record results of peer review</t>
  </si>
  <si>
    <t xml:space="preserve">	Resolve issues identified in peer reviews. 
解决同行评审中发现的问题</t>
  </si>
  <si>
    <t>Analyze results and data from peer reviews. 
分析从同行评审得到的结果和数据</t>
  </si>
  <si>
    <t>- Analyse the results of peer reviews
'- Register improvements based on results
'- Take corrective action on the project based on the results of the peer reviews
'- Monitor the performance of processes for possible signals from peer review data</t>
  </si>
  <si>
    <t>风险与机会管理</t>
    <phoneticPr fontId="9" type="noConversion"/>
  </si>
  <si>
    <t>识别、记录、分析和管理潜在地风险或机会</t>
    <phoneticPr fontId="9" type="noConversion"/>
  </si>
  <si>
    <t>缓解不利影响或充分利用积极影响来提高实现目标地可能性</t>
    <phoneticPr fontId="9" type="noConversion"/>
  </si>
  <si>
    <t>Identify and record risks or opportunities and keep them updated. 
识别、记录风险或机会并持续对其更新</t>
  </si>
  <si>
    <t>Analyze identified risks or opportunities. 
分析已识别地风险或机会</t>
  </si>
  <si>
    <t>Monitor identified risks or opportunities and communicate status to affected stakeholders. 
监控已识别地风险或机会并与受影响地干系人沟通风险或机会地状态</t>
  </si>
  <si>
    <t xml:space="preserve">		Identify and use risk or opportunity categories. 
识别和使用风险或机会类别</t>
  </si>
  <si>
    <t>Define and use parameters for risk or opportunity analysis and handling. 
定义和使用用于风险或机会分析和处理地参数</t>
  </si>
  <si>
    <t>Develop and keep updated a risk or opportunity management strategy. 
制定和持续更新风险或机会管理策略</t>
  </si>
  <si>
    <t>Develop and keep updated risk or opportunity management plans. 
制定和持续更新风险或机会管理计划</t>
  </si>
  <si>
    <t xml:space="preserve">	Manage risks or opportunities by implementing planned risk or opportunity management activities. 
通过实施已计划地风险或机会管理活动来管理风险或机会</t>
  </si>
  <si>
    <t>策划</t>
    <phoneticPr fontId="9" type="noConversion"/>
  </si>
  <si>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</si>
  <si>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t>制定计划来描述在组织的标准和约束条件内完成工作所需的内容，其中包括：预算/进度/资源需求、能力和可用性/质量/功能需求/风险和机会   计划还描述： 要执行的工作/适用的组织级标准过程集、资产和裁剪指南/依赖关系/由谁执行工作/与其他计划的关系/干系人及其角色</t>
    <phoneticPr fontId="9" type="noConversion"/>
  </si>
  <si>
    <t>优化成本、功能和质量以增加实现目标的可能性</t>
    <phoneticPr fontId="9" type="noConversion"/>
  </si>
  <si>
    <t>Develop a list of tasks. 
制定任务列表</t>
  </si>
  <si>
    <t>Assign people to tasks.
 将人员分配到任务</t>
  </si>
  <si>
    <t>Develop and keep updated the approach for accomplishing the work. 
开发完成工作的方法并保持更新</t>
  </si>
  <si>
    <t>Plan for the knowledge and skills needed to perform the work. 
计划执行工作所需的知识和技能</t>
  </si>
  <si>
    <t>Based on recorded estimates, develop and keep the budget and schedule updated. 
根据记录的估算，制定预算和进度并保持更新</t>
  </si>
  <si>
    <t>Plan the involvement of identified stakeholders. 
计划已识别的干系人的参与</t>
  </si>
  <si>
    <t>Plan transition to operations and support. 
计划向运营和支持的转移</t>
  </si>
  <si>
    <t>Ensure plans are feasible by reconciling available and estimated resources.
 通过协商可用资源和估算的资源确保计划的可行性</t>
  </si>
  <si>
    <t>Develop the project plan, ensure consistency among its elements, and keep it updated. 
制定项目计划，确保其元素之间的一致性，并保持更新</t>
  </si>
  <si>
    <t xml:space="preserve">	Review plans and obtain commitments from affected stakeholders.
 评审计划并获得受影响的干系人的承诺</t>
  </si>
  <si>
    <t>Use the organization's set of standard processes and tailoring guidelines to develop, keep updated, and follow the project process.
 使用组织的标准过程集和裁剪指南来开发项目过程，保持更新，并遵循项目过程</t>
  </si>
  <si>
    <t>Develop a plan and keep it updated, using the project process, the organization's process assets, and the measurement repository. 
使用项目过程、组织的过程资产和度量库制定计划并保持更新</t>
  </si>
  <si>
    <t>Identify and negotiate critical dependencies. 
识别和协商关键依赖关系</t>
  </si>
  <si>
    <t>Plan for the project environment and keep it updated based on the organization's standards. 
根据组织标准计划项目环境并保持更新</t>
  </si>
  <si>
    <t xml:space="preserve">	Use statistical and other quantitative techniques to develop and keep the project processes updated to enable achievement of the quality and process performance objectives.[Additional Requirement Information: Managing the progress towards achieving qppo ojbectives should be an integral part of how the project is planned and manged.] 
使用统计与其他量化技术来开发项目过程并保持更新，以实现质量与过程性能目标</t>
  </si>
  <si>
    <t>需求开发和管理</t>
    <phoneticPr fontId="9" type="noConversion"/>
  </si>
  <si>
    <t>抽取需求，确保利益相关方取得一致理解，并调整需求、计划和工作产品</t>
    <phoneticPr fontId="9" type="noConversion"/>
  </si>
  <si>
    <t>确保客户地需求和期望得到满足</t>
    <phoneticPr fontId="9" type="noConversion"/>
  </si>
  <si>
    <t>Record requirements. 
记录需求</t>
  </si>
  <si>
    <t>Elicit stakeholder needs, expectations, constraints, and interfaces or connections.
 抽取利益相关方地需求、期望、约束条件和接口或连接</t>
  </si>
  <si>
    <t>Transform stakeholder needs, expectations, constraints, and interfaces or connections into prioritized customer requirements. 
将利益相关方地需求、期望、约束条件、接口或连接转化为优先地客户需求</t>
  </si>
  <si>
    <t>Develop an understanding with the requirements providers on the meaning of the requirements. 
与需求提供者就需求地含义达成一致</t>
  </si>
  <si>
    <t>Obtain commitment from project participants that they can implement the requirements. 
获得项目参与者地承诺，即他们可以落实这些需求</t>
  </si>
  <si>
    <t>Develop, record, and maintain bidirectional traceability among requirements and activities or work products. 
开发，记录和维护需求和活动或工作产品之间地双向可追溯性</t>
  </si>
  <si>
    <t>What bidirectional traceability do you develop and maintain among requirements, other work products or planned activities?
会开发，记录和维护需求和活动或工作产品之间地哪些双向可追溯性？</t>
  </si>
  <si>
    <t xml:space="preserve">		Ensure that plans and activities or work products remain consistent with requirements.
 确保计划和活动或工作产品与需求保持一致</t>
  </si>
  <si>
    <t>How do you ensure that plans and activities (or work products to be delivered) are consistent with the requirements?
如何确保计划和活动或工作产品与需求保持一致性？</t>
  </si>
  <si>
    <t>Develop and keep requirements updated for the solution and its components.
 开发并持续更新解决方案及组件地需求</t>
  </si>
  <si>
    <t>How do you ensure that requirements are kept up to date for the solution (and its components)?
如何解决方案及组件地需求的及时更新</t>
  </si>
  <si>
    <t>Develop operational concepts and scenarios. 
开发操作概念和场景</t>
  </si>
  <si>
    <t>Allocate the requirements to be implemented. 
分配要落实地需求</t>
  </si>
  <si>
    <t xml:space="preserve">	Identify, develop, and keep updated interface or connection requirements. 
识别、开发并持续更新接口或连接需求</t>
  </si>
  <si>
    <t>Ensure that requirements are necessary and sufficient. 
确保需求是必要且充分的</t>
  </si>
  <si>
    <t>Balance stakeholder needs and constraints 
在利益相关方地需求和约束条件之间取得平衡</t>
  </si>
  <si>
    <t>Validate requirements to ensure the resulting solution will perform as intended in the target environment. 
确认需求，以确保生成地解决方案在目标环境中按照预期工作</t>
  </si>
  <si>
    <t>产品集成</t>
    <phoneticPr fontId="9" type="noConversion"/>
  </si>
  <si>
    <t>集成并交付满足功能和质量需求地解决方案</t>
    <phoneticPr fontId="9" type="noConversion"/>
  </si>
  <si>
    <t>通过提供达到或超过其功能和质量要求地解决方案来提高客户地满意度</t>
    <phoneticPr fontId="9" type="noConversion"/>
  </si>
  <si>
    <t>Assemble solutions and deliver to the customer. 
组装解决方案并交付给客户</t>
  </si>
  <si>
    <t>Develop, keep updated, and follow an integration strategy. 
开发、持续更新并遵循集成策略</t>
  </si>
  <si>
    <t>Develop, keep updated, and use the integration environment. 
开发、持续更新并使用集成环境</t>
  </si>
  <si>
    <t>Develop, keep updated, and follow procedures and criteria for integrating solutions and components. 
开发、持续更新并遵循用于集成解决方案和组件地规程和准则</t>
  </si>
  <si>
    <t>Confirm, prior to integration, that each component has been properly identified and operates according to its requirements and design. 
在集成之前，确认每个组件已被正确识别并按照其需求和设计正常工作</t>
  </si>
  <si>
    <t>- How do you ensure, prior to integration, that each component has been properly identified and operates according to its requirements and design? 
在集成之前，如何确认每个组件已被正确识别并按照其需求和设计正常工作？</t>
  </si>
  <si>
    <t>Evaluate integrated components to ensure conformance to the solution's requirements and design. 
评价集成地组件以确保其符合解决方案地需求和设计</t>
  </si>
  <si>
    <t xml:space="preserve">	Integrate solutions and components according to the integration strategy. 
根据集成策略集成解决方案和组件</t>
  </si>
  <si>
    <t>Evaluate integrated components for interface or connection compatibility. 
评价已集成组件地接口或连接地兼容性</t>
  </si>
  <si>
    <t>技术解决方案</t>
    <phoneticPr fontId="9" type="noConversion"/>
  </si>
  <si>
    <t>设计和构建满足客户需求的解决方案</t>
    <phoneticPr fontId="9" type="noConversion"/>
  </si>
  <si>
    <t>提供高效的设计和解决方案，以满足客户需求并且减少返工</t>
    <phoneticPr fontId="9" type="noConversion"/>
  </si>
  <si>
    <t>Build solution to meet requirements. 
构建能够满足需求的解决方案</t>
  </si>
  <si>
    <t>Design and build a solution to meet requirements. 
设计和构建能够满足需求的解决方案</t>
  </si>
  <si>
    <t>Evaluate the design and address identified issues. 
评估设计并解决识别的问题</t>
  </si>
  <si>
    <t xml:space="preserve">	Provide guidance on use of the solution. 
提供解决方案的使用指导</t>
  </si>
  <si>
    <t>Develop criteria for design decisions. 
制定设计决策标准</t>
  </si>
  <si>
    <t>Develop alternative solutions for selected components. 
制定针对选定组件的备选解决方案</t>
  </si>
  <si>
    <t>Perform a build, buy, or reuse analysis.
 执行构建、采购或复用分析</t>
  </si>
  <si>
    <t xml:space="preserve">	Select solutions based on design criteria. 
根据设计标准选择解决方案</t>
  </si>
  <si>
    <t>Develop, keep updated, and use information needed to implement the design. 
制定、保持更新并采用实现设计所需的信息</t>
  </si>
  <si>
    <t>Design solution interfaces or connections using established criteria. 
使用既定标准设计解决方案接口或连接</t>
  </si>
  <si>
    <t>How do you design solution interfaces (or connections) using established criteria?
如何使用既定标准设计解决方案接口或连接？</t>
  </si>
  <si>
    <t>验证和确认</t>
    <phoneticPr fontId="9" type="noConversion"/>
  </si>
  <si>
    <t>验证和确认的活动包括：确认选定的解决方案和组件能够满足需求</t>
    <phoneticPr fontId="9" type="noConversion"/>
  </si>
  <si>
    <t>正式选定的解决方案和组件在目标环境下能够实现其预期用途</t>
    <phoneticPr fontId="9" type="noConversion"/>
  </si>
  <si>
    <t xml:space="preserve">	Perform verification to ensure the requirements are implemented and record and communicate results. 
执行验证来确保需求得到实现并记录和沟通结果</t>
  </si>
  <si>
    <t>- What verification do you perform to ensure that requirements are implemented? 
会执行哪些验证来确保需求得到实现？</t>
  </si>
  <si>
    <t>Perform validation to ensure the solution will function as intended in its target environment and record and communicate results. 
执行确认来确保解决方案在目标环境下按预期运行并记录和沟通结果</t>
  </si>
  <si>
    <t>Select components and methods for verification and validation.
 选择用于验证和确认的组件和方法</t>
  </si>
  <si>
    <t>Develop, keep updated, and use the environment needed to support verification and validation.
 开发、使用并保持更新支持验证和确认所需的环境</t>
  </si>
  <si>
    <t>Develop, keep updated, and follow procedures for verification and validation. 
制定、保持更新并遵循验证和确认程序</t>
  </si>
  <si>
    <t>- What procedures do you use for verification and validation? 
使用哪些程序进行验证和确认？
- How are these developed and maintained?
这些是如何开发和维护的？</t>
  </si>
  <si>
    <t>Develop, keep updated, and use criteria for verification and validation. 
制定、使用并保持更新验证和确认标准</t>
  </si>
  <si>
    <t>- What criteria do you establish for verification and validation? 
建立什么标准进行验证和确认？
- How are these developed and maintain?
这些是如何开发和维护的？</t>
  </si>
  <si>
    <t>Analyze and communicate verification and validation results. 
分析和沟通验证和确认结果</t>
  </si>
  <si>
    <t>- How do you analyse the results of verification and validation? 
如何分析验证和确认的结果？
- How is the results used and communicated?
结果如何使用和传达？</t>
  </si>
  <si>
    <t>SUPPLIER AGREEMENT MANAGEMENT</t>
  </si>
  <si>
    <t>供应商协议管理</t>
    <phoneticPr fontId="9" type="noConversion"/>
  </si>
  <si>
    <t>Establish an agreement with selected suppliers, ensure that the supplier and the acquirer perform according to the terms over the course of the agreement, and evaluate the supplier's deliverables.</t>
  </si>
  <si>
    <t>与选定地供应商签订协议，确保供应商和采购方在协议有效期间履行协议，并评估供应商的交付物</t>
    <phoneticPr fontId="9" type="noConversion"/>
  </si>
  <si>
    <t>Provides an explicit understanding between the acquirer and supplier to maximize the success of agreed-on efforts to deliver a supplier deliverable.</t>
  </si>
  <si>
    <t>为采购方与供应商提供明确的共识，从而最大限度的推动供应商依据协议进行交付</t>
    <phoneticPr fontId="9" type="noConversion"/>
  </si>
  <si>
    <t>SAM 1.1</t>
  </si>
  <si>
    <t xml:space="preserve">	Develop and record the supplier agreement.
 开发和记录供应商协议</t>
  </si>
  <si>
    <t>- What supplier agreements do you record?
记录哪些供应商协议？</t>
  </si>
  <si>
    <t>SAM 1.2</t>
  </si>
  <si>
    <t>Accept or reject the supplier deliverables. 
接受或拒收供应商交付物</t>
  </si>
  <si>
    <t>- How do you accept or reject the supplier deliverables?
如何接受或拒收供应商交付物？</t>
  </si>
  <si>
    <t>SAM 1.3</t>
  </si>
  <si>
    <t>Process supplier invoices. 
处理供应商发票</t>
  </si>
  <si>
    <t>- How do you process supplier invoices?
如何处理供应商发票？</t>
  </si>
  <si>
    <t>SAM 2.1</t>
  </si>
  <si>
    <t xml:space="preserve">	Monitor supplier as specified in the supplier agreement and keep agreement updated. 
根据供应商协议监督供应商并保持协议更新</t>
  </si>
  <si>
    <t>- How do you monitor supplier actions and deliverables? How is this established and maintained in an agreement?
如何监督供应商和交付物？如何建立和维护供应商协议？</t>
  </si>
  <si>
    <t>SAM 2.2</t>
  </si>
  <si>
    <t>Perform activities as specified in the supplier agreement.
 根据供应商协议执行活动</t>
  </si>
  <si>
    <t>- How do you perform activities that is specified in the supplier agreement?
如何根据供应商协议执行活动？</t>
  </si>
  <si>
    <t>SAM 2.3</t>
  </si>
  <si>
    <t>Verify that the supplier agreement is satisfied before accepting the acquired supplier deliverable. 
在接收之前先验证采购的供应商交付物是否符合供应商协议</t>
  </si>
  <si>
    <t>- How do you verify that the supplier agreement is satisfied before accepting the acquired supplier deliverables?
在接收之前，如何验证采购的供应商交付物是否符合供应商协议？</t>
  </si>
  <si>
    <t>SAM 2.4</t>
  </si>
  <si>
    <t>Manage invoices submitted by the supplier according to the supplier agreements. 
根据供应商协议管理供应商提交的发票</t>
  </si>
  <si>
    <t>- How do you manage invoices submitted by the supplier? How is this done in accordance with the supplier agreement?
如何管理供应商提交的发票？如何按照供应商协议进行操作？</t>
  </si>
  <si>
    <t>SAM 3.1</t>
  </si>
  <si>
    <t>Select technical supplier deliverables for analysis and conduct technical reviews. 
选择技术类的供应商交付物进行分析并执行技术评审</t>
  </si>
  <si>
    <t>- Can you explain how you would select technical supplier deliverables for analysis and how technical reviews are conducted on these deliverables?
能否解释一下如何选择技术供应商可交付成果进行分析，以及如何对这些可交付成果进行技术审查？</t>
  </si>
  <si>
    <t>SAM 3.2</t>
  </si>
  <si>
    <t xml:space="preserve">	Select and monitor supplier processes and deliverables based on criteria in the supplier agreement. 
根据供应商协议中的标准选择和监督供应商过程和交付物</t>
  </si>
  <si>
    <t>- Can you explain how you would select and monitor supplier processes and deliverables base don criteria in the supplier agreement?
能解释一下如何根据供应商协议中的标准选择和监视供应商流程和可交付成果吗？</t>
  </si>
  <si>
    <t>https://translate.google.com/?sl=auto&amp;tl=en&amp;op=translate</t>
  </si>
  <si>
    <t>- What quality assurance reports do you obtain about compliance/noncompliance to your policy (in support of your strategy)? What do you do with noncomplinace? How do you handel exemplary compliance and support for process? How do you (senior management) provide governance and oversight of effective process implementation and improvement?</t>
  </si>
  <si>
    <t xml:space="preserve">What is your strategy (business goals)? What policies do you have to support you achieving the strategy (business goals)? Does the policy require staff to follow process in support of your strategy (business goals)? 
How do they tell staff that they expect them to follow process in order to achieve the business objectives? 
How does senior management identify what is essential for doing work?
How does senior management define the approach needed to accomplish the objectives of the organization?       </t>
  </si>
  <si>
    <t xml:space="preserve">How do you communicate your strategy (business goals) to staff? How do you communicate your policy to staff?
What organizational objectives has senior management defined and communicated?
Are these objectives to be achieved through process improvements?	</t>
  </si>
  <si>
    <t>- Determine how the organization will improve
确定组织要如何改进
- Set the approach for improvement
设定改进方法
- Communicate the result of improvement
沟通改进的结果</t>
  </si>
  <si>
    <t>- organizational strategy with strategic targets
- Process improvement directives in support of achieving the strategic targets</t>
  </si>
  <si>
    <t>- Process training function in the organizational chart
- Budget for process training resources (staff, tools, facilities)</t>
  </si>
  <si>
    <t>- Updated organization measurement repository</t>
  </si>
  <si>
    <t xml:space="preserve">- What organizational measurement repository do you have and how is it used? How do you support the creation, maintenance and use of the different performance objective?
- We have seen your QPPOs, we understand the measures, with regards to the remaining organizational objectives, how do you ensure that those measures are collected, analysed and used accross the organization?x
- What are 
- How do you (senior management) ensure that measures supporting objectives are collected, analysed and used?	 </t>
  </si>
  <si>
    <t>- How do you (senior management) ensure that competencies and processes align with the goals of the organization?</t>
  </si>
  <si>
    <t>- Tailor organizational process assets for a project
为项目裁剪组织过程资产</t>
  </si>
  <si>
    <t>- Tailored process
已裁剪的过程
- organizational process assets
组织过程资产
- Tailoring guidelines</t>
  </si>
  <si>
    <t>- Do you (process actor) have an organizational process for doing your work?
'您（流程参与者）自己的工作是否有遵循组织工作过程？ 
- How do you apply the process in your work?
您如何在工作中应用该过程？</t>
  </si>
  <si>
    <t>- Up to date organizational measurement repository</t>
  </si>
  <si>
    <t>- organizational performance reports</t>
  </si>
  <si>
    <t>- How is performance results common communicated within the organization?
如何在组织内部共同沟通绩效结果？</t>
  </si>
  <si>
    <t>- Identify stakeholders for a car analysis
- Follow the organizational process for car
- Use the the organizational tools for performing car
- Document the root causes</t>
  </si>
  <si>
    <t>- Comparing process performance baselines before and after the root cause action proposal has been implemented on the process across the organization.</t>
  </si>
  <si>
    <t>- Have you implemented the action proposal organizationally? If yes, how did you measure if it was effective? 
您是否实施了行动建议？如果是，如何衡量它是否有效？</t>
  </si>
  <si>
    <t>- What processes assets is defined for your organization?
组织定义的过程资产有哪些？</t>
  </si>
  <si>
    <t>- How is process assets made available to the organization?
过程资产如何提供给组织？</t>
  </si>
  <si>
    <t>- organizational process for developing new and maintaining existing processes</t>
  </si>
  <si>
    <t>- How are process assets made available for use in the organization?
如何在组织中使用过程资产？</t>
  </si>
  <si>
    <t>- What organizational measurement and analysis standards are available for use?
有哪些可用的组织度量和分析标准？</t>
  </si>
  <si>
    <t>- Use the organization measurement repository (historical data) as input into the estimation algorithm to derive new estimates for the current work package</t>
  </si>
  <si>
    <t>- organizational measurement repository</t>
  </si>
  <si>
    <t>- How do you make use of the organizational measurement repository to perform your estimates?
如何使用组织的度量库和过程资产进行估算工作</t>
  </si>
  <si>
    <t xml:space="preserve">- How do you address process improvements identified via appraisals?
- How do you collect improvements submitted internally within the organization?
记录了哪些过程改进？ </t>
  </si>
  <si>
    <t>- How are organizational standard processes and process assets deployed?
组织标准过程和过程资产如何部署？</t>
  </si>
  <si>
    <t>- How is training needs between projects (and support functions) coordinated with organizational training needs?
项目（和支持职能）之间的培训需求如何与组织培训需求相协调一致？</t>
  </si>
  <si>
    <t>- How do you establish and maintain a training capability for the organization?
如何建立和维护组织的培训能力？</t>
  </si>
  <si>
    <t>- How do you assess the effectiveness of the organization training program?
如何评估组织培训计划的有效性？</t>
  </si>
  <si>
    <t>- What role based decision making guidelines or processes do you have in the organization?
 - Explain role based decision authority in your organization?
 请针对基于角色的决策权威主体做相应描述</t>
  </si>
  <si>
    <t>- Explain how you derive your plan form your organizational set of standard process?
说明如何根据组织标准过程集制定出计划？ 
- How do you make use of tailoring guidelines to plan?
如何利用裁剪指南做计划？</t>
  </si>
  <si>
    <t>- Explain how you use organizational standards to plan for your project environment?
如何使用组织标准计划项目环境并保持更新？</t>
  </si>
  <si>
    <t>- How do you make use of statistical and other quantitative techniques to develop and keep the project processes updated to enable achievement of the quality and process performance objectives for the project or organization?
如何使用统计与其他量化技术来开发项目过程并保持更新，以实现过程或组织的质量与过程性能目标？</t>
  </si>
  <si>
    <t>- Explain how quality and noncompliance issues that cannot be resolve, are handled?
- How to you communicate and address noncompliance issues?
'您如何沟通和解决不符合项问题？</t>
  </si>
  <si>
    <t>- Throughout the project, how do you objectively evaluate process and work products?
- How do you objectively evaluate process and work products?
'如何客观评价过程和工作产品？</t>
  </si>
  <si>
    <t>- How do you analyze performance data using statistical and other quantitative techniques to determine the organization's ability to satisfy selected business objectives and identify potential areas for performance improvement.
您如何使用统计和其他定量技术来分析性能数据，以确定组织满足选定业务目标的能力，并确定潜在的性能改进。</t>
  </si>
  <si>
    <t>S</t>
  </si>
  <si>
    <t>Identify and address causes of selected outcomes. (Increases likelihood of achieving business objectives.)
识别并处理造成选定结果的原因</t>
  </si>
  <si>
    <t>Select outcomes for analysis. (Focuses efforts on the outcomes with the greatest impact on achieving objectives.)
选择要进行分析的结果</t>
  </si>
  <si>
    <t>Analyse and address causes of outcomes. (Reduces cost and time to meet objectives more efficiently.)
分析并处理造成结果的原因</t>
  </si>
  <si>
    <t>Determine causes of selected outcomes by following an organizational process. (Increases likelihood of meeting objectives by promoting successes and avoiding problems.) 
遵循组织过程来确定所选结果的根本原因</t>
  </si>
  <si>
    <t>Propose actions to address identified causes. (Reduces cost and time by preventing negative outcomes or producing positive outcomes.)
提出处理已识别的根本原因的行动建议</t>
  </si>
  <si>
    <t>Implement selected action proposals. (Implements changes that have the most impact on increasing the likelihood of meeting objectives.)
实施选定的行动建议</t>
  </si>
  <si>
    <t>Record causal analysis and resolution data. (Records and communicates improvement efforts across the organization, leveraging savings and increasing productivity.)
记录根本原因分析和解决的数据</t>
  </si>
  <si>
    <t>Submit improvement proposals for changes proven to be effective. (Reduces disruptions and rework and allows projects to learn from each other and increase productivity.)
提交已证明有效的改进建议</t>
  </si>
  <si>
    <t>Perform root cause analysis of selected outcomes using statistical and other quantitative techniques. (Improves the likelihood that the project will meet its quality and process performance objectives.)
使用统计的与其他量化的技术对选定结果进行根本原因分析</t>
  </si>
  <si>
    <t>Evaluate the effect of implemented actions on process performance using statistical and other quantitative techniques. (Maximizes the likelihood of meeting quality and process performance objectives.)
使用统计的与其他量化的技术评价实施的行动对过程性能的影响</t>
  </si>
  <si>
    <t>Use statistical and other quantitative techniques to evaluate other solutions and processes to determine if the resolution should be applied to optimize performance across the organization. (Leverages improvements across the organization to minimize cost and risk.)
使用统计与其他量化技术来评估其他解决方案和过程，以确定解决办法是否应该在更广泛的范围内应用</t>
  </si>
  <si>
    <t>Perform version control. (Increases customer satisfaction by ensuring that the correct solution is delivered.)
执行版本控制</t>
  </si>
  <si>
    <t>Identify items to be placed under configuration management. (Reduces risk of rework and verifies that the right version is delivered to the customer.)
识别将置于配置管理下的配置项</t>
  </si>
  <si>
    <t>Practice Statement
Develop, keep updated, and use a configuration and change management system. (Reduces the cost and effort needed to control the integrity of work products and solutions.)
 开发、使用并保持更新配置和变更管理系统。</t>
  </si>
  <si>
    <t>Develop or release baselines for internal use or for delivery to the customer. (Ensures the integrity of the work products.)
开发或发布供内部使用或交付给客户的基线。</t>
  </si>
  <si>
    <t>Manage changes to the items under configuration management. (Reduces costs and schedule impacts by ensuring that only authorized changes are made.)
管理对配置管理下的项的变更。</t>
  </si>
  <si>
    <t>Develop, keep updated, and use records describing items under configuration management. (Reduces rework through accurate descriptions of the configuration items and status of changes.)
开发、使用并保持更新描述配置管理下的项的记录。</t>
  </si>
  <si>
    <t>Perform configuration audits to maintain the integrity of configuration baselines, changes, and content of the configuration management system. (Increases customer satisfaction and stakeholder acceptance by ensuring that the customer receives the agreed-on and correct versions of work products and solutions.)
执行配置审计以保持配置基线、变更和配置管理系统内容的完整性。</t>
  </si>
  <si>
    <t>Define and record the alternatives. (Reduces potential rework with a clear definition and understanding of the alternatives.)
定义并记录备选方案</t>
  </si>
  <si>
    <t>Make and record the decision. (Provides a clear understanding of rationale and decisions made and avoids constant revisions and rework.)
做出并记录决策</t>
  </si>
  <si>
    <t>Develop, keep updated, and use rules to determine when to follow a recorded process for criteria-based decisions. (Reduces costs by focusing on the most important decisions.)
建立、维护并使用规则来确定何时遵循已记录的基于准则的决策过程</t>
  </si>
  <si>
    <t>Develop criteria for evaluating alternatives. (Enables consistent selection of optimal solutions.)
建立评价备选方案的准则</t>
  </si>
  <si>
    <t>Identify alternative solutions. (Increases the quality of the solution and customer satisfaction.)
识别备选解决方案的准则</t>
  </si>
  <si>
    <t>Select evaluation methods. (Optimizes the cost, schedule, and performance for the decision being made.)
选择评价方法</t>
  </si>
  <si>
    <t>Evaluate and select solutions using criteria and methods. (Ensures that the optimal solution is selected.)
使用准则和评价方法来评价和选择解决方案</t>
  </si>
  <si>
    <t>Develop, keep updated, and use a description of role-based decision authority. (Reduces business risk by ensuring the appropriate levels of authority are making and approving decisions.)
建立、维护和使用基于角色的决策权威主体的描述</t>
  </si>
  <si>
    <t>Develop high-level estimates to perform the work. (Addresses work size, cost, and schedule uncertainties to avoid pursuing work that may result in schedule or budget overruns.)
制定粗略估算来执行工作</t>
  </si>
  <si>
    <t>Develop, keep updated, and use the scope of what is being estimated. (Ensures the entire solution is addressed which increases the likelihood of meeting objectives and avoiding rework.)
指定、使用并保持更新估算范围</t>
  </si>
  <si>
    <t>Develop and keep updated estimates for the size of the solution. (Enables work tracking and timely corrective actions to deliver the solution on time and within budget.)
制定并保持更新针对解决方案规模的估算</t>
  </si>
  <si>
    <t>Based on size estimates, develop and record effort, duration, and cost estimates and their rationale for the solution. (Enables a better basis for commitments and improves accuracy of the estimates, leading to better decision-making.)
根据规模估算来制定并记录解决方案所需的工作量、周期和成本及其依据</t>
  </si>
  <si>
    <t>Develop and keep updated a recorded estimation method. (Maximizes consistency and efficiency for developing accurate estimates and increases the likelihood of meeting objectives.)
制定并保持更新已记录的估算方法</t>
  </si>
  <si>
    <t>Use the organizational measurement repository and process assets for estimating work. (Increases estimation precision, accuracy, and consistency enabling better decision-making, a higher likelihood of meeting objectives, and reduced risk.)
使用组织的度量库和过程资产进行估算工作</t>
  </si>
  <si>
    <t>Provides guidance to senior management on their role in the sponsorship and governance of performance, processes, and related activities.</t>
  </si>
  <si>
    <t>Minimizes the cost of process implementation, increases the likelihood of meeting objectives, and verifies that the implemented processes support and contribute to the success of the business.</t>
  </si>
  <si>
    <t>Senior management identifies what is important for doing the work and defines the approach needed to accomplish the objectives of the organization. (Increases the likelihood that the organization implements and improves processes efficiently and effectively to meet business objectives.)
高级管理层识别对工作执行重要地因素，并定义实现组织目标所需地方法</t>
  </si>
  <si>
    <t>Senior management defines, keeps updated, and communicates organizational directives for process implementation and performance improvement based on organization needs and objectives. (Increases likelihood of meeting organizational needs and objectives because work is performed in accordance with senior management's expectations and priorities.)
高级管理层根据组织需要和目标定义、维护并沟通针对过程实施与改进地组织级方针</t>
  </si>
  <si>
    <t>Senior management provides funding, resources, and training for developing, supporting, performing, improving, and evaluating adherence to processes. (Increases the likelihood that senior management's priorities for improvement will be met.)
 高级管理层确保提供资源和培训用于建立、支持、执行、改进以及评价与预期过程的符合性</t>
  </si>
  <si>
    <t>Senior management identifies their information needs and uses the collected information to provide governance and oversight of effective process implementation and performance improvement. (Aligns the information senior management receives with their business needs to increase the likelihood of meeting business objectives.)
高级管理层确定其信息需要，并使用收集到的信息来治理及监督有效的过程实施和改进</t>
  </si>
  <si>
    <t>Senior management assigns authority and holds people accountable for adhering to organization directives and achieving process implementation and performance improvement objectives. (Ensures that directives drive the implementation and improvement of processes to meet business objectives.)
高级管理层督促员工遵守组织级的方针并实现过程实施和改进的目标</t>
  </si>
  <si>
    <t>Senior management ensures that measures supporting objectives throughout the organization are collected, analyzed, and used. (Increases the organization's ability to successfully deliver its solutions.)
高级管理层确保支持整个组织目标的度量项得到收集、分析和使用</t>
  </si>
  <si>
    <t>Senior management ensures that competencies and processes are aligned with the objectives of the organization. (Improves the capability of the organization to meet its objectives.)
高级管理层确保胜任力和过程与组织目标保持一致</t>
  </si>
  <si>
    <t>Senior management verifies that selected decisions are driven by statistical and quantitative analysis related to performance and achievement of quality and process performance objectives. (Strengthens decision-making by using statistical and quantitative analysis to optimize organizational performance.)
 高级管理层确保所选择的决策以性能相关的统计和定量分析以及质量和过程性能目标的实现为驱动</t>
  </si>
  <si>
    <t>Ensures that the processes and assets important to an organization’s performance are habitually and persistently followed, used, and improved.</t>
  </si>
  <si>
    <t>Sustains the ability to consistently achieve goals and objectives efficiently and effectively.</t>
  </si>
  <si>
    <t>Perform processes that address the intent of the Level 1 practices. (Improves the likelihood that solutions are complete, correct, and timely.)
执行在实现第1级实践目的的过程</t>
  </si>
  <si>
    <t>Provide sufficient resources, funding, and training for developing and performing processes. (Increases the likelihood of successful process improvement efforts by having sufficient resources.)
提供充足的资源、资金和培训来开发和执行过程</t>
  </si>
  <si>
    <t>Develop and keep processes updated, and verify they are being followed. (Minimizes waste by ensuring affected stakeholders focus on the most valuable activities that are recorded in processes.)
建立和更新过程并验证过程是否得到遵循</t>
  </si>
  <si>
    <t>Use organizational processes and process assets to plan, manage, and perform the work. (Leverages organizational learning and use of best practices, leading to reductions in rework and cost, and increases in efficiency and effectiveness.)
使用组织过程和过程资产来策划、管理和执行工作</t>
  </si>
  <si>
    <t>Evaluate the adherence to and effectiveness of the organizational processes. (Provides insight on potential cost-effective improvements to organizational processes and how they are used.)
评估组织过程的符合性和有效性</t>
  </si>
  <si>
    <t>Contribute process-related information or process assets to the organization. (Increases return on investment by improving the organizational processes and process assets.)
为组织贡献过程相关信息或过程资产</t>
  </si>
  <si>
    <t>II 4.1</t>
  </si>
  <si>
    <t>Develop the organizational capability to understand and apply statistical and other quantitative techniques to accomplish the work. (Empowers the workforce to use information to make effective changes and meet or exceed business objectives.)
发展组织能力，以理解和应用统计和其他定量技术来完成工作。（授权员工使用信息进行有效变革，达到或超过业务目标。）</t>
  </si>
  <si>
    <t>- Train staff on 6-Sigma and High Maturity concepts
对员工进行6西格玛和高成熟度概念培训。</t>
  </si>
  <si>
    <t>- 6-Sigma or/or High Maturity training material
6-Sigma 或/或高成熟度培训材料
- 6-Sigma and/or High Maturity training records
6-Sigma 和/或高成熟度培训记录</t>
  </si>
  <si>
    <t>- How do you develop the organization's capability and understanding to apply statistical and quantitive techniques? 
您如何培养组织应用统计和定量技术的能力和理解</t>
  </si>
  <si>
    <t>Manages performance using measurement and analysis to achieve business objectives.</t>
  </si>
  <si>
    <t>Collect measures and record performance. (Enables performance management to increase likelihood of meeting objectives.)
收集度量项并记录性能</t>
  </si>
  <si>
    <t>Identify and address performance issues. (Improves the ability to achieve objectives and increases customer satisfaction.)
识别并解决性能问题</t>
  </si>
  <si>
    <t>Derive and record measurement and performance objectives from selected business needs and objectives and keep them updated. (Aligns measurement and performance activities to increase the likelihood of achieving business results.)
从选定的业务需求和目标中推导出度量及性能目标并进行记录和更新</t>
  </si>
  <si>
    <t>Develop, keep updated, and use operational definitions for measures. (Increases the consistency of measures and the likelihood that business needs and objectives are met efficiently and effectively.)
开发、使用并持续更新度量项的操作性定义</t>
  </si>
  <si>
    <t>Obtain specified measurement data according to the operational definitions. (Improves decisions and increases the likelihood of successfully completing projects.)
根据操作性定义获取制定的度量数据</t>
  </si>
  <si>
    <t>Analyze performance and measurement data according to the operational definitions. (Provides insight into performance and actions needed to meet objectives.)
根据操作性定义分析性能和度量数据</t>
  </si>
  <si>
    <t>Store measurement data, measurement specifications, and analysis results according to the operational definitions. (Enables analysis of performance to improve the likelihood of repeating successes.)
根据操作性定义存储度量数据、度量规格和分析结果</t>
  </si>
  <si>
    <t>Take actions to address identified issues with meeting measurement and performance objectives. (Enables the ability to meet performance objectives. )
采取行动解决已识别的阻碍实现度量及性能目标的问题</t>
  </si>
  <si>
    <t>Develop, keep updated, and use the organization’s measurement and performance objectives traceable to business objectives. (Optimizes resource usage to improve business success.)
开发、使用并保持更新可追溯到业务目标的组织度量及性能目标</t>
  </si>
  <si>
    <t>Follow organizational processes and standards to develop and use operational definitions for measures and keep them updated. (Enables consistent collection, understanding, and use of organizational measurement and performance data to improve performance and increase likelihood of success.)
遵循组织过程和标准来制定和使用度量项的操作性定义并保持更新</t>
  </si>
  <si>
    <t>Develop, keep updated, and follow a data quality process. (Ensures that use of the measurement and performance data results in better decision-making.)
开发、保持更新并遵循数据质量过程</t>
  </si>
  <si>
    <t>Develop, keep updated, and use the organization's measurement repository. (Supports informed decisions leading to more successful projects through timely access to measurement and performance data.)
开发、使用并保持更新组织的度量库</t>
  </si>
  <si>
    <t>Analyze organizational performance using measurement and performance data to determine and address performance improvement needs. (Contributes to business success through the analysis and improvement of performance.)
使用度量和性能数据来分析组织性能，以确定性能改进需求</t>
  </si>
  <si>
    <t>Periodically communicate performance results to the organization. (Enhances coordination and understanding of performance and improvement value to reduce waste and increase the likelihood of achieving objectives.)
定期将性能结果传达给组织</t>
  </si>
  <si>
    <t>Use statistical and other quantitative techniques to develop, keep updated, and communicate quality and process performance objectives that are traceable to business objectives. (Establishes realistic quality and process performance objectives enabling better decision-making, increasing the likelihood of meeting business objectives.)
 使用统计与其他量化技术来制定、持续更新并沟通可追溯到业务目标的质量与过程性能目标</t>
  </si>
  <si>
    <t>Select measures and analytic techniques to quantitatively manage performance to achieve quality and process performance objectives. (Focuses measurement and management activities on the data that provide the most insight into achieving the objectives.)
 选择度量和分析技术对性能进行量化管理，以实现质量与过程性能目标</t>
  </si>
  <si>
    <t>Use statistical and other quantitative techniques to develop and analyze process performance baselines and keep them updated. (Enables quantitative understanding of performance and capability to ensure that objectives can be met.)
使用统计与其他量化技术来建立和分析过程性能基线并保持跟新</t>
  </si>
  <si>
    <t>Use statistical and other quantitative techniques to develop and analyze process performance models and keep them updated. (Reduces cost and increases quality by predicting likelihood of meeting objectives and allowing for early corrective action.)
使用统计与其他量化技术来建立和分析过程性能模型并保持更新</t>
  </si>
  <si>
    <t>Use statistical and other quantitative techniques to determine or predict achievement of quality and process performance objectives. (Facilitates a quantitative understanding of risks to achieving objectives which maximizes likelihood of success.)
使用统计与其他量化技术来确定或预测质量与过程性能目标的实现情况</t>
  </si>
  <si>
    <t>Use statistical and other quantitative techniques to ensure that business objectives are aligned with business strategy to optimize performance. (Minimizes waste and rework through a more accurate understanding of capability which increases the likelihood of setting and meeting reasonable objectives.)
使用统计与其他量化技术来确保业务目标与业务战略和性能保持一致</t>
  </si>
  <si>
    <t>Analyze performance data using statistical and other quantitative techniques to determine the organization's ability to satisfy selected business objectives and identify potential areas for optimizing performance. (Identifies areas that pose the greatest risk to achieving business objectives or greatest opportunity for increasing business performance.)
使用统计与其他量化技术来分析性能数据，以确定组织实现选定的业务目标的能力，并识别潜在的性能改进领域</t>
  </si>
  <si>
    <t>Select and implement improvement proposals based on the statistical and quantitative analysis of the expected effect of proposed improvements on meeting and optimizing business, quality, and process performance objectives. (Increases likelihood that selected improvements will significantly contribute to achieving business, quality, and process performance objectives.)
对改进建议实现业务目标、质量和过程性能目标的预期效果进行统计与量化分析，并依据统计与量化分析结果选择和实施改进建议</t>
  </si>
  <si>
    <t>Provides an understanding of the project progress so appropriate corrective actions can be taken when performance deviates significantly from plans.</t>
  </si>
  <si>
    <t>Record task completions. (Enables the team and senior management to make better decisions to achieve objectives.)
记录任务完成情况</t>
  </si>
  <si>
    <t>Identify and resolve issues. (Supports prevention of uncontrolled cost and schedule creep.)
识别并解决问题</t>
  </si>
  <si>
    <t>Track actual results against estimates for size, effort, schedule, resources, knowledge and skills, and budget. (Identifies significant deviations so more effective corrective actions can be taken which increases the likelihood of meeting objectives.)
从规模、工作量、进度、资源、知识和技能以及预算等方面，对比估算跟踪实际结果</t>
  </si>
  <si>
    <t>Track the involvement of identified stakeholders and commitments. (Manages stakeholder involvement critical to successful work completion.)
 跟踪已识别的利益相关方参与和承诺情况</t>
  </si>
  <si>
    <t>Monitor the transition to operations and support. (Ensures expected benefits are obtained by smooth solution transitions and successful implementations.)
监控向运营和支持的迁移</t>
  </si>
  <si>
    <t>Take corrective actions when actual results differ significantly from planned results and manage to closure. (Manages corrective actions to increase the probability that objectives will be met.)
当实际结果相较于计划结果存在显著差异时，采取纠正措施并管理直至关闭</t>
  </si>
  <si>
    <t>Manage the project using the project plan and the project process. (Ensures necessary activities are performed which reduces rework and improves the likelihood of achieving objectives.)
使用项目计划和项目过程管理项目</t>
  </si>
  <si>
    <t>Manage critical dependencies and activities. (Manages critical dependencies to significantly reduce risk and increase the likelihood of meeting objectives.)
管理关键依赖关系和活动</t>
  </si>
  <si>
    <t>Monitor the work environment to identify issues. (Ensures objectives are met by providing an effective, safe, and healthy work environment.)
监控工作环境以识别问题</t>
  </si>
  <si>
    <t>Manage and resolve issues with affected stakeholders. (Resolves issues early, increasing the likelihood of meeting objectives.)
管理和解决受影响的干系人的问题</t>
  </si>
  <si>
    <t>Develops the skills and knowledge of personnel so they perform their roles efficiently and effectively.</t>
  </si>
  <si>
    <t>Train people. (Increases likelihood of meeting objectives by ensuring individuals have needed skills and knowledge.)
培训人员</t>
  </si>
  <si>
    <t>Identify training needs. (Reduces costs by providing training needed to perform the work.)
识别培训需要</t>
  </si>
  <si>
    <t>Train personnel and keep records. (Avoids training people who already have the needed knowledge and skills, and verifies that people get the training needed to perform their work.) 
培训人员并保存记录</t>
  </si>
  <si>
    <t>Develop and keep updated the organization's strategic and short-term training needs. (Maximizes the likelihood of meeting objectives by ensuring that the organization has skilled individuals now and in the future.)
开发并持续更新组织的战略和短期培训需要</t>
  </si>
  <si>
    <t>Coordinate training needs and delivery between the projects and the organization. (Ensures efficient and effective allocation of training resources.)
在项目和组织之间协调并交付培训需要</t>
  </si>
  <si>
    <t>Develop, keep updated, and follow organizational strategic and short-term training plans. (Increases effectiveness and efficiency of task performance.)
 开发、持续更新并遵循组织的战略和短期培训需要</t>
  </si>
  <si>
    <t>Develop, keep updated, and use a training capability to address organizational training needs. (Ensures personnel have the knowledge, skills, and abilities to perform their work efficiently and effectively.)
开发、持续更新并使用培训能力来处理组织的培训需要</t>
  </si>
  <si>
    <t>Assess and report the effectiveness of the organization's training program. (Keeps the training program relevant and valuable to the business.)
 评估组织级培训计划的有效性</t>
  </si>
  <si>
    <t>Record, keep updated, and use the set of organizational training records. (Records are essential in determining how well the training program supports the achievement of business and performance goals.)
记录、持续更新并使用组织级培训记录集</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</si>
</sst>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5">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6"/>
      <color theme="1"/>
      <name val="Calibri"/>
      <family val="2"/>
      <scheme val="minor"/>
    </font>
    <font>
      <sz val="10"/>
      <color theme="1"/>
      <name val="Calibri"/>
      <family val="2"/>
      <scheme val="minor"/>
    </font>
    <font>
      <sz val="12"/>
      <color theme="1"/>
      <name val="Calibri"/>
      <family val="2"/>
      <scheme val="minor"/>
    </font>
    <font>
      <b/>
      <sz val="16"/>
      <color theme="1"/>
      <name val="Calibri"/>
      <family val="2"/>
      <scheme val="minor"/>
    </font>
    <font>
      <b/>
      <sz val="12"/>
      <color theme="1"/>
      <name val="Calibri"/>
      <family val="2"/>
      <scheme val="minor"/>
    </font>
    <font>
      <sz val="10"/>
      <name val="Calibri"/>
      <family val="2"/>
      <scheme val="minor"/>
    </font>
    <font>
      <b/>
      <sz val="10"/>
      <name val="Calibri"/>
      <family val="2"/>
      <scheme val="minor"/>
    </font>
    <font>
      <sz val="10"/>
      <color indexed="12"/>
      <name val="Calibri"/>
      <family val="2"/>
      <scheme val="minor"/>
    </font>
    <font>
      <u/>
      <sz val="10"/>
      <color rgb="FF800080"/>
      <name val="宋体"/>
      <charset val="134"/>
    </font>
    <font>
      <u/>
      <sz val="7.5"/>
      <color indexed="12"/>
      <name val="Arial"/>
      <family val="2"/>
    </font>
    <font>
      <b/>
      <sz val="14"/>
      <color indexed="8"/>
      <name val="Calibri"/>
      <family val="2"/>
      <scheme val="minor"/>
    </font>
    <font>
      <b/>
      <sz val="10"/>
      <color theme="1"/>
      <name val="Calibri"/>
      <family val="2"/>
      <scheme val="minor"/>
    </font>
    <font>
      <b/>
      <sz val="12"/>
      <color rgb="FFFF0000"/>
      <name val="Calibri"/>
      <family val="2"/>
      <scheme val="minor"/>
    </font>
    <font>
      <b/>
      <sz val="14"/>
      <color theme="1"/>
      <name val="Calibri"/>
      <family val="2"/>
      <scheme val="minor"/>
    </font>
    <font>
      <b/>
      <sz val="18"/>
      <color theme="1"/>
      <name val="Calibri"/>
      <family val="2"/>
      <scheme val="minor"/>
    </font>
    <font>
      <b/>
      <sz val="11"/>
      <color theme="1"/>
      <name val="Calibri"/>
      <family val="2"/>
      <scheme val="minor"/>
    </font>
    <font>
      <b/>
      <sz val="14"/>
      <color rgb="FFFF0000"/>
      <name val="Calibri"/>
      <family val="2"/>
      <scheme val="minor"/>
    </font>
    <font>
      <b/>
      <sz val="10"/>
      <color rgb="FF000000"/>
      <name val="Calibri"/>
      <family val="2"/>
      <scheme val="minor"/>
    </font>
    <font>
      <sz val="10"/>
      <name val="Arial"/>
      <family val="2"/>
    </font>
    <font>
      <sz val="11"/>
      <color theme="1"/>
      <name val="Calibri"/>
      <family val="2"/>
      <scheme val="minor"/>
    </font>
    <font>
      <sz val="11"/>
      <color rgb="FF000000"/>
      <name val="Calibri"/>
      <family val="2"/>
    </font>
    <font>
      <u/>
      <sz val="12"/>
      <color indexed="12"/>
      <name val="Arial"/>
      <family val="2"/>
    </font>
    <font>
      <sz val="10"/>
      <name val="Geneva"/>
      <family val="1"/>
    </font>
    <font>
      <sz val="11"/>
      <color rgb="FFFF0000"/>
      <name val="Calibri"/>
      <family val="2"/>
      <scheme val="minor"/>
    </font>
    <font>
      <b/>
      <sz val="14"/>
      <color rgb="FF505050"/>
      <name val="Calibri"/>
      <family val="2"/>
      <scheme val="minor"/>
    </font>
    <font>
      <sz val="9"/>
      <name val="Calibri"/>
      <family val="2"/>
      <scheme val="minor"/>
    </font>
    <font>
      <sz val="9"/>
      <color theme="1"/>
      <name val="Calibri"/>
      <family val="2"/>
      <scheme val="minor"/>
    </font>
    <font>
      <i/>
      <sz val="10"/>
      <color theme="1"/>
      <name val="Calibri"/>
      <family val="2"/>
      <scheme val="minor"/>
    </font>
    <font>
      <sz val="8"/>
      <name val="Calibri"/>
      <family val="2"/>
      <scheme val="minor"/>
    </font>
    <font>
      <u/>
      <sz val="10"/>
      <color theme="1"/>
      <name val="Calibri"/>
      <family val="2"/>
      <scheme val="minor"/>
    </font>
    <font>
      <sz val="14"/>
      <color theme="1"/>
      <name val="Calibri"/>
      <family val="2"/>
      <scheme val="minor"/>
    </font>
    <font>
      <sz val="10"/>
      <name val="Calibri"/>
      <family val="2"/>
    </font>
    <font>
      <b/>
      <sz val="10"/>
      <name val="Calibri"/>
      <family val="2"/>
    </font>
    <font>
      <sz val="10"/>
      <name val="宋体"/>
      <family val="3"/>
      <charset val="134"/>
    </font>
    <font>
      <b/>
      <sz val="12"/>
      <color rgb="FF505050"/>
      <name val="Calibri"/>
      <family val="2"/>
      <scheme val="minor"/>
    </font>
    <font>
      <sz val="12"/>
      <name val="Calibri"/>
      <family val="2"/>
      <scheme val="minor"/>
    </font>
    <font>
      <i/>
      <sz val="10"/>
      <name val="Calibri"/>
      <family val="2"/>
      <scheme val="minor"/>
    </font>
    <font>
      <b/>
      <sz val="11"/>
      <color rgb="FF505050"/>
      <name val="Calibri"/>
      <family val="2"/>
      <scheme val="minor"/>
    </font>
    <font>
      <sz val="9"/>
      <name val="Calibri"/>
      <family val="2"/>
    </font>
    <font>
      <sz val="9"/>
      <color theme="7" tint="-0.499984740745262"/>
      <name val="Calibri"/>
      <family val="2"/>
    </font>
    <font>
      <b/>
      <sz val="9"/>
      <color theme="7" tint="-0.499984740745262"/>
      <name val="Calibri"/>
      <family val="2"/>
    </font>
    <font>
      <b/>
      <sz val="9"/>
      <name val="Calibri"/>
      <family val="2"/>
    </font>
    <font>
      <sz val="9"/>
      <color theme="7" tint="-0.499984740745262"/>
      <name val="宋体"/>
      <family val="3"/>
      <charset val="134"/>
    </font>
    <font>
      <sz val="9"/>
      <name val="Calibri"/>
      <family val="2"/>
      <charset val="134"/>
    </font>
    <font>
      <sz val="9"/>
      <name val="宋体"/>
      <family val="3"/>
      <charset val="134"/>
    </font>
    <font>
      <b/>
      <sz val="9"/>
      <name val="Calibri"/>
      <family val="2"/>
      <scheme val="minor"/>
    </font>
    <font>
      <sz val="10"/>
      <color rgb="FFFF0000"/>
      <name val="Calibri"/>
      <family val="2"/>
      <scheme val="minor"/>
    </font>
    <font>
      <sz val="10"/>
      <color theme="7" tint="-0.499984740745262"/>
      <name val="Calibri"/>
      <family val="2"/>
      <scheme val="minor"/>
    </font>
    <font>
      <b/>
      <sz val="10"/>
      <color rgb="FFFF0000"/>
      <name val="Calibri"/>
      <family val="2"/>
      <scheme val="minor"/>
    </font>
    <font>
      <b/>
      <sz val="10"/>
      <color theme="7" tint="-0.499984740745262"/>
      <name val="Calibri"/>
      <family val="2"/>
      <scheme val="minor"/>
    </font>
    <font>
      <sz val="11"/>
      <color theme="0"/>
      <name val="Calibri"/>
      <family val="2"/>
      <scheme val="minor"/>
    </font>
    <font>
      <sz val="9"/>
      <name val="Calibri"/>
      <family val="3"/>
      <charset val="134"/>
      <scheme val="minor"/>
    </font>
    <font>
      <b/>
      <sz val="20"/>
      <color rgb="FF505050"/>
      <name val="Calibri"/>
      <family val="2"/>
      <scheme val="minor"/>
    </font>
    <font>
      <sz val="10"/>
      <color rgb="FF002060"/>
      <name val="Calibri"/>
      <family val="2"/>
      <scheme val="minor"/>
    </font>
  </fonts>
  <fills count="25">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indexed="27"/>
        <bgColor indexed="64"/>
      </patternFill>
    </fill>
    <fill>
      <patternFill patternType="solid">
        <fgColor theme="2" tint="-0.499984740745262"/>
        <bgColor indexed="64"/>
      </patternFill>
    </fill>
    <fill>
      <patternFill patternType="solid">
        <fgColor rgb="FFFFCC99"/>
        <bgColor indexed="64"/>
      </patternFill>
    </fill>
    <fill>
      <patternFill patternType="solid">
        <fgColor rgb="FFD9E1F2"/>
        <bgColor rgb="FF000000"/>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CCFFFF"/>
        <bgColor indexed="64"/>
      </patternFill>
    </fill>
    <fill>
      <patternFill patternType="solid">
        <fgColor rgb="FFD6BBEB"/>
        <bgColor indexed="64"/>
      </patternFill>
    </fill>
    <fill>
      <patternFill patternType="solid">
        <fgColor theme="8" tint="0.79998168889431442"/>
        <bgColor indexed="64"/>
      </patternFill>
    </fill>
    <fill>
      <patternFill patternType="solid">
        <fgColor rgb="FFF2F7FC"/>
        <bgColor indexed="64"/>
      </patternFill>
    </fill>
    <fill>
      <patternFill patternType="solid">
        <fgColor theme="9" tint="0.59999389629810485"/>
        <bgColor indexed="64"/>
      </patternFill>
    </fill>
    <fill>
      <patternFill patternType="solid">
        <fgColor theme="8" tint="0.79995117038483843"/>
        <bgColor indexed="64"/>
      </patternFill>
    </fill>
    <fill>
      <patternFill patternType="solid">
        <fgColor theme="8" tint="0.79992065187536243"/>
        <bgColor indexed="64"/>
      </patternFill>
    </fill>
    <fill>
      <patternFill patternType="solid">
        <fgColor rgb="FFFFABAB"/>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indexed="22"/>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indexed="64"/>
      </left>
      <right style="thin">
        <color indexed="64"/>
      </right>
      <top style="medium">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style="medium">
        <color indexed="64"/>
      </left>
      <right style="medium">
        <color indexed="64"/>
      </right>
      <top style="medium">
        <color indexed="64"/>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left style="medium">
        <color indexed="64"/>
      </left>
      <right style="medium">
        <color indexed="64"/>
      </right>
      <top/>
      <bottom/>
      <diagonal/>
    </border>
    <border>
      <left/>
      <right style="medium">
        <color indexed="64"/>
      </right>
      <top/>
      <bottom/>
      <diagonal/>
    </border>
  </borders>
  <cellStyleXfs count="24">
    <xf numFmtId="0" fontId="0" fillId="0" borderId="0"/>
    <xf numFmtId="0" fontId="30" fillId="0" borderId="0" applyNumberFormat="0" applyFill="0" applyBorder="0" applyAlignment="0" applyProtection="0">
      <alignment vertical="top"/>
      <protection locked="0"/>
    </xf>
    <xf numFmtId="0" fontId="39" fillId="0" borderId="0"/>
    <xf numFmtId="0" fontId="40" fillId="0" borderId="0"/>
    <xf numFmtId="0" fontId="40" fillId="0" borderId="0"/>
    <xf numFmtId="0" fontId="39" fillId="0" borderId="0"/>
    <xf numFmtId="0" fontId="20" fillId="0" borderId="0"/>
    <xf numFmtId="0" fontId="19" fillId="0" borderId="0"/>
    <xf numFmtId="0" fontId="19" fillId="0" borderId="0"/>
    <xf numFmtId="0" fontId="39" fillId="0" borderId="0"/>
    <xf numFmtId="0" fontId="19" fillId="0" borderId="0"/>
    <xf numFmtId="0" fontId="16" fillId="0" borderId="0"/>
    <xf numFmtId="0" fontId="15" fillId="0" borderId="0"/>
    <xf numFmtId="0" fontId="15" fillId="0" borderId="0"/>
    <xf numFmtId="0" fontId="15" fillId="0" borderId="0"/>
    <xf numFmtId="0" fontId="43" fillId="0" borderId="0"/>
    <xf numFmtId="0" fontId="13" fillId="0" borderId="0"/>
    <xf numFmtId="0" fontId="13" fillId="0" borderId="0"/>
    <xf numFmtId="0" fontId="12" fillId="0" borderId="0"/>
    <xf numFmtId="0" fontId="11" fillId="0" borderId="0"/>
    <xf numFmtId="0" fontId="11" fillId="0" borderId="0"/>
    <xf numFmtId="0" fontId="39" fillId="0" borderId="0"/>
    <xf numFmtId="0" fontId="3" fillId="0" borderId="0"/>
    <xf numFmtId="0" fontId="1" fillId="0" borderId="0"/>
  </cellStyleXfs>
  <cellXfs count="384">
    <xf numFmtId="0" fontId="0" fillId="0" borderId="0" xfId="0"/>
    <xf numFmtId="0" fontId="26" fillId="3" borderId="1" xfId="2" applyFont="1" applyFill="1" applyBorder="1" applyAlignment="1">
      <alignment horizontal="left" vertical="center"/>
    </xf>
    <xf numFmtId="0" fontId="26" fillId="3" borderId="1" xfId="2" applyFont="1" applyFill="1" applyBorder="1" applyAlignment="1">
      <alignment horizontal="left" vertical="center" wrapText="1"/>
    </xf>
    <xf numFmtId="0" fontId="26" fillId="4" borderId="1" xfId="2" applyFont="1" applyFill="1" applyBorder="1" applyAlignment="1">
      <alignment horizontal="left" vertical="top" wrapText="1"/>
    </xf>
    <xf numFmtId="0" fontId="26" fillId="2" borderId="1" xfId="2" applyFont="1" applyFill="1" applyBorder="1" applyAlignment="1">
      <alignment horizontal="center" vertical="center"/>
    </xf>
    <xf numFmtId="0" fontId="26" fillId="0" borderId="1" xfId="5" applyFont="1" applyBorder="1" applyAlignment="1">
      <alignment horizontal="left" vertical="center" wrapText="1"/>
    </xf>
    <xf numFmtId="0" fontId="28" fillId="0" borderId="1" xfId="5" applyFont="1" applyBorder="1" applyAlignment="1">
      <alignment horizontal="center" vertical="center" wrapText="1"/>
    </xf>
    <xf numFmtId="0" fontId="26" fillId="5" borderId="1" xfId="2" applyFont="1" applyFill="1" applyBorder="1" applyAlignment="1">
      <alignment horizontal="center" vertical="center" wrapText="1"/>
    </xf>
    <xf numFmtId="0" fontId="26" fillId="2" borderId="1" xfId="2" applyFont="1" applyFill="1" applyBorder="1" applyAlignment="1">
      <alignment horizontal="left" vertical="center" wrapText="1"/>
    </xf>
    <xf numFmtId="0" fontId="26" fillId="2" borderId="1" xfId="2" applyFont="1" applyFill="1" applyBorder="1" applyAlignment="1">
      <alignment horizontal="center" vertical="center" wrapText="1"/>
    </xf>
    <xf numFmtId="0" fontId="26" fillId="5" borderId="2" xfId="2" applyFont="1" applyFill="1" applyBorder="1" applyAlignment="1">
      <alignment vertical="center" wrapText="1"/>
    </xf>
    <xf numFmtId="0" fontId="26" fillId="4" borderId="1" xfId="2" applyFont="1" applyFill="1" applyBorder="1" applyAlignment="1">
      <alignment vertical="center" wrapText="1"/>
    </xf>
    <xf numFmtId="0" fontId="29" fillId="0" borderId="1" xfId="1" applyNumberFormat="1" applyFont="1" applyFill="1" applyBorder="1" applyAlignment="1" applyProtection="1">
      <alignment horizontal="center" vertical="center" wrapText="1"/>
    </xf>
    <xf numFmtId="0" fontId="26" fillId="3" borderId="1" xfId="2" applyFont="1" applyFill="1" applyBorder="1" applyAlignment="1">
      <alignment horizontal="center" vertical="center" wrapText="1"/>
    </xf>
    <xf numFmtId="0" fontId="0" fillId="0" borderId="0" xfId="0" applyAlignment="1">
      <alignment horizontal="left" vertical="top" wrapText="1"/>
    </xf>
    <xf numFmtId="0" fontId="30" fillId="0" borderId="0" xfId="1" applyAlignment="1" applyProtection="1"/>
    <xf numFmtId="0" fontId="18" fillId="0" borderId="0" xfId="0" applyFont="1"/>
    <xf numFmtId="0" fontId="17" fillId="0" borderId="0" xfId="0" applyFont="1"/>
    <xf numFmtId="0" fontId="0" fillId="0" borderId="0" xfId="0" applyAlignment="1">
      <alignment horizontal="left" vertical="top"/>
    </xf>
    <xf numFmtId="0" fontId="27" fillId="10" borderId="2" xfId="2" applyFont="1" applyFill="1" applyBorder="1" applyAlignment="1">
      <alignment vertical="center" wrapText="1"/>
    </xf>
    <xf numFmtId="0" fontId="27" fillId="10" borderId="3" xfId="2" applyFont="1" applyFill="1" applyBorder="1" applyAlignment="1">
      <alignment vertical="center" wrapText="1"/>
    </xf>
    <xf numFmtId="0" fontId="26" fillId="9" borderId="1" xfId="2" applyFont="1" applyFill="1" applyBorder="1" applyAlignment="1">
      <alignment horizontal="left" vertical="center" wrapText="1"/>
    </xf>
    <xf numFmtId="0" fontId="26" fillId="4" borderId="1" xfId="2" applyFont="1" applyFill="1" applyBorder="1" applyAlignment="1">
      <alignment horizontal="left" vertical="center" wrapText="1"/>
    </xf>
    <xf numFmtId="0" fontId="23" fillId="0" borderId="0" xfId="13" applyFont="1"/>
    <xf numFmtId="0" fontId="23" fillId="0" borderId="0" xfId="13" applyFont="1" applyAlignment="1">
      <alignment horizontal="left" indent="1"/>
    </xf>
    <xf numFmtId="0" fontId="42" fillId="0" borderId="0" xfId="1" applyFont="1" applyAlignment="1" applyProtection="1"/>
    <xf numFmtId="0" fontId="32" fillId="12" borderId="5" xfId="13" applyFont="1" applyFill="1" applyBorder="1" applyAlignment="1">
      <alignment horizontal="center" vertical="center" textRotation="90" wrapText="1"/>
    </xf>
    <xf numFmtId="0" fontId="32" fillId="0" borderId="5" xfId="13" applyFont="1" applyBorder="1" applyAlignment="1">
      <alignment horizontal="center" vertical="center" textRotation="90" wrapText="1"/>
    </xf>
    <xf numFmtId="0" fontId="25" fillId="12" borderId="4" xfId="13" applyFont="1" applyFill="1" applyBorder="1" applyAlignment="1">
      <alignment horizontal="center" vertical="center" wrapText="1"/>
    </xf>
    <xf numFmtId="0" fontId="15" fillId="2" borderId="0" xfId="13" applyFill="1"/>
    <xf numFmtId="0" fontId="32" fillId="12" borderId="5" xfId="13" applyFont="1" applyFill="1" applyBorder="1" applyAlignment="1">
      <alignment horizontal="center" vertical="center" wrapText="1"/>
    </xf>
    <xf numFmtId="0" fontId="32" fillId="0" borderId="5" xfId="13" applyFont="1" applyBorder="1" applyAlignment="1">
      <alignment horizontal="center" vertical="center" wrapText="1"/>
    </xf>
    <xf numFmtId="0" fontId="32" fillId="10" borderId="5" xfId="13" applyFont="1" applyFill="1" applyBorder="1" applyAlignment="1">
      <alignment horizontal="center" vertical="center" wrapText="1"/>
    </xf>
    <xf numFmtId="0" fontId="32" fillId="10" borderId="5" xfId="14" quotePrefix="1" applyFont="1" applyFill="1" applyBorder="1" applyAlignment="1">
      <alignment horizontal="center" vertical="center" wrapText="1"/>
    </xf>
    <xf numFmtId="0" fontId="25" fillId="8" borderId="4" xfId="13" applyFont="1" applyFill="1" applyBorder="1" applyAlignment="1">
      <alignment horizontal="center" vertical="center" wrapText="1"/>
    </xf>
    <xf numFmtId="0" fontId="32" fillId="10" borderId="5" xfId="14" applyFont="1" applyFill="1" applyBorder="1" applyAlignment="1">
      <alignment horizontal="center" vertical="center" wrapText="1"/>
    </xf>
    <xf numFmtId="0" fontId="34" fillId="2" borderId="0" xfId="13" applyFont="1" applyFill="1"/>
    <xf numFmtId="0" fontId="21" fillId="2" borderId="0" xfId="13" applyFont="1" applyFill="1"/>
    <xf numFmtId="0" fontId="36" fillId="12" borderId="5" xfId="13" applyFont="1" applyFill="1" applyBorder="1" applyAlignment="1">
      <alignment horizontal="center" vertical="center" wrapText="1"/>
    </xf>
    <xf numFmtId="0" fontId="36" fillId="0" borderId="5" xfId="13" applyFont="1" applyBorder="1" applyAlignment="1">
      <alignment horizontal="center" vertical="center" wrapText="1"/>
    </xf>
    <xf numFmtId="0" fontId="24" fillId="12" borderId="4" xfId="13" applyFont="1" applyFill="1" applyBorder="1" applyAlignment="1">
      <alignment horizontal="center" vertical="center" wrapText="1"/>
    </xf>
    <xf numFmtId="0" fontId="35" fillId="2" borderId="0" xfId="13" applyFont="1" applyFill="1" applyAlignment="1">
      <alignment horizontal="center" vertical="center"/>
    </xf>
    <xf numFmtId="0" fontId="35" fillId="2" borderId="5" xfId="13" applyFont="1" applyFill="1" applyBorder="1" applyAlignment="1">
      <alignment horizontal="center" vertical="center"/>
    </xf>
    <xf numFmtId="0" fontId="37" fillId="2" borderId="0" xfId="13" applyFont="1" applyFill="1"/>
    <xf numFmtId="0" fontId="15" fillId="2" borderId="0" xfId="13" applyFill="1" applyAlignment="1">
      <alignment horizontal="center" vertical="center"/>
    </xf>
    <xf numFmtId="0" fontId="38" fillId="7" borderId="5" xfId="13" applyFont="1" applyFill="1" applyBorder="1" applyAlignment="1">
      <alignment horizontal="center" vertical="center" wrapText="1"/>
    </xf>
    <xf numFmtId="0" fontId="38" fillId="0" borderId="5" xfId="13" applyFont="1" applyBorder="1" applyAlignment="1">
      <alignment horizontal="center" vertical="center" wrapText="1"/>
    </xf>
    <xf numFmtId="0" fontId="31" fillId="2" borderId="0" xfId="13" applyFont="1" applyFill="1"/>
    <xf numFmtId="0" fontId="31" fillId="2" borderId="0" xfId="13" applyFont="1" applyFill="1" applyAlignment="1">
      <alignment horizontal="center" vertical="center"/>
    </xf>
    <xf numFmtId="0" fontId="22" fillId="13" borderId="0" xfId="13" applyFont="1" applyFill="1" applyAlignment="1">
      <alignment horizontal="center" vertical="center" textRotation="90" wrapText="1"/>
    </xf>
    <xf numFmtId="0" fontId="32" fillId="10" borderId="5" xfId="13" quotePrefix="1" applyFont="1" applyFill="1" applyBorder="1" applyAlignment="1">
      <alignment horizontal="center" vertical="center" wrapText="1"/>
    </xf>
    <xf numFmtId="0" fontId="33" fillId="2" borderId="0" xfId="13" applyFont="1" applyFill="1"/>
    <xf numFmtId="0" fontId="15" fillId="0" borderId="0" xfId="13" applyAlignment="1">
      <alignment horizontal="left" vertical="top"/>
    </xf>
    <xf numFmtId="0" fontId="26" fillId="3" borderId="1" xfId="15" applyFont="1" applyFill="1" applyBorder="1" applyAlignment="1">
      <alignment horizontal="left" vertical="center" wrapText="1"/>
    </xf>
    <xf numFmtId="0" fontId="26" fillId="3" borderId="1" xfId="15" applyFont="1" applyFill="1" applyBorder="1" applyAlignment="1">
      <alignment horizontal="center" vertical="center" textRotation="90" wrapText="1"/>
    </xf>
    <xf numFmtId="0" fontId="26" fillId="3" borderId="1" xfId="15" applyFont="1" applyFill="1" applyBorder="1" applyAlignment="1">
      <alignment horizontal="center" vertical="center" wrapText="1"/>
    </xf>
    <xf numFmtId="0" fontId="22" fillId="0" borderId="1" xfId="13" applyFont="1" applyBorder="1" applyAlignment="1">
      <alignment horizontal="left" vertical="center" wrapText="1"/>
    </xf>
    <xf numFmtId="0" fontId="22" fillId="2" borderId="0" xfId="13" applyFont="1" applyFill="1"/>
    <xf numFmtId="0" fontId="22" fillId="0" borderId="1" xfId="13" applyFont="1" applyBorder="1" applyAlignment="1">
      <alignment horizontal="left" vertical="top" wrapText="1"/>
    </xf>
    <xf numFmtId="0" fontId="22" fillId="2" borderId="0" xfId="13" applyFont="1" applyFill="1" applyAlignment="1">
      <alignment horizontal="left" vertical="top" wrapText="1"/>
    </xf>
    <xf numFmtId="0" fontId="22" fillId="2" borderId="0" xfId="13" applyFont="1" applyFill="1" applyAlignment="1">
      <alignment horizontal="center" vertical="center"/>
    </xf>
    <xf numFmtId="0" fontId="22" fillId="0" borderId="1" xfId="13" applyFont="1" applyBorder="1" applyAlignment="1">
      <alignment horizontal="left" vertical="center"/>
    </xf>
    <xf numFmtId="0" fontId="24" fillId="2" borderId="0" xfId="13" applyFont="1" applyFill="1" applyAlignment="1">
      <alignment horizontal="left" vertical="top"/>
    </xf>
    <xf numFmtId="0" fontId="21" fillId="2" borderId="0" xfId="13" applyFont="1" applyFill="1" applyAlignment="1">
      <alignment horizontal="left" vertical="top"/>
    </xf>
    <xf numFmtId="0" fontId="25" fillId="2" borderId="0" xfId="13" applyFont="1" applyFill="1" applyAlignment="1">
      <alignment horizontal="left" vertical="top"/>
    </xf>
    <xf numFmtId="0" fontId="23" fillId="2" borderId="0" xfId="13" applyFont="1" applyFill="1" applyAlignment="1">
      <alignment horizontal="left" vertical="top"/>
    </xf>
    <xf numFmtId="0" fontId="22" fillId="2" borderId="0" xfId="13" applyFont="1" applyFill="1" applyAlignment="1">
      <alignment horizontal="left" vertical="top"/>
    </xf>
    <xf numFmtId="0" fontId="44" fillId="0" borderId="0" xfId="0" applyFont="1"/>
    <xf numFmtId="0" fontId="14" fillId="0" borderId="1" xfId="0" applyFont="1" applyBorder="1"/>
    <xf numFmtId="0" fontId="0" fillId="0" borderId="0" xfId="0" applyAlignment="1">
      <alignment horizontal="right" vertical="top" wrapText="1"/>
    </xf>
    <xf numFmtId="0" fontId="0" fillId="0" borderId="1" xfId="0" applyBorder="1" applyAlignment="1">
      <alignment horizontal="left" vertical="top" wrapText="1"/>
    </xf>
    <xf numFmtId="0" fontId="13" fillId="0" borderId="0" xfId="17"/>
    <xf numFmtId="0" fontId="45" fillId="0" borderId="0" xfId="19" applyFont="1" applyAlignment="1">
      <alignment horizontal="left" vertical="top"/>
    </xf>
    <xf numFmtId="0" fontId="11" fillId="0" borderId="0" xfId="19" applyAlignment="1">
      <alignment horizontal="left" vertical="top"/>
    </xf>
    <xf numFmtId="0" fontId="22" fillId="0" borderId="0" xfId="19" applyFont="1" applyAlignment="1">
      <alignment horizontal="left" vertical="top"/>
    </xf>
    <xf numFmtId="0" fontId="22" fillId="0" borderId="0" xfId="19" applyFont="1" applyAlignment="1">
      <alignment horizontal="center" vertical="center"/>
    </xf>
    <xf numFmtId="0" fontId="22" fillId="0" borderId="0" xfId="19" applyFont="1" applyAlignment="1">
      <alignment horizontal="center" vertical="top"/>
    </xf>
    <xf numFmtId="0" fontId="11" fillId="0" borderId="0" xfId="19"/>
    <xf numFmtId="0" fontId="22" fillId="0" borderId="0" xfId="19" applyFont="1" applyAlignment="1">
      <alignment horizontal="left" vertical="top" wrapText="1"/>
    </xf>
    <xf numFmtId="0" fontId="32" fillId="2" borderId="0" xfId="19" applyFont="1" applyFill="1" applyAlignment="1">
      <alignment horizontal="left" vertical="top"/>
    </xf>
    <xf numFmtId="0" fontId="22" fillId="14" borderId="0" xfId="19" applyFont="1" applyFill="1" applyAlignment="1">
      <alignment horizontal="left" vertical="top"/>
    </xf>
    <xf numFmtId="0" fontId="22" fillId="6" borderId="0" xfId="19" applyFont="1" applyFill="1" applyAlignment="1">
      <alignment horizontal="left" vertical="top"/>
    </xf>
    <xf numFmtId="0" fontId="22" fillId="6" borderId="0" xfId="19" applyFont="1" applyFill="1" applyAlignment="1">
      <alignment horizontal="center" vertical="center"/>
    </xf>
    <xf numFmtId="0" fontId="22" fillId="15" borderId="0" xfId="19" applyFont="1" applyFill="1" applyAlignment="1">
      <alignment horizontal="left" vertical="top"/>
    </xf>
    <xf numFmtId="0" fontId="22" fillId="15" borderId="0" xfId="19" applyFont="1" applyFill="1" applyAlignment="1">
      <alignment horizontal="left" vertical="top" wrapText="1"/>
    </xf>
    <xf numFmtId="0" fontId="22" fillId="0" borderId="0" xfId="19" applyFont="1"/>
    <xf numFmtId="0" fontId="22" fillId="14" borderId="0" xfId="19" applyFont="1" applyFill="1"/>
    <xf numFmtId="0" fontId="22" fillId="6" borderId="0" xfId="19" applyFont="1" applyFill="1"/>
    <xf numFmtId="0" fontId="22" fillId="15" borderId="0" xfId="19" applyFont="1" applyFill="1" applyAlignment="1">
      <alignment horizontal="center" vertical="top"/>
    </xf>
    <xf numFmtId="0" fontId="32" fillId="16" borderId="1" xfId="19" applyFont="1" applyFill="1" applyBorder="1" applyAlignment="1">
      <alignment horizontal="left" vertical="top"/>
    </xf>
    <xf numFmtId="0" fontId="26" fillId="6" borderId="1" xfId="2" applyFont="1" applyFill="1" applyBorder="1" applyAlignment="1">
      <alignment horizontal="left" vertical="top" wrapText="1"/>
    </xf>
    <xf numFmtId="0" fontId="26" fillId="15" borderId="1" xfId="2" applyFont="1" applyFill="1" applyBorder="1" applyAlignment="1">
      <alignment horizontal="left" vertical="top" wrapText="1"/>
    </xf>
    <xf numFmtId="0" fontId="26" fillId="15" borderId="2" xfId="2" applyFont="1" applyFill="1" applyBorder="1" applyAlignment="1">
      <alignment horizontal="left" vertical="top" wrapText="1"/>
    </xf>
    <xf numFmtId="0" fontId="26" fillId="0" borderId="0" xfId="2" applyFont="1" applyAlignment="1">
      <alignment horizontal="left" vertical="top" wrapText="1"/>
    </xf>
    <xf numFmtId="0" fontId="22" fillId="0" borderId="0" xfId="19" applyFont="1" applyAlignment="1">
      <alignment vertical="top"/>
    </xf>
    <xf numFmtId="0" fontId="11" fillId="0" borderId="0" xfId="19" applyAlignment="1">
      <alignment vertical="top"/>
    </xf>
    <xf numFmtId="0" fontId="32" fillId="3" borderId="1" xfId="19" applyFont="1" applyFill="1" applyBorder="1" applyAlignment="1">
      <alignment horizontal="left" vertical="top"/>
    </xf>
    <xf numFmtId="0" fontId="26" fillId="3" borderId="1" xfId="2" applyFont="1" applyFill="1" applyBorder="1" applyAlignment="1">
      <alignment horizontal="left" vertical="top" wrapText="1"/>
    </xf>
    <xf numFmtId="0" fontId="46" fillId="17" borderId="1" xfId="2" quotePrefix="1" applyFont="1" applyFill="1" applyBorder="1" applyAlignment="1">
      <alignment horizontal="left" vertical="top" wrapText="1"/>
    </xf>
    <xf numFmtId="0" fontId="46" fillId="0" borderId="0" xfId="2" quotePrefix="1" applyFont="1" applyAlignment="1">
      <alignment horizontal="left" vertical="top" wrapText="1"/>
    </xf>
    <xf numFmtId="0" fontId="22" fillId="0" borderId="0" xfId="20" applyFont="1" applyAlignment="1" applyProtection="1">
      <alignment horizontal="left" vertical="top" wrapText="1"/>
      <protection locked="0"/>
    </xf>
    <xf numFmtId="0" fontId="22" fillId="0" borderId="0" xfId="20" applyFont="1" applyAlignment="1" applyProtection="1">
      <alignment vertical="top"/>
      <protection locked="0"/>
    </xf>
    <xf numFmtId="0" fontId="26" fillId="17" borderId="1" xfId="2" quotePrefix="1" applyFont="1" applyFill="1" applyBorder="1" applyAlignment="1">
      <alignment horizontal="left" vertical="top" wrapText="1"/>
    </xf>
    <xf numFmtId="0" fontId="26" fillId="17" borderId="1" xfId="2" applyFont="1" applyFill="1" applyBorder="1" applyAlignment="1">
      <alignment horizontal="left" vertical="top" wrapText="1"/>
    </xf>
    <xf numFmtId="0" fontId="32" fillId="19" borderId="1" xfId="19" applyFont="1" applyFill="1" applyBorder="1" applyAlignment="1">
      <alignment horizontal="left" vertical="top"/>
    </xf>
    <xf numFmtId="0" fontId="45" fillId="0" borderId="0" xfId="20" applyFont="1" applyAlignment="1">
      <alignment horizontal="left" vertical="top"/>
    </xf>
    <xf numFmtId="0" fontId="11" fillId="0" borderId="0" xfId="20" applyAlignment="1">
      <alignment horizontal="left" vertical="top"/>
    </xf>
    <xf numFmtId="0" fontId="22" fillId="0" borderId="0" xfId="20" applyFont="1" applyAlignment="1">
      <alignment horizontal="left" vertical="top"/>
    </xf>
    <xf numFmtId="0" fontId="22" fillId="0" borderId="0" xfId="20" applyFont="1" applyAlignment="1">
      <alignment horizontal="center" vertical="top"/>
    </xf>
    <xf numFmtId="0" fontId="11" fillId="0" borderId="0" xfId="20" applyAlignment="1">
      <alignment vertical="top"/>
    </xf>
    <xf numFmtId="0" fontId="22" fillId="0" borderId="0" xfId="20" applyFont="1" applyAlignment="1">
      <alignment horizontal="left" vertical="top" wrapText="1"/>
    </xf>
    <xf numFmtId="0" fontId="32" fillId="2" borderId="0" xfId="20" applyFont="1" applyFill="1" applyAlignment="1">
      <alignment horizontal="left" vertical="top"/>
    </xf>
    <xf numFmtId="0" fontId="22" fillId="14" borderId="0" xfId="20" applyFont="1" applyFill="1" applyAlignment="1">
      <alignment horizontal="left" vertical="top"/>
    </xf>
    <xf numFmtId="0" fontId="22" fillId="6" borderId="0" xfId="20" applyFont="1" applyFill="1" applyAlignment="1">
      <alignment horizontal="left" vertical="top"/>
    </xf>
    <xf numFmtId="0" fontId="22" fillId="6" borderId="0" xfId="20" applyFont="1" applyFill="1" applyAlignment="1">
      <alignment horizontal="center" vertical="center"/>
    </xf>
    <xf numFmtId="0" fontId="22" fillId="6" borderId="0" xfId="20" applyFont="1" applyFill="1" applyAlignment="1">
      <alignment horizontal="left" vertical="top" wrapText="1"/>
    </xf>
    <xf numFmtId="0" fontId="22" fillId="15" borderId="0" xfId="20" applyFont="1" applyFill="1" applyAlignment="1">
      <alignment horizontal="left" vertical="top"/>
    </xf>
    <xf numFmtId="0" fontId="11" fillId="0" borderId="0" xfId="20"/>
    <xf numFmtId="0" fontId="22" fillId="0" borderId="0" xfId="20" applyFont="1"/>
    <xf numFmtId="0" fontId="22" fillId="14" borderId="0" xfId="20" applyFont="1" applyFill="1"/>
    <xf numFmtId="0" fontId="22" fillId="6" borderId="0" xfId="20" applyFont="1" applyFill="1"/>
    <xf numFmtId="0" fontId="22" fillId="15" borderId="0" xfId="20" applyFont="1" applyFill="1" applyAlignment="1">
      <alignment horizontal="center" vertical="top"/>
    </xf>
    <xf numFmtId="0" fontId="32" fillId="16" borderId="1" xfId="20" applyFont="1" applyFill="1" applyBorder="1" applyAlignment="1">
      <alignment horizontal="left" vertical="top"/>
    </xf>
    <xf numFmtId="0" fontId="22" fillId="0" borderId="0" xfId="20" applyFont="1" applyAlignment="1">
      <alignment vertical="top"/>
    </xf>
    <xf numFmtId="0" fontId="32" fillId="3" borderId="1" xfId="20" applyFont="1" applyFill="1" applyBorder="1" applyAlignment="1">
      <alignment horizontal="left" vertical="top"/>
    </xf>
    <xf numFmtId="0" fontId="46" fillId="17" borderId="1" xfId="2" applyFont="1" applyFill="1" applyBorder="1" applyAlignment="1">
      <alignment horizontal="left" vertical="top" wrapText="1"/>
    </xf>
    <xf numFmtId="0" fontId="46" fillId="0" borderId="1" xfId="2" applyFont="1" applyBorder="1" applyAlignment="1">
      <alignment horizontal="left" vertical="top" wrapText="1"/>
    </xf>
    <xf numFmtId="0" fontId="46" fillId="0" borderId="0" xfId="2" applyFont="1" applyAlignment="1">
      <alignment horizontal="left" vertical="top" wrapText="1"/>
    </xf>
    <xf numFmtId="0" fontId="22" fillId="0" borderId="0" xfId="20" applyFont="1" applyAlignment="1" applyProtection="1">
      <alignment horizontal="left" vertical="center"/>
      <protection locked="0"/>
    </xf>
    <xf numFmtId="0" fontId="26" fillId="0" borderId="0" xfId="2" applyFont="1" applyAlignment="1" applyProtection="1">
      <alignment horizontal="left" vertical="top" wrapText="1"/>
      <protection locked="0"/>
    </xf>
    <xf numFmtId="0" fontId="22" fillId="0" borderId="0" xfId="20" applyFont="1" applyAlignment="1">
      <alignment horizontal="left" vertical="center"/>
    </xf>
    <xf numFmtId="0" fontId="22" fillId="0" borderId="0" xfId="20" applyFont="1" applyAlignment="1" applyProtection="1">
      <alignment horizontal="center" vertical="center"/>
      <protection locked="0"/>
    </xf>
    <xf numFmtId="0" fontId="22" fillId="0" borderId="0" xfId="20" applyFont="1" applyAlignment="1" applyProtection="1">
      <alignment vertical="center"/>
      <protection locked="0"/>
    </xf>
    <xf numFmtId="0" fontId="49" fillId="17" borderId="1" xfId="2" quotePrefix="1" applyFont="1" applyFill="1" applyBorder="1" applyAlignment="1">
      <alignment horizontal="left" vertical="top" wrapText="1"/>
    </xf>
    <xf numFmtId="0" fontId="49" fillId="0" borderId="0" xfId="2" quotePrefix="1" applyFont="1" applyAlignment="1">
      <alignment horizontal="left" vertical="top" wrapText="1"/>
    </xf>
    <xf numFmtId="0" fontId="32" fillId="19" borderId="1" xfId="20" applyFont="1" applyFill="1" applyBorder="1" applyAlignment="1">
      <alignment horizontal="left" vertical="top"/>
    </xf>
    <xf numFmtId="0" fontId="22" fillId="0" borderId="0" xfId="20" applyFont="1" applyAlignment="1">
      <alignment horizontal="center" vertical="center"/>
    </xf>
    <xf numFmtId="0" fontId="26" fillId="0" borderId="0" xfId="2" applyFont="1" applyAlignment="1">
      <alignment horizontal="left" vertical="center" wrapText="1"/>
    </xf>
    <xf numFmtId="0" fontId="22" fillId="0" borderId="0" xfId="20" applyFont="1" applyAlignment="1">
      <alignment horizontal="left" vertical="center" wrapText="1"/>
    </xf>
    <xf numFmtId="0" fontId="26" fillId="0" borderId="0" xfId="5" applyFont="1" applyAlignment="1">
      <alignment horizontal="left" vertical="center" wrapText="1"/>
    </xf>
    <xf numFmtId="0" fontId="22" fillId="0" borderId="0" xfId="20" applyFont="1" applyAlignment="1">
      <alignment vertical="center"/>
    </xf>
    <xf numFmtId="0" fontId="22" fillId="17" borderId="1" xfId="20" applyFont="1" applyFill="1" applyBorder="1" applyAlignment="1" applyProtection="1">
      <alignment horizontal="left" vertical="top"/>
      <protection locked="0"/>
    </xf>
    <xf numFmtId="0" fontId="47" fillId="17" borderId="1" xfId="20" applyFont="1" applyFill="1" applyBorder="1" applyAlignment="1" applyProtection="1">
      <alignment horizontal="left" vertical="top" wrapText="1"/>
      <protection locked="0"/>
    </xf>
    <xf numFmtId="0" fontId="47" fillId="0" borderId="0" xfId="20" applyFont="1" applyAlignment="1" applyProtection="1">
      <alignment horizontal="left" vertical="top" wrapText="1"/>
      <protection locked="0"/>
    </xf>
    <xf numFmtId="0" fontId="22" fillId="12" borderId="0" xfId="20" applyFont="1" applyFill="1" applyAlignment="1">
      <alignment vertical="top"/>
    </xf>
    <xf numFmtId="0" fontId="22" fillId="12" borderId="0" xfId="20" applyFont="1" applyFill="1" applyAlignment="1">
      <alignment vertical="top" wrapText="1"/>
    </xf>
    <xf numFmtId="0" fontId="22" fillId="12" borderId="0" xfId="20" applyFont="1" applyFill="1" applyAlignment="1">
      <alignment horizontal="center" vertical="top" wrapText="1"/>
    </xf>
    <xf numFmtId="0" fontId="22" fillId="0" borderId="0" xfId="20" applyFont="1" applyAlignment="1">
      <alignment horizontal="center" vertical="top" wrapText="1"/>
    </xf>
    <xf numFmtId="0" fontId="26" fillId="0" borderId="0" xfId="5" applyFont="1" applyAlignment="1">
      <alignment horizontal="left" vertical="top" wrapText="1"/>
    </xf>
    <xf numFmtId="0" fontId="22" fillId="14" borderId="0" xfId="20" applyFont="1" applyFill="1" applyAlignment="1">
      <alignment horizontal="left" vertical="top" wrapText="1"/>
    </xf>
    <xf numFmtId="0" fontId="22" fillId="15" borderId="0" xfId="20" applyFont="1" applyFill="1" applyAlignment="1">
      <alignment horizontal="left" vertical="top" wrapText="1"/>
    </xf>
    <xf numFmtId="0" fontId="49" fillId="17" borderId="1" xfId="2" applyFont="1" applyFill="1" applyBorder="1" applyAlignment="1">
      <alignment horizontal="left" vertical="top" wrapText="1"/>
    </xf>
    <xf numFmtId="0" fontId="26" fillId="0" borderId="0" xfId="2" quotePrefix="1" applyFont="1" applyAlignment="1">
      <alignment horizontal="left" vertical="top" wrapText="1"/>
    </xf>
    <xf numFmtId="0" fontId="26" fillId="0" borderId="9" xfId="2" applyFont="1" applyBorder="1" applyAlignment="1">
      <alignment horizontal="left" vertical="top" wrapText="1"/>
    </xf>
    <xf numFmtId="0" fontId="11" fillId="0" borderId="13" xfId="20" applyBorder="1"/>
    <xf numFmtId="0" fontId="11" fillId="0" borderId="14" xfId="20" applyBorder="1"/>
    <xf numFmtId="0" fontId="22" fillId="17" borderId="1" xfId="20" applyFont="1" applyFill="1" applyBorder="1" applyAlignment="1" applyProtection="1">
      <alignment horizontal="left" vertical="top" wrapText="1"/>
      <protection locked="0"/>
    </xf>
    <xf numFmtId="0" fontId="22" fillId="12" borderId="0" xfId="20" quotePrefix="1" applyFont="1" applyFill="1" applyAlignment="1">
      <alignment vertical="top" wrapText="1"/>
    </xf>
    <xf numFmtId="0" fontId="22" fillId="0" borderId="0" xfId="20" quotePrefix="1" applyFont="1" applyAlignment="1">
      <alignment vertical="top" wrapText="1"/>
    </xf>
    <xf numFmtId="0" fontId="51" fillId="0" borderId="0" xfId="20" applyFont="1" applyAlignment="1">
      <alignment horizontal="left" vertical="top"/>
    </xf>
    <xf numFmtId="0" fontId="51" fillId="0" borderId="0" xfId="20" applyFont="1" applyAlignment="1">
      <alignment horizontal="center" vertical="center"/>
    </xf>
    <xf numFmtId="0" fontId="32" fillId="20" borderId="1" xfId="20" applyFont="1" applyFill="1" applyBorder="1" applyAlignment="1">
      <alignment horizontal="left" vertical="top"/>
    </xf>
    <xf numFmtId="0" fontId="54" fillId="17" borderId="1" xfId="2" quotePrefix="1" applyFont="1" applyFill="1" applyBorder="1" applyAlignment="1">
      <alignment horizontal="left" vertical="top" wrapText="1"/>
    </xf>
    <xf numFmtId="0" fontId="52" fillId="17" borderId="1" xfId="2" quotePrefix="1" applyFont="1" applyFill="1" applyBorder="1" applyAlignment="1">
      <alignment horizontal="left" vertical="top" wrapText="1"/>
    </xf>
    <xf numFmtId="0" fontId="55" fillId="0" borderId="0" xfId="20" applyFont="1" applyAlignment="1">
      <alignment horizontal="left" vertical="top"/>
    </xf>
    <xf numFmtId="0" fontId="23" fillId="0" borderId="0" xfId="20" applyFont="1" applyAlignment="1">
      <alignment horizontal="left" vertical="top"/>
    </xf>
    <xf numFmtId="0" fontId="23" fillId="0" borderId="0" xfId="20" applyFont="1" applyAlignment="1">
      <alignment horizontal="center" vertical="top"/>
    </xf>
    <xf numFmtId="0" fontId="56" fillId="0" borderId="0" xfId="5" applyFont="1" applyAlignment="1">
      <alignment horizontal="left" vertical="top" wrapText="1"/>
    </xf>
    <xf numFmtId="0" fontId="23" fillId="0" borderId="0" xfId="20" applyFont="1"/>
    <xf numFmtId="0" fontId="22" fillId="15" borderId="0" xfId="20" applyFont="1" applyFill="1"/>
    <xf numFmtId="0" fontId="26" fillId="0" borderId="0" xfId="2" applyFont="1" applyAlignment="1">
      <alignment horizontal="center" vertical="top" wrapText="1"/>
    </xf>
    <xf numFmtId="0" fontId="32" fillId="16" borderId="10" xfId="20" applyFont="1" applyFill="1" applyBorder="1" applyAlignment="1">
      <alignment horizontal="left" vertical="top"/>
    </xf>
    <xf numFmtId="0" fontId="26" fillId="18" borderId="1" xfId="2" applyFont="1" applyFill="1" applyBorder="1" applyAlignment="1">
      <alignment horizontal="left" vertical="top" wrapText="1"/>
    </xf>
    <xf numFmtId="0" fontId="11" fillId="21" borderId="0" xfId="20" applyFill="1"/>
    <xf numFmtId="0" fontId="22" fillId="21" borderId="0" xfId="20" applyFont="1" applyFill="1"/>
    <xf numFmtId="0" fontId="26" fillId="14" borderId="1" xfId="2" applyFont="1" applyFill="1" applyBorder="1" applyAlignment="1">
      <alignment horizontal="left" vertical="top" wrapText="1"/>
    </xf>
    <xf numFmtId="0" fontId="26" fillId="21" borderId="2" xfId="2" applyFont="1" applyFill="1" applyBorder="1" applyAlignment="1">
      <alignment horizontal="left" vertical="top" wrapText="1"/>
    </xf>
    <xf numFmtId="0" fontId="22" fillId="0" borderId="9" xfId="20" applyFont="1" applyBorder="1"/>
    <xf numFmtId="0" fontId="46" fillId="22" borderId="1" xfId="2" applyFont="1" applyFill="1" applyBorder="1" applyAlignment="1">
      <alignment horizontal="left" vertical="top" wrapText="1"/>
    </xf>
    <xf numFmtId="0" fontId="46" fillId="17" borderId="1" xfId="2" quotePrefix="1" applyFont="1" applyFill="1" applyBorder="1" applyAlignment="1">
      <alignment vertical="top" wrapText="1"/>
    </xf>
    <xf numFmtId="0" fontId="46" fillId="0" borderId="0" xfId="2" quotePrefix="1" applyFont="1" applyAlignment="1">
      <alignment vertical="top" wrapText="1"/>
    </xf>
    <xf numFmtId="0" fontId="26" fillId="4" borderId="1" xfId="2" applyFont="1" applyFill="1" applyBorder="1" applyAlignment="1">
      <alignment horizontal="center" vertical="top" wrapText="1"/>
    </xf>
    <xf numFmtId="0" fontId="26" fillId="6" borderId="1" xfId="2" applyFont="1" applyFill="1" applyBorder="1" applyAlignment="1">
      <alignment horizontal="center" vertical="top" wrapText="1"/>
    </xf>
    <xf numFmtId="0" fontId="26" fillId="15" borderId="1" xfId="2" applyFont="1" applyFill="1" applyBorder="1" applyAlignment="1">
      <alignment horizontal="center" vertical="top" wrapText="1"/>
    </xf>
    <xf numFmtId="0" fontId="26" fillId="15" borderId="2" xfId="2" applyFont="1" applyFill="1" applyBorder="1" applyAlignment="1">
      <alignment horizontal="center" vertical="top" wrapText="1"/>
    </xf>
    <xf numFmtId="0" fontId="26" fillId="22" borderId="1" xfId="2" quotePrefix="1" applyFont="1" applyFill="1" applyBorder="1" applyAlignment="1">
      <alignment horizontal="left" vertical="top" wrapText="1"/>
    </xf>
    <xf numFmtId="0" fontId="34" fillId="2" borderId="0" xfId="20" applyFont="1" applyFill="1" applyAlignment="1">
      <alignment horizontal="left" vertical="top"/>
    </xf>
    <xf numFmtId="0" fontId="21" fillId="2" borderId="0" xfId="20" applyFont="1" applyFill="1" applyAlignment="1">
      <alignment horizontal="left" vertical="top"/>
    </xf>
    <xf numFmtId="0" fontId="25" fillId="2" borderId="0" xfId="20" applyFont="1" applyFill="1" applyAlignment="1">
      <alignment horizontal="left" vertical="top"/>
    </xf>
    <xf numFmtId="0" fontId="23" fillId="2" borderId="0" xfId="20" applyFont="1" applyFill="1" applyAlignment="1">
      <alignment horizontal="left" vertical="top"/>
    </xf>
    <xf numFmtId="0" fontId="22" fillId="2" borderId="0" xfId="20" applyFont="1" applyFill="1" applyAlignment="1">
      <alignment horizontal="left" vertical="top"/>
    </xf>
    <xf numFmtId="0" fontId="23" fillId="14" borderId="0" xfId="20" applyFont="1" applyFill="1" applyAlignment="1">
      <alignment horizontal="left" vertical="top"/>
    </xf>
    <xf numFmtId="0" fontId="23" fillId="6" borderId="0" xfId="20" applyFont="1" applyFill="1" applyAlignment="1">
      <alignment horizontal="left" vertical="top"/>
    </xf>
    <xf numFmtId="0" fontId="23" fillId="15" borderId="0" xfId="20" applyFont="1" applyFill="1" applyAlignment="1">
      <alignment horizontal="left" vertical="top"/>
    </xf>
    <xf numFmtId="0" fontId="11" fillId="15" borderId="0" xfId="20" applyFill="1"/>
    <xf numFmtId="0" fontId="11" fillId="18" borderId="0" xfId="20" applyFill="1"/>
    <xf numFmtId="0" fontId="11" fillId="14" borderId="0" xfId="20" applyFill="1"/>
    <xf numFmtId="0" fontId="11" fillId="6" borderId="0" xfId="20" applyFill="1"/>
    <xf numFmtId="0" fontId="22" fillId="18" borderId="0" xfId="20" applyFont="1" applyFill="1"/>
    <xf numFmtId="0" fontId="26" fillId="6" borderId="2" xfId="2" applyFont="1" applyFill="1" applyBorder="1" applyAlignment="1">
      <alignment horizontal="left" vertical="top" wrapText="1"/>
    </xf>
    <xf numFmtId="0" fontId="26" fillId="15" borderId="4" xfId="2" applyFont="1" applyFill="1" applyBorder="1" applyAlignment="1">
      <alignment horizontal="left" vertical="top" wrapText="1"/>
    </xf>
    <xf numFmtId="0" fontId="26" fillId="21" borderId="1" xfId="2" applyFont="1" applyFill="1" applyBorder="1" applyAlignment="1">
      <alignment horizontal="left" vertical="top" wrapText="1"/>
    </xf>
    <xf numFmtId="0" fontId="26" fillId="18" borderId="2" xfId="2" applyFont="1" applyFill="1" applyBorder="1" applyAlignment="1">
      <alignment horizontal="left" vertical="top" wrapText="1"/>
    </xf>
    <xf numFmtId="0" fontId="26" fillId="3" borderId="4" xfId="2" applyFont="1" applyFill="1" applyBorder="1" applyAlignment="1">
      <alignment horizontal="left" vertical="top" wrapText="1"/>
    </xf>
    <xf numFmtId="0" fontId="26" fillId="3" borderId="2" xfId="2" applyFont="1" applyFill="1" applyBorder="1" applyAlignment="1">
      <alignment horizontal="left" vertical="top" wrapText="1"/>
    </xf>
    <xf numFmtId="0" fontId="49" fillId="17" borderId="2" xfId="2" quotePrefix="1" applyFont="1" applyFill="1" applyBorder="1" applyAlignment="1">
      <alignment horizontal="left" vertical="top" wrapText="1"/>
    </xf>
    <xf numFmtId="0" fontId="49" fillId="17" borderId="4" xfId="2" quotePrefix="1" applyFont="1" applyFill="1" applyBorder="1" applyAlignment="1">
      <alignment horizontal="left" vertical="top" wrapText="1"/>
    </xf>
    <xf numFmtId="0" fontId="46" fillId="17" borderId="2" xfId="2" quotePrefix="1" applyFont="1" applyFill="1" applyBorder="1" applyAlignment="1">
      <alignment horizontal="left" vertical="top" wrapText="1"/>
    </xf>
    <xf numFmtId="0" fontId="46" fillId="17" borderId="4" xfId="2" quotePrefix="1" applyFont="1" applyFill="1" applyBorder="1" applyAlignment="1">
      <alignment horizontal="left" vertical="top" wrapText="1"/>
    </xf>
    <xf numFmtId="0" fontId="26" fillId="17" borderId="2" xfId="2" quotePrefix="1" applyFont="1" applyFill="1" applyBorder="1" applyAlignment="1">
      <alignment horizontal="left" vertical="top" wrapText="1"/>
    </xf>
    <xf numFmtId="0" fontId="26" fillId="17" borderId="4" xfId="2" applyFont="1" applyFill="1" applyBorder="1" applyAlignment="1">
      <alignment horizontal="left" vertical="top" wrapText="1"/>
    </xf>
    <xf numFmtId="0" fontId="22" fillId="0" borderId="7" xfId="20" applyFont="1" applyBorder="1" applyAlignment="1">
      <alignment vertical="top"/>
    </xf>
    <xf numFmtId="0" fontId="46" fillId="22" borderId="6" xfId="2" quotePrefix="1" applyFont="1" applyFill="1" applyBorder="1" applyAlignment="1">
      <alignment horizontal="left" vertical="top" wrapText="1"/>
    </xf>
    <xf numFmtId="0" fontId="46" fillId="17" borderId="6" xfId="2" quotePrefix="1" applyFont="1" applyFill="1" applyBorder="1" applyAlignment="1">
      <alignment horizontal="left" vertical="top" wrapText="1"/>
    </xf>
    <xf numFmtId="0" fontId="46" fillId="22" borderId="1" xfId="2" quotePrefix="1" applyFont="1" applyFill="1" applyBorder="1" applyAlignment="1">
      <alignment horizontal="left" vertical="top" wrapText="1"/>
    </xf>
    <xf numFmtId="0" fontId="51" fillId="0" borderId="0" xfId="20" applyFont="1" applyAlignment="1">
      <alignment horizontal="center" vertical="top"/>
    </xf>
    <xf numFmtId="0" fontId="51" fillId="0" borderId="0" xfId="20" applyFont="1" applyAlignment="1">
      <alignment horizontal="left" vertical="top" wrapText="1"/>
    </xf>
    <xf numFmtId="0" fontId="46" fillId="0" borderId="1" xfId="2" quotePrefix="1" applyFont="1" applyBorder="1" applyAlignment="1">
      <alignment horizontal="left" vertical="top" wrapText="1"/>
    </xf>
    <xf numFmtId="0" fontId="46" fillId="0" borderId="9" xfId="2" quotePrefix="1" applyFont="1" applyBorder="1" applyAlignment="1">
      <alignment horizontal="left" vertical="top" wrapText="1"/>
    </xf>
    <xf numFmtId="0" fontId="22" fillId="0" borderId="9" xfId="20" applyFont="1" applyBorder="1" applyAlignment="1">
      <alignment horizontal="left" vertical="top"/>
    </xf>
    <xf numFmtId="0" fontId="22" fillId="0" borderId="0" xfId="20" applyFont="1" applyAlignment="1">
      <alignment horizontal="left"/>
    </xf>
    <xf numFmtId="0" fontId="32" fillId="16" borderId="1" xfId="20" applyFont="1" applyFill="1" applyBorder="1" applyAlignment="1">
      <alignment horizontal="left" vertical="top" wrapText="1"/>
    </xf>
    <xf numFmtId="0" fontId="26" fillId="4" borderId="1" xfId="21" applyFont="1" applyFill="1" applyBorder="1" applyAlignment="1">
      <alignment horizontal="left" vertical="top" wrapText="1"/>
    </xf>
    <xf numFmtId="0" fontId="26" fillId="6" borderId="1" xfId="21" applyFont="1" applyFill="1" applyBorder="1" applyAlignment="1">
      <alignment horizontal="left" vertical="top" wrapText="1"/>
    </xf>
    <xf numFmtId="0" fontId="26" fillId="15" borderId="1" xfId="21" applyFont="1" applyFill="1" applyBorder="1" applyAlignment="1">
      <alignment horizontal="left" vertical="top" wrapText="1"/>
    </xf>
    <xf numFmtId="0" fontId="26" fillId="15" borderId="2" xfId="21" applyFont="1" applyFill="1" applyBorder="1" applyAlignment="1">
      <alignment horizontal="left" vertical="top" wrapText="1"/>
    </xf>
    <xf numFmtId="0" fontId="26" fillId="0" borderId="0" xfId="21" applyFont="1" applyAlignment="1">
      <alignment horizontal="left" vertical="top" wrapText="1"/>
    </xf>
    <xf numFmtId="0" fontId="32" fillId="3" borderId="1" xfId="20" applyFont="1" applyFill="1" applyBorder="1" applyAlignment="1">
      <alignment horizontal="left" vertical="top" wrapText="1"/>
    </xf>
    <xf numFmtId="0" fontId="26" fillId="3" borderId="1" xfId="21" applyFont="1" applyFill="1" applyBorder="1" applyAlignment="1">
      <alignment horizontal="left" vertical="top" wrapText="1"/>
    </xf>
    <xf numFmtId="0" fontId="22" fillId="0" borderId="0" xfId="20" applyFont="1" applyAlignment="1">
      <alignment horizontal="center" vertical="center" wrapText="1"/>
    </xf>
    <xf numFmtId="0" fontId="49" fillId="17" borderId="1" xfId="21" quotePrefix="1" applyFont="1" applyFill="1" applyBorder="1" applyAlignment="1">
      <alignment horizontal="left" vertical="top" wrapText="1"/>
    </xf>
    <xf numFmtId="0" fontId="49" fillId="0" borderId="0" xfId="21" quotePrefix="1" applyFont="1" applyAlignment="1">
      <alignment horizontal="left" vertical="top" wrapText="1"/>
    </xf>
    <xf numFmtId="0" fontId="46" fillId="0" borderId="0" xfId="21" quotePrefix="1" applyFont="1" applyAlignment="1">
      <alignment horizontal="left" vertical="top" wrapText="1"/>
    </xf>
    <xf numFmtId="0" fontId="46" fillId="17" borderId="1" xfId="21" applyFont="1" applyFill="1" applyBorder="1" applyAlignment="1">
      <alignment horizontal="left" vertical="top" wrapText="1"/>
    </xf>
    <xf numFmtId="0" fontId="46" fillId="17" borderId="1" xfId="21" quotePrefix="1" applyFont="1" applyFill="1" applyBorder="1" applyAlignment="1">
      <alignment horizontal="left" vertical="top" wrapText="1"/>
    </xf>
    <xf numFmtId="0" fontId="46" fillId="0" borderId="0" xfId="21" applyFont="1" applyAlignment="1">
      <alignment horizontal="left" vertical="top" wrapText="1"/>
    </xf>
    <xf numFmtId="0" fontId="46" fillId="22" borderId="6" xfId="21" quotePrefix="1" applyFont="1" applyFill="1" applyBorder="1" applyAlignment="1">
      <alignment horizontal="left" vertical="top" wrapText="1"/>
    </xf>
    <xf numFmtId="0" fontId="46" fillId="17" borderId="6" xfId="21" quotePrefix="1" applyFont="1" applyFill="1" applyBorder="1" applyAlignment="1">
      <alignment horizontal="left" vertical="top" wrapText="1"/>
    </xf>
    <xf numFmtId="0" fontId="32" fillId="19" borderId="6" xfId="20" applyFont="1" applyFill="1" applyBorder="1" applyAlignment="1">
      <alignment horizontal="left" vertical="top" wrapText="1"/>
    </xf>
    <xf numFmtId="0" fontId="22" fillId="6" borderId="0" xfId="20" applyFont="1" applyFill="1" applyAlignment="1">
      <alignment horizontal="center" vertical="top"/>
    </xf>
    <xf numFmtId="0" fontId="26" fillId="22" borderId="11" xfId="2" quotePrefix="1" applyFont="1" applyFill="1" applyBorder="1" applyAlignment="1">
      <alignment horizontal="left" vertical="top" wrapText="1"/>
    </xf>
    <xf numFmtId="0" fontId="26" fillId="17" borderId="11" xfId="2" quotePrefix="1" applyFont="1" applyFill="1" applyBorder="1" applyAlignment="1">
      <alignment horizontal="left" vertical="top" wrapText="1"/>
    </xf>
    <xf numFmtId="0" fontId="32" fillId="19" borderId="11" xfId="20" applyFont="1" applyFill="1" applyBorder="1" applyAlignment="1">
      <alignment horizontal="left" vertical="top"/>
    </xf>
    <xf numFmtId="0" fontId="45" fillId="0" borderId="0" xfId="20" applyFont="1" applyAlignment="1" applyProtection="1">
      <alignment vertical="top"/>
      <protection locked="0"/>
    </xf>
    <xf numFmtId="0" fontId="58" fillId="0" borderId="0" xfId="20" applyFont="1" applyAlignment="1" applyProtection="1">
      <alignment vertical="top"/>
      <protection locked="0"/>
    </xf>
    <xf numFmtId="0" fontId="26" fillId="0" borderId="0" xfId="2" applyFont="1" applyAlignment="1" applyProtection="1">
      <alignment horizontal="left" vertical="center" wrapText="1"/>
      <protection locked="0"/>
    </xf>
    <xf numFmtId="0" fontId="22" fillId="0" borderId="0" xfId="20" applyFont="1" applyAlignment="1" applyProtection="1">
      <alignment horizontal="left" vertical="center" wrapText="1"/>
      <protection locked="0"/>
    </xf>
    <xf numFmtId="0" fontId="26" fillId="0" borderId="0" xfId="5" applyFont="1" applyAlignment="1" applyProtection="1">
      <alignment horizontal="left" vertical="center" wrapText="1"/>
      <protection locked="0"/>
    </xf>
    <xf numFmtId="0" fontId="32" fillId="2" borderId="0" xfId="20" applyFont="1" applyFill="1" applyAlignment="1" applyProtection="1">
      <alignment horizontal="left" vertical="top"/>
      <protection locked="0"/>
    </xf>
    <xf numFmtId="0" fontId="22" fillId="14" borderId="0" xfId="20" applyFont="1" applyFill="1" applyAlignment="1" applyProtection="1">
      <alignment horizontal="left" vertical="top"/>
      <protection locked="0"/>
    </xf>
    <xf numFmtId="0" fontId="22" fillId="6" borderId="0" xfId="20" applyFont="1" applyFill="1" applyAlignment="1" applyProtection="1">
      <alignment horizontal="left" vertical="top"/>
      <protection locked="0"/>
    </xf>
    <xf numFmtId="0" fontId="22" fillId="6" borderId="0" xfId="20" applyFont="1" applyFill="1" applyAlignment="1" applyProtection="1">
      <alignment horizontal="center" vertical="center"/>
      <protection locked="0"/>
    </xf>
    <xf numFmtId="0" fontId="22" fillId="15" borderId="0" xfId="20" applyFont="1" applyFill="1" applyAlignment="1" applyProtection="1">
      <alignment horizontal="left" vertical="top"/>
      <protection locked="0"/>
    </xf>
    <xf numFmtId="0" fontId="22" fillId="0" borderId="0" xfId="20" applyFont="1" applyAlignment="1" applyProtection="1">
      <alignment horizontal="left" vertical="top"/>
      <protection locked="0"/>
    </xf>
    <xf numFmtId="0" fontId="22" fillId="0" borderId="0" xfId="20" applyFont="1" applyProtection="1">
      <protection locked="0"/>
    </xf>
    <xf numFmtId="0" fontId="22" fillId="14" borderId="0" xfId="20" applyFont="1" applyFill="1" applyProtection="1">
      <protection locked="0"/>
    </xf>
    <xf numFmtId="0" fontId="22" fillId="6" borderId="0" xfId="20" applyFont="1" applyFill="1" applyProtection="1">
      <protection locked="0"/>
    </xf>
    <xf numFmtId="0" fontId="22" fillId="15" borderId="0" xfId="20" applyFont="1" applyFill="1" applyProtection="1">
      <protection locked="0"/>
    </xf>
    <xf numFmtId="0" fontId="32" fillId="16" borderId="1" xfId="20" applyFont="1" applyFill="1" applyBorder="1" applyAlignment="1" applyProtection="1">
      <alignment horizontal="left" vertical="top" wrapText="1"/>
      <protection locked="0"/>
    </xf>
    <xf numFmtId="0" fontId="26" fillId="4" borderId="1" xfId="2" applyFont="1" applyFill="1" applyBorder="1" applyAlignment="1" applyProtection="1">
      <alignment horizontal="left" vertical="top" wrapText="1"/>
      <protection locked="0"/>
    </xf>
    <xf numFmtId="0" fontId="26" fillId="6" borderId="1" xfId="2" applyFont="1" applyFill="1" applyBorder="1" applyAlignment="1" applyProtection="1">
      <alignment horizontal="left" vertical="top" wrapText="1"/>
      <protection locked="0"/>
    </xf>
    <xf numFmtId="0" fontId="26" fillId="15" borderId="1" xfId="2" applyFont="1" applyFill="1" applyBorder="1" applyAlignment="1" applyProtection="1">
      <alignment horizontal="left" vertical="top" wrapText="1"/>
      <protection locked="0"/>
    </xf>
    <xf numFmtId="0" fontId="32" fillId="3" borderId="1" xfId="20" applyFont="1" applyFill="1" applyBorder="1" applyAlignment="1" applyProtection="1">
      <alignment horizontal="left" vertical="top" wrapText="1"/>
      <protection locked="0"/>
    </xf>
    <xf numFmtId="0" fontId="26" fillId="3" borderId="1" xfId="2" applyFont="1" applyFill="1" applyBorder="1" applyAlignment="1" applyProtection="1">
      <alignment horizontal="left" vertical="top" wrapText="1"/>
      <protection locked="0"/>
    </xf>
    <xf numFmtId="0" fontId="46" fillId="17" borderId="1" xfId="2" quotePrefix="1" applyFont="1" applyFill="1" applyBorder="1" applyAlignment="1" applyProtection="1">
      <alignment horizontal="left" vertical="top" wrapText="1"/>
      <protection locked="0"/>
    </xf>
    <xf numFmtId="0" fontId="46" fillId="0" borderId="0" xfId="2" quotePrefix="1" applyFont="1" applyAlignment="1" applyProtection="1">
      <alignment horizontal="left" vertical="top" wrapText="1"/>
      <protection locked="0"/>
    </xf>
    <xf numFmtId="0" fontId="46" fillId="22" borderId="10" xfId="2" quotePrefix="1" applyFont="1" applyFill="1" applyBorder="1" applyAlignment="1" applyProtection="1">
      <alignment horizontal="left" vertical="top" wrapText="1"/>
      <protection locked="0"/>
    </xf>
    <xf numFmtId="0" fontId="46" fillId="17" borderId="10" xfId="2" quotePrefix="1" applyFont="1" applyFill="1" applyBorder="1" applyAlignment="1" applyProtection="1">
      <alignment horizontal="left" vertical="top" wrapText="1"/>
      <protection locked="0"/>
    </xf>
    <xf numFmtId="0" fontId="32" fillId="19" borderId="10" xfId="20" applyFont="1" applyFill="1" applyBorder="1" applyAlignment="1" applyProtection="1">
      <alignment horizontal="left" vertical="top" wrapText="1"/>
      <protection locked="0"/>
    </xf>
    <xf numFmtId="0" fontId="22" fillId="0" borderId="0" xfId="20" applyFont="1" applyAlignment="1" applyProtection="1">
      <alignment wrapText="1"/>
      <protection locked="0"/>
    </xf>
    <xf numFmtId="0" fontId="23" fillId="0" borderId="0" xfId="20" applyFont="1" applyAlignment="1">
      <alignment horizontal="center" vertical="center"/>
    </xf>
    <xf numFmtId="0" fontId="22" fillId="21" borderId="0" xfId="20" applyFont="1" applyFill="1" applyAlignment="1">
      <alignment horizontal="left" vertical="top"/>
    </xf>
    <xf numFmtId="0" fontId="22" fillId="21" borderId="0" xfId="20" applyFont="1" applyFill="1" applyAlignment="1">
      <alignment horizontal="center" vertical="top"/>
    </xf>
    <xf numFmtId="0" fontId="26" fillId="18" borderId="3" xfId="2" applyFont="1" applyFill="1" applyBorder="1" applyAlignment="1">
      <alignment horizontal="left" vertical="top" wrapText="1"/>
    </xf>
    <xf numFmtId="0" fontId="26" fillId="3" borderId="3" xfId="2" applyFont="1" applyFill="1" applyBorder="1" applyAlignment="1">
      <alignment horizontal="left" vertical="top" wrapText="1"/>
    </xf>
    <xf numFmtId="0" fontId="26" fillId="0" borderId="7" xfId="2" applyFont="1" applyBorder="1" applyAlignment="1">
      <alignment horizontal="left" vertical="top" wrapText="1"/>
    </xf>
    <xf numFmtId="0" fontId="11" fillId="0" borderId="7" xfId="20" applyBorder="1" applyAlignment="1">
      <alignment horizontal="left" vertical="top"/>
    </xf>
    <xf numFmtId="0" fontId="26" fillId="17" borderId="4" xfId="2" quotePrefix="1" applyFont="1" applyFill="1" applyBorder="1" applyAlignment="1">
      <alignment horizontal="left" vertical="top" wrapText="1"/>
    </xf>
    <xf numFmtId="0" fontId="27" fillId="0" borderId="0" xfId="2" applyFont="1" applyAlignment="1">
      <alignment horizontal="center" vertical="top" wrapText="1"/>
    </xf>
    <xf numFmtId="0" fontId="22" fillId="15" borderId="12" xfId="20" applyFont="1" applyFill="1" applyBorder="1" applyAlignment="1">
      <alignment horizontal="left" vertical="top"/>
    </xf>
    <xf numFmtId="0" fontId="60" fillId="17" borderId="1" xfId="2" quotePrefix="1" applyFont="1" applyFill="1" applyBorder="1" applyAlignment="1">
      <alignment horizontal="left" vertical="top" wrapText="1"/>
    </xf>
    <xf numFmtId="0" fontId="64" fillId="17" borderId="1" xfId="2" quotePrefix="1" applyFont="1" applyFill="1" applyBorder="1" applyAlignment="1">
      <alignment horizontal="left" vertical="top" wrapText="1"/>
    </xf>
    <xf numFmtId="0" fontId="59" fillId="17" borderId="1" xfId="2" quotePrefix="1" applyFont="1" applyFill="1" applyBorder="1" applyAlignment="1">
      <alignment horizontal="left" vertical="top" wrapText="1"/>
    </xf>
    <xf numFmtId="0" fontId="60" fillId="0" borderId="0" xfId="2" quotePrefix="1" applyFont="1" applyAlignment="1">
      <alignment horizontal="left" vertical="top" wrapText="1"/>
    </xf>
    <xf numFmtId="0" fontId="32" fillId="16" borderId="1" xfId="20" applyFont="1" applyFill="1" applyBorder="1" applyAlignment="1">
      <alignment vertical="top"/>
    </xf>
    <xf numFmtId="0" fontId="32" fillId="3" borderId="1" xfId="20" applyFont="1" applyFill="1" applyBorder="1" applyAlignment="1">
      <alignment vertical="top"/>
    </xf>
    <xf numFmtId="0" fontId="11" fillId="0" borderId="0" xfId="20" applyAlignment="1">
      <alignment vertical="top" wrapText="1"/>
    </xf>
    <xf numFmtId="0" fontId="32" fillId="19" borderId="1" xfId="20" applyFont="1" applyFill="1" applyBorder="1" applyAlignment="1">
      <alignment vertical="top"/>
    </xf>
    <xf numFmtId="0" fontId="47" fillId="0" borderId="0" xfId="20" applyFont="1" applyAlignment="1">
      <alignment vertical="top" wrapText="1"/>
    </xf>
    <xf numFmtId="0" fontId="47" fillId="0" borderId="0" xfId="20" applyFont="1" applyAlignment="1">
      <alignment vertical="top"/>
    </xf>
    <xf numFmtId="0" fontId="26" fillId="17" borderId="10" xfId="2" quotePrefix="1" applyFont="1" applyFill="1" applyBorder="1" applyAlignment="1">
      <alignment horizontal="left" vertical="top" wrapText="1"/>
    </xf>
    <xf numFmtId="0" fontId="67" fillId="17" borderId="10" xfId="2" quotePrefix="1" applyFont="1" applyFill="1" applyBorder="1" applyAlignment="1">
      <alignment horizontal="left" vertical="top" wrapText="1"/>
    </xf>
    <xf numFmtId="0" fontId="67" fillId="17" borderId="1" xfId="2" quotePrefix="1" applyFont="1" applyFill="1" applyBorder="1" applyAlignment="1">
      <alignment horizontal="left" vertical="top" wrapText="1"/>
    </xf>
    <xf numFmtId="0" fontId="67" fillId="17" borderId="0" xfId="2" quotePrefix="1" applyFont="1" applyFill="1" applyAlignment="1">
      <alignment horizontal="left" vertical="top" wrapText="1"/>
    </xf>
    <xf numFmtId="0" fontId="67" fillId="0" borderId="0" xfId="2" quotePrefix="1" applyFont="1" applyAlignment="1">
      <alignment horizontal="left" vertical="top" wrapText="1"/>
    </xf>
    <xf numFmtId="0" fontId="11" fillId="0" borderId="0" xfId="0" applyFont="1"/>
    <xf numFmtId="0" fontId="32" fillId="16" borderId="8" xfId="20" applyFont="1" applyFill="1" applyBorder="1" applyAlignment="1">
      <alignment horizontal="left" vertical="top"/>
    </xf>
    <xf numFmtId="0" fontId="10" fillId="0" borderId="0" xfId="0" applyFont="1"/>
    <xf numFmtId="0" fontId="9" fillId="0" borderId="0" xfId="0" applyFont="1"/>
    <xf numFmtId="0" fontId="9" fillId="9" borderId="0" xfId="0" applyFont="1" applyFill="1"/>
    <xf numFmtId="0" fontId="0" fillId="9" borderId="0" xfId="0" applyFill="1"/>
    <xf numFmtId="0" fontId="71" fillId="0" borderId="0" xfId="0" applyFont="1"/>
    <xf numFmtId="0" fontId="0" fillId="0" borderId="0" xfId="0" applyAlignment="1">
      <alignment horizontal="center" vertical="center"/>
    </xf>
    <xf numFmtId="0" fontId="23" fillId="16" borderId="15" xfId="0" applyFont="1" applyFill="1" applyBorder="1" applyAlignment="1">
      <alignment horizontal="center" vertical="center" textRotation="90" wrapText="1"/>
    </xf>
    <xf numFmtId="15" fontId="0" fillId="0" borderId="0" xfId="0" applyNumberFormat="1"/>
    <xf numFmtId="0" fontId="0" fillId="9" borderId="0" xfId="0" applyFill="1" applyAlignment="1">
      <alignment horizontal="center" vertical="center"/>
    </xf>
    <xf numFmtId="0" fontId="0" fillId="16" borderId="0" xfId="0" applyFill="1" applyAlignment="1">
      <alignment horizontal="center" vertical="center"/>
    </xf>
    <xf numFmtId="0" fontId="0" fillId="18" borderId="0" xfId="0" applyFill="1" applyAlignment="1">
      <alignment horizontal="center" vertical="center"/>
    </xf>
    <xf numFmtId="0" fontId="0" fillId="23" borderId="0" xfId="0" applyFill="1" applyAlignment="1">
      <alignment horizontal="center" vertical="center"/>
    </xf>
    <xf numFmtId="0" fontId="8" fillId="9" borderId="0" xfId="0" applyFont="1" applyFill="1"/>
    <xf numFmtId="0" fontId="7" fillId="0" borderId="0" xfId="0" applyFont="1"/>
    <xf numFmtId="0" fontId="0" fillId="0" borderId="0" xfId="0" applyAlignment="1">
      <alignment wrapText="1"/>
    </xf>
    <xf numFmtId="0" fontId="6" fillId="0" borderId="0" xfId="17" applyFont="1"/>
    <xf numFmtId="0" fontId="0" fillId="0" borderId="0" xfId="0" applyAlignment="1">
      <alignment horizontal="left" vertical="center" wrapText="1"/>
    </xf>
    <xf numFmtId="0" fontId="0" fillId="0" borderId="0" xfId="0" applyAlignment="1">
      <alignment horizontal="left"/>
    </xf>
    <xf numFmtId="0" fontId="0" fillId="0" borderId="16" xfId="0" applyBorder="1"/>
    <xf numFmtId="15" fontId="0" fillId="0" borderId="16" xfId="0" applyNumberFormat="1" applyBorder="1" applyAlignment="1">
      <alignment horizontal="left"/>
    </xf>
    <xf numFmtId="14" fontId="0" fillId="0" borderId="0" xfId="0" applyNumberFormat="1"/>
    <xf numFmtId="0" fontId="5" fillId="0" borderId="0" xfId="0" applyFont="1" applyAlignment="1">
      <alignment horizontal="left" vertical="center" wrapText="1"/>
    </xf>
    <xf numFmtId="0" fontId="4" fillId="0" borderId="0" xfId="0" applyFont="1" applyAlignment="1">
      <alignment horizontal="left" vertical="center" wrapText="1"/>
    </xf>
    <xf numFmtId="0" fontId="2" fillId="0" borderId="0" xfId="0" applyFont="1"/>
    <xf numFmtId="0" fontId="73" fillId="0" borderId="0" xfId="23" applyFont="1" applyAlignment="1">
      <alignment horizontal="left" vertical="top"/>
    </xf>
    <xf numFmtId="0" fontId="22" fillId="0" borderId="0" xfId="23" applyFont="1" applyAlignment="1">
      <alignment horizontal="left" vertical="top"/>
    </xf>
    <xf numFmtId="0" fontId="1" fillId="0" borderId="0" xfId="23" applyAlignment="1">
      <alignment horizontal="left" vertical="top"/>
    </xf>
    <xf numFmtId="0" fontId="22" fillId="0" borderId="0" xfId="23" applyFont="1" applyAlignment="1">
      <alignment horizontal="center" vertical="center"/>
    </xf>
    <xf numFmtId="0" fontId="22" fillId="0" borderId="0" xfId="23" applyFont="1" applyAlignment="1">
      <alignment horizontal="left" vertical="top" wrapText="1"/>
    </xf>
    <xf numFmtId="0" fontId="32" fillId="16" borderId="1" xfId="23" applyFont="1" applyFill="1" applyBorder="1"/>
    <xf numFmtId="0" fontId="32" fillId="16" borderId="0" xfId="23" applyFont="1" applyFill="1"/>
    <xf numFmtId="0" fontId="32" fillId="16" borderId="0" xfId="23" applyFont="1" applyFill="1" applyAlignment="1">
      <alignment horizontal="center" vertical="center"/>
    </xf>
    <xf numFmtId="0" fontId="22" fillId="0" borderId="0" xfId="23" applyFont="1"/>
    <xf numFmtId="0" fontId="26" fillId="24" borderId="1" xfId="2" applyFont="1" applyFill="1" applyBorder="1" applyAlignment="1">
      <alignment horizontal="left" vertical="top" wrapText="1"/>
    </xf>
    <xf numFmtId="0" fontId="26" fillId="24" borderId="1" xfId="2" applyFont="1" applyFill="1" applyBorder="1" applyAlignment="1">
      <alignment horizontal="left" vertical="top" textRotation="180" wrapText="1"/>
    </xf>
    <xf numFmtId="0" fontId="26" fillId="24" borderId="0" xfId="2" applyFont="1" applyFill="1" applyAlignment="1">
      <alignment horizontal="left" vertical="top" textRotation="180" wrapText="1"/>
    </xf>
    <xf numFmtId="0" fontId="22" fillId="0" borderId="0" xfId="23" applyFont="1" applyAlignment="1">
      <alignment horizontal="center" vertical="top" wrapText="1"/>
    </xf>
    <xf numFmtId="0" fontId="22" fillId="0" borderId="0" xfId="23" applyFont="1" applyAlignment="1">
      <alignment horizontal="center" vertical="top"/>
    </xf>
    <xf numFmtId="0" fontId="26" fillId="0" borderId="0" xfId="2" applyFont="1" applyAlignment="1">
      <alignment horizontal="left" vertical="top"/>
    </xf>
    <xf numFmtId="0" fontId="26" fillId="4" borderId="1" xfId="2" quotePrefix="1" applyFont="1" applyFill="1" applyBorder="1" applyAlignment="1">
      <alignment horizontal="left" vertical="top" wrapText="1"/>
    </xf>
    <xf numFmtId="0" fontId="26" fillId="4" borderId="0" xfId="2" quotePrefix="1" applyFont="1" applyFill="1" applyAlignment="1">
      <alignment horizontal="left" vertical="top" wrapText="1"/>
    </xf>
    <xf numFmtId="0" fontId="26" fillId="24" borderId="17" xfId="2" applyFont="1" applyFill="1" applyBorder="1" applyAlignment="1">
      <alignment horizontal="left" vertical="top" textRotation="180" wrapText="1"/>
    </xf>
    <xf numFmtId="0" fontId="22" fillId="0" borderId="0" xfId="23" applyFont="1" applyAlignment="1">
      <alignment horizontal="left" vertical="center"/>
    </xf>
    <xf numFmtId="0" fontId="22" fillId="0" borderId="0" xfId="23" applyFont="1" applyAlignment="1">
      <alignment vertical="center"/>
    </xf>
    <xf numFmtId="0" fontId="32" fillId="16" borderId="1" xfId="23" applyFont="1" applyFill="1" applyBorder="1" applyAlignment="1">
      <alignment horizontal="center" vertical="center"/>
    </xf>
    <xf numFmtId="0" fontId="26" fillId="24" borderId="1" xfId="2" applyFont="1" applyFill="1" applyBorder="1" applyAlignment="1">
      <alignment horizontal="left" vertical="center" wrapText="1"/>
    </xf>
    <xf numFmtId="0" fontId="26" fillId="24" borderId="1" xfId="2" applyFont="1" applyFill="1" applyBorder="1" applyAlignment="1">
      <alignment horizontal="left" vertical="center" textRotation="180" wrapText="1"/>
    </xf>
    <xf numFmtId="0" fontId="26" fillId="24" borderId="1" xfId="2" applyFont="1" applyFill="1" applyBorder="1" applyAlignment="1">
      <alignment horizontal="center" vertical="center" textRotation="180" wrapText="1"/>
    </xf>
    <xf numFmtId="0" fontId="22" fillId="0" borderId="0" xfId="23" applyFont="1" applyAlignment="1">
      <alignment horizontal="center" vertical="center" wrapText="1"/>
    </xf>
    <xf numFmtId="0" fontId="22" fillId="0" borderId="0" xfId="23" applyFont="1" applyAlignment="1">
      <alignment horizontal="left" vertical="center" wrapText="1"/>
    </xf>
    <xf numFmtId="0" fontId="26" fillId="4" borderId="1" xfId="2" quotePrefix="1" applyFont="1" applyFill="1" applyBorder="1" applyAlignment="1">
      <alignment horizontal="left" vertical="center" wrapText="1"/>
    </xf>
    <xf numFmtId="0" fontId="26" fillId="4" borderId="1" xfId="2" applyFont="1" applyFill="1" applyBorder="1" applyAlignment="1">
      <alignment horizontal="center" vertical="center" wrapText="1"/>
    </xf>
    <xf numFmtId="0" fontId="26" fillId="4" borderId="1" xfId="2" quotePrefix="1" applyFont="1" applyFill="1" applyBorder="1" applyAlignment="1">
      <alignment horizontal="center" vertical="center" wrapText="1"/>
    </xf>
    <xf numFmtId="0" fontId="32" fillId="16" borderId="1" xfId="23" applyFont="1" applyFill="1" applyBorder="1" applyAlignment="1">
      <alignment horizontal="left" vertical="top"/>
    </xf>
    <xf numFmtId="0" fontId="26" fillId="24" borderId="18" xfId="2" applyFont="1" applyFill="1" applyBorder="1" applyAlignment="1">
      <alignment horizontal="left" vertical="top" wrapText="1"/>
    </xf>
    <xf numFmtId="0" fontId="26" fillId="24" borderId="19" xfId="2" applyFont="1" applyFill="1" applyBorder="1" applyAlignment="1">
      <alignment horizontal="left" vertical="top" wrapText="1"/>
    </xf>
    <xf numFmtId="0" fontId="26" fillId="24" borderId="18" xfId="2" applyFont="1" applyFill="1" applyBorder="1" applyAlignment="1">
      <alignment horizontal="left" vertical="top" textRotation="180" wrapText="1"/>
    </xf>
    <xf numFmtId="0" fontId="26" fillId="4" borderId="18" xfId="2" applyFont="1" applyFill="1" applyBorder="1" applyAlignment="1">
      <alignment horizontal="left" vertical="top" wrapText="1"/>
    </xf>
    <xf numFmtId="0" fontId="26" fillId="4" borderId="19" xfId="2" applyFont="1" applyFill="1" applyBorder="1" applyAlignment="1">
      <alignment horizontal="left" vertical="top" wrapText="1"/>
    </xf>
    <xf numFmtId="0" fontId="26" fillId="4" borderId="18" xfId="2" quotePrefix="1" applyFont="1" applyFill="1" applyBorder="1" applyAlignment="1">
      <alignment horizontal="left" vertical="top" wrapText="1"/>
    </xf>
    <xf numFmtId="0" fontId="26" fillId="24" borderId="1" xfId="2" applyFont="1" applyFill="1" applyBorder="1" applyAlignment="1">
      <alignment horizontal="center" vertical="center" wrapText="1"/>
    </xf>
    <xf numFmtId="0" fontId="22" fillId="0" borderId="0" xfId="23" applyFont="1" applyAlignment="1">
      <alignment horizontal="center"/>
    </xf>
    <xf numFmtId="0" fontId="22" fillId="0" borderId="0" xfId="23" applyFont="1" applyAlignment="1">
      <alignment vertical="top"/>
    </xf>
    <xf numFmtId="0" fontId="26" fillId="0" borderId="0" xfId="2" applyFont="1" applyAlignment="1">
      <alignment horizontal="left" vertical="center"/>
    </xf>
    <xf numFmtId="0" fontId="67" fillId="4" borderId="1" xfId="2" applyFont="1" applyFill="1" applyBorder="1" applyAlignment="1">
      <alignment horizontal="left" vertical="top" wrapText="1"/>
    </xf>
    <xf numFmtId="0" fontId="22" fillId="0" borderId="0" xfId="23" applyFont="1" applyAlignment="1">
      <alignment wrapText="1"/>
    </xf>
    <xf numFmtId="0" fontId="32" fillId="16" borderId="1" xfId="23" applyFont="1" applyFill="1" applyBorder="1" applyAlignment="1">
      <alignment horizontal="left" vertical="top" wrapText="1"/>
    </xf>
    <xf numFmtId="0" fontId="22" fillId="0" borderId="0" xfId="23" applyFont="1" applyAlignment="1">
      <alignment vertical="center" wrapText="1"/>
    </xf>
    <xf numFmtId="0" fontId="22" fillId="0" borderId="0" xfId="23" quotePrefix="1" applyFont="1" applyAlignment="1">
      <alignment horizontal="left" vertical="center"/>
    </xf>
    <xf numFmtId="0" fontId="22" fillId="0" borderId="0" xfId="20" applyFont="1" applyAlignment="1">
      <alignment horizontal="left" vertical="top" wrapText="1"/>
    </xf>
    <xf numFmtId="0" fontId="11" fillId="0" borderId="0" xfId="20" applyAlignment="1">
      <alignment horizontal="center"/>
    </xf>
    <xf numFmtId="0" fontId="32" fillId="0" borderId="0" xfId="20" applyFont="1" applyAlignment="1">
      <alignment horizontal="center" vertical="center" wrapText="1"/>
    </xf>
    <xf numFmtId="0" fontId="22" fillId="0" borderId="0" xfId="20" applyFont="1" applyAlignment="1">
      <alignment horizontal="left" vertical="top"/>
    </xf>
    <xf numFmtId="0" fontId="32" fillId="0" borderId="5" xfId="13" applyFont="1" applyBorder="1" applyAlignment="1">
      <alignment horizontal="center" vertical="top" wrapText="1"/>
    </xf>
    <xf numFmtId="0" fontId="32" fillId="12" borderId="5" xfId="13" applyFont="1" applyFill="1" applyBorder="1" applyAlignment="1">
      <alignment horizontal="center" vertical="center" wrapText="1"/>
    </xf>
    <xf numFmtId="0" fontId="32" fillId="0" borderId="5" xfId="13" applyFont="1" applyBorder="1" applyAlignment="1">
      <alignment horizontal="center" vertical="center" wrapText="1"/>
    </xf>
    <xf numFmtId="0" fontId="32" fillId="6" borderId="5" xfId="13" applyFont="1" applyFill="1" applyBorder="1" applyAlignment="1">
      <alignment horizontal="center" vertical="center" wrapText="1"/>
    </xf>
    <xf numFmtId="0" fontId="26" fillId="4" borderId="1" xfId="2" applyFont="1" applyFill="1" applyBorder="1" applyAlignment="1">
      <alignment horizontal="left" vertical="center" wrapText="1"/>
    </xf>
    <xf numFmtId="0" fontId="26" fillId="11" borderId="2" xfId="2" applyFont="1" applyFill="1" applyBorder="1" applyAlignment="1">
      <alignment horizontal="center" vertical="center" wrapText="1"/>
    </xf>
    <xf numFmtId="0" fontId="26" fillId="11" borderId="3" xfId="2" applyFont="1" applyFill="1" applyBorder="1" applyAlignment="1">
      <alignment horizontal="center" vertical="center" wrapText="1"/>
    </xf>
    <xf numFmtId="0" fontId="26" fillId="11" borderId="4" xfId="2" applyFont="1" applyFill="1" applyBorder="1" applyAlignment="1">
      <alignment horizontal="center" vertical="center" wrapText="1"/>
    </xf>
    <xf numFmtId="0" fontId="26" fillId="9" borderId="2" xfId="2" applyFont="1" applyFill="1" applyBorder="1" applyAlignment="1">
      <alignment horizontal="left" vertical="center" wrapText="1"/>
    </xf>
    <xf numFmtId="0" fontId="26" fillId="9" borderId="3" xfId="2" applyFont="1" applyFill="1" applyBorder="1" applyAlignment="1">
      <alignment horizontal="left" vertical="center" wrapText="1"/>
    </xf>
    <xf numFmtId="0" fontId="26" fillId="9" borderId="4" xfId="2" applyFont="1" applyFill="1" applyBorder="1" applyAlignment="1">
      <alignment horizontal="left" vertical="center" wrapText="1"/>
    </xf>
    <xf numFmtId="0" fontId="26" fillId="5" borderId="2" xfId="2" applyFont="1" applyFill="1" applyBorder="1" applyAlignment="1">
      <alignment horizontal="center" vertical="center" wrapText="1"/>
    </xf>
    <xf numFmtId="0" fontId="26" fillId="5" borderId="3" xfId="2" applyFont="1" applyFill="1" applyBorder="1" applyAlignment="1">
      <alignment horizontal="center" vertical="center" wrapText="1"/>
    </xf>
    <xf numFmtId="0" fontId="26" fillId="5" borderId="4" xfId="2" applyFont="1" applyFill="1" applyBorder="1" applyAlignment="1">
      <alignment horizontal="center" vertical="center" wrapText="1"/>
    </xf>
  </cellXfs>
  <cellStyles count="24">
    <cellStyle name="Hyperlink" xfId="1" builtinId="8"/>
    <cellStyle name="Normal" xfId="0" builtinId="0"/>
    <cellStyle name="Normal 2" xfId="2" xr:uid="{00000000-0005-0000-0000-00002B000000}"/>
    <cellStyle name="Normal 2 2" xfId="20" xr:uid="{6C251DF8-A834-44AA-ACCD-AA664A5C195C}"/>
    <cellStyle name="Normal 2 2 2" xfId="21" xr:uid="{F39CB695-D021-45DB-841D-038BD752BE2C}"/>
    <cellStyle name="Normal 2 2 6" xfId="9" xr:uid="{B1E10274-F59E-4CDF-8D19-ADF9E5442CCB}"/>
    <cellStyle name="Normal 22" xfId="8" xr:uid="{C66E5CD7-8F57-4E22-9FA7-5BC2B9B207CA}"/>
    <cellStyle name="Normal 3" xfId="3" xr:uid="{00000000-0005-0000-0000-00002E000000}"/>
    <cellStyle name="Normal 3 2" xfId="13" xr:uid="{C841936D-8908-4ED9-AA2B-E546DB73BEF6}"/>
    <cellStyle name="Normal 3 2 2" xfId="18" xr:uid="{F26B3B07-3A05-4B20-85F2-D8A6823691AE}"/>
    <cellStyle name="Normal 3 2 3" xfId="19" xr:uid="{ACFB6BFA-5FA2-427F-94CD-D44E372FE945}"/>
    <cellStyle name="Normal 3 2 4" xfId="22" xr:uid="{C93B0AA3-0745-4CD6-B44B-CFE52DCA4644}"/>
    <cellStyle name="Normal 3 2 5" xfId="23" xr:uid="{1455536B-CBCD-4660-B9C3-A5F14491CA3E}"/>
    <cellStyle name="Normal 4" xfId="6" xr:uid="{3020629D-E2E2-4E35-B9BE-34F1240D3F1B}"/>
    <cellStyle name="Normal 5" xfId="4" xr:uid="{00000000-0005-0000-0000-000034000000}"/>
    <cellStyle name="Normal 5 2" xfId="14" xr:uid="{7E74AD4D-3A3B-4C3D-98AF-6417022559DB}"/>
    <cellStyle name="Normal 6" xfId="11" xr:uid="{F0C9FBCF-34CF-46AE-92DA-9138EBB674DF}"/>
    <cellStyle name="Normal 7" xfId="12" xr:uid="{7782A224-A0FA-4284-84E6-11D3A61563E0}"/>
    <cellStyle name="Normal 7 2" xfId="17" xr:uid="{D557EBD1-C07B-4935-A4FD-6D14AD46B6EB}"/>
    <cellStyle name="Normal 7 4 2 2 2 8 12" xfId="7" xr:uid="{39C3A0A8-960F-487B-A6BA-995D5BFD8A7F}"/>
    <cellStyle name="Normal 7 4 2 2 2 8 3 8" xfId="10" xr:uid="{A11D860C-1C60-4651-8844-BE9DD8254D9A}"/>
    <cellStyle name="Normal 8" xfId="16" xr:uid="{41D1D88C-B6FD-47DB-8B61-747AC4F259FB}"/>
    <cellStyle name="Normal_Consolidate Data 1 2 3" xfId="15" xr:uid="{250BE227-2B9B-450E-B3D8-7E1B921C247A}"/>
    <cellStyle name="常规_CMMI_PIID0809_v1.2" xfId="5" xr:uid="{00000000-0005-0000-0000-000035000000}"/>
  </cellStyles>
  <dxfs count="295">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s>
  <tableStyles count="0" defaultTableStyle="TableStyleMedium2" defaultPivotStyle="PivotStyleLight16"/>
  <colors>
    <mruColors>
      <color rgb="FFF9A51A"/>
      <color rgb="FF00CC00"/>
      <color rgb="FF00A551"/>
      <color rgb="FFF05A22"/>
      <color rgb="FF802C19"/>
      <color rgb="FF70BF65"/>
      <color rgb="FF008050"/>
      <color rgb="FFB682B9"/>
      <color rgb="FF6B2B88"/>
      <color rgb="FF007D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1.xml"/><Relationship Id="rId63"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externalLink" Target="externalLinks/externalLink4.xml"/><Relationship Id="rId66" Type="http://schemas.microsoft.com/office/2006/relationships/vbaProject" Target="vbaProject.bin"/><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3.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tyles" Target="styles.xml"/><Relationship Id="rId65"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6</xdr:row>
          <xdr:rowOff>38100</xdr:rowOff>
        </xdr:from>
        <xdr:to>
          <xdr:col>1</xdr:col>
          <xdr:colOff>1706880</xdr:colOff>
          <xdr:row>7</xdr:row>
          <xdr:rowOff>114300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Format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11</xdr:row>
          <xdr:rowOff>30480</xdr:rowOff>
        </xdr:from>
        <xdr:to>
          <xdr:col>1</xdr:col>
          <xdr:colOff>1744980</xdr:colOff>
          <xdr:row>12</xdr:row>
          <xdr:rowOff>38100</xdr:rowOff>
        </xdr:to>
        <xdr:sp macro="" textlink="">
          <xdr:nvSpPr>
            <xdr:cNvPr id="43010" name="Button 2"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Filter at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19</xdr:row>
          <xdr:rowOff>182880</xdr:rowOff>
        </xdr:from>
        <xdr:to>
          <xdr:col>1</xdr:col>
          <xdr:colOff>1744980</xdr:colOff>
          <xdr:row>21</xdr:row>
          <xdr:rowOff>7620</xdr:rowOff>
        </xdr:to>
        <xdr:sp macro="" textlink="">
          <xdr:nvSpPr>
            <xdr:cNvPr id="43011" name="Button 3"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Clear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0</xdr:rowOff>
        </xdr:from>
        <xdr:to>
          <xdr:col>1</xdr:col>
          <xdr:colOff>1744980</xdr:colOff>
          <xdr:row>14</xdr:row>
          <xdr:rowOff>30480</xdr:rowOff>
        </xdr:to>
        <xdr:sp macro="" textlink="">
          <xdr:nvSpPr>
            <xdr:cNvPr id="43012" name="Button 4"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Filter at PA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14</xdr:row>
          <xdr:rowOff>160020</xdr:rowOff>
        </xdr:from>
        <xdr:to>
          <xdr:col>2</xdr:col>
          <xdr:colOff>7620</xdr:colOff>
          <xdr:row>15</xdr:row>
          <xdr:rowOff>182880</xdr:rowOff>
        </xdr:to>
        <xdr:sp macro="" textlink="">
          <xdr:nvSpPr>
            <xdr:cNvPr id="43013" name="Button 5"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Filter at Process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17</xdr:row>
          <xdr:rowOff>7620</xdr:rowOff>
        </xdr:from>
        <xdr:to>
          <xdr:col>1</xdr:col>
          <xdr:colOff>1744980</xdr:colOff>
          <xdr:row>18</xdr:row>
          <xdr:rowOff>30480</xdr:rowOff>
        </xdr:to>
        <xdr:sp macro="" textlink="">
          <xdr:nvSpPr>
            <xdr:cNvPr id="43014" name="Button 6"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Filter at PA Instantiation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24</xdr:row>
          <xdr:rowOff>30480</xdr:rowOff>
        </xdr:from>
        <xdr:to>
          <xdr:col>2</xdr:col>
          <xdr:colOff>7620</xdr:colOff>
          <xdr:row>25</xdr:row>
          <xdr:rowOff>30480</xdr:rowOff>
        </xdr:to>
        <xdr:sp macro="" textlink="">
          <xdr:nvSpPr>
            <xdr:cNvPr id="43015" name="Button 7"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Set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22</xdr:row>
          <xdr:rowOff>30480</xdr:rowOff>
        </xdr:from>
        <xdr:to>
          <xdr:col>1</xdr:col>
          <xdr:colOff>1706880</xdr:colOff>
          <xdr:row>23</xdr:row>
          <xdr:rowOff>7620</xdr:rowOff>
        </xdr:to>
        <xdr:sp macro="" textlink="">
          <xdr:nvSpPr>
            <xdr:cNvPr id="43016" name="Button 8"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Clear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29</xdr:row>
          <xdr:rowOff>182880</xdr:rowOff>
        </xdr:from>
        <xdr:to>
          <xdr:col>2</xdr:col>
          <xdr:colOff>0</xdr:colOff>
          <xdr:row>31</xdr:row>
          <xdr:rowOff>7620</xdr:rowOff>
        </xdr:to>
        <xdr:sp macro="" textlink="">
          <xdr:nvSpPr>
            <xdr:cNvPr id="43017" name="Button 9"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Set PA='FM'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762000</xdr:colOff>
          <xdr:row>27</xdr:row>
          <xdr:rowOff>182880</xdr:rowOff>
        </xdr:from>
        <xdr:to>
          <xdr:col>1</xdr:col>
          <xdr:colOff>1744980</xdr:colOff>
          <xdr:row>28</xdr:row>
          <xdr:rowOff>182880</xdr:rowOff>
        </xdr:to>
        <xdr:sp macro="" textlink="">
          <xdr:nvSpPr>
            <xdr:cNvPr id="43018" name="Button 1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Clear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26</xdr:row>
          <xdr:rowOff>38100</xdr:rowOff>
        </xdr:from>
        <xdr:to>
          <xdr:col>2</xdr:col>
          <xdr:colOff>0</xdr:colOff>
          <xdr:row>27</xdr:row>
          <xdr:rowOff>7620</xdr:rowOff>
        </xdr:to>
        <xdr:sp macro="" textlink="">
          <xdr:nvSpPr>
            <xdr:cNvPr id="43019" name="Button 11" hidden="1">
              <a:extLst>
                <a:ext uri="{63B3BB69-23CF-44E3-9099-C40C66FF867C}">
                  <a14:compatExt spid="_x0000_s43019"/>
                </a:ext>
                <a:ext uri="{FF2B5EF4-FFF2-40B4-BE49-F238E27FC236}">
                  <a16:creationId xmlns:a16="http://schemas.microsoft.com/office/drawing/2014/main" id="{00000000-0008-0000-0000-00000B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Set Instantiation='FM'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32</xdr:row>
          <xdr:rowOff>7620</xdr:rowOff>
        </xdr:from>
        <xdr:to>
          <xdr:col>2</xdr:col>
          <xdr:colOff>7620</xdr:colOff>
          <xdr:row>33</xdr:row>
          <xdr:rowOff>38100</xdr:rowOff>
        </xdr:to>
        <xdr:sp macro="" textlink="">
          <xdr:nvSpPr>
            <xdr:cNvPr id="43020" name="Button 12" hidden="1">
              <a:extLst>
                <a:ext uri="{63B3BB69-23CF-44E3-9099-C40C66FF867C}">
                  <a14:compatExt spid="_x0000_s43020"/>
                </a:ext>
                <a:ext uri="{FF2B5EF4-FFF2-40B4-BE49-F238E27FC236}">
                  <a16:creationId xmlns:a16="http://schemas.microsoft.com/office/drawing/2014/main" id="{00000000-0008-0000-0000-00000C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Celar Instantiation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42</xdr:row>
          <xdr:rowOff>0</xdr:rowOff>
        </xdr:from>
        <xdr:to>
          <xdr:col>1</xdr:col>
          <xdr:colOff>1722120</xdr:colOff>
          <xdr:row>43</xdr:row>
          <xdr:rowOff>30480</xdr:rowOff>
        </xdr:to>
        <xdr:sp macro="" textlink="">
          <xdr:nvSpPr>
            <xdr:cNvPr id="43021" name="Button 13" hidden="1">
              <a:extLst>
                <a:ext uri="{63B3BB69-23CF-44E3-9099-C40C66FF867C}">
                  <a14:compatExt spid="_x0000_s43021"/>
                </a:ext>
                <a:ext uri="{FF2B5EF4-FFF2-40B4-BE49-F238E27FC236}">
                  <a16:creationId xmlns:a16="http://schemas.microsoft.com/office/drawing/2014/main" id="{00000000-0008-0000-0000-00000D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TV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44</xdr:row>
          <xdr:rowOff>7620</xdr:rowOff>
        </xdr:from>
        <xdr:to>
          <xdr:col>1</xdr:col>
          <xdr:colOff>1744980</xdr:colOff>
          <xdr:row>45</xdr:row>
          <xdr:rowOff>30480</xdr:rowOff>
        </xdr:to>
        <xdr:sp macro="" textlink="">
          <xdr:nvSpPr>
            <xdr:cNvPr id="43022" name="Button 14" hidden="1">
              <a:extLst>
                <a:ext uri="{63B3BB69-23CF-44E3-9099-C40C66FF867C}">
                  <a14:compatExt spid="_x0000_s43022"/>
                </a:ext>
                <a:ext uri="{FF2B5EF4-FFF2-40B4-BE49-F238E27FC236}">
                  <a16:creationId xmlns:a16="http://schemas.microsoft.com/office/drawing/2014/main" id="{00000000-0008-0000-0000-00000E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Hide TV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46</xdr:row>
          <xdr:rowOff>7620</xdr:rowOff>
        </xdr:from>
        <xdr:to>
          <xdr:col>1</xdr:col>
          <xdr:colOff>1722120</xdr:colOff>
          <xdr:row>47</xdr:row>
          <xdr:rowOff>45720</xdr:rowOff>
        </xdr:to>
        <xdr:sp macro="" textlink="">
          <xdr:nvSpPr>
            <xdr:cNvPr id="43023" name="Button 15" hidden="1">
              <a:extLst>
                <a:ext uri="{63B3BB69-23CF-44E3-9099-C40C66FF867C}">
                  <a14:compatExt spid="_x0000_s43023"/>
                </a:ext>
                <a:ext uri="{FF2B5EF4-FFF2-40B4-BE49-F238E27FC236}">
                  <a16:creationId xmlns:a16="http://schemas.microsoft.com/office/drawing/2014/main" id="{00000000-0008-0000-0000-00000F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Build TV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15240</xdr:colOff>
          <xdr:row>11</xdr:row>
          <xdr:rowOff>68580</xdr:rowOff>
        </xdr:from>
        <xdr:to>
          <xdr:col>1</xdr:col>
          <xdr:colOff>967740</xdr:colOff>
          <xdr:row>13</xdr:row>
          <xdr:rowOff>152400</xdr:rowOff>
        </xdr:to>
        <xdr:sp macro="" textlink="">
          <xdr:nvSpPr>
            <xdr:cNvPr id="187393" name="Button 1" hidden="1">
              <a:extLst>
                <a:ext uri="{63B3BB69-23CF-44E3-9099-C40C66FF867C}">
                  <a14:compatExt spid="_x0000_s187393"/>
                </a:ext>
                <a:ext uri="{FF2B5EF4-FFF2-40B4-BE49-F238E27FC236}">
                  <a16:creationId xmlns:a16="http://schemas.microsoft.com/office/drawing/2014/main" id="{00000000-0008-0000-1400-000001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11</xdr:row>
          <xdr:rowOff>76200</xdr:rowOff>
        </xdr:from>
        <xdr:to>
          <xdr:col>2</xdr:col>
          <xdr:colOff>998220</xdr:colOff>
          <xdr:row>13</xdr:row>
          <xdr:rowOff>144780</xdr:rowOff>
        </xdr:to>
        <xdr:sp macro="" textlink="">
          <xdr:nvSpPr>
            <xdr:cNvPr id="187395" name="Button 3" hidden="1">
              <a:extLst>
                <a:ext uri="{63B3BB69-23CF-44E3-9099-C40C66FF867C}">
                  <a14:compatExt spid="_x0000_s187395"/>
                </a:ext>
                <a:ext uri="{FF2B5EF4-FFF2-40B4-BE49-F238E27FC236}">
                  <a16:creationId xmlns:a16="http://schemas.microsoft.com/office/drawing/2014/main" id="{00000000-0008-0000-1400-000003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11</xdr:row>
          <xdr:rowOff>68580</xdr:rowOff>
        </xdr:from>
        <xdr:to>
          <xdr:col>5</xdr:col>
          <xdr:colOff>982980</xdr:colOff>
          <xdr:row>13</xdr:row>
          <xdr:rowOff>137160</xdr:rowOff>
        </xdr:to>
        <xdr:sp macro="" textlink="">
          <xdr:nvSpPr>
            <xdr:cNvPr id="187396" name="Button 4" hidden="1">
              <a:extLst>
                <a:ext uri="{63B3BB69-23CF-44E3-9099-C40C66FF867C}">
                  <a14:compatExt spid="_x0000_s187396"/>
                </a:ext>
                <a:ext uri="{FF2B5EF4-FFF2-40B4-BE49-F238E27FC236}">
                  <a16:creationId xmlns:a16="http://schemas.microsoft.com/office/drawing/2014/main" id="{00000000-0008-0000-1400-000004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a:t>
              </a:r>
            </a:p>
            <a:p>
              <a:pPr algn="ctr" rtl="0">
                <a:defRPr sz="1000"/>
              </a:pPr>
              <a:r>
                <a:rPr lang="en-ZA" sz="1100" b="0" i="0" u="none" strike="noStrike" baseline="0">
                  <a:solidFill>
                    <a:srgbClr val="000000"/>
                  </a:solidFill>
                  <a:latin typeface="Calibri"/>
                  <a:ea typeface="Calibri"/>
                  <a:cs typeface="Calibri"/>
                </a:rPr>
                <a:t>staff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53340</xdr:colOff>
          <xdr:row>11</xdr:row>
          <xdr:rowOff>83820</xdr:rowOff>
        </xdr:from>
        <xdr:to>
          <xdr:col>7</xdr:col>
          <xdr:colOff>0</xdr:colOff>
          <xdr:row>13</xdr:row>
          <xdr:rowOff>152400</xdr:rowOff>
        </xdr:to>
        <xdr:sp macro="" textlink="">
          <xdr:nvSpPr>
            <xdr:cNvPr id="187397" name="Button 5" hidden="1">
              <a:extLst>
                <a:ext uri="{63B3BB69-23CF-44E3-9099-C40C66FF867C}">
                  <a14:compatExt spid="_x0000_s187397"/>
                </a:ext>
                <a:ext uri="{FF2B5EF4-FFF2-40B4-BE49-F238E27FC236}">
                  <a16:creationId xmlns:a16="http://schemas.microsoft.com/office/drawing/2014/main" id="{00000000-0008-0000-1400-000005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a:t>
              </a:r>
            </a:p>
            <a:p>
              <a:pPr algn="ctr" rtl="0">
                <a:defRPr sz="1000"/>
              </a:pPr>
              <a:r>
                <a:rPr lang="en-ZA" sz="1100" b="0" i="0" u="none" strike="noStrike" baseline="0">
                  <a:solidFill>
                    <a:srgbClr val="000000"/>
                  </a:solidFill>
                  <a:latin typeface="Calibri"/>
                  <a:ea typeface="Calibri"/>
                  <a:cs typeface="Calibri"/>
                </a:rPr>
                <a:t>staff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11</xdr:row>
          <xdr:rowOff>38100</xdr:rowOff>
        </xdr:from>
        <xdr:to>
          <xdr:col>9</xdr:col>
          <xdr:colOff>990600</xdr:colOff>
          <xdr:row>13</xdr:row>
          <xdr:rowOff>106680</xdr:rowOff>
        </xdr:to>
        <xdr:sp macro="" textlink="">
          <xdr:nvSpPr>
            <xdr:cNvPr id="187398" name="Button 6" hidden="1">
              <a:extLst>
                <a:ext uri="{63B3BB69-23CF-44E3-9099-C40C66FF867C}">
                  <a14:compatExt spid="_x0000_s187398"/>
                </a:ext>
                <a:ext uri="{FF2B5EF4-FFF2-40B4-BE49-F238E27FC236}">
                  <a16:creationId xmlns:a16="http://schemas.microsoft.com/office/drawing/2014/main" id="{00000000-0008-0000-1400-000006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work </a:t>
              </a:r>
            </a:p>
            <a:p>
              <a:pPr algn="ctr" rtl="0">
                <a:defRPr sz="1000"/>
              </a:pPr>
              <a:r>
                <a:rPr lang="en-ZA" sz="1100" b="0" i="0" u="none" strike="noStrike" baseline="0">
                  <a:solidFill>
                    <a:srgbClr val="000000"/>
                  </a:solidFill>
                  <a:latin typeface="Calibri"/>
                  <a:ea typeface="Calibri"/>
                  <a:cs typeface="Calibri"/>
                </a:rPr>
                <a:t>task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11</xdr:row>
          <xdr:rowOff>38100</xdr:rowOff>
        </xdr:from>
        <xdr:to>
          <xdr:col>10</xdr:col>
          <xdr:colOff>990600</xdr:colOff>
          <xdr:row>13</xdr:row>
          <xdr:rowOff>106680</xdr:rowOff>
        </xdr:to>
        <xdr:sp macro="" textlink="">
          <xdr:nvSpPr>
            <xdr:cNvPr id="187399" name="Button 7" hidden="1">
              <a:extLst>
                <a:ext uri="{63B3BB69-23CF-44E3-9099-C40C66FF867C}">
                  <a14:compatExt spid="_x0000_s187399"/>
                </a:ext>
                <a:ext uri="{FF2B5EF4-FFF2-40B4-BE49-F238E27FC236}">
                  <a16:creationId xmlns:a16="http://schemas.microsoft.com/office/drawing/2014/main" id="{00000000-0008-0000-1400-000007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work task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22860</xdr:colOff>
          <xdr:row>11</xdr:row>
          <xdr:rowOff>15240</xdr:rowOff>
        </xdr:from>
        <xdr:to>
          <xdr:col>13</xdr:col>
          <xdr:colOff>975360</xdr:colOff>
          <xdr:row>13</xdr:row>
          <xdr:rowOff>83820</xdr:rowOff>
        </xdr:to>
        <xdr:sp macro="" textlink="">
          <xdr:nvSpPr>
            <xdr:cNvPr id="187400" name="Button 8" hidden="1">
              <a:extLst>
                <a:ext uri="{63B3BB69-23CF-44E3-9099-C40C66FF867C}">
                  <a14:compatExt spid="_x0000_s187400"/>
                </a:ext>
                <a:ext uri="{FF2B5EF4-FFF2-40B4-BE49-F238E27FC236}">
                  <a16:creationId xmlns:a16="http://schemas.microsoft.com/office/drawing/2014/main" id="{00000000-0008-0000-1400-000008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work task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45720</xdr:colOff>
          <xdr:row>11</xdr:row>
          <xdr:rowOff>7620</xdr:rowOff>
        </xdr:from>
        <xdr:to>
          <xdr:col>14</xdr:col>
          <xdr:colOff>998220</xdr:colOff>
          <xdr:row>13</xdr:row>
          <xdr:rowOff>76200</xdr:rowOff>
        </xdr:to>
        <xdr:sp macro="" textlink="">
          <xdr:nvSpPr>
            <xdr:cNvPr id="187401" name="Button 9" hidden="1">
              <a:extLst>
                <a:ext uri="{63B3BB69-23CF-44E3-9099-C40C66FF867C}">
                  <a14:compatExt spid="_x0000_s187401"/>
                </a:ext>
                <a:ext uri="{FF2B5EF4-FFF2-40B4-BE49-F238E27FC236}">
                  <a16:creationId xmlns:a16="http://schemas.microsoft.com/office/drawing/2014/main" id="{00000000-0008-0000-1400-000009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work task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11</xdr:row>
          <xdr:rowOff>68580</xdr:rowOff>
        </xdr:from>
        <xdr:to>
          <xdr:col>17</xdr:col>
          <xdr:colOff>876300</xdr:colOff>
          <xdr:row>13</xdr:row>
          <xdr:rowOff>83820</xdr:rowOff>
        </xdr:to>
        <xdr:sp macro="" textlink="">
          <xdr:nvSpPr>
            <xdr:cNvPr id="187402" name="Button 10" hidden="1">
              <a:extLst>
                <a:ext uri="{63B3BB69-23CF-44E3-9099-C40C66FF867C}">
                  <a14:compatExt spid="_x0000_s187402"/>
                </a:ext>
                <a:ext uri="{FF2B5EF4-FFF2-40B4-BE49-F238E27FC236}">
                  <a16:creationId xmlns:a16="http://schemas.microsoft.com/office/drawing/2014/main" id="{00000000-0008-0000-1400-00000A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Setup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129540</xdr:colOff>
          <xdr:row>1</xdr:row>
          <xdr:rowOff>15240</xdr:rowOff>
        </xdr:from>
        <xdr:to>
          <xdr:col>2</xdr:col>
          <xdr:colOff>144780</xdr:colOff>
          <xdr:row>3</xdr:row>
          <xdr:rowOff>99060</xdr:rowOff>
        </xdr:to>
        <xdr:sp macro="" textlink="">
          <xdr:nvSpPr>
            <xdr:cNvPr id="190465" name="Button 1" hidden="1">
              <a:extLst>
                <a:ext uri="{63B3BB69-23CF-44E3-9099-C40C66FF867C}">
                  <a14:compatExt spid="_x0000_s190465"/>
                </a:ext>
                <a:ext uri="{FF2B5EF4-FFF2-40B4-BE49-F238E27FC236}">
                  <a16:creationId xmlns:a16="http://schemas.microsoft.com/office/drawing/2014/main" id="{00000000-0008-0000-1500-000001E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502920</xdr:colOff>
          <xdr:row>1</xdr:row>
          <xdr:rowOff>0</xdr:rowOff>
        </xdr:from>
        <xdr:to>
          <xdr:col>3</xdr:col>
          <xdr:colOff>236220</xdr:colOff>
          <xdr:row>3</xdr:row>
          <xdr:rowOff>68580</xdr:rowOff>
        </xdr:to>
        <xdr:sp macro="" textlink="">
          <xdr:nvSpPr>
            <xdr:cNvPr id="190466" name="Button 2" hidden="1">
              <a:extLst>
                <a:ext uri="{63B3BB69-23CF-44E3-9099-C40C66FF867C}">
                  <a14:compatExt spid="_x0000_s190466"/>
                </a:ext>
                <a:ext uri="{FF2B5EF4-FFF2-40B4-BE49-F238E27FC236}">
                  <a16:creationId xmlns:a16="http://schemas.microsoft.com/office/drawing/2014/main" id="{00000000-0008-0000-1500-000002E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tasks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0</xdr:row>
          <xdr:rowOff>106680</xdr:rowOff>
        </xdr:from>
        <xdr:to>
          <xdr:col>3</xdr:col>
          <xdr:colOff>2552700</xdr:colOff>
          <xdr:row>2</xdr:row>
          <xdr:rowOff>45720</xdr:rowOff>
        </xdr:to>
        <xdr:sp macro="" textlink="">
          <xdr:nvSpPr>
            <xdr:cNvPr id="44033" name="Button 1" hidden="1">
              <a:extLst>
                <a:ext uri="{63B3BB69-23CF-44E3-9099-C40C66FF867C}">
                  <a14:compatExt spid="_x0000_s44033"/>
                </a:ext>
                <a:ext uri="{FF2B5EF4-FFF2-40B4-BE49-F238E27FC236}">
                  <a16:creationId xmlns:a16="http://schemas.microsoft.com/office/drawing/2014/main" id="{00000000-0008-0000-1600-000001A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Extract findings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182880</xdr:colOff>
          <xdr:row>0</xdr:row>
          <xdr:rowOff>144780</xdr:rowOff>
        </xdr:from>
        <xdr:to>
          <xdr:col>2</xdr:col>
          <xdr:colOff>876300</xdr:colOff>
          <xdr:row>2</xdr:row>
          <xdr:rowOff>38100</xdr:rowOff>
        </xdr:to>
        <xdr:sp macro="" textlink="">
          <xdr:nvSpPr>
            <xdr:cNvPr id="44034" name="Button 2" hidden="1">
              <a:extLst>
                <a:ext uri="{63B3BB69-23CF-44E3-9099-C40C66FF867C}">
                  <a14:compatExt spid="_x0000_s44034"/>
                </a:ext>
                <a:ext uri="{FF2B5EF4-FFF2-40B4-BE49-F238E27FC236}">
                  <a16:creationId xmlns:a16="http://schemas.microsoft.com/office/drawing/2014/main" id="{00000000-0008-0000-1600-000002A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findings to DB</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2400300</xdr:colOff>
          <xdr:row>0</xdr:row>
          <xdr:rowOff>106680</xdr:rowOff>
        </xdr:from>
        <xdr:to>
          <xdr:col>5</xdr:col>
          <xdr:colOff>1417320</xdr:colOff>
          <xdr:row>2</xdr:row>
          <xdr:rowOff>45720</xdr:rowOff>
        </xdr:to>
        <xdr:sp macro="" textlink="">
          <xdr:nvSpPr>
            <xdr:cNvPr id="75777" name="Button 1" hidden="1">
              <a:extLst>
                <a:ext uri="{63B3BB69-23CF-44E3-9099-C40C66FF867C}">
                  <a14:compatExt spid="_x0000_s75777"/>
                </a:ext>
                <a:ext uri="{FF2B5EF4-FFF2-40B4-BE49-F238E27FC236}">
                  <a16:creationId xmlns:a16="http://schemas.microsoft.com/office/drawing/2014/main" id="{00000000-0008-0000-1700-0000012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Extract questions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144780</xdr:colOff>
          <xdr:row>0</xdr:row>
          <xdr:rowOff>121920</xdr:rowOff>
        </xdr:from>
        <xdr:to>
          <xdr:col>4</xdr:col>
          <xdr:colOff>571500</xdr:colOff>
          <xdr:row>2</xdr:row>
          <xdr:rowOff>30480</xdr:rowOff>
        </xdr:to>
        <xdr:sp macro="" textlink="">
          <xdr:nvSpPr>
            <xdr:cNvPr id="75778" name="Button 2" hidden="1">
              <a:extLst>
                <a:ext uri="{63B3BB69-23CF-44E3-9099-C40C66FF867C}">
                  <a14:compatExt spid="_x0000_s75778"/>
                </a:ext>
                <a:ext uri="{FF2B5EF4-FFF2-40B4-BE49-F238E27FC236}">
                  <a16:creationId xmlns:a16="http://schemas.microsoft.com/office/drawing/2014/main" id="{00000000-0008-0000-1700-0000022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questions to DB</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4-11to04-17%20(A5)%20C58476%20Aviation\10_57v07_Aviation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emix365.sharepoint.com/Users/tgard/Documents/2_Reference/2_CMMI/Appraisals/General/CMMI_practice_OE_question%20ma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Sheet1"/>
      <sheetName val="PvtStaffDistinct"/>
      <sheetName val="PvtPACheck"/>
      <sheetName val="P1PA-SS"/>
      <sheetName val="P1PA-RSG"/>
      <sheetName val="P1PA-R"/>
      <sheetName val="P2CA"/>
      <sheetName val="P3RF"/>
      <sheetName val="Schedule"/>
      <sheetName val="PvtCheck1"/>
      <sheetName val="Schedule2"/>
      <sheetName val="PvtEffort"/>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p1ATCS</v>
          </cell>
        </row>
        <row r="4">
          <cell r="A4" t="str">
            <v>p2</v>
          </cell>
          <cell r="B4" t="str">
            <v>p2CSIM</v>
          </cell>
        </row>
        <row r="5">
          <cell r="A5" t="str">
            <v>p3</v>
          </cell>
          <cell r="B5" t="str">
            <v>p3SSOM</v>
          </cell>
        </row>
        <row r="6">
          <cell r="A6" t="str">
            <v>p4</v>
          </cell>
          <cell r="B6" t="str">
            <v>p4ABIS</v>
          </cell>
        </row>
        <row r="7">
          <cell r="A7" t="str">
            <v>p5</v>
          </cell>
          <cell r="B7" t="str">
            <v>p5AMIN</v>
          </cell>
        </row>
        <row r="8">
          <cell r="A8" t="str">
            <v>s1</v>
          </cell>
          <cell r="B8" t="str">
            <v>s1CM</v>
          </cell>
        </row>
        <row r="9">
          <cell r="A9" t="str">
            <v>s2</v>
          </cell>
          <cell r="B9" t="str">
            <v>s2EPG-MA</v>
          </cell>
        </row>
        <row r="10">
          <cell r="A10" t="str">
            <v>s3</v>
          </cell>
          <cell r="B10" t="str">
            <v>s3HR</v>
          </cell>
        </row>
        <row r="11">
          <cell r="A11" t="str">
            <v>s4</v>
          </cell>
          <cell r="B11"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mple"/>
      <sheetName val="role"/>
      <sheetName val="Setup"/>
      <sheetName val="GOV"/>
      <sheetName val="II-Subgroup 1"/>
      <sheetName val="II-Subgroup 2"/>
      <sheetName val="CM"/>
      <sheetName val="PQA"/>
      <sheetName val="MPM"/>
      <sheetName val="CAR"/>
      <sheetName val="PAD"/>
      <sheetName val="PCM"/>
      <sheetName val="OT"/>
      <sheetName val="DAR"/>
      <sheetName val="EST"/>
      <sheetName val="MC"/>
      <sheetName val="PR"/>
      <sheetName val="PLAN"/>
      <sheetName val="RSK"/>
      <sheetName val="RDM"/>
      <sheetName val="PI"/>
      <sheetName val="TS"/>
      <sheetName val="VV"/>
      <sheetName val="SAM"/>
      <sheetName val="Tab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18" Type="http://schemas.openxmlformats.org/officeDocument/2006/relationships/ctrlProp" Target="../ctrlProps/ctrlProp9.xml"/><Relationship Id="rId3" Type="http://schemas.openxmlformats.org/officeDocument/2006/relationships/hyperlink" Target="https://go.microsoft.com/fwlink/?linkid=866658" TargetMode="External"/><Relationship Id="rId21" Type="http://schemas.openxmlformats.org/officeDocument/2006/relationships/ctrlProp" Target="../ctrlProps/ctrlProp12.xm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openxmlformats.org/officeDocument/2006/relationships/ctrlProp" Target="../ctrlProps/ctrlProp8.xml"/><Relationship Id="rId2" Type="http://schemas.openxmlformats.org/officeDocument/2006/relationships/hyperlink" Target="https://docs.microsoft.com/en-us/sql/connect/oledb/download-oledb-driver-for-sql-server?view=sql-server-ver15" TargetMode="External"/><Relationship Id="rId16" Type="http://schemas.openxmlformats.org/officeDocument/2006/relationships/ctrlProp" Target="../ctrlProps/ctrlProp7.xml"/><Relationship Id="rId20" Type="http://schemas.openxmlformats.org/officeDocument/2006/relationships/ctrlProp" Target="../ctrlProps/ctrlProp11.xml"/><Relationship Id="rId1" Type="http://schemas.openxmlformats.org/officeDocument/2006/relationships/hyperlink" Target="https://www.whatismyip.com/" TargetMode="External"/><Relationship Id="rId6" Type="http://schemas.openxmlformats.org/officeDocument/2006/relationships/hyperlink" Target="https://www.onlinedoctranslator.com/en/translationform" TargetMode="External"/><Relationship Id="rId11" Type="http://schemas.openxmlformats.org/officeDocument/2006/relationships/ctrlProp" Target="../ctrlProps/ctrlProp2.xml"/><Relationship Id="rId24" Type="http://schemas.openxmlformats.org/officeDocument/2006/relationships/ctrlProp" Target="../ctrlProps/ctrlProp15.xml"/><Relationship Id="rId5" Type="http://schemas.openxmlformats.org/officeDocument/2006/relationships/hyperlink" Target="https://translate.google.com/?sl=auto&amp;tl=en&amp;op=translate" TargetMode="External"/><Relationship Id="rId15" Type="http://schemas.openxmlformats.org/officeDocument/2006/relationships/ctrlProp" Target="../ctrlProps/ctrlProp6.xml"/><Relationship Id="rId23" Type="http://schemas.openxmlformats.org/officeDocument/2006/relationships/ctrlProp" Target="../ctrlProps/ctrlProp14.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hyperlink" Target="https://www.microsoft.com/en-us/sql-server/sql-server-downloads" TargetMode="External"/><Relationship Id="rId9" Type="http://schemas.openxmlformats.org/officeDocument/2006/relationships/vmlDrawing" Target="../drawings/vmlDrawing1.vml"/><Relationship Id="rId14" Type="http://schemas.openxmlformats.org/officeDocument/2006/relationships/ctrlProp" Target="../ctrlProps/ctrlProp5.xml"/><Relationship Id="rId22" Type="http://schemas.openxmlformats.org/officeDocument/2006/relationships/ctrlProp" Target="../ctrlProps/ctrlProp13.xml"/></Relationships>
</file>

<file path=xl/worksheets/_rels/sheet2.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5-&#36141;&#20080;,&#22797;&#29992;,&#33258;&#21046;&#35780;&#20215;&#34920;(QCUBIC-SJTB-TS-Purchase,%20reuse,%20self-made%20evaluation)V1.0.xlsx" TargetMode="External"/><Relationship Id="rId3"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5-&#35780;&#23457;&#31649;&#29702;/05-&#35774;&#35745;&#35780;&#23457;/01-&#27010;&#35201;&#35774;&#35745;&#35828;&#26126;&#20070;/05-&#35780;&#23457;&#25253;&#21578;_&#27010;&#35201;&#35774;&#35745;&#20070;(QCUBIC-SJTB-PR-ReviewRpt)V1.1.xls"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4-&#20915;&#31574;&#20998;&#26512;/01-&#20915;&#31574;&#20998;&#26512;&#25253;&#21578;&#65288;QCUBIC-SJTB-dar-evaluaterpt)V1.0.xls"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3-&#35814;&#32454;&#35774;&#35745;&#35828;&#26126;&#20070;(QCUBIC-SJTB-TS-DD)V1.0.docx"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1-&#27010;&#35201;&#35774;&#35745;&#20070;(QCUBIC-SJTB-TS-BD)V1.0.doc"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3-&#35774;&#35745;/&#35774;&#35745;&#36807;&#31243;&#25991;&#20214;(QCUBIC-SPI-TS-Proc-Design)V1.2.doc" TargetMode="External"/><Relationship Id="rId11" Type="http://schemas.openxmlformats.org/officeDocument/2006/relationships/printerSettings" Target="../printerSettings/printerSettings2.bin"/><Relationship Id="rId5"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4-&#29992;&#25143;&#25163;&#20876;(QCUBIC-SJTB-TS-Tem-UserMPMnual)V1.0.doc"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3-&#35774;&#35745;/&#35774;&#35745;&#25351;&#21335;(QCUBIC-SPI-TS-Guid-Design)V1.2.doc"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5-&#35780;&#23457;&#31649;&#29702;/05-&#35774;&#35745;&#35780;&#23457;/02-&#35814;&#32454;&#35774;&#35745;&#35828;&#26126;&#20070;/05-&#35780;&#23457;&#25253;&#21578;_&#35814;&#32454;&#35774;&#35745;(QCUBIC-SJTB-PR-ReviewRpt)V1.1.xls"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3-&#35774;&#35745;/&#35774;&#35745;&#35268;&#33539;(QCUBIC-SPI-TS-Std-Design)V1.2.doc"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1-&#27010;&#35201;&#35774;&#35745;&#20070;(QCUBIC-SJTB-TS-BD)V1.0.doc" TargetMode="External"/><Relationship Id="rId3"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4-&#23454;&#29616;/&#23454;&#29616;&#36807;&#31243;&#25991;&#20214;%20(QCUBIC-SPI-DEV-Proc-Doc)V1.2.doc"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7-&#27979;&#35797;/02-&#38598;&#25104;&#27979;&#35797;/04-&#38598;&#25104;&#27979;&#35797;&#25253;&#21578;(QCUBIC-SJTB-LP_VV_IntegrationTestRet)V1.0.doc" TargetMode="External"/><Relationship Id="rId12" Type="http://schemas.openxmlformats.org/officeDocument/2006/relationships/printerSettings" Target="../printerSettings/printerSettings3.bin"/><Relationship Id="rId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6-&#23454;&#29616;/02-&#20135;&#21697;&#38598;&#25104;/06-&#20135;&#21697;&#38598;&#25104;&#38454;&#27573;&#25253;&#21578;/03-&#20135;&#21697;&#38598;&#25104;&#38454;&#27573;&#25253;&#21578;(QCUBIC-SJTB-PI-InterimReport-3)V1.0.doc"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6-&#23454;&#29616;/02-&#20135;&#21697;&#38598;&#25104;/01-&#20135;&#21697;&#38598;&#25104;&#35745;&#21010;(QCUBIC-SJTB-PI-Plan)V1.0.doc"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7-&#27979;&#35797;/02-&#38598;&#25104;&#27979;&#35797;/01-&#38598;&#25104;&#27979;&#35797;&#29992;&#20363;(QCUBIC-SJTB-VV-TestCase-SystemTest)V1.0.xlsx" TargetMode="External"/><Relationship Id="rId1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6-&#23454;&#29616;/03-&#20195;&#30721;&#26816;&#26597;/02-&#20195;&#30721;&#35843;&#35797;BUG&#31649;&#29702;&#34920;(QCUBIC-SJTB-VV-CDBugList)V1.0.xls" TargetMode="External"/><Relationship Id="rId5"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6-&#23454;&#29616;/02-&#20135;&#21697;&#38598;&#25104;/03-&#20135;&#21697;&#38598;&#25104;&#26816;&#26597;&#21015;&#34920;(QCUBIC-SJTB-PI-PIChkList)V1.0.xls" TargetMode="External"/><Relationship Id="rId10"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6-&#23454;&#29616;/02-&#20135;&#21697;&#38598;&#25104;/04-&#25509;&#21475;&#26816;&#26597;&#21015;&#34920;(QCUBIC-SJTB-PI-PIChkList)V1.0.xls"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5-&#27979;&#35797;/02-&#20135;&#21697;&#38598;&#25104;&#21450;&#38598;&#25104;&#27979;&#35797;/&#20135;&#21697;&#38598;&#25104;&#25351;&#21335;(QCUBIC-SPI-VV-Guid-PI)V1.2.doc" TargetMode="External"/><Relationship Id="rId9"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3-&#35814;&#32454;&#35774;&#35745;&#35828;&#26126;&#20070;(QCUBIC-SJTB-TS-DD)V1.0.docx"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3-&#35745;&#21010;&#35780;&#23457;/01-&#35780;&#23457;&#20934;&#22791;&#34920;_&#39033;&#30446;&#35745;&#21010;(QCUBIC-XNTS-PR-ReviewPrp)V1.0.doc" TargetMode="External"/><Relationship Id="rId13" Type="http://schemas.openxmlformats.org/officeDocument/2006/relationships/printerSettings" Target="../printerSettings/printerSettings4.bin"/><Relationship Id="rId3"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5-&#35780;&#23457;&#25253;&#21578;_&#38656;&#27714;&#35268;&#26684;&#35828;&#26126;&#20070;(QCUBIC-XNTS-PR-ReviewRpt)V1.1.xls"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7-&#27979;&#35797;&#35780;&#23457;/02-&#31995;&#32479;&#27979;&#35797;&#29992;&#20363;/05-&#35780;&#23457;&#25253;&#21578;_&#31995;&#32479;&#27979;&#35797;&#29992;&#20363;(QCUBIC-XNTS-PR-ReviewRpt)V1.1.xls" TargetMode="External"/><Relationship Id="rId12"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1-&#35780;&#23457;&#32570;&#38519;&#31649;&#29702;&#34920;(QCUBIC-XNTS-MC-DefectList)V1.0.xls"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3-&#35745;&#21010;&#35780;&#23457;/05-&#35780;&#23457;&#25253;&#21578;_&#39033;&#30446;&#35745;&#21010;(QCUBIC-XNTS-PR-ReviewRpt)V1.1.xls"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5-&#35774;&#35745;&#35780;&#23457;/02-&#35814;&#32454;&#35774;&#35745;&#35828;&#26126;&#20070;/05-&#35780;&#23457;&#25253;&#21578;_&#35814;&#32454;&#35774;&#35745;(QCUBIC-XNTS-PR-ReviewRpt)V1.1.xls" TargetMode="External"/><Relationship Id="rId11"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5-&#35780;&#23457;&#31649;&#29702;/&#35780;&#23457;&#25351;&#21335;(QCUBIC-SPI-VV-Guid-Review)V1.2.doc" TargetMode="External"/><Relationship Id="rId5"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5-&#35774;&#35745;&#35780;&#23457;/01-&#27010;&#35201;&#35774;&#35745;&#35828;&#26126;&#20070;/05-&#35780;&#23457;&#25253;&#21578;_&#27010;&#35201;&#35774;&#35745;&#20070;(QCUBIC-XNTS-PR-ReviewRpt)V1.1.xls"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5-&#35780;&#23457;&#31649;&#29702;/&#35780;&#23457;&#31649;&#29702;&#36807;&#31243;&#25991;&#20214;(QCUBIC-SPI-VV-Proc-Doc)V1.2.doc"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4-&#38656;&#27714;&#35780;&#23457;/02-&#29992;&#25143;&#38656;&#27714;&#35828;&#26126;&#20070;/03-&#35780;&#23457;&#25253;&#21578;_&#29992;&#25143;&#38656;&#27714;&#35828;&#26126;&#20070;(QCUBIC-XNTS-PR-ReviewRpt)V1.0.xls" TargetMode="External"/><Relationship Id="rId9"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3-&#35745;&#21010;&#35780;&#23457;/02-&#35780;&#23457;&#26816;&#26597;&#34920;_&#39033;&#30446;&#35745;&#21010;(QCUBIC-XNTS-PR-RevChkList)V1.0.xl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6-&#35797;&#36816;&#34892;&#21450;&#39564;&#25910;/&#35797;&#36816;&#34892;&#21450;&#39564;&#25910;&#36807;&#31243;&#25991;&#20214;(QCUBIC-SPI-DA-Proc-Doc)V1.2.doc" TargetMode="External"/><Relationship Id="rId3"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7-&#27979;&#35797;/03-&#31995;&#32479;&#27979;&#35797;/04-&#31995;&#32479;&#27979;&#35797;&#25253;&#21578;(QCUBIC-XNTS-VV-TestReport-SystemTest)V1.0.doc"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5-&#27979;&#35797;/&#27979;&#35797;&#29992;&#20363;&#35268;&#33539;(QCUBIC-SPI-VV-Tem-STD-TestExampleStd)V1.2.doc"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7-&#27979;&#35797;/03-&#31995;&#32479;&#27979;&#35797;/03-&#31995;&#32479;&#27979;&#35797;BUG&#31649;&#29702;&#34920;(QCUBIC-XNTS-VV-STBugList)V1.0.xls"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7-&#27979;&#35797;/01-&#27979;&#35797;&#35745;&#21010;(QCUBIC-XNTS-VV-TestPlan)V1.0.doc"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8-&#35797;&#36816;&#34892;&#21450;&#39564;&#25910;/02-&#39564;&#25910;/03-&#39564;&#25910;&#25253;&#21578;(QCUBIC-XNTS-VV-TestReport-AcceptenceReport)V1.0.doc" TargetMode="External"/><Relationship Id="rId5"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8-&#35797;&#36816;&#34892;&#21450;&#39564;&#25910;/02-&#39564;&#25910;/01-&#39564;&#25910;&#35745;&#21010;(QCUBIC-XNTS-DA-AcceptencePlan)V1.0.doc" TargetMode="External"/><Relationship Id="rId10" Type="http://schemas.openxmlformats.org/officeDocument/2006/relationships/printerSettings" Target="../printerSettings/printerSettings5.bin"/><Relationship Id="rId4"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7-&#27979;&#35797;/02-&#38598;&#25104;&#27979;&#35797;/04-&#38598;&#25104;&#27979;&#35797;&#25253;&#21578;(QCUBIC-XNTS-LP_VV_IntegrationTestRet)V1.0.doc"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5-&#27979;&#35797;/&#36719;&#20214;&#27979;&#35797;&#36807;&#31243;&#25991;&#20214;(QCUBIC-SPI-Tes-Proc-Doc)V1.2.doc"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24037;&#20316;&#20135;&#21697;&#21644;&#36807;&#31243;&#26816;&#26597;&#34920;(QCUBIC-ORG-PQA-Checklist_20200627)V1.0.xls" TargetMode="External"/><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19981;&#31526;&#21512;&#39033;&#31649;&#29702;&#34920;(QCUBIC-SPI-PQA-NCList)V1.2.xls"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30340;&#36136;&#37327;&#20445;&#35777;&#35745;&#21010;(QCUBIC-SPI-PQA-OQAPlan)V1.4.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6136;&#37327;&#20445;&#35777;&#25253;&#21578;/&#36136;&#37327;&#20445;&#35777;&#25253;&#21578;(QCUBIC-SPI-PQA-Report_20200627)V1.0.xl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4-&#38656;&#27714;/01-&#38656;&#27714;&#35843;&#30740;&#35745;&#21010;(QCUBIC-XNTS-RDM-Plan)V1.0.doc" TargetMode="External"/><Relationship Id="rId3"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4-&#38656;&#27714;/03-&#29992;&#25143;&#38656;&#27714;&#35828;&#26126;&#20070;(QCUBIC-XNTS-RDM-CRS)V1.1.doc"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4-&#38656;&#27714;/02-&#38656;&#27714;&#35268;&#26684;&#35828;&#26126;&#20070;%20(QCUBIC-XNTS-RDM-SRS)V1.1.doc"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4-&#38656;&#27714;/04-&#38656;&#27714;&#35843;&#30740;&#25253;&#21578;/01-&#38656;&#27714;&#35843;&#30740;&#25253;&#21578;(QCUBIC-XNTS-RDM-Report-20220113pm)V1.0.doc"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4-&#38656;&#27714;/05-&#38656;&#27714;&#36319;&#36394;&#30697;&#38453;/01-&#38656;&#27714;&#36319;&#36394;&#30697;&#38453;(QCUBIC-XNTS-RDM-RTX)V1.1.xls" TargetMode="External"/><Relationship Id="rId11" Type="http://schemas.openxmlformats.org/officeDocument/2006/relationships/printerSettings" Target="../printerSettings/printerSettings6.bin"/><Relationship Id="rId5"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2-&#35780;&#23457;&#26816;&#26597;&#34920;_&#38656;&#27714;&#35268;&#26684;&#35828;&#26126;&#20070;(QCUBIC-XNTS-PR-Revchklist)V1.0.xls" TargetMode="External"/><Relationship Id="rId10"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6-&#21464;&#26356;&#31649;&#29702;/02-&#21464;&#26356;&#21015;&#34920;(QCUBIC-XNTS-MC-CRecoRDM)V1.0.xls"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5-&#35780;&#23457;&#25253;&#21578;_&#38656;&#27714;&#35268;&#26684;&#35828;&#26126;&#20070;(QCUBIC-XNTS-PR-ReviewRpt)V1.1.xls" TargetMode="External"/><Relationship Id="rId9"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6-&#21464;&#26356;&#31649;&#29702;/03-&#21464;&#26356;&#32467;&#26524;&#25253;&#21578;(QCUBIC-XNTS-mc-changereport_001)V1.0.doc"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36807;&#31243;&#25913;&#36827;&#35745;&#21010;&#35780;&#23457;&#25253;&#21578;(QCUBIC-SPI-VV-Tem-ReviewRpt)V1.2.xls" TargetMode="External"/><Relationship Id="rId3"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36807;&#31243;&#25913;&#36827;&#24635;&#32467;&#25253;&#21578;.ppt"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20851;&#38190;&#23376;&#36807;&#31243;&#36873;&#25321;(QCUBIC_PCM_Select%20subprocess)V1.0.xls" TargetMode="External"/><Relationship Id="rId1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6-&#36807;&#31243;&#25512;&#24191;/&#36807;&#31243;&#37096;&#32626;&#35745;&#21010;(QCUBIC-SPI-PIM-PSPreadPlan)V1.2.doc" TargetMode="External"/><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2-&#29616;&#22330;&#35786;&#26029;/&#21271;&#20140;&#24555;&#31435;&#26041;&#31185;&#25216;&#26377;&#38480;&#20844;&#21496;&#29616;&#22330;&#35786;&#26029;&#25253;&#21578;.ppt"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 TargetMode="External"/><Relationship Id="rId1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6-&#36807;&#31243;&#25913;&#36827;&#37324;&#31243;&#30865;/&#36807;&#31243;&#25913;&#36827;&#37324;&#31243;&#30865;&#25253;&#21578;(ORG_PCM_Milestone_20220628)V1.0.doc"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5-&#39033;&#30446;&#35797;&#28857;/&#35797;&#28857;&#34892;&#21160;&#35745;&#21010;(QCUBIC-SPI-PIM-PilotPlan)V1.1.doc"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1-EPG&#31456;&#31243;/EPG&#31456;&#31243;(QCUBIC-SPI-PIM-Std-EPGRule)V1.2.doc"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32452;&#32455;&#36807;&#31243;&#26694;&#26550;&#22270;.png" TargetMode="External"/><Relationship Id="rId3"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30740;&#21457;&#39033;&#30446;&#27969;&#31243;&#26694;&#26550;&#22270;.png" TargetMode="External"/><Relationship Id="rId12"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3-&#24230;&#37327;&#20998;&#26512;/&#24230;&#37327;&#20998;&#26512;&#25351;&#21335;%20(QCUBIC-SPI-MPM-Guid-Doc)V1.2.doc" TargetMode="External"/><Relationship Id="rId2"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3-&#21487;&#22797;&#29992;&#24211;"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36807;&#31243;&#36164;&#20135;&#31649;&#29702;&#36807;&#31243;&#25991;&#20214;%20(QCUBIC-SPI-OPAL-Proc-Doc)V1.2.doc" TargetMode="External"/><Relationship Id="rId1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4920;(QCUBIC-SPI-MPM-Tem-datasheet)V1.3.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36807;&#31243;&#36164;&#20135;&#24211;&#31649;&#29702;&#25351;&#21335;%20(QCUBIC-SPI-OPAL-Guid-Assetlib)V1.2.doc"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24037;&#20316;&#29615;&#22659;&#26631;&#20934;(QCUBIC-SPI-OPAL-Std-Environment)V1.2(1).doc"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35009;&#21098;&#25351;&#21335;%20(QCUBIC-SPI-OPAL-Guid-Tailor)V1.2.xls" TargetMode="External"/></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3-&#24230;&#37327;&#20998;&#26512;/&#24230;&#37327;&#20998;&#26512;&#25351;&#21335;%20(QCUBIC-SPI-MPM-Guid-Doc)V1.2.doc"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1-&#20250;&#35758;&#35760;&#24405;/&#39640;&#23618;&#20250;&#35758;&#35760;&#24405;(QCUBIC-SPI-MeetingRcd-2020-06-03)V1.0.doc" TargetMode="External"/><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5745;&#21010;(QCUBIC-SPI-MPM-Plan)V1.3.xls"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4920;(QCUBIC-SPI-MPM-Tem-datasheet)V1.3.xls"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1-EPG&#26376;&#25253;/EPG&#26376;&#25253;2020-06.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24037;&#20316;&#20135;&#21697;&#21644;&#36807;&#31243;&#26816;&#26597;&#34920;(QCUBIC-ORG-PQA-Checklist_20200627)V1.0.xls"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3-&#24230;&#37327;&#20998;&#26512;/&#24230;&#37327;&#20998;&#26512;&#36807;&#31243;&#25991;&#20214;%20(QCUBIC-SPI-MPM-Proc-Doc)V1.2.doc" TargetMode="External"/></Relationships>
</file>

<file path=xl/worksheets/_rels/sheet11.xml.rels><?xml version="1.0" encoding="UTF-8" standalone="yes"?>
<Relationships xmlns="http://schemas.openxmlformats.org/package/2006/relationships"><Relationship Id="rId3" Type="http://schemas.openxmlformats.org/officeDocument/2006/relationships/hyperlink" Target="https://demix365.sharepoint.com/sites/DemixGlobal/AnthonyG/6_PIID/2022-08-21to08-26%20(A3)%20C61017%20Beijing%20QCUBIC%20Technologies/Beijing%20QCUBIC%20-%20appraisal%20documentation/02-&#39033;&#30446;&#32423;/P1-Qcubic&#25968;&#25454;&#24211;&#31649;&#29702;&#24037;&#20855;%20V1.0/02-&#20840;&#31243;&#31649;&#29702;/02-&#39118;&#38505;&#21644;&#26426;&#20250;&#31649;&#29702;/02-&#39118;&#38505;&#21644;&#26426;&#20250;&#31649;&#29702;&#35745;&#21010;(QCUBIC-SJKGL-RSK-plan)V1.0.doc"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1-Qcubic&#25968;&#25454;&#24211;&#31649;&#29702;&#24037;&#20855;%20V1.0/02-&#20840;&#31243;&#31649;&#29702;/02-&#39118;&#38505;&#21644;&#26426;&#20250;&#31649;&#29702;/01-&#39118;&#38505;&#21644;&#26426;&#20250;&#26816;&#26597;&#34920;(QCUBIC-SJKGL-RSK-rc)V1.0.xls"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1-Qcubic&#25968;&#25454;&#24211;&#31649;&#29702;&#24037;&#20855;%20V1.0/02-&#20840;&#31243;&#31649;&#29702;/02-&#39118;&#38505;&#21644;&#26426;&#20250;&#31649;&#29702;/03-&#39118;&#38505;&#21644;&#26426;&#20250;&#31649;&#29702;&#19968;&#35272;&#34920;(QCUBIC-SJKGL-RSK-chk&amp;tracking)V1.2.xls" TargetMode="External"/><Relationship Id="rId6" Type="http://schemas.openxmlformats.org/officeDocument/2006/relationships/printerSettings" Target="../printerSettings/printerSettings8.bin"/><Relationship Id="rId5"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1-&#39033;&#30446;&#31649;&#29702;&#35268;&#33539;/05-&#39118;&#38505;&#21644;&#26426;&#20250;&#31649;&#29702;/&#39118;&#38505;&#21644;&#26426;&#20250;&#31649;&#29702;&#25351;&#21335;(QCUBIC-SPI-RSK-Guid-Management)V1.2.doc"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1-&#39033;&#30446;&#31649;&#29702;&#35268;&#33539;/05-&#39118;&#38505;&#21644;&#26426;&#20250;&#31649;&#29702;/&#39118;&#38505;&#21644;&#26426;&#20250;&#31649;&#29702;&#36807;&#31243;&#25991;&#20214;(QCUBIC-SPI-RSK-Proc-Doc)V1.2.doc"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2_&#20154;&#21147;&#36164;&#28304;&#24211;/02_&#23703;&#20301;&#32844;&#36131;/&#23703;&#20301;&#32844;&#36131;&#35828;&#26126;&#20070;(ORG-OT-T01)V1.0.xls" TargetMode="External"/><Relationship Id="rId3"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1&#24180;&#22521;&#35757;&#35745;&#21010;/08_&#22521;&#35757;&#24635;&#32467;&#25253;&#21578;"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2_&#20154;&#21147;&#36164;&#28304;&#24211;/01_&#21592;&#24037;&#20449;&#24687;/&#21592;&#24037;&#25216;&#26415;&#21450;&#24037;&#20316;&#32463;&#21382;&#19968;&#35272;&#34920;(ORG_OT_Skills%20and%20Experience%20List)V1.0.xls" TargetMode="External"/><Relationship Id="rId12" Type="http://schemas.openxmlformats.org/officeDocument/2006/relationships/printerSettings" Target="../printerSettings/printerSettings9.bin"/><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4_&#20869;&#37096;&#22521;&#35757;&#35762;&#24072;&#22521;&#35757;"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2&#24180;&#22521;&#35757;&#35745;&#21010;/02_&#24180;&#24230;&#22521;&#35757;&#35745;&#21010;/2022&#22521;&#35757;&#35838;&#31243;&#34920;(ORG_OT_TraininCNSchedule)V1.0.xls"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2_&#20154;&#21147;&#36164;&#28304;&#24211;/01_&#21592;&#24037;&#20449;&#24687;/&#21592;&#24037;---&#23703;&#20301;&#30693;&#35782;&#25216;&#33021;&#30697;&#38453;.xls" TargetMode="External"/><Relationship Id="rId1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4_&#20869;&#37096;&#22521;&#35757;&#35762;&#24072;&#22521;&#35757;/06_&#23398;&#21592;&#32771;&#26680;&#35780;&#20215;&#34920;/&#22521;&#35757;&#20869;&#37096;&#35762;&#24072;&#22521;&#35757;(ORG-OT-TrainingEVVuationlist)V1.0.xls"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2&#24180;&#22521;&#35757;&#35745;&#21010;/02_&#24180;&#24230;&#22521;&#35757;&#35745;&#21010;/OT-&#32452;&#32455;&#22521;&#35757;&#35745;&#21010;&#35780;&#23457;&#35760;&#24405;2022.xlsx"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2&#24180;&#22521;&#35757;&#35745;&#21010;/01_&#22521;&#35757;&#38656;&#27714;&#35843;&#30740;/&#22521;&#35757;&#38656;&#27714;&#35843;&#30740;&#34920;(ORG_OT_TrainingReqDevTable)V1.1.xls"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1_&#20844;&#21496;&#25112;&#30053;&#22521;&#35757;&#35268;&#21010;/&#20844;&#21496;&#25112;&#30053;&#22521;&#35757;&#35268;&#21010;(ORG_OT_FutureTraining)V1.0.doc"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6-&#39564;&#25910;&#37324;&#31243;&#30865;&#29366;&#24577;&#25253;&#21578;(QCUBIC-SJTB-MC-VVMilestoneRpt)V1.0.doc" TargetMode="External"/><Relationship Id="rId13"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1-&#39033;&#30446;&#23450;&#20041;&#36807;&#31243;%20(QCUBIC-SJTB-PLAN-PDP)V1.0.xls" TargetMode="External"/><Relationship Id="rId3"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1-&#31574;&#21010;&#37324;&#31243;&#30865;&#29366;&#24577;&#25253;&#21578;(QCUBIC-SJTB-MC-PlanMilestoneRpt)V1.0.doc"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5-&#27979;&#35797;&#37324;&#31243;&#30865;&#29366;&#24577;&#25253;&#21578;(QCUBIC-SJTB-MC-TestMilestoneRpt)V1.0.doc" TargetMode="External"/><Relationship Id="rId1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4-&#39033;&#30446;&#36827;&#24230;&#35745;&#21010;(QCUBIC-SJTB-PLAN-Schedule)V1.1.mpp"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2-&#39033;&#30446;&#21608;&#25253;(QCUBIC-SJTB-MC-weeklyrpt)v1.1.xls"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4-&#32534;&#30721;&#37324;&#31243;&#30865;&#29366;&#24577;&#25253;&#21578;(QCUBIC-SJTB-MC-CodingMilestoneRpt)V1.0.doc" TargetMode="External"/><Relationship Id="rId1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8-&#37197;&#32622;&#31649;&#29702;/01-&#39033;&#30446;&#37197;&#32622;&#31649;&#29702;&#35745;&#21010;%20(QCUBIC-SJTB-CM-Plan)V1.0.doc" TargetMode="External"/><Relationship Id="rId5"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3-&#35774;&#35745;&#37324;&#31243;&#30865;&#29366;&#24577;&#25253;&#21578;(QCUBIC-SJTB-MC-DesMilestoneRpt)V1.0.doc" TargetMode="External"/><Relationship Id="rId10"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7-&#36136;&#37327;&#20445;&#35777;/01-&#36136;&#37327;&#20445;&#35777;&#35745;&#21010;(QCUBIC-SJTB-PQA-Plan)V1.0.doc"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2-&#38656;&#27714;&#37324;&#31243;&#30865;&#29366;&#24577;&#25253;&#21578;(QCUBIC-SJTB-MC-RDMilestoneRpt)V1.1.doc" TargetMode="External"/><Relationship Id="rId9"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1-&#38382;&#39064;&#31649;&#29702;&#34920;(QCUBIC-SJTB-MC-IssueList)V1.1.xls" TargetMode="External"/><Relationship Id="rId14"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5-&#35780;&#23457;&#31649;&#29702;/03-&#35745;&#21010;&#35780;&#23457;/05-&#35780;&#23457;&#25253;&#21578;_&#39033;&#30446;&#35745;&#21010;(QCUBIC-SJTB-PR-ReviewRpt)V1.1.xls"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5-&#20851;&#38190;&#20381;&#36182;&#20851;&#31995;&#36319;&#36394;&#31649;&#29702;&#34920;(QCUBIC-SJTB-Key%20dependency%20tracking%20management%20table)V1.0.xls"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4-&#39033;&#30446;&#36827;&#24230;&#35745;&#21010;(QCUBIC-SJTB-PLAN-Schedule)V1.1.mpp"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3-&#24230;&#37327;&#20998;&#26512;/02-&#39033;&#30446;&#24230;&#37327;&#25968;&#25454;&#34920;(QCUBIC-SJTB-MPM-datasheet)V1.0.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35009;&#21098;&#25351;&#21335;%20(QCUBIC-SPI-OPAL-Guid-Tailor)V1.2.xls"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1-&#39033;&#30446;&#23450;&#20041;&#36807;&#31243;%20(QCUBIC-SJTB-PLAN-PDP)V1.0.xls" TargetMode="External"/></Relationships>
</file>

<file path=xl/worksheets/_rels/sheet15.xml.rels><?xml version="1.0" encoding="UTF-8" standalone="yes"?>
<Relationships xmlns="http://schemas.openxmlformats.org/package/2006/relationships"><Relationship Id="rId8" Type="http://schemas.openxmlformats.org/officeDocument/2006/relationships/printerSettings" Target="../printerSettings/printerSettings12.bin"/><Relationship Id="rId3"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3-&#24230;&#37327;&#20998;&#26512;/02-&#39033;&#30446;&#24230;&#37327;&#25968;&#25454;&#34920;(QCUBIC-SJTB-MPM-datasheet)V1.0.xls"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2-&#20272;&#31639;&#24037;&#20316;&#20070;%20(QCUBIC-SJTB-PLAN-Evaluate)V1.2.xls"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4920;(QCUBIC-SPI-MPM-Tem-datasheet)V1.3.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1-&#39033;&#30446;&#31649;&#29702;&#35268;&#33539;/03-&#39033;&#30446;&#20272;&#31639;/&#20272;&#31639;&#25351;&#21335;(QCUBIC-SPI-EST-Guid-Evaluate)V1.2.doc"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3-&#21608;&#20250;&#35758;&#32426;&#35201;/01-&#20250;&#35758;&#35760;&#24405;(QCUBIC-SJTB-meetingrcd-20220107)V1.0.doc" TargetMode="External"/></Relationships>
</file>

<file path=xl/worksheets/_rels/sheet16.xml.rels><?xml version="1.0" encoding="UTF-8" standalone="yes"?>
<Relationships xmlns="http://schemas.openxmlformats.org/package/2006/relationships"><Relationship Id="rId2"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7-&#21407;&#22240;&#20998;&#26512;&#21644;&#35299;&#20915;&#36807;&#31243;/&#21407;&#22240;&#20998;&#26512;&#21644;&#35299;&#20915;&#36807;&#31243;(QCUBIC-SPI-CAR_Pro)V1.2.docx"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21407;&#22240;&#20998;&#26512;&#21644;&#35299;&#20915;&#26041;&#26696;&#25253;&#21578;(QCUBIC-SPI-CAR_Data%20quality%20analysis)V1.0.xls" TargetMode="Externa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4-&#20915;&#31574;&#20998;&#26512;/&#20915;&#31574;&#20998;&#26512;&#21644;&#35299;&#20915;&#26041;&#26696;(QCUBIC-SPI-OPAL-Tem-Proc)V1.2.doc"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8-&#20915;&#31574;&#20998;&#26512;/01-&#20915;&#31574;&#20998;&#26512;&#25253;&#21578;&#65288;QCUBIC-SPI-dar-evaluaterpt)V1.0.xls" TargetMode="External"/></Relationships>
</file>

<file path=xl/worksheets/_rels/sheet18.xml.rels><?xml version="1.0" encoding="UTF-8" standalone="yes"?>
<Relationships xmlns="http://schemas.openxmlformats.org/package/2006/relationships"><Relationship Id="rId3"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2-&#37197;&#32622;&#31649;&#29702;/&#37197;&#32622;&#31649;&#29702;&#36807;&#31243;&#25991;&#20214;(QCUBIC-SPI-CM-Proc-Doc)V1.2.doc" TargetMode="External"/><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4-CM&#27963;&#21160;&#24211;/&#32452;&#32455;&#37197;&#32622;&#24211;&#20869;&#23481;&#21015;&#34920;(ORG_-CM-TEM-PALList)V1.2.xls"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4-CM&#27963;&#21160;&#24211;/&#32452;&#32455;&#32423;&#37197;&#32622;&#31649;&#29702;&#35745;&#21010;(QCUBIC-SPI-CM-OCMPlan)V1.2.xls" TargetMode="External"/><Relationship Id="rId6" Type="http://schemas.openxmlformats.org/officeDocument/2006/relationships/printerSettings" Target="../printerSettings/printerSettings14.bin"/><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4-CM&#27963;&#21160;&#24211;/&#32452;&#32455;&#32423;&#37197;&#32622;&#23457;&#35745;&#25253;&#21578;(QCUBIC-SPI-CM-Organization-level%20configuration%20audit%20report)V1.3.xls"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4-CM&#27963;&#21160;&#24211;/&#22522;&#32447;&#21457;&#24067;&#25253;&#21578;%20(QCUBIC-spi-cm-release)V1.1.xls"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36807;&#31243;&#25913;&#36827;&#24635;&#32467;&#25253;&#21578;.ppt" TargetMode="External"/><Relationship Id="rId3" Type="http://schemas.openxmlformats.org/officeDocument/2006/relationships/hyperlink" Target="https://demix365.sharepoint.com/sites/DemixGlobal/AnthonyG/6_PIID/2022-08-21to08-26%20(A3)%20C61017%20Beijing%20QCUBIC%20Technologies/Beijing%20QCUBIC%20-%20appraisal%20documentation/02-&#39033;&#30446;&#32423;/P1-Qcubic&#25968;&#25454;&#24211;&#31649;&#29702;&#24037;&#20855;%20V1.0/01-&#29983;&#23384;&#21608;&#26399;/03-&#39033;&#30446;&#31574;&#21010;/03-&#39033;&#30446;&#35745;&#21010;&#20070;%20(QCUBIC-SJKGL-PLAN-Plan)V1.1.doc"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4920;(QCUBIC-SPI-MPM-Tem-datasheet)V1.3.xls"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19981;&#31526;&#21512;&#39033;&#31649;&#29702;&#34920;(QCUBIC-SPI-PQA-NCList)V1.2.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10" Type="http://schemas.openxmlformats.org/officeDocument/2006/relationships/printerSettings" Target="../printerSettings/printerSettings15.bin"/><Relationship Id="rId4"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s>
</file>

<file path=xl/worksheets/_rels/sheet20.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6-&#36807;&#31243;&#25913;&#36827;&#37324;&#31243;&#30865;/&#36807;&#31243;&#25913;&#36827;&#37324;&#31243;&#30865;&#25253;&#21578;(ORG_PCM_Milestone_20220628)V1.0.doc" TargetMode="External"/><Relationship Id="rId3"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2&#24180;&#22521;&#35757;&#35745;&#21010;/02_&#24180;&#24230;&#22521;&#35757;&#35745;&#21010;/2022&#22521;&#35757;&#35838;&#31243;&#34920;(ORG_OT_TraininCNSchedule)V1.0.xls"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36807;&#31243;&#25913;&#36827;&#24635;&#32467;&#25253;&#21578;.ppt" TargetMode="External"/><Relationship Id="rId12" Type="http://schemas.openxmlformats.org/officeDocument/2006/relationships/printerSettings" Target="../printerSettings/printerSettings16.bin"/><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32452;&#32455;&#26041;&#38024;%20(QCUBIC-SPI-OPAL-Ply-Doc)V1.2.doc"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1-&#20250;&#35758;&#35760;&#24405;" TargetMode="External"/><Relationship Id="rId1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30340;&#36136;&#37327;&#20445;&#35777;&#35745;&#21010;(QCUBIC-SPI-PQA-OQAPlan)V1.4.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1&#24180;&#22521;&#35757;&#35745;&#21010;/08_&#22521;&#35757;&#24635;&#32467;&#25253;&#21578;"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5745;&#21010;(QCUBIC-SPI-MPM-Plan)V1.3.xls"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2&#24180;&#22521;&#35757;&#35745;&#21010;/06_&#23398;&#21592;&#32771;&#26680;&#35780;&#20215;&#34920;"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4920;(QCUBIC-SPI-MPM-Tem-datasheet)V1.3.xls" TargetMode="Externa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19.xml"/><Relationship Id="rId12" Type="http://schemas.openxmlformats.org/officeDocument/2006/relationships/ctrlProp" Target="../ctrlProps/ctrlProp24.xml"/><Relationship Id="rId2" Type="http://schemas.openxmlformats.org/officeDocument/2006/relationships/drawing" Target="../drawings/drawing2.xml"/><Relationship Id="rId1" Type="http://schemas.openxmlformats.org/officeDocument/2006/relationships/printerSettings" Target="../printerSettings/printerSettings17.bin"/><Relationship Id="rId6" Type="http://schemas.openxmlformats.org/officeDocument/2006/relationships/ctrlProp" Target="../ctrlProps/ctrlProp18.xml"/><Relationship Id="rId11" Type="http://schemas.openxmlformats.org/officeDocument/2006/relationships/ctrlProp" Target="../ctrlProps/ctrlProp23.xml"/><Relationship Id="rId5" Type="http://schemas.openxmlformats.org/officeDocument/2006/relationships/ctrlProp" Target="../ctrlProps/ctrlProp17.xml"/><Relationship Id="rId10" Type="http://schemas.openxmlformats.org/officeDocument/2006/relationships/ctrlProp" Target="../ctrlProps/ctrlProp22.xml"/><Relationship Id="rId4" Type="http://schemas.openxmlformats.org/officeDocument/2006/relationships/ctrlProp" Target="../ctrlProps/ctrlProp16.xml"/><Relationship Id="rId9" Type="http://schemas.openxmlformats.org/officeDocument/2006/relationships/ctrlProp" Target="../ctrlProps/ctrlProp2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8.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28.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29.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30.xml"/></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translate.google.com/?sl=auto&amp;tl=en&amp;op=translate" TargetMode="External"/><Relationship Id="rId1" Type="http://schemas.openxmlformats.org/officeDocument/2006/relationships/hyperlink" Target="https://www.onlinedoctranslator.com/en/translationform"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43E81-2C3E-4CC7-9D25-099066E1DCE7}">
  <sheetPr codeName="Sheet31">
    <tabColor rgb="FF0070C0"/>
  </sheetPr>
  <dimension ref="B2:M52"/>
  <sheetViews>
    <sheetView topLeftCell="A31" workbookViewId="0">
      <selection activeCell="D43" sqref="D43"/>
    </sheetView>
  </sheetViews>
  <sheetFormatPr defaultColWidth="11.33203125" defaultRowHeight="14.4"/>
  <cols>
    <col min="2" max="2" width="25.44140625" customWidth="1"/>
    <col min="3" max="3" width="5.33203125" customWidth="1"/>
  </cols>
  <sheetData>
    <row r="2" spans="2:13">
      <c r="B2" s="15" t="s">
        <v>391</v>
      </c>
    </row>
    <row r="3" spans="2:13">
      <c r="B3" s="15" t="s">
        <v>1481</v>
      </c>
    </row>
    <row r="4" spans="2:13">
      <c r="B4" s="15"/>
    </row>
    <row r="5" spans="2:13">
      <c r="B5" s="309" t="s">
        <v>1480</v>
      </c>
      <c r="C5" s="300"/>
      <c r="D5" s="300"/>
      <c r="E5" s="300"/>
      <c r="F5" s="300"/>
      <c r="G5" s="300"/>
      <c r="H5" s="300"/>
      <c r="I5" s="300"/>
      <c r="J5" s="300"/>
      <c r="K5" s="300"/>
      <c r="L5" s="300"/>
      <c r="M5" s="300"/>
    </row>
    <row r="8" spans="2:13">
      <c r="H8" s="17"/>
      <c r="J8" s="17"/>
    </row>
    <row r="10" spans="2:13">
      <c r="B10" s="16" t="s">
        <v>383</v>
      </c>
      <c r="C10" s="16" t="s">
        <v>382</v>
      </c>
    </row>
    <row r="12" spans="2:13">
      <c r="D12" s="298" t="s">
        <v>1468</v>
      </c>
    </row>
    <row r="14" spans="2:13">
      <c r="D14" s="298" t="s">
        <v>1469</v>
      </c>
    </row>
    <row r="16" spans="2:13">
      <c r="D16" s="298" t="s">
        <v>1470</v>
      </c>
    </row>
    <row r="18" spans="4:6">
      <c r="D18" s="298" t="s">
        <v>1471</v>
      </c>
    </row>
    <row r="21" spans="4:6">
      <c r="D21" s="298" t="s">
        <v>1472</v>
      </c>
      <c r="F21" s="17"/>
    </row>
    <row r="23" spans="4:6">
      <c r="D23" s="298" t="s">
        <v>1478</v>
      </c>
    </row>
    <row r="25" spans="4:6">
      <c r="D25" s="298" t="s">
        <v>1473</v>
      </c>
    </row>
    <row r="27" spans="4:6">
      <c r="D27" s="298" t="s">
        <v>1474</v>
      </c>
    </row>
    <row r="29" spans="4:6">
      <c r="D29" s="298" t="s">
        <v>1475</v>
      </c>
    </row>
    <row r="30" spans="4:6">
      <c r="F30" s="17"/>
    </row>
    <row r="31" spans="4:6">
      <c r="D31" s="298" t="s">
        <v>1476</v>
      </c>
    </row>
    <row r="33" spans="2:13">
      <c r="D33" s="298" t="s">
        <v>1477</v>
      </c>
    </row>
    <row r="34" spans="2:13">
      <c r="G34" s="68"/>
    </row>
    <row r="36" spans="2:13">
      <c r="B36" s="67" t="s">
        <v>418</v>
      </c>
    </row>
    <row r="37" spans="2:13">
      <c r="B37" s="15" t="s">
        <v>416</v>
      </c>
    </row>
    <row r="38" spans="2:13">
      <c r="B38" s="15" t="s">
        <v>417</v>
      </c>
    </row>
    <row r="39" spans="2:13">
      <c r="B39" s="15" t="s">
        <v>1956</v>
      </c>
    </row>
    <row r="40" spans="2:13">
      <c r="B40" s="15" t="s">
        <v>399</v>
      </c>
    </row>
    <row r="41" spans="2:13">
      <c r="B41" s="299" t="s">
        <v>1479</v>
      </c>
      <c r="C41" s="300"/>
      <c r="D41" s="300"/>
      <c r="E41" s="300"/>
      <c r="F41" s="300"/>
      <c r="G41" s="300"/>
      <c r="H41" s="300"/>
      <c r="I41" s="300"/>
      <c r="J41" s="300"/>
      <c r="K41" s="300"/>
      <c r="L41" s="300"/>
      <c r="M41" s="300"/>
    </row>
    <row r="52" spans="4:4">
      <c r="D52" s="301"/>
    </row>
  </sheetData>
  <phoneticPr fontId="72" type="noConversion"/>
  <hyperlinks>
    <hyperlink ref="B2" r:id="rId1" xr:uid="{E2B289EB-57B3-4AC4-B4F7-FE064FD9BA58}"/>
    <hyperlink ref="B37" r:id="rId2" xr:uid="{0B65FCF2-94F3-4482-9A47-79347D61655C}"/>
    <hyperlink ref="B38" r:id="rId3" xr:uid="{8F17E8A8-9448-4350-B5F1-5750AA665565}"/>
    <hyperlink ref="B3" r:id="rId4" xr:uid="{3243276B-4864-460C-B9EB-B34C4E3BA126}"/>
    <hyperlink ref="B39" r:id="rId5" xr:uid="{AF2E33A8-1B8F-465C-BD11-01E0D7E5F610}"/>
    <hyperlink ref="B40" r:id="rId6" xr:uid="{3E8B2D96-1E79-44E9-8B9E-5025840746CA}"/>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43009" r:id="rId10" name="Button 1">
              <controlPr defaultSize="0" print="0" autoFill="0" autoPict="0" macro="[0]!Format_PAs_Click">
                <anchor moveWithCells="1" sizeWithCells="1">
                  <from>
                    <xdr:col>1</xdr:col>
                    <xdr:colOff>7620</xdr:colOff>
                    <xdr:row>6</xdr:row>
                    <xdr:rowOff>38100</xdr:rowOff>
                  </from>
                  <to>
                    <xdr:col>1</xdr:col>
                    <xdr:colOff>1706880</xdr:colOff>
                    <xdr:row>7</xdr:row>
                    <xdr:rowOff>114300</xdr:rowOff>
                  </to>
                </anchor>
              </controlPr>
            </control>
          </mc:Choice>
        </mc:AlternateContent>
        <mc:AlternateContent xmlns:mc="http://schemas.openxmlformats.org/markup-compatibility/2006">
          <mc:Choice Requires="x14">
            <control shapeId="43010" r:id="rId11" name="Button 2">
              <controlPr defaultSize="0" print="0" autoFill="0" autoPict="0" macro="[0]!Filter_on_Level">
                <anchor moveWithCells="1" sizeWithCells="1">
                  <from>
                    <xdr:col>1</xdr:col>
                    <xdr:colOff>30480</xdr:colOff>
                    <xdr:row>11</xdr:row>
                    <xdr:rowOff>30480</xdr:rowOff>
                  </from>
                  <to>
                    <xdr:col>1</xdr:col>
                    <xdr:colOff>1744980</xdr:colOff>
                    <xdr:row>12</xdr:row>
                    <xdr:rowOff>38100</xdr:rowOff>
                  </to>
                </anchor>
              </controlPr>
            </control>
          </mc:Choice>
        </mc:AlternateContent>
        <mc:AlternateContent xmlns:mc="http://schemas.openxmlformats.org/markup-compatibility/2006">
          <mc:Choice Requires="x14">
            <control shapeId="43011" r:id="rId12" name="Button 3">
              <controlPr defaultSize="0" print="0" autoFill="0" autoPict="0" macro="[0]!Filter_Clear">
                <anchor moveWithCells="1" sizeWithCells="1">
                  <from>
                    <xdr:col>1</xdr:col>
                    <xdr:colOff>7620</xdr:colOff>
                    <xdr:row>19</xdr:row>
                    <xdr:rowOff>182880</xdr:rowOff>
                  </from>
                  <to>
                    <xdr:col>1</xdr:col>
                    <xdr:colOff>1744980</xdr:colOff>
                    <xdr:row>21</xdr:row>
                    <xdr:rowOff>7620</xdr:rowOff>
                  </to>
                </anchor>
              </controlPr>
            </control>
          </mc:Choice>
        </mc:AlternateContent>
        <mc:AlternateContent xmlns:mc="http://schemas.openxmlformats.org/markup-compatibility/2006">
          <mc:Choice Requires="x14">
            <control shapeId="43012" r:id="rId13" name="Button 4">
              <controlPr defaultSize="0" print="0" autoFill="0" autoPict="0" macro="[0]!Filter_on_PA_level">
                <anchor moveWithCells="1" sizeWithCells="1">
                  <from>
                    <xdr:col>1</xdr:col>
                    <xdr:colOff>0</xdr:colOff>
                    <xdr:row>13</xdr:row>
                    <xdr:rowOff>0</xdr:rowOff>
                  </from>
                  <to>
                    <xdr:col>1</xdr:col>
                    <xdr:colOff>1744980</xdr:colOff>
                    <xdr:row>14</xdr:row>
                    <xdr:rowOff>30480</xdr:rowOff>
                  </to>
                </anchor>
              </controlPr>
            </control>
          </mc:Choice>
        </mc:AlternateContent>
        <mc:AlternateContent xmlns:mc="http://schemas.openxmlformats.org/markup-compatibility/2006">
          <mc:Choice Requires="x14">
            <control shapeId="43013" r:id="rId14" name="Button 5">
              <controlPr defaultSize="0" print="0" autoFill="0" autoPict="0" macro="[0]!Filter_on_Process_level">
                <anchor moveWithCells="1" sizeWithCells="1">
                  <from>
                    <xdr:col>1</xdr:col>
                    <xdr:colOff>30480</xdr:colOff>
                    <xdr:row>14</xdr:row>
                    <xdr:rowOff>160020</xdr:rowOff>
                  </from>
                  <to>
                    <xdr:col>2</xdr:col>
                    <xdr:colOff>7620</xdr:colOff>
                    <xdr:row>15</xdr:row>
                    <xdr:rowOff>182880</xdr:rowOff>
                  </to>
                </anchor>
              </controlPr>
            </control>
          </mc:Choice>
        </mc:AlternateContent>
        <mc:AlternateContent xmlns:mc="http://schemas.openxmlformats.org/markup-compatibility/2006">
          <mc:Choice Requires="x14">
            <control shapeId="43014" r:id="rId15" name="Button 6">
              <controlPr defaultSize="0" print="0" autoFill="0" autoPict="0" macro="[0]!Filter_on_PA_Instantiation_level">
                <anchor moveWithCells="1" sizeWithCells="1">
                  <from>
                    <xdr:col>1</xdr:col>
                    <xdr:colOff>7620</xdr:colOff>
                    <xdr:row>17</xdr:row>
                    <xdr:rowOff>7620</xdr:rowOff>
                  </from>
                  <to>
                    <xdr:col>1</xdr:col>
                    <xdr:colOff>1744980</xdr:colOff>
                    <xdr:row>18</xdr:row>
                    <xdr:rowOff>30480</xdr:rowOff>
                  </to>
                </anchor>
              </controlPr>
            </control>
          </mc:Choice>
        </mc:AlternateContent>
        <mc:AlternateContent xmlns:mc="http://schemas.openxmlformats.org/markup-compatibility/2006">
          <mc:Choice Requires="x14">
            <control shapeId="43015" r:id="rId16" name="Button 7">
              <controlPr defaultSize="0" print="0" autoFill="0" autoPict="0" macro="[0]!Set_char_for_level">
                <anchor moveWithCells="1" sizeWithCells="1">
                  <from>
                    <xdr:col>1</xdr:col>
                    <xdr:colOff>30480</xdr:colOff>
                    <xdr:row>24</xdr:row>
                    <xdr:rowOff>30480</xdr:rowOff>
                  </from>
                  <to>
                    <xdr:col>2</xdr:col>
                    <xdr:colOff>7620</xdr:colOff>
                    <xdr:row>25</xdr:row>
                    <xdr:rowOff>30480</xdr:rowOff>
                  </to>
                </anchor>
              </controlPr>
            </control>
          </mc:Choice>
        </mc:AlternateContent>
        <mc:AlternateContent xmlns:mc="http://schemas.openxmlformats.org/markup-compatibility/2006">
          <mc:Choice Requires="x14">
            <control shapeId="43016" r:id="rId17" name="Button 8">
              <controlPr defaultSize="0" print="0" autoFill="0" autoPict="0" macro="[0]!Clear_char_for_level">
                <anchor moveWithCells="1" sizeWithCells="1">
                  <from>
                    <xdr:col>1</xdr:col>
                    <xdr:colOff>30480</xdr:colOff>
                    <xdr:row>22</xdr:row>
                    <xdr:rowOff>30480</xdr:rowOff>
                  </from>
                  <to>
                    <xdr:col>1</xdr:col>
                    <xdr:colOff>1706880</xdr:colOff>
                    <xdr:row>23</xdr:row>
                    <xdr:rowOff>7620</xdr:rowOff>
                  </to>
                </anchor>
              </controlPr>
            </control>
          </mc:Choice>
        </mc:AlternateContent>
        <mc:AlternateContent xmlns:mc="http://schemas.openxmlformats.org/markup-compatibility/2006">
          <mc:Choice Requires="x14">
            <control shapeId="43017" r:id="rId18" name="Button 9">
              <controlPr defaultSize="0" print="0" autoFill="0" autoPict="0" macro="[0]!Set_char_for_Prac_OU">
                <anchor moveWithCells="1" sizeWithCells="1">
                  <from>
                    <xdr:col>1</xdr:col>
                    <xdr:colOff>7620</xdr:colOff>
                    <xdr:row>29</xdr:row>
                    <xdr:rowOff>182880</xdr:rowOff>
                  </from>
                  <to>
                    <xdr:col>2</xdr:col>
                    <xdr:colOff>0</xdr:colOff>
                    <xdr:row>31</xdr:row>
                    <xdr:rowOff>7620</xdr:rowOff>
                  </to>
                </anchor>
              </controlPr>
            </control>
          </mc:Choice>
        </mc:AlternateContent>
        <mc:AlternateContent xmlns:mc="http://schemas.openxmlformats.org/markup-compatibility/2006">
          <mc:Choice Requires="x14">
            <control shapeId="43018" r:id="rId19" name="Button 10">
              <controlPr defaultSize="0" print="0" autoFill="0" autoPict="0" macro="[0]!Clear_char_for_Prac_OU">
                <anchor moveWithCells="1" sizeWithCells="1">
                  <from>
                    <xdr:col>0</xdr:col>
                    <xdr:colOff>762000</xdr:colOff>
                    <xdr:row>27</xdr:row>
                    <xdr:rowOff>182880</xdr:rowOff>
                  </from>
                  <to>
                    <xdr:col>1</xdr:col>
                    <xdr:colOff>1744980</xdr:colOff>
                    <xdr:row>28</xdr:row>
                    <xdr:rowOff>182880</xdr:rowOff>
                  </to>
                </anchor>
              </controlPr>
            </control>
          </mc:Choice>
        </mc:AlternateContent>
        <mc:AlternateContent xmlns:mc="http://schemas.openxmlformats.org/markup-compatibility/2006">
          <mc:Choice Requires="x14">
            <control shapeId="43019" r:id="rId20" name="Button 11">
              <controlPr defaultSize="0" print="0" autoFill="0" autoPict="0" macro="[0]!Set_char_for_Prac_instantiation">
                <anchor moveWithCells="1" sizeWithCells="1">
                  <from>
                    <xdr:col>1</xdr:col>
                    <xdr:colOff>30480</xdr:colOff>
                    <xdr:row>26</xdr:row>
                    <xdr:rowOff>38100</xdr:rowOff>
                  </from>
                  <to>
                    <xdr:col>2</xdr:col>
                    <xdr:colOff>0</xdr:colOff>
                    <xdr:row>27</xdr:row>
                    <xdr:rowOff>7620</xdr:rowOff>
                  </to>
                </anchor>
              </controlPr>
            </control>
          </mc:Choice>
        </mc:AlternateContent>
        <mc:AlternateContent xmlns:mc="http://schemas.openxmlformats.org/markup-compatibility/2006">
          <mc:Choice Requires="x14">
            <control shapeId="43020" r:id="rId21" name="Button 12">
              <controlPr defaultSize="0" print="0" autoFill="0" autoPict="0" macro="[0]!Clear_char_for_Prac_instantiation">
                <anchor moveWithCells="1" sizeWithCells="1">
                  <from>
                    <xdr:col>1</xdr:col>
                    <xdr:colOff>0</xdr:colOff>
                    <xdr:row>32</xdr:row>
                    <xdr:rowOff>7620</xdr:rowOff>
                  </from>
                  <to>
                    <xdr:col>2</xdr:col>
                    <xdr:colOff>7620</xdr:colOff>
                    <xdr:row>33</xdr:row>
                    <xdr:rowOff>38100</xdr:rowOff>
                  </to>
                </anchor>
              </controlPr>
            </control>
          </mc:Choice>
        </mc:AlternateContent>
        <mc:AlternateContent xmlns:mc="http://schemas.openxmlformats.org/markup-compatibility/2006">
          <mc:Choice Requires="x14">
            <control shapeId="43021" r:id="rId22" name="Button 13">
              <controlPr defaultSize="0" print="0" autoFill="0" autoPict="0" macro="[0]!ShowAllTVSheets">
                <anchor moveWithCells="1" sizeWithCells="1">
                  <from>
                    <xdr:col>1</xdr:col>
                    <xdr:colOff>38100</xdr:colOff>
                    <xdr:row>42</xdr:row>
                    <xdr:rowOff>0</xdr:rowOff>
                  </from>
                  <to>
                    <xdr:col>1</xdr:col>
                    <xdr:colOff>1722120</xdr:colOff>
                    <xdr:row>43</xdr:row>
                    <xdr:rowOff>30480</xdr:rowOff>
                  </to>
                </anchor>
              </controlPr>
            </control>
          </mc:Choice>
        </mc:AlternateContent>
        <mc:AlternateContent xmlns:mc="http://schemas.openxmlformats.org/markup-compatibility/2006">
          <mc:Choice Requires="x14">
            <control shapeId="43022" r:id="rId23" name="Button 14">
              <controlPr defaultSize="0" print="0" autoFill="0" autoPict="0" macro="[0]!HideAllTVSheets">
                <anchor moveWithCells="1" sizeWithCells="1">
                  <from>
                    <xdr:col>1</xdr:col>
                    <xdr:colOff>38100</xdr:colOff>
                    <xdr:row>44</xdr:row>
                    <xdr:rowOff>7620</xdr:rowOff>
                  </from>
                  <to>
                    <xdr:col>1</xdr:col>
                    <xdr:colOff>1744980</xdr:colOff>
                    <xdr:row>45</xdr:row>
                    <xdr:rowOff>30480</xdr:rowOff>
                  </to>
                </anchor>
              </controlPr>
            </control>
          </mc:Choice>
        </mc:AlternateContent>
        <mc:AlternateContent xmlns:mc="http://schemas.openxmlformats.org/markup-compatibility/2006">
          <mc:Choice Requires="x14">
            <control shapeId="43023" r:id="rId24" name="Button 15">
              <controlPr defaultSize="0" print="0" autoFill="0" autoPict="0" macro="[0]!builTVsheets">
                <anchor moveWithCells="1" sizeWithCells="1">
                  <from>
                    <xdr:col>1</xdr:col>
                    <xdr:colOff>30480</xdr:colOff>
                    <xdr:row>46</xdr:row>
                    <xdr:rowOff>7620</xdr:rowOff>
                  </from>
                  <to>
                    <xdr:col>1</xdr:col>
                    <xdr:colOff>1722120</xdr:colOff>
                    <xdr:row>47</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8DB2A-75A3-422F-8789-4964FF8C0B35}">
  <sheetPr codeName="Sheet1">
    <tabColor rgb="FFFF660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4.6640625" style="77" customWidth="1"/>
    <col min="2" max="4" width="7.88671875" style="77" customWidth="1"/>
    <col min="5" max="13" width="15.6640625" style="77" customWidth="1"/>
    <col min="14" max="14" width="18" style="77" customWidth="1"/>
    <col min="15" max="15" width="82.88671875" style="77" customWidth="1"/>
    <col min="16" max="16" width="3.6640625" style="77" customWidth="1"/>
    <col min="17" max="17" width="25.6640625" style="77" customWidth="1"/>
    <col min="18" max="18" width="88.6640625" style="77" customWidth="1"/>
    <col min="19" max="20" width="20.6640625" style="77" customWidth="1"/>
    <col min="21" max="21" width="64.33203125" style="77" hidden="1" customWidth="1"/>
    <col min="22" max="16384" width="8.6640625" style="77"/>
  </cols>
  <sheetData>
    <row r="1" spans="1:27" ht="18">
      <c r="A1" s="72" t="s">
        <v>537</v>
      </c>
      <c r="B1" s="72"/>
      <c r="C1" s="72"/>
      <c r="D1" s="72"/>
      <c r="E1" s="73"/>
      <c r="F1" s="74"/>
      <c r="G1" s="75"/>
      <c r="H1" s="76"/>
      <c r="I1" s="76"/>
      <c r="J1" s="76"/>
      <c r="K1" s="76"/>
      <c r="L1" s="76"/>
      <c r="M1" s="76"/>
      <c r="N1" s="76"/>
      <c r="O1" s="76"/>
      <c r="P1" s="76"/>
      <c r="Q1" s="76"/>
    </row>
    <row r="2" spans="1:27">
      <c r="A2" s="78" t="s">
        <v>447</v>
      </c>
      <c r="B2" s="78"/>
      <c r="C2" s="78"/>
      <c r="D2" s="78"/>
      <c r="E2" s="74" t="s">
        <v>142</v>
      </c>
      <c r="F2" s="74"/>
      <c r="G2" s="75"/>
      <c r="H2" s="76"/>
      <c r="I2" s="76"/>
      <c r="J2" s="76"/>
      <c r="K2" s="76"/>
      <c r="L2" s="76"/>
      <c r="M2" s="76"/>
      <c r="N2" s="76"/>
      <c r="O2" s="76"/>
      <c r="P2" s="76"/>
      <c r="Q2" s="76"/>
    </row>
    <row r="3" spans="1:27">
      <c r="A3" s="74" t="s">
        <v>448</v>
      </c>
      <c r="B3" s="74"/>
      <c r="C3" s="74"/>
      <c r="D3" s="74"/>
      <c r="E3" s="74" t="s">
        <v>538</v>
      </c>
      <c r="F3" s="74"/>
      <c r="G3" s="75"/>
      <c r="H3" s="76"/>
      <c r="I3" s="76"/>
      <c r="J3" s="76"/>
      <c r="K3" s="76"/>
      <c r="L3" s="76"/>
      <c r="M3" s="76"/>
      <c r="N3" s="76"/>
      <c r="O3" s="76"/>
      <c r="P3" s="76"/>
      <c r="Q3" s="76"/>
    </row>
    <row r="4" spans="1:27">
      <c r="A4" s="79"/>
      <c r="B4" s="79"/>
      <c r="C4" s="79"/>
      <c r="D4" s="79"/>
      <c r="E4" s="80" t="s">
        <v>47</v>
      </c>
      <c r="F4" s="81" t="s">
        <v>54</v>
      </c>
      <c r="G4" s="81"/>
      <c r="H4" s="82"/>
      <c r="I4" s="83" t="s">
        <v>56</v>
      </c>
      <c r="J4" s="84"/>
      <c r="K4" s="84"/>
      <c r="L4" s="84"/>
      <c r="M4" s="83"/>
      <c r="N4" s="83"/>
      <c r="O4" s="74"/>
      <c r="P4" s="74"/>
      <c r="Q4" s="74"/>
      <c r="R4" s="74"/>
      <c r="S4" s="74"/>
      <c r="T4" s="78"/>
    </row>
    <row r="5" spans="1:27">
      <c r="A5" s="85"/>
      <c r="B5" s="85"/>
      <c r="C5" s="85"/>
      <c r="D5" s="85"/>
      <c r="E5" s="86" t="s">
        <v>539</v>
      </c>
      <c r="F5" s="87" t="s">
        <v>540</v>
      </c>
      <c r="G5" s="87"/>
      <c r="H5" s="82"/>
      <c r="I5" s="83" t="s">
        <v>541</v>
      </c>
      <c r="J5" s="84"/>
      <c r="K5" s="84"/>
      <c r="L5" s="84"/>
      <c r="M5" s="88"/>
      <c r="N5" s="88"/>
      <c r="O5" s="76"/>
      <c r="P5" s="76"/>
      <c r="Q5" s="76"/>
      <c r="R5" s="85"/>
      <c r="S5" s="74"/>
      <c r="T5" s="78"/>
      <c r="U5" s="85"/>
    </row>
    <row r="6" spans="1:27" s="95" customFormat="1">
      <c r="A6" s="89"/>
      <c r="B6" s="89"/>
      <c r="C6" s="89"/>
      <c r="D6" s="89"/>
      <c r="E6" s="3" t="s">
        <v>143</v>
      </c>
      <c r="F6" s="90" t="s">
        <v>145</v>
      </c>
      <c r="G6" s="90" t="s">
        <v>147</v>
      </c>
      <c r="H6" s="90" t="s">
        <v>148</v>
      </c>
      <c r="I6" s="91" t="s">
        <v>149</v>
      </c>
      <c r="J6" s="91" t="s">
        <v>150</v>
      </c>
      <c r="K6" s="91" t="s">
        <v>151</v>
      </c>
      <c r="L6" s="91" t="s">
        <v>152</v>
      </c>
      <c r="M6" s="91" t="s">
        <v>153</v>
      </c>
      <c r="N6" s="92" t="s">
        <v>154</v>
      </c>
      <c r="O6" s="93"/>
      <c r="P6" s="93"/>
      <c r="Q6" s="93"/>
      <c r="R6" s="94"/>
      <c r="S6" s="94"/>
      <c r="T6" s="94"/>
    </row>
    <row r="7" spans="1:27" s="95" customFormat="1" ht="69.900000000000006" customHeight="1">
      <c r="A7" s="96" t="s">
        <v>542</v>
      </c>
      <c r="B7" s="96"/>
      <c r="C7" s="96"/>
      <c r="D7" s="96"/>
      <c r="E7" s="97" t="s">
        <v>543</v>
      </c>
      <c r="F7" s="97" t="s">
        <v>544</v>
      </c>
      <c r="G7" s="97" t="s">
        <v>545</v>
      </c>
      <c r="H7" s="97" t="s">
        <v>546</v>
      </c>
      <c r="I7" s="97" t="s">
        <v>547</v>
      </c>
      <c r="J7" s="97" t="s">
        <v>548</v>
      </c>
      <c r="K7" s="97" t="s">
        <v>549</v>
      </c>
      <c r="L7" s="97" t="s">
        <v>550</v>
      </c>
      <c r="M7" s="97" t="s">
        <v>551</v>
      </c>
      <c r="N7" s="97" t="s">
        <v>552</v>
      </c>
      <c r="O7" s="93"/>
      <c r="P7" s="93"/>
      <c r="Q7" s="93"/>
    </row>
    <row r="8" spans="1:27" s="95" customFormat="1" ht="110.4" customHeight="1">
      <c r="A8" s="89" t="s">
        <v>553</v>
      </c>
      <c r="B8" s="89"/>
      <c r="C8" s="89"/>
      <c r="D8" s="89"/>
      <c r="E8" s="98" t="s">
        <v>554</v>
      </c>
      <c r="F8" s="98" t="s">
        <v>555</v>
      </c>
      <c r="G8" s="98" t="s">
        <v>556</v>
      </c>
      <c r="H8" s="98" t="s">
        <v>557</v>
      </c>
      <c r="I8" s="98" t="s">
        <v>558</v>
      </c>
      <c r="J8" s="98" t="s">
        <v>559</v>
      </c>
      <c r="K8" s="98" t="s">
        <v>560</v>
      </c>
      <c r="L8" s="98" t="s">
        <v>561</v>
      </c>
      <c r="M8" s="98" t="s">
        <v>562</v>
      </c>
      <c r="N8" s="98" t="s">
        <v>563</v>
      </c>
      <c r="O8" s="99"/>
      <c r="P8" s="99"/>
      <c r="Q8" s="99"/>
    </row>
    <row r="9" spans="1:27" s="95" customFormat="1" ht="228">
      <c r="A9" s="89" t="s">
        <v>96</v>
      </c>
      <c r="B9" s="89"/>
      <c r="C9" s="89"/>
      <c r="D9" s="89"/>
      <c r="E9" s="98" t="s">
        <v>564</v>
      </c>
      <c r="F9" s="98" t="s">
        <v>565</v>
      </c>
      <c r="G9" s="98" t="s">
        <v>566</v>
      </c>
      <c r="H9" s="98" t="s">
        <v>567</v>
      </c>
      <c r="I9" s="98" t="s">
        <v>568</v>
      </c>
      <c r="J9" s="98" t="s">
        <v>569</v>
      </c>
      <c r="K9" s="98" t="s">
        <v>570</v>
      </c>
      <c r="L9" s="98" t="s">
        <v>571</v>
      </c>
      <c r="M9" s="98" t="s">
        <v>572</v>
      </c>
      <c r="N9" s="98" t="s">
        <v>573</v>
      </c>
      <c r="O9" s="99"/>
      <c r="P9" s="99"/>
      <c r="Q9" s="99"/>
    </row>
    <row r="10" spans="1:27" s="95" customFormat="1" ht="96.6">
      <c r="A10" s="89" t="s">
        <v>574</v>
      </c>
      <c r="B10" s="89"/>
      <c r="C10" s="89"/>
      <c r="D10" s="89"/>
      <c r="E10" s="102"/>
      <c r="F10" s="102" t="s">
        <v>575</v>
      </c>
      <c r="G10" s="102" t="s">
        <v>576</v>
      </c>
      <c r="H10" s="102" t="s">
        <v>577</v>
      </c>
      <c r="I10" s="102" t="s">
        <v>578</v>
      </c>
      <c r="J10" s="102" t="s">
        <v>579</v>
      </c>
      <c r="K10" s="102" t="s">
        <v>580</v>
      </c>
      <c r="L10" s="102" t="s">
        <v>581</v>
      </c>
      <c r="M10" s="102" t="s">
        <v>582</v>
      </c>
      <c r="N10" s="103" t="s">
        <v>583</v>
      </c>
      <c r="O10" s="93"/>
      <c r="P10" s="93"/>
      <c r="Q10" s="93"/>
    </row>
    <row r="11" spans="1:27" s="95" customFormat="1" ht="55.2">
      <c r="A11" s="104" t="s">
        <v>85</v>
      </c>
      <c r="B11" s="104"/>
      <c r="C11" s="104"/>
      <c r="D11" s="104"/>
      <c r="E11" s="102"/>
      <c r="F11" s="102" t="s">
        <v>584</v>
      </c>
      <c r="G11" s="102" t="s">
        <v>585</v>
      </c>
      <c r="H11" s="102" t="s">
        <v>586</v>
      </c>
      <c r="I11" s="102" t="s">
        <v>587</v>
      </c>
      <c r="J11" s="102" t="s">
        <v>588</v>
      </c>
      <c r="K11" s="102" t="s">
        <v>589</v>
      </c>
      <c r="L11" s="102" t="s">
        <v>590</v>
      </c>
      <c r="M11" s="102" t="s">
        <v>591</v>
      </c>
      <c r="N11" s="103" t="s">
        <v>592</v>
      </c>
      <c r="O11" s="93"/>
      <c r="P11" s="93"/>
      <c r="Q11" s="93"/>
    </row>
    <row r="15" spans="1:27" customFormat="1">
      <c r="A15" t="s">
        <v>443</v>
      </c>
      <c r="B15" t="s">
        <v>104</v>
      </c>
      <c r="C15" t="s">
        <v>105</v>
      </c>
      <c r="D15" s="295" t="s">
        <v>442</v>
      </c>
      <c r="E15" s="14" t="s">
        <v>143</v>
      </c>
      <c r="F15" s="14" t="s">
        <v>145</v>
      </c>
      <c r="G15" s="14" t="s">
        <v>147</v>
      </c>
      <c r="H15" s="14" t="s">
        <v>148</v>
      </c>
      <c r="I15" s="14" t="s">
        <v>149</v>
      </c>
      <c r="J15" s="14" t="s">
        <v>150</v>
      </c>
      <c r="K15" s="14" t="s">
        <v>151</v>
      </c>
      <c r="L15" s="14" t="s">
        <v>152</v>
      </c>
      <c r="M15" s="14" t="s">
        <v>153</v>
      </c>
      <c r="N15" s="14" t="s">
        <v>154</v>
      </c>
    </row>
    <row r="16" spans="1:27">
      <c r="A16" t="s">
        <v>536</v>
      </c>
      <c r="B16" s="15" t="s">
        <v>104</v>
      </c>
      <c r="C16" s="15" t="str">
        <f>HYPERLINK("02-项目级\P2-Qcubic to MySQL数据同步工具 V1.0\01-生存周期\05-设计\01-概要设计书(QCUBIC-SJTB-TS-BD)V1.0-engl.docx", "engl")</f>
        <v>engl</v>
      </c>
      <c r="D16"/>
      <c r="E16" t="s">
        <v>426</v>
      </c>
      <c r="F16" t="s">
        <v>426</v>
      </c>
      <c r="G16" t="s">
        <v>426</v>
      </c>
      <c r="H16"/>
      <c r="I16" t="s">
        <v>426</v>
      </c>
      <c r="J16" t="s">
        <v>426</v>
      </c>
      <c r="K16" t="s">
        <v>426</v>
      </c>
      <c r="L16" t="s">
        <v>426</v>
      </c>
      <c r="M16" t="s">
        <v>426</v>
      </c>
      <c r="N16" t="s">
        <v>426</v>
      </c>
      <c r="O16"/>
      <c r="P16"/>
      <c r="Q16"/>
      <c r="R16"/>
      <c r="S16"/>
      <c r="T16"/>
      <c r="U16"/>
      <c r="V16"/>
      <c r="W16"/>
      <c r="X16"/>
      <c r="Y16"/>
      <c r="Z16"/>
      <c r="AA16"/>
    </row>
    <row r="17" spans="1:27">
      <c r="A17" t="s">
        <v>536</v>
      </c>
      <c r="B17" s="15" t="s">
        <v>104</v>
      </c>
      <c r="C17" s="15" t="str">
        <f>HYPERLINK("02-项目级\P2-Qcubic to MySQL数据同步工具 V1.0\01-生存周期\05-设计\03-详细设计说明书(QCUBIC-SJTB-TS-DD)V1.0-engl.docx", "engl")</f>
        <v>engl</v>
      </c>
      <c r="D17"/>
      <c r="E17" t="s">
        <v>426</v>
      </c>
      <c r="F17" t="s">
        <v>426</v>
      </c>
      <c r="G17" t="s">
        <v>426</v>
      </c>
      <c r="H17"/>
      <c r="I17" t="s">
        <v>426</v>
      </c>
      <c r="J17" t="s">
        <v>426</v>
      </c>
      <c r="K17" t="s">
        <v>426</v>
      </c>
      <c r="L17" t="s">
        <v>426</v>
      </c>
      <c r="M17" t="s">
        <v>426</v>
      </c>
      <c r="N17" t="s">
        <v>426</v>
      </c>
      <c r="O17"/>
      <c r="P17"/>
      <c r="Q17"/>
      <c r="R17"/>
      <c r="S17"/>
      <c r="T17"/>
      <c r="U17"/>
      <c r="V17"/>
      <c r="W17"/>
      <c r="X17"/>
      <c r="Y17"/>
      <c r="Z17"/>
      <c r="AA17"/>
    </row>
    <row r="18" spans="1:27">
      <c r="A18" t="s">
        <v>536</v>
      </c>
      <c r="B18" s="15" t="s">
        <v>104</v>
      </c>
      <c r="C18" s="15" t="str">
        <f>HYPERLINK("02-项目级\P2-Qcubic to MySQL数据同步工具 V1.0\02-全程管理\05-评审管理\05-设计评审\01-概要设计说明书\05-评审报告_概要设计书(QCUBIC-SJTB-PR-ReviewRpt)V1.1-engl.xlsx", "engl")</f>
        <v>engl</v>
      </c>
      <c r="D18"/>
      <c r="E18"/>
      <c r="F18"/>
      <c r="G18" t="s">
        <v>426</v>
      </c>
      <c r="H18"/>
      <c r="I18"/>
      <c r="J18"/>
      <c r="K18"/>
      <c r="L18"/>
      <c r="M18"/>
      <c r="N18"/>
      <c r="O18"/>
      <c r="P18"/>
      <c r="Q18"/>
      <c r="R18"/>
      <c r="S18"/>
      <c r="T18"/>
      <c r="U18"/>
      <c r="V18"/>
      <c r="W18"/>
      <c r="X18"/>
      <c r="Y18"/>
      <c r="Z18"/>
      <c r="AA18"/>
    </row>
    <row r="19" spans="1:27">
      <c r="A19" t="s">
        <v>536</v>
      </c>
      <c r="B19" s="15" t="s">
        <v>104</v>
      </c>
      <c r="C19" s="15" t="str">
        <f>HYPERLINK("02-项目级\P2-Qcubic to MySQL数据同步工具 V1.0\02-全程管理\05-评审管理\05-设计评审\02-详细设计说明书\05-评审报告_详细设计(QCUBIC-SJTB-PR-ReviewRpt)V1.1-engl.xlsx", "engl")</f>
        <v>engl</v>
      </c>
      <c r="D19"/>
      <c r="E19"/>
      <c r="F19"/>
      <c r="G19" t="s">
        <v>426</v>
      </c>
      <c r="H19"/>
      <c r="I19"/>
      <c r="J19"/>
      <c r="K19"/>
      <c r="L19"/>
      <c r="M19"/>
      <c r="N19"/>
      <c r="O19"/>
      <c r="P19"/>
      <c r="Q19"/>
      <c r="R19"/>
      <c r="S19"/>
      <c r="T19"/>
      <c r="U19"/>
      <c r="V19"/>
      <c r="W19"/>
      <c r="X19"/>
      <c r="Y19"/>
      <c r="Z19"/>
      <c r="AA19"/>
    </row>
    <row r="20" spans="1:27">
      <c r="A20" t="s">
        <v>536</v>
      </c>
      <c r="B20" s="15" t="s">
        <v>104</v>
      </c>
      <c r="C20" s="15" t="str">
        <f>HYPERLINK("02-项目级\P2-Qcubic to MySQL数据同步工具 V1.0\01-生存周期\05-设计\04-用户手册(QCUBIC-SJTB-TS-Tem-UserMPMnual)V1.0-engl.docx", "engl")</f>
        <v>engl</v>
      </c>
      <c r="D20"/>
      <c r="E20"/>
      <c r="F20"/>
      <c r="G20"/>
      <c r="H20" t="s">
        <v>426</v>
      </c>
      <c r="I20"/>
      <c r="J20"/>
      <c r="K20"/>
      <c r="L20"/>
      <c r="M20"/>
      <c r="N20"/>
      <c r="O20"/>
      <c r="P20"/>
      <c r="Q20"/>
      <c r="R20"/>
      <c r="S20"/>
      <c r="T20"/>
      <c r="U20"/>
      <c r="V20"/>
      <c r="W20"/>
      <c r="X20"/>
      <c r="Y20"/>
      <c r="Z20"/>
      <c r="AA20"/>
    </row>
    <row r="21" spans="1:27">
      <c r="A21" t="s">
        <v>536</v>
      </c>
      <c r="B21" s="15" t="s">
        <v>104</v>
      </c>
      <c r="C21" s="15" t="str">
        <f>HYPERLINK("01-组织级\01-组织财富库\01-标准过程文件库\02-软件工程规范\03-设计\设计过程文件(QCUBIC-SPI-TS-Proc-Design)V1.2-engl.docx", "engl")</f>
        <v>engl</v>
      </c>
      <c r="D21"/>
      <c r="E21"/>
      <c r="F21"/>
      <c r="G21"/>
      <c r="H21"/>
      <c r="I21" t="s">
        <v>426</v>
      </c>
      <c r="J21"/>
      <c r="K21"/>
      <c r="L21"/>
      <c r="M21"/>
      <c r="N21"/>
      <c r="O21"/>
      <c r="P21"/>
      <c r="Q21"/>
      <c r="R21"/>
      <c r="S21"/>
      <c r="T21"/>
      <c r="U21"/>
      <c r="V21"/>
      <c r="W21"/>
      <c r="X21"/>
      <c r="Y21"/>
      <c r="Z21"/>
      <c r="AA21"/>
    </row>
    <row r="22" spans="1:27">
      <c r="A22" t="s">
        <v>536</v>
      </c>
      <c r="B22" s="15" t="s">
        <v>104</v>
      </c>
      <c r="C22" s="15" t="str">
        <f>HYPERLINK("02-项目级\P2-Qcubic to MySQL数据同步工具 V1.0\02-全程管理\04-决策分析\01-决策分析报告（QCUBIC-SJTB-dar-evaluaterpt)V1.0-engl.xlsx", "engl")</f>
        <v>engl</v>
      </c>
      <c r="D22"/>
      <c r="E22"/>
      <c r="F22"/>
      <c r="G22"/>
      <c r="H22"/>
      <c r="I22"/>
      <c r="J22" t="s">
        <v>426</v>
      </c>
      <c r="K22"/>
      <c r="L22" t="s">
        <v>426</v>
      </c>
      <c r="M22"/>
      <c r="N22"/>
      <c r="O22"/>
      <c r="P22"/>
      <c r="Q22"/>
      <c r="R22"/>
      <c r="S22"/>
      <c r="T22"/>
      <c r="U22"/>
      <c r="V22"/>
      <c r="W22"/>
      <c r="X22"/>
      <c r="Y22"/>
      <c r="Z22"/>
      <c r="AA22"/>
    </row>
    <row r="23" spans="1:27">
      <c r="A23" t="s">
        <v>536</v>
      </c>
      <c r="B23" s="15" t="s">
        <v>104</v>
      </c>
      <c r="C23" s="15" t="str">
        <f>HYPERLINK("02-项目级\P2-Qcubic to MySQL数据同步工具 V1.0\01-生存周期\05-设计\05-购买,复用,自制评价表(QCUBIC-SJTB-TS-Purchase, reuse, self-made evaluation)V1.0-engl.xlsx", "engl")</f>
        <v>engl</v>
      </c>
      <c r="D23"/>
      <c r="E23"/>
      <c r="F23"/>
      <c r="G23"/>
      <c r="H23"/>
      <c r="I23"/>
      <c r="J23"/>
      <c r="K23" t="s">
        <v>426</v>
      </c>
      <c r="L23"/>
      <c r="M23"/>
      <c r="N23"/>
      <c r="O23"/>
      <c r="P23"/>
      <c r="Q23"/>
      <c r="R23"/>
      <c r="S23"/>
      <c r="T23"/>
      <c r="U23"/>
      <c r="V23"/>
      <c r="W23"/>
      <c r="X23"/>
      <c r="Y23"/>
      <c r="Z23"/>
      <c r="AA23"/>
    </row>
    <row r="24" spans="1:27">
      <c r="A24" t="s">
        <v>536</v>
      </c>
      <c r="B24" s="15" t="s">
        <v>104</v>
      </c>
      <c r="C24" s="15" t="str">
        <f>HYPERLINK("01-组织级\01-组织财富库\01-标准过程文件库\02-软件工程规范\03-设计\设计规范(QCUBIC-SPI-TS-Std-Design)V1.2-engl.docx", "engl")</f>
        <v>engl</v>
      </c>
      <c r="D24"/>
      <c r="E24"/>
      <c r="F24"/>
      <c r="G24"/>
      <c r="H24"/>
      <c r="I24"/>
      <c r="J24"/>
      <c r="K24"/>
      <c r="L24"/>
      <c r="M24"/>
      <c r="N24" t="s">
        <v>426</v>
      </c>
      <c r="O24"/>
      <c r="P24"/>
      <c r="Q24"/>
      <c r="R24"/>
      <c r="S24"/>
      <c r="T24"/>
      <c r="U24"/>
      <c r="V24"/>
      <c r="W24"/>
      <c r="X24"/>
      <c r="Y24"/>
      <c r="Z24"/>
      <c r="AA24"/>
    </row>
    <row r="25" spans="1:27">
      <c r="A25" t="s">
        <v>536</v>
      </c>
      <c r="B25" s="15" t="s">
        <v>104</v>
      </c>
      <c r="C25" s="15" t="str">
        <f>HYPERLINK("01-组织级\01-组织财富库\01-标准过程文件库\02-软件工程规范\03-设计\设计指南(QCUBIC-SPI-TS-Guid-Design)V1.2-engl.docx", "engl")</f>
        <v>engl</v>
      </c>
      <c r="D25"/>
      <c r="E25"/>
      <c r="F25"/>
      <c r="G25"/>
      <c r="H25"/>
      <c r="I25"/>
      <c r="J25"/>
      <c r="K25"/>
      <c r="L25"/>
      <c r="M25"/>
      <c r="N25" t="s">
        <v>426</v>
      </c>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85AF0877-3CFB-47BF-8E9F-0D9341E0D197}"/>
    <hyperlink ref="B17" r:id="rId2" xr:uid="{E490767F-1011-4D55-B4BE-38F2238FE70B}"/>
    <hyperlink ref="B18" r:id="rId3" xr:uid="{E839397A-B0A6-4A83-8D12-A1398BA7E865}"/>
    <hyperlink ref="B19" r:id="rId4" xr:uid="{318AF12D-253E-41F4-9EEF-286E8A98E8C0}"/>
    <hyperlink ref="B20" r:id="rId5" xr:uid="{CCE65270-F156-45CB-9A28-16ABCA7105D8}"/>
    <hyperlink ref="B21" r:id="rId6" xr:uid="{D73B745A-A79A-4920-8F95-9875A1DF3315}"/>
    <hyperlink ref="B22" r:id="rId7" xr:uid="{80D59632-8779-46F7-BF95-76C4EAE13876}"/>
    <hyperlink ref="B23" r:id="rId8" xr:uid="{98EE996E-571C-4F95-8357-B5EEA88BDEA5}"/>
    <hyperlink ref="B24" r:id="rId9" xr:uid="{4385AA62-0AA3-4166-B685-CF38DA0A8063}"/>
    <hyperlink ref="B25" r:id="rId10" xr:uid="{BB20CCF2-93A2-4CF3-A862-A12C818DD445}"/>
  </hyperlinks>
  <pageMargins left="0.7" right="0.7" top="0.75" bottom="0.75" header="0.3" footer="0.3"/>
  <pageSetup orientation="portrait" horizontalDpi="300" verticalDpi="300" r:id="rId1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E9652-76D8-41D3-9BE8-1E06E239B99E}">
  <sheetPr codeName="Sheet9">
    <tabColor rgb="FFFF6600"/>
  </sheetPr>
  <dimension ref="A1:AA100"/>
  <sheetViews>
    <sheetView zoomScale="70" zoomScaleNormal="70"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2.44140625" style="109" customWidth="1"/>
    <col min="2" max="4" width="7.88671875" style="109" customWidth="1"/>
    <col min="5" max="14" width="15.6640625" style="109" customWidth="1"/>
    <col min="15" max="15" width="70.88671875" style="109" customWidth="1"/>
    <col min="16" max="16" width="3.6640625" style="109" customWidth="1"/>
    <col min="17" max="17" width="32.33203125" style="109" customWidth="1"/>
    <col min="18" max="18" width="96.5546875" style="109" customWidth="1"/>
    <col min="19" max="19" width="8.6640625" style="109"/>
    <col min="20" max="20" width="10.33203125" style="109" bestFit="1" customWidth="1"/>
    <col min="21" max="21" width="20.44140625" style="109" bestFit="1" customWidth="1"/>
    <col min="22" max="16384" width="8.6640625" style="109"/>
  </cols>
  <sheetData>
    <row r="1" spans="1:27" ht="18">
      <c r="A1" s="105" t="s">
        <v>593</v>
      </c>
      <c r="B1" s="105"/>
      <c r="C1" s="105"/>
      <c r="D1" s="105"/>
      <c r="E1" s="106"/>
      <c r="F1" s="107"/>
      <c r="G1" s="108"/>
      <c r="H1" s="108"/>
      <c r="I1" s="108"/>
      <c r="J1" s="108"/>
      <c r="K1" s="108"/>
      <c r="L1" s="108"/>
      <c r="M1" s="108"/>
      <c r="N1" s="108"/>
      <c r="O1" s="108"/>
      <c r="P1" s="108"/>
      <c r="Q1" s="108"/>
    </row>
    <row r="2" spans="1:27">
      <c r="A2" s="110" t="s">
        <v>447</v>
      </c>
      <c r="B2" s="110"/>
      <c r="C2" s="110"/>
      <c r="D2" s="110"/>
      <c r="E2" s="107" t="s">
        <v>124</v>
      </c>
      <c r="F2" s="107"/>
      <c r="G2" s="108"/>
      <c r="H2" s="108"/>
      <c r="I2" s="108"/>
      <c r="J2" s="108"/>
      <c r="K2" s="108"/>
      <c r="L2" s="108"/>
      <c r="M2" s="108"/>
      <c r="N2" s="108"/>
      <c r="O2" s="108"/>
      <c r="P2" s="108"/>
      <c r="Q2" s="108"/>
    </row>
    <row r="3" spans="1:27">
      <c r="A3" s="107" t="s">
        <v>448</v>
      </c>
      <c r="B3" s="107"/>
      <c r="C3" s="107"/>
      <c r="D3" s="107"/>
      <c r="E3" s="107" t="s">
        <v>125</v>
      </c>
      <c r="F3" s="107"/>
      <c r="G3" s="108"/>
      <c r="H3" s="108"/>
      <c r="I3" s="108"/>
      <c r="J3" s="108"/>
      <c r="K3" s="108"/>
      <c r="L3" s="108"/>
      <c r="M3" s="108"/>
      <c r="N3" s="108"/>
      <c r="O3" s="108"/>
      <c r="P3" s="108"/>
      <c r="Q3" s="108"/>
    </row>
    <row r="4" spans="1:27">
      <c r="A4" s="111"/>
      <c r="B4" s="111"/>
      <c r="C4" s="111"/>
      <c r="D4" s="111"/>
      <c r="E4" s="112" t="s">
        <v>47</v>
      </c>
      <c r="F4" s="113" t="s">
        <v>54</v>
      </c>
      <c r="G4" s="113"/>
      <c r="H4" s="114"/>
      <c r="I4" s="113"/>
      <c r="J4" s="115"/>
      <c r="K4" s="115"/>
      <c r="L4" s="116" t="s">
        <v>56</v>
      </c>
      <c r="M4" s="116"/>
      <c r="N4" s="116"/>
      <c r="O4" s="107"/>
      <c r="P4" s="107"/>
      <c r="Q4" s="107"/>
      <c r="R4" s="107"/>
      <c r="S4" s="107"/>
      <c r="T4" s="110"/>
      <c r="U4" s="117"/>
      <c r="V4" s="117"/>
    </row>
    <row r="5" spans="1:27">
      <c r="A5" s="118"/>
      <c r="B5" s="118"/>
      <c r="C5" s="118"/>
      <c r="D5" s="118"/>
      <c r="E5" s="119" t="s">
        <v>539</v>
      </c>
      <c r="F5" s="120" t="s">
        <v>540</v>
      </c>
      <c r="G5" s="120"/>
      <c r="H5" s="114"/>
      <c r="I5" s="120"/>
      <c r="J5" s="115"/>
      <c r="K5" s="115"/>
      <c r="L5" s="116" t="s">
        <v>541</v>
      </c>
      <c r="M5" s="121"/>
      <c r="N5" s="121"/>
      <c r="O5" s="108"/>
      <c r="P5" s="108"/>
      <c r="Q5" s="108"/>
      <c r="R5" s="118"/>
      <c r="S5" s="107"/>
      <c r="T5" s="110"/>
      <c r="U5" s="118"/>
      <c r="V5" s="117"/>
    </row>
    <row r="6" spans="1:27">
      <c r="A6" s="122"/>
      <c r="B6" s="122"/>
      <c r="C6" s="122"/>
      <c r="D6" s="122"/>
      <c r="E6" s="3" t="s">
        <v>126</v>
      </c>
      <c r="F6" s="90" t="s">
        <v>128</v>
      </c>
      <c r="G6" s="90" t="s">
        <v>130</v>
      </c>
      <c r="H6" s="90" t="s">
        <v>132</v>
      </c>
      <c r="I6" s="90" t="s">
        <v>134</v>
      </c>
      <c r="J6" s="90" t="s">
        <v>135</v>
      </c>
      <c r="K6" s="90" t="s">
        <v>136</v>
      </c>
      <c r="L6" s="91" t="s">
        <v>137</v>
      </c>
      <c r="M6" s="91" t="s">
        <v>138</v>
      </c>
      <c r="N6" s="92" t="s">
        <v>140</v>
      </c>
      <c r="O6" s="93"/>
      <c r="P6" s="93"/>
      <c r="Q6" s="93"/>
      <c r="R6" s="123"/>
      <c r="S6" s="123"/>
      <c r="T6" s="123"/>
    </row>
    <row r="7" spans="1:27" ht="124.2">
      <c r="A7" s="124" t="s">
        <v>542</v>
      </c>
      <c r="B7" s="124"/>
      <c r="C7" s="124"/>
      <c r="D7" s="124"/>
      <c r="E7" s="97" t="s">
        <v>594</v>
      </c>
      <c r="F7" s="97" t="s">
        <v>595</v>
      </c>
      <c r="G7" s="97" t="s">
        <v>596</v>
      </c>
      <c r="H7" s="97" t="s">
        <v>597</v>
      </c>
      <c r="I7" s="97" t="s">
        <v>598</v>
      </c>
      <c r="J7" s="97" t="s">
        <v>599</v>
      </c>
      <c r="K7" s="97" t="s">
        <v>600</v>
      </c>
      <c r="L7" s="97" t="s">
        <v>601</v>
      </c>
      <c r="M7" s="97" t="s">
        <v>602</v>
      </c>
      <c r="N7" s="97" t="s">
        <v>603</v>
      </c>
      <c r="O7" s="93"/>
      <c r="P7" s="93"/>
      <c r="Q7" s="93"/>
    </row>
    <row r="8" spans="1:27" ht="156">
      <c r="A8" s="122" t="s">
        <v>553</v>
      </c>
      <c r="B8" s="122"/>
      <c r="C8" s="122"/>
      <c r="D8" s="122"/>
      <c r="E8" s="125" t="s">
        <v>604</v>
      </c>
      <c r="F8" s="125" t="s">
        <v>605</v>
      </c>
      <c r="G8" s="125" t="s">
        <v>606</v>
      </c>
      <c r="H8" s="125" t="s">
        <v>607</v>
      </c>
      <c r="I8" s="125" t="s">
        <v>608</v>
      </c>
      <c r="J8" s="125" t="s">
        <v>609</v>
      </c>
      <c r="K8" s="125" t="s">
        <v>610</v>
      </c>
      <c r="L8" s="125" t="s">
        <v>611</v>
      </c>
      <c r="M8" s="126" t="s">
        <v>612</v>
      </c>
      <c r="N8" s="126" t="s">
        <v>613</v>
      </c>
      <c r="O8" s="127"/>
      <c r="P8" s="127"/>
      <c r="Q8" s="127"/>
    </row>
    <row r="9" spans="1:27" ht="246" customHeight="1">
      <c r="A9" s="122" t="s">
        <v>96</v>
      </c>
      <c r="B9" s="122"/>
      <c r="C9" s="122"/>
      <c r="D9" s="122"/>
      <c r="E9" s="125" t="s">
        <v>614</v>
      </c>
      <c r="F9" s="125" t="s">
        <v>615</v>
      </c>
      <c r="G9" s="125" t="s">
        <v>616</v>
      </c>
      <c r="H9" s="125" t="s">
        <v>617</v>
      </c>
      <c r="I9" s="125" t="s">
        <v>618</v>
      </c>
      <c r="J9" s="125" t="s">
        <v>619</v>
      </c>
      <c r="K9" s="125" t="s">
        <v>620</v>
      </c>
      <c r="L9" s="125" t="s">
        <v>621</v>
      </c>
      <c r="M9" s="125" t="s">
        <v>622</v>
      </c>
      <c r="N9" s="125" t="s">
        <v>623</v>
      </c>
      <c r="O9" s="127"/>
      <c r="P9" s="127"/>
      <c r="Q9" s="127"/>
    </row>
    <row r="10" spans="1:27" ht="116.85" customHeight="1">
      <c r="A10" s="122" t="s">
        <v>574</v>
      </c>
      <c r="B10" s="122"/>
      <c r="C10" s="122"/>
      <c r="D10" s="122"/>
      <c r="E10" s="133"/>
      <c r="F10" s="133" t="s">
        <v>624</v>
      </c>
      <c r="G10" s="133" t="s">
        <v>625</v>
      </c>
      <c r="H10" s="133" t="s">
        <v>626</v>
      </c>
      <c r="I10" s="133" t="s">
        <v>627</v>
      </c>
      <c r="J10" s="133" t="s">
        <v>628</v>
      </c>
      <c r="K10" s="133" t="s">
        <v>629</v>
      </c>
      <c r="L10" s="133" t="s">
        <v>630</v>
      </c>
      <c r="M10" s="133" t="s">
        <v>631</v>
      </c>
      <c r="N10" s="133" t="s">
        <v>632</v>
      </c>
      <c r="O10" s="134"/>
      <c r="P10" s="134"/>
      <c r="Q10" s="134"/>
    </row>
    <row r="11" spans="1:27" ht="116.85" customHeight="1">
      <c r="A11" s="135" t="s">
        <v>85</v>
      </c>
      <c r="B11" s="135"/>
      <c r="C11" s="135"/>
      <c r="D11" s="135"/>
      <c r="E11" s="133"/>
      <c r="F11" s="133" t="s">
        <v>633</v>
      </c>
      <c r="G11" s="133" t="s">
        <v>634</v>
      </c>
      <c r="H11" s="133" t="s">
        <v>635</v>
      </c>
      <c r="I11" s="133" t="s">
        <v>636</v>
      </c>
      <c r="J11" s="133" t="s">
        <v>637</v>
      </c>
      <c r="K11" s="133" t="s">
        <v>638</v>
      </c>
      <c r="L11" s="133" t="s">
        <v>639</v>
      </c>
      <c r="M11" s="133" t="s">
        <v>640</v>
      </c>
      <c r="N11" s="133" t="s">
        <v>641</v>
      </c>
      <c r="O11" s="134"/>
      <c r="P11" s="134"/>
      <c r="Q11" s="134"/>
    </row>
    <row r="12" spans="1:27" s="117" customFormat="1" ht="15" customHeight="1">
      <c r="A12" s="109"/>
      <c r="B12" s="109"/>
      <c r="C12" s="109"/>
      <c r="D12" s="109"/>
      <c r="E12" s="109"/>
      <c r="F12" s="109"/>
      <c r="G12" s="109"/>
      <c r="H12" s="109"/>
      <c r="I12" s="109"/>
      <c r="J12" s="109"/>
      <c r="K12" s="109"/>
      <c r="L12" s="109"/>
      <c r="M12" s="109"/>
      <c r="N12" s="109"/>
      <c r="O12" s="109"/>
      <c r="P12" s="109"/>
      <c r="Q12" s="109"/>
      <c r="R12" s="109"/>
      <c r="S12" s="109"/>
      <c r="T12" s="109"/>
      <c r="U12" s="93"/>
    </row>
    <row r="13" spans="1:27" s="117" customFormat="1" ht="15" customHeight="1">
      <c r="A13" s="109"/>
      <c r="B13" s="109"/>
      <c r="C13" s="109"/>
      <c r="D13" s="109"/>
      <c r="E13" s="109"/>
      <c r="F13" s="109"/>
      <c r="G13" s="109"/>
      <c r="H13" s="109"/>
      <c r="I13" s="109"/>
      <c r="J13" s="109"/>
      <c r="K13" s="109"/>
      <c r="L13" s="109"/>
      <c r="M13" s="109"/>
      <c r="N13" s="109"/>
      <c r="O13" s="109"/>
      <c r="P13" s="109"/>
      <c r="Q13" s="109"/>
      <c r="R13" s="109"/>
      <c r="S13" s="109"/>
      <c r="T13" s="109"/>
    </row>
    <row r="14" spans="1:27" s="117" customFormat="1" ht="15" customHeight="1">
      <c r="A14" s="109"/>
      <c r="B14" s="109"/>
      <c r="C14" s="109"/>
      <c r="D14" s="109"/>
      <c r="E14" s="109"/>
      <c r="F14" s="109"/>
      <c r="G14" s="109"/>
      <c r="H14" s="109"/>
      <c r="I14" s="109"/>
      <c r="J14" s="109"/>
      <c r="K14" s="109"/>
      <c r="L14" s="109"/>
      <c r="M14" s="109"/>
      <c r="N14" s="109"/>
      <c r="O14" s="109"/>
      <c r="P14" s="109"/>
      <c r="Q14" s="109"/>
      <c r="R14" s="109"/>
      <c r="S14" s="109"/>
      <c r="T14" s="109"/>
    </row>
    <row r="15" spans="1:27" customFormat="1">
      <c r="A15" t="s">
        <v>443</v>
      </c>
      <c r="B15" t="s">
        <v>104</v>
      </c>
      <c r="C15" t="s">
        <v>105</v>
      </c>
      <c r="D15" s="295" t="s">
        <v>442</v>
      </c>
      <c r="E15" s="14" t="s">
        <v>126</v>
      </c>
      <c r="F15" s="14" t="s">
        <v>128</v>
      </c>
      <c r="G15" s="14" t="s">
        <v>130</v>
      </c>
      <c r="H15" s="14" t="s">
        <v>132</v>
      </c>
      <c r="I15" s="14" t="s">
        <v>134</v>
      </c>
      <c r="J15" s="14" t="s">
        <v>135</v>
      </c>
      <c r="K15" s="14" t="s">
        <v>136</v>
      </c>
      <c r="L15" s="14" t="s">
        <v>137</v>
      </c>
      <c r="M15" s="14" t="s">
        <v>138</v>
      </c>
      <c r="N15" s="14" t="s">
        <v>140</v>
      </c>
    </row>
    <row r="16" spans="1:27" s="117" customFormat="1" ht="15" customHeight="1">
      <c r="A16" s="320" t="s">
        <v>1649</v>
      </c>
      <c r="B16" s="15" t="s">
        <v>104</v>
      </c>
      <c r="C16" s="15" t="str">
        <f>HYPERLINK("02-项目级\P2-Qcubic to MySQL数据同步工具 V1.0\01-生存周期\06-实现\02-产品集成\01-产品集成计划(QCUBIC-SJTB-PI-Plan)V1.0-engl.docx", "engl")</f>
        <v>engl</v>
      </c>
      <c r="D16"/>
      <c r="E16" t="s">
        <v>426</v>
      </c>
      <c r="F16" t="s">
        <v>426</v>
      </c>
      <c r="G16" t="s">
        <v>426</v>
      </c>
      <c r="H16" t="s">
        <v>426</v>
      </c>
      <c r="I16"/>
      <c r="J16"/>
      <c r="K16"/>
      <c r="L16"/>
      <c r="M16"/>
      <c r="N16"/>
      <c r="O16"/>
      <c r="P16"/>
      <c r="Q16"/>
      <c r="R16"/>
      <c r="S16"/>
      <c r="T16"/>
      <c r="U16"/>
      <c r="V16"/>
      <c r="W16"/>
      <c r="X16"/>
      <c r="Y16"/>
      <c r="Z16"/>
      <c r="AA16"/>
    </row>
    <row r="17" spans="1:27" s="117" customFormat="1">
      <c r="A17" s="320" t="s">
        <v>1650</v>
      </c>
      <c r="B17" s="15" t="s">
        <v>104</v>
      </c>
      <c r="C17" s="15" t="str">
        <f>HYPERLINK("02-项目级\P2-Qcubic to MySQL数据同步工具 V1.0\01-生存周期\06-实现\02-产品集成\06-产品集成阶段报告\03-产品集成阶段报告(QCUBIC-SJTB-PI-InterimReport-3)V1.0-engl.docx", "engl")</f>
        <v>engl</v>
      </c>
      <c r="D17"/>
      <c r="E17" t="s">
        <v>426</v>
      </c>
      <c r="F17"/>
      <c r="G17"/>
      <c r="H17" t="s">
        <v>426</v>
      </c>
      <c r="I17"/>
      <c r="J17" t="s">
        <v>426</v>
      </c>
      <c r="K17" t="s">
        <v>426</v>
      </c>
      <c r="L17"/>
      <c r="M17"/>
      <c r="N17" t="s">
        <v>426</v>
      </c>
      <c r="O17"/>
      <c r="P17"/>
      <c r="Q17"/>
      <c r="R17"/>
      <c r="S17"/>
      <c r="T17"/>
      <c r="U17"/>
      <c r="V17"/>
      <c r="W17"/>
      <c r="X17"/>
      <c r="Y17"/>
      <c r="Z17"/>
      <c r="AA17"/>
    </row>
    <row r="18" spans="1:27">
      <c r="A18" t="s">
        <v>536</v>
      </c>
      <c r="B18" s="15" t="s">
        <v>104</v>
      </c>
      <c r="C18" s="15" t="str">
        <f>HYPERLINK("01-组织级\01-组织财富库\01-标准过程文件库\02-软件工程规范\04-实现\实现过程文件 (QCUBIC-SPI-DEV-Proc-Doc)V1.2-engl.docx", "engl")</f>
        <v>engl</v>
      </c>
      <c r="D18"/>
      <c r="E18"/>
      <c r="F18"/>
      <c r="G18"/>
      <c r="H18" t="s">
        <v>426</v>
      </c>
      <c r="I18"/>
      <c r="J18"/>
      <c r="K18"/>
      <c r="L18"/>
      <c r="M18"/>
      <c r="N18"/>
      <c r="O18"/>
      <c r="P18"/>
      <c r="Q18"/>
      <c r="R18"/>
      <c r="S18"/>
      <c r="T18"/>
      <c r="U18"/>
      <c r="V18"/>
      <c r="W18"/>
      <c r="X18"/>
      <c r="Y18"/>
      <c r="Z18"/>
      <c r="AA18"/>
    </row>
    <row r="19" spans="1:27">
      <c r="A19" t="s">
        <v>536</v>
      </c>
      <c r="B19" s="15" t="s">
        <v>104</v>
      </c>
      <c r="C19" s="15" t="str">
        <f>HYPERLINK("01-组织级\01-组织财富库\01-标准过程文件库\02-软件工程规范\05-测试\02-产品集成及集成测试\产品集成指南(QCUBIC-SPI-VV-Guid-PI)V1.2-engl.docx", "engl")</f>
        <v>engl</v>
      </c>
      <c r="D19"/>
      <c r="E19"/>
      <c r="F19"/>
      <c r="G19"/>
      <c r="H19" t="s">
        <v>426</v>
      </c>
      <c r="I19"/>
      <c r="J19"/>
      <c r="K19"/>
      <c r="L19"/>
      <c r="M19"/>
      <c r="N19"/>
      <c r="O19"/>
      <c r="P19"/>
      <c r="Q19"/>
      <c r="R19"/>
      <c r="S19"/>
      <c r="T19"/>
      <c r="U19"/>
      <c r="V19"/>
      <c r="W19"/>
      <c r="X19"/>
      <c r="Y19"/>
      <c r="Z19"/>
      <c r="AA19"/>
    </row>
    <row r="20" spans="1:27">
      <c r="A20" t="s">
        <v>536</v>
      </c>
      <c r="B20" s="15" t="s">
        <v>104</v>
      </c>
      <c r="C20" s="15" t="str">
        <f>HYPERLINK("02-项目级\P2-Qcubic to MySQL数据同步工具 V1.0\01-生存周期\06-实现\02-产品集成\03-产品集成检查列表(QCUBIC-SJTB-PI-PIChkList)V1.0-engl.xlsx", "engl")</f>
        <v>engl</v>
      </c>
      <c r="D20"/>
      <c r="E20"/>
      <c r="F20"/>
      <c r="G20"/>
      <c r="H20"/>
      <c r="I20" t="s">
        <v>426</v>
      </c>
      <c r="J20"/>
      <c r="K20"/>
      <c r="L20"/>
      <c r="M20"/>
      <c r="N20"/>
      <c r="O20"/>
      <c r="P20"/>
      <c r="Q20"/>
      <c r="R20"/>
      <c r="S20"/>
      <c r="T20"/>
      <c r="U20"/>
      <c r="V20"/>
      <c r="W20"/>
      <c r="X20"/>
      <c r="Y20"/>
      <c r="Z20"/>
      <c r="AA20"/>
    </row>
    <row r="21" spans="1:27">
      <c r="A21" t="s">
        <v>536</v>
      </c>
      <c r="B21" s="15" t="s">
        <v>104</v>
      </c>
      <c r="C21" s="15" t="str">
        <f>HYPERLINK("02-项目级\P2-Qcubic to MySQL数据同步工具 V1.0\01-生存周期\07-测试\02-集成测试\01-集成测试用例(QCUBIC-SJTB-VV-TestCase-SystemTest)V1.0-engl.xlsx", "engl")</f>
        <v>engl</v>
      </c>
      <c r="D21"/>
      <c r="E21"/>
      <c r="F21"/>
      <c r="G21"/>
      <c r="H21"/>
      <c r="I21"/>
      <c r="J21" t="s">
        <v>426</v>
      </c>
      <c r="K21"/>
      <c r="L21"/>
      <c r="M21"/>
      <c r="N21"/>
      <c r="O21"/>
      <c r="P21"/>
      <c r="Q21"/>
      <c r="R21"/>
      <c r="S21"/>
      <c r="T21"/>
      <c r="U21"/>
      <c r="V21"/>
      <c r="W21"/>
      <c r="X21"/>
      <c r="Y21"/>
      <c r="Z21"/>
      <c r="AA21"/>
    </row>
    <row r="22" spans="1:27">
      <c r="A22" t="s">
        <v>536</v>
      </c>
      <c r="B22" s="15" t="s">
        <v>104</v>
      </c>
      <c r="C22" s="15" t="str">
        <f>HYPERLINK("02-项目级\P2-Qcubic to MySQL数据同步工具 V1.0\01-生存周期\07-测试\02-集成测试\04-集成测试报告(QCUBIC-SJTB-LP_VV_IntegrationTestRet)V1.0-engl.docx", "engl")</f>
        <v>engl</v>
      </c>
      <c r="D22"/>
      <c r="E22"/>
      <c r="F22"/>
      <c r="G22"/>
      <c r="H22"/>
      <c r="I22"/>
      <c r="J22" t="s">
        <v>426</v>
      </c>
      <c r="K22"/>
      <c r="L22"/>
      <c r="M22"/>
      <c r="N22"/>
      <c r="O22"/>
      <c r="P22"/>
      <c r="Q22"/>
      <c r="R22"/>
      <c r="S22"/>
      <c r="T22"/>
      <c r="U22"/>
      <c r="V22"/>
      <c r="W22"/>
      <c r="X22"/>
      <c r="Y22"/>
      <c r="Z22"/>
      <c r="AA22"/>
    </row>
    <row r="23" spans="1:27">
      <c r="A23" t="s">
        <v>536</v>
      </c>
      <c r="B23" s="15" t="s">
        <v>104</v>
      </c>
      <c r="C23" s="15" t="str">
        <f>HYPERLINK("02-项目级\P2-Qcubic to MySQL数据同步工具 V1.0\01-生存周期\05-设计\01-概要设计书(QCUBIC-SJTB-TS-BD)V1.0-engl.docx", "engl")</f>
        <v>engl</v>
      </c>
      <c r="D23"/>
      <c r="E23"/>
      <c r="F23"/>
      <c r="G23"/>
      <c r="H23"/>
      <c r="I23"/>
      <c r="J23"/>
      <c r="K23"/>
      <c r="L23" t="s">
        <v>426</v>
      </c>
      <c r="M23" t="s">
        <v>426</v>
      </c>
      <c r="N23"/>
      <c r="O23"/>
      <c r="P23"/>
      <c r="Q23"/>
      <c r="R23"/>
      <c r="S23"/>
      <c r="T23"/>
      <c r="U23"/>
      <c r="V23"/>
      <c r="W23"/>
      <c r="X23"/>
      <c r="Y23"/>
      <c r="Z23"/>
      <c r="AA23"/>
    </row>
    <row r="24" spans="1:27">
      <c r="A24" t="s">
        <v>536</v>
      </c>
      <c r="B24" s="15" t="s">
        <v>104</v>
      </c>
      <c r="C24" s="15" t="str">
        <f>HYPERLINK("02-项目级\P2-Qcubic to MySQL数据同步工具 V1.0\01-生存周期\05-设计\03-详细设计说明书(QCUBIC-SJTB-TS-DD)V1.0-engl.docx", "engl")</f>
        <v>engl</v>
      </c>
      <c r="D24"/>
      <c r="E24"/>
      <c r="F24"/>
      <c r="G24"/>
      <c r="H24"/>
      <c r="I24"/>
      <c r="J24"/>
      <c r="K24"/>
      <c r="L24" t="s">
        <v>426</v>
      </c>
      <c r="M24" t="s">
        <v>426</v>
      </c>
      <c r="N24"/>
      <c r="O24"/>
      <c r="P24"/>
      <c r="Q24"/>
      <c r="R24"/>
      <c r="S24"/>
      <c r="T24"/>
      <c r="U24"/>
      <c r="V24"/>
      <c r="W24"/>
      <c r="X24"/>
      <c r="Y24"/>
      <c r="Z24"/>
      <c r="AA24"/>
    </row>
    <row r="25" spans="1:27">
      <c r="A25" t="s">
        <v>536</v>
      </c>
      <c r="B25" s="15" t="s">
        <v>104</v>
      </c>
      <c r="C25" s="15" t="str">
        <f>HYPERLINK("02-项目级\P2-Qcubic to MySQL数据同步工具 V1.0\01-生存周期\06-实现\02-产品集成\04-接口检查列表(QCUBIC-SJTB-PI-PIChkList)V1.0-engl.xlsx", "engl")</f>
        <v>engl</v>
      </c>
      <c r="D25"/>
      <c r="E25"/>
      <c r="F25"/>
      <c r="G25"/>
      <c r="H25"/>
      <c r="I25"/>
      <c r="J25"/>
      <c r="K25"/>
      <c r="L25" t="s">
        <v>426</v>
      </c>
      <c r="M25" t="s">
        <v>426</v>
      </c>
      <c r="N25" t="s">
        <v>426</v>
      </c>
      <c r="O25"/>
      <c r="P25"/>
      <c r="Q25"/>
      <c r="R25"/>
      <c r="S25"/>
      <c r="T25"/>
      <c r="U25"/>
      <c r="V25"/>
      <c r="W25"/>
      <c r="X25"/>
      <c r="Y25"/>
      <c r="Z25"/>
      <c r="AA25"/>
    </row>
    <row r="26" spans="1:27">
      <c r="A26" t="s">
        <v>536</v>
      </c>
      <c r="B26" s="15" t="s">
        <v>104</v>
      </c>
      <c r="C26" s="15" t="str">
        <f>HYPERLINK("02-项目级\P2-Qcubic to MySQL数据同步工具 V1.0\01-生存周期\06-实现\03-代码检查\02-代码调试BUG管理表(QCUBIC-SJTB-VV-CDBugList)V1.0-engl.xlsx", "engl")</f>
        <v>engl</v>
      </c>
      <c r="D26"/>
      <c r="E26"/>
      <c r="F26"/>
      <c r="G26"/>
      <c r="H26"/>
      <c r="I26"/>
      <c r="J26"/>
      <c r="K26"/>
      <c r="L26" t="s">
        <v>426</v>
      </c>
      <c r="M26" t="s">
        <v>426</v>
      </c>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A6640C69-E27E-47B7-BFCB-A73F10ED3F66}"/>
    <hyperlink ref="B17" r:id="rId2" xr:uid="{CD95B5A7-C280-4895-B773-4ADA64B50E31}"/>
    <hyperlink ref="B18" r:id="rId3" xr:uid="{6624AD50-15DC-4470-8763-CEE9A91EE319}"/>
    <hyperlink ref="B19" r:id="rId4" xr:uid="{0DA33597-17E4-4A50-9B00-916188B7954D}"/>
    <hyperlink ref="B20" r:id="rId5" xr:uid="{B542ECFB-F783-4731-8A32-2C57B61F5604}"/>
    <hyperlink ref="B21" r:id="rId6" xr:uid="{ACB07F59-D265-473C-93D3-9E93C5CD7107}"/>
    <hyperlink ref="B22" r:id="rId7" xr:uid="{58256472-95DA-4AEE-8932-0B39D01CC8B8}"/>
    <hyperlink ref="B23" r:id="rId8" xr:uid="{AB0106E8-DE31-4D0E-A3AC-42CCE2EB33CD}"/>
    <hyperlink ref="B24" r:id="rId9" xr:uid="{F0B4BDBA-A4A0-49C9-BB77-1DA1A1CA4767}"/>
    <hyperlink ref="B25" r:id="rId10" xr:uid="{593AF37F-C2C3-4962-B76D-A46032DE6EFC}"/>
    <hyperlink ref="B26" r:id="rId11" xr:uid="{3E025626-293D-456E-974E-12F76D515288}"/>
  </hyperlinks>
  <pageMargins left="0.7" right="0.7" top="0.75" bottom="0.75" header="0.3" footer="0.3"/>
  <pageSetup paperSize="9" orientation="portrait" verticalDpi="300" r:id="rId1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33417-2AA4-46B3-B442-0C1F44A18303}">
  <sheetPr codeName="Sheet10">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2.44140625" style="118" customWidth="1"/>
    <col min="2" max="4" width="7.88671875" style="118" customWidth="1"/>
    <col min="5" max="8" width="20.6640625" style="118" customWidth="1"/>
    <col min="9" max="10" width="20.6640625" style="136" customWidth="1"/>
    <col min="11" max="11" width="76.88671875" style="136" customWidth="1"/>
    <col min="12" max="12" width="3.6640625" style="136" customWidth="1"/>
    <col min="13" max="13" width="20.6640625" style="136" customWidth="1"/>
    <col min="14" max="14" width="77.88671875" style="136" customWidth="1"/>
    <col min="15" max="17" width="8.6640625" style="136"/>
    <col min="18" max="16384" width="8.6640625" style="118"/>
  </cols>
  <sheetData>
    <row r="1" spans="1:27" s="137" customFormat="1" ht="18">
      <c r="A1" s="105" t="s">
        <v>642</v>
      </c>
      <c r="B1" s="105"/>
      <c r="C1" s="105"/>
      <c r="D1" s="105"/>
      <c r="E1" s="107"/>
      <c r="F1" s="106"/>
      <c r="G1" s="107"/>
      <c r="H1" s="107"/>
      <c r="I1" s="136"/>
      <c r="J1" s="136"/>
      <c r="K1" s="136"/>
      <c r="L1" s="136"/>
      <c r="M1" s="136"/>
      <c r="N1" s="136"/>
      <c r="O1" s="136"/>
      <c r="P1" s="136"/>
      <c r="Q1" s="136"/>
    </row>
    <row r="2" spans="1:27" s="138" customFormat="1">
      <c r="A2" s="110" t="s">
        <v>447</v>
      </c>
      <c r="B2" s="110"/>
      <c r="C2" s="110"/>
      <c r="D2" s="110"/>
      <c r="E2" s="107" t="s">
        <v>166</v>
      </c>
      <c r="F2" s="107"/>
      <c r="G2" s="107"/>
      <c r="H2" s="107"/>
      <c r="I2" s="136"/>
      <c r="J2" s="136"/>
      <c r="K2" s="136"/>
      <c r="L2" s="136"/>
      <c r="M2" s="136"/>
      <c r="N2" s="136"/>
      <c r="O2" s="136"/>
      <c r="P2" s="136"/>
      <c r="Q2" s="136"/>
    </row>
    <row r="3" spans="1:27" s="138" customFormat="1">
      <c r="A3" s="107" t="s">
        <v>448</v>
      </c>
      <c r="B3" s="107"/>
      <c r="C3" s="107"/>
      <c r="D3" s="107"/>
      <c r="E3" s="107" t="s">
        <v>167</v>
      </c>
      <c r="F3" s="107"/>
      <c r="G3" s="107"/>
      <c r="H3" s="107"/>
      <c r="I3" s="136"/>
      <c r="J3" s="136"/>
      <c r="K3" s="136"/>
      <c r="L3" s="136"/>
      <c r="M3" s="136"/>
      <c r="N3" s="136"/>
      <c r="O3" s="136"/>
      <c r="P3" s="136"/>
      <c r="Q3" s="136"/>
    </row>
    <row r="4" spans="1:27" s="138" customFormat="1" ht="14.4">
      <c r="A4" s="111"/>
      <c r="B4" s="111"/>
      <c r="C4" s="111"/>
      <c r="D4" s="111"/>
      <c r="E4" s="112" t="s">
        <v>47</v>
      </c>
      <c r="F4" s="113" t="s">
        <v>54</v>
      </c>
      <c r="G4" s="113"/>
      <c r="H4" s="114"/>
      <c r="I4" s="113"/>
      <c r="J4" s="116" t="s">
        <v>56</v>
      </c>
      <c r="K4" s="107"/>
      <c r="L4" s="107"/>
      <c r="M4" s="107"/>
      <c r="N4" s="107"/>
      <c r="O4" s="110"/>
      <c r="P4" s="117"/>
      <c r="Q4" s="117"/>
    </row>
    <row r="5" spans="1:27" s="139" customFormat="1" ht="14.4">
      <c r="A5" s="118"/>
      <c r="B5" s="118"/>
      <c r="C5" s="118"/>
      <c r="D5" s="118"/>
      <c r="E5" s="119" t="s">
        <v>539</v>
      </c>
      <c r="F5" s="120" t="s">
        <v>540</v>
      </c>
      <c r="G5" s="120"/>
      <c r="H5" s="114"/>
      <c r="I5" s="120"/>
      <c r="J5" s="116" t="s">
        <v>541</v>
      </c>
      <c r="K5" s="107"/>
      <c r="L5" s="107"/>
      <c r="M5" s="107"/>
      <c r="N5" s="107"/>
      <c r="O5" s="110"/>
      <c r="P5" s="118"/>
      <c r="Q5" s="117"/>
    </row>
    <row r="6" spans="1:27" s="130" customFormat="1">
      <c r="A6" s="122"/>
      <c r="B6" s="122"/>
      <c r="C6" s="122"/>
      <c r="D6" s="122"/>
      <c r="E6" s="3" t="s">
        <v>168</v>
      </c>
      <c r="F6" s="90" t="s">
        <v>169</v>
      </c>
      <c r="G6" s="90" t="s">
        <v>170</v>
      </c>
      <c r="H6" s="90" t="s">
        <v>171</v>
      </c>
      <c r="I6" s="90" t="s">
        <v>173</v>
      </c>
      <c r="J6" s="91" t="s">
        <v>174</v>
      </c>
      <c r="K6" s="93"/>
      <c r="L6" s="93"/>
      <c r="M6" s="93"/>
      <c r="N6" s="136"/>
      <c r="O6" s="136"/>
      <c r="P6" s="136"/>
      <c r="Q6" s="136"/>
    </row>
    <row r="7" spans="1:27" s="130" customFormat="1" ht="84" customHeight="1">
      <c r="A7" s="124" t="s">
        <v>643</v>
      </c>
      <c r="B7" s="124"/>
      <c r="C7" s="124"/>
      <c r="D7" s="124"/>
      <c r="E7" s="97" t="s">
        <v>644</v>
      </c>
      <c r="F7" s="97" t="s">
        <v>645</v>
      </c>
      <c r="G7" s="97" t="s">
        <v>646</v>
      </c>
      <c r="H7" s="97" t="s">
        <v>647</v>
      </c>
      <c r="I7" s="97" t="s">
        <v>648</v>
      </c>
      <c r="J7" s="97" t="s">
        <v>649</v>
      </c>
      <c r="K7" s="93"/>
      <c r="L7" s="93"/>
      <c r="M7" s="93"/>
      <c r="N7" s="136"/>
      <c r="O7" s="136"/>
      <c r="P7" s="136"/>
      <c r="Q7" s="136"/>
    </row>
    <row r="8" spans="1:27" s="130" customFormat="1" ht="48">
      <c r="A8" s="122" t="s">
        <v>553</v>
      </c>
      <c r="B8" s="122"/>
      <c r="C8" s="122"/>
      <c r="D8" s="122"/>
      <c r="E8" s="125" t="s">
        <v>650</v>
      </c>
      <c r="F8" s="98" t="s">
        <v>651</v>
      </c>
      <c r="G8" s="98" t="s">
        <v>652</v>
      </c>
      <c r="H8" s="98" t="s">
        <v>653</v>
      </c>
      <c r="I8" s="98" t="s">
        <v>654</v>
      </c>
      <c r="J8" s="98" t="s">
        <v>655</v>
      </c>
      <c r="K8" s="99"/>
      <c r="L8" s="99"/>
      <c r="M8" s="99"/>
      <c r="N8" s="136"/>
      <c r="O8" s="136"/>
      <c r="P8" s="136"/>
      <c r="Q8" s="136"/>
    </row>
    <row r="9" spans="1:27" s="130" customFormat="1" ht="156">
      <c r="A9" s="122" t="s">
        <v>96</v>
      </c>
      <c r="B9" s="122"/>
      <c r="C9" s="122"/>
      <c r="D9" s="122"/>
      <c r="E9" s="98" t="s">
        <v>656</v>
      </c>
      <c r="F9" s="98" t="s">
        <v>657</v>
      </c>
      <c r="G9" s="98" t="s">
        <v>658</v>
      </c>
      <c r="H9" s="98" t="s">
        <v>659</v>
      </c>
      <c r="I9" s="125" t="s">
        <v>660</v>
      </c>
      <c r="J9" s="98" t="s">
        <v>661</v>
      </c>
      <c r="K9" s="99"/>
      <c r="L9" s="99"/>
      <c r="M9" s="99"/>
      <c r="N9" s="136"/>
      <c r="O9" s="136"/>
      <c r="P9" s="136"/>
      <c r="Q9" s="136"/>
    </row>
    <row r="10" spans="1:27" ht="72">
      <c r="A10" s="122" t="s">
        <v>574</v>
      </c>
      <c r="B10" s="122"/>
      <c r="C10" s="122"/>
      <c r="D10" s="122"/>
      <c r="E10" s="141"/>
      <c r="F10" s="142" t="s">
        <v>662</v>
      </c>
      <c r="G10" s="142" t="s">
        <v>663</v>
      </c>
      <c r="H10" s="142" t="s">
        <v>664</v>
      </c>
      <c r="I10" s="142" t="s">
        <v>665</v>
      </c>
      <c r="J10" s="142" t="s">
        <v>666</v>
      </c>
      <c r="K10" s="143"/>
      <c r="L10" s="143"/>
      <c r="M10" s="100"/>
    </row>
    <row r="11" spans="1:27" s="123" customFormat="1" ht="41.4">
      <c r="A11" s="144" t="s">
        <v>85</v>
      </c>
      <c r="B11" s="144"/>
      <c r="C11" s="144"/>
      <c r="D11" s="144"/>
      <c r="E11" s="145"/>
      <c r="F11" s="145" t="s">
        <v>667</v>
      </c>
      <c r="G11" s="145" t="s">
        <v>668</v>
      </c>
      <c r="H11" s="145" t="s">
        <v>669</v>
      </c>
      <c r="I11" s="146" t="s">
        <v>670</v>
      </c>
      <c r="J11" s="146" t="s">
        <v>671</v>
      </c>
      <c r="K11" s="147"/>
      <c r="L11" s="147"/>
      <c r="M11" s="147"/>
      <c r="N11" s="108"/>
      <c r="O11" s="108"/>
      <c r="P11" s="108"/>
      <c r="Q11" s="108"/>
      <c r="R11" s="108"/>
      <c r="S11" s="108"/>
      <c r="T11" s="108"/>
      <c r="U11" s="108"/>
    </row>
    <row r="15" spans="1:27" customFormat="1" ht="14.4">
      <c r="A15" t="s">
        <v>443</v>
      </c>
      <c r="B15" t="s">
        <v>104</v>
      </c>
      <c r="C15" t="s">
        <v>105</v>
      </c>
      <c r="D15" s="295" t="s">
        <v>442</v>
      </c>
      <c r="E15" s="14" t="s">
        <v>168</v>
      </c>
      <c r="F15" s="14" t="s">
        <v>169</v>
      </c>
      <c r="G15" s="14" t="s">
        <v>170</v>
      </c>
      <c r="H15" s="14" t="s">
        <v>171</v>
      </c>
      <c r="I15" s="14" t="s">
        <v>173</v>
      </c>
      <c r="J15" s="14" t="s">
        <v>174</v>
      </c>
    </row>
    <row r="16" spans="1:27" ht="14.4">
      <c r="A16" t="s">
        <v>536</v>
      </c>
      <c r="B16" s="15" t="s">
        <v>104</v>
      </c>
      <c r="C16" s="15" t="str">
        <f>HYPERLINK("02-项目级\P3-主从数据库复制及性能提升项目\01-生存周期\03-项目策划\03-项目计划书 (QCUBIC-XNTS-PLAN-Plan)V1.1-engl.docx", "engl")</f>
        <v>engl</v>
      </c>
      <c r="D16"/>
      <c r="E16" t="s">
        <v>426</v>
      </c>
      <c r="F16"/>
      <c r="G16"/>
      <c r="H16" t="s">
        <v>426</v>
      </c>
      <c r="I16"/>
      <c r="J16"/>
      <c r="K16"/>
      <c r="L16"/>
      <c r="M16"/>
      <c r="N16"/>
      <c r="O16"/>
      <c r="P16"/>
      <c r="Q16"/>
      <c r="R16"/>
      <c r="S16"/>
      <c r="T16"/>
      <c r="U16"/>
      <c r="V16"/>
      <c r="W16"/>
      <c r="X16"/>
      <c r="Y16"/>
      <c r="Z16"/>
      <c r="AA16"/>
    </row>
    <row r="17" spans="1:27" ht="14.4">
      <c r="A17" t="s">
        <v>536</v>
      </c>
      <c r="B17" s="15" t="s">
        <v>104</v>
      </c>
      <c r="C17" s="15" t="str">
        <f>HYPERLINK("02-项目级\P3-主从数据库复制及性能提升项目\02-全程管理\05-评审管理\03-计划评审\05-评审报告_项目计划(QCUBIC-XNTS-PR-ReviewRpt)V1.1-engl.xlsx", "engl")</f>
        <v>engl</v>
      </c>
      <c r="D17"/>
      <c r="E17" t="s">
        <v>426</v>
      </c>
      <c r="F17" t="s">
        <v>426</v>
      </c>
      <c r="G17" t="s">
        <v>426</v>
      </c>
      <c r="H17" t="s">
        <v>426</v>
      </c>
      <c r="I17" t="s">
        <v>426</v>
      </c>
      <c r="J17"/>
      <c r="K17"/>
      <c r="L17"/>
      <c r="M17"/>
      <c r="N17"/>
      <c r="O17"/>
      <c r="P17"/>
      <c r="Q17"/>
      <c r="R17"/>
      <c r="S17"/>
      <c r="T17"/>
      <c r="U17"/>
      <c r="V17"/>
      <c r="W17"/>
      <c r="X17"/>
      <c r="Y17"/>
      <c r="Z17"/>
      <c r="AA17"/>
    </row>
    <row r="18" spans="1:27" ht="14.4">
      <c r="A18" t="s">
        <v>536</v>
      </c>
      <c r="B18" s="15" t="s">
        <v>104</v>
      </c>
      <c r="C18" s="15" t="str">
        <f>HYPERLINK("02-项目级\P3-主从数据库复制及性能提升项目\02-全程管理\05-评审管理\04-需求评审\01-需求规格说明书\05-评审报告_需求规格说明书(QCUBIC-XNTS-PR-ReviewRpt)V1.1-engl.xlsx", "engl")</f>
        <v>engl</v>
      </c>
      <c r="D18"/>
      <c r="E18" t="s">
        <v>426</v>
      </c>
      <c r="F18"/>
      <c r="G18" t="s">
        <v>426</v>
      </c>
      <c r="H18" t="s">
        <v>426</v>
      </c>
      <c r="I18" t="s">
        <v>426</v>
      </c>
      <c r="J18"/>
      <c r="K18"/>
      <c r="L18"/>
      <c r="M18"/>
      <c r="N18"/>
      <c r="O18"/>
      <c r="P18"/>
      <c r="Q18"/>
      <c r="R18"/>
      <c r="S18"/>
      <c r="T18"/>
      <c r="U18"/>
      <c r="V18"/>
      <c r="W18"/>
      <c r="X18"/>
      <c r="Y18"/>
      <c r="Z18"/>
      <c r="AA18"/>
    </row>
    <row r="19" spans="1:27" ht="14.4">
      <c r="A19" t="s">
        <v>536</v>
      </c>
      <c r="B19" s="15" t="s">
        <v>104</v>
      </c>
      <c r="C19" s="15" t="str">
        <f>HYPERLINK("02-项目级\P3-主从数据库复制及性能提升项目\02-全程管理\05-评审管理\04-需求评审\02-用户需求说明书\03-评审报告_用户需求说明书(QCUBIC-XNTS-PR-ReviewRpt)V1.0-engl.xlsx", "engl")</f>
        <v>engl</v>
      </c>
      <c r="D19"/>
      <c r="E19" t="s">
        <v>426</v>
      </c>
      <c r="F19"/>
      <c r="G19" t="s">
        <v>426</v>
      </c>
      <c r="H19" t="s">
        <v>426</v>
      </c>
      <c r="I19" t="s">
        <v>426</v>
      </c>
      <c r="J19"/>
      <c r="K19"/>
      <c r="L19"/>
      <c r="M19"/>
      <c r="N19"/>
      <c r="O19"/>
      <c r="P19"/>
      <c r="Q19"/>
      <c r="R19"/>
      <c r="S19"/>
      <c r="T19"/>
      <c r="U19"/>
      <c r="V19"/>
      <c r="W19"/>
      <c r="X19"/>
      <c r="Y19"/>
      <c r="Z19"/>
      <c r="AA19"/>
    </row>
    <row r="20" spans="1:27" ht="14.4">
      <c r="A20" t="s">
        <v>536</v>
      </c>
      <c r="B20" s="15" t="s">
        <v>104</v>
      </c>
      <c r="C20" s="15" t="str">
        <f>HYPERLINK("02-项目级\P3-主从数据库复制及性能提升项目\02-全程管理\05-评审管理\05-设计评审\01-概要设计说明书\05-评审报告_概要设计书(QCUBIC-XNTS-PR-ReviewRpt)V1.1-engl.xlsx", "engl")</f>
        <v>engl</v>
      </c>
      <c r="D20"/>
      <c r="E20" t="s">
        <v>426</v>
      </c>
      <c r="F20"/>
      <c r="G20" t="s">
        <v>426</v>
      </c>
      <c r="H20" t="s">
        <v>426</v>
      </c>
      <c r="I20" t="s">
        <v>426</v>
      </c>
      <c r="J20"/>
      <c r="K20"/>
      <c r="L20"/>
      <c r="M20"/>
      <c r="N20"/>
      <c r="O20"/>
      <c r="P20"/>
      <c r="Q20"/>
      <c r="R20"/>
      <c r="S20"/>
      <c r="T20"/>
      <c r="U20"/>
      <c r="V20"/>
      <c r="W20"/>
      <c r="X20"/>
      <c r="Y20"/>
      <c r="Z20"/>
      <c r="AA20"/>
    </row>
    <row r="21" spans="1:27" ht="14.4">
      <c r="A21" t="s">
        <v>536</v>
      </c>
      <c r="B21" s="15" t="s">
        <v>104</v>
      </c>
      <c r="C21" s="15" t="str">
        <f>HYPERLINK("02-项目级\P3-主从数据库复制及性能提升项目\02-全程管理\05-评审管理\05-设计评审\02-详细设计说明书\05-评审报告_详细设计(QCUBIC-XNTS-PR-ReviewRpt)V1.1-engl.xlsx", "engl")</f>
        <v>engl</v>
      </c>
      <c r="D21"/>
      <c r="E21" t="s">
        <v>426</v>
      </c>
      <c r="F21"/>
      <c r="G21" t="s">
        <v>426</v>
      </c>
      <c r="H21" t="s">
        <v>426</v>
      </c>
      <c r="I21" t="s">
        <v>426</v>
      </c>
      <c r="J21"/>
      <c r="K21"/>
      <c r="L21"/>
      <c r="M21"/>
      <c r="N21"/>
      <c r="O21"/>
      <c r="P21"/>
      <c r="Q21"/>
      <c r="R21"/>
      <c r="S21"/>
      <c r="T21"/>
      <c r="U21"/>
      <c r="V21"/>
      <c r="W21"/>
      <c r="X21"/>
      <c r="Y21"/>
      <c r="Z21"/>
      <c r="AA21"/>
    </row>
    <row r="22" spans="1:27" ht="14.4">
      <c r="A22" t="s">
        <v>536</v>
      </c>
      <c r="B22" s="15" t="s">
        <v>104</v>
      </c>
      <c r="C22" s="15" t="str">
        <f>HYPERLINK("02-项目级\P3-主从数据库复制及性能提升项目\02-全程管理\05-评审管理\07-测试评审\02-系统测试用例\05-评审报告_系统测试用例(QCUBIC-XNTS-PR-ReviewRpt)V1.1-engl.xlsx", "engl")</f>
        <v>engl</v>
      </c>
      <c r="D22"/>
      <c r="E22" t="s">
        <v>426</v>
      </c>
      <c r="F22"/>
      <c r="G22" t="s">
        <v>426</v>
      </c>
      <c r="H22" t="s">
        <v>426</v>
      </c>
      <c r="I22" t="s">
        <v>426</v>
      </c>
      <c r="J22" t="s">
        <v>426</v>
      </c>
      <c r="K22"/>
      <c r="L22"/>
      <c r="M22"/>
      <c r="N22"/>
      <c r="O22"/>
      <c r="P22"/>
      <c r="Q22"/>
      <c r="R22"/>
      <c r="S22"/>
      <c r="T22"/>
      <c r="U22"/>
      <c r="V22"/>
      <c r="W22"/>
      <c r="X22"/>
      <c r="Y22"/>
      <c r="Z22"/>
      <c r="AA22"/>
    </row>
    <row r="23" spans="1:27" ht="14.4">
      <c r="A23" t="s">
        <v>536</v>
      </c>
      <c r="B23" s="15" t="s">
        <v>104</v>
      </c>
      <c r="C23" s="15" t="str">
        <f>HYPERLINK("02-项目级\P3-主从数据库复制及性能提升项目\02-全程管理\05-评审管理\03-计划评审\01-评审准备表_项目计划(QCUBIC-XNTS-PR-ReviewPrp)V1.0-engl.docx", "engl")</f>
        <v>engl</v>
      </c>
      <c r="D23"/>
      <c r="E23"/>
      <c r="F23" t="s">
        <v>426</v>
      </c>
      <c r="G23"/>
      <c r="H23"/>
      <c r="I23"/>
      <c r="J23"/>
      <c r="K23"/>
      <c r="L23"/>
      <c r="M23"/>
      <c r="N23"/>
      <c r="O23"/>
      <c r="P23"/>
      <c r="Q23"/>
      <c r="R23"/>
      <c r="S23"/>
      <c r="T23"/>
      <c r="U23"/>
      <c r="V23"/>
      <c r="W23"/>
      <c r="X23"/>
      <c r="Y23"/>
      <c r="Z23"/>
      <c r="AA23"/>
    </row>
    <row r="24" spans="1:27" ht="14.4">
      <c r="A24" t="s">
        <v>536</v>
      </c>
      <c r="B24" s="15" t="s">
        <v>104</v>
      </c>
      <c r="C24" s="15" t="str">
        <f>HYPERLINK("02-项目级\P3-主从数据库复制及性能提升项目\02-全程管理\05-评审管理\03-计划评审\02-评审检查表_项目计划(QCUBIC-XNTS-PR-RevChkList)V1.0-engl.xlsx", "engl")</f>
        <v>engl</v>
      </c>
      <c r="D24"/>
      <c r="E24"/>
      <c r="F24" t="s">
        <v>426</v>
      </c>
      <c r="G24"/>
      <c r="H24"/>
      <c r="I24"/>
      <c r="J24"/>
      <c r="K24"/>
      <c r="L24"/>
      <c r="M24"/>
      <c r="N24"/>
      <c r="O24"/>
      <c r="P24"/>
      <c r="Q24"/>
      <c r="R24"/>
      <c r="S24"/>
      <c r="T24"/>
      <c r="U24"/>
      <c r="V24"/>
      <c r="W24"/>
      <c r="X24"/>
      <c r="Y24"/>
      <c r="Z24"/>
      <c r="AA24"/>
    </row>
    <row r="25" spans="1:27" ht="14.4">
      <c r="A25" t="s">
        <v>536</v>
      </c>
      <c r="B25" s="15" t="s">
        <v>104</v>
      </c>
      <c r="C25" s="15" t="str">
        <f>HYPERLINK("01-组织级\01-组织财富库\01-标准过程文件库\03-支持类\05-评审管理\评审管理过程文件(QCUBIC-SPI-VV-Proc-Doc)V1.2-engl.docx", "engl")</f>
        <v>engl</v>
      </c>
      <c r="D25"/>
      <c r="E25"/>
      <c r="F25" t="s">
        <v>426</v>
      </c>
      <c r="G25"/>
      <c r="H25" t="s">
        <v>426</v>
      </c>
      <c r="I25"/>
      <c r="J25"/>
      <c r="K25"/>
      <c r="L25"/>
      <c r="M25"/>
      <c r="N25"/>
      <c r="O25"/>
      <c r="P25"/>
      <c r="Q25"/>
      <c r="R25"/>
      <c r="S25"/>
      <c r="T25"/>
      <c r="U25"/>
      <c r="V25"/>
      <c r="W25"/>
      <c r="X25"/>
      <c r="Y25"/>
      <c r="Z25"/>
      <c r="AA25"/>
    </row>
    <row r="26" spans="1:27" ht="14.4">
      <c r="A26" t="s">
        <v>536</v>
      </c>
      <c r="B26" s="15" t="s">
        <v>104</v>
      </c>
      <c r="C26" s="15" t="str">
        <f>HYPERLINK("01-组织级\01-组织财富库\01-标准过程文件库\03-支持类\05-评审管理\评审指南(QCUBIC-SPI-VV-Guid-Review)V1.2-engl.docx", "engl")</f>
        <v>engl</v>
      </c>
      <c r="D26"/>
      <c r="E26"/>
      <c r="F26" t="s">
        <v>426</v>
      </c>
      <c r="G26"/>
      <c r="H26"/>
      <c r="I26"/>
      <c r="J26"/>
      <c r="K26"/>
      <c r="L26"/>
      <c r="M26"/>
      <c r="N26"/>
      <c r="O26"/>
      <c r="P26"/>
      <c r="Q26"/>
      <c r="R26"/>
      <c r="S26"/>
      <c r="T26"/>
      <c r="U26"/>
      <c r="V26"/>
      <c r="W26"/>
      <c r="X26"/>
      <c r="Y26"/>
      <c r="Z26"/>
      <c r="AA26"/>
    </row>
    <row r="27" spans="1:27" ht="14.4">
      <c r="A27" t="s">
        <v>536</v>
      </c>
      <c r="B27" s="15" t="s">
        <v>104</v>
      </c>
      <c r="C27" s="15" t="str">
        <f>HYPERLINK("02-项目级\P3-主从数据库复制及性能提升项目\02-全程管理\05-评审管理\01-评审缺陷管理表(QCUBIC-XNTS-MC-DefectList)V1.0-engl.xlsx", "engl")</f>
        <v>engl</v>
      </c>
      <c r="D27"/>
      <c r="E27"/>
      <c r="F27"/>
      <c r="G27"/>
      <c r="H27"/>
      <c r="I27" t="s">
        <v>426</v>
      </c>
      <c r="J27" t="s">
        <v>426</v>
      </c>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E554C6D2-F433-4CBF-A894-6C9B73FBC381}"/>
    <hyperlink ref="B17" r:id="rId2" xr:uid="{D1F7471C-F4FD-49F7-AE11-28F96BEA58F4}"/>
    <hyperlink ref="B18" r:id="rId3" xr:uid="{B71D0427-D064-402B-9944-77E28D0AD9B8}"/>
    <hyperlink ref="B19" r:id="rId4" xr:uid="{80A36C35-4409-4E97-95F9-F9C50FDCBAC3}"/>
    <hyperlink ref="B20" r:id="rId5" xr:uid="{3A27F712-FA77-4AF7-9620-6BECF9317314}"/>
    <hyperlink ref="B21" r:id="rId6" xr:uid="{A69DD27A-D8B3-40A4-B8F3-79295A453987}"/>
    <hyperlink ref="B22" r:id="rId7" xr:uid="{A6ECBED3-7B69-4ED0-8A7C-CA63809F83FC}"/>
    <hyperlink ref="B23" r:id="rId8" xr:uid="{D0914094-C348-4D00-90E6-B7B96536874C}"/>
    <hyperlink ref="B24" r:id="rId9" xr:uid="{CC2A7C62-1E07-4913-95AD-C3A1075FE087}"/>
    <hyperlink ref="B25" r:id="rId10" xr:uid="{254E044C-B9F9-433B-9B99-F820C3BAAE2E}"/>
    <hyperlink ref="B26" r:id="rId11" xr:uid="{CB02746F-27AD-41CD-BE6A-5D30531EF872}"/>
    <hyperlink ref="B27" r:id="rId12" xr:uid="{04A5315C-CCAB-4E4E-949D-71A54255D8A8}"/>
  </hyperlinks>
  <pageMargins left="0.7" right="0.7" top="0.75" bottom="0.75" header="0.3" footer="0.3"/>
  <pageSetup orientation="portrait" r:id="rId1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50A6F-36B3-4C65-B2B2-E1941EDD4376}">
  <sheetPr codeName="Sheet11">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2.33203125" style="117" customWidth="1"/>
    <col min="2" max="4" width="7.88671875" style="117" customWidth="1"/>
    <col min="5" max="11" width="15.6640625" style="117" customWidth="1"/>
    <col min="12" max="12" width="50.6640625" style="117" customWidth="1"/>
    <col min="13" max="13" width="3.6640625" style="117" customWidth="1"/>
    <col min="14" max="14" width="21" style="117" customWidth="1"/>
    <col min="15" max="15" width="87.88671875" style="117" customWidth="1"/>
    <col min="16" max="17" width="15.6640625" style="117" customWidth="1"/>
    <col min="18" max="16384" width="8.6640625" style="117"/>
  </cols>
  <sheetData>
    <row r="1" spans="1:27" ht="18">
      <c r="A1" s="105" t="s">
        <v>672</v>
      </c>
      <c r="B1" s="105"/>
      <c r="C1" s="105"/>
      <c r="D1" s="105"/>
      <c r="E1" s="106"/>
      <c r="F1" s="107"/>
      <c r="G1" s="108"/>
      <c r="H1" s="108"/>
      <c r="I1" s="108"/>
      <c r="J1" s="108"/>
      <c r="K1" s="108"/>
      <c r="L1" s="108"/>
      <c r="M1" s="108"/>
      <c r="N1" s="108"/>
      <c r="O1" s="108"/>
      <c r="P1" s="108"/>
      <c r="Q1" s="148"/>
    </row>
    <row r="2" spans="1:27">
      <c r="A2" s="110" t="s">
        <v>447</v>
      </c>
      <c r="B2" s="110"/>
      <c r="C2" s="110"/>
      <c r="D2" s="110"/>
      <c r="E2" s="107" t="s">
        <v>196</v>
      </c>
      <c r="F2" s="107"/>
      <c r="G2" s="108"/>
      <c r="H2" s="108"/>
      <c r="I2" s="108"/>
      <c r="J2" s="108"/>
      <c r="K2" s="108"/>
      <c r="L2" s="108"/>
      <c r="M2" s="108"/>
      <c r="N2" s="108"/>
      <c r="O2" s="108"/>
      <c r="P2" s="108"/>
      <c r="Q2" s="110"/>
    </row>
    <row r="3" spans="1:27">
      <c r="A3" s="107" t="s">
        <v>448</v>
      </c>
      <c r="B3" s="107"/>
      <c r="C3" s="107"/>
      <c r="D3" s="107"/>
      <c r="E3" s="107" t="s">
        <v>197</v>
      </c>
      <c r="F3" s="107"/>
      <c r="G3" s="108"/>
      <c r="H3" s="108"/>
      <c r="I3" s="108"/>
      <c r="J3" s="108"/>
      <c r="K3" s="108"/>
      <c r="L3" s="108"/>
      <c r="M3" s="108"/>
      <c r="N3" s="108"/>
      <c r="O3" s="108"/>
      <c r="P3" s="108"/>
      <c r="Q3" s="93"/>
    </row>
    <row r="4" spans="1:27">
      <c r="A4" s="111"/>
      <c r="B4" s="111"/>
      <c r="C4" s="111"/>
      <c r="D4" s="111"/>
      <c r="E4" s="112" t="s">
        <v>47</v>
      </c>
      <c r="F4" s="149"/>
      <c r="G4" s="113" t="s">
        <v>54</v>
      </c>
      <c r="H4" s="114"/>
      <c r="I4" s="113"/>
      <c r="J4" s="116" t="s">
        <v>56</v>
      </c>
      <c r="K4" s="150"/>
      <c r="L4" s="110"/>
      <c r="M4" s="110"/>
      <c r="N4" s="110"/>
      <c r="O4" s="107"/>
      <c r="P4" s="107"/>
      <c r="Q4" s="107"/>
      <c r="R4" s="107"/>
      <c r="S4" s="110"/>
    </row>
    <row r="5" spans="1:27">
      <c r="A5" s="118"/>
      <c r="B5" s="118"/>
      <c r="C5" s="118"/>
      <c r="D5" s="118"/>
      <c r="E5" s="119" t="s">
        <v>539</v>
      </c>
      <c r="F5" s="149"/>
      <c r="G5" s="120" t="s">
        <v>540</v>
      </c>
      <c r="H5" s="114"/>
      <c r="I5" s="120"/>
      <c r="J5" s="116" t="s">
        <v>541</v>
      </c>
      <c r="K5" s="150"/>
      <c r="L5" s="110"/>
      <c r="M5" s="110"/>
      <c r="N5" s="110"/>
      <c r="O5" s="108"/>
      <c r="P5" s="107"/>
      <c r="Q5" s="118"/>
      <c r="R5" s="107"/>
      <c r="S5" s="110"/>
      <c r="T5" s="118"/>
    </row>
    <row r="6" spans="1:27">
      <c r="A6" s="122"/>
      <c r="B6" s="122"/>
      <c r="C6" s="122"/>
      <c r="D6" s="122"/>
      <c r="E6" s="3" t="s">
        <v>198</v>
      </c>
      <c r="F6" s="3" t="s">
        <v>199</v>
      </c>
      <c r="G6" s="90" t="s">
        <v>200</v>
      </c>
      <c r="H6" s="90" t="s">
        <v>201</v>
      </c>
      <c r="I6" s="90" t="s">
        <v>202</v>
      </c>
      <c r="J6" s="91" t="s">
        <v>203</v>
      </c>
      <c r="K6" s="92" t="s">
        <v>204</v>
      </c>
      <c r="L6" s="93"/>
      <c r="M6" s="93"/>
      <c r="N6" s="93"/>
      <c r="O6" s="108"/>
      <c r="P6" s="108"/>
      <c r="Q6" s="107"/>
    </row>
    <row r="7" spans="1:27" ht="150.6" customHeight="1">
      <c r="A7" s="124" t="s">
        <v>643</v>
      </c>
      <c r="B7" s="124"/>
      <c r="C7" s="124"/>
      <c r="D7" s="124"/>
      <c r="E7" s="97" t="s">
        <v>673</v>
      </c>
      <c r="F7" s="97" t="s">
        <v>674</v>
      </c>
      <c r="G7" s="97" t="s">
        <v>675</v>
      </c>
      <c r="H7" s="97" t="s">
        <v>676</v>
      </c>
      <c r="I7" s="97" t="s">
        <v>677</v>
      </c>
      <c r="J7" s="97" t="s">
        <v>678</v>
      </c>
      <c r="K7" s="97" t="s">
        <v>679</v>
      </c>
      <c r="L7" s="93"/>
      <c r="M7" s="93"/>
      <c r="N7" s="93"/>
      <c r="O7" s="93"/>
      <c r="P7" s="93"/>
      <c r="Q7" s="93"/>
    </row>
    <row r="8" spans="1:27" ht="107.4" customHeight="1">
      <c r="A8" s="122" t="s">
        <v>553</v>
      </c>
      <c r="B8" s="122"/>
      <c r="C8" s="122"/>
      <c r="D8" s="122"/>
      <c r="E8" s="151" t="s">
        <v>680</v>
      </c>
      <c r="F8" s="151" t="s">
        <v>681</v>
      </c>
      <c r="G8" s="151" t="s">
        <v>682</v>
      </c>
      <c r="H8" s="151" t="s">
        <v>683</v>
      </c>
      <c r="I8" s="151" t="s">
        <v>684</v>
      </c>
      <c r="J8" s="151" t="s">
        <v>685</v>
      </c>
      <c r="K8" s="151" t="s">
        <v>686</v>
      </c>
      <c r="L8" s="127"/>
      <c r="M8" s="127"/>
      <c r="N8" s="127"/>
      <c r="O8" s="93"/>
      <c r="P8" s="93"/>
      <c r="Q8" s="93"/>
    </row>
    <row r="9" spans="1:27" ht="144" customHeight="1">
      <c r="A9" s="122" t="s">
        <v>96</v>
      </c>
      <c r="B9" s="122"/>
      <c r="C9" s="122"/>
      <c r="D9" s="122"/>
      <c r="E9" s="125" t="s">
        <v>687</v>
      </c>
      <c r="F9" s="125" t="s">
        <v>688</v>
      </c>
      <c r="G9" s="125" t="s">
        <v>689</v>
      </c>
      <c r="H9" s="125" t="s">
        <v>690</v>
      </c>
      <c r="I9" s="125" t="s">
        <v>691</v>
      </c>
      <c r="J9" s="125" t="s">
        <v>692</v>
      </c>
      <c r="K9" s="125" t="s">
        <v>693</v>
      </c>
      <c r="L9" s="127"/>
      <c r="M9" s="127"/>
      <c r="N9" s="127"/>
      <c r="O9" s="93"/>
      <c r="P9" s="93"/>
      <c r="Q9" s="93"/>
    </row>
    <row r="10" spans="1:27" ht="96.6">
      <c r="A10" s="122" t="s">
        <v>574</v>
      </c>
      <c r="B10" s="122"/>
      <c r="C10" s="122"/>
      <c r="D10" s="122"/>
      <c r="E10" s="141"/>
      <c r="F10" s="141"/>
      <c r="G10" s="156" t="s">
        <v>694</v>
      </c>
      <c r="H10" s="156" t="s">
        <v>695</v>
      </c>
      <c r="I10" s="156" t="s">
        <v>696</v>
      </c>
      <c r="J10" s="156" t="s">
        <v>697</v>
      </c>
      <c r="K10" s="156" t="s">
        <v>698</v>
      </c>
      <c r="L10" s="100"/>
      <c r="M10" s="100"/>
      <c r="N10" s="100"/>
    </row>
    <row r="11" spans="1:27" s="109" customFormat="1" ht="55.2">
      <c r="A11" s="144" t="s">
        <v>85</v>
      </c>
      <c r="B11" s="144"/>
      <c r="C11" s="144"/>
      <c r="D11" s="144"/>
      <c r="E11" s="157"/>
      <c r="F11" s="157"/>
      <c r="G11" s="157" t="s">
        <v>699</v>
      </c>
      <c r="H11" s="157" t="s">
        <v>700</v>
      </c>
      <c r="I11" s="157" t="s">
        <v>701</v>
      </c>
      <c r="J11" s="157" t="s">
        <v>702</v>
      </c>
      <c r="K11" s="157" t="s">
        <v>703</v>
      </c>
      <c r="L11" s="158"/>
      <c r="M11" s="158"/>
      <c r="N11" s="158"/>
    </row>
    <row r="15" spans="1:27" customFormat="1">
      <c r="A15" t="s">
        <v>443</v>
      </c>
      <c r="B15" t="s">
        <v>104</v>
      </c>
      <c r="C15" t="s">
        <v>105</v>
      </c>
      <c r="D15" s="295" t="s">
        <v>442</v>
      </c>
      <c r="E15" s="14" t="s">
        <v>198</v>
      </c>
      <c r="F15" s="14" t="s">
        <v>199</v>
      </c>
      <c r="G15" s="14" t="s">
        <v>200</v>
      </c>
      <c r="H15" s="14" t="s">
        <v>201</v>
      </c>
      <c r="I15" s="14" t="s">
        <v>202</v>
      </c>
      <c r="J15" s="14" t="s">
        <v>203</v>
      </c>
      <c r="K15" s="14" t="s">
        <v>204</v>
      </c>
    </row>
    <row r="16" spans="1:27">
      <c r="A16" t="s">
        <v>536</v>
      </c>
      <c r="B16" s="15" t="s">
        <v>104</v>
      </c>
      <c r="C16" s="15" t="str">
        <f>HYPERLINK("02-项目级\P3-主从数据库复制及性能提升项目\01-生存周期\07-测试\01-测试计划(QCUBIC-XNTS-VV-TestPlan)V1.0-engl.docx", "engl")</f>
        <v>engl</v>
      </c>
      <c r="D16"/>
      <c r="E16" t="s">
        <v>426</v>
      </c>
      <c r="F16" t="s">
        <v>426</v>
      </c>
      <c r="G16" t="s">
        <v>426</v>
      </c>
      <c r="H16" t="s">
        <v>426</v>
      </c>
      <c r="I16" t="s">
        <v>426</v>
      </c>
      <c r="J16" t="s">
        <v>426</v>
      </c>
      <c r="K16" t="s">
        <v>426</v>
      </c>
      <c r="L16"/>
      <c r="M16"/>
      <c r="N16"/>
      <c r="O16"/>
      <c r="P16"/>
      <c r="Q16"/>
      <c r="R16"/>
      <c r="S16"/>
      <c r="T16"/>
      <c r="U16"/>
      <c r="V16"/>
      <c r="W16"/>
      <c r="X16"/>
      <c r="Y16"/>
      <c r="Z16"/>
      <c r="AA16"/>
    </row>
    <row r="17" spans="1:27">
      <c r="A17" t="s">
        <v>536</v>
      </c>
      <c r="B17" s="15" t="s">
        <v>104</v>
      </c>
      <c r="C17" s="15" t="str">
        <f>HYPERLINK("02-项目级\P3-主从数据库复制及性能提升项目\01-生存周期\07-测试\03-系统测试\03-系统测试BUG管理表(QCUBIC-XNTS-VV-STBugList)V1.0-engl.xlsx", "engl")</f>
        <v>engl</v>
      </c>
      <c r="D17"/>
      <c r="E17" t="s">
        <v>426</v>
      </c>
      <c r="F17" t="s">
        <v>426</v>
      </c>
      <c r="G17" t="s">
        <v>426</v>
      </c>
      <c r="H17" t="s">
        <v>426</v>
      </c>
      <c r="I17"/>
      <c r="J17"/>
      <c r="K17"/>
      <c r="L17"/>
      <c r="M17"/>
      <c r="N17"/>
      <c r="O17"/>
      <c r="P17"/>
      <c r="Q17"/>
      <c r="R17"/>
      <c r="S17"/>
      <c r="T17"/>
      <c r="U17"/>
      <c r="V17"/>
      <c r="W17"/>
      <c r="X17"/>
      <c r="Y17"/>
      <c r="Z17"/>
      <c r="AA17"/>
    </row>
    <row r="18" spans="1:27">
      <c r="A18" t="s">
        <v>536</v>
      </c>
      <c r="B18" s="15" t="s">
        <v>104</v>
      </c>
      <c r="C18" s="15" t="str">
        <f>HYPERLINK("02-项目级\P3-主从数据库复制及性能提升项目\01-生存周期\07-测试\03-系统测试\04-系统测试报告(QCUBIC-XNTS-VV-TestReport-SystemTest)V1.0-engl.docx", "engl")</f>
        <v>engl</v>
      </c>
      <c r="D18"/>
      <c r="E18" t="s">
        <v>426</v>
      </c>
      <c r="F18"/>
      <c r="G18" t="s">
        <v>426</v>
      </c>
      <c r="H18" t="s">
        <v>426</v>
      </c>
      <c r="I18" t="s">
        <v>426</v>
      </c>
      <c r="J18"/>
      <c r="K18" t="s">
        <v>426</v>
      </c>
      <c r="L18"/>
      <c r="M18"/>
      <c r="N18"/>
      <c r="O18"/>
      <c r="P18"/>
      <c r="Q18"/>
      <c r="R18"/>
      <c r="S18"/>
      <c r="T18"/>
      <c r="U18"/>
      <c r="V18"/>
      <c r="W18"/>
      <c r="X18"/>
      <c r="Y18"/>
      <c r="Z18"/>
      <c r="AA18"/>
    </row>
    <row r="19" spans="1:27">
      <c r="A19" t="s">
        <v>536</v>
      </c>
      <c r="B19" s="15" t="s">
        <v>104</v>
      </c>
      <c r="C19" s="15" t="str">
        <f>HYPERLINK("02-项目级\P3-主从数据库复制及性能提升项目\01-生存周期\07-测试\02-集成测试\04-集成测试报告(QCUBIC-XNTS-LP_VV_IntegrationTestRet)V1.0-engl.docx", "engl")</f>
        <v>engl</v>
      </c>
      <c r="D19"/>
      <c r="E19" t="s">
        <v>426</v>
      </c>
      <c r="F19"/>
      <c r="G19" t="s">
        <v>426</v>
      </c>
      <c r="H19" t="s">
        <v>426</v>
      </c>
      <c r="I19" t="s">
        <v>426</v>
      </c>
      <c r="J19"/>
      <c r="K19" t="s">
        <v>426</v>
      </c>
      <c r="L19"/>
      <c r="M19"/>
      <c r="N19"/>
      <c r="O19"/>
      <c r="P19"/>
      <c r="Q19"/>
      <c r="R19"/>
      <c r="S19"/>
      <c r="T19"/>
      <c r="U19"/>
      <c r="V19"/>
      <c r="W19"/>
      <c r="X19"/>
      <c r="Y19"/>
      <c r="Z19"/>
      <c r="AA19"/>
    </row>
    <row r="20" spans="1:27">
      <c r="A20" t="s">
        <v>536</v>
      </c>
      <c r="B20" s="15" t="s">
        <v>104</v>
      </c>
      <c r="C20" s="15" t="str">
        <f>HYPERLINK("02-项目级\P3-主从数据库复制及性能提升项目\01-生存周期\08-试运行及验收\02-验收\01-验收计划(QCUBIC-XNTS-DA-AcceptencePlan)V1.0-engl.docx", "engl")</f>
        <v>engl</v>
      </c>
      <c r="D20"/>
      <c r="E20"/>
      <c r="F20" t="s">
        <v>426</v>
      </c>
      <c r="G20"/>
      <c r="H20"/>
      <c r="I20" t="s">
        <v>426</v>
      </c>
      <c r="J20" t="s">
        <v>426</v>
      </c>
      <c r="K20"/>
      <c r="L20"/>
      <c r="M20"/>
      <c r="N20"/>
      <c r="O20"/>
      <c r="P20"/>
      <c r="Q20"/>
      <c r="R20"/>
      <c r="S20"/>
      <c r="T20"/>
      <c r="U20"/>
      <c r="V20"/>
      <c r="W20"/>
      <c r="X20"/>
      <c r="Y20"/>
      <c r="Z20"/>
      <c r="AA20"/>
    </row>
    <row r="21" spans="1:27">
      <c r="A21" t="s">
        <v>536</v>
      </c>
      <c r="B21" s="15" t="s">
        <v>104</v>
      </c>
      <c r="C21" s="15" t="str">
        <f>HYPERLINK("02-项目级\P3-主从数据库复制及性能提升项目\01-生存周期\08-试运行及验收\02-验收\03-验收报告(QCUBIC-XNTS-VV-TestReport-AcceptenceReport)V1.0-engl.docx", "engl")</f>
        <v>engl</v>
      </c>
      <c r="D21"/>
      <c r="E21"/>
      <c r="F21" t="s">
        <v>426</v>
      </c>
      <c r="G21"/>
      <c r="H21"/>
      <c r="I21" t="s">
        <v>426</v>
      </c>
      <c r="J21"/>
      <c r="K21" t="s">
        <v>426</v>
      </c>
      <c r="L21"/>
      <c r="M21"/>
      <c r="N21"/>
      <c r="O21"/>
      <c r="P21"/>
      <c r="Q21"/>
      <c r="R21"/>
      <c r="S21"/>
      <c r="T21"/>
      <c r="U21"/>
      <c r="V21"/>
      <c r="W21"/>
      <c r="X21"/>
      <c r="Y21"/>
      <c r="Z21"/>
      <c r="AA21"/>
    </row>
    <row r="22" spans="1:27">
      <c r="A22" t="s">
        <v>536</v>
      </c>
      <c r="B22" s="15" t="s">
        <v>104</v>
      </c>
      <c r="C22" s="15" t="str">
        <f>HYPERLINK("01-组织级\01-组织财富库\01-标准过程文件库\02-软件工程规范\05-测试\测试用例规范(QCUBIC-SPI-VV-Tem-STD-TestExampleStd)V1.2-engl.docx", "engl")</f>
        <v>engl</v>
      </c>
      <c r="D22"/>
      <c r="E22"/>
      <c r="F22"/>
      <c r="G22"/>
      <c r="H22"/>
      <c r="I22" t="s">
        <v>426</v>
      </c>
      <c r="J22"/>
      <c r="K22"/>
      <c r="L22"/>
      <c r="M22"/>
      <c r="N22"/>
      <c r="O22"/>
      <c r="P22"/>
      <c r="Q22"/>
      <c r="R22"/>
      <c r="S22"/>
      <c r="T22"/>
      <c r="U22"/>
      <c r="V22"/>
      <c r="W22"/>
      <c r="X22"/>
      <c r="Y22"/>
      <c r="Z22"/>
      <c r="AA22"/>
    </row>
    <row r="23" spans="1:27">
      <c r="A23" t="s">
        <v>536</v>
      </c>
      <c r="B23" s="15" t="s">
        <v>104</v>
      </c>
      <c r="C23" s="15" t="str">
        <f>HYPERLINK("01-组织级\01-组织财富库\01-标准过程文件库\02-软件工程规范\06-试运行及验收\试运行及验收过程文件(QCUBIC-SPI-DA-Proc-Doc)V1.2-engl.docx", "engl")</f>
        <v>engl</v>
      </c>
      <c r="D23"/>
      <c r="E23"/>
      <c r="F23"/>
      <c r="G23"/>
      <c r="H23"/>
      <c r="I23" t="s">
        <v>426</v>
      </c>
      <c r="J23"/>
      <c r="K23"/>
      <c r="L23"/>
      <c r="M23"/>
      <c r="N23"/>
      <c r="O23"/>
      <c r="P23"/>
      <c r="Q23"/>
      <c r="R23"/>
      <c r="S23"/>
      <c r="T23"/>
      <c r="U23"/>
      <c r="V23"/>
      <c r="W23"/>
      <c r="X23"/>
      <c r="Y23"/>
      <c r="Z23"/>
      <c r="AA23"/>
    </row>
    <row r="24" spans="1:27">
      <c r="A24" t="s">
        <v>536</v>
      </c>
      <c r="B24" s="15" t="s">
        <v>104</v>
      </c>
      <c r="C24" s="15" t="str">
        <f>HYPERLINK("01-组织级\01-组织财富库\01-标准过程文件库\02-软件工程规范\05-测试\软件测试过程文件(QCUBIC-SPI-Tes-Proc-Doc)V1.2-engl.docx", "engl")</f>
        <v>engl</v>
      </c>
      <c r="D24"/>
      <c r="E24"/>
      <c r="F24"/>
      <c r="G24"/>
      <c r="H24"/>
      <c r="I24" t="s">
        <v>426</v>
      </c>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F7566E37-95E2-4C47-854D-7734A60AFF62}"/>
    <hyperlink ref="B17" r:id="rId2" xr:uid="{3830A48D-E06A-4E32-96EC-D23879ABB9A5}"/>
    <hyperlink ref="B18" r:id="rId3" xr:uid="{A9568384-367E-417D-9252-CCC36C517C10}"/>
    <hyperlink ref="B19" r:id="rId4" xr:uid="{385101F3-E69D-459A-A6AA-716865BCCA8F}"/>
    <hyperlink ref="B20" r:id="rId5" xr:uid="{7F595D5F-AB42-41B1-BD4E-D989ECC307D8}"/>
    <hyperlink ref="B21" r:id="rId6" xr:uid="{3BBD1F4C-9FD1-4773-B0E6-B5E6DDBC2A22}"/>
    <hyperlink ref="B22" r:id="rId7" xr:uid="{DA454FE2-F9AF-4478-8237-08B68AF1A9B2}"/>
    <hyperlink ref="B23" r:id="rId8" xr:uid="{865BB876-904D-482C-A2F1-E842C4FC109D}"/>
    <hyperlink ref="B24" r:id="rId9" xr:uid="{1FC7F414-9CDB-46C4-B245-710F4252C4E2}"/>
  </hyperlinks>
  <pageMargins left="0.7" right="0.7" top="0.75" bottom="0.75" header="0.3" footer="0.3"/>
  <pageSetup paperSize="9" orientation="portrait" horizontalDpi="4294967293" verticalDpi="0" r:id="rId1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4FD96-891C-4CBF-8CDC-EFA7E7E2CC9E}">
  <sheetPr codeName="Sheet12">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5.6640625" style="118" customWidth="1"/>
    <col min="2" max="4" width="7.88671875" style="118" customWidth="1"/>
    <col min="5" max="6" width="18.6640625" style="118" customWidth="1"/>
    <col min="7" max="10" width="18.6640625" style="136" customWidth="1"/>
    <col min="11" max="11" width="102.88671875" style="136" customWidth="1"/>
    <col min="12" max="12" width="3.6640625" style="136" customWidth="1"/>
    <col min="13" max="13" width="31.33203125" style="136" customWidth="1"/>
    <col min="14" max="14" width="78.33203125" style="118" customWidth="1"/>
    <col min="15" max="16384" width="8.6640625" style="118"/>
  </cols>
  <sheetData>
    <row r="1" spans="1:27" s="159" customFormat="1" ht="18">
      <c r="A1" s="105" t="s">
        <v>704</v>
      </c>
      <c r="B1" s="105"/>
      <c r="C1" s="105"/>
      <c r="D1" s="105"/>
      <c r="G1" s="160"/>
      <c r="H1" s="160"/>
      <c r="I1" s="160"/>
      <c r="J1" s="160"/>
      <c r="K1" s="160"/>
      <c r="L1" s="160"/>
      <c r="M1" s="160"/>
    </row>
    <row r="2" spans="1:27" s="107" customFormat="1">
      <c r="A2" s="110" t="s">
        <v>447</v>
      </c>
      <c r="B2" s="110"/>
      <c r="C2" s="110"/>
      <c r="D2" s="110"/>
      <c r="E2" s="107" t="s">
        <v>156</v>
      </c>
      <c r="G2" s="136"/>
      <c r="H2" s="136"/>
      <c r="I2" s="136"/>
      <c r="J2" s="136"/>
      <c r="K2" s="136"/>
      <c r="L2" s="136"/>
      <c r="M2" s="136"/>
    </row>
    <row r="3" spans="1:27" s="107" customFormat="1">
      <c r="A3" s="107" t="s">
        <v>448</v>
      </c>
      <c r="E3" s="107" t="s">
        <v>157</v>
      </c>
      <c r="G3" s="136"/>
      <c r="H3" s="136"/>
      <c r="I3" s="136"/>
      <c r="J3" s="136"/>
      <c r="K3" s="136"/>
      <c r="L3" s="136"/>
      <c r="M3" s="136"/>
    </row>
    <row r="4" spans="1:27" ht="14.4">
      <c r="A4" s="111"/>
      <c r="B4" s="111"/>
      <c r="C4" s="111"/>
      <c r="D4" s="111"/>
      <c r="E4" s="112" t="s">
        <v>47</v>
      </c>
      <c r="F4" s="113" t="s">
        <v>54</v>
      </c>
      <c r="G4" s="113"/>
      <c r="H4" s="114"/>
      <c r="I4" s="113"/>
      <c r="J4" s="116" t="s">
        <v>56</v>
      </c>
      <c r="K4" s="107"/>
      <c r="L4" s="107"/>
      <c r="M4" s="107"/>
      <c r="N4" s="117"/>
    </row>
    <row r="5" spans="1:27" s="130" customFormat="1" ht="14.4">
      <c r="A5" s="118"/>
      <c r="B5" s="118"/>
      <c r="C5" s="118"/>
      <c r="D5" s="118"/>
      <c r="E5" s="119" t="s">
        <v>539</v>
      </c>
      <c r="F5" s="120" t="s">
        <v>540</v>
      </c>
      <c r="G5" s="120"/>
      <c r="H5" s="114"/>
      <c r="I5" s="120"/>
      <c r="J5" s="116" t="s">
        <v>541</v>
      </c>
      <c r="K5" s="107"/>
      <c r="L5" s="107"/>
      <c r="M5" s="107"/>
      <c r="N5" s="117"/>
    </row>
    <row r="6" spans="1:27" s="130" customFormat="1">
      <c r="A6" s="135"/>
      <c r="B6" s="135"/>
      <c r="C6" s="135"/>
      <c r="D6" s="135"/>
      <c r="E6" s="3" t="s">
        <v>158</v>
      </c>
      <c r="F6" s="90" t="s">
        <v>159</v>
      </c>
      <c r="G6" s="90" t="s">
        <v>161</v>
      </c>
      <c r="H6" s="90" t="s">
        <v>162</v>
      </c>
      <c r="I6" s="90" t="s">
        <v>163</v>
      </c>
      <c r="J6" s="91" t="s">
        <v>164</v>
      </c>
      <c r="K6" s="93"/>
      <c r="L6" s="93"/>
      <c r="M6" s="93"/>
    </row>
    <row r="7" spans="1:27" s="130" customFormat="1" ht="123" customHeight="1">
      <c r="A7" s="124" t="s">
        <v>643</v>
      </c>
      <c r="B7" s="124"/>
      <c r="C7" s="124"/>
      <c r="D7" s="124"/>
      <c r="E7" s="97" t="s">
        <v>705</v>
      </c>
      <c r="F7" s="97" t="s">
        <v>706</v>
      </c>
      <c r="G7" s="97" t="s">
        <v>707</v>
      </c>
      <c r="H7" s="97" t="s">
        <v>708</v>
      </c>
      <c r="I7" s="97" t="s">
        <v>709</v>
      </c>
      <c r="J7" s="97" t="s">
        <v>710</v>
      </c>
      <c r="K7" s="93"/>
      <c r="L7" s="93"/>
      <c r="M7" s="93"/>
    </row>
    <row r="8" spans="1:27" s="130" customFormat="1" ht="83.4" customHeight="1">
      <c r="A8" s="135" t="s">
        <v>553</v>
      </c>
      <c r="B8" s="135"/>
      <c r="C8" s="135"/>
      <c r="D8" s="135"/>
      <c r="E8" s="98" t="s">
        <v>711</v>
      </c>
      <c r="F8" s="98" t="s">
        <v>712</v>
      </c>
      <c r="G8" s="98" t="s">
        <v>713</v>
      </c>
      <c r="H8" s="98" t="s">
        <v>714</v>
      </c>
      <c r="I8" s="98" t="s">
        <v>715</v>
      </c>
      <c r="J8" s="98" t="s">
        <v>716</v>
      </c>
      <c r="K8" s="99"/>
      <c r="L8" s="99"/>
      <c r="M8" s="99"/>
    </row>
    <row r="9" spans="1:27" s="130" customFormat="1" ht="180">
      <c r="A9" s="135" t="s">
        <v>96</v>
      </c>
      <c r="B9" s="135"/>
      <c r="C9" s="135"/>
      <c r="D9" s="135"/>
      <c r="E9" s="98" t="s">
        <v>717</v>
      </c>
      <c r="F9" s="98" t="s">
        <v>718</v>
      </c>
      <c r="G9" s="98" t="s">
        <v>719</v>
      </c>
      <c r="H9" s="98" t="s">
        <v>720</v>
      </c>
      <c r="I9" s="98" t="s">
        <v>721</v>
      </c>
      <c r="J9" s="98" t="s">
        <v>722</v>
      </c>
      <c r="K9" s="99"/>
      <c r="L9" s="99"/>
      <c r="M9" s="99"/>
    </row>
    <row r="10" spans="1:27" s="130" customFormat="1" ht="207">
      <c r="A10" s="122" t="s">
        <v>574</v>
      </c>
      <c r="B10" s="122"/>
      <c r="C10" s="122"/>
      <c r="D10" s="122"/>
      <c r="E10" s="102" t="s">
        <v>723</v>
      </c>
      <c r="F10" s="102" t="s">
        <v>724</v>
      </c>
      <c r="G10" s="102" t="s">
        <v>725</v>
      </c>
      <c r="H10" s="102" t="s">
        <v>726</v>
      </c>
      <c r="I10" s="102" t="s">
        <v>727</v>
      </c>
      <c r="J10" s="102" t="s">
        <v>728</v>
      </c>
      <c r="K10" s="152"/>
      <c r="L10" s="152"/>
      <c r="M10" s="152"/>
    </row>
    <row r="11" spans="1:27" s="130" customFormat="1" ht="134.4">
      <c r="A11" s="161" t="s">
        <v>85</v>
      </c>
      <c r="B11" s="161"/>
      <c r="C11" s="161"/>
      <c r="D11" s="161"/>
      <c r="E11" s="103"/>
      <c r="F11" s="162" t="s">
        <v>729</v>
      </c>
      <c r="G11" s="102" t="s">
        <v>730</v>
      </c>
      <c r="H11" s="102" t="s">
        <v>731</v>
      </c>
      <c r="I11" s="163" t="s">
        <v>732</v>
      </c>
      <c r="J11" s="102" t="s">
        <v>733</v>
      </c>
      <c r="K11" s="152"/>
      <c r="L11" s="152"/>
      <c r="M11" s="152"/>
      <c r="N11" s="136"/>
      <c r="O11" s="136"/>
      <c r="P11" s="136"/>
      <c r="Q11" s="136"/>
    </row>
    <row r="12" spans="1:27" s="117" customFormat="1" ht="14.4">
      <c r="A12" s="118"/>
      <c r="B12" s="118"/>
      <c r="C12" s="118"/>
      <c r="D12" s="118"/>
      <c r="E12" s="118"/>
      <c r="F12" s="118"/>
      <c r="G12" s="136"/>
      <c r="H12" s="136"/>
      <c r="I12" s="136"/>
      <c r="J12" s="136"/>
      <c r="K12" s="136"/>
      <c r="L12" s="136"/>
      <c r="M12" s="136"/>
    </row>
    <row r="13" spans="1:27" s="117" customFormat="1" ht="14.4">
      <c r="A13" s="118"/>
      <c r="B13" s="118"/>
      <c r="C13" s="118"/>
      <c r="D13" s="118"/>
      <c r="E13" s="118"/>
      <c r="F13" s="118"/>
      <c r="G13" s="136"/>
      <c r="H13" s="136"/>
      <c r="I13" s="136"/>
      <c r="J13" s="136"/>
      <c r="K13" s="136"/>
      <c r="L13" s="136"/>
      <c r="M13" s="136"/>
    </row>
    <row r="14" spans="1:27" s="117" customFormat="1" ht="14.4">
      <c r="A14" s="118"/>
      <c r="B14" s="118"/>
      <c r="C14" s="118"/>
      <c r="D14" s="118"/>
      <c r="E14" s="118"/>
      <c r="F14" s="118"/>
      <c r="G14" s="136"/>
      <c r="H14" s="136"/>
      <c r="I14" s="136"/>
      <c r="J14" s="136"/>
      <c r="K14" s="136"/>
      <c r="L14" s="136"/>
      <c r="M14" s="136"/>
    </row>
    <row r="15" spans="1:27" customFormat="1" ht="14.4">
      <c r="A15" t="s">
        <v>443</v>
      </c>
      <c r="B15" t="s">
        <v>104</v>
      </c>
      <c r="C15" t="s">
        <v>105</v>
      </c>
      <c r="D15" s="295" t="s">
        <v>442</v>
      </c>
      <c r="E15" s="14" t="s">
        <v>158</v>
      </c>
      <c r="F15" s="14" t="s">
        <v>159</v>
      </c>
      <c r="G15" s="14" t="s">
        <v>161</v>
      </c>
      <c r="H15" s="14" t="s">
        <v>162</v>
      </c>
      <c r="I15" s="14" t="s">
        <v>163</v>
      </c>
      <c r="J15" s="14" t="s">
        <v>164</v>
      </c>
    </row>
    <row r="16" spans="1:27" s="130" customFormat="1" ht="14.4">
      <c r="A16" t="s">
        <v>536</v>
      </c>
      <c r="B16" s="15" t="s">
        <v>104</v>
      </c>
      <c r="C16" s="15" t="str">
        <f>HYPERLINK("01-组织级\02-组织工作库\03-PQA活动库\组织级的质量保证计划(QCUBIC-SPI-PQA-OQAPlan)V1.4-engl.xlsx", "engl")</f>
        <v>engl</v>
      </c>
      <c r="D16"/>
      <c r="E16" t="s">
        <v>426</v>
      </c>
      <c r="F16" t="s">
        <v>426</v>
      </c>
      <c r="G16" t="s">
        <v>426</v>
      </c>
      <c r="H16" t="s">
        <v>426</v>
      </c>
      <c r="I16" t="s">
        <v>426</v>
      </c>
      <c r="J16" t="s">
        <v>426</v>
      </c>
      <c r="K16"/>
      <c r="L16"/>
      <c r="M16"/>
      <c r="N16"/>
      <c r="O16"/>
      <c r="P16"/>
      <c r="Q16"/>
      <c r="R16"/>
      <c r="S16"/>
      <c r="T16"/>
      <c r="U16"/>
      <c r="V16"/>
      <c r="W16"/>
      <c r="X16"/>
      <c r="Y16"/>
      <c r="Z16"/>
      <c r="AA16"/>
    </row>
    <row r="17" spans="1:27" s="130" customFormat="1" ht="14.4">
      <c r="A17" t="s">
        <v>536</v>
      </c>
      <c r="B17" s="15" t="s">
        <v>104</v>
      </c>
      <c r="C17" s="15" t="str">
        <f>HYPERLINK("01-组织级\02-组织工作库\03-PQA活动库\组织级不符合项管理表(QCUBIC-SPI-PQA-NCList)V1.2-engl.xlsx", "engl")</f>
        <v>engl</v>
      </c>
      <c r="D17"/>
      <c r="E17" t="s">
        <v>426</v>
      </c>
      <c r="F17" t="s">
        <v>426</v>
      </c>
      <c r="G17"/>
      <c r="H17" t="s">
        <v>426</v>
      </c>
      <c r="I17" t="s">
        <v>426</v>
      </c>
      <c r="J17"/>
      <c r="K17"/>
      <c r="L17"/>
      <c r="M17"/>
      <c r="N17"/>
      <c r="O17"/>
      <c r="P17"/>
      <c r="Q17"/>
      <c r="R17"/>
      <c r="S17"/>
      <c r="T17"/>
      <c r="U17"/>
      <c r="V17"/>
      <c r="W17"/>
      <c r="X17"/>
      <c r="Y17"/>
      <c r="Z17"/>
      <c r="AA17"/>
    </row>
    <row r="18" spans="1:27" s="130" customFormat="1" ht="14.4">
      <c r="A18" t="s">
        <v>536</v>
      </c>
      <c r="B18" s="15" t="s">
        <v>104</v>
      </c>
      <c r="C18" s="15" t="str">
        <f>HYPERLINK("01-组织级\02-组织工作库\03-PQA活动库\组织级工作产品和过程检查表(QCUBIC-ORG-PQA-Checklist_20200627)V1.0-engl.xlsx", "engl")</f>
        <v>engl</v>
      </c>
      <c r="D18"/>
      <c r="E18"/>
      <c r="F18"/>
      <c r="G18" t="s">
        <v>426</v>
      </c>
      <c r="H18"/>
      <c r="I18"/>
      <c r="J18"/>
      <c r="K18"/>
      <c r="L18"/>
      <c r="M18"/>
      <c r="N18"/>
      <c r="O18"/>
      <c r="P18"/>
      <c r="Q18"/>
      <c r="R18"/>
      <c r="S18"/>
      <c r="T18"/>
      <c r="U18"/>
      <c r="V18"/>
      <c r="W18"/>
      <c r="X18"/>
      <c r="Y18"/>
      <c r="Z18"/>
      <c r="AA18"/>
    </row>
    <row r="19" spans="1:27" s="130" customFormat="1" ht="14.4">
      <c r="A19" t="s">
        <v>536</v>
      </c>
      <c r="B19" s="15" t="s">
        <v>104</v>
      </c>
      <c r="C19" s="15" t="str">
        <f>HYPERLINK("01-组织级\02-组织工作库\03-PQA活动库\组织质量保证报告\质量保证报告(QCUBIC-SPI-PQA-Report_20200627)V1.0-engl.xlsx", "engl")</f>
        <v>engl</v>
      </c>
      <c r="D19"/>
      <c r="E19"/>
      <c r="F19"/>
      <c r="G19"/>
      <c r="H19"/>
      <c r="I19" t="s">
        <v>426</v>
      </c>
      <c r="J19"/>
      <c r="K19"/>
      <c r="L19"/>
      <c r="M19"/>
      <c r="N19"/>
      <c r="O19"/>
      <c r="P19"/>
      <c r="Q19"/>
      <c r="R19"/>
      <c r="S19"/>
      <c r="T19"/>
      <c r="U19"/>
      <c r="V19"/>
      <c r="W19"/>
      <c r="X19"/>
      <c r="Y19"/>
      <c r="Z19"/>
      <c r="AA19"/>
    </row>
    <row r="20" spans="1:27" s="130" customFormat="1" ht="14.4">
      <c r="A20" t="s">
        <v>536</v>
      </c>
      <c r="B20" s="15" t="s">
        <v>104</v>
      </c>
      <c r="C20" s="15" t="str">
        <f>HYPERLINK("01-组织级\02-组织工作库\02-EPG活动库\07-EPG跟踪\05-过程改进建议表\过程改进建议表(QCUBIC-SPI-PIM-SPIAdvic)V1.2-engl.xlsx", "engl")</f>
        <v>engl</v>
      </c>
      <c r="D20"/>
      <c r="E20"/>
      <c r="F20"/>
      <c r="G20"/>
      <c r="H20"/>
      <c r="I20"/>
      <c r="J20" t="s">
        <v>426</v>
      </c>
      <c r="K20"/>
      <c r="L20"/>
      <c r="M20"/>
      <c r="N20"/>
      <c r="O20"/>
      <c r="P20"/>
      <c r="Q20"/>
      <c r="R20"/>
      <c r="S20"/>
      <c r="T20"/>
      <c r="U20"/>
      <c r="V20"/>
      <c r="W20"/>
      <c r="X20"/>
      <c r="Y20"/>
      <c r="Z20"/>
      <c r="AA20"/>
    </row>
    <row r="21" spans="1:27" s="130" customFormat="1" ht="14.4">
      <c r="A21"/>
      <c r="B21"/>
      <c r="C21"/>
      <c r="D21"/>
      <c r="E21"/>
      <c r="F21"/>
      <c r="G21"/>
      <c r="H21"/>
      <c r="I21"/>
      <c r="J21"/>
      <c r="K21"/>
      <c r="L21"/>
      <c r="M21"/>
      <c r="N21"/>
      <c r="O21"/>
      <c r="P21"/>
      <c r="Q21"/>
      <c r="R21"/>
      <c r="S21"/>
      <c r="T21"/>
      <c r="U21"/>
      <c r="V21"/>
      <c r="W21"/>
      <c r="X21"/>
      <c r="Y21"/>
      <c r="Z21"/>
      <c r="AA21"/>
    </row>
    <row r="22" spans="1:27" s="130" customFormat="1" ht="14.4">
      <c r="A22"/>
      <c r="B22"/>
      <c r="C22"/>
      <c r="D22"/>
      <c r="E22"/>
      <c r="F22"/>
      <c r="G22"/>
      <c r="H22"/>
      <c r="I22"/>
      <c r="J22"/>
      <c r="K22"/>
      <c r="L22"/>
      <c r="M22"/>
      <c r="N22"/>
      <c r="O22"/>
      <c r="P22"/>
      <c r="Q22"/>
      <c r="R22"/>
      <c r="S22"/>
      <c r="T22"/>
      <c r="U22"/>
      <c r="V22"/>
      <c r="W22"/>
      <c r="X22"/>
      <c r="Y22"/>
      <c r="Z22"/>
      <c r="AA22"/>
    </row>
    <row r="23" spans="1:27" s="130" customFormat="1" ht="14.4">
      <c r="A23"/>
      <c r="B23"/>
      <c r="C23"/>
      <c r="D23"/>
      <c r="E23"/>
      <c r="F23"/>
      <c r="G23"/>
      <c r="H23"/>
      <c r="I23"/>
      <c r="J23"/>
      <c r="K23"/>
      <c r="L23"/>
      <c r="M23"/>
      <c r="N23"/>
      <c r="O23"/>
      <c r="P23"/>
      <c r="Q23"/>
      <c r="R23"/>
      <c r="S23"/>
      <c r="T23"/>
      <c r="U23"/>
      <c r="V23"/>
      <c r="W23"/>
      <c r="X23"/>
      <c r="Y23"/>
      <c r="Z23"/>
      <c r="AA23"/>
    </row>
    <row r="24" spans="1:27" s="140" customFormat="1" ht="14.4">
      <c r="A24"/>
      <c r="B24"/>
      <c r="C24"/>
      <c r="D24"/>
      <c r="E24"/>
      <c r="F24"/>
      <c r="G24"/>
      <c r="H24"/>
      <c r="I24"/>
      <c r="J24"/>
      <c r="K24"/>
      <c r="L24"/>
      <c r="M24"/>
      <c r="N24"/>
      <c r="O24"/>
      <c r="P24"/>
      <c r="Q24"/>
      <c r="R24"/>
      <c r="S24"/>
      <c r="T24"/>
      <c r="U24"/>
      <c r="V24"/>
      <c r="W24"/>
      <c r="X24"/>
      <c r="Y24"/>
      <c r="Z24"/>
      <c r="AA24"/>
    </row>
    <row r="25" spans="1:27" s="140" customFormat="1" ht="14.4">
      <c r="A25"/>
      <c r="B25"/>
      <c r="C25"/>
      <c r="D25"/>
      <c r="E25"/>
      <c r="F25"/>
      <c r="G25"/>
      <c r="H25"/>
      <c r="I25"/>
      <c r="J25"/>
      <c r="K25"/>
      <c r="L25"/>
      <c r="M25"/>
      <c r="N25"/>
      <c r="O25"/>
      <c r="P25"/>
      <c r="Q25"/>
      <c r="R25"/>
      <c r="S25"/>
      <c r="T25"/>
      <c r="U25"/>
      <c r="V25"/>
      <c r="W25"/>
      <c r="X25"/>
      <c r="Y25"/>
      <c r="Z25"/>
      <c r="AA25"/>
    </row>
    <row r="26" spans="1:27" s="140" customFormat="1" ht="14.4">
      <c r="A26"/>
      <c r="B26"/>
      <c r="C26"/>
      <c r="D26"/>
      <c r="E26"/>
      <c r="F26"/>
      <c r="G26"/>
      <c r="H26"/>
      <c r="I26"/>
      <c r="J26"/>
      <c r="K26"/>
      <c r="L26"/>
      <c r="M26"/>
      <c r="N26"/>
      <c r="O26"/>
      <c r="P26"/>
      <c r="Q26"/>
      <c r="R26"/>
      <c r="S26"/>
      <c r="T26"/>
      <c r="U26"/>
      <c r="V26"/>
      <c r="W26"/>
      <c r="X26"/>
      <c r="Y26"/>
      <c r="Z26"/>
      <c r="AA26"/>
    </row>
    <row r="27" spans="1:27" s="140" customFormat="1" ht="14.4">
      <c r="A27"/>
      <c r="B27"/>
      <c r="C27"/>
      <c r="D27"/>
      <c r="E27"/>
      <c r="F27"/>
      <c r="G27"/>
      <c r="H27"/>
      <c r="I27"/>
      <c r="J27"/>
      <c r="K27"/>
      <c r="L27"/>
      <c r="M27"/>
      <c r="N27"/>
      <c r="O27"/>
      <c r="P27"/>
      <c r="Q27"/>
      <c r="R27"/>
      <c r="S27"/>
      <c r="T27"/>
      <c r="U27"/>
      <c r="V27"/>
      <c r="W27"/>
      <c r="X27"/>
      <c r="Y27"/>
      <c r="Z27"/>
      <c r="AA27"/>
    </row>
    <row r="28" spans="1:27" s="140" customFormat="1" ht="14.4">
      <c r="A28"/>
      <c r="B28"/>
      <c r="C28"/>
      <c r="D28"/>
      <c r="E28"/>
      <c r="F28"/>
      <c r="G28"/>
      <c r="H28"/>
      <c r="I28"/>
      <c r="J28"/>
      <c r="K28"/>
      <c r="L28"/>
      <c r="M28"/>
      <c r="N28"/>
      <c r="O28"/>
      <c r="P28"/>
      <c r="Q28"/>
      <c r="R28"/>
      <c r="S28"/>
      <c r="T28"/>
      <c r="U28"/>
      <c r="V28"/>
      <c r="W28"/>
      <c r="X28"/>
      <c r="Y28"/>
      <c r="Z28"/>
      <c r="AA28"/>
    </row>
    <row r="29" spans="1:27" s="140" customFormat="1" ht="14.4">
      <c r="A29"/>
      <c r="B29"/>
      <c r="C29"/>
      <c r="D29"/>
      <c r="E29"/>
      <c r="F29"/>
      <c r="G29"/>
      <c r="H29"/>
      <c r="I29"/>
      <c r="J29"/>
      <c r="K29"/>
      <c r="L29"/>
      <c r="M29"/>
      <c r="N29"/>
      <c r="O29"/>
      <c r="P29"/>
      <c r="Q29"/>
      <c r="R29"/>
      <c r="S29"/>
      <c r="T29"/>
      <c r="U29"/>
      <c r="V29"/>
      <c r="W29"/>
      <c r="X29"/>
      <c r="Y29"/>
      <c r="Z29"/>
      <c r="AA29"/>
    </row>
    <row r="30" spans="1:27" s="140" customFormat="1" ht="14.4">
      <c r="A30"/>
      <c r="B30"/>
      <c r="C30"/>
      <c r="D30"/>
      <c r="E30"/>
      <c r="F30"/>
      <c r="G30"/>
      <c r="H30"/>
      <c r="I30"/>
      <c r="J30"/>
      <c r="K30"/>
      <c r="L30"/>
      <c r="M30"/>
      <c r="N30"/>
      <c r="O30"/>
      <c r="P30"/>
      <c r="Q30"/>
      <c r="R30"/>
      <c r="S30"/>
      <c r="T30"/>
      <c r="U30"/>
      <c r="V30"/>
      <c r="W30"/>
      <c r="X30"/>
      <c r="Y30"/>
      <c r="Z30"/>
      <c r="AA30"/>
    </row>
    <row r="31" spans="1:27" s="140" customFormat="1" ht="14.4">
      <c r="A31"/>
      <c r="B31"/>
      <c r="C31"/>
      <c r="D31"/>
      <c r="E31"/>
      <c r="F31"/>
      <c r="G31"/>
      <c r="H31"/>
      <c r="I31"/>
      <c r="J31"/>
      <c r="K31"/>
      <c r="L31"/>
      <c r="M31"/>
      <c r="N31"/>
      <c r="O31"/>
      <c r="P31"/>
      <c r="Q31"/>
      <c r="R31"/>
      <c r="S31"/>
      <c r="T31"/>
      <c r="U31"/>
      <c r="V31"/>
      <c r="W31"/>
      <c r="X31"/>
      <c r="Y31"/>
      <c r="Z31"/>
      <c r="AA31"/>
    </row>
    <row r="32" spans="1:27" s="140" customFormat="1" ht="14.4">
      <c r="A32"/>
      <c r="B32"/>
      <c r="C32"/>
      <c r="D32"/>
      <c r="E32"/>
      <c r="F32"/>
      <c r="G32"/>
      <c r="H32"/>
      <c r="I32"/>
      <c r="J32"/>
      <c r="K32"/>
      <c r="L32"/>
      <c r="M32"/>
      <c r="N32"/>
      <c r="O32"/>
      <c r="P32"/>
      <c r="Q32"/>
      <c r="R32"/>
      <c r="S32"/>
      <c r="T32"/>
      <c r="U32"/>
      <c r="V32"/>
      <c r="W32"/>
      <c r="X32"/>
      <c r="Y32"/>
      <c r="Z32"/>
      <c r="AA32"/>
    </row>
    <row r="33" spans="1:27" s="140" customFormat="1" ht="14.4">
      <c r="A33"/>
      <c r="B33"/>
      <c r="C33"/>
      <c r="D33"/>
      <c r="E33"/>
      <c r="F33"/>
      <c r="G33"/>
      <c r="H33"/>
      <c r="I33"/>
      <c r="J33"/>
      <c r="K33"/>
      <c r="L33"/>
      <c r="M33"/>
      <c r="N33"/>
      <c r="O33"/>
      <c r="P33"/>
      <c r="Q33"/>
      <c r="R33"/>
      <c r="S33"/>
      <c r="T33"/>
      <c r="U33"/>
      <c r="V33"/>
      <c r="W33"/>
      <c r="X33"/>
      <c r="Y33"/>
      <c r="Z33"/>
      <c r="AA33"/>
    </row>
    <row r="34" spans="1:27" s="140" customFormat="1" ht="14.4">
      <c r="A34"/>
      <c r="B34"/>
      <c r="C34"/>
      <c r="D34"/>
      <c r="E34"/>
      <c r="F34"/>
      <c r="G34"/>
      <c r="H34"/>
      <c r="I34"/>
      <c r="J34"/>
      <c r="K34"/>
      <c r="L34"/>
      <c r="M34"/>
      <c r="N34"/>
      <c r="O34"/>
      <c r="P34"/>
      <c r="Q34"/>
      <c r="R34"/>
      <c r="S34"/>
      <c r="T34"/>
      <c r="U34"/>
      <c r="V34"/>
      <c r="W34"/>
      <c r="X34"/>
      <c r="Y34"/>
      <c r="Z34"/>
      <c r="AA34"/>
    </row>
    <row r="35" spans="1:27" s="140" customFormat="1" ht="14.4">
      <c r="A35"/>
      <c r="B35"/>
      <c r="C35"/>
      <c r="D35"/>
      <c r="E35"/>
      <c r="F35"/>
      <c r="G35"/>
      <c r="H35"/>
      <c r="I35"/>
      <c r="J35"/>
      <c r="K35"/>
      <c r="L35"/>
      <c r="M35"/>
      <c r="N35"/>
      <c r="O35"/>
      <c r="P35"/>
      <c r="Q35"/>
      <c r="R35"/>
      <c r="S35"/>
      <c r="T35"/>
      <c r="U35"/>
      <c r="V35"/>
      <c r="W35"/>
      <c r="X35"/>
      <c r="Y35"/>
      <c r="Z35"/>
      <c r="AA35"/>
    </row>
    <row r="36" spans="1:27" s="140" customFormat="1" ht="14.4">
      <c r="A36"/>
      <c r="B36"/>
      <c r="C36"/>
      <c r="D36"/>
      <c r="E36"/>
      <c r="F36"/>
      <c r="G36"/>
      <c r="H36"/>
      <c r="I36"/>
      <c r="J36"/>
      <c r="K36"/>
      <c r="L36"/>
      <c r="M36"/>
      <c r="N36"/>
      <c r="O36"/>
      <c r="P36"/>
      <c r="Q36"/>
      <c r="R36"/>
      <c r="S36"/>
      <c r="T36"/>
      <c r="U36"/>
      <c r="V36"/>
      <c r="W36"/>
      <c r="X36"/>
      <c r="Y36"/>
      <c r="Z36"/>
      <c r="AA36"/>
    </row>
    <row r="37" spans="1:27" s="140" customFormat="1" ht="14.4">
      <c r="A37"/>
      <c r="B37"/>
      <c r="C37"/>
      <c r="D37"/>
      <c r="E37"/>
      <c r="F37"/>
      <c r="G37"/>
      <c r="H37"/>
      <c r="I37"/>
      <c r="J37"/>
      <c r="K37"/>
      <c r="L37"/>
      <c r="M37"/>
      <c r="N37"/>
      <c r="O37"/>
      <c r="P37"/>
      <c r="Q37"/>
      <c r="R37"/>
      <c r="S37"/>
      <c r="T37"/>
      <c r="U37"/>
      <c r="V37"/>
      <c r="W37"/>
      <c r="X37"/>
      <c r="Y37"/>
      <c r="Z37"/>
      <c r="AA37"/>
    </row>
    <row r="38" spans="1:27" s="140" customFormat="1" ht="14.4">
      <c r="A38"/>
      <c r="B38"/>
      <c r="C38"/>
      <c r="D38"/>
      <c r="E38"/>
      <c r="F38"/>
      <c r="G38"/>
      <c r="H38"/>
      <c r="I38"/>
      <c r="J38"/>
      <c r="K38"/>
      <c r="L38"/>
      <c r="M38"/>
      <c r="N38"/>
      <c r="O38"/>
      <c r="P38"/>
      <c r="Q38"/>
      <c r="R38"/>
      <c r="S38"/>
      <c r="T38"/>
      <c r="U38"/>
      <c r="V38"/>
      <c r="W38"/>
      <c r="X38"/>
      <c r="Y38"/>
      <c r="Z38"/>
      <c r="AA38"/>
    </row>
    <row r="39" spans="1:27" s="140" customFormat="1" ht="14.4">
      <c r="A39"/>
      <c r="B39"/>
      <c r="C39"/>
      <c r="D39"/>
      <c r="E39"/>
      <c r="F39"/>
      <c r="G39"/>
      <c r="H39"/>
      <c r="I39"/>
      <c r="J39"/>
      <c r="K39"/>
      <c r="L39"/>
      <c r="M39"/>
      <c r="N39"/>
      <c r="O39"/>
      <c r="P39"/>
      <c r="Q39"/>
      <c r="R39"/>
      <c r="S39"/>
      <c r="T39"/>
      <c r="U39"/>
      <c r="V39"/>
      <c r="W39"/>
      <c r="X39"/>
      <c r="Y39"/>
      <c r="Z39"/>
      <c r="AA39"/>
    </row>
    <row r="40" spans="1:27" s="140" customFormat="1" ht="14.4">
      <c r="A40"/>
      <c r="B40"/>
      <c r="C40"/>
      <c r="D40"/>
      <c r="E40"/>
      <c r="F40"/>
      <c r="G40"/>
      <c r="H40"/>
      <c r="I40"/>
      <c r="J40"/>
      <c r="K40"/>
      <c r="L40"/>
      <c r="M40"/>
      <c r="N40"/>
      <c r="O40"/>
      <c r="P40"/>
      <c r="Q40"/>
      <c r="R40"/>
      <c r="S40"/>
      <c r="T40"/>
      <c r="U40"/>
      <c r="V40"/>
      <c r="W40"/>
      <c r="X40"/>
      <c r="Y40"/>
      <c r="Z40"/>
      <c r="AA40"/>
    </row>
    <row r="41" spans="1:27" s="140" customFormat="1" ht="14.4">
      <c r="A41"/>
      <c r="B41"/>
      <c r="C41"/>
      <c r="D41"/>
      <c r="E41"/>
      <c r="F41"/>
      <c r="G41"/>
      <c r="H41"/>
      <c r="I41"/>
      <c r="J41"/>
      <c r="K41"/>
      <c r="L41"/>
      <c r="M41"/>
      <c r="N41"/>
      <c r="O41"/>
      <c r="P41"/>
      <c r="Q41"/>
      <c r="R41"/>
      <c r="S41"/>
      <c r="T41"/>
      <c r="U41"/>
      <c r="V41"/>
      <c r="W41"/>
      <c r="X41"/>
      <c r="Y41"/>
      <c r="Z41"/>
      <c r="AA41"/>
    </row>
    <row r="42" spans="1:27" s="140" customFormat="1" ht="14.4">
      <c r="A42"/>
      <c r="B42"/>
      <c r="C42"/>
      <c r="D42"/>
      <c r="E42"/>
      <c r="F42"/>
      <c r="G42"/>
      <c r="H42"/>
      <c r="I42"/>
      <c r="J42"/>
      <c r="K42"/>
      <c r="L42"/>
      <c r="M42"/>
      <c r="N42"/>
      <c r="O42"/>
      <c r="P42"/>
      <c r="Q42"/>
      <c r="R42"/>
      <c r="S42"/>
      <c r="T42"/>
      <c r="U42"/>
      <c r="V42"/>
      <c r="W42"/>
      <c r="X42"/>
      <c r="Y42"/>
      <c r="Z42"/>
      <c r="AA42"/>
    </row>
    <row r="43" spans="1:27" s="140" customFormat="1" ht="14.4">
      <c r="A43"/>
      <c r="B43"/>
      <c r="C43"/>
      <c r="D43"/>
      <c r="E43"/>
      <c r="F43"/>
      <c r="G43"/>
      <c r="H43"/>
      <c r="I43"/>
      <c r="J43"/>
      <c r="K43"/>
      <c r="L43"/>
      <c r="M43"/>
      <c r="N43"/>
      <c r="O43"/>
      <c r="P43"/>
      <c r="Q43"/>
      <c r="R43"/>
      <c r="S43"/>
      <c r="T43"/>
      <c r="U43"/>
      <c r="V43"/>
      <c r="W43"/>
      <c r="X43"/>
      <c r="Y43"/>
      <c r="Z43"/>
      <c r="AA43"/>
    </row>
    <row r="44" spans="1:27" s="140" customFormat="1"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80566F14-6DE8-4BE1-8C93-731DDF7A8039}"/>
    <hyperlink ref="B17" r:id="rId2" xr:uid="{92603AC0-A011-4947-B0EE-63E162CF946C}"/>
    <hyperlink ref="B18" r:id="rId3" xr:uid="{133533DB-2CF2-4D78-A426-6CE68DAF5C5E}"/>
    <hyperlink ref="B19" r:id="rId4" xr:uid="{B2969D20-DDD0-4431-B8A5-FCE2BF6B0768}"/>
    <hyperlink ref="B20" r:id="rId5" xr:uid="{E09CAB9F-43CD-4784-9206-10F805EAB645}"/>
  </hyperlinks>
  <pageMargins left="0.69930555555555596" right="0.69930555555555596" top="0.75" bottom="0.75" header="0.3" footer="0.3"/>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DF83E-BB14-4FD7-B5AA-38B6FDD36307}">
  <sheetPr codeName="Sheet13">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3.109375" style="109" customWidth="1"/>
    <col min="2" max="4" width="7.88671875" style="109" customWidth="1"/>
    <col min="5" max="18" width="15.6640625" style="117" customWidth="1"/>
    <col min="19" max="19" width="83.109375" style="117" customWidth="1"/>
    <col min="20" max="20" width="3.6640625" style="117" customWidth="1"/>
    <col min="21" max="21" width="45.6640625" style="117" customWidth="1"/>
    <col min="22" max="22" width="121.5546875" style="117" customWidth="1"/>
    <col min="23" max="24" width="15.6640625" style="117" customWidth="1"/>
    <col min="25" max="25" width="20" style="117" bestFit="1" customWidth="1"/>
    <col min="26" max="16384" width="8.6640625" style="117"/>
  </cols>
  <sheetData>
    <row r="1" spans="1:27" s="168" customFormat="1" ht="15.6">
      <c r="A1" s="164" t="s">
        <v>734</v>
      </c>
      <c r="B1" s="164"/>
      <c r="C1" s="164"/>
      <c r="D1" s="164"/>
      <c r="E1" s="165"/>
      <c r="F1" s="165"/>
      <c r="G1" s="166"/>
      <c r="H1" s="166"/>
      <c r="I1" s="166"/>
      <c r="J1" s="166"/>
      <c r="K1" s="166"/>
      <c r="L1" s="166"/>
      <c r="M1" s="166"/>
      <c r="N1" s="166"/>
      <c r="O1" s="166"/>
      <c r="P1" s="166"/>
      <c r="Q1" s="166"/>
      <c r="R1" s="167"/>
      <c r="S1" s="167"/>
      <c r="T1" s="167"/>
      <c r="U1" s="167"/>
    </row>
    <row r="2" spans="1:27">
      <c r="A2" s="110" t="s">
        <v>447</v>
      </c>
      <c r="B2" s="110"/>
      <c r="C2" s="110"/>
      <c r="D2" s="110"/>
      <c r="E2" s="107" t="s">
        <v>176</v>
      </c>
      <c r="F2" s="107"/>
      <c r="G2" s="107"/>
      <c r="H2" s="108"/>
      <c r="I2" s="108"/>
      <c r="J2" s="108"/>
      <c r="K2" s="108"/>
      <c r="L2" s="108"/>
      <c r="M2" s="108"/>
      <c r="N2" s="108"/>
      <c r="O2" s="108"/>
      <c r="P2" s="108"/>
      <c r="Q2" s="108"/>
      <c r="R2" s="110"/>
      <c r="S2" s="110"/>
      <c r="T2" s="110"/>
      <c r="U2" s="110"/>
    </row>
    <row r="3" spans="1:27">
      <c r="A3" s="107" t="s">
        <v>448</v>
      </c>
      <c r="B3" s="107"/>
      <c r="C3" s="107"/>
      <c r="D3" s="107"/>
      <c r="E3" s="107" t="s">
        <v>177</v>
      </c>
      <c r="F3" s="107"/>
      <c r="G3" s="107"/>
      <c r="H3" s="108"/>
      <c r="I3" s="108"/>
      <c r="J3" s="108"/>
      <c r="K3" s="108"/>
      <c r="L3" s="108"/>
      <c r="M3" s="108"/>
      <c r="N3" s="108"/>
      <c r="O3" s="108"/>
      <c r="P3" s="108"/>
      <c r="Q3" s="108"/>
      <c r="R3" s="93"/>
      <c r="S3" s="93"/>
      <c r="T3" s="93"/>
      <c r="U3" s="93"/>
    </row>
    <row r="4" spans="1:27">
      <c r="A4" s="111"/>
      <c r="B4" s="111"/>
      <c r="C4" s="111"/>
      <c r="D4" s="111"/>
      <c r="E4" s="112" t="s">
        <v>47</v>
      </c>
      <c r="F4" s="113" t="s">
        <v>54</v>
      </c>
      <c r="G4" s="113"/>
      <c r="H4" s="114"/>
      <c r="I4" s="113"/>
      <c r="J4" s="115"/>
      <c r="K4" s="115"/>
      <c r="L4" s="116" t="s">
        <v>56</v>
      </c>
      <c r="M4" s="116"/>
      <c r="N4" s="116"/>
      <c r="O4" s="116"/>
      <c r="P4" s="116"/>
      <c r="Q4" s="116"/>
      <c r="R4" s="150"/>
      <c r="S4" s="110"/>
      <c r="T4" s="110"/>
      <c r="U4" s="110"/>
    </row>
    <row r="5" spans="1:27">
      <c r="A5" s="118"/>
      <c r="B5" s="118"/>
      <c r="C5" s="118"/>
      <c r="D5" s="118"/>
      <c r="E5" s="119" t="s">
        <v>539</v>
      </c>
      <c r="F5" s="120" t="s">
        <v>540</v>
      </c>
      <c r="G5" s="120"/>
      <c r="H5" s="114"/>
      <c r="I5" s="120"/>
      <c r="J5" s="115"/>
      <c r="K5" s="115"/>
      <c r="L5" s="116" t="s">
        <v>541</v>
      </c>
      <c r="M5" s="121"/>
      <c r="N5" s="121"/>
      <c r="O5" s="116"/>
      <c r="P5" s="169"/>
      <c r="Q5" s="116"/>
      <c r="R5" s="150"/>
      <c r="S5" s="110"/>
      <c r="T5" s="110"/>
      <c r="U5" s="110"/>
    </row>
    <row r="6" spans="1:27">
      <c r="A6" s="122"/>
      <c r="B6" s="122"/>
      <c r="C6" s="122"/>
      <c r="D6" s="122"/>
      <c r="E6" s="3" t="s">
        <v>178</v>
      </c>
      <c r="F6" s="90" t="s">
        <v>179</v>
      </c>
      <c r="G6" s="90" t="s">
        <v>180</v>
      </c>
      <c r="H6" s="90" t="s">
        <v>181</v>
      </c>
      <c r="I6" s="90" t="s">
        <v>182</v>
      </c>
      <c r="J6" s="90" t="s">
        <v>184</v>
      </c>
      <c r="K6" s="90" t="s">
        <v>185</v>
      </c>
      <c r="L6" s="91" t="s">
        <v>186</v>
      </c>
      <c r="M6" s="91" t="s">
        <v>187</v>
      </c>
      <c r="N6" s="91" t="s">
        <v>188</v>
      </c>
      <c r="O6" s="91" t="s">
        <v>190</v>
      </c>
      <c r="P6" s="91" t="s">
        <v>191</v>
      </c>
      <c r="Q6" s="91" t="s">
        <v>192</v>
      </c>
      <c r="R6" s="92" t="s">
        <v>194</v>
      </c>
      <c r="S6" s="93"/>
      <c r="T6" s="93"/>
      <c r="U6" s="93"/>
    </row>
    <row r="7" spans="1:27" ht="138" customHeight="1">
      <c r="A7" s="124" t="s">
        <v>643</v>
      </c>
      <c r="B7" s="124"/>
      <c r="C7" s="124"/>
      <c r="D7" s="124"/>
      <c r="E7" s="97" t="s">
        <v>735</v>
      </c>
      <c r="F7" s="97" t="s">
        <v>736</v>
      </c>
      <c r="G7" s="97" t="s">
        <v>737</v>
      </c>
      <c r="H7" s="97" t="s">
        <v>738</v>
      </c>
      <c r="I7" s="97" t="s">
        <v>739</v>
      </c>
      <c r="J7" s="97" t="s">
        <v>740</v>
      </c>
      <c r="K7" s="97" t="s">
        <v>741</v>
      </c>
      <c r="L7" s="97" t="s">
        <v>742</v>
      </c>
      <c r="M7" s="97" t="s">
        <v>743</v>
      </c>
      <c r="N7" s="97" t="s">
        <v>744</v>
      </c>
      <c r="O7" s="97" t="s">
        <v>745</v>
      </c>
      <c r="P7" s="97" t="s">
        <v>746</v>
      </c>
      <c r="Q7" s="97" t="s">
        <v>747</v>
      </c>
      <c r="R7" s="97" t="s">
        <v>748</v>
      </c>
      <c r="S7" s="93"/>
      <c r="T7" s="93"/>
      <c r="U7" s="93"/>
    </row>
    <row r="8" spans="1:27" ht="107.85" customHeight="1">
      <c r="A8" s="122" t="s">
        <v>553</v>
      </c>
      <c r="B8" s="122"/>
      <c r="C8" s="122"/>
      <c r="D8" s="122"/>
      <c r="E8" s="98" t="s">
        <v>749</v>
      </c>
      <c r="F8" s="98" t="s">
        <v>750</v>
      </c>
      <c r="G8" s="98" t="s">
        <v>751</v>
      </c>
      <c r="H8" s="98" t="s">
        <v>752</v>
      </c>
      <c r="I8" s="98" t="s">
        <v>753</v>
      </c>
      <c r="J8" s="98" t="s">
        <v>754</v>
      </c>
      <c r="K8" s="98" t="s">
        <v>755</v>
      </c>
      <c r="L8" s="98" t="s">
        <v>756</v>
      </c>
      <c r="M8" s="98" t="s">
        <v>757</v>
      </c>
      <c r="N8" s="98" t="s">
        <v>758</v>
      </c>
      <c r="O8" s="98" t="s">
        <v>759</v>
      </c>
      <c r="P8" s="98" t="s">
        <v>760</v>
      </c>
      <c r="Q8" s="98" t="s">
        <v>761</v>
      </c>
      <c r="R8" s="98" t="s">
        <v>762</v>
      </c>
      <c r="S8" s="99"/>
      <c r="T8" s="99"/>
      <c r="U8" s="99"/>
    </row>
    <row r="9" spans="1:27" ht="165.6" customHeight="1">
      <c r="A9" s="122" t="s">
        <v>96</v>
      </c>
      <c r="B9" s="122"/>
      <c r="C9" s="122"/>
      <c r="D9" s="122"/>
      <c r="E9" s="125" t="s">
        <v>763</v>
      </c>
      <c r="F9" s="125" t="s">
        <v>764</v>
      </c>
      <c r="G9" s="98" t="s">
        <v>765</v>
      </c>
      <c r="H9" s="125" t="s">
        <v>766</v>
      </c>
      <c r="I9" s="125" t="s">
        <v>767</v>
      </c>
      <c r="J9" s="125" t="s">
        <v>768</v>
      </c>
      <c r="K9" s="125" t="s">
        <v>769</v>
      </c>
      <c r="L9" s="125" t="s">
        <v>770</v>
      </c>
      <c r="M9" s="125" t="s">
        <v>771</v>
      </c>
      <c r="N9" s="125" t="s">
        <v>772</v>
      </c>
      <c r="O9" s="125" t="s">
        <v>773</v>
      </c>
      <c r="P9" s="125" t="s">
        <v>774</v>
      </c>
      <c r="Q9" s="125" t="s">
        <v>775</v>
      </c>
      <c r="R9" s="125" t="s">
        <v>776</v>
      </c>
      <c r="S9" s="127"/>
      <c r="T9" s="127"/>
      <c r="U9" s="127"/>
    </row>
    <row r="10" spans="1:27" ht="134.1" customHeight="1">
      <c r="A10" s="122" t="s">
        <v>574</v>
      </c>
      <c r="B10" s="122"/>
      <c r="C10" s="122"/>
      <c r="D10" s="122"/>
      <c r="E10" s="102" t="s">
        <v>777</v>
      </c>
      <c r="F10" s="102" t="s">
        <v>778</v>
      </c>
      <c r="G10" s="102" t="s">
        <v>779</v>
      </c>
      <c r="H10" s="102" t="s">
        <v>780</v>
      </c>
      <c r="I10" s="102" t="s">
        <v>781</v>
      </c>
      <c r="J10" s="103" t="s">
        <v>782</v>
      </c>
      <c r="K10" s="103" t="s">
        <v>783</v>
      </c>
      <c r="L10" s="103" t="s">
        <v>784</v>
      </c>
      <c r="M10" s="102" t="s">
        <v>785</v>
      </c>
      <c r="N10" s="102" t="s">
        <v>786</v>
      </c>
      <c r="O10" s="102" t="s">
        <v>787</v>
      </c>
      <c r="P10" s="102" t="s">
        <v>788</v>
      </c>
      <c r="Q10" s="102" t="s">
        <v>789</v>
      </c>
      <c r="R10" s="102" t="s">
        <v>790</v>
      </c>
      <c r="S10" s="152"/>
      <c r="T10" s="152"/>
      <c r="U10" s="152"/>
    </row>
    <row r="11" spans="1:27" ht="82.8">
      <c r="A11" s="135" t="s">
        <v>85</v>
      </c>
      <c r="B11" s="135"/>
      <c r="C11" s="135"/>
      <c r="D11" s="135"/>
      <c r="E11" s="102"/>
      <c r="F11" s="102" t="s">
        <v>791</v>
      </c>
      <c r="G11" s="102" t="s">
        <v>792</v>
      </c>
      <c r="H11" s="102" t="s">
        <v>793</v>
      </c>
      <c r="I11" s="102" t="s">
        <v>794</v>
      </c>
      <c r="J11" s="103" t="s">
        <v>795</v>
      </c>
      <c r="K11" s="103" t="s">
        <v>796</v>
      </c>
      <c r="L11" s="103" t="s">
        <v>797</v>
      </c>
      <c r="M11" s="102" t="s">
        <v>798</v>
      </c>
      <c r="N11" s="102" t="s">
        <v>799</v>
      </c>
      <c r="O11" s="102" t="s">
        <v>800</v>
      </c>
      <c r="P11" s="102" t="s">
        <v>801</v>
      </c>
      <c r="Q11" s="102" t="s">
        <v>802</v>
      </c>
      <c r="R11" s="102" t="s">
        <v>803</v>
      </c>
      <c r="S11" s="152"/>
      <c r="T11" s="152"/>
      <c r="U11" s="152"/>
    </row>
    <row r="15" spans="1:27" customFormat="1">
      <c r="A15" t="s">
        <v>443</v>
      </c>
      <c r="B15" t="s">
        <v>104</v>
      </c>
      <c r="C15" t="s">
        <v>105</v>
      </c>
      <c r="D15" s="295" t="s">
        <v>442</v>
      </c>
      <c r="E15" s="14" t="s">
        <v>178</v>
      </c>
      <c r="F15" s="14" t="s">
        <v>179</v>
      </c>
      <c r="G15" s="14" t="s">
        <v>180</v>
      </c>
      <c r="H15" s="14" t="s">
        <v>181</v>
      </c>
      <c r="I15" s="14" t="s">
        <v>182</v>
      </c>
      <c r="J15" s="14" t="s">
        <v>184</v>
      </c>
      <c r="K15" s="14" t="s">
        <v>185</v>
      </c>
      <c r="L15" s="14" t="s">
        <v>186</v>
      </c>
      <c r="M15" s="14" t="s">
        <v>187</v>
      </c>
      <c r="N15" s="14" t="s">
        <v>188</v>
      </c>
      <c r="O15" s="14" t="s">
        <v>190</v>
      </c>
      <c r="P15" s="14" t="s">
        <v>191</v>
      </c>
      <c r="Q15" s="14" t="s">
        <v>192</v>
      </c>
      <c r="R15" s="14" t="s">
        <v>194</v>
      </c>
    </row>
    <row r="16" spans="1:27">
      <c r="A16" t="s">
        <v>536</v>
      </c>
      <c r="B16" s="15" t="s">
        <v>104</v>
      </c>
      <c r="C16" s="15" t="str">
        <f>HYPERLINK("02-项目级\P3-主从数据库复制及性能提升项目\01-生存周期\04-需求\04-需求调研报告\01-需求调研报告(QCUBIC-XNTS-RDM-Report-20220113pm)V1.0-engl.docx", "engl")</f>
        <v>engl</v>
      </c>
      <c r="D16"/>
      <c r="E16" t="s">
        <v>426</v>
      </c>
      <c r="F16"/>
      <c r="G16"/>
      <c r="H16"/>
      <c r="I16"/>
      <c r="J16"/>
      <c r="K16"/>
      <c r="L16"/>
      <c r="M16"/>
      <c r="N16"/>
      <c r="O16"/>
      <c r="P16"/>
      <c r="Q16"/>
      <c r="R16" t="s">
        <v>426</v>
      </c>
      <c r="S16"/>
      <c r="T16"/>
      <c r="U16"/>
      <c r="V16"/>
      <c r="W16"/>
      <c r="X16"/>
      <c r="Y16"/>
      <c r="Z16"/>
      <c r="AA16"/>
    </row>
    <row r="17" spans="1:27">
      <c r="A17" t="s">
        <v>536</v>
      </c>
      <c r="B17" s="15" t="s">
        <v>104</v>
      </c>
      <c r="C17" s="15" t="str">
        <f>HYPERLINK("02-项目级\P3-主从数据库复制及性能提升项目\01-生存周期\04-需求\02-需求规格说明书 (QCUBIC-XNTS-RDM-SRS)V1.1-engl.docx", "engl")</f>
        <v>engl</v>
      </c>
      <c r="D17"/>
      <c r="E17" t="s">
        <v>426</v>
      </c>
      <c r="F17" t="s">
        <v>426</v>
      </c>
      <c r="G17" t="s">
        <v>426</v>
      </c>
      <c r="H17" t="s">
        <v>426</v>
      </c>
      <c r="I17" t="s">
        <v>426</v>
      </c>
      <c r="J17" t="s">
        <v>426</v>
      </c>
      <c r="K17"/>
      <c r="L17" t="s">
        <v>426</v>
      </c>
      <c r="M17" t="s">
        <v>426</v>
      </c>
      <c r="N17" t="s">
        <v>426</v>
      </c>
      <c r="O17" t="s">
        <v>426</v>
      </c>
      <c r="P17" t="s">
        <v>426</v>
      </c>
      <c r="Q17" t="s">
        <v>426</v>
      </c>
      <c r="R17" t="s">
        <v>426</v>
      </c>
      <c r="S17"/>
      <c r="T17"/>
      <c r="U17"/>
      <c r="V17"/>
      <c r="W17"/>
      <c r="X17"/>
      <c r="Y17"/>
      <c r="Z17"/>
      <c r="AA17"/>
    </row>
    <row r="18" spans="1:27">
      <c r="A18" t="s">
        <v>536</v>
      </c>
      <c r="B18" s="15" t="s">
        <v>104</v>
      </c>
      <c r="C18" s="15" t="str">
        <f>HYPERLINK("02-项目级\P3-主从数据库复制及性能提升项目\01-生存周期\04-需求\03-用户需求说明书(QCUBIC-XNTS-RDM-CRS)V1.1-engl.docx", "engl")</f>
        <v>engl</v>
      </c>
      <c r="D18"/>
      <c r="E18"/>
      <c r="F18" t="s">
        <v>426</v>
      </c>
      <c r="G18" t="s">
        <v>426</v>
      </c>
      <c r="H18" t="s">
        <v>426</v>
      </c>
      <c r="I18" t="s">
        <v>426</v>
      </c>
      <c r="J18"/>
      <c r="K18"/>
      <c r="L18"/>
      <c r="M18"/>
      <c r="N18"/>
      <c r="O18"/>
      <c r="P18"/>
      <c r="Q18"/>
      <c r="R18"/>
      <c r="S18"/>
      <c r="T18"/>
      <c r="U18"/>
      <c r="V18"/>
      <c r="W18"/>
      <c r="X18"/>
      <c r="Y18"/>
      <c r="Z18"/>
      <c r="AA18"/>
    </row>
    <row r="19" spans="1:27">
      <c r="A19" t="s">
        <v>536</v>
      </c>
      <c r="B19" s="15" t="s">
        <v>104</v>
      </c>
      <c r="C19" s="15" t="str">
        <f>HYPERLINK("02-项目级\P3-主从数据库复制及性能提升项目\02-全程管理\05-评审管理\04-需求评审\01-需求规格说明书\05-评审报告_需求规格说明书(QCUBIC-XNTS-PR-ReviewRpt)V1.1-engl.xlsx", "engl")</f>
        <v>engl</v>
      </c>
      <c r="D19"/>
      <c r="E19"/>
      <c r="F19"/>
      <c r="G19"/>
      <c r="H19" t="s">
        <v>426</v>
      </c>
      <c r="I19" t="s">
        <v>426</v>
      </c>
      <c r="J19"/>
      <c r="K19"/>
      <c r="L19"/>
      <c r="M19"/>
      <c r="N19"/>
      <c r="O19"/>
      <c r="P19" t="s">
        <v>426</v>
      </c>
      <c r="Q19" t="s">
        <v>426</v>
      </c>
      <c r="R19" t="s">
        <v>426</v>
      </c>
      <c r="S19"/>
      <c r="T19"/>
      <c r="U19"/>
      <c r="V19"/>
      <c r="W19"/>
      <c r="X19"/>
      <c r="Y19"/>
      <c r="Z19"/>
      <c r="AA19"/>
    </row>
    <row r="20" spans="1:27">
      <c r="A20" t="s">
        <v>536</v>
      </c>
      <c r="B20" s="15" t="s">
        <v>104</v>
      </c>
      <c r="C20" s="15" t="str">
        <f>HYPERLINK("02-项目级\P3-主从数据库复制及性能提升项目\02-全程管理\05-评审管理\04-需求评审\01-需求规格说明书\02-评审检查表_需求规格说明书(QCUBIC-XNTS-PR-Revchklist)V1.0-engl.xlsx", "engl")</f>
        <v>engl</v>
      </c>
      <c r="D20"/>
      <c r="E20"/>
      <c r="F20"/>
      <c r="G20"/>
      <c r="H20"/>
      <c r="I20" t="s">
        <v>426</v>
      </c>
      <c r="J20"/>
      <c r="K20"/>
      <c r="L20"/>
      <c r="M20"/>
      <c r="N20"/>
      <c r="O20"/>
      <c r="P20" t="s">
        <v>426</v>
      </c>
      <c r="Q20"/>
      <c r="R20"/>
      <c r="S20"/>
      <c r="T20"/>
      <c r="U20"/>
      <c r="V20"/>
      <c r="W20"/>
      <c r="X20"/>
      <c r="Y20"/>
      <c r="Z20"/>
      <c r="AA20"/>
    </row>
    <row r="21" spans="1:27">
      <c r="A21" t="s">
        <v>536</v>
      </c>
      <c r="B21" s="15" t="s">
        <v>104</v>
      </c>
      <c r="C21" s="15" t="str">
        <f>HYPERLINK("02-项目级\P3-主从数据库复制及性能提升项目\01-生存周期\04-需求\05-需求跟踪矩阵\01-需求跟踪矩阵(QCUBIC-XNTS-RDM-RTX)V1.1-engl.xlsx", "engl")</f>
        <v>engl</v>
      </c>
      <c r="D21"/>
      <c r="E21"/>
      <c r="F21"/>
      <c r="G21"/>
      <c r="H21"/>
      <c r="I21"/>
      <c r="J21" t="s">
        <v>426</v>
      </c>
      <c r="K21" t="s">
        <v>426</v>
      </c>
      <c r="L21"/>
      <c r="M21"/>
      <c r="N21"/>
      <c r="O21"/>
      <c r="P21"/>
      <c r="Q21"/>
      <c r="R21"/>
      <c r="S21"/>
      <c r="T21"/>
      <c r="U21"/>
      <c r="V21"/>
      <c r="W21"/>
      <c r="X21"/>
      <c r="Y21"/>
      <c r="Z21"/>
      <c r="AA21"/>
    </row>
    <row r="22" spans="1:27">
      <c r="A22" t="s">
        <v>536</v>
      </c>
      <c r="B22" s="15" t="s">
        <v>104</v>
      </c>
      <c r="C22" s="15" t="str">
        <f>HYPERLINK("02-项目级\P3-主从数据库复制及性能提升项目\01-生存周期\03-项目策划\03-项目计划书 (QCUBIC-XNTS-PLAN-Plan)V1.1-engl.docx", "engl")</f>
        <v>engl</v>
      </c>
      <c r="D22"/>
      <c r="E22"/>
      <c r="F22"/>
      <c r="G22"/>
      <c r="H22"/>
      <c r="I22"/>
      <c r="J22"/>
      <c r="K22" t="s">
        <v>426</v>
      </c>
      <c r="L22"/>
      <c r="M22"/>
      <c r="N22"/>
      <c r="O22"/>
      <c r="P22"/>
      <c r="Q22"/>
      <c r="R22"/>
      <c r="S22"/>
      <c r="T22"/>
      <c r="U22"/>
      <c r="V22"/>
      <c r="W22"/>
      <c r="X22"/>
      <c r="Y22"/>
      <c r="Z22"/>
      <c r="AA22"/>
    </row>
    <row r="23" spans="1:27">
      <c r="A23" t="s">
        <v>536</v>
      </c>
      <c r="B23" s="15" t="s">
        <v>104</v>
      </c>
      <c r="C23" s="15" t="str">
        <f>HYPERLINK("02-项目级\P3-主从数据库复制及性能提升项目\01-生存周期\04-需求\01-需求调研计划(QCUBIC-XNTS-RDM-Plan)V1.0-engl.docx", "engl")</f>
        <v>engl</v>
      </c>
      <c r="D23"/>
      <c r="E23"/>
      <c r="F23"/>
      <c r="G23"/>
      <c r="H23"/>
      <c r="I23"/>
      <c r="J23"/>
      <c r="K23" t="s">
        <v>426</v>
      </c>
      <c r="L23"/>
      <c r="M23"/>
      <c r="N23"/>
      <c r="O23"/>
      <c r="P23"/>
      <c r="Q23"/>
      <c r="R23"/>
      <c r="S23"/>
      <c r="T23"/>
      <c r="U23"/>
      <c r="V23"/>
      <c r="W23"/>
      <c r="X23"/>
      <c r="Y23"/>
      <c r="Z23"/>
      <c r="AA23"/>
    </row>
    <row r="24" spans="1:27">
      <c r="A24" t="s">
        <v>536</v>
      </c>
      <c r="B24" s="15" t="s">
        <v>104</v>
      </c>
      <c r="C24" s="15" t="str">
        <f>HYPERLINK("02-项目级\P3-主从数据库复制及性能提升项目\02-全程管理\06-变更管理\03-变更结果报告(QCUBIC-XNTS-mc-changereport_001)V1.0-engl.docx", "engl")</f>
        <v>engl</v>
      </c>
      <c r="D24"/>
      <c r="E24"/>
      <c r="F24"/>
      <c r="G24"/>
      <c r="H24"/>
      <c r="I24"/>
      <c r="J24"/>
      <c r="K24" t="s">
        <v>426</v>
      </c>
      <c r="L24" t="s">
        <v>426</v>
      </c>
      <c r="M24"/>
      <c r="N24"/>
      <c r="O24"/>
      <c r="P24"/>
      <c r="Q24"/>
      <c r="R24"/>
      <c r="S24"/>
      <c r="T24"/>
      <c r="U24"/>
      <c r="V24"/>
      <c r="W24"/>
      <c r="X24"/>
      <c r="Y24"/>
      <c r="Z24"/>
      <c r="AA24"/>
    </row>
    <row r="25" spans="1:27">
      <c r="A25" t="s">
        <v>536</v>
      </c>
      <c r="B25" s="15" t="s">
        <v>104</v>
      </c>
      <c r="C25" s="15" t="str">
        <f>HYPERLINK("02-项目级\P3-主从数据库复制及性能提升项目\02-全程管理\06-变更管理\02-变更列表(QCUBIC-XNTS-MC-CRecoRDM)V1.0-engl.xlsx", "engl")</f>
        <v>engl</v>
      </c>
      <c r="D25"/>
      <c r="E25"/>
      <c r="F25"/>
      <c r="G25"/>
      <c r="H25"/>
      <c r="I25"/>
      <c r="J25"/>
      <c r="K25"/>
      <c r="L25" t="s">
        <v>426</v>
      </c>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EDD6E5E7-3E9D-4DE1-B092-6B5FA2085DBA}"/>
    <hyperlink ref="B17" r:id="rId2" xr:uid="{D27B6389-6A54-4BCB-8F02-D77DDCF5A876}"/>
    <hyperlink ref="B18" r:id="rId3" xr:uid="{27EDFAE1-CF20-4AE2-B12F-E0C70A2A12CF}"/>
    <hyperlink ref="B19" r:id="rId4" xr:uid="{EE85D32D-DADE-4256-BCA6-C7DE32FAF384}"/>
    <hyperlink ref="B20" r:id="rId5" xr:uid="{522B9B41-7A34-4F00-A8F3-4945610EC2C3}"/>
    <hyperlink ref="B21" r:id="rId6" xr:uid="{F896990D-02DF-433F-A01E-6DE595DEF0EA}"/>
    <hyperlink ref="B22" r:id="rId7" xr:uid="{2E0F8112-D185-4440-A951-33E8C565163D}"/>
    <hyperlink ref="B23" r:id="rId8" xr:uid="{A3D21641-06BC-4B0D-BF85-7ED812451FBE}"/>
    <hyperlink ref="B24" r:id="rId9" xr:uid="{BAA5D7B1-EAD3-4D36-A8CF-EFAFF0422981}"/>
    <hyperlink ref="B25" r:id="rId10" xr:uid="{5A59ED6C-372B-4224-B441-054AA09D5D2B}"/>
  </hyperlinks>
  <pageMargins left="0.7" right="0.7" top="0.75" bottom="0.75" header="0.3" footer="0.3"/>
  <pageSetup paperSize="9" orientation="portrait" r:id="rId1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18F39-4F04-48C8-BB8B-4F410662D687}">
  <sheetPr codeName="Sheet15">
    <tabColor rgb="FFB682B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7.33203125" style="118" customWidth="1"/>
    <col min="2" max="4" width="7.88671875" style="118" customWidth="1"/>
    <col min="5" max="7" width="15.6640625" style="118" customWidth="1"/>
    <col min="8" max="9" width="15.6640625" style="136" customWidth="1"/>
    <col min="10" max="15" width="15.6640625" style="118" customWidth="1"/>
    <col min="16" max="16" width="15.6640625" style="118" hidden="1" customWidth="1"/>
    <col min="17" max="17" width="15" style="118" customWidth="1"/>
    <col min="18" max="18" width="3.6640625" style="118" customWidth="1"/>
    <col min="19" max="19" width="40.109375" style="118" bestFit="1" customWidth="1"/>
    <col min="20" max="20" width="87.33203125" style="118" customWidth="1"/>
    <col min="21" max="16384" width="8.6640625" style="118"/>
  </cols>
  <sheetData>
    <row r="1" spans="1:27" s="107" customFormat="1" ht="18">
      <c r="A1" s="105" t="s">
        <v>804</v>
      </c>
      <c r="B1" s="105"/>
      <c r="C1" s="105"/>
      <c r="D1" s="105"/>
      <c r="E1" s="106"/>
      <c r="H1" s="136"/>
      <c r="I1" s="136"/>
      <c r="T1" s="118"/>
    </row>
    <row r="2" spans="1:27" s="107" customFormat="1">
      <c r="A2" s="110" t="s">
        <v>447</v>
      </c>
      <c r="B2" s="110"/>
      <c r="C2" s="110"/>
      <c r="D2" s="110"/>
      <c r="E2" s="366" t="s">
        <v>251</v>
      </c>
      <c r="F2" s="366"/>
      <c r="G2" s="366"/>
      <c r="H2" s="366"/>
      <c r="I2" s="366"/>
      <c r="J2" s="366"/>
      <c r="T2" s="118"/>
    </row>
    <row r="3" spans="1:27" s="107" customFormat="1">
      <c r="A3" s="107" t="s">
        <v>448</v>
      </c>
      <c r="E3" s="107" t="s">
        <v>414</v>
      </c>
      <c r="H3" s="136"/>
      <c r="I3" s="136"/>
      <c r="T3" s="118"/>
    </row>
    <row r="4" spans="1:27" s="107" customFormat="1" ht="14.4">
      <c r="A4" s="111"/>
      <c r="B4" s="111"/>
      <c r="C4" s="111"/>
      <c r="D4" s="111"/>
      <c r="E4" s="112" t="s">
        <v>47</v>
      </c>
      <c r="F4" s="149"/>
      <c r="G4" s="112"/>
      <c r="H4" s="113" t="s">
        <v>54</v>
      </c>
      <c r="I4" s="113"/>
      <c r="J4" s="116" t="s">
        <v>56</v>
      </c>
      <c r="K4" s="150"/>
      <c r="L4" s="150"/>
      <c r="M4" s="116"/>
      <c r="N4" s="116"/>
      <c r="O4" s="116" t="s">
        <v>56</v>
      </c>
      <c r="P4" s="173" t="s">
        <v>57</v>
      </c>
      <c r="Q4" s="117"/>
      <c r="R4" s="117"/>
      <c r="S4" s="117"/>
      <c r="T4" s="118"/>
      <c r="U4" s="110"/>
      <c r="V4" s="117"/>
      <c r="W4" s="117"/>
    </row>
    <row r="5" spans="1:27" ht="14.4">
      <c r="E5" s="119" t="s">
        <v>539</v>
      </c>
      <c r="F5" s="149"/>
      <c r="G5" s="119"/>
      <c r="H5" s="120" t="s">
        <v>540</v>
      </c>
      <c r="I5" s="120"/>
      <c r="J5" s="116" t="s">
        <v>541</v>
      </c>
      <c r="K5" s="150"/>
      <c r="L5" s="150"/>
      <c r="M5" s="121"/>
      <c r="N5" s="121"/>
      <c r="O5" s="116" t="s">
        <v>541</v>
      </c>
      <c r="P5" s="174" t="s">
        <v>805</v>
      </c>
      <c r="U5" s="110"/>
      <c r="W5" s="117"/>
    </row>
    <row r="6" spans="1:27">
      <c r="A6" s="135"/>
      <c r="B6" s="135"/>
      <c r="C6" s="135"/>
      <c r="D6" s="135"/>
      <c r="E6" s="175" t="s">
        <v>252</v>
      </c>
      <c r="F6" s="175" t="s">
        <v>253</v>
      </c>
      <c r="G6" s="175" t="s">
        <v>254</v>
      </c>
      <c r="H6" s="90" t="s">
        <v>255</v>
      </c>
      <c r="I6" s="90" t="s">
        <v>256</v>
      </c>
      <c r="J6" s="91" t="s">
        <v>257</v>
      </c>
      <c r="K6" s="91" t="s">
        <v>258</v>
      </c>
      <c r="L6" s="91" t="s">
        <v>259</v>
      </c>
      <c r="M6" s="91" t="s">
        <v>260</v>
      </c>
      <c r="N6" s="91" t="s">
        <v>261</v>
      </c>
      <c r="O6" s="91" t="s">
        <v>262</v>
      </c>
      <c r="P6" s="176" t="s">
        <v>263</v>
      </c>
      <c r="Q6" s="153"/>
      <c r="R6" s="93"/>
      <c r="S6" s="153"/>
      <c r="T6" s="177"/>
    </row>
    <row r="7" spans="1:27" ht="116.4" customHeight="1">
      <c r="A7" s="124" t="s">
        <v>643</v>
      </c>
      <c r="B7" s="124"/>
      <c r="C7" s="124"/>
      <c r="D7" s="124"/>
      <c r="E7" s="97" t="s">
        <v>806</v>
      </c>
      <c r="F7" s="97" t="s">
        <v>807</v>
      </c>
      <c r="G7" s="97" t="s">
        <v>808</v>
      </c>
      <c r="H7" s="97" t="s">
        <v>809</v>
      </c>
      <c r="I7" s="97" t="s">
        <v>810</v>
      </c>
      <c r="J7" s="97" t="s">
        <v>811</v>
      </c>
      <c r="K7" s="97" t="s">
        <v>812</v>
      </c>
      <c r="L7" s="97" t="s">
        <v>813</v>
      </c>
      <c r="M7" s="97" t="s">
        <v>814</v>
      </c>
      <c r="N7" s="97" t="s">
        <v>815</v>
      </c>
      <c r="O7" s="97" t="s">
        <v>816</v>
      </c>
      <c r="P7" s="97" t="s">
        <v>817</v>
      </c>
      <c r="Q7" s="93"/>
      <c r="R7" s="93"/>
      <c r="S7" s="93"/>
    </row>
    <row r="8" spans="1:27" ht="80.400000000000006" customHeight="1">
      <c r="A8" s="135" t="s">
        <v>553</v>
      </c>
      <c r="B8" s="135"/>
      <c r="C8" s="135"/>
      <c r="D8" s="135"/>
      <c r="E8" s="98" t="s">
        <v>818</v>
      </c>
      <c r="F8" s="98" t="s">
        <v>819</v>
      </c>
      <c r="G8" s="98" t="s">
        <v>820</v>
      </c>
      <c r="H8" s="98" t="s">
        <v>821</v>
      </c>
      <c r="I8" s="98" t="s">
        <v>822</v>
      </c>
      <c r="J8" s="98" t="s">
        <v>823</v>
      </c>
      <c r="K8" s="98" t="s">
        <v>824</v>
      </c>
      <c r="L8" s="98" t="s">
        <v>825</v>
      </c>
      <c r="M8" s="98" t="s">
        <v>826</v>
      </c>
      <c r="N8" s="98" t="s">
        <v>827</v>
      </c>
      <c r="O8" s="98" t="s">
        <v>828</v>
      </c>
      <c r="P8" s="125" t="s">
        <v>829</v>
      </c>
      <c r="Q8" s="127"/>
      <c r="R8" s="127"/>
      <c r="S8" s="127"/>
    </row>
    <row r="9" spans="1:27" ht="312">
      <c r="A9" s="135" t="s">
        <v>96</v>
      </c>
      <c r="B9" s="135"/>
      <c r="C9" s="135"/>
      <c r="D9" s="135"/>
      <c r="E9" s="98" t="s">
        <v>830</v>
      </c>
      <c r="F9" s="125" t="s">
        <v>831</v>
      </c>
      <c r="G9" s="125" t="s">
        <v>832</v>
      </c>
      <c r="H9" s="125" t="s">
        <v>833</v>
      </c>
      <c r="I9" s="125" t="s">
        <v>834</v>
      </c>
      <c r="J9" s="125" t="s">
        <v>835</v>
      </c>
      <c r="K9" s="125" t="s">
        <v>836</v>
      </c>
      <c r="L9" s="125" t="s">
        <v>837</v>
      </c>
      <c r="M9" s="125" t="s">
        <v>838</v>
      </c>
      <c r="N9" s="125" t="s">
        <v>839</v>
      </c>
      <c r="O9" s="125" t="s">
        <v>840</v>
      </c>
      <c r="P9" s="125" t="s">
        <v>841</v>
      </c>
      <c r="Q9" s="127"/>
      <c r="R9" s="127"/>
      <c r="S9" s="127"/>
    </row>
    <row r="10" spans="1:27" ht="189" customHeight="1">
      <c r="A10" s="122" t="s">
        <v>574</v>
      </c>
      <c r="B10" s="122"/>
      <c r="C10" s="122"/>
      <c r="D10" s="122"/>
      <c r="E10" s="178" t="s">
        <v>842</v>
      </c>
      <c r="F10" s="178" t="s">
        <v>843</v>
      </c>
      <c r="G10" s="178" t="s">
        <v>844</v>
      </c>
      <c r="H10" s="125" t="s">
        <v>845</v>
      </c>
      <c r="I10" s="125" t="s">
        <v>438</v>
      </c>
      <c r="J10" s="125" t="s">
        <v>846</v>
      </c>
      <c r="K10" s="125" t="s">
        <v>439</v>
      </c>
      <c r="L10" s="125" t="s">
        <v>847</v>
      </c>
      <c r="M10" s="125" t="s">
        <v>440</v>
      </c>
      <c r="N10" s="125" t="s">
        <v>441</v>
      </c>
      <c r="O10" s="125" t="s">
        <v>848</v>
      </c>
      <c r="P10" s="179" t="s">
        <v>849</v>
      </c>
      <c r="Q10" s="180"/>
      <c r="R10" s="180"/>
      <c r="S10" s="180"/>
    </row>
    <row r="11" spans="1:27" ht="72" customHeight="1">
      <c r="A11" s="161" t="s">
        <v>85</v>
      </c>
      <c r="B11" s="161"/>
      <c r="C11" s="161"/>
      <c r="D11" s="161"/>
      <c r="E11" s="125"/>
      <c r="F11" s="125" t="s">
        <v>850</v>
      </c>
      <c r="G11" s="125" t="s">
        <v>851</v>
      </c>
      <c r="H11" s="125" t="s">
        <v>852</v>
      </c>
      <c r="I11" s="125" t="s">
        <v>853</v>
      </c>
      <c r="J11" s="125" t="s">
        <v>854</v>
      </c>
      <c r="K11" s="125" t="s">
        <v>855</v>
      </c>
      <c r="L11" s="125" t="s">
        <v>856</v>
      </c>
      <c r="M11" s="125" t="s">
        <v>857</v>
      </c>
      <c r="N11" s="125" t="s">
        <v>858</v>
      </c>
      <c r="O11" s="125" t="s">
        <v>859</v>
      </c>
      <c r="P11" s="179" t="s">
        <v>849</v>
      </c>
      <c r="Q11" s="180"/>
      <c r="R11" s="180"/>
      <c r="S11" s="180"/>
    </row>
    <row r="12" spans="1:27" s="117" customFormat="1" ht="14.4">
      <c r="A12" s="118"/>
      <c r="B12" s="118"/>
      <c r="C12" s="118"/>
      <c r="D12" s="118"/>
      <c r="E12" s="118"/>
      <c r="F12" s="118"/>
      <c r="G12" s="118"/>
      <c r="H12" s="136"/>
      <c r="I12" s="136"/>
      <c r="J12" s="118"/>
      <c r="K12" s="118"/>
      <c r="L12" s="118"/>
      <c r="M12" s="118"/>
      <c r="N12" s="118"/>
      <c r="O12" s="118"/>
      <c r="P12" s="118"/>
      <c r="Q12" s="118"/>
      <c r="R12" s="118"/>
      <c r="S12" s="118"/>
      <c r="T12" s="118"/>
    </row>
    <row r="13" spans="1:27" s="117" customFormat="1" ht="14.4">
      <c r="A13" s="118"/>
      <c r="B13" s="118"/>
      <c r="C13" s="118"/>
      <c r="D13" s="118"/>
      <c r="E13" s="118"/>
      <c r="F13" s="118"/>
      <c r="G13" s="118"/>
      <c r="H13" s="136"/>
      <c r="I13" s="136"/>
      <c r="J13" s="118"/>
      <c r="K13" s="118"/>
      <c r="L13" s="118"/>
      <c r="M13" s="118"/>
      <c r="N13" s="118"/>
      <c r="O13" s="118"/>
      <c r="P13" s="118"/>
      <c r="Q13" s="118"/>
      <c r="R13" s="118"/>
      <c r="S13" s="118"/>
      <c r="T13" s="118"/>
    </row>
    <row r="14" spans="1:27" s="117" customFormat="1" ht="14.4">
      <c r="A14" s="118"/>
      <c r="B14" s="118"/>
      <c r="C14" s="118"/>
      <c r="D14" s="118"/>
      <c r="E14" s="118"/>
      <c r="F14" s="118"/>
      <c r="G14" s="118"/>
      <c r="H14" s="136"/>
      <c r="I14" s="136"/>
      <c r="J14" s="118"/>
      <c r="K14" s="118"/>
      <c r="L14" s="118"/>
      <c r="M14" s="118"/>
      <c r="N14" s="118"/>
      <c r="O14" s="118"/>
      <c r="P14" s="118"/>
      <c r="Q14" s="118"/>
      <c r="R14" s="118"/>
      <c r="S14" s="118"/>
      <c r="T14" s="118"/>
    </row>
    <row r="15" spans="1:27" customFormat="1" ht="14.4">
      <c r="A15" t="s">
        <v>443</v>
      </c>
      <c r="B15" t="s">
        <v>104</v>
      </c>
      <c r="C15" t="s">
        <v>105</v>
      </c>
      <c r="D15" s="295" t="s">
        <v>442</v>
      </c>
      <c r="E15" s="14" t="s">
        <v>252</v>
      </c>
      <c r="F15" s="14" t="s">
        <v>253</v>
      </c>
      <c r="G15" s="14" t="s">
        <v>254</v>
      </c>
      <c r="H15" s="14" t="s">
        <v>255</v>
      </c>
      <c r="I15" s="14" t="s">
        <v>256</v>
      </c>
      <c r="J15" s="14" t="s">
        <v>257</v>
      </c>
      <c r="K15" s="14" t="s">
        <v>258</v>
      </c>
      <c r="L15" s="14" t="s">
        <v>259</v>
      </c>
      <c r="M15" s="14" t="s">
        <v>260</v>
      </c>
      <c r="N15" s="14" t="s">
        <v>261</v>
      </c>
      <c r="O15" s="14" t="s">
        <v>262</v>
      </c>
      <c r="P15" s="14" t="s">
        <v>263</v>
      </c>
      <c r="Q15" s="14" t="s">
        <v>263</v>
      </c>
    </row>
    <row r="16" spans="1:27" s="117" customFormat="1" ht="14.4">
      <c r="A16" t="s">
        <v>536</v>
      </c>
      <c r="B16" s="15" t="s">
        <v>104</v>
      </c>
      <c r="C16" s="15" t="str">
        <f>HYPERLINK("01-组织级\02-组织工作库\02-EPG活动库\03-过程改进计划\过程改进计划(QCUBIC-SPI-PIM-PIPlan)V1.2-engl.docx", "engl")</f>
        <v>engl</v>
      </c>
      <c r="D16"/>
      <c r="E16" t="s">
        <v>426</v>
      </c>
      <c r="F16"/>
      <c r="G16"/>
      <c r="H16" t="s">
        <v>426</v>
      </c>
      <c r="I16" t="s">
        <v>426</v>
      </c>
      <c r="J16" t="s">
        <v>426</v>
      </c>
      <c r="K16" t="s">
        <v>426</v>
      </c>
      <c r="L16"/>
      <c r="M16"/>
      <c r="N16"/>
      <c r="O16"/>
      <c r="P16"/>
      <c r="Q16"/>
      <c r="R16"/>
      <c r="S16"/>
      <c r="T16"/>
      <c r="U16"/>
      <c r="V16"/>
      <c r="W16"/>
      <c r="X16"/>
      <c r="Y16"/>
      <c r="Z16"/>
      <c r="AA16"/>
    </row>
    <row r="17" spans="1:27" s="117" customFormat="1" ht="14.4">
      <c r="A17" t="s">
        <v>536</v>
      </c>
      <c r="B17" s="15" t="s">
        <v>104</v>
      </c>
      <c r="C17" s="15" t="str">
        <f>HYPERLINK("01-组织级\02-组织工作库\02-EPG活动库\02-现场诊断\北京快立方科技有限公司现场诊断报告-engl.pptx", "engl")</f>
        <v>engl</v>
      </c>
      <c r="D17"/>
      <c r="E17"/>
      <c r="F17" t="s">
        <v>426</v>
      </c>
      <c r="G17"/>
      <c r="H17"/>
      <c r="I17"/>
      <c r="J17"/>
      <c r="K17"/>
      <c r="L17"/>
      <c r="M17"/>
      <c r="N17"/>
      <c r="O17"/>
      <c r="P17"/>
      <c r="Q17"/>
      <c r="R17"/>
      <c r="S17"/>
      <c r="T17"/>
      <c r="U17"/>
      <c r="V17"/>
      <c r="W17"/>
      <c r="X17"/>
      <c r="Y17"/>
      <c r="Z17"/>
      <c r="AA17"/>
    </row>
    <row r="18" spans="1:27" s="117" customFormat="1" ht="14.4">
      <c r="A18" t="s">
        <v>536</v>
      </c>
      <c r="B18" s="15" t="s">
        <v>104</v>
      </c>
      <c r="C18" s="15" t="str">
        <f>HYPERLINK("01-组织级\02-组织工作库\02-EPG活动库\过程改进总结报告-engl.pptx", "engl")</f>
        <v>engl</v>
      </c>
      <c r="D18"/>
      <c r="E18"/>
      <c r="F18" t="s">
        <v>426</v>
      </c>
      <c r="G18"/>
      <c r="H18"/>
      <c r="I18"/>
      <c r="J18"/>
      <c r="K18"/>
      <c r="L18" t="s">
        <v>426</v>
      </c>
      <c r="M18"/>
      <c r="N18" t="s">
        <v>426</v>
      </c>
      <c r="O18" t="s">
        <v>426</v>
      </c>
      <c r="P18"/>
      <c r="Q18"/>
      <c r="R18"/>
      <c r="S18"/>
      <c r="T18"/>
      <c r="U18"/>
      <c r="V18"/>
      <c r="W18"/>
      <c r="X18"/>
      <c r="Y18"/>
      <c r="Z18"/>
      <c r="AA18"/>
    </row>
    <row r="19" spans="1:27" s="117" customFormat="1" ht="14.4">
      <c r="A19" t="s">
        <v>536</v>
      </c>
      <c r="B19" s="15" t="s">
        <v>104</v>
      </c>
      <c r="C19" s="15" t="str">
        <f>HYPERLINK("01-组织级\02-组织工作库\02-EPG活动库\01-EPG章程\EPG章程(QCUBIC-SPI-PIM-Std-EPGRule)V1.2-engl.docx", "engl")</f>
        <v>engl</v>
      </c>
      <c r="D19"/>
      <c r="E19"/>
      <c r="F19" t="s">
        <v>426</v>
      </c>
      <c r="G19"/>
      <c r="H19"/>
      <c r="I19"/>
      <c r="J19"/>
      <c r="K19"/>
      <c r="L19"/>
      <c r="M19"/>
      <c r="N19"/>
      <c r="O19"/>
      <c r="P19"/>
      <c r="Q19"/>
      <c r="R19"/>
      <c r="S19"/>
      <c r="T19"/>
      <c r="U19"/>
      <c r="V19"/>
      <c r="W19"/>
      <c r="X19"/>
      <c r="Y19"/>
      <c r="Z19"/>
      <c r="AA19"/>
    </row>
    <row r="20" spans="1:27" s="117" customFormat="1" ht="14.4">
      <c r="A20" t="s">
        <v>536</v>
      </c>
      <c r="B20" s="15" t="s">
        <v>104</v>
      </c>
      <c r="C20" s="15" t="str">
        <f>HYPERLINK("01-组织级\02-组织工作库\02-EPG活动库\07-EPG跟踪\05-过程改进建议表\过程改进建议表(QCUBIC-SPI-PIM-SPIAdvic)V1.2-engl.xlsx", "engl")</f>
        <v>engl</v>
      </c>
      <c r="D20"/>
      <c r="E20"/>
      <c r="F20"/>
      <c r="G20" t="s">
        <v>426</v>
      </c>
      <c r="H20"/>
      <c r="I20"/>
      <c r="J20"/>
      <c r="K20"/>
      <c r="L20"/>
      <c r="M20" t="s">
        <v>426</v>
      </c>
      <c r="N20"/>
      <c r="O20"/>
      <c r="P20"/>
      <c r="Q20"/>
      <c r="R20"/>
      <c r="S20"/>
      <c r="T20"/>
      <c r="U20"/>
      <c r="V20"/>
      <c r="W20"/>
      <c r="X20"/>
      <c r="Y20"/>
      <c r="Z20"/>
      <c r="AA20"/>
    </row>
    <row r="21" spans="1:27" ht="14.4">
      <c r="A21" t="s">
        <v>536</v>
      </c>
      <c r="B21" s="15" t="s">
        <v>104</v>
      </c>
      <c r="C21"/>
      <c r="D21"/>
      <c r="E21"/>
      <c r="F21"/>
      <c r="G21"/>
      <c r="H21"/>
      <c r="I21"/>
      <c r="J21"/>
      <c r="K21" t="s">
        <v>426</v>
      </c>
      <c r="L21"/>
      <c r="M21"/>
      <c r="N21"/>
      <c r="O21"/>
      <c r="P21"/>
      <c r="Q21"/>
      <c r="R21"/>
      <c r="S21"/>
      <c r="T21"/>
      <c r="U21"/>
      <c r="V21"/>
      <c r="W21"/>
      <c r="X21"/>
      <c r="Y21"/>
      <c r="Z21"/>
      <c r="AA21"/>
    </row>
    <row r="22" spans="1:27" ht="14.4">
      <c r="A22" t="s">
        <v>536</v>
      </c>
      <c r="B22" s="15" t="s">
        <v>104</v>
      </c>
      <c r="C22" s="15" t="str">
        <f>HYPERLINK("01-组织级\02-组织工作库\02-EPG活动库\03-过程改进计划\关键子过程选择(QCUBIC_PCM_Select subprocess)V1.0-engl.xlsx", "engl")</f>
        <v>engl</v>
      </c>
      <c r="D22"/>
      <c r="E22"/>
      <c r="F22"/>
      <c r="G22"/>
      <c r="H22"/>
      <c r="I22"/>
      <c r="J22"/>
      <c r="K22" t="s">
        <v>426</v>
      </c>
      <c r="L22"/>
      <c r="M22"/>
      <c r="N22"/>
      <c r="O22"/>
      <c r="P22"/>
      <c r="Q22"/>
      <c r="R22"/>
      <c r="S22"/>
      <c r="T22"/>
      <c r="U22"/>
      <c r="V22"/>
      <c r="W22"/>
      <c r="X22"/>
      <c r="Y22"/>
      <c r="Z22"/>
      <c r="AA22"/>
    </row>
    <row r="23" spans="1:27" ht="14.4">
      <c r="A23" t="s">
        <v>536</v>
      </c>
      <c r="B23" s="15" t="s">
        <v>104</v>
      </c>
      <c r="C23" s="15" t="str">
        <f>HYPERLINK("01-组织级\02-组织工作库\02-EPG活动库\03-过程改进计划\过程改进计划评审报告(QCUBIC-SPI-VV-Tem-ReviewRpt)V1.2-engl.xlsx", "engl")</f>
        <v>engl</v>
      </c>
      <c r="D23"/>
      <c r="E23"/>
      <c r="F23"/>
      <c r="G23"/>
      <c r="H23"/>
      <c r="I23"/>
      <c r="J23"/>
      <c r="K23"/>
      <c r="L23" t="s">
        <v>426</v>
      </c>
      <c r="M23"/>
      <c r="N23"/>
      <c r="O23"/>
      <c r="P23"/>
      <c r="Q23"/>
      <c r="R23"/>
      <c r="S23"/>
      <c r="T23"/>
      <c r="U23"/>
      <c r="V23"/>
      <c r="W23"/>
      <c r="X23"/>
      <c r="Y23"/>
      <c r="Z23"/>
      <c r="AA23"/>
    </row>
    <row r="24" spans="1:27" ht="14.4">
      <c r="A24" t="s">
        <v>536</v>
      </c>
      <c r="B24" s="15" t="s">
        <v>104</v>
      </c>
      <c r="C24"/>
      <c r="D24"/>
      <c r="E24"/>
      <c r="F24"/>
      <c r="G24"/>
      <c r="H24"/>
      <c r="I24"/>
      <c r="J24"/>
      <c r="K24"/>
      <c r="L24"/>
      <c r="M24" t="s">
        <v>426</v>
      </c>
      <c r="N24"/>
      <c r="O24"/>
      <c r="P24"/>
      <c r="Q24"/>
      <c r="R24"/>
      <c r="S24"/>
      <c r="T24"/>
      <c r="U24"/>
      <c r="V24"/>
      <c r="W24"/>
      <c r="X24"/>
      <c r="Y24"/>
      <c r="Z24"/>
      <c r="AA24"/>
    </row>
    <row r="25" spans="1:27" ht="14.4">
      <c r="A25" t="s">
        <v>536</v>
      </c>
      <c r="B25" s="15" t="s">
        <v>104</v>
      </c>
      <c r="C25" s="15" t="str">
        <f>HYPERLINK("01-组织级\02-组织工作库\02-EPG活动库\05-项目试点\试点行动计划(QCUBIC-SPI-PIM-PilotPlan)V1.1-engl.docx", "engl")</f>
        <v>engl</v>
      </c>
      <c r="D25"/>
      <c r="E25"/>
      <c r="F25"/>
      <c r="G25"/>
      <c r="H25"/>
      <c r="I25"/>
      <c r="J25"/>
      <c r="K25"/>
      <c r="L25"/>
      <c r="M25" t="s">
        <v>426</v>
      </c>
      <c r="N25"/>
      <c r="O25"/>
      <c r="P25"/>
      <c r="Q25"/>
      <c r="R25"/>
      <c r="S25"/>
      <c r="T25"/>
      <c r="U25"/>
      <c r="V25"/>
      <c r="W25"/>
      <c r="X25"/>
      <c r="Y25"/>
      <c r="Z25"/>
      <c r="AA25"/>
    </row>
    <row r="26" spans="1:27" ht="14.4">
      <c r="A26" t="s">
        <v>536</v>
      </c>
      <c r="B26" s="15" t="s">
        <v>104</v>
      </c>
      <c r="C26" s="15" t="str">
        <f>HYPERLINK("01-组织级\02-组织工作库\02-EPG活动库\07-EPG跟踪\06-过程改进里程碑\过程改进里程碑报告(ORG_PCM_Milestone_20220628)V1.0-engl.docx", "engl")</f>
        <v>engl</v>
      </c>
      <c r="D26"/>
      <c r="E26"/>
      <c r="F26"/>
      <c r="G26"/>
      <c r="H26"/>
      <c r="I26"/>
      <c r="J26"/>
      <c r="K26"/>
      <c r="L26"/>
      <c r="M26"/>
      <c r="N26" t="s">
        <v>426</v>
      </c>
      <c r="O26"/>
      <c r="P26"/>
      <c r="Q26"/>
      <c r="R26"/>
      <c r="S26"/>
      <c r="T26"/>
      <c r="U26"/>
      <c r="V26"/>
      <c r="W26"/>
      <c r="X26"/>
      <c r="Y26"/>
      <c r="Z26"/>
      <c r="AA26"/>
    </row>
    <row r="27" spans="1:27" ht="14.4">
      <c r="A27" t="s">
        <v>536</v>
      </c>
      <c r="B27" s="15" t="s">
        <v>104</v>
      </c>
      <c r="C27" s="15" t="str">
        <f>HYPERLINK("01-组织级\02-组织工作库\02-EPG活动库\06-过程推广\过程部署计划(QCUBIC-SPI-PIM-PSPreadPlan)V1.2-engl.docx", "engl")</f>
        <v>engl</v>
      </c>
      <c r="D27"/>
      <c r="E27"/>
      <c r="F27"/>
      <c r="G27"/>
      <c r="H27"/>
      <c r="I27"/>
      <c r="J27"/>
      <c r="K27"/>
      <c r="L27"/>
      <c r="M27"/>
      <c r="N27" t="s">
        <v>426</v>
      </c>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mergeCells count="1">
    <mergeCell ref="E2:J2"/>
  </mergeCells>
  <phoneticPr fontId="72" type="noConversion"/>
  <hyperlinks>
    <hyperlink ref="B16" r:id="rId1" xr:uid="{E6F22DEC-FB7B-463A-B603-4EF14320AB72}"/>
    <hyperlink ref="B17" r:id="rId2" xr:uid="{83CEF22F-4D69-4D0F-B2A7-8F1FB168235F}"/>
    <hyperlink ref="B18" r:id="rId3" xr:uid="{F1336C1C-7BA2-468E-8208-3D732385E80B}"/>
    <hyperlink ref="B19" r:id="rId4" xr:uid="{D31C3628-2CAE-49F1-BD91-67BA7F1D1D9A}"/>
    <hyperlink ref="B20" r:id="rId5" xr:uid="{510ADA81-B65C-4DF7-AF53-E1525CC11CDF}"/>
    <hyperlink ref="B21" r:id="rId6" xr:uid="{B53FBF57-B0EC-4D62-AB99-98FDC4AE649C}"/>
    <hyperlink ref="B22" r:id="rId7" xr:uid="{5A025E1A-DF44-4608-A290-4FE21572D09D}"/>
    <hyperlink ref="B23" r:id="rId8" xr:uid="{D6F7D716-F833-4AA2-989D-216E3F65A5C0}"/>
    <hyperlink ref="B24" r:id="rId9" xr:uid="{DCE3CB10-2A6D-4C8E-9BB6-BA9BE8110366}"/>
    <hyperlink ref="B25" r:id="rId10" xr:uid="{9F71C8D4-8808-4607-BB6B-0068A4CD2B37}"/>
    <hyperlink ref="B26" r:id="rId11" xr:uid="{BDA8BDC1-2781-4CB3-BC4F-E76D713765A8}"/>
    <hyperlink ref="B27" r:id="rId12" xr:uid="{107D4254-C4CE-4CEE-8FD7-4F8DE8FE3501}"/>
  </hyperlinks>
  <pageMargins left="0.69930555555555596" right="0.69930555555555596"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F399A-D9B6-48A5-8A0E-9213D71210EA}">
  <sheetPr codeName="Sheet16">
    <tabColor rgb="FFB682B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0.33203125" style="118" customWidth="1"/>
    <col min="2" max="4" width="7.88671875" style="118" customWidth="1"/>
    <col min="5" max="6" width="15.6640625" style="118" customWidth="1"/>
    <col min="7" max="7" width="15.6640625" style="136" customWidth="1"/>
    <col min="8" max="15" width="15.6640625" style="118" customWidth="1"/>
    <col min="16" max="16" width="50.6640625" style="118" customWidth="1"/>
    <col min="17" max="17" width="3.6640625" style="118" customWidth="1"/>
    <col min="18" max="18" width="45.6640625" style="118" bestFit="1" customWidth="1"/>
    <col min="19" max="19" width="58.6640625" style="118" customWidth="1"/>
    <col min="20" max="16384" width="8.6640625" style="118"/>
  </cols>
  <sheetData>
    <row r="1" spans="1:27" s="138" customFormat="1" ht="18">
      <c r="A1" s="105" t="s">
        <v>860</v>
      </c>
      <c r="B1" s="105"/>
      <c r="C1" s="105"/>
      <c r="D1" s="105"/>
      <c r="E1" s="106"/>
      <c r="F1" s="107"/>
      <c r="G1" s="136"/>
      <c r="H1" s="107"/>
      <c r="I1" s="107"/>
      <c r="J1" s="107"/>
      <c r="K1" s="107"/>
      <c r="L1" s="107"/>
      <c r="M1" s="107"/>
      <c r="N1" s="107"/>
      <c r="O1" s="107"/>
      <c r="P1" s="107"/>
      <c r="Q1" s="107"/>
      <c r="R1" s="107"/>
      <c r="S1" s="107"/>
      <c r="T1" s="107"/>
    </row>
    <row r="2" spans="1:27" s="139" customFormat="1">
      <c r="A2" s="110" t="s">
        <v>447</v>
      </c>
      <c r="B2" s="110"/>
      <c r="C2" s="110"/>
      <c r="D2" s="110"/>
      <c r="E2" s="107" t="s">
        <v>237</v>
      </c>
      <c r="F2" s="107"/>
      <c r="G2" s="136"/>
      <c r="H2" s="107"/>
      <c r="I2" s="107"/>
      <c r="J2" s="107"/>
      <c r="K2" s="107"/>
      <c r="L2" s="107"/>
      <c r="M2" s="107"/>
      <c r="N2" s="107"/>
      <c r="O2" s="107"/>
      <c r="P2" s="107"/>
      <c r="Q2" s="107"/>
      <c r="R2" s="107"/>
      <c r="S2" s="107"/>
      <c r="T2" s="107"/>
    </row>
    <row r="3" spans="1:27" s="138" customFormat="1">
      <c r="A3" s="107" t="s">
        <v>448</v>
      </c>
      <c r="B3" s="107"/>
      <c r="C3" s="107"/>
      <c r="D3" s="107"/>
      <c r="E3" s="107" t="s">
        <v>238</v>
      </c>
      <c r="F3" s="107"/>
      <c r="G3" s="136"/>
      <c r="H3" s="107"/>
      <c r="I3" s="107"/>
      <c r="J3" s="107"/>
      <c r="K3" s="107"/>
      <c r="L3" s="107"/>
      <c r="M3" s="107"/>
      <c r="N3" s="107"/>
      <c r="O3" s="107"/>
      <c r="P3" s="107"/>
      <c r="Q3" s="107"/>
      <c r="R3" s="107"/>
      <c r="S3" s="107"/>
      <c r="T3" s="107"/>
    </row>
    <row r="4" spans="1:27" s="138" customFormat="1">
      <c r="A4" s="111"/>
      <c r="B4" s="111"/>
      <c r="C4" s="111"/>
      <c r="D4" s="111"/>
      <c r="E4" s="112" t="s">
        <v>47</v>
      </c>
      <c r="F4" s="113" t="s">
        <v>54</v>
      </c>
      <c r="G4" s="113"/>
      <c r="H4" s="114"/>
      <c r="I4" s="116" t="s">
        <v>56</v>
      </c>
      <c r="J4" s="150"/>
      <c r="K4" s="150"/>
      <c r="L4" s="150"/>
      <c r="M4" s="116"/>
      <c r="N4" s="116"/>
      <c r="O4" s="116"/>
      <c r="P4" s="107"/>
      <c r="Q4" s="107"/>
      <c r="R4" s="107"/>
      <c r="S4" s="107"/>
      <c r="T4" s="107"/>
    </row>
    <row r="5" spans="1:27">
      <c r="E5" s="119" t="s">
        <v>539</v>
      </c>
      <c r="F5" s="120" t="s">
        <v>540</v>
      </c>
      <c r="G5" s="120"/>
      <c r="H5" s="114"/>
      <c r="I5" s="116" t="s">
        <v>541</v>
      </c>
      <c r="J5" s="150"/>
      <c r="K5" s="150"/>
      <c r="L5" s="150"/>
      <c r="M5" s="121"/>
      <c r="N5" s="121"/>
      <c r="O5" s="116"/>
      <c r="P5" s="107"/>
      <c r="Q5" s="107"/>
      <c r="R5" s="107"/>
    </row>
    <row r="6" spans="1:27">
      <c r="A6" s="135"/>
      <c r="B6" s="135"/>
      <c r="C6" s="135"/>
      <c r="D6" s="135"/>
      <c r="E6" s="181" t="s">
        <v>239</v>
      </c>
      <c r="F6" s="182" t="s">
        <v>240</v>
      </c>
      <c r="G6" s="182" t="s">
        <v>241</v>
      </c>
      <c r="H6" s="182" t="s">
        <v>242</v>
      </c>
      <c r="I6" s="183" t="s">
        <v>243</v>
      </c>
      <c r="J6" s="183" t="s">
        <v>244</v>
      </c>
      <c r="K6" s="183" t="s">
        <v>245</v>
      </c>
      <c r="L6" s="183" t="s">
        <v>246</v>
      </c>
      <c r="M6" s="183" t="s">
        <v>247</v>
      </c>
      <c r="N6" s="183" t="s">
        <v>248</v>
      </c>
      <c r="O6" s="184" t="s">
        <v>249</v>
      </c>
      <c r="P6" s="170"/>
      <c r="Q6" s="170"/>
      <c r="R6" s="170"/>
    </row>
    <row r="7" spans="1:27" ht="124.2">
      <c r="A7" s="124" t="s">
        <v>643</v>
      </c>
      <c r="B7" s="124"/>
      <c r="C7" s="124"/>
      <c r="D7" s="124"/>
      <c r="E7" s="97" t="s">
        <v>861</v>
      </c>
      <c r="F7" s="97" t="s">
        <v>862</v>
      </c>
      <c r="G7" s="97" t="s">
        <v>863</v>
      </c>
      <c r="H7" s="97" t="s">
        <v>864</v>
      </c>
      <c r="I7" s="97" t="s">
        <v>865</v>
      </c>
      <c r="J7" s="97" t="s">
        <v>866</v>
      </c>
      <c r="K7" s="97" t="s">
        <v>867</v>
      </c>
      <c r="L7" s="97" t="s">
        <v>868</v>
      </c>
      <c r="M7" s="97" t="s">
        <v>869</v>
      </c>
      <c r="N7" s="97" t="s">
        <v>870</v>
      </c>
      <c r="O7" s="97" t="s">
        <v>871</v>
      </c>
      <c r="P7" s="93"/>
      <c r="Q7" s="93"/>
      <c r="R7" s="93"/>
    </row>
    <row r="8" spans="1:27" ht="71.400000000000006">
      <c r="A8" s="135" t="s">
        <v>553</v>
      </c>
      <c r="B8" s="135"/>
      <c r="C8" s="135"/>
      <c r="D8" s="135"/>
      <c r="E8" s="133" t="s">
        <v>872</v>
      </c>
      <c r="F8" s="151" t="s">
        <v>873</v>
      </c>
      <c r="G8" s="151" t="s">
        <v>874</v>
      </c>
      <c r="H8" s="151" t="s">
        <v>875</v>
      </c>
      <c r="I8" s="151" t="s">
        <v>876</v>
      </c>
      <c r="J8" s="151" t="s">
        <v>877</v>
      </c>
      <c r="K8" s="151" t="s">
        <v>878</v>
      </c>
      <c r="L8" s="151" t="s">
        <v>879</v>
      </c>
      <c r="M8" s="151" t="s">
        <v>880</v>
      </c>
      <c r="N8" s="151" t="s">
        <v>881</v>
      </c>
      <c r="O8" s="151" t="s">
        <v>882</v>
      </c>
      <c r="P8" s="127"/>
      <c r="Q8" s="127"/>
      <c r="R8" s="127"/>
    </row>
    <row r="9" spans="1:27" ht="165" customHeight="1">
      <c r="A9" s="135" t="s">
        <v>96</v>
      </c>
      <c r="B9" s="135"/>
      <c r="C9" s="135"/>
      <c r="D9" s="135"/>
      <c r="E9" s="125" t="s">
        <v>883</v>
      </c>
      <c r="F9" s="125" t="s">
        <v>884</v>
      </c>
      <c r="G9" s="125" t="s">
        <v>885</v>
      </c>
      <c r="H9" s="125" t="s">
        <v>886</v>
      </c>
      <c r="I9" s="125" t="s">
        <v>887</v>
      </c>
      <c r="J9" s="125" t="s">
        <v>888</v>
      </c>
      <c r="K9" s="125" t="s">
        <v>889</v>
      </c>
      <c r="L9" s="125" t="s">
        <v>890</v>
      </c>
      <c r="M9" s="125" t="s">
        <v>891</v>
      </c>
      <c r="N9" s="125" t="s">
        <v>892</v>
      </c>
      <c r="O9" s="125" t="s">
        <v>893</v>
      </c>
      <c r="P9" s="127"/>
      <c r="Q9" s="127"/>
      <c r="R9" s="127"/>
    </row>
    <row r="10" spans="1:27" ht="124.2">
      <c r="A10" s="122" t="s">
        <v>574</v>
      </c>
      <c r="B10" s="122"/>
      <c r="C10" s="122"/>
      <c r="D10" s="122"/>
      <c r="E10" s="185"/>
      <c r="F10" s="102" t="s">
        <v>894</v>
      </c>
      <c r="G10" s="102" t="s">
        <v>895</v>
      </c>
      <c r="H10" s="102" t="s">
        <v>896</v>
      </c>
      <c r="I10" s="102" t="s">
        <v>897</v>
      </c>
      <c r="J10" s="102" t="s">
        <v>898</v>
      </c>
      <c r="K10" s="102" t="s">
        <v>899</v>
      </c>
      <c r="L10" s="102" t="s">
        <v>900</v>
      </c>
      <c r="M10" s="103" t="str">
        <f>K10</f>
        <v>- (2.3) How are the process assets made available for use in the organisation?</v>
      </c>
      <c r="N10" s="102" t="s">
        <v>901</v>
      </c>
      <c r="O10" s="102" t="s">
        <v>902</v>
      </c>
      <c r="P10" s="152"/>
      <c r="Q10" s="152"/>
      <c r="R10" s="152"/>
    </row>
    <row r="11" spans="1:27" ht="82.8">
      <c r="A11" s="161" t="s">
        <v>85</v>
      </c>
      <c r="B11" s="161"/>
      <c r="C11" s="161"/>
      <c r="D11" s="161"/>
      <c r="E11" s="102"/>
      <c r="F11" s="163" t="s">
        <v>903</v>
      </c>
      <c r="G11" s="102" t="s">
        <v>904</v>
      </c>
      <c r="H11" s="102" t="s">
        <v>905</v>
      </c>
      <c r="I11" s="102" t="s">
        <v>906</v>
      </c>
      <c r="J11" s="102" t="s">
        <v>907</v>
      </c>
      <c r="K11" s="102" t="s">
        <v>908</v>
      </c>
      <c r="L11" s="102" t="s">
        <v>909</v>
      </c>
      <c r="M11" s="102" t="str">
        <f>K11</f>
        <v>—(2.3)如何使过程资产在组织中可用?</v>
      </c>
      <c r="N11" s="102" t="s">
        <v>910</v>
      </c>
      <c r="O11" s="102" t="s">
        <v>911</v>
      </c>
      <c r="P11" s="152"/>
      <c r="Q11" s="152"/>
      <c r="R11" s="152"/>
    </row>
    <row r="15" spans="1:27" customFormat="1" ht="14.4">
      <c r="A15" t="s">
        <v>443</v>
      </c>
      <c r="B15" t="s">
        <v>104</v>
      </c>
      <c r="C15" t="s">
        <v>105</v>
      </c>
      <c r="D15" s="295" t="s">
        <v>442</v>
      </c>
      <c r="E15" s="14" t="s">
        <v>239</v>
      </c>
      <c r="F15" s="14" t="s">
        <v>240</v>
      </c>
      <c r="G15" s="14" t="s">
        <v>241</v>
      </c>
      <c r="H15" s="14" t="s">
        <v>242</v>
      </c>
      <c r="I15" s="14" t="s">
        <v>243</v>
      </c>
      <c r="J15" s="14" t="s">
        <v>244</v>
      </c>
      <c r="K15" s="14" t="s">
        <v>245</v>
      </c>
      <c r="L15" s="14" t="s">
        <v>246</v>
      </c>
      <c r="M15" s="14" t="s">
        <v>247</v>
      </c>
      <c r="N15" s="14" t="s">
        <v>248</v>
      </c>
      <c r="O15" s="14" t="s">
        <v>249</v>
      </c>
    </row>
    <row r="16" spans="1:27" s="117" customFormat="1" ht="14.4">
      <c r="A16" t="s">
        <v>536</v>
      </c>
      <c r="B16" s="15" t="s">
        <v>104</v>
      </c>
      <c r="C16"/>
      <c r="D16"/>
      <c r="E16" t="s">
        <v>426</v>
      </c>
      <c r="F16" t="s">
        <v>426</v>
      </c>
      <c r="G16" t="s">
        <v>426</v>
      </c>
      <c r="H16"/>
      <c r="I16"/>
      <c r="J16"/>
      <c r="K16"/>
      <c r="L16"/>
      <c r="M16" t="s">
        <v>426</v>
      </c>
      <c r="N16"/>
      <c r="O16"/>
      <c r="P16"/>
      <c r="Q16"/>
      <c r="R16"/>
      <c r="S16"/>
      <c r="T16"/>
      <c r="U16"/>
      <c r="V16"/>
      <c r="W16"/>
      <c r="X16"/>
      <c r="Y16"/>
      <c r="Z16"/>
      <c r="AA16"/>
    </row>
    <row r="17" spans="1:27" ht="14.4">
      <c r="A17" t="s">
        <v>536</v>
      </c>
      <c r="B17" s="15" t="s">
        <v>104</v>
      </c>
      <c r="C17"/>
      <c r="D17"/>
      <c r="E17"/>
      <c r="F17"/>
      <c r="G17" t="s">
        <v>426</v>
      </c>
      <c r="H17"/>
      <c r="I17"/>
      <c r="J17"/>
      <c r="K17"/>
      <c r="L17"/>
      <c r="M17"/>
      <c r="N17"/>
      <c r="O17"/>
      <c r="P17"/>
      <c r="Q17"/>
      <c r="R17"/>
      <c r="S17"/>
      <c r="T17"/>
      <c r="U17"/>
      <c r="V17"/>
      <c r="W17"/>
      <c r="X17"/>
      <c r="Y17"/>
      <c r="Z17"/>
      <c r="AA17"/>
    </row>
    <row r="18" spans="1:27" ht="14.4">
      <c r="A18" t="s">
        <v>536</v>
      </c>
      <c r="B18" s="15" t="s">
        <v>104</v>
      </c>
      <c r="C18"/>
      <c r="D18"/>
      <c r="E18"/>
      <c r="F18"/>
      <c r="G18"/>
      <c r="H18" t="s">
        <v>426</v>
      </c>
      <c r="I18" t="s">
        <v>426</v>
      </c>
      <c r="J18" t="s">
        <v>426</v>
      </c>
      <c r="K18" t="s">
        <v>426</v>
      </c>
      <c r="L18"/>
      <c r="M18"/>
      <c r="N18"/>
      <c r="O18"/>
      <c r="P18"/>
      <c r="Q18"/>
      <c r="R18"/>
      <c r="S18"/>
      <c r="T18"/>
      <c r="U18"/>
      <c r="V18"/>
      <c r="W18"/>
      <c r="X18"/>
      <c r="Y18"/>
      <c r="Z18"/>
      <c r="AA18"/>
    </row>
    <row r="19" spans="1:27" ht="14.4">
      <c r="A19" t="s">
        <v>536</v>
      </c>
      <c r="B19" s="15" t="s">
        <v>104</v>
      </c>
      <c r="C19" s="15" t="str">
        <f>HYPERLINK("01-组织级\02-组织工作库\02-EPG活动库\03-过程改进计划\过程改进计划(QCUBIC-SPI-PIM-PIPlan)V1.2-engl.docx", "engl")</f>
        <v>engl</v>
      </c>
      <c r="D19"/>
      <c r="E19"/>
      <c r="F19"/>
      <c r="G19"/>
      <c r="H19"/>
      <c r="I19" t="s">
        <v>426</v>
      </c>
      <c r="J19"/>
      <c r="K19"/>
      <c r="L19"/>
      <c r="M19"/>
      <c r="N19"/>
      <c r="O19"/>
      <c r="P19"/>
      <c r="Q19"/>
      <c r="R19"/>
      <c r="S19"/>
      <c r="T19"/>
      <c r="U19"/>
      <c r="V19"/>
      <c r="W19"/>
      <c r="X19"/>
      <c r="Y19"/>
      <c r="Z19"/>
      <c r="AA19"/>
    </row>
    <row r="20" spans="1:27" ht="14.4">
      <c r="A20" t="s">
        <v>536</v>
      </c>
      <c r="B20" s="15" t="s">
        <v>104</v>
      </c>
      <c r="C20" s="15" t="str">
        <f>HYPERLINK("01-组织级\01-组织财富库\01-标准过程文件库\04-组织过程类\02-过程资产管理\过程资产库管理指南 (QCUBIC-SPI-OPAL-Guid-Assetlib)V1.2-engl.docx", "engl")</f>
        <v>engl</v>
      </c>
      <c r="D20"/>
      <c r="E20"/>
      <c r="F20"/>
      <c r="G20"/>
      <c r="H20"/>
      <c r="I20" t="s">
        <v>426</v>
      </c>
      <c r="J20"/>
      <c r="K20"/>
      <c r="L20"/>
      <c r="M20"/>
      <c r="N20"/>
      <c r="O20"/>
      <c r="P20"/>
      <c r="Q20"/>
      <c r="R20"/>
      <c r="S20"/>
      <c r="T20"/>
      <c r="U20"/>
      <c r="V20"/>
      <c r="W20"/>
      <c r="X20"/>
      <c r="Y20"/>
      <c r="Z20"/>
      <c r="AA20"/>
    </row>
    <row r="21" spans="1:27" ht="14.4">
      <c r="A21" t="s">
        <v>536</v>
      </c>
      <c r="B21" s="15" t="s">
        <v>104</v>
      </c>
      <c r="C21" s="15" t="str">
        <f>HYPERLINK("01-组织级\01-组织财富库\01-标准过程文件库\04-组织过程类\02-过程资产管理\过程资产管理过程文件 (QCUBIC-SPI-OPAL-Proc-Doc)V1.2-engl.docx", "engl")</f>
        <v>engl</v>
      </c>
      <c r="D21"/>
      <c r="E21"/>
      <c r="F21"/>
      <c r="G21"/>
      <c r="H21"/>
      <c r="I21" t="s">
        <v>426</v>
      </c>
      <c r="J21"/>
      <c r="K21"/>
      <c r="L21"/>
      <c r="M21"/>
      <c r="N21"/>
      <c r="O21"/>
      <c r="P21"/>
      <c r="Q21"/>
      <c r="R21"/>
      <c r="S21"/>
      <c r="T21"/>
      <c r="U21"/>
      <c r="V21"/>
      <c r="W21"/>
      <c r="X21"/>
      <c r="Y21"/>
      <c r="Z21"/>
      <c r="AA21"/>
    </row>
    <row r="22" spans="1:27" ht="14.4">
      <c r="A22" t="s">
        <v>536</v>
      </c>
      <c r="B22" s="15" t="s">
        <v>104</v>
      </c>
      <c r="C22"/>
      <c r="D22"/>
      <c r="E22"/>
      <c r="F22"/>
      <c r="G22"/>
      <c r="H22"/>
      <c r="I22"/>
      <c r="J22" t="s">
        <v>426</v>
      </c>
      <c r="K22"/>
      <c r="L22"/>
      <c r="M22"/>
      <c r="N22"/>
      <c r="O22"/>
      <c r="P22"/>
      <c r="Q22"/>
      <c r="R22"/>
      <c r="S22"/>
      <c r="T22"/>
      <c r="U22"/>
      <c r="V22"/>
      <c r="W22"/>
      <c r="X22"/>
      <c r="Y22"/>
      <c r="Z22"/>
      <c r="AA22"/>
    </row>
    <row r="23" spans="1:27" ht="14.4">
      <c r="A23" t="s">
        <v>536</v>
      </c>
      <c r="B23" s="15" t="s">
        <v>104</v>
      </c>
      <c r="C23"/>
      <c r="D23"/>
      <c r="E23"/>
      <c r="F23"/>
      <c r="G23"/>
      <c r="H23"/>
      <c r="I23"/>
      <c r="J23" t="s">
        <v>426</v>
      </c>
      <c r="K23"/>
      <c r="L23"/>
      <c r="M23"/>
      <c r="N23"/>
      <c r="O23"/>
      <c r="P23"/>
      <c r="Q23"/>
      <c r="R23"/>
      <c r="S23"/>
      <c r="T23"/>
      <c r="U23"/>
      <c r="V23"/>
      <c r="W23"/>
      <c r="X23"/>
      <c r="Y23"/>
      <c r="Z23"/>
      <c r="AA23"/>
    </row>
    <row r="24" spans="1:27" ht="14.4">
      <c r="A24" t="s">
        <v>536</v>
      </c>
      <c r="B24" s="15" t="s">
        <v>104</v>
      </c>
      <c r="C24" s="15" t="str">
        <f>HYPERLINK("01-组织级\01-组织财富库\01-标准过程文件库\04-组织过程类\02-过程资产管理\裁剪指南 (QCUBIC-SPI-OPAL-Guid-Tailor)V1.2-engl.xlsx", "engl")</f>
        <v>engl</v>
      </c>
      <c r="D24"/>
      <c r="E24"/>
      <c r="F24"/>
      <c r="G24"/>
      <c r="H24"/>
      <c r="I24"/>
      <c r="J24"/>
      <c r="K24"/>
      <c r="L24" t="s">
        <v>426</v>
      </c>
      <c r="M24"/>
      <c r="N24"/>
      <c r="O24"/>
      <c r="P24"/>
      <c r="Q24"/>
      <c r="R24"/>
      <c r="S24"/>
      <c r="T24"/>
      <c r="U24"/>
      <c r="V24"/>
      <c r="W24"/>
      <c r="X24"/>
      <c r="Y24"/>
      <c r="Z24"/>
      <c r="AA24"/>
    </row>
    <row r="25" spans="1:27" ht="14.4">
      <c r="A25" t="s">
        <v>536</v>
      </c>
      <c r="B25" s="15" t="s">
        <v>104</v>
      </c>
      <c r="C25" s="15" t="str">
        <f>HYPERLINK("01-组织级\01-组织财富库\01-标准过程文件库\04-组织过程类\02-过程资产管理\工作环境标准(QCUBIC-SPI-OPAL-Std-Environment)V1.2(1)-engl.docx", "engl")</f>
        <v>engl</v>
      </c>
      <c r="D25"/>
      <c r="E25"/>
      <c r="F25"/>
      <c r="G25"/>
      <c r="H25"/>
      <c r="I25"/>
      <c r="J25"/>
      <c r="K25"/>
      <c r="L25"/>
      <c r="M25"/>
      <c r="N25" t="s">
        <v>426</v>
      </c>
      <c r="O25"/>
      <c r="P25"/>
      <c r="Q25"/>
      <c r="R25"/>
      <c r="S25"/>
      <c r="T25"/>
      <c r="U25"/>
      <c r="V25"/>
      <c r="W25"/>
      <c r="X25"/>
      <c r="Y25"/>
      <c r="Z25"/>
      <c r="AA25"/>
    </row>
    <row r="26" spans="1:27" s="117" customFormat="1" ht="14.4">
      <c r="A26" t="s">
        <v>536</v>
      </c>
      <c r="B26" s="15" t="s">
        <v>104</v>
      </c>
      <c r="C26" s="15" t="str">
        <f>HYPERLINK("01-组织级\02-组织工作库\06-度量\组织度量表(QCUBIC-SPI-MPM-Tem-datasheet)V1.3-engl.xlsx", "engl")</f>
        <v>engl</v>
      </c>
      <c r="D26"/>
      <c r="E26"/>
      <c r="F26"/>
      <c r="G26"/>
      <c r="H26"/>
      <c r="I26"/>
      <c r="J26"/>
      <c r="K26"/>
      <c r="L26"/>
      <c r="M26"/>
      <c r="N26"/>
      <c r="O26" t="s">
        <v>426</v>
      </c>
      <c r="P26"/>
      <c r="Q26"/>
      <c r="R26"/>
      <c r="S26"/>
      <c r="T26"/>
      <c r="U26"/>
      <c r="V26"/>
      <c r="W26"/>
      <c r="X26"/>
      <c r="Y26"/>
      <c r="Z26"/>
      <c r="AA26"/>
    </row>
    <row r="27" spans="1:27" ht="14.4">
      <c r="A27" t="s">
        <v>536</v>
      </c>
      <c r="B27" s="15" t="s">
        <v>104</v>
      </c>
      <c r="C27" s="15" t="str">
        <f>HYPERLINK("01-组织级\01-组织财富库\01-标准过程文件库\03-支持类\03-度量分析\度量分析指南 (QCUBIC-SPI-MPM-Guid-Doc)V1.2-engl.docx", "engl")</f>
        <v>engl</v>
      </c>
      <c r="D27"/>
      <c r="E27"/>
      <c r="F27"/>
      <c r="G27"/>
      <c r="H27"/>
      <c r="I27"/>
      <c r="J27"/>
      <c r="K27"/>
      <c r="L27"/>
      <c r="M27"/>
      <c r="N27"/>
      <c r="O27" t="s">
        <v>426</v>
      </c>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856CFCD9-686D-445C-B11D-FFFCBFBBA357}"/>
    <hyperlink ref="B17" r:id="rId2" xr:uid="{DDDEF4A2-0588-4A39-A84D-6A2B6108C844}"/>
    <hyperlink ref="B18" r:id="rId3" xr:uid="{74708407-86E3-4435-99D9-905C3A2F324C}"/>
    <hyperlink ref="B19" r:id="rId4" xr:uid="{917C9242-0A41-4B07-9E67-41493BBB9EE0}"/>
    <hyperlink ref="B20" r:id="rId5" xr:uid="{F9D0B17D-F12A-4B4D-999B-E78E8E8DC853}"/>
    <hyperlink ref="B21" r:id="rId6" xr:uid="{2215B2AC-5083-4CF7-B7F1-2DBDC1DAB793}"/>
    <hyperlink ref="B22" r:id="rId7" xr:uid="{5C2FB4A4-1F66-4112-823D-910547D6BE9C}"/>
    <hyperlink ref="B23" r:id="rId8" xr:uid="{8A7687D1-AE98-48DC-9310-17362C777F1B}"/>
    <hyperlink ref="B24" r:id="rId9" xr:uid="{2EF1DD6C-2447-41A9-A6FB-05A54B16747C}"/>
    <hyperlink ref="B25" r:id="rId10" xr:uid="{9D740496-A08C-4040-9651-E6BC8B469D14}"/>
    <hyperlink ref="B26" r:id="rId11" xr:uid="{E911B618-5214-421B-B3BC-60759D329654}"/>
    <hyperlink ref="B27" r:id="rId12" xr:uid="{0EF7D82F-D2A4-43CC-B19F-046707C355F2}"/>
  </hyperlinks>
  <pageMargins left="0.69930555555555596" right="0.69930555555555596" top="0.75" bottom="0.75" header="0.3" footer="0.3"/>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AEB9D2-A151-40F1-9597-4E5BAB08BE14}">
  <sheetPr codeName="Sheet17">
    <tabColor rgb="FFB682B9"/>
  </sheetPr>
  <dimension ref="A1:AF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9.6640625" style="117" customWidth="1"/>
    <col min="2" max="4" width="7.88671875" style="117" customWidth="1"/>
    <col min="5" max="8" width="12.6640625" style="117" customWidth="1"/>
    <col min="9" max="26" width="14.6640625" style="117" customWidth="1"/>
    <col min="27" max="27" width="10.109375" style="117" customWidth="1"/>
    <col min="28" max="28" width="3.6640625" style="117" customWidth="1"/>
    <col min="29" max="29" width="32.109375" style="117" bestFit="1" customWidth="1"/>
    <col min="30" max="30" width="72" style="117" customWidth="1"/>
    <col min="31" max="32" width="16.6640625" style="117" customWidth="1"/>
    <col min="33" max="33" width="61.88671875" style="117" customWidth="1"/>
    <col min="34" max="16384" width="8.88671875" style="117"/>
  </cols>
  <sheetData>
    <row r="1" spans="1:32" ht="21">
      <c r="A1" s="186" t="s">
        <v>205</v>
      </c>
      <c r="B1" s="186"/>
      <c r="C1" s="186"/>
      <c r="D1" s="186"/>
      <c r="E1" s="187"/>
      <c r="F1" s="187"/>
      <c r="G1" s="187"/>
      <c r="H1" s="187"/>
      <c r="I1" s="187"/>
      <c r="J1" s="187"/>
      <c r="K1" s="187"/>
      <c r="L1" s="187"/>
      <c r="M1" s="366"/>
      <c r="N1" s="366"/>
      <c r="O1" s="366"/>
      <c r="P1" s="366"/>
      <c r="Q1" s="366"/>
      <c r="R1" s="366"/>
    </row>
    <row r="2" spans="1:32" ht="15.6">
      <c r="A2" s="188" t="s">
        <v>447</v>
      </c>
      <c r="B2" s="188"/>
      <c r="C2" s="188"/>
      <c r="D2" s="188"/>
      <c r="E2" s="189" t="s">
        <v>206</v>
      </c>
      <c r="F2" s="189"/>
      <c r="G2" s="189"/>
      <c r="H2" s="189"/>
      <c r="I2" s="189"/>
      <c r="J2" s="189"/>
      <c r="K2" s="189"/>
      <c r="L2" s="189"/>
      <c r="M2" s="189"/>
      <c r="S2" s="190"/>
      <c r="X2" s="123"/>
    </row>
    <row r="3" spans="1:32" ht="15.6">
      <c r="A3" s="188" t="s">
        <v>448</v>
      </c>
      <c r="B3" s="188"/>
      <c r="C3" s="188"/>
      <c r="D3" s="188"/>
      <c r="E3" s="189" t="s">
        <v>207</v>
      </c>
      <c r="F3" s="189"/>
      <c r="G3" s="189"/>
      <c r="H3" s="189"/>
      <c r="I3" s="189"/>
      <c r="J3" s="189"/>
      <c r="K3" s="189"/>
      <c r="L3" s="189"/>
      <c r="M3" s="189"/>
    </row>
    <row r="4" spans="1:32" ht="15.6">
      <c r="A4" s="188"/>
      <c r="B4" s="188"/>
      <c r="C4" s="188"/>
      <c r="D4" s="188"/>
      <c r="E4" s="191" t="s">
        <v>47</v>
      </c>
      <c r="F4" s="191"/>
      <c r="G4" s="192" t="s">
        <v>54</v>
      </c>
      <c r="H4" s="192"/>
      <c r="I4" s="192"/>
      <c r="J4" s="192"/>
      <c r="K4" s="192"/>
      <c r="L4" s="192"/>
      <c r="M4" s="193" t="s">
        <v>56</v>
      </c>
      <c r="N4" s="194"/>
      <c r="O4" s="194"/>
      <c r="P4" s="194"/>
      <c r="Q4" s="194"/>
      <c r="R4" s="194"/>
      <c r="S4" s="173" t="s">
        <v>57</v>
      </c>
      <c r="T4" s="173"/>
      <c r="U4" s="173"/>
      <c r="V4" s="173"/>
      <c r="W4" s="173"/>
      <c r="X4" s="195" t="s">
        <v>58</v>
      </c>
      <c r="Y4" s="195"/>
      <c r="Z4" s="195"/>
    </row>
    <row r="5" spans="1:32">
      <c r="E5" s="119" t="s">
        <v>539</v>
      </c>
      <c r="F5" s="196"/>
      <c r="G5" s="120" t="s">
        <v>540</v>
      </c>
      <c r="H5" s="197"/>
      <c r="I5" s="197"/>
      <c r="J5" s="197"/>
      <c r="K5" s="197"/>
      <c r="L5" s="113"/>
      <c r="M5" s="116" t="s">
        <v>541</v>
      </c>
      <c r="N5" s="194"/>
      <c r="O5" s="194"/>
      <c r="P5" s="194"/>
      <c r="Q5" s="194"/>
      <c r="R5" s="194"/>
      <c r="S5" s="174" t="s">
        <v>805</v>
      </c>
      <c r="T5" s="173"/>
      <c r="U5" s="173"/>
      <c r="V5" s="173"/>
      <c r="W5" s="173"/>
      <c r="X5" s="198" t="s">
        <v>912</v>
      </c>
      <c r="Y5" s="195"/>
      <c r="Z5" s="195"/>
    </row>
    <row r="6" spans="1:32">
      <c r="A6" s="122"/>
      <c r="B6" s="122"/>
      <c r="C6" s="122"/>
      <c r="D6" s="122"/>
      <c r="E6" s="175" t="s">
        <v>208</v>
      </c>
      <c r="F6" s="175" t="s">
        <v>209</v>
      </c>
      <c r="G6" s="90" t="s">
        <v>210</v>
      </c>
      <c r="H6" s="90" t="s">
        <v>212</v>
      </c>
      <c r="I6" s="90" t="s">
        <v>213</v>
      </c>
      <c r="J6" s="90" t="s">
        <v>215</v>
      </c>
      <c r="K6" s="199" t="s">
        <v>217</v>
      </c>
      <c r="L6" s="90" t="s">
        <v>219</v>
      </c>
      <c r="M6" s="200" t="s">
        <v>220</v>
      </c>
      <c r="N6" s="91" t="s">
        <v>222</v>
      </c>
      <c r="O6" s="91" t="s">
        <v>223</v>
      </c>
      <c r="P6" s="91" t="s">
        <v>224</v>
      </c>
      <c r="Q6" s="91" t="s">
        <v>226</v>
      </c>
      <c r="R6" s="91" t="s">
        <v>228</v>
      </c>
      <c r="S6" s="201" t="s">
        <v>229</v>
      </c>
      <c r="T6" s="201" t="s">
        <v>230</v>
      </c>
      <c r="U6" s="201" t="s">
        <v>231</v>
      </c>
      <c r="V6" s="201" t="s">
        <v>232</v>
      </c>
      <c r="W6" s="201" t="s">
        <v>233</v>
      </c>
      <c r="X6" s="172" t="s">
        <v>234</v>
      </c>
      <c r="Y6" s="172" t="s">
        <v>235</v>
      </c>
      <c r="Z6" s="202" t="s">
        <v>236</v>
      </c>
      <c r="AA6" s="93"/>
      <c r="AB6" s="93"/>
      <c r="AC6" s="93"/>
      <c r="AD6" s="367"/>
      <c r="AE6" s="367"/>
      <c r="AF6" s="367"/>
    </row>
    <row r="7" spans="1:32" ht="172.35" customHeight="1">
      <c r="A7" s="124" t="s">
        <v>643</v>
      </c>
      <c r="B7" s="124"/>
      <c r="C7" s="124"/>
      <c r="D7" s="124"/>
      <c r="E7" s="97" t="s">
        <v>913</v>
      </c>
      <c r="F7" s="97" t="s">
        <v>914</v>
      </c>
      <c r="G7" s="97" t="s">
        <v>915</v>
      </c>
      <c r="H7" s="97" t="s">
        <v>916</v>
      </c>
      <c r="I7" s="97" t="s">
        <v>917</v>
      </c>
      <c r="J7" s="97" t="s">
        <v>918</v>
      </c>
      <c r="K7" s="97" t="s">
        <v>919</v>
      </c>
      <c r="L7" s="97" t="s">
        <v>920</v>
      </c>
      <c r="M7" s="203" t="s">
        <v>921</v>
      </c>
      <c r="N7" s="97" t="s">
        <v>922</v>
      </c>
      <c r="O7" s="97" t="s">
        <v>923</v>
      </c>
      <c r="P7" s="97" t="s">
        <v>924</v>
      </c>
      <c r="Q7" s="97" t="s">
        <v>925</v>
      </c>
      <c r="R7" s="97" t="s">
        <v>926</v>
      </c>
      <c r="S7" s="97" t="s">
        <v>927</v>
      </c>
      <c r="T7" s="97" t="s">
        <v>928</v>
      </c>
      <c r="U7" s="97" t="s">
        <v>929</v>
      </c>
      <c r="V7" s="97" t="s">
        <v>930</v>
      </c>
      <c r="W7" s="97" t="s">
        <v>931</v>
      </c>
      <c r="X7" s="97" t="s">
        <v>932</v>
      </c>
      <c r="Y7" s="97" t="s">
        <v>933</v>
      </c>
      <c r="Z7" s="204" t="s">
        <v>934</v>
      </c>
      <c r="AA7" s="93"/>
      <c r="AB7" s="93"/>
      <c r="AC7" s="93"/>
    </row>
    <row r="8" spans="1:32" ht="117.6" customHeight="1">
      <c r="A8" s="122" t="s">
        <v>553</v>
      </c>
      <c r="B8" s="122"/>
      <c r="C8" s="122"/>
      <c r="D8" s="122"/>
      <c r="E8" s="133" t="s">
        <v>935</v>
      </c>
      <c r="F8" s="133" t="s">
        <v>936</v>
      </c>
      <c r="G8" s="133" t="s">
        <v>937</v>
      </c>
      <c r="H8" s="133" t="s">
        <v>938</v>
      </c>
      <c r="I8" s="133" t="s">
        <v>939</v>
      </c>
      <c r="J8" s="133" t="s">
        <v>940</v>
      </c>
      <c r="K8" s="205" t="s">
        <v>941</v>
      </c>
      <c r="L8" s="133" t="s">
        <v>942</v>
      </c>
      <c r="M8" s="206" t="s">
        <v>943</v>
      </c>
      <c r="N8" s="133" t="s">
        <v>944</v>
      </c>
      <c r="O8" s="133" t="s">
        <v>945</v>
      </c>
      <c r="P8" s="133" t="s">
        <v>946</v>
      </c>
      <c r="Q8" s="133" t="s">
        <v>947</v>
      </c>
      <c r="R8" s="133" t="s">
        <v>948</v>
      </c>
      <c r="S8" s="98" t="s">
        <v>949</v>
      </c>
      <c r="T8" s="98" t="s">
        <v>950</v>
      </c>
      <c r="U8" s="98" t="s">
        <v>951</v>
      </c>
      <c r="V8" s="98" t="s">
        <v>952</v>
      </c>
      <c r="W8" s="98" t="s">
        <v>953</v>
      </c>
      <c r="X8" s="98" t="s">
        <v>954</v>
      </c>
      <c r="Y8" s="98" t="s">
        <v>955</v>
      </c>
      <c r="Z8" s="207" t="s">
        <v>956</v>
      </c>
      <c r="AA8" s="99"/>
      <c r="AB8" s="99"/>
      <c r="AC8" s="99"/>
    </row>
    <row r="9" spans="1:32" ht="75" customHeight="1">
      <c r="A9" s="122" t="s">
        <v>96</v>
      </c>
      <c r="B9" s="122"/>
      <c r="C9" s="122"/>
      <c r="D9" s="122"/>
      <c r="E9" s="98" t="s">
        <v>957</v>
      </c>
      <c r="F9" s="98" t="s">
        <v>958</v>
      </c>
      <c r="G9" s="98" t="s">
        <v>959</v>
      </c>
      <c r="H9" s="98" t="s">
        <v>960</v>
      </c>
      <c r="I9" s="98" t="s">
        <v>961</v>
      </c>
      <c r="J9" s="98" t="s">
        <v>962</v>
      </c>
      <c r="K9" s="207" t="s">
        <v>963</v>
      </c>
      <c r="L9" s="98" t="s">
        <v>964</v>
      </c>
      <c r="M9" s="208" t="s">
        <v>965</v>
      </c>
      <c r="N9" s="98" t="s">
        <v>966</v>
      </c>
      <c r="O9" s="98" t="s">
        <v>967</v>
      </c>
      <c r="P9" s="98" t="s">
        <v>968</v>
      </c>
      <c r="Q9" s="98" t="s">
        <v>969</v>
      </c>
      <c r="R9" s="98" t="s">
        <v>970</v>
      </c>
      <c r="S9" s="125" t="s">
        <v>971</v>
      </c>
      <c r="T9" s="125" t="s">
        <v>972</v>
      </c>
      <c r="U9" s="98" t="s">
        <v>973</v>
      </c>
      <c r="V9" s="98" t="s">
        <v>974</v>
      </c>
      <c r="W9" s="98" t="s">
        <v>975</v>
      </c>
      <c r="X9" s="98" t="s">
        <v>976</v>
      </c>
      <c r="Y9" s="98" t="s">
        <v>977</v>
      </c>
      <c r="Z9" s="207" t="s">
        <v>978</v>
      </c>
      <c r="AA9" s="99"/>
      <c r="AB9" s="99"/>
      <c r="AC9" s="99"/>
    </row>
    <row r="10" spans="1:32" ht="198.6" customHeight="1">
      <c r="A10" s="122" t="s">
        <v>574</v>
      </c>
      <c r="B10" s="122"/>
      <c r="C10" s="122"/>
      <c r="D10" s="122"/>
      <c r="E10" s="102" t="s">
        <v>979</v>
      </c>
      <c r="F10" s="102" t="s">
        <v>980</v>
      </c>
      <c r="G10" s="102" t="s">
        <v>981</v>
      </c>
      <c r="H10" s="102" t="s">
        <v>982</v>
      </c>
      <c r="I10" s="102" t="s">
        <v>983</v>
      </c>
      <c r="J10" s="102" t="s">
        <v>984</v>
      </c>
      <c r="K10" s="209" t="s">
        <v>985</v>
      </c>
      <c r="L10" s="103" t="s">
        <v>986</v>
      </c>
      <c r="M10" s="210" t="s">
        <v>987</v>
      </c>
      <c r="N10" s="103" t="s">
        <v>988</v>
      </c>
      <c r="O10" s="103" t="s">
        <v>989</v>
      </c>
      <c r="P10" s="103" t="s">
        <v>990</v>
      </c>
      <c r="Q10" s="103" t="s">
        <v>991</v>
      </c>
      <c r="R10" s="103" t="s">
        <v>992</v>
      </c>
      <c r="S10" s="103" t="s">
        <v>993</v>
      </c>
      <c r="T10" s="103" t="s">
        <v>994</v>
      </c>
      <c r="U10" s="103" t="s">
        <v>995</v>
      </c>
      <c r="V10" s="103" t="s">
        <v>996</v>
      </c>
      <c r="W10" s="103" t="s">
        <v>997</v>
      </c>
      <c r="X10" s="103" t="s">
        <v>998</v>
      </c>
      <c r="Y10" s="103" t="s">
        <v>999</v>
      </c>
      <c r="Z10" s="103" t="s">
        <v>1000</v>
      </c>
      <c r="AA10" s="93"/>
      <c r="AB10" s="93"/>
      <c r="AC10" s="93"/>
    </row>
    <row r="11" spans="1:32" ht="118.35" customHeight="1">
      <c r="A11" s="135" t="s">
        <v>85</v>
      </c>
      <c r="B11" s="135"/>
      <c r="C11" s="135"/>
      <c r="D11" s="135"/>
      <c r="E11" s="102" t="s">
        <v>1001</v>
      </c>
      <c r="F11" s="102"/>
      <c r="G11" s="102" t="s">
        <v>1002</v>
      </c>
      <c r="H11" s="102" t="s">
        <v>1003</v>
      </c>
      <c r="I11" s="102" t="s">
        <v>1004</v>
      </c>
      <c r="J11" s="102" t="s">
        <v>1005</v>
      </c>
      <c r="K11" s="209" t="s">
        <v>1006</v>
      </c>
      <c r="L11" s="103" t="s">
        <v>1007</v>
      </c>
      <c r="M11" s="210" t="s">
        <v>1008</v>
      </c>
      <c r="N11" s="103" t="s">
        <v>1009</v>
      </c>
      <c r="O11" s="103" t="s">
        <v>1010</v>
      </c>
      <c r="P11" s="103" t="s">
        <v>1011</v>
      </c>
      <c r="Q11" s="103" t="s">
        <v>1012</v>
      </c>
      <c r="R11" s="103" t="s">
        <v>1013</v>
      </c>
      <c r="S11" s="103" t="s">
        <v>993</v>
      </c>
      <c r="T11" s="103" t="s">
        <v>994</v>
      </c>
      <c r="U11" s="103" t="s">
        <v>995</v>
      </c>
      <c r="V11" s="103" t="s">
        <v>996</v>
      </c>
      <c r="W11" s="103" t="s">
        <v>997</v>
      </c>
      <c r="X11" s="103" t="s">
        <v>998</v>
      </c>
      <c r="Y11" s="103" t="s">
        <v>999</v>
      </c>
      <c r="Z11" s="103" t="s">
        <v>1000</v>
      </c>
      <c r="AA11" s="93"/>
      <c r="AB11" s="93"/>
      <c r="AC11" s="93"/>
    </row>
    <row r="15" spans="1:32" customFormat="1">
      <c r="A15" t="s">
        <v>443</v>
      </c>
      <c r="B15" t="s">
        <v>104</v>
      </c>
      <c r="C15" t="s">
        <v>105</v>
      </c>
      <c r="D15" s="295" t="s">
        <v>442</v>
      </c>
      <c r="E15" s="14" t="s">
        <v>208</v>
      </c>
      <c r="F15" s="14" t="s">
        <v>209</v>
      </c>
      <c r="G15" s="14" t="s">
        <v>210</v>
      </c>
      <c r="H15" s="14" t="s">
        <v>212</v>
      </c>
      <c r="I15" s="14" t="s">
        <v>213</v>
      </c>
      <c r="J15" s="14" t="s">
        <v>215</v>
      </c>
      <c r="K15" s="14" t="s">
        <v>217</v>
      </c>
      <c r="L15" s="14" t="s">
        <v>219</v>
      </c>
      <c r="M15" s="14" t="s">
        <v>220</v>
      </c>
      <c r="N15" s="14" t="s">
        <v>222</v>
      </c>
      <c r="O15" s="14" t="s">
        <v>223</v>
      </c>
      <c r="P15" s="14" t="s">
        <v>224</v>
      </c>
      <c r="Q15" s="14" t="s">
        <v>226</v>
      </c>
      <c r="R15" s="14" t="s">
        <v>228</v>
      </c>
      <c r="S15" s="14" t="s">
        <v>229</v>
      </c>
      <c r="T15" s="14" t="s">
        <v>230</v>
      </c>
      <c r="U15" s="14" t="s">
        <v>231</v>
      </c>
      <c r="V15" s="14" t="s">
        <v>232</v>
      </c>
      <c r="W15" s="14" t="s">
        <v>233</v>
      </c>
      <c r="X15" s="14" t="s">
        <v>234</v>
      </c>
      <c r="Y15" s="14" t="s">
        <v>235</v>
      </c>
      <c r="Z15" s="14" t="s">
        <v>236</v>
      </c>
      <c r="AA15" s="14"/>
    </row>
    <row r="16" spans="1:32">
      <c r="A16" t="s">
        <v>536</v>
      </c>
      <c r="B16" s="15" t="s">
        <v>104</v>
      </c>
      <c r="C16" s="15" t="str">
        <f>HYPERLINK("01-组织级\02-组织工作库\06-度量\组织度量表(QCUBIC-SPI-MPM-Tem-datasheet)V1.3-engl.xlsx", "engl")</f>
        <v>engl</v>
      </c>
      <c r="D16"/>
      <c r="E16" t="s">
        <v>426</v>
      </c>
      <c r="F16" t="s">
        <v>426</v>
      </c>
      <c r="G16"/>
      <c r="H16"/>
      <c r="I16" t="s">
        <v>426</v>
      </c>
      <c r="J16" t="s">
        <v>426</v>
      </c>
      <c r="K16" t="s">
        <v>426</v>
      </c>
      <c r="L16" t="s">
        <v>426</v>
      </c>
      <c r="M16" t="s">
        <v>426</v>
      </c>
      <c r="N16" t="s">
        <v>426</v>
      </c>
      <c r="O16"/>
      <c r="P16" t="s">
        <v>426</v>
      </c>
      <c r="Q16" t="s">
        <v>426</v>
      </c>
      <c r="R16" t="s">
        <v>426</v>
      </c>
      <c r="S16"/>
      <c r="T16"/>
      <c r="U16"/>
      <c r="V16"/>
      <c r="W16"/>
      <c r="X16"/>
      <c r="Y16"/>
      <c r="Z16"/>
      <c r="AA16"/>
    </row>
    <row r="17" spans="1:27">
      <c r="A17" t="s">
        <v>536</v>
      </c>
      <c r="B17" s="15" t="s">
        <v>104</v>
      </c>
      <c r="C17" s="15" t="str">
        <f>HYPERLINK("01-组织级\02-组织工作库\06-度量\组织度量计划(QCUBIC-SPI-MPM-Plan)V1.3-engl.xlsx", "engl")</f>
        <v>engl</v>
      </c>
      <c r="D17"/>
      <c r="E17" t="s">
        <v>426</v>
      </c>
      <c r="F17"/>
      <c r="G17" t="s">
        <v>426</v>
      </c>
      <c r="H17" t="s">
        <v>426</v>
      </c>
      <c r="I17"/>
      <c r="J17"/>
      <c r="K17"/>
      <c r="L17"/>
      <c r="M17"/>
      <c r="N17" t="s">
        <v>426</v>
      </c>
      <c r="O17"/>
      <c r="P17"/>
      <c r="Q17"/>
      <c r="R17"/>
      <c r="S17"/>
      <c r="T17"/>
      <c r="U17"/>
      <c r="V17"/>
      <c r="W17"/>
      <c r="X17"/>
      <c r="Y17"/>
      <c r="Z17"/>
      <c r="AA17"/>
    </row>
    <row r="18" spans="1:27">
      <c r="A18" t="s">
        <v>536</v>
      </c>
      <c r="B18" s="15" t="s">
        <v>104</v>
      </c>
      <c r="C18" s="15" t="str">
        <f>HYPERLINK("01-组织级\01-组织财富库\01-标准过程文件库\03-支持类\03-度量分析\度量分析指南 (QCUBIC-SPI-MPM-Guid-Doc)V1.2-engl.docx", "engl")</f>
        <v>engl</v>
      </c>
      <c r="D18"/>
      <c r="E18"/>
      <c r="F18"/>
      <c r="G18"/>
      <c r="H18" t="s">
        <v>426</v>
      </c>
      <c r="I18"/>
      <c r="J18"/>
      <c r="K18"/>
      <c r="L18"/>
      <c r="M18"/>
      <c r="N18"/>
      <c r="O18" t="s">
        <v>426</v>
      </c>
      <c r="P18"/>
      <c r="Q18"/>
      <c r="R18"/>
      <c r="S18"/>
      <c r="T18"/>
      <c r="U18"/>
      <c r="V18"/>
      <c r="W18"/>
      <c r="X18"/>
      <c r="Y18"/>
      <c r="Z18"/>
      <c r="AA18"/>
    </row>
    <row r="19" spans="1:27">
      <c r="A19" t="s">
        <v>536</v>
      </c>
      <c r="B19" s="15" t="s">
        <v>104</v>
      </c>
      <c r="C19" s="15" t="str">
        <f>HYPERLINK("01-组织级\01-组织财富库\01-标准过程文件库\03-支持类\03-度量分析\度量分析过程文件 (QCUBIC-SPI-MPM-Proc-Doc)V1.2-engl.docx", "engl")</f>
        <v>engl</v>
      </c>
      <c r="D19"/>
      <c r="E19"/>
      <c r="F19"/>
      <c r="G19"/>
      <c r="H19"/>
      <c r="I19"/>
      <c r="J19"/>
      <c r="K19"/>
      <c r="L19"/>
      <c r="M19"/>
      <c r="N19" t="s">
        <v>426</v>
      </c>
      <c r="O19"/>
      <c r="P19"/>
      <c r="Q19"/>
      <c r="R19"/>
      <c r="S19"/>
      <c r="T19"/>
      <c r="U19"/>
      <c r="V19"/>
      <c r="W19"/>
      <c r="X19"/>
      <c r="Y19"/>
      <c r="Z19"/>
      <c r="AA19"/>
    </row>
    <row r="20" spans="1:27">
      <c r="A20" t="s">
        <v>536</v>
      </c>
      <c r="B20" s="15" t="s">
        <v>104</v>
      </c>
      <c r="C20" s="15" t="str">
        <f>HYPERLINK("01-组织级\02-组织工作库\03-PQA活动库\组织级工作产品和过程检查表(QCUBIC-ORG-PQA-Checklist_20200627)V1.0-engl.xlsx", "engl")</f>
        <v>engl</v>
      </c>
      <c r="D20"/>
      <c r="E20"/>
      <c r="F20"/>
      <c r="G20"/>
      <c r="H20"/>
      <c r="I20"/>
      <c r="J20"/>
      <c r="K20"/>
      <c r="L20"/>
      <c r="M20"/>
      <c r="N20"/>
      <c r="O20" t="s">
        <v>426</v>
      </c>
      <c r="P20"/>
      <c r="Q20"/>
      <c r="R20"/>
      <c r="S20"/>
      <c r="T20"/>
      <c r="U20"/>
      <c r="V20"/>
      <c r="W20"/>
      <c r="X20"/>
      <c r="Y20"/>
      <c r="Z20"/>
      <c r="AA20"/>
    </row>
    <row r="21" spans="1:27">
      <c r="A21" t="s">
        <v>536</v>
      </c>
      <c r="B21" s="15" t="s">
        <v>104</v>
      </c>
      <c r="C21" s="15" t="str">
        <f>HYPERLINK("01-组织级\02-组织工作库\02-EPG活动库\07-EPG跟踪\01-EPG月报\EPG月报2020-06-engl.xlsx", "engl")</f>
        <v>engl</v>
      </c>
      <c r="D21"/>
      <c r="E21"/>
      <c r="F21"/>
      <c r="G21"/>
      <c r="H21"/>
      <c r="I21"/>
      <c r="J21"/>
      <c r="K21"/>
      <c r="L21"/>
      <c r="M21"/>
      <c r="N21"/>
      <c r="O21"/>
      <c r="P21"/>
      <c r="Q21"/>
      <c r="R21" t="s">
        <v>426</v>
      </c>
      <c r="S21"/>
      <c r="T21"/>
      <c r="U21"/>
      <c r="V21"/>
      <c r="W21"/>
      <c r="X21"/>
      <c r="Y21"/>
      <c r="Z21"/>
      <c r="AA21"/>
    </row>
    <row r="22" spans="1:27">
      <c r="A22" t="s">
        <v>536</v>
      </c>
      <c r="B22" s="15" t="s">
        <v>104</v>
      </c>
      <c r="C22" s="15" t="str">
        <f>HYPERLINK("01-组织级\02-组织工作库\01-会议记录\高层会议记录(QCUBIC-SPI-MeetingRcd-2020-06-03)V1.0-engl.docx", "engl")</f>
        <v>engl</v>
      </c>
      <c r="D22"/>
      <c r="E22"/>
      <c r="F22"/>
      <c r="G22"/>
      <c r="H22"/>
      <c r="I22"/>
      <c r="J22"/>
      <c r="K22"/>
      <c r="L22"/>
      <c r="M22"/>
      <c r="N22"/>
      <c r="O22"/>
      <c r="P22"/>
      <c r="Q22"/>
      <c r="R22" t="s">
        <v>426</v>
      </c>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mergeCells count="2">
    <mergeCell ref="M1:R1"/>
    <mergeCell ref="AD6:AF6"/>
  </mergeCells>
  <phoneticPr fontId="72" type="noConversion"/>
  <hyperlinks>
    <hyperlink ref="B16" r:id="rId1" xr:uid="{AF02FEC3-E2CA-4BC1-886F-4C0F13E9C080}"/>
    <hyperlink ref="B17" r:id="rId2" xr:uid="{75D52630-DD6F-4AD4-9435-AEE8CCE9BFCC}"/>
    <hyperlink ref="B18" r:id="rId3" xr:uid="{4882CA06-8900-4B44-9AAE-1ED5E15616EA}"/>
    <hyperlink ref="B19" r:id="rId4" xr:uid="{14CD2612-F362-47DA-BBB5-E87C83F5ECA4}"/>
    <hyperlink ref="B20" r:id="rId5" xr:uid="{0F2A31FD-40C6-4498-A8B8-517295558EB5}"/>
    <hyperlink ref="B21" r:id="rId6" xr:uid="{B9B23CFB-5825-407F-8E0A-AF245EE2065B}"/>
    <hyperlink ref="B22" r:id="rId7" xr:uid="{5DDCD729-7A7C-4966-A166-F7BC54817FC5}"/>
  </hyperlinks>
  <pageMargins left="0.7" right="0.7" top="0.75" bottom="0.75" header="0.3" footer="0.3"/>
  <pageSetup paperSize="9" orientation="portrait" r:id="rId8"/>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49572F-432C-4C18-9343-F742B5BCABF8}">
  <sheetPr codeName="Sheet18">
    <tabColor rgb="FF00A551"/>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4.6640625" style="123" customWidth="1"/>
    <col min="2" max="4" width="7.88671875" style="123" customWidth="1"/>
    <col min="5" max="6" width="20.6640625" style="123" customWidth="1"/>
    <col min="7" max="12" width="20.6640625" style="108" customWidth="1"/>
    <col min="13" max="13" width="50.6640625" style="108" customWidth="1"/>
    <col min="14" max="14" width="3.6640625" style="108" customWidth="1"/>
    <col min="15" max="15" width="35.6640625" style="108" bestFit="1" customWidth="1"/>
    <col min="16" max="16" width="67.109375" style="108" customWidth="1"/>
    <col min="17" max="17" width="24.33203125" style="108" customWidth="1"/>
    <col min="18" max="16384" width="8.6640625" style="123"/>
  </cols>
  <sheetData>
    <row r="1" spans="1:27" s="148" customFormat="1" ht="18">
      <c r="A1" s="105" t="s">
        <v>1014</v>
      </c>
      <c r="B1" s="105"/>
      <c r="C1" s="105"/>
      <c r="D1" s="105"/>
      <c r="E1" s="106"/>
      <c r="F1" s="107"/>
      <c r="G1" s="108"/>
      <c r="H1" s="108"/>
      <c r="I1" s="108"/>
      <c r="J1" s="108"/>
      <c r="K1" s="108"/>
      <c r="L1" s="108"/>
      <c r="M1" s="108"/>
      <c r="N1" s="108"/>
      <c r="O1" s="108"/>
      <c r="P1" s="108"/>
      <c r="Q1" s="108"/>
    </row>
    <row r="2" spans="1:27" s="110" customFormat="1">
      <c r="A2" s="110" t="s">
        <v>447</v>
      </c>
      <c r="E2" s="123" t="s">
        <v>265</v>
      </c>
      <c r="F2" s="123"/>
      <c r="G2" s="123"/>
      <c r="H2" s="108"/>
      <c r="I2" s="108"/>
      <c r="J2" s="108"/>
      <c r="K2" s="108"/>
      <c r="L2" s="108"/>
      <c r="M2" s="108"/>
      <c r="N2" s="108"/>
      <c r="O2" s="108"/>
      <c r="P2" s="108"/>
      <c r="Q2" s="108"/>
    </row>
    <row r="3" spans="1:27" s="148" customFormat="1">
      <c r="A3" s="107" t="s">
        <v>448</v>
      </c>
      <c r="B3" s="107"/>
      <c r="C3" s="107"/>
      <c r="D3" s="107"/>
      <c r="E3" s="211" t="s">
        <v>266</v>
      </c>
      <c r="F3" s="211"/>
      <c r="G3" s="211"/>
      <c r="H3" s="108"/>
      <c r="I3" s="108"/>
      <c r="J3" s="108"/>
      <c r="K3" s="108"/>
      <c r="L3" s="108"/>
      <c r="M3" s="108"/>
      <c r="N3" s="108"/>
      <c r="O3" s="108"/>
      <c r="P3" s="108"/>
      <c r="Q3" s="108"/>
    </row>
    <row r="4" spans="1:27" s="148" customFormat="1" ht="14.4">
      <c r="A4" s="111"/>
      <c r="B4" s="111"/>
      <c r="C4" s="111"/>
      <c r="D4" s="111"/>
      <c r="E4" s="112" t="s">
        <v>47</v>
      </c>
      <c r="F4" s="113" t="s">
        <v>54</v>
      </c>
      <c r="G4" s="113"/>
      <c r="H4" s="116" t="s">
        <v>56</v>
      </c>
      <c r="I4" s="116"/>
      <c r="J4" s="150"/>
      <c r="K4" s="150"/>
      <c r="L4" s="150"/>
      <c r="M4" s="110"/>
      <c r="N4" s="110"/>
      <c r="O4" s="110"/>
      <c r="P4" s="107"/>
      <c r="Q4" s="107"/>
      <c r="R4" s="110"/>
      <c r="S4" s="117"/>
      <c r="T4" s="117"/>
    </row>
    <row r="5" spans="1:27" s="148" customFormat="1" ht="14.4">
      <c r="A5" s="118"/>
      <c r="B5" s="118"/>
      <c r="C5" s="118"/>
      <c r="D5" s="118"/>
      <c r="E5" s="119" t="s">
        <v>539</v>
      </c>
      <c r="F5" s="120" t="s">
        <v>540</v>
      </c>
      <c r="G5" s="120"/>
      <c r="H5" s="116" t="s">
        <v>541</v>
      </c>
      <c r="I5" s="169"/>
      <c r="J5" s="150"/>
      <c r="K5" s="150"/>
      <c r="L5" s="150"/>
      <c r="M5" s="110"/>
      <c r="N5" s="110"/>
      <c r="O5" s="110"/>
      <c r="P5" s="118"/>
      <c r="Q5" s="107"/>
      <c r="R5" s="110"/>
      <c r="S5" s="118"/>
      <c r="T5" s="117"/>
    </row>
    <row r="6" spans="1:27" s="107" customFormat="1">
      <c r="A6" s="122"/>
      <c r="B6" s="122"/>
      <c r="C6" s="122"/>
      <c r="D6" s="122"/>
      <c r="E6" s="3" t="s">
        <v>267</v>
      </c>
      <c r="F6" s="90" t="s">
        <v>268</v>
      </c>
      <c r="G6" s="90" t="s">
        <v>270</v>
      </c>
      <c r="H6" s="91" t="s">
        <v>271</v>
      </c>
      <c r="I6" s="91" t="s">
        <v>273</v>
      </c>
      <c r="J6" s="91" t="s">
        <v>274</v>
      </c>
      <c r="K6" s="91" t="s">
        <v>276</v>
      </c>
      <c r="L6" s="92" t="s">
        <v>278</v>
      </c>
      <c r="M6" s="93"/>
      <c r="N6" s="93"/>
      <c r="O6" s="93"/>
      <c r="P6" s="123"/>
      <c r="Q6" s="108"/>
    </row>
    <row r="7" spans="1:27" s="107" customFormat="1" ht="69">
      <c r="A7" s="124" t="s">
        <v>643</v>
      </c>
      <c r="B7" s="124"/>
      <c r="C7" s="124"/>
      <c r="D7" s="124"/>
      <c r="E7" s="97" t="s">
        <v>1015</v>
      </c>
      <c r="F7" s="97" t="s">
        <v>1016</v>
      </c>
      <c r="G7" s="97" t="s">
        <v>1017</v>
      </c>
      <c r="H7" s="97" t="s">
        <v>1018</v>
      </c>
      <c r="I7" s="97" t="s">
        <v>1019</v>
      </c>
      <c r="J7" s="97" t="s">
        <v>1020</v>
      </c>
      <c r="K7" s="97" t="s">
        <v>1021</v>
      </c>
      <c r="L7" s="97" t="s">
        <v>1022</v>
      </c>
      <c r="M7" s="93"/>
      <c r="N7" s="93"/>
      <c r="O7" s="93"/>
      <c r="P7" s="108"/>
      <c r="Q7" s="108"/>
    </row>
    <row r="8" spans="1:27" s="107" customFormat="1" ht="71.400000000000006">
      <c r="A8" s="122" t="s">
        <v>553</v>
      </c>
      <c r="B8" s="122"/>
      <c r="C8" s="122"/>
      <c r="D8" s="122"/>
      <c r="E8" s="151" t="s">
        <v>1023</v>
      </c>
      <c r="F8" s="133" t="s">
        <v>1024</v>
      </c>
      <c r="G8" s="133" t="s">
        <v>1025</v>
      </c>
      <c r="H8" s="133" t="s">
        <v>1026</v>
      </c>
      <c r="I8" s="133" t="s">
        <v>1027</v>
      </c>
      <c r="J8" s="133" t="s">
        <v>1028</v>
      </c>
      <c r="K8" s="133" t="s">
        <v>1029</v>
      </c>
      <c r="L8" s="133" t="s">
        <v>1030</v>
      </c>
      <c r="M8" s="99"/>
      <c r="N8" s="99"/>
      <c r="O8" s="99"/>
      <c r="P8" s="108"/>
      <c r="Q8" s="108"/>
    </row>
    <row r="9" spans="1:27" s="107" customFormat="1" ht="168.6" thickBot="1">
      <c r="A9" s="122" t="s">
        <v>96</v>
      </c>
      <c r="B9" s="122"/>
      <c r="C9" s="122"/>
      <c r="D9" s="122"/>
      <c r="E9" s="125" t="s">
        <v>1031</v>
      </c>
      <c r="F9" s="125" t="s">
        <v>1032</v>
      </c>
      <c r="G9" s="125" t="s">
        <v>1033</v>
      </c>
      <c r="H9" s="125" t="s">
        <v>1034</v>
      </c>
      <c r="I9" s="125" t="s">
        <v>1035</v>
      </c>
      <c r="J9" s="125" t="s">
        <v>1036</v>
      </c>
      <c r="K9" s="125" t="s">
        <v>1037</v>
      </c>
      <c r="L9" s="125" t="s">
        <v>1038</v>
      </c>
      <c r="M9" s="127"/>
      <c r="N9" s="127"/>
      <c r="O9" s="127"/>
      <c r="P9" s="108"/>
      <c r="Q9" s="108"/>
    </row>
    <row r="10" spans="1:27" s="107" customFormat="1" ht="84">
      <c r="A10" s="122" t="s">
        <v>574</v>
      </c>
      <c r="B10" s="171"/>
      <c r="C10" s="171"/>
      <c r="D10" s="171"/>
      <c r="E10" s="212" t="s">
        <v>1039</v>
      </c>
      <c r="F10" s="213" t="s">
        <v>1040</v>
      </c>
      <c r="G10" s="213" t="s">
        <v>1041</v>
      </c>
      <c r="H10" s="213" t="s">
        <v>1042</v>
      </c>
      <c r="I10" s="213" t="s">
        <v>1043</v>
      </c>
      <c r="J10" s="213" t="s">
        <v>1044</v>
      </c>
      <c r="K10" s="213" t="s">
        <v>1045</v>
      </c>
      <c r="L10" s="213" t="s">
        <v>1046</v>
      </c>
      <c r="M10" s="99"/>
      <c r="N10" s="99"/>
      <c r="O10" s="99"/>
      <c r="P10" s="108"/>
      <c r="Q10" s="108"/>
    </row>
    <row r="11" spans="1:27" s="107" customFormat="1" ht="36">
      <c r="A11" s="135" t="s">
        <v>85</v>
      </c>
      <c r="B11" s="135"/>
      <c r="C11" s="135"/>
      <c r="D11" s="135"/>
      <c r="E11" s="214" t="s">
        <v>1047</v>
      </c>
      <c r="F11" s="98" t="s">
        <v>1048</v>
      </c>
      <c r="G11" s="98" t="s">
        <v>1049</v>
      </c>
      <c r="H11" s="98" t="s">
        <v>1050</v>
      </c>
      <c r="I11" s="98" t="s">
        <v>1051</v>
      </c>
      <c r="J11" s="98" t="s">
        <v>1052</v>
      </c>
      <c r="K11" s="98" t="s">
        <v>1053</v>
      </c>
      <c r="L11" s="98" t="s">
        <v>1054</v>
      </c>
      <c r="M11" s="99"/>
      <c r="N11" s="99"/>
      <c r="O11" s="99"/>
      <c r="P11" s="108"/>
      <c r="Q11" s="108"/>
      <c r="R11" s="108"/>
      <c r="S11" s="108"/>
    </row>
    <row r="12" spans="1:27" ht="15" customHeight="1">
      <c r="G12" s="123"/>
      <c r="H12" s="123"/>
      <c r="I12" s="123"/>
      <c r="J12" s="123"/>
      <c r="K12" s="123"/>
      <c r="L12" s="123"/>
      <c r="M12" s="123"/>
      <c r="N12" s="123"/>
      <c r="O12" s="123"/>
      <c r="P12" s="123"/>
    </row>
    <row r="13" spans="1:27" ht="15" customHeight="1">
      <c r="G13" s="123"/>
      <c r="H13" s="123"/>
      <c r="I13" s="123"/>
      <c r="J13" s="123"/>
      <c r="K13" s="123"/>
      <c r="L13" s="123"/>
      <c r="M13" s="123"/>
      <c r="N13" s="123"/>
      <c r="O13" s="123"/>
      <c r="P13" s="123"/>
    </row>
    <row r="14" spans="1:27" ht="15" customHeight="1">
      <c r="G14" s="123"/>
      <c r="H14" s="123"/>
      <c r="I14" s="123"/>
      <c r="J14" s="123"/>
      <c r="K14" s="123"/>
      <c r="L14" s="123"/>
      <c r="M14" s="123"/>
      <c r="N14" s="123"/>
      <c r="O14" s="123"/>
      <c r="P14" s="123"/>
    </row>
    <row r="15" spans="1:27" customFormat="1" ht="14.4">
      <c r="A15" t="s">
        <v>443</v>
      </c>
      <c r="B15" t="s">
        <v>104</v>
      </c>
      <c r="C15" t="s">
        <v>105</v>
      </c>
      <c r="D15" s="295" t="s">
        <v>442</v>
      </c>
      <c r="E15" s="14" t="s">
        <v>267</v>
      </c>
      <c r="F15" s="14" t="s">
        <v>268</v>
      </c>
      <c r="G15" s="14" t="s">
        <v>270</v>
      </c>
      <c r="H15" s="14" t="s">
        <v>271</v>
      </c>
      <c r="I15" s="14" t="s">
        <v>273</v>
      </c>
      <c r="J15" s="14" t="s">
        <v>274</v>
      </c>
      <c r="K15" s="14" t="s">
        <v>276</v>
      </c>
      <c r="L15" s="14" t="s">
        <v>278</v>
      </c>
    </row>
    <row r="16" spans="1:27" ht="14.4">
      <c r="A16" t="s">
        <v>536</v>
      </c>
      <c r="B16" s="15" t="s">
        <v>104</v>
      </c>
      <c r="C16" s="15" t="str">
        <f>HYPERLINK("02-项目级\P1-Qcubic数据库管理工具 V1.0\02-全程管理\02-风险和机会管理\03-风险和机会管理一览表(QCUBIC-SJKGL-RSK-chk&amp;tracking)V1.2-engl.xlsx", "engl")</f>
        <v>engl</v>
      </c>
      <c r="D16"/>
      <c r="E16" t="s">
        <v>426</v>
      </c>
      <c r="F16" t="s">
        <v>426</v>
      </c>
      <c r="G16" t="s">
        <v>426</v>
      </c>
      <c r="H16" t="s">
        <v>426</v>
      </c>
      <c r="I16" t="s">
        <v>426</v>
      </c>
      <c r="J16" t="s">
        <v>426</v>
      </c>
      <c r="K16"/>
      <c r="L16" t="s">
        <v>426</v>
      </c>
      <c r="M16"/>
      <c r="N16"/>
      <c r="O16"/>
      <c r="P16"/>
      <c r="Q16"/>
      <c r="R16"/>
      <c r="S16"/>
      <c r="T16"/>
      <c r="U16"/>
      <c r="V16"/>
      <c r="W16"/>
      <c r="X16"/>
      <c r="Y16"/>
      <c r="Z16"/>
      <c r="AA16"/>
    </row>
    <row r="17" spans="1:27" ht="14.4">
      <c r="A17" t="s">
        <v>536</v>
      </c>
      <c r="B17" s="15" t="s">
        <v>104</v>
      </c>
      <c r="C17" s="15" t="str">
        <f>HYPERLINK("02-项目级\P1-Qcubic数据库管理工具 V1.0\02-全程管理\02-风险和机会管理\01-风险和机会检查表(QCUBIC-SJKGL-RSK-rc)V1.0-engl.xlsx", "engl")</f>
        <v>engl</v>
      </c>
      <c r="D17"/>
      <c r="E17" t="s">
        <v>426</v>
      </c>
      <c r="F17" t="s">
        <v>426</v>
      </c>
      <c r="G17"/>
      <c r="H17"/>
      <c r="I17"/>
      <c r="J17"/>
      <c r="K17"/>
      <c r="L17"/>
      <c r="M17"/>
      <c r="N17"/>
      <c r="O17"/>
      <c r="P17"/>
      <c r="Q17"/>
      <c r="R17"/>
      <c r="S17"/>
      <c r="T17"/>
      <c r="U17"/>
      <c r="V17"/>
      <c r="W17"/>
      <c r="X17"/>
      <c r="Y17"/>
      <c r="Z17"/>
      <c r="AA17"/>
    </row>
    <row r="18" spans="1:27" s="108" customFormat="1" ht="14.4">
      <c r="A18" t="s">
        <v>536</v>
      </c>
      <c r="B18" s="15" t="s">
        <v>104</v>
      </c>
      <c r="C18" s="15" t="str">
        <f>HYPERLINK("02-项目级\P1-Qcubic数据库管理工具 V1.0\02-全程管理\02-风险和机会管理\02-风险和机会管理计划(QCUBIC-SJKGL-RSK-plan)V1.0-engl.docx", "engl")</f>
        <v>engl</v>
      </c>
      <c r="D18"/>
      <c r="E18"/>
      <c r="F18" t="s">
        <v>426</v>
      </c>
      <c r="G18"/>
      <c r="H18"/>
      <c r="I18"/>
      <c r="J18"/>
      <c r="K18" t="s">
        <v>426</v>
      </c>
      <c r="L18" t="s">
        <v>426</v>
      </c>
      <c r="M18"/>
      <c r="N18"/>
      <c r="O18"/>
      <c r="P18"/>
      <c r="Q18"/>
      <c r="R18"/>
      <c r="S18"/>
      <c r="T18"/>
      <c r="U18"/>
      <c r="V18"/>
      <c r="W18"/>
      <c r="X18"/>
      <c r="Y18"/>
      <c r="Z18"/>
      <c r="AA18"/>
    </row>
    <row r="19" spans="1:27" s="108" customFormat="1" ht="14.4">
      <c r="A19" t="s">
        <v>536</v>
      </c>
      <c r="B19" s="15" t="s">
        <v>104</v>
      </c>
      <c r="C19" s="15" t="str">
        <f>HYPERLINK("01-组织级\01-组织财富库\01-标准过程文件库\01-项目管理规范\05-风险和机会管理\风险和机会管理过程文件(QCUBIC-SPI-RSK-Proc-Doc)V1.2-engl.docx", "engl")</f>
        <v>engl</v>
      </c>
      <c r="D19"/>
      <c r="E19"/>
      <c r="F19"/>
      <c r="G19"/>
      <c r="H19" t="s">
        <v>426</v>
      </c>
      <c r="I19" t="s">
        <v>426</v>
      </c>
      <c r="J19" t="s">
        <v>426</v>
      </c>
      <c r="K19"/>
      <c r="L19"/>
      <c r="M19"/>
      <c r="N19"/>
      <c r="O19"/>
      <c r="P19"/>
      <c r="Q19"/>
      <c r="R19"/>
      <c r="S19"/>
      <c r="T19"/>
      <c r="U19"/>
      <c r="V19"/>
      <c r="W19"/>
      <c r="X19"/>
      <c r="Y19"/>
      <c r="Z19"/>
      <c r="AA19"/>
    </row>
    <row r="20" spans="1:27" s="108" customFormat="1" ht="14.4">
      <c r="A20" t="s">
        <v>536</v>
      </c>
      <c r="B20" s="15" t="s">
        <v>104</v>
      </c>
      <c r="C20" s="15" t="str">
        <f>HYPERLINK("01-组织级\01-组织财富库\01-标准过程文件库\01-项目管理规范\05-风险和机会管理\风险和机会管理指南(QCUBIC-SPI-RSK-Guid-Management)V1.2-engl.docx", "engl")</f>
        <v>engl</v>
      </c>
      <c r="D20"/>
      <c r="E20"/>
      <c r="F20"/>
      <c r="G20"/>
      <c r="H20" t="s">
        <v>426</v>
      </c>
      <c r="I20" t="s">
        <v>426</v>
      </c>
      <c r="J20" t="s">
        <v>426</v>
      </c>
      <c r="K20"/>
      <c r="L20"/>
      <c r="M20"/>
      <c r="N20"/>
      <c r="O20"/>
      <c r="P20"/>
      <c r="Q20"/>
      <c r="R20"/>
      <c r="S20"/>
      <c r="T20"/>
      <c r="U20"/>
      <c r="V20"/>
      <c r="W20"/>
      <c r="X20"/>
      <c r="Y20"/>
      <c r="Z20"/>
      <c r="AA20"/>
    </row>
    <row r="21" spans="1:27" s="108" customFormat="1" ht="14.4">
      <c r="A21"/>
      <c r="B21"/>
      <c r="C21"/>
      <c r="D21"/>
      <c r="E21"/>
      <c r="F21"/>
      <c r="G21"/>
      <c r="H21"/>
      <c r="I21"/>
      <c r="J21"/>
      <c r="K21"/>
      <c r="L21"/>
      <c r="M21"/>
      <c r="N21"/>
      <c r="O21"/>
      <c r="P21"/>
      <c r="Q21"/>
      <c r="R21"/>
      <c r="S21"/>
      <c r="T21"/>
      <c r="U21"/>
      <c r="V21"/>
      <c r="W21"/>
      <c r="X21"/>
      <c r="Y21"/>
      <c r="Z21"/>
      <c r="AA21"/>
    </row>
    <row r="22" spans="1:27" s="108" customFormat="1" ht="14.4">
      <c r="A22"/>
      <c r="B22"/>
      <c r="C22"/>
      <c r="D22"/>
      <c r="E22"/>
      <c r="F22"/>
      <c r="G22"/>
      <c r="H22"/>
      <c r="I22"/>
      <c r="J22"/>
      <c r="K22"/>
      <c r="L22"/>
      <c r="M22"/>
      <c r="N22"/>
      <c r="O22"/>
      <c r="P22"/>
      <c r="Q22"/>
      <c r="R22"/>
      <c r="S22"/>
      <c r="T22"/>
      <c r="U22"/>
      <c r="V22"/>
      <c r="W22"/>
      <c r="X22"/>
      <c r="Y22"/>
      <c r="Z22"/>
      <c r="AA22"/>
    </row>
    <row r="23" spans="1:27" s="108" customFormat="1" ht="14.4">
      <c r="A23"/>
      <c r="B23"/>
      <c r="C23"/>
      <c r="D23"/>
      <c r="E23"/>
      <c r="F23"/>
      <c r="G23"/>
      <c r="H23"/>
      <c r="I23"/>
      <c r="J23"/>
      <c r="K23"/>
      <c r="L23"/>
      <c r="M23"/>
      <c r="N23"/>
      <c r="O23"/>
      <c r="P23"/>
      <c r="Q23"/>
      <c r="R23"/>
      <c r="S23"/>
      <c r="T23"/>
      <c r="U23"/>
      <c r="V23"/>
      <c r="W23"/>
      <c r="X23"/>
      <c r="Y23"/>
      <c r="Z23"/>
      <c r="AA23"/>
    </row>
    <row r="24" spans="1:27" s="108" customFormat="1" ht="14.4">
      <c r="A24"/>
      <c r="B24"/>
      <c r="C24"/>
      <c r="D24"/>
      <c r="E24"/>
      <c r="F24"/>
      <c r="G24"/>
      <c r="H24"/>
      <c r="I24"/>
      <c r="J24"/>
      <c r="K24"/>
      <c r="L24"/>
      <c r="M24"/>
      <c r="N24"/>
      <c r="O24"/>
      <c r="P24"/>
      <c r="Q24"/>
      <c r="R24"/>
      <c r="S24"/>
      <c r="T24"/>
      <c r="U24"/>
      <c r="V24"/>
      <c r="W24"/>
      <c r="X24"/>
      <c r="Y24"/>
      <c r="Z24"/>
      <c r="AA24"/>
    </row>
    <row r="25" spans="1:27" s="108" customFormat="1" ht="14.4">
      <c r="A25"/>
      <c r="B25"/>
      <c r="C25"/>
      <c r="D25"/>
      <c r="E25"/>
      <c r="F25"/>
      <c r="G25"/>
      <c r="H25"/>
      <c r="I25"/>
      <c r="J25"/>
      <c r="K25"/>
      <c r="L25"/>
      <c r="M25"/>
      <c r="N25"/>
      <c r="O25"/>
      <c r="P25"/>
      <c r="Q25"/>
      <c r="R25"/>
      <c r="S25"/>
      <c r="T25"/>
      <c r="U25"/>
      <c r="V25"/>
      <c r="W25"/>
      <c r="X25"/>
      <c r="Y25"/>
      <c r="Z25"/>
      <c r="AA25"/>
    </row>
    <row r="26" spans="1:27" s="108" customFormat="1" ht="14.4">
      <c r="A26"/>
      <c r="B26"/>
      <c r="C26"/>
      <c r="D26"/>
      <c r="E26"/>
      <c r="F26"/>
      <c r="G26"/>
      <c r="H26"/>
      <c r="I26"/>
      <c r="J26"/>
      <c r="K26"/>
      <c r="L26"/>
      <c r="M26"/>
      <c r="N26"/>
      <c r="O26"/>
      <c r="P26"/>
      <c r="Q26"/>
      <c r="R26"/>
      <c r="S26"/>
      <c r="T26"/>
      <c r="U26"/>
      <c r="V26"/>
      <c r="W26"/>
      <c r="X26"/>
      <c r="Y26"/>
      <c r="Z26"/>
      <c r="AA26"/>
    </row>
    <row r="27" spans="1:27" s="108" customFormat="1" ht="14.4">
      <c r="A27"/>
      <c r="B27"/>
      <c r="C27"/>
      <c r="D27"/>
      <c r="E27"/>
      <c r="F27"/>
      <c r="G27"/>
      <c r="H27"/>
      <c r="I27"/>
      <c r="J27"/>
      <c r="K27"/>
      <c r="L27"/>
      <c r="M27"/>
      <c r="N27"/>
      <c r="O27"/>
      <c r="P27"/>
      <c r="Q27"/>
      <c r="R27"/>
      <c r="S27"/>
      <c r="T27"/>
      <c r="U27"/>
      <c r="V27"/>
      <c r="W27"/>
      <c r="X27"/>
      <c r="Y27"/>
      <c r="Z27"/>
      <c r="AA27"/>
    </row>
    <row r="28" spans="1:27" s="108" customFormat="1" ht="14.4">
      <c r="A28"/>
      <c r="B28"/>
      <c r="C28"/>
      <c r="D28"/>
      <c r="E28"/>
      <c r="F28"/>
      <c r="G28"/>
      <c r="H28"/>
      <c r="I28"/>
      <c r="J28"/>
      <c r="K28"/>
      <c r="L28"/>
      <c r="M28"/>
      <c r="N28"/>
      <c r="O28"/>
      <c r="P28"/>
      <c r="Q28"/>
      <c r="R28"/>
      <c r="S28"/>
      <c r="T28"/>
      <c r="U28"/>
      <c r="V28"/>
      <c r="W28"/>
      <c r="X28"/>
      <c r="Y28"/>
      <c r="Z28"/>
      <c r="AA28"/>
    </row>
    <row r="29" spans="1:27" s="108" customFormat="1" ht="14.4">
      <c r="A29"/>
      <c r="B29"/>
      <c r="C29"/>
      <c r="D29"/>
      <c r="E29"/>
      <c r="F29"/>
      <c r="G29"/>
      <c r="H29"/>
      <c r="I29"/>
      <c r="J29"/>
      <c r="K29"/>
      <c r="L29"/>
      <c r="M29"/>
      <c r="N29"/>
      <c r="O29"/>
      <c r="P29"/>
      <c r="Q29"/>
      <c r="R29"/>
      <c r="S29"/>
      <c r="T29"/>
      <c r="U29"/>
      <c r="V29"/>
      <c r="W29"/>
      <c r="X29"/>
      <c r="Y29"/>
      <c r="Z29"/>
      <c r="AA29"/>
    </row>
    <row r="30" spans="1:27" s="108" customFormat="1" ht="14.4">
      <c r="A30"/>
      <c r="B30"/>
      <c r="C30"/>
      <c r="D30"/>
      <c r="E30"/>
      <c r="F30"/>
      <c r="G30"/>
      <c r="H30"/>
      <c r="I30"/>
      <c r="J30"/>
      <c r="K30"/>
      <c r="L30"/>
      <c r="M30"/>
      <c r="N30"/>
      <c r="O30"/>
      <c r="P30"/>
      <c r="Q30"/>
      <c r="R30"/>
      <c r="S30"/>
      <c r="T30"/>
      <c r="U30"/>
      <c r="V30"/>
      <c r="W30"/>
      <c r="X30"/>
      <c r="Y30"/>
      <c r="Z30"/>
      <c r="AA30"/>
    </row>
    <row r="31" spans="1:27" s="108" customFormat="1" ht="14.4">
      <c r="A31"/>
      <c r="B31"/>
      <c r="C31"/>
      <c r="D31"/>
      <c r="E31"/>
      <c r="F31"/>
      <c r="G31"/>
      <c r="H31"/>
      <c r="I31"/>
      <c r="J31"/>
      <c r="K31"/>
      <c r="L31"/>
      <c r="M31"/>
      <c r="N31"/>
      <c r="O31"/>
      <c r="P31"/>
      <c r="Q31"/>
      <c r="R31"/>
      <c r="S31"/>
      <c r="T31"/>
      <c r="U31"/>
      <c r="V31"/>
      <c r="W31"/>
      <c r="X31"/>
      <c r="Y31"/>
      <c r="Z31"/>
      <c r="AA31"/>
    </row>
    <row r="32" spans="1:27" s="108" customFormat="1"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AC64D0D9-8F2E-4A4E-AC53-F90AABB8B370}"/>
    <hyperlink ref="B17" r:id="rId2" xr:uid="{355AB1B7-FA56-4D3D-8111-DCA39D63A781}"/>
    <hyperlink ref="B18" r:id="rId3" xr:uid="{D79F555F-F773-4975-9C7C-F2983346E139}"/>
    <hyperlink ref="B19" r:id="rId4" xr:uid="{E5C40AE4-C78E-4B73-B687-A5F530A486E4}"/>
    <hyperlink ref="B20" r:id="rId5" xr:uid="{9601C3AF-7505-42A5-A086-909F319786A4}"/>
  </hyperlinks>
  <pageMargins left="0.7" right="0.7" top="0.75" bottom="0.75" header="0.3" footer="0.3"/>
  <pageSetup orientation="portrait"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0F3255-78D9-464A-B662-BBB2AB937EC2}">
  <sheetPr codeName="Sheet19">
    <tabColor rgb="FF70BF65"/>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1.6640625" style="123" customWidth="1"/>
    <col min="2" max="4" width="7.88671875" style="123" customWidth="1"/>
    <col min="5" max="6" width="15.6640625" style="123" customWidth="1"/>
    <col min="7" max="8" width="15.6640625" style="108" customWidth="1"/>
    <col min="9" max="13" width="15.6640625" style="123" customWidth="1"/>
    <col min="14" max="14" width="94.5546875" style="123" customWidth="1"/>
    <col min="15" max="15" width="3.6640625" style="123" customWidth="1"/>
    <col min="16" max="16" width="31.6640625" style="123" bestFit="1" customWidth="1"/>
    <col min="17" max="17" width="65.6640625" style="123" customWidth="1"/>
    <col min="18" max="18" width="10.33203125" style="123" customWidth="1"/>
    <col min="19" max="16384" width="8.6640625" style="123"/>
  </cols>
  <sheetData>
    <row r="1" spans="1:27" s="216" customFormat="1" ht="18">
      <c r="A1" s="105" t="s">
        <v>1055</v>
      </c>
      <c r="B1" s="105"/>
      <c r="C1" s="105"/>
      <c r="D1" s="105"/>
      <c r="E1" s="159"/>
      <c r="F1" s="159"/>
      <c r="G1" s="215"/>
      <c r="H1" s="215"/>
    </row>
    <row r="2" spans="1:27" s="148" customFormat="1">
      <c r="A2" s="110" t="s">
        <v>447</v>
      </c>
      <c r="B2" s="110"/>
      <c r="C2" s="110"/>
      <c r="D2" s="110"/>
      <c r="E2" s="107" t="s">
        <v>281</v>
      </c>
      <c r="F2" s="107"/>
      <c r="G2" s="108"/>
      <c r="H2" s="108"/>
    </row>
    <row r="3" spans="1:27" s="110" customFormat="1">
      <c r="A3" s="107" t="s">
        <v>448</v>
      </c>
      <c r="B3" s="107"/>
      <c r="C3" s="107"/>
      <c r="D3" s="107"/>
      <c r="E3" s="107" t="s">
        <v>282</v>
      </c>
      <c r="F3" s="107"/>
      <c r="G3" s="108"/>
      <c r="H3" s="108"/>
    </row>
    <row r="4" spans="1:27" s="148" customFormat="1" ht="14.4">
      <c r="A4" s="111"/>
      <c r="B4" s="111"/>
      <c r="C4" s="111"/>
      <c r="D4" s="111"/>
      <c r="E4" s="112" t="s">
        <v>47</v>
      </c>
      <c r="F4" s="113" t="s">
        <v>54</v>
      </c>
      <c r="G4" s="113"/>
      <c r="H4" s="116" t="s">
        <v>56</v>
      </c>
      <c r="I4" s="116"/>
      <c r="J4" s="150"/>
      <c r="K4" s="150"/>
      <c r="L4" s="150"/>
      <c r="M4" s="116"/>
      <c r="N4" s="107"/>
      <c r="O4" s="107"/>
      <c r="P4" s="107"/>
      <c r="Q4" s="107"/>
      <c r="R4" s="107"/>
      <c r="S4" s="107"/>
      <c r="T4" s="110"/>
      <c r="U4" s="117"/>
      <c r="V4" s="117"/>
    </row>
    <row r="5" spans="1:27" s="107" customFormat="1" ht="14.4">
      <c r="A5" s="118"/>
      <c r="B5" s="118"/>
      <c r="C5" s="118"/>
      <c r="D5" s="118"/>
      <c r="E5" s="119" t="s">
        <v>539</v>
      </c>
      <c r="F5" s="120" t="s">
        <v>540</v>
      </c>
      <c r="G5" s="120"/>
      <c r="H5" s="116" t="s">
        <v>541</v>
      </c>
      <c r="I5" s="169"/>
      <c r="J5" s="150"/>
      <c r="K5" s="150"/>
      <c r="L5" s="150"/>
      <c r="M5" s="121"/>
      <c r="N5" s="108"/>
      <c r="O5" s="108"/>
      <c r="P5" s="108"/>
      <c r="R5" s="118"/>
      <c r="T5" s="110"/>
      <c r="U5" s="118"/>
      <c r="V5" s="117"/>
    </row>
    <row r="6" spans="1:27" s="107" customFormat="1">
      <c r="A6" s="135"/>
      <c r="B6" s="135"/>
      <c r="C6" s="135"/>
      <c r="D6" s="135"/>
      <c r="E6" s="3" t="s">
        <v>283</v>
      </c>
      <c r="F6" s="90" t="s">
        <v>285</v>
      </c>
      <c r="G6" s="90" t="s">
        <v>286</v>
      </c>
      <c r="H6" s="91" t="s">
        <v>287</v>
      </c>
      <c r="I6" s="91" t="s">
        <v>288</v>
      </c>
      <c r="J6" s="91" t="s">
        <v>289</v>
      </c>
      <c r="K6" s="91" t="s">
        <v>290</v>
      </c>
      <c r="L6" s="91" t="s">
        <v>291</v>
      </c>
      <c r="M6" s="92" t="s">
        <v>292</v>
      </c>
      <c r="N6" s="93"/>
      <c r="O6" s="93"/>
      <c r="P6" s="93"/>
      <c r="Q6" s="123"/>
      <c r="R6" s="123"/>
    </row>
    <row r="7" spans="1:27" s="107" customFormat="1" ht="96.6">
      <c r="A7" s="124" t="s">
        <v>643</v>
      </c>
      <c r="B7" s="124"/>
      <c r="C7" s="124"/>
      <c r="D7" s="124"/>
      <c r="E7" s="97" t="s">
        <v>1056</v>
      </c>
      <c r="F7" s="97" t="s">
        <v>1057</v>
      </c>
      <c r="G7" s="97" t="s">
        <v>1058</v>
      </c>
      <c r="H7" s="97" t="s">
        <v>1059</v>
      </c>
      <c r="I7" s="97" t="s">
        <v>1060</v>
      </c>
      <c r="J7" s="97" t="s">
        <v>1061</v>
      </c>
      <c r="K7" s="97" t="s">
        <v>1062</v>
      </c>
      <c r="L7" s="97" t="s">
        <v>1063</v>
      </c>
      <c r="M7" s="97" t="s">
        <v>1064</v>
      </c>
      <c r="N7" s="93"/>
      <c r="O7" s="93"/>
      <c r="P7" s="93"/>
    </row>
    <row r="8" spans="1:27" s="107" customFormat="1" ht="94.35" customHeight="1">
      <c r="A8" s="135" t="s">
        <v>553</v>
      </c>
      <c r="B8" s="135"/>
      <c r="C8" s="135"/>
      <c r="D8" s="135"/>
      <c r="E8" s="125" t="s">
        <v>1065</v>
      </c>
      <c r="F8" s="125" t="s">
        <v>1066</v>
      </c>
      <c r="G8" s="125" t="s">
        <v>1067</v>
      </c>
      <c r="H8" s="125" t="s">
        <v>1068</v>
      </c>
      <c r="I8" s="125" t="s">
        <v>1069</v>
      </c>
      <c r="J8" s="125" t="s">
        <v>1070</v>
      </c>
      <c r="K8" s="98" t="s">
        <v>1071</v>
      </c>
      <c r="L8" s="125" t="s">
        <v>1072</v>
      </c>
      <c r="M8" s="125" t="s">
        <v>1073</v>
      </c>
      <c r="N8" s="127"/>
      <c r="O8" s="127"/>
      <c r="P8" s="127"/>
    </row>
    <row r="9" spans="1:27" s="107" customFormat="1" ht="204" customHeight="1" thickBot="1">
      <c r="A9" s="135" t="s">
        <v>96</v>
      </c>
      <c r="B9" s="135"/>
      <c r="C9" s="135"/>
      <c r="D9" s="135"/>
      <c r="E9" s="125" t="s">
        <v>1074</v>
      </c>
      <c r="F9" s="125" t="s">
        <v>1075</v>
      </c>
      <c r="G9" s="125" t="s">
        <v>1076</v>
      </c>
      <c r="H9" s="125" t="s">
        <v>1077</v>
      </c>
      <c r="I9" s="125" t="s">
        <v>1078</v>
      </c>
      <c r="J9" s="125" t="s">
        <v>1079</v>
      </c>
      <c r="K9" s="125" t="s">
        <v>1080</v>
      </c>
      <c r="L9" s="125" t="s">
        <v>1081</v>
      </c>
      <c r="M9" s="125" t="s">
        <v>1082</v>
      </c>
      <c r="N9" s="127"/>
      <c r="O9" s="127"/>
      <c r="P9" s="127"/>
    </row>
    <row r="10" spans="1:27" s="107" customFormat="1" ht="84">
      <c r="A10" s="122" t="s">
        <v>574</v>
      </c>
      <c r="B10" s="122"/>
      <c r="C10" s="122"/>
      <c r="D10" s="122"/>
      <c r="E10" s="217"/>
      <c r="F10" s="217" t="s">
        <v>1083</v>
      </c>
      <c r="G10" s="217" t="s">
        <v>1084</v>
      </c>
      <c r="H10" s="98" t="s">
        <v>1085</v>
      </c>
      <c r="I10" s="98" t="s">
        <v>1086</v>
      </c>
      <c r="J10" s="98" t="s">
        <v>1087</v>
      </c>
      <c r="K10" s="98" t="s">
        <v>1088</v>
      </c>
      <c r="L10" s="98" t="s">
        <v>1089</v>
      </c>
      <c r="M10" s="213" t="s">
        <v>1090</v>
      </c>
      <c r="N10" s="99"/>
      <c r="O10" s="99"/>
      <c r="P10" s="99"/>
    </row>
    <row r="11" spans="1:27" s="107" customFormat="1" ht="48">
      <c r="A11" s="161" t="s">
        <v>85</v>
      </c>
      <c r="B11" s="161"/>
      <c r="C11" s="161"/>
      <c r="D11" s="161"/>
      <c r="E11" s="217"/>
      <c r="F11" s="217" t="s">
        <v>1091</v>
      </c>
      <c r="G11" s="217" t="s">
        <v>1092</v>
      </c>
      <c r="H11" s="98" t="s">
        <v>1093</v>
      </c>
      <c r="I11" s="98" t="s">
        <v>1094</v>
      </c>
      <c r="J11" s="98" t="s">
        <v>1095</v>
      </c>
      <c r="K11" s="98" t="s">
        <v>1096</v>
      </c>
      <c r="L11" s="98" t="s">
        <v>1097</v>
      </c>
      <c r="M11" s="207" t="s">
        <v>1098</v>
      </c>
      <c r="N11" s="218"/>
      <c r="O11" s="218"/>
      <c r="P11" s="218"/>
      <c r="Q11" s="219"/>
    </row>
    <row r="15" spans="1:27" customFormat="1" ht="14.4">
      <c r="A15" t="s">
        <v>443</v>
      </c>
      <c r="B15" t="s">
        <v>104</v>
      </c>
      <c r="C15" t="s">
        <v>105</v>
      </c>
      <c r="D15" s="295" t="s">
        <v>442</v>
      </c>
      <c r="E15" s="14" t="s">
        <v>283</v>
      </c>
      <c r="F15" s="14" t="s">
        <v>285</v>
      </c>
      <c r="G15" s="14" t="s">
        <v>286</v>
      </c>
      <c r="H15" s="14" t="s">
        <v>287</v>
      </c>
      <c r="I15" s="14" t="s">
        <v>288</v>
      </c>
      <c r="J15" s="14" t="s">
        <v>289</v>
      </c>
      <c r="K15" s="14" t="s">
        <v>290</v>
      </c>
      <c r="L15" s="14" t="s">
        <v>291</v>
      </c>
      <c r="M15" s="14" t="s">
        <v>292</v>
      </c>
    </row>
    <row r="16" spans="1:27" ht="14.4">
      <c r="A16" t="s">
        <v>536</v>
      </c>
      <c r="B16" s="15" t="s">
        <v>104</v>
      </c>
      <c r="C16" s="15" t="str">
        <f>HYPERLINK("01-组织级\02-组织工作库\05-OT培训库\01_公司级培训\03_2022年培训计划\02_年度培训计划\2022培训课程表(ORG_OT_TraininCNSchedule)V1.0-engl.xlsx", "engl")</f>
        <v>engl</v>
      </c>
      <c r="D16"/>
      <c r="E16" t="s">
        <v>426</v>
      </c>
      <c r="F16" t="s">
        <v>426</v>
      </c>
      <c r="G16"/>
      <c r="H16" t="s">
        <v>426</v>
      </c>
      <c r="I16"/>
      <c r="J16" t="s">
        <v>426</v>
      </c>
      <c r="K16"/>
      <c r="L16"/>
      <c r="M16"/>
      <c r="N16"/>
      <c r="O16"/>
      <c r="P16"/>
      <c r="Q16"/>
      <c r="R16"/>
      <c r="S16"/>
      <c r="T16"/>
      <c r="U16"/>
      <c r="V16"/>
      <c r="W16"/>
      <c r="X16"/>
      <c r="Y16"/>
      <c r="Z16"/>
      <c r="AA16"/>
    </row>
    <row r="17" spans="1:27" ht="14.4">
      <c r="A17" t="s">
        <v>536</v>
      </c>
      <c r="B17" s="15" t="s">
        <v>104</v>
      </c>
      <c r="C17"/>
      <c r="D17"/>
      <c r="E17" t="s">
        <v>426</v>
      </c>
      <c r="F17"/>
      <c r="G17"/>
      <c r="H17"/>
      <c r="I17"/>
      <c r="J17"/>
      <c r="K17"/>
      <c r="L17"/>
      <c r="M17"/>
      <c r="N17"/>
      <c r="O17"/>
      <c r="P17"/>
      <c r="Q17"/>
      <c r="R17"/>
      <c r="S17"/>
      <c r="T17"/>
      <c r="U17"/>
      <c r="V17"/>
      <c r="W17"/>
      <c r="X17"/>
      <c r="Y17"/>
      <c r="Z17"/>
      <c r="AA17"/>
    </row>
    <row r="18" spans="1:27" ht="14.4">
      <c r="A18" t="s">
        <v>536</v>
      </c>
      <c r="B18" s="15" t="s">
        <v>104</v>
      </c>
      <c r="C18"/>
      <c r="D18"/>
      <c r="E18" t="s">
        <v>426</v>
      </c>
      <c r="F18"/>
      <c r="G18"/>
      <c r="H18"/>
      <c r="I18"/>
      <c r="J18"/>
      <c r="K18"/>
      <c r="L18"/>
      <c r="M18"/>
      <c r="N18"/>
      <c r="O18"/>
      <c r="P18"/>
      <c r="Q18"/>
      <c r="R18"/>
      <c r="S18"/>
      <c r="T18"/>
      <c r="U18"/>
      <c r="V18"/>
      <c r="W18"/>
      <c r="X18"/>
      <c r="Y18"/>
      <c r="Z18"/>
      <c r="AA18"/>
    </row>
    <row r="19" spans="1:27" ht="14.4">
      <c r="A19" t="s">
        <v>536</v>
      </c>
      <c r="B19" s="15" t="s">
        <v>104</v>
      </c>
      <c r="C19" s="15" t="str">
        <f>HYPERLINK("01-组织级\02-组织工作库\05-OT培训库\01_公司级培训\03_2022年培训计划\01_培训需求调研\培训需求调研表(ORG_OT_TrainingReqDevTable)V1.1-engl.xlsx", "engl")</f>
        <v>engl</v>
      </c>
      <c r="D19"/>
      <c r="E19"/>
      <c r="F19" t="s">
        <v>426</v>
      </c>
      <c r="G19"/>
      <c r="H19"/>
      <c r="I19"/>
      <c r="J19"/>
      <c r="K19"/>
      <c r="L19"/>
      <c r="M19"/>
      <c r="N19"/>
      <c r="O19"/>
      <c r="P19"/>
      <c r="Q19"/>
      <c r="R19"/>
      <c r="S19"/>
      <c r="T19"/>
      <c r="U19"/>
      <c r="V19"/>
      <c r="W19"/>
      <c r="X19"/>
      <c r="Y19"/>
      <c r="Z19"/>
      <c r="AA19"/>
    </row>
    <row r="20" spans="1:27" ht="14.4">
      <c r="A20" t="s">
        <v>536</v>
      </c>
      <c r="B20" s="15" t="s">
        <v>104</v>
      </c>
      <c r="C20" s="15" t="str">
        <f>HYPERLINK("01-组织级\02-组织工作库\05-OT培训库\04_内部培训讲师培训\06_学员考核评价表\培训内部讲师培训(ORG-OT-TrainingEVVuationlist)V1.0-engl.xlsx", "engl")</f>
        <v>engl</v>
      </c>
      <c r="D20"/>
      <c r="E20"/>
      <c r="F20"/>
      <c r="G20" t="s">
        <v>426</v>
      </c>
      <c r="H20"/>
      <c r="I20" t="s">
        <v>426</v>
      </c>
      <c r="J20"/>
      <c r="K20" t="s">
        <v>426</v>
      </c>
      <c r="L20" t="s">
        <v>426</v>
      </c>
      <c r="M20"/>
      <c r="N20"/>
      <c r="O20"/>
      <c r="P20"/>
      <c r="Q20"/>
      <c r="R20"/>
      <c r="S20"/>
      <c r="T20"/>
      <c r="U20"/>
      <c r="V20"/>
      <c r="W20"/>
      <c r="X20"/>
      <c r="Y20"/>
      <c r="Z20"/>
      <c r="AA20"/>
    </row>
    <row r="21" spans="1:27" ht="14.4">
      <c r="A21" t="s">
        <v>536</v>
      </c>
      <c r="B21" s="15" t="s">
        <v>104</v>
      </c>
      <c r="C21" s="15" t="str">
        <f>HYPERLINK("01-组织级\02-组织工作库\05-OT培训库\02_人力资源库\01_员工信息\员工---岗位知识技能矩阵-engl.xlsx", "engl")</f>
        <v>engl</v>
      </c>
      <c r="D21"/>
      <c r="E21"/>
      <c r="F21"/>
      <c r="G21" t="s">
        <v>426</v>
      </c>
      <c r="H21"/>
      <c r="I21" t="s">
        <v>426</v>
      </c>
      <c r="J21"/>
      <c r="K21"/>
      <c r="L21"/>
      <c r="M21"/>
      <c r="N21"/>
      <c r="O21"/>
      <c r="P21"/>
      <c r="Q21"/>
      <c r="R21"/>
      <c r="S21"/>
      <c r="T21"/>
      <c r="U21"/>
      <c r="V21"/>
      <c r="W21"/>
      <c r="X21"/>
      <c r="Y21"/>
      <c r="Z21"/>
      <c r="AA21"/>
    </row>
    <row r="22" spans="1:27" ht="14.4">
      <c r="A22" t="s">
        <v>536</v>
      </c>
      <c r="B22" s="15" t="s">
        <v>104</v>
      </c>
      <c r="C22" s="15" t="str">
        <f>HYPERLINK("01-组织级\02-组织工作库\05-OT培训库\02_人力资源库\01_员工信息\员工技术及工作经历一览表(ORG_OT_Skills and Experience List)V1.0-engl.xlsx", "engl")</f>
        <v>engl</v>
      </c>
      <c r="D22"/>
      <c r="E22"/>
      <c r="F22"/>
      <c r="G22" t="s">
        <v>426</v>
      </c>
      <c r="H22"/>
      <c r="I22" t="s">
        <v>426</v>
      </c>
      <c r="J22"/>
      <c r="K22"/>
      <c r="L22"/>
      <c r="M22"/>
      <c r="N22"/>
      <c r="O22"/>
      <c r="P22"/>
      <c r="Q22"/>
      <c r="R22"/>
      <c r="S22"/>
      <c r="T22"/>
      <c r="U22"/>
      <c r="V22"/>
      <c r="W22"/>
      <c r="X22"/>
      <c r="Y22"/>
      <c r="Z22"/>
      <c r="AA22"/>
    </row>
    <row r="23" spans="1:27" ht="14.4">
      <c r="A23" t="s">
        <v>536</v>
      </c>
      <c r="B23" s="15" t="s">
        <v>104</v>
      </c>
      <c r="C23" s="15" t="str">
        <f>HYPERLINK("01-组织级\02-组织工作库\05-OT培训库\02_人力资源库\02_岗位职责\岗位职责说明书(ORG-OT-T01)V1.0-engl.xlsx", "engl")</f>
        <v>engl</v>
      </c>
      <c r="D23"/>
      <c r="E23"/>
      <c r="F23"/>
      <c r="G23" t="s">
        <v>426</v>
      </c>
      <c r="H23"/>
      <c r="I23"/>
      <c r="J23"/>
      <c r="K23"/>
      <c r="L23"/>
      <c r="M23"/>
      <c r="N23"/>
      <c r="O23"/>
      <c r="P23"/>
      <c r="Q23"/>
      <c r="R23"/>
      <c r="S23"/>
      <c r="T23"/>
      <c r="U23"/>
      <c r="V23"/>
      <c r="W23"/>
      <c r="X23"/>
      <c r="Y23"/>
      <c r="Z23"/>
      <c r="AA23"/>
    </row>
    <row r="24" spans="1:27" ht="14.4">
      <c r="A24" t="s">
        <v>536</v>
      </c>
      <c r="B24" s="15" t="s">
        <v>104</v>
      </c>
      <c r="C24" s="15" t="str">
        <f>HYPERLINK("01-组织级\02-组织工作库\05-OT培训库\01_公司级培训\01_公司战略培训规划\公司战略培训规划(ORG_OT_FutureTraining)V1.0-engl.docx", "engl")</f>
        <v>engl</v>
      </c>
      <c r="D24"/>
      <c r="E24"/>
      <c r="F24"/>
      <c r="G24"/>
      <c r="H24"/>
      <c r="I24"/>
      <c r="J24" t="s">
        <v>426</v>
      </c>
      <c r="K24"/>
      <c r="L24"/>
      <c r="M24"/>
      <c r="N24"/>
      <c r="O24"/>
      <c r="P24"/>
      <c r="Q24"/>
      <c r="R24"/>
      <c r="S24"/>
      <c r="T24"/>
      <c r="U24"/>
      <c r="V24"/>
      <c r="W24"/>
      <c r="X24"/>
      <c r="Y24"/>
      <c r="Z24"/>
      <c r="AA24"/>
    </row>
    <row r="25" spans="1:27" ht="14.4">
      <c r="A25" t="s">
        <v>536</v>
      </c>
      <c r="B25" s="15" t="s">
        <v>104</v>
      </c>
      <c r="C25" s="15" t="str">
        <f>HYPERLINK("01-组织级\02-组织工作库\05-OT培训库\01_公司级培训\03_2022年培训计划\02_年度培训计划\OT-组织培训计划评审记录2022-engl.xlsx", "engl")</f>
        <v>engl</v>
      </c>
      <c r="D25"/>
      <c r="E25"/>
      <c r="F25"/>
      <c r="G25"/>
      <c r="H25"/>
      <c r="I25"/>
      <c r="J25"/>
      <c r="K25"/>
      <c r="L25" t="s">
        <v>426</v>
      </c>
      <c r="M25"/>
      <c r="N25"/>
      <c r="O25"/>
      <c r="P25"/>
      <c r="Q25"/>
      <c r="R25"/>
      <c r="S25"/>
      <c r="T25"/>
      <c r="U25"/>
      <c r="V25"/>
      <c r="W25"/>
      <c r="X25"/>
      <c r="Y25"/>
      <c r="Z25"/>
      <c r="AA25"/>
    </row>
    <row r="26" spans="1:27" ht="14.4">
      <c r="A26" t="s">
        <v>536</v>
      </c>
      <c r="B26" s="15" t="s">
        <v>104</v>
      </c>
      <c r="C26"/>
      <c r="D26"/>
      <c r="E26"/>
      <c r="F26"/>
      <c r="G26"/>
      <c r="H26"/>
      <c r="I26"/>
      <c r="J26"/>
      <c r="K26"/>
      <c r="L26"/>
      <c r="M26" t="s">
        <v>426</v>
      </c>
      <c r="N26"/>
      <c r="O26"/>
      <c r="P26"/>
      <c r="Q26"/>
      <c r="R26"/>
      <c r="S26"/>
      <c r="T26"/>
      <c r="U26"/>
      <c r="V26"/>
      <c r="W26"/>
      <c r="X26"/>
      <c r="Y26"/>
      <c r="Z26"/>
      <c r="AA26"/>
    </row>
    <row r="27" spans="1:27" ht="14.4">
      <c r="A27"/>
      <c r="B27"/>
      <c r="C27"/>
      <c r="D27"/>
      <c r="E27"/>
      <c r="F27"/>
      <c r="G27"/>
      <c r="H27"/>
      <c r="I27"/>
      <c r="J27"/>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71CD2717-06BB-45A7-A59A-3F142641EA75}"/>
    <hyperlink ref="B17" r:id="rId2" xr:uid="{C72F60EC-74DD-466D-A91A-78F1ABBB92C9}"/>
    <hyperlink ref="B18" r:id="rId3" xr:uid="{EF999954-A83E-43F0-84B7-6677434E2110}"/>
    <hyperlink ref="B19" r:id="rId4" xr:uid="{542245C1-E99D-4AB0-855C-FD2729EAFC80}"/>
    <hyperlink ref="B20" r:id="rId5" xr:uid="{F0E2BC4D-A9A5-4B7E-9D58-4650C507A45F}"/>
    <hyperlink ref="B21" r:id="rId6" xr:uid="{77E3D4CC-F751-4213-8C9D-D3057EF147E6}"/>
    <hyperlink ref="B22" r:id="rId7" xr:uid="{D4EE27DF-E3DD-4678-93A1-2A0A4B14B45D}"/>
    <hyperlink ref="B23" r:id="rId8" xr:uid="{19CFA72D-BCB2-49FD-B78B-E857F8676A3F}"/>
    <hyperlink ref="B24" r:id="rId9" xr:uid="{A5F7EC4D-4B93-4B4C-8F44-E746101CC454}"/>
    <hyperlink ref="B25" r:id="rId10" xr:uid="{6522F207-2102-4BB6-B6E7-B02F42F85A20}"/>
    <hyperlink ref="B26" r:id="rId11" xr:uid="{C8CC47E3-F978-4AB1-8882-96371030A749}"/>
  </hyperlinks>
  <pageMargins left="0.69930555555555596" right="0.69930555555555596" top="0.75" bottom="0.75" header="0.3" footer="0.3"/>
  <pageSetup orientation="portrait" r:id="rId1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237FE-6CF2-4CA0-A0FF-2141C2187BA2}">
  <sheetPr codeName="Sheet20">
    <tabColor rgb="FF00805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4.33203125" style="118" bestFit="1" customWidth="1"/>
    <col min="2" max="4" width="7.88671875" style="118" customWidth="1"/>
    <col min="5" max="6" width="15.6640625" style="118" customWidth="1"/>
    <col min="7" max="14" width="15.6640625" style="136" customWidth="1"/>
    <col min="15" max="15" width="85.33203125" style="136" customWidth="1"/>
    <col min="16" max="16" width="3.6640625" style="136" customWidth="1"/>
    <col min="17" max="17" width="32.33203125" style="136" bestFit="1" customWidth="1"/>
    <col min="18" max="18" width="75.5546875" style="130" customWidth="1"/>
    <col min="19" max="19" width="8.6640625" style="136"/>
    <col min="20" max="16384" width="8.6640625" style="118"/>
  </cols>
  <sheetData>
    <row r="1" spans="1:27" s="139" customFormat="1" ht="18">
      <c r="A1" s="105" t="s">
        <v>1099</v>
      </c>
      <c r="B1" s="105"/>
      <c r="C1" s="105"/>
      <c r="D1" s="105"/>
      <c r="E1" s="106"/>
      <c r="F1" s="107"/>
      <c r="G1" s="136"/>
      <c r="H1" s="136"/>
      <c r="I1" s="136"/>
      <c r="J1" s="136"/>
      <c r="K1" s="136"/>
      <c r="L1" s="136"/>
      <c r="M1" s="136"/>
      <c r="N1" s="136"/>
      <c r="O1" s="136"/>
      <c r="P1" s="136"/>
      <c r="Q1" s="136"/>
      <c r="R1" s="130"/>
      <c r="S1" s="136"/>
    </row>
    <row r="2" spans="1:27" s="138" customFormat="1">
      <c r="A2" s="110" t="s">
        <v>447</v>
      </c>
      <c r="B2" s="110"/>
      <c r="C2" s="110"/>
      <c r="D2" s="110"/>
      <c r="E2" s="123" t="s">
        <v>302</v>
      </c>
      <c r="F2" s="123"/>
      <c r="G2" s="123"/>
      <c r="H2" s="136"/>
      <c r="I2" s="136"/>
      <c r="J2" s="136"/>
      <c r="K2" s="136"/>
      <c r="L2" s="136"/>
      <c r="M2" s="136"/>
      <c r="N2" s="136"/>
      <c r="O2" s="136"/>
      <c r="P2" s="136"/>
      <c r="Q2" s="136"/>
      <c r="R2" s="130"/>
      <c r="S2" s="136"/>
    </row>
    <row r="3" spans="1:27" s="139" customFormat="1">
      <c r="A3" s="107" t="s">
        <v>448</v>
      </c>
      <c r="B3" s="107"/>
      <c r="C3" s="107"/>
      <c r="D3" s="107"/>
      <c r="E3" s="123" t="s">
        <v>303</v>
      </c>
      <c r="F3" s="123"/>
      <c r="G3" s="123"/>
      <c r="H3" s="136"/>
      <c r="I3" s="136"/>
      <c r="J3" s="136"/>
      <c r="K3" s="136"/>
      <c r="L3" s="136"/>
      <c r="M3" s="136"/>
      <c r="N3" s="136"/>
      <c r="O3" s="136"/>
      <c r="P3" s="136"/>
      <c r="Q3" s="136"/>
      <c r="R3" s="130"/>
      <c r="S3" s="136"/>
    </row>
    <row r="4" spans="1:27" s="139" customFormat="1">
      <c r="A4" s="111"/>
      <c r="B4" s="111"/>
      <c r="C4" s="111"/>
      <c r="D4" s="111"/>
      <c r="E4" s="112" t="s">
        <v>47</v>
      </c>
      <c r="F4" s="149"/>
      <c r="G4" s="113" t="s">
        <v>54</v>
      </c>
      <c r="H4" s="114"/>
      <c r="I4" s="113"/>
      <c r="J4" s="115"/>
      <c r="K4" s="116" t="s">
        <v>56</v>
      </c>
      <c r="L4" s="116"/>
      <c r="M4" s="116"/>
      <c r="N4" s="116"/>
      <c r="O4" s="107"/>
      <c r="P4" s="107"/>
      <c r="Q4" s="107"/>
      <c r="R4" s="107"/>
      <c r="S4" s="107"/>
      <c r="T4" s="110"/>
    </row>
    <row r="5" spans="1:27" s="139" customFormat="1">
      <c r="A5" s="118"/>
      <c r="B5" s="118"/>
      <c r="C5" s="118"/>
      <c r="D5" s="118"/>
      <c r="E5" s="119" t="s">
        <v>539</v>
      </c>
      <c r="F5" s="149"/>
      <c r="G5" s="120" t="s">
        <v>540</v>
      </c>
      <c r="H5" s="114"/>
      <c r="I5" s="120"/>
      <c r="J5" s="115"/>
      <c r="K5" s="116" t="s">
        <v>541</v>
      </c>
      <c r="L5" s="169"/>
      <c r="M5" s="116"/>
      <c r="N5" s="121"/>
      <c r="O5" s="108"/>
      <c r="P5" s="108"/>
      <c r="Q5" s="108"/>
      <c r="R5" s="220"/>
      <c r="S5" s="107"/>
      <c r="T5" s="110"/>
    </row>
    <row r="6" spans="1:27" s="138" customFormat="1">
      <c r="A6" s="221"/>
      <c r="B6" s="221"/>
      <c r="C6" s="221"/>
      <c r="D6" s="221"/>
      <c r="E6" s="222" t="s">
        <v>304</v>
      </c>
      <c r="F6" s="222" t="s">
        <v>305</v>
      </c>
      <c r="G6" s="223" t="s">
        <v>306</v>
      </c>
      <c r="H6" s="223" t="s">
        <v>307</v>
      </c>
      <c r="I6" s="223" t="s">
        <v>308</v>
      </c>
      <c r="J6" s="223" t="s">
        <v>309</v>
      </c>
      <c r="K6" s="224" t="s">
        <v>310</v>
      </c>
      <c r="L6" s="224" t="s">
        <v>311</v>
      </c>
      <c r="M6" s="224" t="s">
        <v>312</v>
      </c>
      <c r="N6" s="225" t="s">
        <v>313</v>
      </c>
      <c r="O6" s="226"/>
      <c r="P6" s="226"/>
      <c r="Q6" s="226"/>
      <c r="R6" s="368"/>
      <c r="S6" s="368"/>
      <c r="T6" s="368"/>
    </row>
    <row r="7" spans="1:27" s="138" customFormat="1" ht="110.4">
      <c r="A7" s="227" t="s">
        <v>643</v>
      </c>
      <c r="B7" s="227"/>
      <c r="C7" s="227"/>
      <c r="D7" s="227"/>
      <c r="E7" s="228" t="s">
        <v>1100</v>
      </c>
      <c r="F7" s="228" t="s">
        <v>1101</v>
      </c>
      <c r="G7" s="228" t="s">
        <v>1102</v>
      </c>
      <c r="H7" s="228" t="s">
        <v>1103</v>
      </c>
      <c r="I7" s="228" t="s">
        <v>1104</v>
      </c>
      <c r="J7" s="228" t="s">
        <v>1105</v>
      </c>
      <c r="K7" s="228" t="s">
        <v>1106</v>
      </c>
      <c r="L7" s="228" t="s">
        <v>1107</v>
      </c>
      <c r="M7" s="228" t="s">
        <v>1108</v>
      </c>
      <c r="N7" s="228" t="s">
        <v>1109</v>
      </c>
      <c r="O7" s="226"/>
      <c r="P7" s="226"/>
      <c r="Q7" s="226"/>
      <c r="S7" s="229"/>
    </row>
    <row r="8" spans="1:27" s="138" customFormat="1" ht="112.2">
      <c r="A8" s="221" t="s">
        <v>553</v>
      </c>
      <c r="B8" s="221"/>
      <c r="C8" s="221"/>
      <c r="D8" s="221"/>
      <c r="E8" s="230" t="s">
        <v>1110</v>
      </c>
      <c r="F8" s="230" t="s">
        <v>1111</v>
      </c>
      <c r="G8" s="230" t="s">
        <v>1112</v>
      </c>
      <c r="H8" s="230" t="s">
        <v>1113</v>
      </c>
      <c r="I8" s="230" t="s">
        <v>1114</v>
      </c>
      <c r="J8" s="230" t="s">
        <v>1115</v>
      </c>
      <c r="K8" s="230" t="s">
        <v>1116</v>
      </c>
      <c r="L8" s="230" t="s">
        <v>1117</v>
      </c>
      <c r="M8" s="230" t="s">
        <v>1118</v>
      </c>
      <c r="N8" s="230" t="s">
        <v>1119</v>
      </c>
      <c r="O8" s="231"/>
      <c r="P8" s="231"/>
      <c r="Q8" s="232"/>
      <c r="S8" s="229"/>
    </row>
    <row r="9" spans="1:27" s="138" customFormat="1" ht="191.4" customHeight="1" thickBot="1">
      <c r="A9" s="221" t="s">
        <v>96</v>
      </c>
      <c r="B9" s="221"/>
      <c r="C9" s="221"/>
      <c r="D9" s="221"/>
      <c r="E9" s="233" t="s">
        <v>1120</v>
      </c>
      <c r="F9" s="233" t="s">
        <v>1121</v>
      </c>
      <c r="G9" s="233" t="s">
        <v>1122</v>
      </c>
      <c r="H9" s="233" t="s">
        <v>1123</v>
      </c>
      <c r="I9" s="233" t="s">
        <v>1124</v>
      </c>
      <c r="J9" s="234" t="s">
        <v>1125</v>
      </c>
      <c r="K9" s="234" t="s">
        <v>1126</v>
      </c>
      <c r="L9" s="233" t="s">
        <v>1127</v>
      </c>
      <c r="M9" s="233" t="s">
        <v>1128</v>
      </c>
      <c r="N9" s="233" t="s">
        <v>1129</v>
      </c>
      <c r="O9" s="235"/>
      <c r="P9" s="235"/>
      <c r="Q9" s="235"/>
      <c r="S9" s="229"/>
    </row>
    <row r="10" spans="1:27" s="138" customFormat="1" ht="96.6" thickBot="1">
      <c r="A10" s="122" t="s">
        <v>574</v>
      </c>
      <c r="B10" s="171"/>
      <c r="C10" s="171"/>
      <c r="D10" s="171"/>
      <c r="E10" s="236"/>
      <c r="F10" s="236" t="s">
        <v>1130</v>
      </c>
      <c r="G10" s="237" t="s">
        <v>1131</v>
      </c>
      <c r="H10" s="237" t="s">
        <v>1132</v>
      </c>
      <c r="I10" s="237" t="s">
        <v>1133</v>
      </c>
      <c r="J10" s="237" t="s">
        <v>1134</v>
      </c>
      <c r="K10" s="237" t="s">
        <v>1135</v>
      </c>
      <c r="L10" s="237" t="s">
        <v>1136</v>
      </c>
      <c r="M10" s="237" t="s">
        <v>1137</v>
      </c>
      <c r="N10" s="237" t="s">
        <v>1138</v>
      </c>
      <c r="O10" s="232"/>
      <c r="P10" s="232"/>
      <c r="Q10" s="232"/>
      <c r="S10" s="229"/>
    </row>
    <row r="11" spans="1:27" s="138" customFormat="1" ht="60">
      <c r="A11" s="238" t="s">
        <v>85</v>
      </c>
      <c r="B11" s="238"/>
      <c r="C11" s="238"/>
      <c r="D11" s="238"/>
      <c r="E11" s="236"/>
      <c r="F11" s="236" t="s">
        <v>1139</v>
      </c>
      <c r="G11" s="237" t="s">
        <v>1140</v>
      </c>
      <c r="H11" s="237" t="s">
        <v>1141</v>
      </c>
      <c r="I11" s="237" t="s">
        <v>1142</v>
      </c>
      <c r="J11" s="237" t="s">
        <v>1143</v>
      </c>
      <c r="K11" s="237" t="s">
        <v>1144</v>
      </c>
      <c r="L11" s="237" t="s">
        <v>1145</v>
      </c>
      <c r="M11" s="237" t="s">
        <v>1146</v>
      </c>
      <c r="N11" s="237" t="s">
        <v>1147</v>
      </c>
      <c r="O11" s="232"/>
      <c r="P11" s="232"/>
      <c r="Q11" s="232"/>
      <c r="R11" s="229"/>
      <c r="S11" s="229"/>
    </row>
    <row r="12" spans="1:27" s="138" customFormat="1" ht="15" customHeight="1"/>
    <row r="13" spans="1:27" s="138" customFormat="1" ht="15" customHeight="1"/>
    <row r="14" spans="1:27" s="138" customFormat="1" ht="15" customHeight="1"/>
    <row r="15" spans="1:27" customFormat="1" ht="14.4">
      <c r="A15" t="s">
        <v>443</v>
      </c>
      <c r="B15" t="s">
        <v>104</v>
      </c>
      <c r="C15" t="s">
        <v>105</v>
      </c>
      <c r="D15" t="s">
        <v>442</v>
      </c>
      <c r="E15" s="14" t="s">
        <v>304</v>
      </c>
      <c r="F15" s="14" t="s">
        <v>305</v>
      </c>
      <c r="G15" s="14" t="s">
        <v>306</v>
      </c>
      <c r="H15" s="14" t="s">
        <v>307</v>
      </c>
      <c r="I15" s="14" t="s">
        <v>308</v>
      </c>
      <c r="J15" s="14" t="s">
        <v>309</v>
      </c>
      <c r="K15" s="14" t="s">
        <v>310</v>
      </c>
      <c r="L15" s="14" t="s">
        <v>311</v>
      </c>
      <c r="M15" s="14" t="s">
        <v>312</v>
      </c>
      <c r="N15" s="14" t="s">
        <v>313</v>
      </c>
    </row>
    <row r="16" spans="1:27" s="138" customFormat="1" ht="15" customHeight="1">
      <c r="A16" t="s">
        <v>536</v>
      </c>
      <c r="B16" s="15" t="s">
        <v>104</v>
      </c>
      <c r="C16" s="15" t="str">
        <f>HYPERLINK("02-项目级\P2-Qcubic to MySQL数据同步工具 V1.0\01-生存周期\03-项目策划\03-项目计划书 (QCUBIC-SJTB-PLAN-Plan)V1.0-engl.docx", "engl")</f>
        <v>engl</v>
      </c>
      <c r="D16"/>
      <c r="E16" t="s">
        <v>426</v>
      </c>
      <c r="F16"/>
      <c r="G16"/>
      <c r="H16"/>
      <c r="I16"/>
      <c r="J16"/>
      <c r="K16" t="s">
        <v>426</v>
      </c>
      <c r="L16"/>
      <c r="M16"/>
      <c r="N16"/>
      <c r="O16"/>
      <c r="P16"/>
      <c r="Q16"/>
      <c r="R16"/>
      <c r="S16"/>
      <c r="T16"/>
      <c r="U16"/>
      <c r="V16"/>
      <c r="W16"/>
      <c r="X16"/>
      <c r="Y16"/>
      <c r="Z16"/>
      <c r="AA16"/>
    </row>
    <row r="17" spans="1:27" s="140" customFormat="1" ht="14.4">
      <c r="A17" t="s">
        <v>536</v>
      </c>
      <c r="B17" s="15" t="s">
        <v>104</v>
      </c>
      <c r="C17" s="15" t="str">
        <f>HYPERLINK("02-项目级\P2-Qcubic to MySQL数据同步工具 V1.0\02-全程管理\01-项目监控\02-项目周报(QCUBIC-SJTB-MC-weeklyrpt)v1.1-engl.xlsx", "engl")</f>
        <v>engl</v>
      </c>
      <c r="D17"/>
      <c r="E17" t="s">
        <v>426</v>
      </c>
      <c r="F17"/>
      <c r="G17" t="s">
        <v>426</v>
      </c>
      <c r="H17" t="s">
        <v>426</v>
      </c>
      <c r="I17" t="s">
        <v>426</v>
      </c>
      <c r="J17" t="s">
        <v>426</v>
      </c>
      <c r="K17" t="s">
        <v>426</v>
      </c>
      <c r="L17" t="s">
        <v>426</v>
      </c>
      <c r="M17" t="s">
        <v>426</v>
      </c>
      <c r="N17" t="s">
        <v>426</v>
      </c>
      <c r="O17"/>
      <c r="P17"/>
      <c r="Q17"/>
      <c r="R17"/>
      <c r="S17"/>
      <c r="T17"/>
      <c r="U17"/>
      <c r="V17"/>
      <c r="W17"/>
      <c r="X17"/>
      <c r="Y17"/>
      <c r="Z17"/>
      <c r="AA17"/>
    </row>
    <row r="18" spans="1:27" s="140" customFormat="1" ht="14.4">
      <c r="A18" t="s">
        <v>536</v>
      </c>
      <c r="B18" s="15" t="s">
        <v>104</v>
      </c>
      <c r="C18" s="15" t="str">
        <f>HYPERLINK("02-项目级\P2-Qcubic to MySQL数据同步工具 V1.0\02-全程管理\01-项目监控\04-里程碑状态报告\01-策划里程碑状态报告(QCUBIC-SJTB-MC-PlanMilestoneRpt)V1.0-engl.docx", "engl")</f>
        <v>engl</v>
      </c>
      <c r="D18"/>
      <c r="E18" t="s">
        <v>426</v>
      </c>
      <c r="F18"/>
      <c r="G18" t="s">
        <v>426</v>
      </c>
      <c r="H18" t="s">
        <v>426</v>
      </c>
      <c r="I18" t="s">
        <v>426</v>
      </c>
      <c r="J18" t="s">
        <v>426</v>
      </c>
      <c r="K18" t="s">
        <v>426</v>
      </c>
      <c r="L18" t="s">
        <v>426</v>
      </c>
      <c r="M18" t="s">
        <v>426</v>
      </c>
      <c r="N18" t="s">
        <v>426</v>
      </c>
      <c r="O18"/>
      <c r="P18"/>
      <c r="Q18"/>
      <c r="R18"/>
      <c r="S18"/>
      <c r="T18"/>
      <c r="U18"/>
      <c r="V18"/>
      <c r="W18"/>
      <c r="X18"/>
      <c r="Y18"/>
      <c r="Z18"/>
      <c r="AA18"/>
    </row>
    <row r="19" spans="1:27" s="140" customFormat="1" ht="14.4">
      <c r="A19" t="s">
        <v>536</v>
      </c>
      <c r="B19" s="15" t="s">
        <v>104</v>
      </c>
      <c r="C19" s="15" t="str">
        <f>HYPERLINK("02-项目级\P2-Qcubic to MySQL数据同步工具 V1.0\02-全程管理\01-项目监控\04-里程碑状态报告\02-需求里程碑状态报告(QCUBIC-SJTB-MC-RDMilestoneRpt)V1.1-engl.docx", "engl")</f>
        <v>engl</v>
      </c>
      <c r="D19"/>
      <c r="E19" t="s">
        <v>426</v>
      </c>
      <c r="F19"/>
      <c r="G19" t="s">
        <v>426</v>
      </c>
      <c r="H19" t="s">
        <v>426</v>
      </c>
      <c r="I19" t="s">
        <v>426</v>
      </c>
      <c r="J19" t="s">
        <v>426</v>
      </c>
      <c r="K19" t="s">
        <v>426</v>
      </c>
      <c r="L19" t="s">
        <v>426</v>
      </c>
      <c r="M19" t="s">
        <v>426</v>
      </c>
      <c r="N19" t="s">
        <v>426</v>
      </c>
      <c r="O19"/>
      <c r="P19"/>
      <c r="Q19"/>
      <c r="R19"/>
      <c r="S19"/>
      <c r="T19"/>
      <c r="U19"/>
      <c r="V19"/>
      <c r="W19"/>
      <c r="X19"/>
      <c r="Y19"/>
      <c r="Z19"/>
      <c r="AA19"/>
    </row>
    <row r="20" spans="1:27" s="140" customFormat="1" ht="14.4">
      <c r="A20" t="s">
        <v>536</v>
      </c>
      <c r="B20" s="15" t="s">
        <v>104</v>
      </c>
      <c r="C20" s="15" t="str">
        <f>HYPERLINK("02-项目级\P2-Qcubic to MySQL数据同步工具 V1.0\02-全程管理\01-项目监控\04-里程碑状态报告\03-设计里程碑状态报告(QCUBIC-SJTB-MC-DesMilestoneRpt)V1.0-engl.docx", "engl")</f>
        <v>engl</v>
      </c>
      <c r="D20"/>
      <c r="E20" t="s">
        <v>426</v>
      </c>
      <c r="F20"/>
      <c r="G20" t="s">
        <v>426</v>
      </c>
      <c r="H20" t="s">
        <v>426</v>
      </c>
      <c r="I20" t="s">
        <v>426</v>
      </c>
      <c r="J20" t="s">
        <v>426</v>
      </c>
      <c r="K20" t="s">
        <v>426</v>
      </c>
      <c r="L20" t="s">
        <v>426</v>
      </c>
      <c r="M20" t="s">
        <v>426</v>
      </c>
      <c r="N20" t="s">
        <v>426</v>
      </c>
      <c r="O20"/>
      <c r="P20"/>
      <c r="Q20"/>
      <c r="R20"/>
      <c r="S20"/>
      <c r="T20"/>
      <c r="U20"/>
      <c r="V20"/>
      <c r="W20"/>
      <c r="X20"/>
      <c r="Y20"/>
      <c r="Z20"/>
      <c r="AA20"/>
    </row>
    <row r="21" spans="1:27" s="140" customFormat="1" ht="14.4">
      <c r="A21" t="s">
        <v>536</v>
      </c>
      <c r="B21" s="15" t="s">
        <v>104</v>
      </c>
      <c r="C21" s="15" t="str">
        <f>HYPERLINK("02-项目级\P2-Qcubic to MySQL数据同步工具 V1.0\02-全程管理\01-项目监控\04-里程碑状态报告\04-编码里程碑状态报告(QCUBIC-SJTB-MC-CodingMilestoneRpt)V1.0-engl.docx", "engl")</f>
        <v>engl</v>
      </c>
      <c r="D21"/>
      <c r="E21" t="s">
        <v>426</v>
      </c>
      <c r="F21"/>
      <c r="G21" t="s">
        <v>426</v>
      </c>
      <c r="H21" t="s">
        <v>426</v>
      </c>
      <c r="I21" t="s">
        <v>426</v>
      </c>
      <c r="J21" t="s">
        <v>426</v>
      </c>
      <c r="K21" t="s">
        <v>426</v>
      </c>
      <c r="L21" t="s">
        <v>426</v>
      </c>
      <c r="M21" t="s">
        <v>426</v>
      </c>
      <c r="N21" t="s">
        <v>426</v>
      </c>
      <c r="O21"/>
      <c r="P21"/>
      <c r="Q21"/>
      <c r="R21"/>
      <c r="S21"/>
      <c r="T21"/>
      <c r="U21"/>
      <c r="V21"/>
      <c r="W21"/>
      <c r="X21"/>
      <c r="Y21"/>
      <c r="Z21"/>
      <c r="AA21"/>
    </row>
    <row r="22" spans="1:27" s="140" customFormat="1" ht="14.4">
      <c r="A22" t="s">
        <v>536</v>
      </c>
      <c r="B22" s="15" t="s">
        <v>104</v>
      </c>
      <c r="C22" s="15" t="str">
        <f>HYPERLINK("02-项目级\P2-Qcubic to MySQL数据同步工具 V1.0\02-全程管理\01-项目监控\04-里程碑状态报告\05-测试里程碑状态报告(QCUBIC-SJTB-MC-TestMilestoneRpt)V1.0-engl.docx", "engl")</f>
        <v>engl</v>
      </c>
      <c r="D22"/>
      <c r="E22" t="s">
        <v>426</v>
      </c>
      <c r="F22"/>
      <c r="G22" t="s">
        <v>426</v>
      </c>
      <c r="H22" t="s">
        <v>426</v>
      </c>
      <c r="I22" t="s">
        <v>426</v>
      </c>
      <c r="J22" t="s">
        <v>426</v>
      </c>
      <c r="K22" t="s">
        <v>426</v>
      </c>
      <c r="L22" t="s">
        <v>426</v>
      </c>
      <c r="M22" t="s">
        <v>426</v>
      </c>
      <c r="N22" t="s">
        <v>426</v>
      </c>
      <c r="O22"/>
      <c r="P22"/>
      <c r="Q22"/>
      <c r="R22"/>
      <c r="S22"/>
      <c r="T22"/>
      <c r="U22"/>
      <c r="V22"/>
      <c r="W22"/>
      <c r="X22"/>
      <c r="Y22"/>
      <c r="Z22"/>
      <c r="AA22"/>
    </row>
    <row r="23" spans="1:27" s="140" customFormat="1" ht="14.4">
      <c r="A23" t="s">
        <v>536</v>
      </c>
      <c r="B23" s="15" t="s">
        <v>104</v>
      </c>
      <c r="C23" s="15" t="str">
        <f>HYPERLINK("02-项目级\P2-Qcubic to MySQL数据同步工具 V1.0\02-全程管理\01-项目监控\04-里程碑状态报告\06-验收里程碑状态报告(QCUBIC-SJTB-MC-VVMilestoneRpt)V1.0-engl.docx", "engl")</f>
        <v>engl</v>
      </c>
      <c r="D23"/>
      <c r="E23" t="s">
        <v>426</v>
      </c>
      <c r="F23"/>
      <c r="G23" t="s">
        <v>426</v>
      </c>
      <c r="H23" t="s">
        <v>426</v>
      </c>
      <c r="I23" t="s">
        <v>426</v>
      </c>
      <c r="J23" t="s">
        <v>426</v>
      </c>
      <c r="K23" t="s">
        <v>426</v>
      </c>
      <c r="L23" t="s">
        <v>426</v>
      </c>
      <c r="M23" t="s">
        <v>426</v>
      </c>
      <c r="N23" t="s">
        <v>426</v>
      </c>
      <c r="O23"/>
      <c r="P23"/>
      <c r="Q23"/>
      <c r="R23"/>
      <c r="S23"/>
      <c r="T23"/>
      <c r="U23"/>
      <c r="V23"/>
      <c r="W23"/>
      <c r="X23"/>
      <c r="Y23"/>
      <c r="Z23"/>
      <c r="AA23"/>
    </row>
    <row r="24" spans="1:27" s="140" customFormat="1" ht="14.4">
      <c r="A24" t="s">
        <v>536</v>
      </c>
      <c r="B24" s="15" t="s">
        <v>104</v>
      </c>
      <c r="C24" s="15" t="str">
        <f>HYPERLINK("02-项目级\P2-Qcubic to MySQL数据同步工具 V1.0\02-全程管理\01-项目监控\01-问题管理表(QCUBIC-SJTB-MC-IssueList)V1.1-engl.xlsx", "engl")</f>
        <v>engl</v>
      </c>
      <c r="D24"/>
      <c r="E24"/>
      <c r="F24" t="s">
        <v>426</v>
      </c>
      <c r="G24"/>
      <c r="H24"/>
      <c r="I24"/>
      <c r="J24" t="s">
        <v>426</v>
      </c>
      <c r="K24" t="s">
        <v>426</v>
      </c>
      <c r="L24"/>
      <c r="M24"/>
      <c r="N24" t="s">
        <v>426</v>
      </c>
      <c r="O24"/>
      <c r="P24"/>
      <c r="Q24"/>
      <c r="R24"/>
      <c r="S24"/>
      <c r="T24"/>
      <c r="U24"/>
      <c r="V24"/>
      <c r="W24"/>
      <c r="X24"/>
      <c r="Y24"/>
      <c r="Z24"/>
      <c r="AA24"/>
    </row>
    <row r="25" spans="1:27" s="123" customFormat="1" ht="14.4">
      <c r="A25" t="s">
        <v>536</v>
      </c>
      <c r="B25" s="15" t="s">
        <v>104</v>
      </c>
      <c r="C25" s="15" t="str">
        <f>HYPERLINK("02-项目级\P2-Qcubic to MySQL数据同步工具 V1.0\02-全程管理\07-质量保证\01-质量保证计划(QCUBIC-SJTB-PQA-Plan)V1.0-engl.docx", "engl")</f>
        <v>engl</v>
      </c>
      <c r="D25"/>
      <c r="E25"/>
      <c r="F25" t="s">
        <v>426</v>
      </c>
      <c r="G25"/>
      <c r="H25"/>
      <c r="I25"/>
      <c r="J25"/>
      <c r="K25"/>
      <c r="L25"/>
      <c r="M25"/>
      <c r="N25"/>
      <c r="O25"/>
      <c r="P25"/>
      <c r="Q25"/>
      <c r="R25"/>
      <c r="S25"/>
      <c r="T25"/>
      <c r="U25"/>
      <c r="V25"/>
      <c r="W25"/>
      <c r="X25"/>
      <c r="Y25"/>
      <c r="Z25"/>
      <c r="AA25"/>
    </row>
    <row r="26" spans="1:27" s="123" customFormat="1" ht="14.4">
      <c r="A26" t="s">
        <v>536</v>
      </c>
      <c r="B26" s="15" t="s">
        <v>104</v>
      </c>
      <c r="C26" s="15" t="str">
        <f>HYPERLINK("02-项目级\P2-Qcubic to MySQL数据同步工具 V1.0\02-全程管理\08-配置管理\01-项目配置管理计划 (QCUBIC-SJTB-CM-Plan)V1.0-engl.docx", "engl")</f>
        <v>engl</v>
      </c>
      <c r="D26"/>
      <c r="E26"/>
      <c r="F26" t="s">
        <v>426</v>
      </c>
      <c r="G26"/>
      <c r="H26"/>
      <c r="I26"/>
      <c r="J26"/>
      <c r="K26"/>
      <c r="L26"/>
      <c r="M26"/>
      <c r="N26"/>
      <c r="O26"/>
      <c r="P26"/>
      <c r="Q26"/>
      <c r="R26"/>
      <c r="S26"/>
      <c r="T26"/>
      <c r="U26"/>
      <c r="V26"/>
      <c r="W26"/>
      <c r="X26"/>
      <c r="Y26"/>
      <c r="Z26"/>
      <c r="AA26"/>
    </row>
    <row r="27" spans="1:27" s="123" customFormat="1" ht="14.4">
      <c r="A27" t="s">
        <v>536</v>
      </c>
      <c r="B27" s="15" t="s">
        <v>104</v>
      </c>
      <c r="C27"/>
      <c r="D27"/>
      <c r="E27"/>
      <c r="F27"/>
      <c r="G27" t="s">
        <v>426</v>
      </c>
      <c r="H27"/>
      <c r="I27"/>
      <c r="J27"/>
      <c r="K27"/>
      <c r="L27" t="s">
        <v>426</v>
      </c>
      <c r="M27"/>
      <c r="N27"/>
      <c r="O27"/>
      <c r="P27"/>
      <c r="Q27"/>
      <c r="R27"/>
      <c r="S27"/>
      <c r="T27"/>
      <c r="U27"/>
      <c r="V27"/>
      <c r="W27"/>
      <c r="X27"/>
      <c r="Y27"/>
      <c r="Z27"/>
      <c r="AA27"/>
    </row>
    <row r="28" spans="1:27" s="140" customFormat="1" ht="14.4">
      <c r="A28" t="s">
        <v>536</v>
      </c>
      <c r="B28" s="15" t="s">
        <v>104</v>
      </c>
      <c r="C28" s="15" t="str">
        <f>HYPERLINK("02-项目级\P2-Qcubic to MySQL数据同步工具 V1.0\01-生存周期\03-项目策划\01-项目定义过程 (QCUBIC-SJTB-PLAN-PDP)V1.0-engl.xlsx", "engl")</f>
        <v>engl</v>
      </c>
      <c r="D28"/>
      <c r="E28"/>
      <c r="F28"/>
      <c r="G28"/>
      <c r="H28"/>
      <c r="I28"/>
      <c r="J28"/>
      <c r="K28" t="s">
        <v>426</v>
      </c>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mergeCells count="1">
    <mergeCell ref="R6:T6"/>
  </mergeCells>
  <phoneticPr fontId="72" type="noConversion"/>
  <hyperlinks>
    <hyperlink ref="B16" r:id="rId1" xr:uid="{8CD728B7-2D7B-4FF4-8174-30378FD70541}"/>
    <hyperlink ref="B17" r:id="rId2" xr:uid="{B4309091-7D01-41A3-A2CD-D74A777958FE}"/>
    <hyperlink ref="B18" r:id="rId3" xr:uid="{F114EB86-F2A8-4DF2-AF71-8001FCB86E02}"/>
    <hyperlink ref="B19" r:id="rId4" xr:uid="{88006775-04C7-4521-9C28-24B9DCFAD1DA}"/>
    <hyperlink ref="B20" r:id="rId5" xr:uid="{0DFEEB6D-B327-4775-A71B-E29FCD4AA222}"/>
    <hyperlink ref="B21" r:id="rId6" xr:uid="{73F4FB8D-5174-4B7E-91E6-FA81AFCFC7A3}"/>
    <hyperlink ref="B22" r:id="rId7" xr:uid="{C9A37553-15B5-4115-8D7C-73383F2E6BC8}"/>
    <hyperlink ref="B23" r:id="rId8" xr:uid="{F7A78740-0CE3-4E20-84FF-B197B7D558BC}"/>
    <hyperlink ref="B24" r:id="rId9" xr:uid="{E9C9ED07-8C8E-4E88-8EA1-E888D95397B3}"/>
    <hyperlink ref="B25" r:id="rId10" xr:uid="{554AB0EC-C53F-4180-A3D4-856E0BC31930}"/>
    <hyperlink ref="B26" r:id="rId11" xr:uid="{830D50C4-DF1D-4641-9B5F-01CED02DA32D}"/>
    <hyperlink ref="B27" r:id="rId12" xr:uid="{EB4CC330-516C-491F-937F-EEC94C1B6581}"/>
    <hyperlink ref="B28" r:id="rId13" xr:uid="{3C293E6D-BCF8-44F3-8F6C-66AFFFE6B03F}"/>
  </hyperlinks>
  <pageMargins left="0.7" right="0.7" top="0.75" bottom="0.75" header="0.3" footer="0.3"/>
  <pageSetup orientation="portrait" r:id="rId1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A642E-8803-4A96-879E-403ABD7F5793}">
  <sheetPr codeName="Sheet21">
    <tabColor rgb="FF00805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0.6640625" style="107" customWidth="1"/>
    <col min="2" max="4" width="7.88671875" style="107" customWidth="1"/>
    <col min="5" max="6" width="15.6640625" style="107" customWidth="1"/>
    <col min="7" max="17" width="15.6640625" style="108" customWidth="1"/>
    <col min="18" max="19" width="15.6640625" style="107" customWidth="1"/>
    <col min="20" max="20" width="71.109375" style="107" customWidth="1"/>
    <col min="21" max="21" width="3.6640625" style="107" customWidth="1"/>
    <col min="22" max="22" width="30.109375" style="107" customWidth="1"/>
    <col min="23" max="23" width="147.109375" style="107" customWidth="1"/>
    <col min="24" max="25" width="18.6640625" style="107" customWidth="1"/>
    <col min="26" max="26" width="16.5546875" style="107" customWidth="1"/>
    <col min="27" max="16384" width="8.6640625" style="107"/>
  </cols>
  <sheetData>
    <row r="1" spans="1:27" s="110" customFormat="1" ht="18">
      <c r="A1" s="105" t="s">
        <v>1148</v>
      </c>
      <c r="B1" s="105"/>
      <c r="C1" s="105"/>
      <c r="D1" s="105"/>
      <c r="E1" s="106"/>
      <c r="F1" s="107"/>
      <c r="G1" s="108"/>
      <c r="H1" s="108"/>
      <c r="I1" s="108"/>
      <c r="J1" s="108"/>
      <c r="K1" s="108"/>
      <c r="L1" s="108"/>
      <c r="M1" s="108"/>
      <c r="N1" s="108"/>
      <c r="O1" s="108"/>
      <c r="P1" s="108"/>
      <c r="Q1" s="108"/>
    </row>
    <row r="2" spans="1:27" s="148" customFormat="1" ht="30" customHeight="1">
      <c r="A2" s="110" t="s">
        <v>447</v>
      </c>
      <c r="B2" s="110"/>
      <c r="C2" s="110"/>
      <c r="D2" s="110"/>
      <c r="E2" s="366" t="s">
        <v>1149</v>
      </c>
      <c r="F2" s="366"/>
      <c r="G2" s="366"/>
      <c r="H2" s="366"/>
      <c r="I2" s="366"/>
      <c r="J2" s="366"/>
      <c r="K2" s="366"/>
      <c r="L2" s="366"/>
      <c r="M2" s="366"/>
      <c r="N2" s="366"/>
      <c r="O2" s="366"/>
      <c r="P2" s="366"/>
      <c r="Q2" s="366"/>
    </row>
    <row r="3" spans="1:27" s="110" customFormat="1">
      <c r="A3" s="107" t="s">
        <v>448</v>
      </c>
      <c r="B3" s="107"/>
      <c r="C3" s="107"/>
      <c r="D3" s="107"/>
      <c r="E3" s="369" t="s">
        <v>315</v>
      </c>
      <c r="F3" s="369"/>
      <c r="G3" s="369"/>
      <c r="H3" s="369"/>
      <c r="I3" s="369"/>
      <c r="J3" s="369"/>
      <c r="K3" s="369"/>
      <c r="L3" s="369"/>
      <c r="M3" s="369"/>
      <c r="N3" s="369"/>
      <c r="O3" s="369"/>
      <c r="P3" s="369"/>
      <c r="Q3" s="369"/>
    </row>
    <row r="4" spans="1:27" s="110" customFormat="1">
      <c r="A4" s="111"/>
      <c r="B4" s="111"/>
      <c r="C4" s="111"/>
      <c r="D4" s="111"/>
      <c r="E4" s="112" t="s">
        <v>47</v>
      </c>
      <c r="F4" s="149"/>
      <c r="G4" s="113" t="s">
        <v>54</v>
      </c>
      <c r="H4" s="114"/>
      <c r="I4" s="113"/>
      <c r="J4" s="115"/>
      <c r="K4" s="115"/>
      <c r="L4" s="115"/>
      <c r="M4" s="113"/>
      <c r="N4" s="113"/>
      <c r="O4" s="116" t="s">
        <v>56</v>
      </c>
      <c r="P4" s="116"/>
      <c r="Q4" s="116"/>
      <c r="R4" s="150"/>
      <c r="S4" s="174" t="s">
        <v>57</v>
      </c>
      <c r="T4" s="118"/>
      <c r="U4" s="118"/>
      <c r="V4" s="118"/>
    </row>
    <row r="5" spans="1:27" s="110" customFormat="1">
      <c r="A5" s="118"/>
      <c r="B5" s="118"/>
      <c r="C5" s="118"/>
      <c r="D5" s="118"/>
      <c r="E5" s="119" t="s">
        <v>539</v>
      </c>
      <c r="F5" s="149"/>
      <c r="G5" s="120" t="s">
        <v>540</v>
      </c>
      <c r="H5" s="114"/>
      <c r="I5" s="120"/>
      <c r="J5" s="115"/>
      <c r="K5" s="115"/>
      <c r="L5" s="115"/>
      <c r="M5" s="239"/>
      <c r="N5" s="239"/>
      <c r="O5" s="116" t="s">
        <v>541</v>
      </c>
      <c r="P5" s="169"/>
      <c r="Q5" s="116"/>
      <c r="R5" s="150"/>
      <c r="S5" s="174" t="s">
        <v>805</v>
      </c>
      <c r="T5" s="118"/>
      <c r="U5" s="118"/>
      <c r="V5" s="118"/>
    </row>
    <row r="6" spans="1:27">
      <c r="A6" s="122"/>
      <c r="B6" s="122"/>
      <c r="C6" s="122"/>
      <c r="D6" s="122"/>
      <c r="E6" s="175" t="s">
        <v>316</v>
      </c>
      <c r="F6" s="175" t="s">
        <v>318</v>
      </c>
      <c r="G6" s="90" t="s">
        <v>320</v>
      </c>
      <c r="H6" s="90" t="s">
        <v>322</v>
      </c>
      <c r="I6" s="90" t="s">
        <v>323</v>
      </c>
      <c r="J6" s="90" t="s">
        <v>324</v>
      </c>
      <c r="K6" s="90" t="s">
        <v>325</v>
      </c>
      <c r="L6" s="90" t="s">
        <v>326</v>
      </c>
      <c r="M6" s="90" t="s">
        <v>327</v>
      </c>
      <c r="N6" s="90" t="s">
        <v>328</v>
      </c>
      <c r="O6" s="91" t="s">
        <v>329</v>
      </c>
      <c r="P6" s="91" t="s">
        <v>330</v>
      </c>
      <c r="Q6" s="91" t="s">
        <v>331</v>
      </c>
      <c r="R6" s="91" t="s">
        <v>333</v>
      </c>
      <c r="S6" s="176" t="s">
        <v>334</v>
      </c>
      <c r="T6" s="93"/>
      <c r="U6" s="93"/>
      <c r="V6" s="93"/>
      <c r="W6" s="123"/>
      <c r="X6" s="123"/>
      <c r="Y6" s="123"/>
    </row>
    <row r="7" spans="1:27" ht="137.4" customHeight="1">
      <c r="A7" s="124" t="s">
        <v>643</v>
      </c>
      <c r="B7" s="124"/>
      <c r="C7" s="124"/>
      <c r="D7" s="124"/>
      <c r="E7" s="97" t="s">
        <v>1150</v>
      </c>
      <c r="F7" s="97" t="s">
        <v>1151</v>
      </c>
      <c r="G7" s="97" t="s">
        <v>1152</v>
      </c>
      <c r="H7" s="97" t="s">
        <v>1153</v>
      </c>
      <c r="I7" s="97" t="s">
        <v>1154</v>
      </c>
      <c r="J7" s="97" t="s">
        <v>1155</v>
      </c>
      <c r="K7" s="97" t="s">
        <v>1156</v>
      </c>
      <c r="L7" s="97" t="s">
        <v>1157</v>
      </c>
      <c r="M7" s="97" t="s">
        <v>1158</v>
      </c>
      <c r="N7" s="97" t="s">
        <v>1159</v>
      </c>
      <c r="O7" s="97" t="s">
        <v>1160</v>
      </c>
      <c r="P7" s="97" t="s">
        <v>1161</v>
      </c>
      <c r="Q7" s="97" t="s">
        <v>1162</v>
      </c>
      <c r="R7" s="97" t="s">
        <v>1163</v>
      </c>
      <c r="S7" s="97" t="s">
        <v>1164</v>
      </c>
      <c r="T7" s="93"/>
      <c r="U7" s="93"/>
      <c r="V7" s="93"/>
    </row>
    <row r="8" spans="1:27" ht="111" customHeight="1">
      <c r="A8" s="122" t="s">
        <v>553</v>
      </c>
      <c r="B8" s="122"/>
      <c r="C8" s="122"/>
      <c r="D8" s="122"/>
      <c r="E8" s="98" t="s">
        <v>1165</v>
      </c>
      <c r="F8" s="125" t="s">
        <v>1166</v>
      </c>
      <c r="G8" s="98" t="s">
        <v>1167</v>
      </c>
      <c r="H8" s="98" t="s">
        <v>1168</v>
      </c>
      <c r="I8" s="98" t="s">
        <v>1169</v>
      </c>
      <c r="J8" s="98" t="s">
        <v>1170</v>
      </c>
      <c r="K8" s="98" t="s">
        <v>1171</v>
      </c>
      <c r="L8" s="98" t="s">
        <v>1172</v>
      </c>
      <c r="M8" s="98" t="s">
        <v>1173</v>
      </c>
      <c r="N8" s="98" t="s">
        <v>1174</v>
      </c>
      <c r="O8" s="98" t="s">
        <v>1175</v>
      </c>
      <c r="P8" s="98" t="s">
        <v>1176</v>
      </c>
      <c r="Q8" s="98" t="s">
        <v>1177</v>
      </c>
      <c r="R8" s="98" t="s">
        <v>1178</v>
      </c>
      <c r="S8" s="98" t="s">
        <v>1179</v>
      </c>
      <c r="T8" s="99"/>
      <c r="U8" s="99"/>
      <c r="V8" s="99"/>
    </row>
    <row r="9" spans="1:27" ht="200.1" customHeight="1">
      <c r="A9" s="122" t="s">
        <v>96</v>
      </c>
      <c r="B9" s="122"/>
      <c r="C9" s="122"/>
      <c r="D9" s="122"/>
      <c r="E9" s="98" t="s">
        <v>1180</v>
      </c>
      <c r="F9" s="125" t="s">
        <v>1181</v>
      </c>
      <c r="G9" s="98" t="s">
        <v>1182</v>
      </c>
      <c r="H9" s="98" t="s">
        <v>1183</v>
      </c>
      <c r="I9" s="98" t="s">
        <v>1184</v>
      </c>
      <c r="J9" s="98" t="s">
        <v>1185</v>
      </c>
      <c r="K9" s="98" t="s">
        <v>1186</v>
      </c>
      <c r="L9" s="98" t="s">
        <v>1187</v>
      </c>
      <c r="M9" s="98" t="s">
        <v>1188</v>
      </c>
      <c r="N9" s="98" t="s">
        <v>1189</v>
      </c>
      <c r="O9" s="98" t="s">
        <v>1190</v>
      </c>
      <c r="P9" s="98" t="s">
        <v>1191</v>
      </c>
      <c r="Q9" s="98" t="s">
        <v>1192</v>
      </c>
      <c r="R9" s="98" t="s">
        <v>1193</v>
      </c>
      <c r="S9" s="98" t="s">
        <v>1194</v>
      </c>
      <c r="T9" s="99"/>
      <c r="U9" s="99"/>
      <c r="V9" s="99"/>
    </row>
    <row r="10" spans="1:27" ht="144" customHeight="1" thickBot="1">
      <c r="A10" s="122" t="s">
        <v>574</v>
      </c>
      <c r="B10" s="296"/>
      <c r="C10" s="296"/>
      <c r="D10" s="296"/>
      <c r="E10" s="240"/>
      <c r="F10" s="240" t="s">
        <v>1195</v>
      </c>
      <c r="G10" s="241" t="s">
        <v>1196</v>
      </c>
      <c r="H10" s="241" t="s">
        <v>1197</v>
      </c>
      <c r="I10" s="241" t="s">
        <v>1198</v>
      </c>
      <c r="J10" s="241" t="s">
        <v>1199</v>
      </c>
      <c r="K10" s="241" t="s">
        <v>1200</v>
      </c>
      <c r="L10" s="241" t="s">
        <v>1201</v>
      </c>
      <c r="M10" s="241" t="s">
        <v>1202</v>
      </c>
      <c r="N10" s="241" t="s">
        <v>1203</v>
      </c>
      <c r="O10" s="241" t="s">
        <v>1204</v>
      </c>
      <c r="P10" s="241" t="s">
        <v>1205</v>
      </c>
      <c r="Q10" s="241" t="s">
        <v>1206</v>
      </c>
      <c r="R10" s="241" t="s">
        <v>1207</v>
      </c>
      <c r="S10" s="241" t="s">
        <v>1208</v>
      </c>
      <c r="T10" s="152"/>
      <c r="U10" s="152"/>
      <c r="V10" s="152"/>
    </row>
    <row r="11" spans="1:27" ht="108" customHeight="1" thickBot="1">
      <c r="A11" s="242" t="s">
        <v>85</v>
      </c>
      <c r="B11" s="242"/>
      <c r="C11" s="242"/>
      <c r="D11" s="242"/>
      <c r="E11" s="240"/>
      <c r="F11" s="240"/>
      <c r="G11" s="241"/>
      <c r="H11" s="241"/>
      <c r="I11" s="241" t="s">
        <v>1209</v>
      </c>
      <c r="J11" s="241" t="s">
        <v>1210</v>
      </c>
      <c r="K11" s="241" t="s">
        <v>1211</v>
      </c>
      <c r="L11" s="241" t="s">
        <v>1212</v>
      </c>
      <c r="M11" s="241" t="s">
        <v>1213</v>
      </c>
      <c r="N11" s="241" t="s">
        <v>1214</v>
      </c>
      <c r="O11" s="241" t="s">
        <v>1215</v>
      </c>
      <c r="P11" s="241" t="s">
        <v>1216</v>
      </c>
      <c r="Q11" s="241" t="s">
        <v>1217</v>
      </c>
      <c r="R11" s="241" t="s">
        <v>1218</v>
      </c>
      <c r="S11" s="241" t="s">
        <v>1208</v>
      </c>
      <c r="T11" s="152"/>
      <c r="U11" s="152"/>
      <c r="V11" s="152"/>
    </row>
    <row r="12" spans="1:27" ht="15" customHeight="1"/>
    <row r="13" spans="1:27" ht="15" customHeight="1"/>
    <row r="14" spans="1:27" ht="15" customHeight="1"/>
    <row r="15" spans="1:27" customFormat="1" ht="14.4">
      <c r="A15" t="s">
        <v>443</v>
      </c>
      <c r="B15" t="s">
        <v>104</v>
      </c>
      <c r="C15" t="s">
        <v>105</v>
      </c>
      <c r="D15" t="s">
        <v>442</v>
      </c>
      <c r="E15" s="14" t="s">
        <v>316</v>
      </c>
      <c r="F15" s="14" t="s">
        <v>318</v>
      </c>
      <c r="G15" s="14" t="s">
        <v>320</v>
      </c>
      <c r="H15" s="14" t="s">
        <v>322</v>
      </c>
      <c r="I15" s="14" t="s">
        <v>323</v>
      </c>
      <c r="J15" s="14" t="s">
        <v>324</v>
      </c>
      <c r="K15" s="14" t="s">
        <v>325</v>
      </c>
      <c r="L15" s="14" t="s">
        <v>326</v>
      </c>
      <c r="M15" s="14" t="s">
        <v>327</v>
      </c>
      <c r="N15" s="14" t="s">
        <v>328</v>
      </c>
      <c r="O15" s="14" t="s">
        <v>329</v>
      </c>
      <c r="P15" s="14" t="s">
        <v>330</v>
      </c>
      <c r="Q15" s="14" t="s">
        <v>331</v>
      </c>
      <c r="R15" s="14" t="s">
        <v>333</v>
      </c>
      <c r="S15" s="14" t="s">
        <v>334</v>
      </c>
      <c r="T15" s="107"/>
    </row>
    <row r="16" spans="1:27" ht="14.4">
      <c r="A16" t="s">
        <v>536</v>
      </c>
      <c r="B16" s="15" t="s">
        <v>104</v>
      </c>
      <c r="C16"/>
      <c r="D16"/>
      <c r="E16" t="s">
        <v>426</v>
      </c>
      <c r="F16" t="s">
        <v>426</v>
      </c>
      <c r="G16"/>
      <c r="H16"/>
      <c r="I16" t="s">
        <v>426</v>
      </c>
      <c r="J16" t="s">
        <v>426</v>
      </c>
      <c r="K16" t="s">
        <v>426</v>
      </c>
      <c r="L16" t="s">
        <v>426</v>
      </c>
      <c r="M16" t="s">
        <v>426</v>
      </c>
      <c r="N16"/>
      <c r="O16"/>
      <c r="P16"/>
      <c r="Q16" t="s">
        <v>426</v>
      </c>
      <c r="R16"/>
      <c r="S16"/>
      <c r="T16"/>
      <c r="U16"/>
      <c r="V16"/>
      <c r="W16"/>
      <c r="X16"/>
      <c r="Y16"/>
      <c r="Z16"/>
      <c r="AA16"/>
    </row>
    <row r="17" spans="1:27" ht="14.4">
      <c r="A17" t="s">
        <v>536</v>
      </c>
      <c r="B17" s="15" t="s">
        <v>104</v>
      </c>
      <c r="C17" s="15" t="str">
        <f>HYPERLINK("02-项目级\P2-Qcubic to MySQL数据同步工具 V1.0\01-生存周期\03-项目策划\03-项目计划书 (QCUBIC-SJTB-PLAN-Plan)V1.0-engl.docx", "engl")</f>
        <v>engl</v>
      </c>
      <c r="D17"/>
      <c r="E17"/>
      <c r="F17" t="s">
        <v>426</v>
      </c>
      <c r="G17" t="s">
        <v>426</v>
      </c>
      <c r="H17" t="s">
        <v>426</v>
      </c>
      <c r="I17"/>
      <c r="J17"/>
      <c r="K17"/>
      <c r="L17" t="s">
        <v>426</v>
      </c>
      <c r="M17" t="s">
        <v>426</v>
      </c>
      <c r="N17"/>
      <c r="O17"/>
      <c r="P17" t="s">
        <v>426</v>
      </c>
      <c r="Q17" t="s">
        <v>426</v>
      </c>
      <c r="R17" t="s">
        <v>426</v>
      </c>
      <c r="S17"/>
      <c r="T17"/>
      <c r="U17"/>
      <c r="V17"/>
      <c r="W17"/>
      <c r="X17"/>
      <c r="Y17"/>
      <c r="Z17"/>
      <c r="AA17"/>
    </row>
    <row r="18" spans="1:27" ht="14.4">
      <c r="A18" t="s">
        <v>536</v>
      </c>
      <c r="B18" s="15" t="s">
        <v>104</v>
      </c>
      <c r="C18" s="15" t="str">
        <f>HYPERLINK("02-项目级\P2-Qcubic to MySQL数据同步工具 V1.0\02-全程管理\05-评审管理\03-计划评审\05-评审报告_项目计划(QCUBIC-SJTB-PR-ReviewRpt)V1.1-engl.xlsx", "engl")</f>
        <v>engl</v>
      </c>
      <c r="D18"/>
      <c r="E18"/>
      <c r="F18"/>
      <c r="G18"/>
      <c r="H18"/>
      <c r="I18"/>
      <c r="J18"/>
      <c r="K18"/>
      <c r="L18" t="s">
        <v>426</v>
      </c>
      <c r="M18"/>
      <c r="N18" t="s">
        <v>426</v>
      </c>
      <c r="O18"/>
      <c r="P18"/>
      <c r="Q18"/>
      <c r="R18"/>
      <c r="S18"/>
      <c r="T18"/>
      <c r="U18"/>
      <c r="V18"/>
      <c r="W18"/>
      <c r="X18"/>
      <c r="Y18"/>
      <c r="Z18"/>
      <c r="AA18"/>
    </row>
    <row r="19" spans="1:27" ht="14.4">
      <c r="A19" t="s">
        <v>536</v>
      </c>
      <c r="B19" s="15" t="s">
        <v>104</v>
      </c>
      <c r="C19" s="15" t="str">
        <f>HYPERLINK("02-项目级\P2-Qcubic to MySQL数据同步工具 V1.0\01-生存周期\03-项目策划\01-项目定义过程 (QCUBIC-SJTB-PLAN-PDP)V1.0-engl.xlsx", "engl")</f>
        <v>engl</v>
      </c>
      <c r="D19"/>
      <c r="E19"/>
      <c r="F19"/>
      <c r="G19"/>
      <c r="H19"/>
      <c r="I19"/>
      <c r="J19"/>
      <c r="K19"/>
      <c r="L19"/>
      <c r="M19"/>
      <c r="N19"/>
      <c r="O19" t="s">
        <v>426</v>
      </c>
      <c r="P19" t="s">
        <v>426</v>
      </c>
      <c r="Q19"/>
      <c r="R19"/>
      <c r="S19"/>
      <c r="T19"/>
      <c r="U19"/>
      <c r="V19"/>
      <c r="W19"/>
      <c r="X19"/>
      <c r="Y19"/>
      <c r="Z19"/>
      <c r="AA19"/>
    </row>
    <row r="20" spans="1:27" ht="14.4">
      <c r="A20" t="s">
        <v>536</v>
      </c>
      <c r="B20" s="15" t="s">
        <v>104</v>
      </c>
      <c r="C20" s="15" t="str">
        <f>HYPERLINK("01-组织级\01-组织财富库\01-标准过程文件库\04-组织过程类\02-过程资产管理\裁剪指南 (QCUBIC-SPI-OPAL-Guid-Tailor)V1.2-engl.xlsx", "engl")</f>
        <v>engl</v>
      </c>
      <c r="D20"/>
      <c r="E20"/>
      <c r="F20"/>
      <c r="G20"/>
      <c r="H20"/>
      <c r="I20"/>
      <c r="J20"/>
      <c r="K20"/>
      <c r="L20"/>
      <c r="M20"/>
      <c r="N20"/>
      <c r="O20" t="s">
        <v>426</v>
      </c>
      <c r="P20"/>
      <c r="Q20"/>
      <c r="R20"/>
      <c r="S20"/>
      <c r="T20"/>
      <c r="U20"/>
      <c r="V20"/>
      <c r="W20"/>
      <c r="X20"/>
      <c r="Y20"/>
      <c r="Z20"/>
      <c r="AA20"/>
    </row>
    <row r="21" spans="1:27" ht="14.4">
      <c r="A21" t="s">
        <v>536</v>
      </c>
      <c r="B21" s="15" t="s">
        <v>104</v>
      </c>
      <c r="C21" s="15" t="str">
        <f>HYPERLINK("02-项目级\P2-Qcubic to MySQL数据同步工具 V1.0\02-全程管理\03-度量分析\02-项目度量数据表(QCUBIC-SJTB-MPM-datasheet)V1.0-engl.xlsx", "engl")</f>
        <v>engl</v>
      </c>
      <c r="D21"/>
      <c r="E21"/>
      <c r="F21"/>
      <c r="G21"/>
      <c r="H21"/>
      <c r="I21"/>
      <c r="J21"/>
      <c r="K21"/>
      <c r="L21"/>
      <c r="M21"/>
      <c r="N21"/>
      <c r="O21"/>
      <c r="P21" t="s">
        <v>426</v>
      </c>
      <c r="Q21"/>
      <c r="R21"/>
      <c r="S21"/>
      <c r="T21"/>
      <c r="U21"/>
      <c r="V21"/>
      <c r="W21"/>
      <c r="X21"/>
      <c r="Y21"/>
      <c r="Z21"/>
      <c r="AA21"/>
    </row>
    <row r="22" spans="1:27" ht="14.4">
      <c r="A22" t="s">
        <v>536</v>
      </c>
      <c r="B22" s="15" t="s">
        <v>104</v>
      </c>
      <c r="C22" s="15" t="str">
        <f>HYPERLINK("02-项目级\P2-Qcubic to MySQL数据同步工具 V1.0\01-生存周期\03-项目策划\05-关键依赖关系跟踪管理表(QCUBIC-SJTB-Key dependency tracking management table)V1.0-engl.xlsx", "engl")</f>
        <v>engl</v>
      </c>
      <c r="D22"/>
      <c r="E22"/>
      <c r="F22"/>
      <c r="G22"/>
      <c r="H22"/>
      <c r="I22"/>
      <c r="J22"/>
      <c r="K22"/>
      <c r="L22"/>
      <c r="M22"/>
      <c r="N22"/>
      <c r="O22"/>
      <c r="P22"/>
      <c r="Q22" t="s">
        <v>426</v>
      </c>
      <c r="R22"/>
      <c r="S22"/>
      <c r="T22"/>
      <c r="U22"/>
      <c r="V22"/>
      <c r="W22"/>
      <c r="X22"/>
      <c r="Y22"/>
      <c r="Z22"/>
      <c r="AA22"/>
    </row>
    <row r="23" spans="1:27" ht="14.4">
      <c r="A23"/>
      <c r="B23"/>
      <c r="C23"/>
      <c r="D23"/>
      <c r="E23"/>
      <c r="F23"/>
      <c r="G23"/>
      <c r="H23"/>
      <c r="I23"/>
      <c r="J23"/>
      <c r="K23"/>
      <c r="L23"/>
      <c r="M23"/>
      <c r="N23"/>
      <c r="O23"/>
      <c r="P23"/>
      <c r="Q23"/>
      <c r="R23"/>
      <c r="S23"/>
      <c r="T23"/>
      <c r="U23"/>
      <c r="V23"/>
      <c r="W23"/>
      <c r="X23"/>
      <c r="Y23"/>
      <c r="Z23"/>
      <c r="AA23"/>
    </row>
    <row r="24" spans="1:27" ht="14.4">
      <c r="A24"/>
      <c r="B24"/>
      <c r="C24"/>
      <c r="D24"/>
      <c r="E24"/>
      <c r="F24"/>
      <c r="G24"/>
      <c r="H24"/>
      <c r="I24"/>
      <c r="J24"/>
      <c r="K24"/>
      <c r="L24"/>
      <c r="M24"/>
      <c r="N24"/>
      <c r="O24"/>
      <c r="P24"/>
      <c r="Q24"/>
      <c r="R24"/>
      <c r="S24"/>
      <c r="T24"/>
      <c r="U24"/>
      <c r="V24"/>
      <c r="W24"/>
      <c r="X24"/>
      <c r="Y24"/>
      <c r="Z24"/>
      <c r="AA24"/>
    </row>
    <row r="25" spans="1:27" ht="14.4">
      <c r="A25"/>
      <c r="B25"/>
      <c r="C25"/>
      <c r="D25"/>
      <c r="E25"/>
      <c r="F25"/>
      <c r="G25"/>
      <c r="H25"/>
      <c r="I25"/>
      <c r="J25"/>
      <c r="K25"/>
      <c r="L25"/>
      <c r="M25"/>
      <c r="N25"/>
      <c r="O25"/>
      <c r="P25"/>
      <c r="Q25"/>
      <c r="R25"/>
      <c r="S25"/>
      <c r="T25"/>
      <c r="U25"/>
      <c r="V25"/>
      <c r="W25"/>
      <c r="X25"/>
      <c r="Y25"/>
      <c r="Z25"/>
      <c r="AA25"/>
    </row>
    <row r="26" spans="1:27" ht="14.4">
      <c r="A26"/>
      <c r="B26"/>
      <c r="C26"/>
      <c r="D26"/>
      <c r="E26"/>
      <c r="F26"/>
      <c r="G26"/>
      <c r="H26"/>
      <c r="I26"/>
      <c r="J26"/>
      <c r="K26"/>
      <c r="L26"/>
      <c r="M26"/>
      <c r="N26"/>
      <c r="O26"/>
      <c r="P26"/>
      <c r="Q26"/>
      <c r="R26"/>
      <c r="S26"/>
      <c r="T26"/>
      <c r="U26"/>
      <c r="V26"/>
      <c r="W26"/>
      <c r="X26"/>
      <c r="Y26"/>
      <c r="Z26"/>
      <c r="AA26"/>
    </row>
    <row r="27" spans="1:27" ht="14.4">
      <c r="A27"/>
      <c r="B27"/>
      <c r="C27"/>
      <c r="D27"/>
      <c r="E27"/>
      <c r="F27"/>
      <c r="G27"/>
      <c r="H27"/>
      <c r="I27"/>
      <c r="J27"/>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mergeCells count="2">
    <mergeCell ref="E2:Q2"/>
    <mergeCell ref="E3:Q3"/>
  </mergeCells>
  <phoneticPr fontId="72" type="noConversion"/>
  <hyperlinks>
    <hyperlink ref="B16" r:id="rId1" xr:uid="{DE41AB16-CDC4-4B49-B44A-DEDF947A4FD7}"/>
    <hyperlink ref="B17" r:id="rId2" xr:uid="{038D7855-04F0-4F81-AC3A-64EB98AFAA34}"/>
    <hyperlink ref="B18" r:id="rId3" xr:uid="{ED19E6D1-3E80-49DD-A236-8A15C37FD749}"/>
    <hyperlink ref="B19" r:id="rId4" xr:uid="{50D6C904-5643-4C94-874A-F7BF1228BDCC}"/>
    <hyperlink ref="B20" r:id="rId5" xr:uid="{9561551A-0291-4D8B-B25B-5643FF5E11CC}"/>
    <hyperlink ref="B21" r:id="rId6" xr:uid="{68CBA0B8-7EF3-49E9-87F6-37C30D32DB1C}"/>
    <hyperlink ref="B22" r:id="rId7" xr:uid="{C7818DD4-9F6E-4F61-B394-B6295D8733EC}"/>
  </hyperlinks>
  <pageMargins left="0.7" right="0.7" top="0.75" bottom="0.75" header="0.3" footer="0.3"/>
  <pageSetup orientation="portrait" r:id="rId8"/>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2E484-F526-4FCA-BECC-50CA55E2650A}">
  <sheetPr codeName="Sheet22">
    <tabColor rgb="FF00805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0.6640625" style="269" customWidth="1"/>
    <col min="2" max="4" width="7.88671875" style="269" customWidth="1"/>
    <col min="5" max="6" width="20.6640625" style="254" customWidth="1"/>
    <col min="7" max="10" width="20.6640625" style="131" customWidth="1"/>
    <col min="11" max="11" width="50.6640625" style="131" customWidth="1"/>
    <col min="12" max="12" width="3.6640625" style="131" customWidth="1"/>
    <col min="13" max="13" width="24" style="131" bestFit="1" customWidth="1"/>
    <col min="14" max="14" width="108.44140625" style="128" customWidth="1"/>
    <col min="15" max="16384" width="8.6640625" style="254"/>
  </cols>
  <sheetData>
    <row r="1" spans="1:27" s="245" customFormat="1" ht="18">
      <c r="A1" s="243" t="s">
        <v>1219</v>
      </c>
      <c r="B1" s="243"/>
      <c r="C1" s="243"/>
      <c r="D1" s="243"/>
      <c r="E1" s="244"/>
      <c r="F1" s="244"/>
      <c r="G1" s="244"/>
      <c r="H1" s="244"/>
      <c r="I1" s="244"/>
      <c r="J1" s="131"/>
      <c r="K1" s="131"/>
      <c r="L1" s="131"/>
      <c r="M1" s="131"/>
      <c r="N1" s="128"/>
    </row>
    <row r="2" spans="1:27" s="246" customFormat="1">
      <c r="A2" s="100" t="s">
        <v>1220</v>
      </c>
      <c r="B2" s="100"/>
      <c r="C2" s="100"/>
      <c r="D2" s="100"/>
      <c r="E2" s="101" t="s">
        <v>1221</v>
      </c>
      <c r="F2" s="101"/>
      <c r="G2" s="101"/>
      <c r="H2" s="101"/>
      <c r="I2" s="101"/>
      <c r="J2" s="131"/>
      <c r="K2" s="131"/>
      <c r="L2" s="131"/>
      <c r="M2" s="131"/>
      <c r="N2" s="128"/>
    </row>
    <row r="3" spans="1:27" s="247" customFormat="1">
      <c r="A3" s="100" t="s">
        <v>1222</v>
      </c>
      <c r="B3" s="100"/>
      <c r="C3" s="100"/>
      <c r="D3" s="100"/>
      <c r="E3" s="101" t="s">
        <v>1223</v>
      </c>
      <c r="F3" s="101"/>
      <c r="G3" s="101"/>
      <c r="H3" s="101"/>
      <c r="I3" s="101"/>
      <c r="J3" s="131"/>
      <c r="K3" s="131"/>
      <c r="L3" s="131"/>
      <c r="M3" s="131"/>
      <c r="N3" s="128"/>
    </row>
    <row r="4" spans="1:27">
      <c r="A4" s="248"/>
      <c r="B4" s="248"/>
      <c r="C4" s="248"/>
      <c r="D4" s="248"/>
      <c r="E4" s="249" t="s">
        <v>47</v>
      </c>
      <c r="F4" s="250" t="s">
        <v>54</v>
      </c>
      <c r="G4" s="251"/>
      <c r="H4" s="250"/>
      <c r="I4" s="252" t="s">
        <v>56</v>
      </c>
      <c r="J4" s="252"/>
      <c r="K4" s="253"/>
      <c r="L4" s="253"/>
      <c r="M4" s="253"/>
    </row>
    <row r="5" spans="1:27">
      <c r="A5" s="254"/>
      <c r="B5" s="254"/>
      <c r="C5" s="254"/>
      <c r="D5" s="254"/>
      <c r="E5" s="255" t="s">
        <v>539</v>
      </c>
      <c r="F5" s="256" t="s">
        <v>540</v>
      </c>
      <c r="G5" s="251"/>
      <c r="H5" s="256"/>
      <c r="I5" s="252" t="s">
        <v>541</v>
      </c>
      <c r="J5" s="257"/>
      <c r="K5" s="254"/>
      <c r="L5" s="254"/>
      <c r="M5" s="254"/>
    </row>
    <row r="6" spans="1:27" s="128" customFormat="1">
      <c r="A6" s="258"/>
      <c r="B6" s="258"/>
      <c r="C6" s="258"/>
      <c r="D6" s="258"/>
      <c r="E6" s="259" t="s">
        <v>294</v>
      </c>
      <c r="F6" s="260" t="s">
        <v>295</v>
      </c>
      <c r="G6" s="260" t="s">
        <v>296</v>
      </c>
      <c r="H6" s="260" t="s">
        <v>297</v>
      </c>
      <c r="I6" s="261" t="s">
        <v>298</v>
      </c>
      <c r="J6" s="261" t="s">
        <v>300</v>
      </c>
      <c r="K6" s="129"/>
      <c r="L6" s="129"/>
      <c r="M6" s="129"/>
      <c r="N6" s="131"/>
    </row>
    <row r="7" spans="1:27" s="128" customFormat="1" ht="82.8">
      <c r="A7" s="262" t="s">
        <v>643</v>
      </c>
      <c r="B7" s="262"/>
      <c r="C7" s="262"/>
      <c r="D7" s="262"/>
      <c r="E7" s="263" t="s">
        <v>1224</v>
      </c>
      <c r="F7" s="263" t="s">
        <v>1225</v>
      </c>
      <c r="G7" s="263" t="s">
        <v>1226</v>
      </c>
      <c r="H7" s="263" t="s">
        <v>1227</v>
      </c>
      <c r="I7" s="263" t="s">
        <v>1228</v>
      </c>
      <c r="J7" s="263" t="s">
        <v>1229</v>
      </c>
      <c r="K7" s="129"/>
      <c r="L7" s="129"/>
      <c r="M7" s="129"/>
    </row>
    <row r="8" spans="1:27" s="128" customFormat="1" ht="48">
      <c r="A8" s="258" t="s">
        <v>553</v>
      </c>
      <c r="B8" s="258"/>
      <c r="C8" s="258"/>
      <c r="D8" s="258"/>
      <c r="E8" s="264" t="s">
        <v>1230</v>
      </c>
      <c r="F8" s="264" t="s">
        <v>1231</v>
      </c>
      <c r="G8" s="264" t="s">
        <v>1232</v>
      </c>
      <c r="H8" s="264" t="s">
        <v>1233</v>
      </c>
      <c r="I8" s="264" t="s">
        <v>1234</v>
      </c>
      <c r="J8" s="264" t="s">
        <v>1235</v>
      </c>
      <c r="K8" s="265"/>
      <c r="L8" s="265"/>
      <c r="M8" s="265"/>
    </row>
    <row r="9" spans="1:27" s="128" customFormat="1" ht="87.6" customHeight="1">
      <c r="A9" s="258" t="s">
        <v>96</v>
      </c>
      <c r="B9" s="258"/>
      <c r="C9" s="258"/>
      <c r="D9" s="258"/>
      <c r="E9" s="264" t="s">
        <v>1236</v>
      </c>
      <c r="F9" s="264" t="s">
        <v>1237</v>
      </c>
      <c r="G9" s="264" t="s">
        <v>1238</v>
      </c>
      <c r="H9" s="264" t="s">
        <v>1239</v>
      </c>
      <c r="I9" s="264" t="s">
        <v>1240</v>
      </c>
      <c r="J9" s="264" t="s">
        <v>1241</v>
      </c>
      <c r="K9" s="265"/>
      <c r="L9" s="265"/>
      <c r="M9" s="265"/>
    </row>
    <row r="10" spans="1:27" s="128" customFormat="1" ht="96">
      <c r="A10" s="122" t="s">
        <v>574</v>
      </c>
      <c r="B10" s="171"/>
      <c r="C10" s="171"/>
      <c r="D10" s="171"/>
      <c r="E10" s="266" t="s">
        <v>1242</v>
      </c>
      <c r="F10" s="267" t="s">
        <v>1243</v>
      </c>
      <c r="G10" s="267" t="s">
        <v>1244</v>
      </c>
      <c r="H10" s="267" t="s">
        <v>1245</v>
      </c>
      <c r="I10" s="267" t="s">
        <v>1246</v>
      </c>
      <c r="J10" s="267" t="s">
        <v>1247</v>
      </c>
      <c r="K10" s="265"/>
      <c r="L10" s="265"/>
      <c r="M10" s="265"/>
    </row>
    <row r="11" spans="1:27" s="128" customFormat="1" ht="96">
      <c r="A11" s="268" t="s">
        <v>85</v>
      </c>
      <c r="B11" s="268"/>
      <c r="C11" s="268"/>
      <c r="D11" s="268"/>
      <c r="E11" s="266" t="s">
        <v>1248</v>
      </c>
      <c r="F11" s="267" t="s">
        <v>1249</v>
      </c>
      <c r="G11" s="267" t="s">
        <v>1250</v>
      </c>
      <c r="H11" s="267" t="s">
        <v>1251</v>
      </c>
      <c r="I11" s="267" t="s">
        <v>1252</v>
      </c>
      <c r="J11" s="267" t="s">
        <v>1253</v>
      </c>
      <c r="K11" s="265"/>
      <c r="L11" s="265"/>
      <c r="M11" s="265"/>
      <c r="N11" s="131"/>
      <c r="O11" s="131"/>
      <c r="P11" s="131"/>
    </row>
    <row r="12" spans="1:27" s="128" customFormat="1" ht="15" customHeight="1"/>
    <row r="13" spans="1:27" s="128" customFormat="1" ht="15" customHeight="1"/>
    <row r="14" spans="1:27" s="128" customFormat="1" ht="15" customHeight="1"/>
    <row r="15" spans="1:27" customFormat="1" ht="14.4">
      <c r="A15" t="s">
        <v>443</v>
      </c>
      <c r="B15" t="s">
        <v>104</v>
      </c>
      <c r="C15" t="s">
        <v>105</v>
      </c>
      <c r="D15" t="s">
        <v>442</v>
      </c>
      <c r="E15" t="s">
        <v>294</v>
      </c>
      <c r="F15" t="s">
        <v>295</v>
      </c>
      <c r="G15" t="s">
        <v>296</v>
      </c>
      <c r="H15" t="s">
        <v>297</v>
      </c>
      <c r="I15" t="s">
        <v>298</v>
      </c>
      <c r="J15" t="s">
        <v>300</v>
      </c>
    </row>
    <row r="16" spans="1:27" s="132" customFormat="1" ht="14.4">
      <c r="A16" t="s">
        <v>536</v>
      </c>
      <c r="B16" s="15" t="s">
        <v>104</v>
      </c>
      <c r="C16" s="15" t="str">
        <f>HYPERLINK("02-项目级\P2-Qcubic to MySQL数据同步工具 V1.0\01-生存周期\03-项目策划\02-估算工作书 (QCUBIC-SJTB-PLAN-Evaluate)V1.2-engl.xlsx", "engl")</f>
        <v>engl</v>
      </c>
      <c r="D16"/>
      <c r="E16" t="s">
        <v>426</v>
      </c>
      <c r="F16"/>
      <c r="G16" t="s">
        <v>426</v>
      </c>
      <c r="H16" t="s">
        <v>426</v>
      </c>
      <c r="I16"/>
      <c r="J16"/>
      <c r="K16"/>
      <c r="L16"/>
      <c r="M16"/>
      <c r="N16"/>
      <c r="O16"/>
      <c r="P16"/>
      <c r="Q16"/>
      <c r="R16"/>
      <c r="S16"/>
      <c r="T16"/>
      <c r="U16"/>
      <c r="V16"/>
      <c r="W16"/>
      <c r="X16"/>
      <c r="Y16"/>
      <c r="Z16"/>
      <c r="AA16"/>
    </row>
    <row r="17" spans="1:27" s="132" customFormat="1" ht="14.4">
      <c r="A17" t="s">
        <v>536</v>
      </c>
      <c r="B17" s="15" t="s">
        <v>104</v>
      </c>
      <c r="C17" s="15" t="str">
        <f>HYPERLINK("02-项目级\P2-Qcubic to MySQL数据同步工具 V1.0\02-全程管理\03-度量分析\02-项目度量数据表(QCUBIC-SJTB-MPM-datasheet)V1.0-engl.xlsx", "engl")</f>
        <v>engl</v>
      </c>
      <c r="D17"/>
      <c r="E17"/>
      <c r="F17" t="s">
        <v>426</v>
      </c>
      <c r="G17"/>
      <c r="H17"/>
      <c r="I17"/>
      <c r="J17"/>
      <c r="K17"/>
      <c r="L17"/>
      <c r="M17"/>
      <c r="N17"/>
      <c r="O17"/>
      <c r="P17"/>
      <c r="Q17"/>
      <c r="R17"/>
      <c r="S17"/>
      <c r="T17"/>
      <c r="U17"/>
      <c r="V17"/>
      <c r="W17"/>
      <c r="X17"/>
      <c r="Y17"/>
      <c r="Z17"/>
      <c r="AA17"/>
    </row>
    <row r="18" spans="1:27" s="132" customFormat="1" ht="14.4">
      <c r="A18" t="s">
        <v>536</v>
      </c>
      <c r="B18" s="15" t="s">
        <v>104</v>
      </c>
      <c r="C18" s="15" t="str">
        <f>HYPERLINK("02-项目级\P2-Qcubic to MySQL数据同步工具 V1.0\01-生存周期\03-项目策划\03-项目计划书 (QCUBIC-SJTB-PLAN-Plan)V1.0-engl.docx", "engl")</f>
        <v>engl</v>
      </c>
      <c r="D18"/>
      <c r="E18"/>
      <c r="F18" t="s">
        <v>426</v>
      </c>
      <c r="G18"/>
      <c r="H18"/>
      <c r="I18"/>
      <c r="J18"/>
      <c r="K18"/>
      <c r="L18"/>
      <c r="M18"/>
      <c r="N18"/>
      <c r="O18"/>
      <c r="P18"/>
      <c r="Q18"/>
      <c r="R18"/>
      <c r="S18"/>
      <c r="T18"/>
      <c r="U18"/>
      <c r="V18"/>
      <c r="W18"/>
      <c r="X18"/>
      <c r="Y18"/>
      <c r="Z18"/>
      <c r="AA18"/>
    </row>
    <row r="19" spans="1:27" s="132" customFormat="1" ht="14.4">
      <c r="A19" t="s">
        <v>536</v>
      </c>
      <c r="B19" s="15" t="s">
        <v>104</v>
      </c>
      <c r="C19" s="15" t="str">
        <f>HYPERLINK("02-项目级\P2-Qcubic to MySQL数据同步工具 V1.0\02-全程管理\01-项目监控\03-周会议纪要\01-会议记录(QCUBIC-SJTB-meetingrcd-20220107)V1.0-engl.docx", "engl")</f>
        <v>engl</v>
      </c>
      <c r="D19"/>
      <c r="E19"/>
      <c r="F19"/>
      <c r="G19"/>
      <c r="H19" t="s">
        <v>426</v>
      </c>
      <c r="I19"/>
      <c r="J19"/>
      <c r="K19"/>
      <c r="L19"/>
      <c r="M19"/>
      <c r="N19"/>
      <c r="O19"/>
      <c r="P19"/>
      <c r="Q19"/>
      <c r="R19"/>
      <c r="S19"/>
      <c r="T19"/>
      <c r="U19"/>
      <c r="V19"/>
      <c r="W19"/>
      <c r="X19"/>
      <c r="Y19"/>
      <c r="Z19"/>
      <c r="AA19"/>
    </row>
    <row r="20" spans="1:27" s="132" customFormat="1" ht="14.4">
      <c r="A20" t="s">
        <v>536</v>
      </c>
      <c r="B20" s="15" t="s">
        <v>104</v>
      </c>
      <c r="C20" s="15" t="str">
        <f>HYPERLINK("01-组织级\01-组织财富库\01-标准过程文件库\01-项目管理规范\03-项目估算\估算指南(QCUBIC-SPI-EST-Guid-Evaluate)V1.2-engl.docx", "engl")</f>
        <v>engl</v>
      </c>
      <c r="D20"/>
      <c r="E20"/>
      <c r="F20"/>
      <c r="G20"/>
      <c r="H20"/>
      <c r="I20" t="s">
        <v>426</v>
      </c>
      <c r="J20"/>
      <c r="K20"/>
      <c r="L20"/>
      <c r="M20"/>
      <c r="N20"/>
      <c r="O20"/>
      <c r="P20"/>
      <c r="Q20"/>
      <c r="R20"/>
      <c r="S20"/>
      <c r="T20"/>
      <c r="U20"/>
      <c r="V20"/>
      <c r="W20"/>
      <c r="X20"/>
      <c r="Y20"/>
      <c r="Z20"/>
      <c r="AA20"/>
    </row>
    <row r="21" spans="1:27" s="132" customFormat="1" ht="14.4">
      <c r="A21" t="s">
        <v>536</v>
      </c>
      <c r="B21" s="15" t="s">
        <v>104</v>
      </c>
      <c r="C21" s="15" t="str">
        <f>HYPERLINK("01-组织级\02-组织工作库\06-度量\组织度量表(QCUBIC-SPI-MPM-Tem-datasheet)V1.3-engl.xlsx", "engl")</f>
        <v>engl</v>
      </c>
      <c r="D21"/>
      <c r="E21"/>
      <c r="F21"/>
      <c r="G21"/>
      <c r="H21"/>
      <c r="I21"/>
      <c r="J21" t="s">
        <v>426</v>
      </c>
      <c r="K21"/>
      <c r="L21"/>
      <c r="M21"/>
      <c r="N21"/>
      <c r="O21"/>
      <c r="P21"/>
      <c r="Q21"/>
      <c r="R21"/>
      <c r="S21"/>
      <c r="T21"/>
      <c r="U21"/>
      <c r="V21"/>
      <c r="W21"/>
      <c r="X21"/>
      <c r="Y21"/>
      <c r="Z21"/>
      <c r="AA21"/>
    </row>
    <row r="22" spans="1:27" s="132" customFormat="1" ht="14.4">
      <c r="A22" t="s">
        <v>536</v>
      </c>
      <c r="B22" s="15" t="s">
        <v>104</v>
      </c>
      <c r="C22"/>
      <c r="D22"/>
      <c r="E22"/>
      <c r="F22"/>
      <c r="G22"/>
      <c r="H22"/>
      <c r="I22"/>
      <c r="J22" t="s">
        <v>426</v>
      </c>
      <c r="K22"/>
      <c r="L22"/>
      <c r="M22"/>
      <c r="N22"/>
      <c r="O22"/>
      <c r="P22"/>
      <c r="Q22"/>
      <c r="R22"/>
      <c r="S22"/>
      <c r="T22"/>
      <c r="U22"/>
      <c r="V22"/>
      <c r="W22"/>
      <c r="X22"/>
      <c r="Y22"/>
      <c r="Z22"/>
      <c r="AA22"/>
    </row>
    <row r="23" spans="1:27" s="128" customFormat="1" ht="14.4">
      <c r="A23"/>
      <c r="B23"/>
      <c r="C23"/>
      <c r="D23"/>
      <c r="E23"/>
      <c r="F23"/>
      <c r="G23"/>
      <c r="H23"/>
      <c r="I23"/>
      <c r="J23"/>
      <c r="K23"/>
      <c r="L23"/>
      <c r="M23"/>
      <c r="N23"/>
      <c r="O23"/>
      <c r="P23"/>
      <c r="Q23"/>
      <c r="R23"/>
      <c r="S23"/>
      <c r="T23"/>
      <c r="U23"/>
      <c r="V23"/>
      <c r="W23"/>
      <c r="X23"/>
      <c r="Y23"/>
      <c r="Z23"/>
      <c r="AA23"/>
    </row>
    <row r="24" spans="1:27" s="128" customFormat="1" ht="14.4">
      <c r="A24"/>
      <c r="B24"/>
      <c r="C24"/>
      <c r="D24"/>
      <c r="E24"/>
      <c r="F24"/>
      <c r="G24"/>
      <c r="H24"/>
      <c r="I24"/>
      <c r="J24"/>
      <c r="K24"/>
      <c r="L24"/>
      <c r="M24"/>
      <c r="N24"/>
      <c r="O24"/>
      <c r="P24"/>
      <c r="Q24"/>
      <c r="R24"/>
      <c r="S24"/>
      <c r="T24"/>
      <c r="U24"/>
      <c r="V24"/>
      <c r="W24"/>
      <c r="X24"/>
      <c r="Y24"/>
      <c r="Z24"/>
      <c r="AA24"/>
    </row>
    <row r="25" spans="1:27" s="128" customFormat="1" ht="14.4">
      <c r="A25"/>
      <c r="B25"/>
      <c r="C25"/>
      <c r="D25"/>
      <c r="E25"/>
      <c r="F25"/>
      <c r="G25"/>
      <c r="H25"/>
      <c r="I25"/>
      <c r="J25"/>
      <c r="K25"/>
      <c r="L25"/>
      <c r="M25"/>
      <c r="N25"/>
      <c r="O25"/>
      <c r="P25"/>
      <c r="Q25"/>
      <c r="R25"/>
      <c r="S25"/>
      <c r="T25"/>
      <c r="U25"/>
      <c r="V25"/>
      <c r="W25"/>
      <c r="X25"/>
      <c r="Y25"/>
      <c r="Z25"/>
      <c r="AA25"/>
    </row>
    <row r="26" spans="1:27" s="128" customFormat="1" ht="14.4">
      <c r="A26"/>
      <c r="B26"/>
      <c r="C26"/>
      <c r="D26"/>
      <c r="E26"/>
      <c r="F26"/>
      <c r="G26"/>
      <c r="H26"/>
      <c r="I26"/>
      <c r="J26"/>
      <c r="K26"/>
      <c r="L26"/>
      <c r="M26"/>
      <c r="N26"/>
      <c r="O26"/>
      <c r="P26"/>
      <c r="Q26"/>
      <c r="R26"/>
      <c r="S26"/>
      <c r="T26"/>
      <c r="U26"/>
      <c r="V26"/>
      <c r="W26"/>
      <c r="X26"/>
      <c r="Y26"/>
      <c r="Z26"/>
      <c r="AA26"/>
    </row>
    <row r="27" spans="1:27" s="128" customFormat="1" ht="14.4">
      <c r="A27"/>
      <c r="B27"/>
      <c r="C27"/>
      <c r="D27"/>
      <c r="E27"/>
      <c r="F27"/>
      <c r="G27"/>
      <c r="H27"/>
      <c r="I27"/>
      <c r="J27"/>
      <c r="K27"/>
      <c r="L27"/>
      <c r="M27"/>
      <c r="N27"/>
      <c r="O27"/>
      <c r="P27"/>
      <c r="Q27"/>
      <c r="R27"/>
      <c r="S27"/>
      <c r="T27"/>
      <c r="U27"/>
      <c r="V27"/>
      <c r="W27"/>
      <c r="X27"/>
      <c r="Y27"/>
      <c r="Z27"/>
      <c r="AA27"/>
    </row>
    <row r="28" spans="1:27" s="132" customFormat="1" ht="14.4">
      <c r="A28"/>
      <c r="B28"/>
      <c r="C28"/>
      <c r="D28"/>
      <c r="E28"/>
      <c r="F28"/>
      <c r="G28"/>
      <c r="H28"/>
      <c r="I28"/>
      <c r="J28"/>
      <c r="K28"/>
      <c r="L28"/>
      <c r="M28"/>
      <c r="N28"/>
      <c r="O28"/>
      <c r="P28"/>
      <c r="Q28"/>
      <c r="R28"/>
      <c r="S28"/>
      <c r="T28"/>
      <c r="U28"/>
      <c r="V28"/>
      <c r="W28"/>
      <c r="X28"/>
      <c r="Y28"/>
      <c r="Z28"/>
      <c r="AA28"/>
    </row>
    <row r="29" spans="1:27" s="132" customFormat="1" ht="14.4">
      <c r="A29"/>
      <c r="B29"/>
      <c r="C29"/>
      <c r="D29"/>
      <c r="E29"/>
      <c r="F29"/>
      <c r="G29"/>
      <c r="H29"/>
      <c r="I29"/>
      <c r="J29"/>
      <c r="K29"/>
      <c r="L29"/>
      <c r="M29"/>
      <c r="N29"/>
      <c r="O29"/>
      <c r="P29"/>
      <c r="Q29"/>
      <c r="R29"/>
      <c r="S29"/>
      <c r="T29"/>
      <c r="U29"/>
      <c r="V29"/>
      <c r="W29"/>
      <c r="X29"/>
      <c r="Y29"/>
      <c r="Z29"/>
      <c r="AA29"/>
    </row>
    <row r="30" spans="1:27" s="132" customFormat="1" ht="14.4">
      <c r="A30"/>
      <c r="B30"/>
      <c r="C30"/>
      <c r="D30"/>
      <c r="E30"/>
      <c r="F30"/>
      <c r="G30"/>
      <c r="H30"/>
      <c r="I30"/>
      <c r="J30"/>
      <c r="K30"/>
      <c r="L30"/>
      <c r="M30"/>
      <c r="N30"/>
      <c r="O30"/>
      <c r="P30"/>
      <c r="Q30"/>
      <c r="R30"/>
      <c r="S30"/>
      <c r="T30"/>
      <c r="U30"/>
      <c r="V30"/>
      <c r="W30"/>
      <c r="X30"/>
      <c r="Y30"/>
      <c r="Z30"/>
      <c r="AA30"/>
    </row>
    <row r="31" spans="1:27" s="132" customFormat="1" ht="14.4">
      <c r="A31"/>
      <c r="B31"/>
      <c r="C31"/>
      <c r="D31"/>
      <c r="E31"/>
      <c r="F31"/>
      <c r="G31"/>
      <c r="H31"/>
      <c r="I31"/>
      <c r="J31"/>
      <c r="K31"/>
      <c r="L31"/>
      <c r="M31"/>
      <c r="N31"/>
      <c r="O31"/>
      <c r="P31"/>
      <c r="Q31"/>
      <c r="R31"/>
      <c r="S31"/>
      <c r="T31"/>
      <c r="U31"/>
      <c r="V31"/>
      <c r="W31"/>
      <c r="X31"/>
      <c r="Y31"/>
      <c r="Z31"/>
      <c r="AA31"/>
    </row>
    <row r="32" spans="1:27" s="132" customFormat="1"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sheetProtection selectLockedCells="1" selectUnlockedCells="1"/>
  <phoneticPr fontId="72" type="noConversion"/>
  <hyperlinks>
    <hyperlink ref="B16" r:id="rId1" xr:uid="{1DE07B82-4087-4BA2-8847-907D03B2EAA0}"/>
    <hyperlink ref="B17" r:id="rId2" xr:uid="{C674F173-BCC5-4027-9E41-9B47C880A8C7}"/>
    <hyperlink ref="B18" r:id="rId3" xr:uid="{46396D84-348B-4D20-A5F7-F1BB24A40206}"/>
    <hyperlink ref="B19" r:id="rId4" xr:uid="{C3A13020-F4F9-420A-B386-96C0C0CBE7F3}"/>
    <hyperlink ref="B20" r:id="rId5" xr:uid="{42E12D04-6F44-4E52-8F6E-7EF4D93FA02D}"/>
    <hyperlink ref="B21" r:id="rId6" xr:uid="{AF850C91-DB2B-40D1-AD3D-4C154273337E}"/>
    <hyperlink ref="B22" r:id="rId7" xr:uid="{7D9FF511-7AA0-44E1-AB64-C8D5BCFAB42D}"/>
  </hyperlinks>
  <pageMargins left="0.7" right="0.7" top="0.75" bottom="0.75" header="0.3" footer="0.3"/>
  <pageSetup orientation="portrait" r:id="rId8"/>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A270-11F0-40A0-8EF1-47B1AC7F2FC8}">
  <sheetPr codeName="Sheet23">
    <tabColor rgb="FF0097CC"/>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2.33203125" style="117" customWidth="1"/>
    <col min="2" max="4" width="7.88671875" style="117" customWidth="1"/>
    <col min="5" max="10" width="15.6640625" style="117" customWidth="1"/>
    <col min="11" max="18" width="16.33203125" style="117" customWidth="1"/>
    <col min="19" max="19" width="16.33203125" style="106" customWidth="1"/>
    <col min="20" max="21" width="16.6640625" style="106" customWidth="1"/>
    <col min="22" max="16384" width="8.88671875" style="117"/>
  </cols>
  <sheetData>
    <row r="1" spans="1:27" s="168" customFormat="1" ht="18">
      <c r="A1" s="105" t="s">
        <v>1254</v>
      </c>
      <c r="B1" s="105"/>
      <c r="C1" s="105"/>
      <c r="D1" s="105"/>
      <c r="E1" s="165"/>
      <c r="F1" s="165"/>
      <c r="G1" s="270"/>
      <c r="S1" s="165"/>
      <c r="T1" s="165"/>
      <c r="U1" s="165"/>
    </row>
    <row r="2" spans="1:27">
      <c r="A2" s="110" t="s">
        <v>1255</v>
      </c>
      <c r="B2" s="110"/>
      <c r="C2" s="110"/>
      <c r="D2" s="110"/>
      <c r="E2" s="107" t="s">
        <v>1256</v>
      </c>
      <c r="F2" s="107"/>
      <c r="G2" s="136"/>
    </row>
    <row r="3" spans="1:27">
      <c r="A3" s="107" t="s">
        <v>1257</v>
      </c>
      <c r="B3" s="107"/>
      <c r="C3" s="107"/>
      <c r="D3" s="107"/>
      <c r="E3" s="107" t="s">
        <v>1258</v>
      </c>
      <c r="F3" s="107"/>
      <c r="G3" s="136"/>
    </row>
    <row r="4" spans="1:27">
      <c r="A4" s="111"/>
      <c r="B4" s="111"/>
      <c r="C4" s="111"/>
      <c r="D4" s="111"/>
      <c r="E4" s="112" t="s">
        <v>47</v>
      </c>
      <c r="F4" s="113" t="s">
        <v>54</v>
      </c>
      <c r="G4" s="113"/>
      <c r="H4" s="116" t="s">
        <v>56</v>
      </c>
      <c r="I4" s="116"/>
      <c r="J4" s="150"/>
      <c r="K4" s="150"/>
      <c r="L4" s="150"/>
      <c r="M4" s="173" t="s">
        <v>57</v>
      </c>
      <c r="N4" s="271"/>
      <c r="O4" s="195" t="s">
        <v>58</v>
      </c>
      <c r="S4" s="107"/>
      <c r="T4" s="107"/>
      <c r="U4" s="110"/>
    </row>
    <row r="5" spans="1:27">
      <c r="A5" s="118"/>
      <c r="B5" s="118"/>
      <c r="C5" s="118"/>
      <c r="D5" s="118"/>
      <c r="E5" s="119" t="s">
        <v>539</v>
      </c>
      <c r="F5" s="120" t="s">
        <v>540</v>
      </c>
      <c r="G5" s="120"/>
      <c r="H5" s="116" t="s">
        <v>541</v>
      </c>
      <c r="I5" s="169"/>
      <c r="J5" s="150"/>
      <c r="K5" s="150"/>
      <c r="L5" s="150"/>
      <c r="M5" s="174" t="s">
        <v>805</v>
      </c>
      <c r="N5" s="272"/>
      <c r="O5" s="198" t="s">
        <v>912</v>
      </c>
      <c r="P5" s="118"/>
      <c r="Q5" s="118"/>
      <c r="R5" s="118"/>
      <c r="S5" s="107"/>
      <c r="T5" s="107"/>
      <c r="U5" s="110"/>
      <c r="V5" s="118"/>
    </row>
    <row r="6" spans="1:27">
      <c r="A6" s="122"/>
      <c r="B6" s="122"/>
      <c r="C6" s="122"/>
      <c r="D6" s="122"/>
      <c r="E6" s="3" t="s">
        <v>336</v>
      </c>
      <c r="F6" s="90" t="s">
        <v>337</v>
      </c>
      <c r="G6" s="90" t="s">
        <v>338</v>
      </c>
      <c r="H6" s="91" t="s">
        <v>339</v>
      </c>
      <c r="I6" s="91" t="s">
        <v>340</v>
      </c>
      <c r="J6" s="91" t="s">
        <v>341</v>
      </c>
      <c r="K6" s="91" t="s">
        <v>342</v>
      </c>
      <c r="L6" s="91" t="s">
        <v>343</v>
      </c>
      <c r="M6" s="176" t="s">
        <v>344</v>
      </c>
      <c r="N6" s="201" t="s">
        <v>345</v>
      </c>
      <c r="O6" s="273" t="s">
        <v>346</v>
      </c>
      <c r="P6" s="93"/>
      <c r="Q6" s="93"/>
      <c r="R6" s="93"/>
    </row>
    <row r="7" spans="1:27" ht="138">
      <c r="A7" s="124" t="s">
        <v>643</v>
      </c>
      <c r="B7" s="124"/>
      <c r="C7" s="124"/>
      <c r="D7" s="124"/>
      <c r="E7" s="97" t="s">
        <v>1259</v>
      </c>
      <c r="F7" s="97" t="s">
        <v>1260</v>
      </c>
      <c r="G7" s="97" t="s">
        <v>1261</v>
      </c>
      <c r="H7" s="97" t="s">
        <v>1262</v>
      </c>
      <c r="I7" s="97" t="s">
        <v>1263</v>
      </c>
      <c r="J7" s="97" t="s">
        <v>1264</v>
      </c>
      <c r="K7" s="97" t="s">
        <v>1265</v>
      </c>
      <c r="L7" s="97" t="s">
        <v>1266</v>
      </c>
      <c r="M7" s="204" t="s">
        <v>1267</v>
      </c>
      <c r="N7" s="97" t="s">
        <v>1268</v>
      </c>
      <c r="O7" s="274" t="s">
        <v>1269</v>
      </c>
      <c r="P7" s="93"/>
      <c r="Q7" s="93"/>
      <c r="R7" s="275"/>
      <c r="S7" s="276"/>
      <c r="T7" s="276"/>
      <c r="U7" s="276"/>
    </row>
    <row r="8" spans="1:27" ht="120">
      <c r="A8" s="122" t="s">
        <v>553</v>
      </c>
      <c r="B8" s="122"/>
      <c r="C8" s="122"/>
      <c r="D8" s="122"/>
      <c r="E8" s="98" t="s">
        <v>1270</v>
      </c>
      <c r="F8" s="98" t="s">
        <v>1271</v>
      </c>
      <c r="G8" s="98" t="s">
        <v>1272</v>
      </c>
      <c r="H8" s="98" t="s">
        <v>1273</v>
      </c>
      <c r="I8" s="98" t="s">
        <v>1274</v>
      </c>
      <c r="J8" s="98" t="s">
        <v>1275</v>
      </c>
      <c r="K8" s="98" t="s">
        <v>1276</v>
      </c>
      <c r="L8" s="98" t="s">
        <v>1277</v>
      </c>
      <c r="M8" s="207" t="s">
        <v>1278</v>
      </c>
      <c r="N8" s="98" t="s">
        <v>1279</v>
      </c>
      <c r="O8" s="208" t="s">
        <v>1280</v>
      </c>
      <c r="P8" s="99"/>
      <c r="Q8" s="99"/>
      <c r="R8" s="99"/>
    </row>
    <row r="9" spans="1:27" ht="168">
      <c r="A9" s="122" t="s">
        <v>96</v>
      </c>
      <c r="B9" s="122"/>
      <c r="C9" s="122"/>
      <c r="D9" s="122"/>
      <c r="E9" s="125" t="s">
        <v>1281</v>
      </c>
      <c r="F9" s="98" t="s">
        <v>1282</v>
      </c>
      <c r="G9" s="98" t="s">
        <v>1283</v>
      </c>
      <c r="H9" s="98" t="s">
        <v>1284</v>
      </c>
      <c r="I9" s="98" t="s">
        <v>1285</v>
      </c>
      <c r="J9" s="98" t="s">
        <v>1286</v>
      </c>
      <c r="K9" s="98" t="s">
        <v>1287</v>
      </c>
      <c r="L9" s="98" t="s">
        <v>1288</v>
      </c>
      <c r="M9" s="207" t="s">
        <v>1289</v>
      </c>
      <c r="N9" s="98" t="s">
        <v>1290</v>
      </c>
      <c r="O9" s="208" t="s">
        <v>1291</v>
      </c>
      <c r="P9" s="99"/>
      <c r="Q9" s="99"/>
      <c r="R9" s="99"/>
    </row>
    <row r="10" spans="1:27" ht="165.6">
      <c r="A10" s="122" t="s">
        <v>574</v>
      </c>
      <c r="B10" s="122"/>
      <c r="C10" s="122"/>
      <c r="D10" s="122"/>
      <c r="E10" s="102" t="s">
        <v>1292</v>
      </c>
      <c r="F10" s="102" t="s">
        <v>1293</v>
      </c>
      <c r="G10" s="102" t="s">
        <v>1294</v>
      </c>
      <c r="H10" s="102" t="s">
        <v>1295</v>
      </c>
      <c r="I10" s="102" t="s">
        <v>1296</v>
      </c>
      <c r="J10" s="102" t="s">
        <v>512</v>
      </c>
      <c r="K10" s="102" t="s">
        <v>1297</v>
      </c>
      <c r="L10" s="102" t="s">
        <v>1298</v>
      </c>
      <c r="M10" s="209" t="s">
        <v>1299</v>
      </c>
      <c r="N10" s="102" t="s">
        <v>1300</v>
      </c>
      <c r="O10" s="277" t="s">
        <v>1301</v>
      </c>
      <c r="P10" s="152"/>
      <c r="Q10" s="152"/>
      <c r="R10" s="152"/>
    </row>
    <row r="11" spans="1:27" ht="87.6" customHeight="1">
      <c r="A11" s="135" t="s">
        <v>85</v>
      </c>
      <c r="B11" s="135"/>
      <c r="C11" s="135"/>
      <c r="D11" s="135"/>
      <c r="E11" s="102" t="s">
        <v>1302</v>
      </c>
      <c r="F11" s="102" t="s">
        <v>1303</v>
      </c>
      <c r="G11" s="102" t="s">
        <v>1304</v>
      </c>
      <c r="H11" s="102" t="s">
        <v>1305</v>
      </c>
      <c r="I11" s="102" t="s">
        <v>1306</v>
      </c>
      <c r="J11" s="102" t="s">
        <v>1307</v>
      </c>
      <c r="K11" s="102" t="s">
        <v>1308</v>
      </c>
      <c r="L11" s="102" t="s">
        <v>1309</v>
      </c>
      <c r="M11" s="209" t="s">
        <v>1299</v>
      </c>
      <c r="N11" s="102" t="s">
        <v>1300</v>
      </c>
      <c r="O11" s="277" t="s">
        <v>1301</v>
      </c>
      <c r="P11" s="152"/>
      <c r="Q11" s="152"/>
      <c r="R11" s="152"/>
    </row>
    <row r="13" spans="1:27">
      <c r="M13" s="278"/>
      <c r="N13" s="278"/>
      <c r="O13" s="278"/>
      <c r="P13" s="278"/>
      <c r="Q13" s="278"/>
      <c r="R13" s="278"/>
    </row>
    <row r="14" spans="1:27">
      <c r="M14" s="154"/>
      <c r="N14" s="154"/>
      <c r="O14" s="155"/>
    </row>
    <row r="15" spans="1:27" customFormat="1">
      <c r="A15" t="s">
        <v>443</v>
      </c>
      <c r="B15" t="s">
        <v>104</v>
      </c>
      <c r="C15" s="295" t="s">
        <v>105</v>
      </c>
      <c r="D15" s="295" t="s">
        <v>442</v>
      </c>
      <c r="E15" s="14" t="s">
        <v>336</v>
      </c>
      <c r="F15" s="14" t="s">
        <v>337</v>
      </c>
      <c r="G15" s="14" t="s">
        <v>338</v>
      </c>
      <c r="H15" s="14" t="s">
        <v>339</v>
      </c>
      <c r="I15" s="14" t="s">
        <v>340</v>
      </c>
      <c r="J15" s="14" t="s">
        <v>341</v>
      </c>
      <c r="K15" s="14" t="s">
        <v>342</v>
      </c>
      <c r="L15" s="14" t="s">
        <v>343</v>
      </c>
      <c r="M15" s="14" t="s">
        <v>344</v>
      </c>
      <c r="N15" s="14" t="s">
        <v>345</v>
      </c>
      <c r="O15" s="297" t="s">
        <v>346</v>
      </c>
      <c r="P15" s="117"/>
      <c r="Q15" s="297"/>
      <c r="R15" s="297"/>
      <c r="S15" s="106"/>
    </row>
    <row r="16" spans="1:27">
      <c r="A16" t="s">
        <v>536</v>
      </c>
      <c r="B16" s="15" t="s">
        <v>104</v>
      </c>
      <c r="C16" s="15" t="str">
        <f>HYPERLINK("01-组织级\02-组织工作库\06-度量\原因分析和解决方案报告(QCUBIC-SPI-CAR_Data quality analysis)V1.0-engl.xlsx", "engl")</f>
        <v>engl</v>
      </c>
      <c r="D16"/>
      <c r="E16" t="s">
        <v>426</v>
      </c>
      <c r="F16" t="s">
        <v>426</v>
      </c>
      <c r="G16" t="s">
        <v>426</v>
      </c>
      <c r="H16" t="s">
        <v>426</v>
      </c>
      <c r="I16" t="s">
        <v>426</v>
      </c>
      <c r="J16" t="s">
        <v>426</v>
      </c>
      <c r="K16" t="s">
        <v>426</v>
      </c>
      <c r="L16" t="s">
        <v>426</v>
      </c>
      <c r="M16"/>
      <c r="N16"/>
      <c r="O16"/>
      <c r="P16"/>
      <c r="Q16"/>
      <c r="R16"/>
      <c r="S16"/>
      <c r="T16"/>
      <c r="U16"/>
      <c r="V16"/>
      <c r="W16"/>
      <c r="X16"/>
      <c r="Y16"/>
      <c r="Z16"/>
      <c r="AA16"/>
    </row>
    <row r="17" spans="1:27">
      <c r="A17" t="s">
        <v>536</v>
      </c>
      <c r="B17" s="15" t="s">
        <v>104</v>
      </c>
      <c r="C17" s="15" t="str">
        <f>HYPERLINK("01-组织级\01-组织财富库\01-标准过程文件库\03-支持类\07-原因分析和解决过程\原因分析和解决过程(QCUBIC-SPI-CAR_Pro)V1.2-engl.docx", "engl")</f>
        <v>engl</v>
      </c>
      <c r="D17"/>
      <c r="E17" t="s">
        <v>426</v>
      </c>
      <c r="F17" t="s">
        <v>426</v>
      </c>
      <c r="G17" t="s">
        <v>426</v>
      </c>
      <c r="H17" t="s">
        <v>426</v>
      </c>
      <c r="I17" t="s">
        <v>426</v>
      </c>
      <c r="J17" t="s">
        <v>426</v>
      </c>
      <c r="K17" t="s">
        <v>426</v>
      </c>
      <c r="L17" t="s">
        <v>426</v>
      </c>
      <c r="M17"/>
      <c r="N17"/>
      <c r="O17"/>
      <c r="P17"/>
      <c r="Q17"/>
      <c r="R17"/>
      <c r="S17"/>
      <c r="T17"/>
      <c r="U17"/>
      <c r="V17"/>
      <c r="W17"/>
      <c r="X17"/>
      <c r="Y17"/>
      <c r="Z17"/>
      <c r="AA17"/>
    </row>
    <row r="18" spans="1:27">
      <c r="A18"/>
      <c r="B18"/>
      <c r="C18"/>
      <c r="D18"/>
      <c r="E18"/>
      <c r="F18"/>
      <c r="G18"/>
      <c r="H18"/>
      <c r="I18"/>
      <c r="J18"/>
      <c r="K18"/>
      <c r="L18"/>
      <c r="M18"/>
      <c r="N18"/>
      <c r="O18"/>
      <c r="P18"/>
      <c r="Q18"/>
      <c r="R18"/>
      <c r="S18"/>
      <c r="T18"/>
      <c r="U18"/>
      <c r="V18"/>
      <c r="W18"/>
      <c r="X18"/>
      <c r="Y18"/>
      <c r="Z18"/>
      <c r="AA18"/>
    </row>
    <row r="19" spans="1:27">
      <c r="A19"/>
      <c r="B19"/>
      <c r="C19"/>
      <c r="D19"/>
      <c r="E19"/>
      <c r="F19"/>
      <c r="G19"/>
      <c r="H19"/>
      <c r="I19"/>
      <c r="J19"/>
      <c r="K19"/>
      <c r="L19"/>
      <c r="M19"/>
      <c r="N19"/>
      <c r="O19"/>
      <c r="P19"/>
      <c r="Q19"/>
      <c r="R19"/>
      <c r="S19"/>
      <c r="T19"/>
      <c r="U19"/>
      <c r="V19"/>
      <c r="W19"/>
      <c r="X19"/>
      <c r="Y19"/>
      <c r="Z19"/>
      <c r="AA19"/>
    </row>
    <row r="20" spans="1:27">
      <c r="A20"/>
      <c r="B20"/>
      <c r="C20"/>
      <c r="D20"/>
      <c r="E20"/>
      <c r="F20"/>
      <c r="G20"/>
      <c r="H20"/>
      <c r="I20"/>
      <c r="J20"/>
      <c r="K20"/>
      <c r="L20"/>
      <c r="M20"/>
      <c r="N20"/>
      <c r="O20"/>
      <c r="P20"/>
      <c r="Q20"/>
      <c r="R20"/>
      <c r="S20"/>
      <c r="T20"/>
      <c r="U20"/>
      <c r="V20"/>
      <c r="W20"/>
      <c r="X20"/>
      <c r="Y20"/>
      <c r="Z20"/>
      <c r="AA20"/>
    </row>
    <row r="21" spans="1:27">
      <c r="A21"/>
      <c r="B21"/>
      <c r="C21"/>
      <c r="D21"/>
      <c r="E21"/>
      <c r="F21"/>
      <c r="G21"/>
      <c r="H21"/>
      <c r="I21"/>
      <c r="J21"/>
      <c r="K21"/>
      <c r="L21"/>
      <c r="M21"/>
      <c r="N21"/>
      <c r="O21"/>
      <c r="P21"/>
      <c r="Q21"/>
      <c r="R21"/>
      <c r="S21"/>
      <c r="T21"/>
      <c r="U21"/>
      <c r="V21"/>
      <c r="W21"/>
      <c r="X21"/>
      <c r="Y21"/>
      <c r="Z21"/>
      <c r="AA21"/>
    </row>
    <row r="22" spans="1:27">
      <c r="A22"/>
      <c r="B22"/>
      <c r="C22"/>
      <c r="D22"/>
      <c r="E22"/>
      <c r="F22"/>
      <c r="G22"/>
      <c r="H22"/>
      <c r="I22"/>
      <c r="J22"/>
      <c r="K22"/>
      <c r="L22"/>
      <c r="M22"/>
      <c r="N22"/>
      <c r="O22"/>
      <c r="P22"/>
      <c r="Q22"/>
      <c r="R22"/>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7F1C924F-B519-4E95-9025-78C8FDD32C3B}"/>
    <hyperlink ref="B17" r:id="rId2" xr:uid="{C24E0F42-0786-498F-9C59-C1EAA3B6AC6F}"/>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94B29-1534-4862-8927-F04DC5EEFCA8}">
  <sheetPr codeName="Sheet24">
    <tabColor rgb="FF007DC4"/>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1.44140625" style="118" customWidth="1"/>
    <col min="2" max="4" width="7.88671875" style="118" customWidth="1"/>
    <col min="5" max="6" width="15.6640625" style="118" customWidth="1"/>
    <col min="7" max="12" width="15.6640625" style="136" customWidth="1"/>
    <col min="13" max="13" width="81.6640625" style="136" bestFit="1" customWidth="1"/>
    <col min="14" max="14" width="3.6640625" style="136" customWidth="1"/>
    <col min="15" max="15" width="35.109375" style="136" bestFit="1" customWidth="1"/>
    <col min="16" max="16" width="78.44140625" style="118" customWidth="1"/>
    <col min="17" max="17" width="25.33203125" style="118" customWidth="1"/>
    <col min="18" max="16384" width="8.6640625" style="118"/>
  </cols>
  <sheetData>
    <row r="1" spans="1:27" s="137" customFormat="1" ht="18">
      <c r="A1" s="105" t="s">
        <v>1310</v>
      </c>
      <c r="B1" s="105"/>
      <c r="C1" s="105"/>
      <c r="D1" s="105"/>
      <c r="E1" s="106"/>
      <c r="F1" s="107"/>
      <c r="G1" s="136"/>
      <c r="H1" s="136"/>
      <c r="I1" s="136"/>
      <c r="J1" s="136"/>
      <c r="K1" s="136"/>
      <c r="L1" s="136"/>
      <c r="M1" s="136"/>
      <c r="N1" s="136"/>
      <c r="O1" s="136"/>
    </row>
    <row r="2" spans="1:27" s="138" customFormat="1">
      <c r="A2" s="110" t="s">
        <v>1255</v>
      </c>
      <c r="B2" s="110"/>
      <c r="C2" s="110"/>
      <c r="D2" s="110"/>
      <c r="E2" s="107" t="s">
        <v>1311</v>
      </c>
      <c r="F2" s="107"/>
      <c r="G2" s="136"/>
      <c r="H2" s="136"/>
      <c r="I2" s="136"/>
      <c r="J2" s="136"/>
      <c r="K2" s="136"/>
      <c r="L2" s="136"/>
      <c r="M2" s="136"/>
      <c r="N2" s="136"/>
      <c r="O2" s="136"/>
    </row>
    <row r="3" spans="1:27" s="139" customFormat="1">
      <c r="A3" s="107" t="s">
        <v>1257</v>
      </c>
      <c r="B3" s="107"/>
      <c r="C3" s="107"/>
      <c r="D3" s="107"/>
      <c r="E3" s="107" t="s">
        <v>1312</v>
      </c>
      <c r="F3" s="107"/>
      <c r="G3" s="136"/>
      <c r="H3" s="136"/>
      <c r="I3" s="136"/>
      <c r="J3" s="136"/>
      <c r="K3" s="136"/>
      <c r="L3" s="136"/>
      <c r="M3" s="136"/>
      <c r="N3" s="136"/>
      <c r="O3" s="136"/>
    </row>
    <row r="4" spans="1:27" s="138" customFormat="1" ht="14.4">
      <c r="A4" s="111"/>
      <c r="B4" s="111"/>
      <c r="C4" s="111"/>
      <c r="D4" s="111"/>
      <c r="E4" s="112" t="s">
        <v>47</v>
      </c>
      <c r="F4" s="149"/>
      <c r="G4" s="113" t="s">
        <v>54</v>
      </c>
      <c r="H4" s="114"/>
      <c r="I4" s="113"/>
      <c r="J4" s="115"/>
      <c r="K4" s="115"/>
      <c r="L4" s="279" t="s">
        <v>56</v>
      </c>
      <c r="M4" s="107"/>
      <c r="N4" s="107"/>
      <c r="O4" s="107"/>
      <c r="P4" s="117"/>
      <c r="Q4" s="117"/>
    </row>
    <row r="5" spans="1:27" s="130" customFormat="1" ht="14.4">
      <c r="A5" s="118"/>
      <c r="B5" s="118"/>
      <c r="C5" s="118"/>
      <c r="D5" s="118"/>
      <c r="E5" s="119" t="s">
        <v>539</v>
      </c>
      <c r="F5" s="149"/>
      <c r="G5" s="120" t="s">
        <v>540</v>
      </c>
      <c r="H5" s="114"/>
      <c r="I5" s="120"/>
      <c r="J5" s="115"/>
      <c r="K5" s="115"/>
      <c r="L5" s="279" t="s">
        <v>541</v>
      </c>
      <c r="M5" s="107"/>
      <c r="N5" s="107"/>
      <c r="O5" s="107"/>
      <c r="P5" s="118"/>
      <c r="Q5" s="117"/>
    </row>
    <row r="6" spans="1:27" s="130" customFormat="1">
      <c r="A6" s="122"/>
      <c r="B6" s="122"/>
      <c r="C6" s="122"/>
      <c r="D6" s="122"/>
      <c r="E6" s="3" t="s">
        <v>357</v>
      </c>
      <c r="F6" s="3" t="s">
        <v>358</v>
      </c>
      <c r="G6" s="90" t="s">
        <v>359</v>
      </c>
      <c r="H6" s="90" t="s">
        <v>360</v>
      </c>
      <c r="I6" s="90" t="s">
        <v>361</v>
      </c>
      <c r="J6" s="90" t="s">
        <v>362</v>
      </c>
      <c r="K6" s="90" t="s">
        <v>363</v>
      </c>
      <c r="L6" s="91" t="s">
        <v>364</v>
      </c>
      <c r="M6" s="93"/>
      <c r="N6" s="93"/>
      <c r="O6" s="93"/>
      <c r="P6" s="136"/>
    </row>
    <row r="7" spans="1:27" s="130" customFormat="1" ht="96.6">
      <c r="A7" s="124" t="s">
        <v>542</v>
      </c>
      <c r="B7" s="124"/>
      <c r="C7" s="124"/>
      <c r="D7" s="124"/>
      <c r="E7" s="97" t="s">
        <v>1313</v>
      </c>
      <c r="F7" s="97" t="s">
        <v>1314</v>
      </c>
      <c r="G7" s="97" t="s">
        <v>1315</v>
      </c>
      <c r="H7" s="97" t="s">
        <v>1316</v>
      </c>
      <c r="I7" s="97" t="s">
        <v>1317</v>
      </c>
      <c r="J7" s="97" t="s">
        <v>1318</v>
      </c>
      <c r="K7" s="97" t="s">
        <v>1319</v>
      </c>
      <c r="L7" s="97" t="s">
        <v>1320</v>
      </c>
      <c r="M7" s="93"/>
      <c r="N7" s="93"/>
      <c r="O7" s="93"/>
    </row>
    <row r="8" spans="1:27" s="130" customFormat="1" ht="109.35" customHeight="1">
      <c r="A8" s="122" t="s">
        <v>553</v>
      </c>
      <c r="B8" s="122"/>
      <c r="C8" s="122"/>
      <c r="D8" s="122"/>
      <c r="E8" s="125" t="s">
        <v>1321</v>
      </c>
      <c r="F8" s="125" t="s">
        <v>1322</v>
      </c>
      <c r="G8" s="98" t="s">
        <v>1323</v>
      </c>
      <c r="H8" s="98" t="s">
        <v>1324</v>
      </c>
      <c r="I8" s="98" t="s">
        <v>1325</v>
      </c>
      <c r="J8" s="125" t="s">
        <v>1326</v>
      </c>
      <c r="K8" s="125" t="s">
        <v>1327</v>
      </c>
      <c r="L8" s="98" t="s">
        <v>1328</v>
      </c>
      <c r="M8" s="99"/>
      <c r="N8" s="99"/>
      <c r="O8" s="99"/>
    </row>
    <row r="9" spans="1:27" s="130" customFormat="1" ht="152.4" customHeight="1">
      <c r="A9" s="122" t="s">
        <v>96</v>
      </c>
      <c r="B9" s="122"/>
      <c r="C9" s="122"/>
      <c r="D9" s="122"/>
      <c r="E9" s="98" t="s">
        <v>1329</v>
      </c>
      <c r="F9" s="125" t="s">
        <v>1330</v>
      </c>
      <c r="G9" s="98" t="s">
        <v>1331</v>
      </c>
      <c r="H9" s="125" t="s">
        <v>1332</v>
      </c>
      <c r="I9" s="98" t="s">
        <v>1333</v>
      </c>
      <c r="J9" s="98" t="s">
        <v>1334</v>
      </c>
      <c r="K9" s="98" t="s">
        <v>1335</v>
      </c>
      <c r="L9" s="125" t="s">
        <v>1336</v>
      </c>
      <c r="M9" s="127"/>
      <c r="N9" s="127"/>
      <c r="O9" s="127"/>
    </row>
    <row r="10" spans="1:27" s="130" customFormat="1" ht="150" customHeight="1">
      <c r="A10" s="122" t="s">
        <v>574</v>
      </c>
      <c r="B10" s="122"/>
      <c r="C10" s="122"/>
      <c r="D10" s="122"/>
      <c r="E10" s="102" t="s">
        <v>1337</v>
      </c>
      <c r="F10" s="102" t="s">
        <v>1338</v>
      </c>
      <c r="G10" s="102" t="s">
        <v>1339</v>
      </c>
      <c r="H10" s="102" t="s">
        <v>1340</v>
      </c>
      <c r="I10" s="102" t="s">
        <v>1341</v>
      </c>
      <c r="J10" s="102" t="s">
        <v>1342</v>
      </c>
      <c r="K10" s="102" t="s">
        <v>1343</v>
      </c>
      <c r="L10" s="102" t="s">
        <v>1344</v>
      </c>
      <c r="M10" s="152"/>
      <c r="N10" s="152"/>
      <c r="O10" s="152"/>
    </row>
    <row r="11" spans="1:27" s="130" customFormat="1" ht="74.400000000000006" customHeight="1">
      <c r="A11" s="135" t="s">
        <v>85</v>
      </c>
      <c r="B11" s="135"/>
      <c r="C11" s="135"/>
      <c r="D11" s="135"/>
      <c r="E11" s="102" t="s">
        <v>1345</v>
      </c>
      <c r="F11" s="102" t="s">
        <v>1346</v>
      </c>
      <c r="G11" s="102" t="s">
        <v>1347</v>
      </c>
      <c r="H11" s="102" t="s">
        <v>1348</v>
      </c>
      <c r="I11" s="102" t="s">
        <v>1349</v>
      </c>
      <c r="J11" s="102" t="s">
        <v>1350</v>
      </c>
      <c r="K11" s="102" t="s">
        <v>1351</v>
      </c>
      <c r="L11" s="102" t="s">
        <v>1352</v>
      </c>
      <c r="M11" s="152"/>
      <c r="N11" s="152"/>
      <c r="O11" s="152"/>
    </row>
    <row r="12" spans="1:27" s="130" customFormat="1"/>
    <row r="13" spans="1:27" s="130" customFormat="1"/>
    <row r="14" spans="1:27" s="130" customFormat="1"/>
    <row r="15" spans="1:27" customFormat="1" ht="14.4">
      <c r="A15" t="s">
        <v>443</v>
      </c>
      <c r="B15" t="s">
        <v>104</v>
      </c>
      <c r="C15" t="s">
        <v>105</v>
      </c>
      <c r="D15" s="295" t="s">
        <v>442</v>
      </c>
      <c r="E15" s="14" t="s">
        <v>357</v>
      </c>
      <c r="F15" s="14" t="s">
        <v>358</v>
      </c>
      <c r="G15" s="14" t="s">
        <v>359</v>
      </c>
      <c r="H15" s="14" t="s">
        <v>360</v>
      </c>
      <c r="I15" s="14" t="s">
        <v>361</v>
      </c>
      <c r="J15" s="14" t="s">
        <v>362</v>
      </c>
      <c r="K15" s="14" t="s">
        <v>363</v>
      </c>
      <c r="L15" s="14" t="s">
        <v>364</v>
      </c>
    </row>
    <row r="16" spans="1:27" ht="14.4">
      <c r="A16" t="s">
        <v>536</v>
      </c>
      <c r="B16" s="15" t="s">
        <v>104</v>
      </c>
      <c r="C16" s="15" t="str">
        <f>HYPERLINK("01-组织级\02-组织工作库\02-EPG活动库\08-决策分析\01-决策分析报告（QCUBIC-SPI-dar-evaluaterpt)V1.0-engl.xlsx", "engl")</f>
        <v>engl</v>
      </c>
      <c r="D16"/>
      <c r="E16" t="s">
        <v>426</v>
      </c>
      <c r="F16" t="s">
        <v>426</v>
      </c>
      <c r="G16" t="s">
        <v>426</v>
      </c>
      <c r="H16" t="s">
        <v>426</v>
      </c>
      <c r="I16" t="s">
        <v>426</v>
      </c>
      <c r="J16" t="s">
        <v>426</v>
      </c>
      <c r="K16" t="s">
        <v>426</v>
      </c>
      <c r="L16" t="s">
        <v>426</v>
      </c>
      <c r="M16"/>
      <c r="N16"/>
      <c r="O16"/>
      <c r="P16"/>
      <c r="Q16"/>
      <c r="R16"/>
      <c r="S16"/>
      <c r="T16"/>
      <c r="U16"/>
      <c r="V16"/>
      <c r="W16"/>
      <c r="X16"/>
      <c r="Y16"/>
      <c r="Z16"/>
      <c r="AA16"/>
    </row>
    <row r="17" spans="1:27" ht="14.4">
      <c r="A17" t="s">
        <v>536</v>
      </c>
      <c r="B17" s="15" t="s">
        <v>104</v>
      </c>
      <c r="C17" s="15" t="str">
        <f>HYPERLINK("01-组织级\01-组织财富库\01-标准过程文件库\03-支持类\04-决策分析\决策分析和解决方案(QCUBIC-SPI-OPAL-Tem-Proc)V1.2-engl.docx", "engl")</f>
        <v>engl</v>
      </c>
      <c r="D17"/>
      <c r="E17"/>
      <c r="F17"/>
      <c r="G17" t="s">
        <v>426</v>
      </c>
      <c r="H17" t="s">
        <v>426</v>
      </c>
      <c r="I17"/>
      <c r="J17"/>
      <c r="K17"/>
      <c r="L17" t="s">
        <v>426</v>
      </c>
      <c r="M17"/>
      <c r="N17"/>
      <c r="O17"/>
      <c r="P17"/>
      <c r="Q17"/>
      <c r="R17"/>
      <c r="S17"/>
      <c r="T17"/>
      <c r="U17"/>
      <c r="V17"/>
      <c r="W17"/>
      <c r="X17"/>
      <c r="Y17"/>
      <c r="Z17"/>
      <c r="AA17"/>
    </row>
    <row r="18" spans="1:27" ht="14.4">
      <c r="A18"/>
      <c r="B18"/>
      <c r="C18"/>
      <c r="D18"/>
      <c r="E18"/>
      <c r="F18"/>
      <c r="G18"/>
      <c r="H18"/>
      <c r="I18"/>
      <c r="J18"/>
      <c r="K18"/>
      <c r="L18"/>
      <c r="M18"/>
      <c r="N18"/>
      <c r="O18"/>
      <c r="P18"/>
      <c r="Q18"/>
      <c r="R18"/>
      <c r="S18"/>
      <c r="T18"/>
      <c r="U18"/>
      <c r="V18"/>
      <c r="W18"/>
      <c r="X18"/>
      <c r="Y18"/>
      <c r="Z18"/>
      <c r="AA18"/>
    </row>
    <row r="19" spans="1:27" ht="14.4">
      <c r="A19"/>
      <c r="B19"/>
      <c r="C19"/>
      <c r="D19"/>
      <c r="E19"/>
      <c r="F19"/>
      <c r="G19"/>
      <c r="H19"/>
      <c r="I19"/>
      <c r="J19"/>
      <c r="K19"/>
      <c r="L19"/>
      <c r="M19"/>
      <c r="N19"/>
      <c r="O19"/>
      <c r="P19"/>
      <c r="Q19"/>
      <c r="R19"/>
      <c r="S19"/>
      <c r="T19"/>
      <c r="U19"/>
      <c r="V19"/>
      <c r="W19"/>
      <c r="X19"/>
      <c r="Y19"/>
      <c r="Z19"/>
      <c r="AA19"/>
    </row>
    <row r="20" spans="1:27" ht="14.4">
      <c r="A20"/>
      <c r="B20"/>
      <c r="C20"/>
      <c r="D20"/>
      <c r="E20"/>
      <c r="F20"/>
      <c r="G20"/>
      <c r="H20"/>
      <c r="I20"/>
      <c r="J20"/>
      <c r="K20"/>
      <c r="L20"/>
      <c r="M20"/>
      <c r="N20"/>
      <c r="O20"/>
      <c r="P20"/>
      <c r="Q20"/>
      <c r="R20"/>
      <c r="S20"/>
      <c r="T20"/>
      <c r="U20"/>
      <c r="V20"/>
      <c r="W20"/>
      <c r="X20"/>
      <c r="Y20"/>
      <c r="Z20"/>
      <c r="AA20"/>
    </row>
    <row r="21" spans="1:27" ht="14.4">
      <c r="A21"/>
      <c r="B21"/>
      <c r="C21"/>
      <c r="D21"/>
      <c r="E21"/>
      <c r="F21"/>
      <c r="G21"/>
      <c r="H21"/>
      <c r="I21"/>
      <c r="J21"/>
      <c r="K21"/>
      <c r="L21"/>
      <c r="M21"/>
      <c r="N21"/>
      <c r="O21"/>
      <c r="P21"/>
      <c r="Q21"/>
      <c r="R21"/>
      <c r="S21"/>
      <c r="T21"/>
      <c r="U21"/>
      <c r="V21"/>
      <c r="W21"/>
      <c r="X21"/>
      <c r="Y21"/>
      <c r="Z21"/>
      <c r="AA21"/>
    </row>
    <row r="22" spans="1:27" ht="14.4">
      <c r="A22"/>
      <c r="B22"/>
      <c r="C22"/>
      <c r="D22"/>
      <c r="E22"/>
      <c r="F22"/>
      <c r="G22"/>
      <c r="H22"/>
      <c r="I22"/>
      <c r="J22"/>
      <c r="K22"/>
      <c r="L22"/>
      <c r="M22"/>
      <c r="N22"/>
      <c r="O22"/>
      <c r="P22"/>
      <c r="Q22"/>
      <c r="R22"/>
      <c r="S22"/>
      <c r="T22"/>
      <c r="U22"/>
      <c r="V22"/>
      <c r="W22"/>
      <c r="X22"/>
      <c r="Y22"/>
      <c r="Z22"/>
      <c r="AA22"/>
    </row>
    <row r="23" spans="1:27" ht="14.4">
      <c r="A23"/>
      <c r="B23"/>
      <c r="C23"/>
      <c r="D23"/>
      <c r="E23"/>
      <c r="F23"/>
      <c r="G23"/>
      <c r="H23"/>
      <c r="I23"/>
      <c r="J23"/>
      <c r="K23"/>
      <c r="L23"/>
      <c r="M23"/>
      <c r="N23"/>
      <c r="O23"/>
      <c r="P23"/>
      <c r="Q23"/>
      <c r="R23"/>
      <c r="S23"/>
      <c r="T23"/>
      <c r="U23"/>
      <c r="V23"/>
      <c r="W23"/>
      <c r="X23"/>
      <c r="Y23"/>
      <c r="Z23"/>
      <c r="AA23"/>
    </row>
    <row r="24" spans="1:27" ht="14.4">
      <c r="A24"/>
      <c r="B24"/>
      <c r="C24"/>
      <c r="D24"/>
      <c r="E24"/>
      <c r="F24"/>
      <c r="G24"/>
      <c r="H24"/>
      <c r="I24"/>
      <c r="J24"/>
      <c r="K24"/>
      <c r="L24"/>
      <c r="M24"/>
      <c r="N24"/>
      <c r="O24"/>
      <c r="P24"/>
      <c r="Q24"/>
      <c r="R24"/>
      <c r="S24"/>
      <c r="T24"/>
      <c r="U24"/>
      <c r="V24"/>
      <c r="W24"/>
      <c r="X24"/>
      <c r="Y24"/>
      <c r="Z24"/>
      <c r="AA24"/>
    </row>
    <row r="25" spans="1:27" ht="14.4">
      <c r="A25"/>
      <c r="B25"/>
      <c r="C25"/>
      <c r="D25"/>
      <c r="E25"/>
      <c r="F25"/>
      <c r="G25"/>
      <c r="H25"/>
      <c r="I25"/>
      <c r="J25"/>
      <c r="K25"/>
      <c r="L25"/>
      <c r="M25"/>
      <c r="N25"/>
      <c r="O25"/>
      <c r="P25"/>
      <c r="Q25"/>
      <c r="R25"/>
      <c r="S25"/>
      <c r="T25"/>
      <c r="U25"/>
      <c r="V25"/>
      <c r="W25"/>
      <c r="X25"/>
      <c r="Y25"/>
      <c r="Z25"/>
      <c r="AA25"/>
    </row>
    <row r="26" spans="1:27" ht="14.4">
      <c r="A26"/>
      <c r="B26"/>
      <c r="C26"/>
      <c r="D26"/>
      <c r="E26"/>
      <c r="F26"/>
      <c r="G26"/>
      <c r="H26"/>
      <c r="I26"/>
      <c r="J26"/>
      <c r="K26"/>
      <c r="L26"/>
      <c r="M26"/>
      <c r="N26"/>
      <c r="O26"/>
      <c r="P26"/>
      <c r="Q26"/>
      <c r="R26"/>
      <c r="S26"/>
      <c r="T26"/>
      <c r="U26"/>
      <c r="V26"/>
      <c r="W26"/>
      <c r="X26"/>
      <c r="Y26"/>
      <c r="Z26"/>
      <c r="AA26"/>
    </row>
    <row r="27" spans="1:27" ht="14.4">
      <c r="A27"/>
      <c r="B27"/>
      <c r="C27"/>
      <c r="D27"/>
      <c r="E27"/>
      <c r="F27"/>
      <c r="G27"/>
      <c r="H27"/>
      <c r="I27"/>
      <c r="J27"/>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3C4560C6-09E3-4D1D-903D-DC27740E2595}"/>
    <hyperlink ref="B17" r:id="rId2" xr:uid="{F3379BFA-9C83-41E9-9B8D-7FCDC10AC62A}"/>
  </hyperlinks>
  <pageMargins left="0.7" right="0.7" top="0.75" bottom="0.75" header="0.3" footer="0.3"/>
  <pageSetup orientation="portrait"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EAB68-E75B-400D-B3E2-ACAD3AD7BBBF}">
  <sheetPr codeName="Sheet25">
    <tabColor rgb="FF0097CC"/>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4.44140625" style="109" customWidth="1"/>
    <col min="2" max="4" width="7.88671875" style="109" customWidth="1"/>
    <col min="5" max="11" width="20.6640625" style="109" customWidth="1"/>
    <col min="12" max="12" width="66.109375" style="109" customWidth="1"/>
    <col min="13" max="13" width="3.6640625" style="109" customWidth="1"/>
    <col min="14" max="14" width="54.5546875" style="109" bestFit="1" customWidth="1"/>
    <col min="15" max="15" width="57.33203125" style="109" customWidth="1"/>
    <col min="16" max="16384" width="8.88671875" style="109"/>
  </cols>
  <sheetData>
    <row r="1" spans="1:27" ht="18">
      <c r="A1" s="105" t="s">
        <v>1353</v>
      </c>
      <c r="B1" s="105"/>
      <c r="C1" s="105"/>
      <c r="D1" s="105"/>
      <c r="E1" s="106"/>
      <c r="F1" s="107"/>
      <c r="G1" s="108"/>
    </row>
    <row r="2" spans="1:27">
      <c r="A2" s="110" t="s">
        <v>447</v>
      </c>
      <c r="B2" s="110"/>
      <c r="C2" s="110"/>
      <c r="D2" s="110"/>
      <c r="E2" s="107" t="s">
        <v>432</v>
      </c>
      <c r="F2" s="107"/>
      <c r="G2" s="108"/>
    </row>
    <row r="3" spans="1:27">
      <c r="A3" s="107" t="s">
        <v>448</v>
      </c>
      <c r="B3" s="107"/>
      <c r="C3" s="107"/>
      <c r="D3" s="107"/>
      <c r="E3" s="107" t="s">
        <v>446</v>
      </c>
      <c r="F3" s="107"/>
      <c r="G3" s="108"/>
    </row>
    <row r="4" spans="1:27">
      <c r="A4" s="111"/>
      <c r="B4" s="111"/>
      <c r="C4" s="111"/>
      <c r="D4" s="111"/>
      <c r="E4" s="112" t="s">
        <v>47</v>
      </c>
      <c r="F4" s="113" t="s">
        <v>54</v>
      </c>
      <c r="G4" s="113"/>
      <c r="H4" s="114"/>
      <c r="I4" s="113"/>
      <c r="J4" s="115"/>
      <c r="K4" s="115"/>
      <c r="L4" s="110"/>
      <c r="M4" s="110"/>
      <c r="N4" s="110"/>
    </row>
    <row r="5" spans="1:27">
      <c r="A5" s="118"/>
      <c r="B5" s="118"/>
      <c r="C5" s="118"/>
      <c r="D5" s="118"/>
      <c r="E5" s="119" t="s">
        <v>539</v>
      </c>
      <c r="F5" s="120" t="s">
        <v>540</v>
      </c>
      <c r="G5" s="120"/>
      <c r="H5" s="114"/>
      <c r="I5" s="120"/>
      <c r="J5" s="115"/>
      <c r="K5" s="115"/>
      <c r="L5" s="110"/>
      <c r="M5" s="110"/>
      <c r="N5" s="110"/>
    </row>
    <row r="6" spans="1:27">
      <c r="A6" s="135"/>
      <c r="B6" s="135"/>
      <c r="C6" s="135"/>
      <c r="D6" s="135"/>
      <c r="E6" s="3" t="s">
        <v>348</v>
      </c>
      <c r="F6" s="90" t="s">
        <v>350</v>
      </c>
      <c r="G6" s="90" t="s">
        <v>351</v>
      </c>
      <c r="H6" s="90" t="s">
        <v>352</v>
      </c>
      <c r="I6" s="90" t="s">
        <v>353</v>
      </c>
      <c r="J6" s="90" t="s">
        <v>354</v>
      </c>
      <c r="K6" s="199" t="s">
        <v>355</v>
      </c>
      <c r="L6" s="93"/>
      <c r="M6" s="93"/>
      <c r="N6" s="93"/>
    </row>
    <row r="7" spans="1:27" ht="96.6">
      <c r="A7" s="124" t="s">
        <v>643</v>
      </c>
      <c r="B7" s="124"/>
      <c r="C7" s="124"/>
      <c r="D7" s="124"/>
      <c r="E7" s="97" t="s">
        <v>1354</v>
      </c>
      <c r="F7" s="97" t="s">
        <v>1355</v>
      </c>
      <c r="G7" s="97" t="s">
        <v>1356</v>
      </c>
      <c r="H7" s="97" t="s">
        <v>1357</v>
      </c>
      <c r="I7" s="97" t="s">
        <v>1358</v>
      </c>
      <c r="J7" s="97" t="s">
        <v>1359</v>
      </c>
      <c r="K7" s="97" t="s">
        <v>1360</v>
      </c>
      <c r="L7" s="93"/>
      <c r="M7" s="93"/>
      <c r="N7" s="93"/>
    </row>
    <row r="8" spans="1:27" ht="108">
      <c r="A8" s="135" t="s">
        <v>553</v>
      </c>
      <c r="B8" s="135"/>
      <c r="C8" s="135"/>
      <c r="D8" s="135"/>
      <c r="E8" s="98" t="s">
        <v>1361</v>
      </c>
      <c r="F8" s="98" t="s">
        <v>1362</v>
      </c>
      <c r="G8" s="98" t="s">
        <v>1363</v>
      </c>
      <c r="H8" s="98" t="s">
        <v>1364</v>
      </c>
      <c r="I8" s="98" t="s">
        <v>1365</v>
      </c>
      <c r="J8" s="98" t="s">
        <v>1366</v>
      </c>
      <c r="K8" s="98" t="s">
        <v>1367</v>
      </c>
      <c r="L8" s="99"/>
      <c r="M8" s="99"/>
      <c r="N8" s="99"/>
    </row>
    <row r="9" spans="1:27" ht="180">
      <c r="A9" s="135" t="s">
        <v>96</v>
      </c>
      <c r="B9" s="135"/>
      <c r="C9" s="135"/>
      <c r="D9" s="135"/>
      <c r="E9" s="98" t="s">
        <v>1368</v>
      </c>
      <c r="F9" s="98" t="s">
        <v>1369</v>
      </c>
      <c r="G9" s="98" t="s">
        <v>1370</v>
      </c>
      <c r="H9" s="98" t="s">
        <v>1371</v>
      </c>
      <c r="I9" s="98" t="s">
        <v>1372</v>
      </c>
      <c r="J9" s="98" t="s">
        <v>1373</v>
      </c>
      <c r="K9" s="98" t="s">
        <v>1374</v>
      </c>
      <c r="L9" s="99"/>
      <c r="M9" s="99"/>
      <c r="N9" s="99"/>
    </row>
    <row r="10" spans="1:27" ht="156">
      <c r="A10" s="122" t="s">
        <v>574</v>
      </c>
      <c r="B10" s="122"/>
      <c r="C10" s="122"/>
      <c r="D10" s="122"/>
      <c r="E10" s="98" t="s">
        <v>1375</v>
      </c>
      <c r="F10" s="98" t="s">
        <v>1376</v>
      </c>
      <c r="G10" s="98" t="s">
        <v>1377</v>
      </c>
      <c r="H10" s="98" t="s">
        <v>1378</v>
      </c>
      <c r="I10" s="98" t="s">
        <v>1379</v>
      </c>
      <c r="J10" s="98" t="s">
        <v>1380</v>
      </c>
      <c r="K10" s="98" t="s">
        <v>1381</v>
      </c>
      <c r="L10" s="99"/>
      <c r="M10" s="99"/>
      <c r="N10" s="99"/>
    </row>
    <row r="11" spans="1:27" ht="68.400000000000006">
      <c r="A11" s="161" t="s">
        <v>85</v>
      </c>
      <c r="B11" s="161"/>
      <c r="C11" s="161"/>
      <c r="D11" s="161"/>
      <c r="E11" s="98"/>
      <c r="F11" s="280" t="s">
        <v>1382</v>
      </c>
      <c r="G11" s="281" t="s">
        <v>1383</v>
      </c>
      <c r="H11" s="280" t="s">
        <v>1384</v>
      </c>
      <c r="I11" s="282" t="s">
        <v>1385</v>
      </c>
      <c r="J11" s="282" t="s">
        <v>1386</v>
      </c>
      <c r="K11" s="280" t="s">
        <v>1387</v>
      </c>
      <c r="L11" s="283"/>
      <c r="M11" s="283"/>
      <c r="N11" s="283"/>
    </row>
    <row r="12" spans="1:27" s="117" customFormat="1">
      <c r="A12" s="109"/>
      <c r="B12" s="109"/>
      <c r="C12" s="109"/>
      <c r="D12" s="109"/>
      <c r="E12" s="109"/>
      <c r="F12" s="109"/>
      <c r="G12" s="109"/>
      <c r="H12" s="109"/>
      <c r="I12" s="109"/>
      <c r="J12" s="109"/>
      <c r="K12" s="109"/>
      <c r="L12" s="109"/>
      <c r="M12" s="109"/>
      <c r="N12" s="109"/>
    </row>
    <row r="13" spans="1:27" s="117" customFormat="1" ht="14.4" customHeight="1">
      <c r="A13" s="109"/>
      <c r="B13" s="109"/>
      <c r="C13" s="109"/>
      <c r="D13" s="109"/>
      <c r="E13" s="109"/>
      <c r="F13" s="109"/>
      <c r="G13" s="109"/>
      <c r="H13" s="109"/>
      <c r="I13" s="109"/>
      <c r="J13" s="109"/>
      <c r="K13" s="109"/>
      <c r="L13" s="109"/>
      <c r="M13" s="109"/>
      <c r="N13" s="109"/>
    </row>
    <row r="14" spans="1:27" s="117" customFormat="1" ht="14.4" customHeight="1">
      <c r="A14" s="109"/>
      <c r="B14" s="109"/>
      <c r="C14" s="109"/>
      <c r="D14" s="109"/>
      <c r="E14" s="109"/>
      <c r="F14" s="109"/>
      <c r="G14" s="109"/>
      <c r="H14" s="109"/>
      <c r="I14" s="109"/>
      <c r="J14" s="109"/>
      <c r="K14" s="109"/>
      <c r="L14" s="109"/>
      <c r="M14" s="109"/>
      <c r="N14" s="109"/>
    </row>
    <row r="15" spans="1:27" customFormat="1">
      <c r="A15" t="s">
        <v>443</v>
      </c>
      <c r="B15" t="s">
        <v>104</v>
      </c>
      <c r="C15" t="s">
        <v>105</v>
      </c>
      <c r="D15" s="295" t="s">
        <v>442</v>
      </c>
      <c r="E15" t="s">
        <v>348</v>
      </c>
      <c r="F15" t="s">
        <v>350</v>
      </c>
      <c r="G15" t="s">
        <v>351</v>
      </c>
      <c r="H15" t="s">
        <v>352</v>
      </c>
      <c r="I15" t="s">
        <v>353</v>
      </c>
      <c r="J15" t="s">
        <v>354</v>
      </c>
      <c r="K15" t="s">
        <v>355</v>
      </c>
    </row>
    <row r="16" spans="1:27" s="117" customFormat="1" ht="14.4" customHeight="1">
      <c r="A16" t="s">
        <v>536</v>
      </c>
      <c r="B16" s="15" t="s">
        <v>104</v>
      </c>
      <c r="C16" s="15" t="str">
        <f>HYPERLINK("01-组织级\02-组织工作库\04-CM活动库\组织级配置管理计划(QCUBIC-SPI-CM-OCMPlan)V1.2-engl.xlsx", "engl")</f>
        <v>engl</v>
      </c>
      <c r="D16"/>
      <c r="E16" t="s">
        <v>426</v>
      </c>
      <c r="F16" t="s">
        <v>426</v>
      </c>
      <c r="G16" t="s">
        <v>426</v>
      </c>
      <c r="H16"/>
      <c r="I16" t="s">
        <v>426</v>
      </c>
      <c r="J16" t="s">
        <v>426</v>
      </c>
      <c r="K16"/>
      <c r="L16"/>
      <c r="M16"/>
      <c r="N16"/>
      <c r="O16"/>
      <c r="P16"/>
      <c r="Q16"/>
      <c r="R16"/>
      <c r="S16"/>
      <c r="T16"/>
      <c r="U16"/>
      <c r="V16"/>
      <c r="W16"/>
      <c r="X16"/>
      <c r="Y16"/>
      <c r="Z16"/>
      <c r="AA16"/>
    </row>
    <row r="17" spans="1:27" s="117" customFormat="1" ht="14.4" customHeight="1">
      <c r="A17" t="s">
        <v>536</v>
      </c>
      <c r="B17" s="15" t="s">
        <v>104</v>
      </c>
      <c r="C17" s="15" t="str">
        <f>HYPERLINK("01-组织级\02-组织工作库\04-CM活动库\组织配置库内容列表(ORG_-CM-TEM-PALList)V1.2-engl.xlsx", "engl")</f>
        <v>engl</v>
      </c>
      <c r="D17"/>
      <c r="E17" t="s">
        <v>426</v>
      </c>
      <c r="F17"/>
      <c r="G17"/>
      <c r="H17"/>
      <c r="I17"/>
      <c r="J17" t="s">
        <v>426</v>
      </c>
      <c r="K17"/>
      <c r="L17"/>
      <c r="M17"/>
      <c r="N17"/>
      <c r="O17"/>
      <c r="P17"/>
      <c r="Q17"/>
      <c r="R17"/>
      <c r="S17"/>
      <c r="T17"/>
      <c r="U17"/>
      <c r="V17"/>
      <c r="W17"/>
      <c r="X17"/>
      <c r="Y17"/>
      <c r="Z17"/>
      <c r="AA17"/>
    </row>
    <row r="18" spans="1:27" s="117" customFormat="1" ht="14.4" customHeight="1">
      <c r="A18" t="s">
        <v>536</v>
      </c>
      <c r="B18" s="15" t="s">
        <v>104</v>
      </c>
      <c r="C18" s="15" t="str">
        <f>HYPERLINK("01-组织级\01-组织财富库\01-标准过程文件库\03-支持类\02-配置管理\配置管理过程文件(QCUBIC-SPI-CM-Proc-Doc)V1.2-engl.docx", "engl")</f>
        <v>engl</v>
      </c>
      <c r="D18"/>
      <c r="E18"/>
      <c r="F18"/>
      <c r="G18" t="s">
        <v>426</v>
      </c>
      <c r="H18"/>
      <c r="I18" t="s">
        <v>426</v>
      </c>
      <c r="J18"/>
      <c r="K18"/>
      <c r="L18"/>
      <c r="M18"/>
      <c r="N18"/>
      <c r="O18"/>
      <c r="P18"/>
      <c r="Q18"/>
      <c r="R18"/>
      <c r="S18"/>
      <c r="T18"/>
      <c r="U18"/>
      <c r="V18"/>
      <c r="W18"/>
      <c r="X18"/>
      <c r="Y18"/>
      <c r="Z18"/>
      <c r="AA18"/>
    </row>
    <row r="19" spans="1:27" s="117" customFormat="1" ht="14.4" customHeight="1">
      <c r="A19" t="s">
        <v>536</v>
      </c>
      <c r="B19" s="15" t="s">
        <v>104</v>
      </c>
      <c r="C19" s="15" t="str">
        <f>HYPERLINK("01-组织级\02-组织工作库\04-CM活动库\基线发布报告 (QCUBIC-spi-cm-release)V1.1-engl.xlsx", "engl")</f>
        <v>engl</v>
      </c>
      <c r="D19"/>
      <c r="E19"/>
      <c r="F19"/>
      <c r="G19"/>
      <c r="H19" t="s">
        <v>426</v>
      </c>
      <c r="I19"/>
      <c r="J19"/>
      <c r="K19"/>
      <c r="L19"/>
      <c r="M19"/>
      <c r="N19"/>
      <c r="O19"/>
      <c r="P19"/>
      <c r="Q19"/>
      <c r="R19"/>
      <c r="S19"/>
      <c r="T19"/>
      <c r="U19"/>
      <c r="V19"/>
      <c r="W19"/>
      <c r="X19"/>
      <c r="Y19"/>
      <c r="Z19"/>
      <c r="AA19"/>
    </row>
    <row r="20" spans="1:27">
      <c r="A20" t="s">
        <v>536</v>
      </c>
      <c r="B20" s="15" t="s">
        <v>104</v>
      </c>
      <c r="C20" s="15" t="str">
        <f>HYPERLINK("01-组织级\02-组织工作库\04-CM活动库\组织级配置审计报告(QCUBIC-SPI-CM-Organization-level configuration audit report)V1.3-engl.xlsx", "engl")</f>
        <v>engl</v>
      </c>
      <c r="D20"/>
      <c r="E20"/>
      <c r="F20"/>
      <c r="G20"/>
      <c r="H20"/>
      <c r="I20"/>
      <c r="J20"/>
      <c r="K20" t="s">
        <v>426</v>
      </c>
      <c r="L20"/>
      <c r="M20"/>
      <c r="N20"/>
      <c r="O20"/>
      <c r="P20"/>
      <c r="Q20"/>
      <c r="R20"/>
      <c r="S20"/>
      <c r="T20"/>
      <c r="U20"/>
      <c r="V20"/>
      <c r="W20"/>
      <c r="X20"/>
      <c r="Y20"/>
      <c r="Z20"/>
      <c r="AA20"/>
    </row>
    <row r="21" spans="1:27">
      <c r="A21"/>
      <c r="B21"/>
      <c r="C21"/>
      <c r="D21"/>
      <c r="E21"/>
      <c r="F21"/>
      <c r="G21"/>
      <c r="H21"/>
      <c r="I21"/>
      <c r="J21"/>
      <c r="K21"/>
      <c r="L21"/>
      <c r="M21"/>
      <c r="N21"/>
      <c r="O21"/>
      <c r="P21"/>
      <c r="Q21"/>
      <c r="R21"/>
      <c r="S21"/>
      <c r="T21"/>
      <c r="U21"/>
      <c r="V21"/>
      <c r="W21"/>
      <c r="X21"/>
      <c r="Y21"/>
      <c r="Z21"/>
      <c r="AA21"/>
    </row>
    <row r="22" spans="1:27">
      <c r="A22"/>
      <c r="B22"/>
      <c r="C22"/>
      <c r="D22"/>
      <c r="E22"/>
      <c r="F22"/>
      <c r="G22"/>
      <c r="H22"/>
      <c r="I22"/>
      <c r="J22"/>
      <c r="K22"/>
      <c r="L22"/>
      <c r="M22"/>
      <c r="N22"/>
      <c r="O22"/>
      <c r="P22"/>
      <c r="Q22"/>
      <c r="R22"/>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31A1966A-EAFF-4B4D-8452-43C20E45E717}"/>
    <hyperlink ref="B17" r:id="rId2" xr:uid="{89E7BAA7-DFA1-4327-BF58-61A1929E5BA2}"/>
    <hyperlink ref="B18" r:id="rId3" xr:uid="{55709D77-7832-4AFF-A33C-101BEA85B5A9}"/>
    <hyperlink ref="B19" r:id="rId4" xr:uid="{C0D41DD1-528D-4A30-B4CA-E60289943FBC}"/>
    <hyperlink ref="B20" r:id="rId5" xr:uid="{B87F7C17-1B09-4308-B775-E022B4B08051}"/>
  </hyperlinks>
  <pageMargins left="0.69930555555555596" right="0.69930555555555596" top="0.75" bottom="0.75" header="0.3" footer="0.3"/>
  <pageSetup paperSize="9" orientation="portrait"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9D314-9F34-423F-9366-52D67370D729}">
  <sheetPr codeName="Sheet26">
    <tabColor rgb="FF7030A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44.33203125" style="109" customWidth="1"/>
    <col min="2" max="4" width="7.88671875" style="109" customWidth="1"/>
    <col min="5" max="5" width="20.6640625" style="109" customWidth="1"/>
    <col min="6" max="6" width="20.6640625" style="286" customWidth="1"/>
    <col min="7" max="10" width="20.6640625" style="109" customWidth="1"/>
    <col min="11" max="11" width="50.6640625" style="109" customWidth="1"/>
    <col min="12" max="12" width="3.6640625" style="109" customWidth="1"/>
    <col min="13" max="13" width="32.33203125" style="109" bestFit="1" customWidth="1"/>
    <col min="14" max="14" width="60.88671875" style="109" customWidth="1"/>
    <col min="15" max="16384" width="8.88671875" style="109"/>
  </cols>
  <sheetData>
    <row r="1" spans="1:27" ht="18">
      <c r="A1" s="105" t="s">
        <v>1388</v>
      </c>
      <c r="B1" s="105"/>
      <c r="C1" s="105"/>
      <c r="D1" s="105"/>
      <c r="E1" s="106"/>
      <c r="F1" s="110"/>
      <c r="G1" s="108"/>
      <c r="H1" s="108"/>
      <c r="I1" s="108"/>
      <c r="J1" s="108"/>
      <c r="K1" s="108"/>
      <c r="L1" s="108"/>
      <c r="M1" s="108"/>
    </row>
    <row r="2" spans="1:27">
      <c r="A2" s="110" t="s">
        <v>1255</v>
      </c>
      <c r="B2" s="110"/>
      <c r="C2" s="110"/>
      <c r="D2" s="110"/>
      <c r="E2" s="107" t="s">
        <v>1389</v>
      </c>
      <c r="F2" s="110"/>
      <c r="G2" s="108"/>
      <c r="H2" s="108"/>
      <c r="I2" s="108"/>
      <c r="J2" s="108"/>
      <c r="K2" s="108"/>
      <c r="L2" s="108"/>
      <c r="M2" s="108"/>
    </row>
    <row r="3" spans="1:27">
      <c r="A3" s="107" t="s">
        <v>1257</v>
      </c>
      <c r="B3" s="107"/>
      <c r="C3" s="107"/>
      <c r="D3" s="107"/>
      <c r="E3" s="107" t="s">
        <v>1390</v>
      </c>
      <c r="F3" s="110"/>
      <c r="G3" s="108"/>
      <c r="H3" s="108"/>
      <c r="I3" s="108"/>
      <c r="J3" s="108"/>
      <c r="K3" s="108"/>
      <c r="L3" s="108"/>
      <c r="M3" s="108"/>
    </row>
    <row r="4" spans="1:27">
      <c r="A4" s="111"/>
      <c r="B4" s="111"/>
      <c r="C4" s="111"/>
      <c r="D4" s="111"/>
      <c r="E4" s="112" t="s">
        <v>47</v>
      </c>
      <c r="F4" s="113" t="s">
        <v>54</v>
      </c>
      <c r="G4" s="113"/>
      <c r="H4" s="116" t="s">
        <v>56</v>
      </c>
      <c r="I4" s="116"/>
      <c r="J4" s="150"/>
      <c r="K4" s="110"/>
      <c r="L4" s="110"/>
      <c r="M4" s="110"/>
      <c r="N4" s="107"/>
      <c r="O4" s="110"/>
      <c r="P4" s="117"/>
      <c r="Q4" s="117"/>
    </row>
    <row r="5" spans="1:27">
      <c r="A5" s="118"/>
      <c r="B5" s="118"/>
      <c r="C5" s="118"/>
      <c r="D5" s="118"/>
      <c r="E5" s="119" t="s">
        <v>539</v>
      </c>
      <c r="F5" s="120" t="s">
        <v>540</v>
      </c>
      <c r="G5" s="120"/>
      <c r="H5" s="116" t="s">
        <v>541</v>
      </c>
      <c r="I5" s="169"/>
      <c r="J5" s="150"/>
      <c r="K5" s="110"/>
      <c r="L5" s="110"/>
      <c r="M5" s="110"/>
      <c r="N5" s="107"/>
      <c r="O5" s="110"/>
      <c r="P5" s="118"/>
      <c r="Q5" s="117"/>
    </row>
    <row r="6" spans="1:27">
      <c r="A6" s="284"/>
      <c r="B6" s="284"/>
      <c r="C6" s="284"/>
      <c r="D6" s="284"/>
      <c r="E6" s="3" t="s">
        <v>366</v>
      </c>
      <c r="F6" s="90" t="s">
        <v>368</v>
      </c>
      <c r="G6" s="90" t="s">
        <v>370</v>
      </c>
      <c r="H6" s="91" t="s">
        <v>371</v>
      </c>
      <c r="I6" s="91" t="s">
        <v>372</v>
      </c>
      <c r="J6" s="92" t="s">
        <v>373</v>
      </c>
      <c r="K6" s="93"/>
      <c r="L6" s="93"/>
      <c r="M6" s="93"/>
    </row>
    <row r="7" spans="1:27" ht="69">
      <c r="A7" s="285" t="s">
        <v>643</v>
      </c>
      <c r="B7" s="285"/>
      <c r="C7" s="285"/>
      <c r="D7" s="285"/>
      <c r="E7" s="97" t="s">
        <v>1391</v>
      </c>
      <c r="F7" s="97" t="s">
        <v>1392</v>
      </c>
      <c r="G7" s="97" t="s">
        <v>1393</v>
      </c>
      <c r="H7" s="97" t="s">
        <v>1394</v>
      </c>
      <c r="I7" s="97" t="s">
        <v>1395</v>
      </c>
      <c r="J7" s="97" t="s">
        <v>1396</v>
      </c>
      <c r="K7" s="93"/>
      <c r="L7" s="93"/>
      <c r="M7" s="93"/>
    </row>
    <row r="8" spans="1:27" ht="60">
      <c r="A8" s="284" t="s">
        <v>553</v>
      </c>
      <c r="B8" s="284"/>
      <c r="C8" s="284"/>
      <c r="D8" s="284"/>
      <c r="E8" s="125" t="s">
        <v>1397</v>
      </c>
      <c r="F8" s="98" t="s">
        <v>1398</v>
      </c>
      <c r="G8" s="98" t="s">
        <v>1399</v>
      </c>
      <c r="H8" s="98" t="s">
        <v>1400</v>
      </c>
      <c r="I8" s="98" t="s">
        <v>1401</v>
      </c>
      <c r="J8" s="98" t="s">
        <v>1402</v>
      </c>
      <c r="K8" s="99"/>
      <c r="L8" s="99"/>
      <c r="M8" s="99"/>
    </row>
    <row r="9" spans="1:27" ht="132">
      <c r="A9" s="284" t="s">
        <v>96</v>
      </c>
      <c r="B9" s="284"/>
      <c r="C9" s="284"/>
      <c r="D9" s="284"/>
      <c r="E9" s="125" t="s">
        <v>1403</v>
      </c>
      <c r="F9" s="98" t="s">
        <v>1404</v>
      </c>
      <c r="G9" s="98" t="s">
        <v>1405</v>
      </c>
      <c r="H9" s="98" t="s">
        <v>1406</v>
      </c>
      <c r="I9" s="98" t="s">
        <v>1407</v>
      </c>
      <c r="J9" s="98" t="s">
        <v>1408</v>
      </c>
      <c r="K9" s="99"/>
      <c r="L9" s="99"/>
      <c r="M9" s="99"/>
    </row>
    <row r="10" spans="1:27" ht="216">
      <c r="A10" s="122" t="s">
        <v>574</v>
      </c>
      <c r="B10" s="122"/>
      <c r="C10" s="122"/>
      <c r="D10" s="122"/>
      <c r="E10" s="98" t="s">
        <v>1409</v>
      </c>
      <c r="F10" s="98" t="s">
        <v>1410</v>
      </c>
      <c r="G10" s="98" t="s">
        <v>1411</v>
      </c>
      <c r="H10" s="98" t="s">
        <v>1412</v>
      </c>
      <c r="I10" s="98" t="s">
        <v>1413</v>
      </c>
      <c r="J10" s="98" t="s">
        <v>1414</v>
      </c>
      <c r="K10" s="99"/>
      <c r="L10" s="99"/>
      <c r="M10" s="99"/>
    </row>
    <row r="11" spans="1:27" ht="132">
      <c r="A11" s="287" t="s">
        <v>85</v>
      </c>
      <c r="B11" s="287"/>
      <c r="C11" s="287"/>
      <c r="D11" s="287"/>
      <c r="E11" s="98"/>
      <c r="F11" s="98" t="s">
        <v>1415</v>
      </c>
      <c r="G11" s="98" t="s">
        <v>1416</v>
      </c>
      <c r="H11" s="98" t="s">
        <v>1417</v>
      </c>
      <c r="I11" s="98" t="s">
        <v>1418</v>
      </c>
      <c r="J11" s="98" t="s">
        <v>1419</v>
      </c>
      <c r="K11" s="99"/>
      <c r="L11" s="99"/>
      <c r="M11" s="99"/>
    </row>
    <row r="12" spans="1:27" ht="36">
      <c r="F12" s="288" t="s">
        <v>1420</v>
      </c>
      <c r="G12" s="289"/>
      <c r="H12" s="288" t="s">
        <v>1421</v>
      </c>
      <c r="I12" s="289"/>
      <c r="J12" s="288" t="s">
        <v>1422</v>
      </c>
      <c r="K12" s="288"/>
      <c r="L12" s="288"/>
      <c r="M12" s="288"/>
    </row>
    <row r="13" spans="1:27" ht="36">
      <c r="F13" s="288" t="s">
        <v>1423</v>
      </c>
      <c r="G13" s="289"/>
      <c r="H13" s="289"/>
      <c r="I13" s="289"/>
      <c r="J13" s="289"/>
      <c r="K13" s="289"/>
      <c r="L13" s="289"/>
      <c r="M13" s="289"/>
    </row>
    <row r="15" spans="1:27" customFormat="1">
      <c r="A15" t="s">
        <v>443</v>
      </c>
      <c r="B15" t="s">
        <v>104</v>
      </c>
      <c r="C15" t="s">
        <v>105</v>
      </c>
      <c r="D15" s="295" t="s">
        <v>442</v>
      </c>
      <c r="E15" s="14" t="s">
        <v>366</v>
      </c>
      <c r="F15" s="14" t="s">
        <v>368</v>
      </c>
      <c r="G15" s="14" t="s">
        <v>370</v>
      </c>
      <c r="H15" s="14" t="s">
        <v>371</v>
      </c>
      <c r="I15" s="14" t="s">
        <v>372</v>
      </c>
      <c r="J15" s="14" t="s">
        <v>373</v>
      </c>
    </row>
    <row r="16" spans="1:27">
      <c r="A16" t="s">
        <v>536</v>
      </c>
      <c r="B16" s="15" t="s">
        <v>104</v>
      </c>
      <c r="C16"/>
      <c r="D16"/>
      <c r="E16" t="s">
        <v>426</v>
      </c>
      <c r="F16"/>
      <c r="G16" t="s">
        <v>426</v>
      </c>
      <c r="H16" t="s">
        <v>426</v>
      </c>
      <c r="I16"/>
      <c r="J16" t="s">
        <v>426</v>
      </c>
      <c r="K16"/>
      <c r="L16"/>
      <c r="M16"/>
      <c r="N16"/>
      <c r="O16"/>
      <c r="P16"/>
      <c r="Q16"/>
      <c r="R16"/>
      <c r="S16"/>
      <c r="T16"/>
      <c r="U16"/>
      <c r="V16"/>
      <c r="W16"/>
      <c r="X16"/>
      <c r="Y16"/>
      <c r="Z16"/>
      <c r="AA16"/>
    </row>
    <row r="17" spans="1:27">
      <c r="A17" t="s">
        <v>536</v>
      </c>
      <c r="B17" s="15" t="s">
        <v>104</v>
      </c>
      <c r="C17" s="15" t="str">
        <f>HYPERLINK("02-项目级\P3-主从数据库复制及性能提升项目\01-生存周期\03-项目策划\03-项目计划书 (QCUBIC-XNTS-PLAN-Plan)V1.1-engl.docx", "engl")</f>
        <v>engl</v>
      </c>
      <c r="D17"/>
      <c r="E17" t="s">
        <v>426</v>
      </c>
      <c r="F17" t="s">
        <v>426</v>
      </c>
      <c r="G17"/>
      <c r="H17"/>
      <c r="I17"/>
      <c r="J17"/>
      <c r="K17"/>
      <c r="L17"/>
      <c r="M17"/>
      <c r="N17"/>
      <c r="O17"/>
      <c r="P17"/>
      <c r="Q17"/>
      <c r="R17"/>
      <c r="S17"/>
      <c r="T17"/>
      <c r="U17"/>
      <c r="V17"/>
      <c r="W17"/>
      <c r="X17"/>
      <c r="Y17"/>
      <c r="Z17"/>
      <c r="AA17"/>
    </row>
    <row r="18" spans="1:27">
      <c r="A18" t="s">
        <v>536</v>
      </c>
      <c r="B18" s="15" t="s">
        <v>104</v>
      </c>
      <c r="C18" s="15" t="str">
        <f>HYPERLINK("02-项目级\P1-Qcubic数据库管理工具 V1.0\01-生存周期\03-项目策划\03-项目计划书 (QCUBIC-SJKGL-PLAN-Plan)V1.1-engl.docx", "engl")</f>
        <v>engl</v>
      </c>
      <c r="D18"/>
      <c r="E18" t="s">
        <v>426</v>
      </c>
      <c r="F18" t="s">
        <v>426</v>
      </c>
      <c r="G18"/>
      <c r="H18"/>
      <c r="I18"/>
      <c r="J18"/>
      <c r="K18"/>
      <c r="L18"/>
      <c r="M18"/>
      <c r="N18"/>
      <c r="O18"/>
      <c r="P18"/>
      <c r="Q18"/>
      <c r="R18"/>
      <c r="S18"/>
      <c r="T18"/>
      <c r="U18"/>
      <c r="V18"/>
      <c r="W18"/>
      <c r="X18"/>
      <c r="Y18"/>
      <c r="Z18"/>
      <c r="AA18"/>
    </row>
    <row r="19" spans="1:27">
      <c r="A19" t="s">
        <v>536</v>
      </c>
      <c r="B19" s="15" t="s">
        <v>104</v>
      </c>
      <c r="C19" s="15" t="str">
        <f>HYPERLINK("02-项目级\P2-Qcubic to MySQL数据同步工具 V1.0\01-生存周期\03-项目策划\03-项目计划书 (QCUBIC-SJTB-PLAN-Plan)V1.0-engl.docx", "engl")</f>
        <v>engl</v>
      </c>
      <c r="D19"/>
      <c r="E19" t="s">
        <v>426</v>
      </c>
      <c r="F19" t="s">
        <v>426</v>
      </c>
      <c r="G19"/>
      <c r="H19"/>
      <c r="I19"/>
      <c r="J19"/>
      <c r="K19"/>
      <c r="L19"/>
      <c r="M19"/>
      <c r="N19"/>
      <c r="O19"/>
      <c r="P19"/>
      <c r="Q19"/>
      <c r="R19"/>
      <c r="S19"/>
      <c r="T19"/>
      <c r="U19"/>
      <c r="V19"/>
      <c r="W19"/>
      <c r="X19"/>
      <c r="Y19"/>
      <c r="Z19"/>
      <c r="AA19"/>
    </row>
    <row r="20" spans="1:27">
      <c r="A20" t="s">
        <v>536</v>
      </c>
      <c r="B20" s="15" t="s">
        <v>104</v>
      </c>
      <c r="C20" s="15" t="str">
        <f>HYPERLINK("01-组织级\02-组织工作库\02-EPG活动库\03-过程改进计划\过程改进计划(QCUBIC-SPI-PIM-PIPlan)V1.2-engl.docx", "engl")</f>
        <v>engl</v>
      </c>
      <c r="D20"/>
      <c r="E20"/>
      <c r="F20" t="s">
        <v>426</v>
      </c>
      <c r="G20"/>
      <c r="H20"/>
      <c r="I20"/>
      <c r="J20"/>
      <c r="K20"/>
      <c r="L20"/>
      <c r="M20"/>
      <c r="N20"/>
      <c r="O20"/>
      <c r="P20"/>
      <c r="Q20"/>
      <c r="R20"/>
      <c r="S20"/>
      <c r="T20"/>
      <c r="U20"/>
      <c r="V20"/>
      <c r="W20"/>
      <c r="X20"/>
      <c r="Y20"/>
      <c r="Z20"/>
      <c r="AA20"/>
    </row>
    <row r="21" spans="1:27">
      <c r="A21" t="s">
        <v>536</v>
      </c>
      <c r="B21" s="15" t="s">
        <v>104</v>
      </c>
      <c r="C21" s="15" t="str">
        <f>HYPERLINK("01-组织级\02-组织工作库\03-PQA活动库\组织级不符合项管理表(QCUBIC-SPI-PQA-NCList)V1.2-engl.xlsx", "engl")</f>
        <v>engl</v>
      </c>
      <c r="D21"/>
      <c r="E21"/>
      <c r="F21"/>
      <c r="G21" t="s">
        <v>426</v>
      </c>
      <c r="H21"/>
      <c r="I21" t="s">
        <v>426</v>
      </c>
      <c r="J21"/>
      <c r="K21"/>
      <c r="L21"/>
      <c r="M21"/>
      <c r="N21"/>
      <c r="O21"/>
      <c r="P21"/>
      <c r="Q21"/>
      <c r="R21"/>
      <c r="S21"/>
      <c r="T21"/>
      <c r="U21"/>
      <c r="V21"/>
      <c r="W21"/>
      <c r="X21"/>
      <c r="Y21"/>
      <c r="Z21"/>
      <c r="AA21"/>
    </row>
    <row r="22" spans="1:27">
      <c r="A22" t="s">
        <v>536</v>
      </c>
      <c r="B22" s="15" t="s">
        <v>104</v>
      </c>
      <c r="C22" s="15" t="str">
        <f>HYPERLINK("01-组织级\02-组织工作库\06-度量\组织度量表(QCUBIC-SPI-MPM-Tem-datasheet)V1.3-engl.xlsx", "engl")</f>
        <v>engl</v>
      </c>
      <c r="D22"/>
      <c r="E22"/>
      <c r="F22"/>
      <c r="G22"/>
      <c r="H22"/>
      <c r="I22" t="s">
        <v>426</v>
      </c>
      <c r="J22"/>
      <c r="K22"/>
      <c r="L22"/>
      <c r="M22"/>
      <c r="N22"/>
      <c r="O22"/>
      <c r="P22"/>
      <c r="Q22"/>
      <c r="R22"/>
      <c r="S22"/>
      <c r="T22"/>
      <c r="U22"/>
      <c r="V22"/>
      <c r="W22"/>
      <c r="X22"/>
      <c r="Y22"/>
      <c r="Z22"/>
      <c r="AA22"/>
    </row>
    <row r="23" spans="1:27">
      <c r="A23" t="s">
        <v>536</v>
      </c>
      <c r="B23" s="15" t="s">
        <v>104</v>
      </c>
      <c r="C23" s="15" t="str">
        <f>HYPERLINK("01-组织级\02-组织工作库\02-EPG活动库\过程改进总结报告-engl.pptx", "engl")</f>
        <v>engl</v>
      </c>
      <c r="D23"/>
      <c r="E23"/>
      <c r="F23"/>
      <c r="G23"/>
      <c r="H23"/>
      <c r="I23" t="s">
        <v>426</v>
      </c>
      <c r="J23"/>
      <c r="K23"/>
      <c r="L23"/>
      <c r="M23"/>
      <c r="N23"/>
      <c r="O23"/>
      <c r="P23"/>
      <c r="Q23"/>
      <c r="R23"/>
      <c r="S23"/>
      <c r="T23"/>
      <c r="U23"/>
      <c r="V23"/>
      <c r="W23"/>
      <c r="X23"/>
      <c r="Y23"/>
      <c r="Z23"/>
      <c r="AA23"/>
    </row>
    <row r="24" spans="1:27">
      <c r="A24" t="s">
        <v>536</v>
      </c>
      <c r="B24" s="15" t="s">
        <v>104</v>
      </c>
      <c r="C24" s="15" t="str">
        <f>HYPERLINK("01-组织级\02-组织工作库\02-EPG活动库\07-EPG跟踪\05-过程改进建议表\过程改进建议表(QCUBIC-SPI-PIM-SPIAdvic)V1.2-engl.xlsx", "engl")</f>
        <v>engl</v>
      </c>
      <c r="D24"/>
      <c r="E24"/>
      <c r="F24"/>
      <c r="G24"/>
      <c r="H24"/>
      <c r="I24"/>
      <c r="J24" t="s">
        <v>426</v>
      </c>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33CCF2F7-BF0B-46CA-983C-B6516D32FCB6}"/>
    <hyperlink ref="B17" r:id="rId2" xr:uid="{CC3397DA-E2EC-4AC3-BC12-CCC41F28AD5C}"/>
    <hyperlink ref="B18" r:id="rId3" xr:uid="{CB7C0748-BF19-40C3-A784-91144794FF8F}"/>
    <hyperlink ref="B19" r:id="rId4" xr:uid="{966A389F-06A5-4DE5-9933-9B7A3797DC8F}"/>
    <hyperlink ref="B20" r:id="rId5" xr:uid="{778000F6-5AB6-4DB4-98C7-9439E780A79A}"/>
    <hyperlink ref="B21" r:id="rId6" xr:uid="{EB3FA398-C607-454F-910F-A15BD006A967}"/>
    <hyperlink ref="B22" r:id="rId7" xr:uid="{2E5FCC7A-AD28-4CAF-B9A6-25006087A744}"/>
    <hyperlink ref="B23" r:id="rId8" xr:uid="{0957568F-3549-4A31-9F37-F7D1315BA6BC}"/>
    <hyperlink ref="B24" r:id="rId9" xr:uid="{18412005-E11F-4642-A59D-73B1C33A2586}"/>
  </hyperlinks>
  <pageMargins left="0.7" right="0.7" top="0.75" bottom="0.75" header="0.3" footer="0.3"/>
  <pageSetup paperSize="9" orientation="portrait" r:id="rId1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CD2E0-48C0-4B18-AA10-1DE0AE312EDD}">
  <sheetPr codeName="Sheet27">
    <tabColor rgb="FF6B2B88"/>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2.6640625" style="123" customWidth="1"/>
    <col min="2" max="4" width="7.88671875" style="123" customWidth="1"/>
    <col min="5" max="6" width="27.6640625" style="123" customWidth="1"/>
    <col min="7" max="12" width="27.6640625" style="108" customWidth="1"/>
    <col min="13" max="13" width="17.5546875" style="108" customWidth="1"/>
    <col min="14" max="14" width="3.6640625" style="108" customWidth="1"/>
    <col min="15" max="15" width="34.88671875" style="108" bestFit="1" customWidth="1"/>
    <col min="16" max="16" width="98.109375" style="107" customWidth="1"/>
    <col min="17" max="17" width="18.6640625" style="123" customWidth="1"/>
    <col min="18" max="16384" width="8.6640625" style="123"/>
  </cols>
  <sheetData>
    <row r="1" spans="1:27" s="107" customFormat="1" ht="18">
      <c r="A1" s="105" t="s">
        <v>404</v>
      </c>
      <c r="B1" s="105"/>
      <c r="C1" s="105"/>
      <c r="D1" s="105"/>
      <c r="E1" s="106"/>
      <c r="G1" s="108"/>
      <c r="H1" s="108"/>
      <c r="I1" s="108"/>
      <c r="J1" s="108"/>
      <c r="K1" s="108"/>
      <c r="L1" s="108"/>
      <c r="M1" s="108"/>
      <c r="N1" s="108"/>
      <c r="O1" s="108"/>
    </row>
    <row r="2" spans="1:27" s="107" customFormat="1">
      <c r="A2" s="110" t="s">
        <v>1424</v>
      </c>
      <c r="B2" s="110"/>
      <c r="C2" s="110"/>
      <c r="D2" s="110"/>
      <c r="E2" s="107" t="s">
        <v>1425</v>
      </c>
      <c r="G2" s="108"/>
      <c r="H2" s="108"/>
      <c r="I2" s="108"/>
      <c r="J2" s="108"/>
      <c r="K2" s="108"/>
      <c r="L2" s="108"/>
      <c r="M2" s="108"/>
      <c r="N2" s="108"/>
      <c r="O2" s="108"/>
    </row>
    <row r="3" spans="1:27" s="107" customFormat="1">
      <c r="A3" s="107" t="s">
        <v>1426</v>
      </c>
      <c r="E3" s="107" t="s">
        <v>1427</v>
      </c>
      <c r="G3" s="108"/>
      <c r="H3" s="108"/>
      <c r="I3" s="108"/>
      <c r="J3" s="108"/>
      <c r="K3" s="108"/>
      <c r="L3" s="108"/>
      <c r="M3" s="108"/>
      <c r="N3" s="108"/>
      <c r="O3" s="108"/>
    </row>
    <row r="4" spans="1:27" s="107" customFormat="1" ht="14.4">
      <c r="A4" s="111"/>
      <c r="B4" s="111"/>
      <c r="C4" s="111"/>
      <c r="D4" s="111"/>
      <c r="E4" s="112" t="s">
        <v>47</v>
      </c>
      <c r="F4" s="113" t="s">
        <v>54</v>
      </c>
      <c r="G4" s="113"/>
      <c r="H4" s="114"/>
      <c r="I4" s="113"/>
      <c r="J4" s="116" t="s">
        <v>56</v>
      </c>
      <c r="K4" s="150"/>
      <c r="L4" s="173" t="s">
        <v>57</v>
      </c>
      <c r="M4" s="117"/>
      <c r="N4" s="117"/>
      <c r="O4" s="117"/>
      <c r="R4" s="110"/>
      <c r="S4" s="117"/>
      <c r="T4" s="117"/>
    </row>
    <row r="5" spans="1:27" s="107" customFormat="1" ht="14.4">
      <c r="A5" s="118"/>
      <c r="B5" s="118"/>
      <c r="C5" s="118"/>
      <c r="D5" s="118"/>
      <c r="E5" s="119" t="s">
        <v>539</v>
      </c>
      <c r="F5" s="120" t="s">
        <v>540</v>
      </c>
      <c r="G5" s="120"/>
      <c r="H5" s="114"/>
      <c r="I5" s="120"/>
      <c r="J5" s="116" t="s">
        <v>541</v>
      </c>
      <c r="K5" s="150"/>
      <c r="L5" s="174" t="s">
        <v>805</v>
      </c>
      <c r="M5" s="118"/>
      <c r="N5" s="118"/>
      <c r="O5" s="118"/>
      <c r="R5" s="110"/>
      <c r="S5" s="118"/>
      <c r="T5" s="117"/>
    </row>
    <row r="6" spans="1:27" s="107" customFormat="1">
      <c r="A6" s="284"/>
      <c r="B6" s="284"/>
      <c r="C6" s="284"/>
      <c r="D6" s="284"/>
      <c r="E6" s="3" t="s">
        <v>94</v>
      </c>
      <c r="F6" s="90" t="s">
        <v>375</v>
      </c>
      <c r="G6" s="90" t="s">
        <v>376</v>
      </c>
      <c r="H6" s="90" t="s">
        <v>377</v>
      </c>
      <c r="I6" s="90" t="s">
        <v>378</v>
      </c>
      <c r="J6" s="91" t="s">
        <v>379</v>
      </c>
      <c r="K6" s="91" t="s">
        <v>380</v>
      </c>
      <c r="L6" s="176" t="s">
        <v>381</v>
      </c>
      <c r="M6" s="93"/>
      <c r="N6" s="93"/>
      <c r="O6" s="93"/>
      <c r="Q6" s="123"/>
    </row>
    <row r="7" spans="1:27" s="107" customFormat="1" ht="118.35" customHeight="1">
      <c r="A7" s="285" t="s">
        <v>643</v>
      </c>
      <c r="B7" s="285"/>
      <c r="C7" s="285"/>
      <c r="D7" s="285"/>
      <c r="E7" s="97" t="s">
        <v>1428</v>
      </c>
      <c r="F7" s="97" t="s">
        <v>1429</v>
      </c>
      <c r="G7" s="97" t="s">
        <v>1430</v>
      </c>
      <c r="H7" s="97" t="s">
        <v>1431</v>
      </c>
      <c r="I7" s="97" t="s">
        <v>1432</v>
      </c>
      <c r="J7" s="97" t="s">
        <v>1433</v>
      </c>
      <c r="K7" s="97" t="s">
        <v>1434</v>
      </c>
      <c r="L7" s="97" t="s">
        <v>1435</v>
      </c>
      <c r="M7" s="93"/>
      <c r="N7" s="93"/>
      <c r="O7" s="93"/>
    </row>
    <row r="8" spans="1:27" s="107" customFormat="1" ht="96.6">
      <c r="A8" s="284" t="s">
        <v>553</v>
      </c>
      <c r="B8" s="284"/>
      <c r="C8" s="284"/>
      <c r="D8" s="284"/>
      <c r="E8" s="102" t="s">
        <v>1436</v>
      </c>
      <c r="F8" s="102" t="s">
        <v>1437</v>
      </c>
      <c r="G8" s="102" t="s">
        <v>1438</v>
      </c>
      <c r="H8" s="102" t="s">
        <v>1439</v>
      </c>
      <c r="I8" s="102" t="s">
        <v>1440</v>
      </c>
      <c r="J8" s="102" t="s">
        <v>1441</v>
      </c>
      <c r="K8" s="103" t="s">
        <v>1442</v>
      </c>
      <c r="L8" s="125" t="s">
        <v>1443</v>
      </c>
      <c r="M8" s="127"/>
      <c r="N8" s="127"/>
      <c r="O8" s="127"/>
    </row>
    <row r="9" spans="1:27" s="107" customFormat="1" ht="192">
      <c r="A9" s="284" t="s">
        <v>96</v>
      </c>
      <c r="B9" s="284"/>
      <c r="C9" s="284"/>
      <c r="D9" s="284"/>
      <c r="E9" s="98" t="s">
        <v>1444</v>
      </c>
      <c r="F9" s="98" t="s">
        <v>1445</v>
      </c>
      <c r="G9" s="98" t="s">
        <v>1446</v>
      </c>
      <c r="H9" s="98" t="s">
        <v>1447</v>
      </c>
      <c r="I9" s="98" t="s">
        <v>1448</v>
      </c>
      <c r="J9" s="98" t="s">
        <v>1449</v>
      </c>
      <c r="K9" s="98" t="s">
        <v>1450</v>
      </c>
      <c r="L9" s="98" t="s">
        <v>1451</v>
      </c>
      <c r="M9" s="99"/>
      <c r="N9" s="99"/>
      <c r="O9" s="99"/>
    </row>
    <row r="10" spans="1:27" s="107" customFormat="1" ht="303.60000000000002">
      <c r="A10" s="122" t="s">
        <v>574</v>
      </c>
      <c r="B10" s="171"/>
      <c r="C10" s="171"/>
      <c r="D10" s="171"/>
      <c r="E10" s="290" t="s">
        <v>1452</v>
      </c>
      <c r="F10" s="290" t="s">
        <v>1453</v>
      </c>
      <c r="G10" s="290" t="s">
        <v>1454</v>
      </c>
      <c r="H10" s="291" t="s">
        <v>1455</v>
      </c>
      <c r="I10" s="290" t="s">
        <v>1456</v>
      </c>
      <c r="J10" s="291" t="s">
        <v>1457</v>
      </c>
      <c r="K10" s="291" t="s">
        <v>1458</v>
      </c>
      <c r="L10" s="292" t="s">
        <v>1459</v>
      </c>
      <c r="M10" s="293"/>
      <c r="N10" s="293"/>
      <c r="O10" s="294"/>
    </row>
    <row r="11" spans="1:27" s="107" customFormat="1" ht="303.60000000000002">
      <c r="A11" s="287" t="s">
        <v>85</v>
      </c>
      <c r="B11" s="287"/>
      <c r="C11" s="287"/>
      <c r="D11" s="287"/>
      <c r="E11" s="102" t="s">
        <v>1460</v>
      </c>
      <c r="F11" s="292" t="s">
        <v>1461</v>
      </c>
      <c r="G11" s="292" t="s">
        <v>1462</v>
      </c>
      <c r="H11" s="292" t="s">
        <v>1463</v>
      </c>
      <c r="I11" s="292" t="s">
        <v>1464</v>
      </c>
      <c r="J11" s="292" t="s">
        <v>1465</v>
      </c>
      <c r="K11" s="292" t="s">
        <v>1466</v>
      </c>
      <c r="L11" s="292" t="s">
        <v>1467</v>
      </c>
      <c r="M11" s="293"/>
      <c r="N11" s="293"/>
      <c r="O11" s="294"/>
      <c r="P11" s="108"/>
      <c r="Q11" s="108"/>
    </row>
    <row r="12" spans="1:27" s="117" customFormat="1" ht="14.4">
      <c r="A12" s="123"/>
      <c r="B12" s="123"/>
      <c r="C12" s="123"/>
      <c r="D12" s="123"/>
      <c r="E12" s="123"/>
      <c r="F12" s="123"/>
      <c r="G12" s="108"/>
      <c r="H12" s="108"/>
      <c r="I12" s="108"/>
      <c r="J12" s="108"/>
      <c r="K12" s="108"/>
      <c r="L12" s="108"/>
      <c r="M12" s="108"/>
      <c r="N12" s="108"/>
      <c r="O12" s="108"/>
      <c r="P12" s="107"/>
      <c r="Q12" s="123"/>
    </row>
    <row r="13" spans="1:27" s="117" customFormat="1" ht="14.4">
      <c r="A13" s="123"/>
      <c r="B13" s="123"/>
      <c r="C13" s="123"/>
      <c r="D13" s="123"/>
      <c r="E13" s="123"/>
      <c r="F13" s="123"/>
      <c r="G13" s="108"/>
      <c r="H13" s="108"/>
      <c r="I13" s="108"/>
      <c r="J13" s="108"/>
      <c r="K13" s="108"/>
      <c r="L13" s="108"/>
      <c r="M13" s="108"/>
      <c r="N13" s="108"/>
      <c r="O13" s="108"/>
      <c r="P13" s="107"/>
      <c r="Q13" s="123"/>
    </row>
    <row r="14" spans="1:27" s="117" customFormat="1" ht="14.4">
      <c r="A14" s="123"/>
      <c r="B14" s="123"/>
      <c r="C14" s="123"/>
      <c r="D14" s="123"/>
      <c r="E14" s="123"/>
      <c r="F14" s="123"/>
      <c r="G14" s="108"/>
      <c r="H14" s="108"/>
      <c r="I14" s="108"/>
      <c r="J14" s="108"/>
      <c r="K14" s="108"/>
      <c r="L14" s="108"/>
      <c r="M14" s="108"/>
      <c r="N14" s="108"/>
      <c r="O14" s="108"/>
      <c r="P14" s="107"/>
      <c r="Q14" s="123"/>
    </row>
    <row r="15" spans="1:27" customFormat="1" ht="14.4">
      <c r="A15" t="s">
        <v>443</v>
      </c>
      <c r="B15" t="s">
        <v>104</v>
      </c>
      <c r="C15" t="s">
        <v>105</v>
      </c>
      <c r="D15" s="295" t="s">
        <v>442</v>
      </c>
      <c r="E15" s="14" t="s">
        <v>94</v>
      </c>
      <c r="F15" s="14" t="s">
        <v>375</v>
      </c>
      <c r="G15" s="14" t="s">
        <v>376</v>
      </c>
      <c r="H15" s="14" t="s">
        <v>377</v>
      </c>
      <c r="I15" s="14" t="s">
        <v>378</v>
      </c>
      <c r="J15" s="14" t="s">
        <v>379</v>
      </c>
      <c r="K15" s="14" t="s">
        <v>380</v>
      </c>
      <c r="L15" s="14" t="s">
        <v>381</v>
      </c>
      <c r="M15" s="14"/>
    </row>
    <row r="16" spans="1:27" s="117" customFormat="1" ht="14.4">
      <c r="A16" t="s">
        <v>536</v>
      </c>
      <c r="B16" s="15" t="s">
        <v>104</v>
      </c>
      <c r="C16" s="15" t="str">
        <f>HYPERLINK("01-组织级\01-组织财富库\01-标准过程文件库\04-组织过程类\02-过程资产管理\组织方针 (QCUBIC-SPI-OPAL-Ply-Doc)V1.2-engl.docx", "engl")</f>
        <v>engl</v>
      </c>
      <c r="D16"/>
      <c r="E16" t="s">
        <v>426</v>
      </c>
      <c r="F16" t="s">
        <v>426</v>
      </c>
      <c r="G16"/>
      <c r="H16"/>
      <c r="I16"/>
      <c r="J16"/>
      <c r="K16"/>
      <c r="L16"/>
      <c r="M16"/>
      <c r="N16"/>
      <c r="O16"/>
      <c r="P16"/>
      <c r="Q16"/>
      <c r="R16"/>
      <c r="S16"/>
      <c r="T16"/>
      <c r="U16"/>
      <c r="V16"/>
      <c r="W16"/>
      <c r="X16"/>
      <c r="Y16"/>
      <c r="Z16"/>
      <c r="AA16"/>
    </row>
    <row r="17" spans="1:27" s="117" customFormat="1" ht="14.4">
      <c r="A17" t="s">
        <v>536</v>
      </c>
      <c r="B17" s="15" t="s">
        <v>104</v>
      </c>
      <c r="C17" s="15" t="str">
        <f>HYPERLINK("01-组织级\02-组织工作库\02-EPG活动库\03-过程改进计划\过程改进计划(QCUBIC-SPI-PIM-PIPlan)V1.2-engl.docx", "engl")</f>
        <v>engl</v>
      </c>
      <c r="D17"/>
      <c r="E17"/>
      <c r="F17"/>
      <c r="G17" t="s">
        <v>426</v>
      </c>
      <c r="H17"/>
      <c r="I17"/>
      <c r="J17"/>
      <c r="K17"/>
      <c r="L17"/>
      <c r="M17"/>
      <c r="N17"/>
      <c r="O17"/>
      <c r="P17"/>
      <c r="Q17"/>
      <c r="R17"/>
      <c r="S17"/>
      <c r="T17"/>
      <c r="U17"/>
      <c r="V17"/>
      <c r="W17"/>
      <c r="X17"/>
      <c r="Y17"/>
      <c r="Z17"/>
      <c r="AA17"/>
    </row>
    <row r="18" spans="1:27" s="117" customFormat="1" ht="14.4">
      <c r="A18" t="s">
        <v>536</v>
      </c>
      <c r="B18" s="15" t="s">
        <v>104</v>
      </c>
      <c r="C18" s="15" t="str">
        <f>HYPERLINK("01-组织级\02-组织工作库\05-OT培训库\01_公司级培训\03_2022年培训计划\02_年度培训计划\2022培训课程表(ORG_OT_TraininCNSchedule)V1.0-engl.xlsx", "engl")</f>
        <v>engl</v>
      </c>
      <c r="D18"/>
      <c r="E18"/>
      <c r="F18"/>
      <c r="G18" t="s">
        <v>426</v>
      </c>
      <c r="H18"/>
      <c r="I18"/>
      <c r="J18"/>
      <c r="K18"/>
      <c r="L18"/>
      <c r="M18"/>
      <c r="N18"/>
      <c r="O18"/>
      <c r="P18"/>
      <c r="Q18"/>
      <c r="R18"/>
      <c r="S18"/>
      <c r="T18"/>
      <c r="U18"/>
      <c r="V18"/>
      <c r="W18"/>
      <c r="X18"/>
      <c r="Y18"/>
      <c r="Z18"/>
      <c r="AA18"/>
    </row>
    <row r="19" spans="1:27" s="117" customFormat="1" ht="14.4">
      <c r="A19" t="s">
        <v>536</v>
      </c>
      <c r="B19" s="15" t="s">
        <v>104</v>
      </c>
      <c r="C19"/>
      <c r="D19"/>
      <c r="E19"/>
      <c r="F19"/>
      <c r="G19" t="s">
        <v>426</v>
      </c>
      <c r="H19"/>
      <c r="I19"/>
      <c r="J19"/>
      <c r="K19"/>
      <c r="L19"/>
      <c r="M19"/>
      <c r="N19"/>
      <c r="O19"/>
      <c r="P19"/>
      <c r="Q19"/>
      <c r="R19"/>
      <c r="S19"/>
      <c r="T19"/>
      <c r="U19"/>
      <c r="V19"/>
      <c r="W19"/>
      <c r="X19"/>
      <c r="Y19"/>
      <c r="Z19"/>
      <c r="AA19"/>
    </row>
    <row r="20" spans="1:27" s="117" customFormat="1" ht="14.4">
      <c r="A20" t="s">
        <v>536</v>
      </c>
      <c r="B20" s="15" t="s">
        <v>104</v>
      </c>
      <c r="C20"/>
      <c r="D20"/>
      <c r="E20"/>
      <c r="F20"/>
      <c r="G20" t="s">
        <v>426</v>
      </c>
      <c r="H20"/>
      <c r="I20"/>
      <c r="J20"/>
      <c r="K20"/>
      <c r="L20"/>
      <c r="M20"/>
      <c r="N20"/>
      <c r="O20"/>
      <c r="P20"/>
      <c r="Q20"/>
      <c r="R20"/>
      <c r="S20"/>
      <c r="T20"/>
      <c r="U20"/>
      <c r="V20"/>
      <c r="W20"/>
      <c r="X20"/>
      <c r="Y20"/>
      <c r="Z20"/>
      <c r="AA20"/>
    </row>
    <row r="21" spans="1:27" s="117" customFormat="1" ht="14.4">
      <c r="A21" t="s">
        <v>536</v>
      </c>
      <c r="B21" s="15" t="s">
        <v>104</v>
      </c>
      <c r="C21"/>
      <c r="D21"/>
      <c r="E21"/>
      <c r="F21"/>
      <c r="G21"/>
      <c r="H21" t="s">
        <v>426</v>
      </c>
      <c r="I21" t="s">
        <v>426</v>
      </c>
      <c r="J21"/>
      <c r="K21"/>
      <c r="L21"/>
      <c r="M21"/>
      <c r="N21"/>
      <c r="O21"/>
      <c r="P21"/>
      <c r="Q21"/>
      <c r="R21"/>
      <c r="S21"/>
      <c r="T21"/>
      <c r="U21"/>
      <c r="V21"/>
      <c r="W21"/>
      <c r="X21"/>
      <c r="Y21"/>
      <c r="Z21"/>
      <c r="AA21"/>
    </row>
    <row r="22" spans="1:27" s="117" customFormat="1" ht="14.4">
      <c r="A22" t="s">
        <v>536</v>
      </c>
      <c r="B22" s="15" t="s">
        <v>104</v>
      </c>
      <c r="C22" s="15" t="str">
        <f>HYPERLINK("01-组织级\02-组织工作库\02-EPG活动库\过程改进总结报告-engl.pptx", "engl")</f>
        <v>engl</v>
      </c>
      <c r="D22"/>
      <c r="E22"/>
      <c r="F22"/>
      <c r="G22"/>
      <c r="H22" t="s">
        <v>426</v>
      </c>
      <c r="I22" t="s">
        <v>426</v>
      </c>
      <c r="J22"/>
      <c r="K22" t="s">
        <v>426</v>
      </c>
      <c r="L22"/>
      <c r="M22"/>
      <c r="N22"/>
      <c r="O22"/>
      <c r="P22"/>
      <c r="Q22"/>
      <c r="R22"/>
      <c r="S22"/>
      <c r="T22"/>
      <c r="U22"/>
      <c r="V22"/>
      <c r="W22"/>
      <c r="X22"/>
      <c r="Y22"/>
      <c r="Z22"/>
      <c r="AA22"/>
    </row>
    <row r="23" spans="1:27" s="117" customFormat="1" ht="14.4">
      <c r="A23" t="s">
        <v>536</v>
      </c>
      <c r="B23" s="15" t="s">
        <v>104</v>
      </c>
      <c r="C23" s="15" t="str">
        <f>HYPERLINK("01-组织级\02-组织工作库\02-EPG活动库\07-EPG跟踪\06-过程改进里程碑\过程改进里程碑报告(ORG_PCM_Milestone_20220628)V1.0-engl.docx", "engl")</f>
        <v>engl</v>
      </c>
      <c r="D23"/>
      <c r="E23"/>
      <c r="F23"/>
      <c r="G23"/>
      <c r="H23" t="s">
        <v>426</v>
      </c>
      <c r="I23" t="s">
        <v>426</v>
      </c>
      <c r="J23"/>
      <c r="K23"/>
      <c r="L23"/>
      <c r="M23"/>
      <c r="N23"/>
      <c r="O23"/>
      <c r="P23"/>
      <c r="Q23"/>
      <c r="R23"/>
      <c r="S23"/>
      <c r="T23"/>
      <c r="U23"/>
      <c r="V23"/>
      <c r="W23"/>
      <c r="X23"/>
      <c r="Y23"/>
      <c r="Z23"/>
      <c r="AA23"/>
    </row>
    <row r="24" spans="1:27" s="117" customFormat="1" ht="14.4">
      <c r="A24" t="s">
        <v>536</v>
      </c>
      <c r="B24" s="15" t="s">
        <v>104</v>
      </c>
      <c r="C24" s="15" t="str">
        <f>HYPERLINK("01-组织级\02-组织工作库\06-度量\组织度量表(QCUBIC-SPI-MPM-Tem-datasheet)V1.3-engl.xlsx", "engl")</f>
        <v>engl</v>
      </c>
      <c r="D24"/>
      <c r="E24"/>
      <c r="F24"/>
      <c r="G24"/>
      <c r="H24" t="s">
        <v>426</v>
      </c>
      <c r="I24" t="s">
        <v>426</v>
      </c>
      <c r="J24" t="s">
        <v>426</v>
      </c>
      <c r="K24" t="s">
        <v>426</v>
      </c>
      <c r="L24"/>
      <c r="M24"/>
      <c r="N24"/>
      <c r="O24"/>
      <c r="P24"/>
      <c r="Q24"/>
      <c r="R24"/>
      <c r="S24"/>
      <c r="T24"/>
      <c r="U24"/>
      <c r="V24"/>
      <c r="W24"/>
      <c r="X24"/>
      <c r="Y24"/>
      <c r="Z24"/>
      <c r="AA24"/>
    </row>
    <row r="25" spans="1:27" s="117" customFormat="1" ht="14.4">
      <c r="A25" t="s">
        <v>536</v>
      </c>
      <c r="B25" s="15" t="s">
        <v>104</v>
      </c>
      <c r="C25" s="15" t="str">
        <f>HYPERLINK("01-组织级\02-组织工作库\06-度量\组织度量计划(QCUBIC-SPI-MPM-Plan)V1.3-engl.xlsx", "engl")</f>
        <v>engl</v>
      </c>
      <c r="D25"/>
      <c r="E25"/>
      <c r="F25"/>
      <c r="G25"/>
      <c r="H25" t="s">
        <v>426</v>
      </c>
      <c r="I25" t="s">
        <v>426</v>
      </c>
      <c r="J25" t="s">
        <v>426</v>
      </c>
      <c r="K25" t="s">
        <v>426</v>
      </c>
      <c r="L25"/>
      <c r="M25"/>
      <c r="N25"/>
      <c r="O25"/>
      <c r="P25"/>
      <c r="Q25"/>
      <c r="R25"/>
      <c r="S25"/>
      <c r="T25"/>
      <c r="U25"/>
      <c r="V25"/>
      <c r="W25"/>
      <c r="X25"/>
      <c r="Y25"/>
      <c r="Z25"/>
      <c r="AA25"/>
    </row>
    <row r="26" spans="1:27" s="117" customFormat="1" ht="14.4">
      <c r="A26" t="s">
        <v>536</v>
      </c>
      <c r="B26" s="15" t="s">
        <v>104</v>
      </c>
      <c r="C26" s="15" t="str">
        <f>HYPERLINK("01-组织级\02-组织工作库\03-PQA活动库\组织级的质量保证计划(QCUBIC-SPI-PQA-OQAPlan)V1.4-engl.xlsx", "engl")</f>
        <v>engl</v>
      </c>
      <c r="D26"/>
      <c r="E26"/>
      <c r="F26"/>
      <c r="G26"/>
      <c r="H26"/>
      <c r="I26" t="s">
        <v>426</v>
      </c>
      <c r="J26"/>
      <c r="K26"/>
      <c r="L26"/>
      <c r="M26"/>
      <c r="N26"/>
      <c r="O26"/>
      <c r="P26"/>
      <c r="Q26"/>
      <c r="R26"/>
      <c r="S26"/>
      <c r="T26"/>
      <c r="U26"/>
      <c r="V26"/>
      <c r="W26"/>
      <c r="X26"/>
      <c r="Y26"/>
      <c r="Z26"/>
      <c r="AA26"/>
    </row>
    <row r="27" spans="1:27" s="117" customFormat="1" ht="14.4">
      <c r="A27"/>
      <c r="B27"/>
      <c r="C27"/>
      <c r="D27"/>
      <c r="E27"/>
      <c r="F27"/>
      <c r="G27"/>
      <c r="H27"/>
      <c r="I27"/>
      <c r="J27"/>
      <c r="K27"/>
      <c r="L27"/>
      <c r="M27"/>
      <c r="N27"/>
      <c r="O27"/>
      <c r="P27"/>
      <c r="Q27"/>
      <c r="R27"/>
      <c r="S27"/>
      <c r="T27"/>
      <c r="U27"/>
      <c r="V27"/>
      <c r="W27"/>
      <c r="X27"/>
      <c r="Y27"/>
      <c r="Z27"/>
      <c r="AA27"/>
    </row>
    <row r="28" spans="1:27" s="117" customFormat="1" ht="14.4">
      <c r="A28"/>
      <c r="B28"/>
      <c r="C28"/>
      <c r="D28"/>
      <c r="E28"/>
      <c r="F28"/>
      <c r="G28"/>
      <c r="H28"/>
      <c r="I28"/>
      <c r="J28"/>
      <c r="K28"/>
      <c r="L28"/>
      <c r="M28"/>
      <c r="N28"/>
      <c r="O28"/>
      <c r="P28"/>
      <c r="Q28"/>
      <c r="R28"/>
      <c r="S28"/>
      <c r="T28"/>
      <c r="U28"/>
      <c r="V28"/>
      <c r="W28"/>
      <c r="X28"/>
      <c r="Y28"/>
      <c r="Z28"/>
      <c r="AA28"/>
    </row>
    <row r="29" spans="1:27" s="130" customFormat="1" ht="14.4">
      <c r="A29"/>
      <c r="B29"/>
      <c r="C29"/>
      <c r="D29"/>
      <c r="E29"/>
      <c r="F29"/>
      <c r="G29"/>
      <c r="H29"/>
      <c r="I29"/>
      <c r="J29"/>
      <c r="K29"/>
      <c r="L29"/>
      <c r="M29"/>
      <c r="N29"/>
      <c r="O29"/>
      <c r="P29"/>
      <c r="Q29"/>
      <c r="R29"/>
      <c r="S29"/>
      <c r="T29"/>
      <c r="U29"/>
      <c r="V29"/>
      <c r="W29"/>
      <c r="X29"/>
      <c r="Y29"/>
      <c r="Z29"/>
      <c r="AA29"/>
    </row>
    <row r="30" spans="1:27" s="130" customFormat="1" ht="17.100000000000001" customHeight="1">
      <c r="A30"/>
      <c r="B30"/>
      <c r="C30"/>
      <c r="D30"/>
      <c r="E30"/>
      <c r="F30"/>
      <c r="G30"/>
      <c r="H30"/>
      <c r="I30"/>
      <c r="J30"/>
      <c r="K30"/>
      <c r="L30"/>
      <c r="M30"/>
      <c r="N30"/>
      <c r="O30"/>
      <c r="P30"/>
      <c r="Q30"/>
      <c r="R30"/>
      <c r="S30"/>
      <c r="T30"/>
      <c r="U30"/>
      <c r="V30"/>
      <c r="W30"/>
      <c r="X30"/>
      <c r="Y30"/>
      <c r="Z30"/>
      <c r="AA30"/>
    </row>
    <row r="31" spans="1:27" s="107" customFormat="1"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8F376F31-8541-48DD-8CCC-8DA06B9153CC}"/>
    <hyperlink ref="B17" r:id="rId2" xr:uid="{FFF9FEF4-954C-4C4D-9D11-78EB74DBBD55}"/>
    <hyperlink ref="B18" r:id="rId3" xr:uid="{0C752AEF-91FB-4130-BF86-8A02FA905EC0}"/>
    <hyperlink ref="B19" r:id="rId4" xr:uid="{5A1365B3-8676-490F-82F6-6AED781C294C}"/>
    <hyperlink ref="B20" r:id="rId5" xr:uid="{002133FC-E2FC-4BFB-B07D-3BEDD49719FA}"/>
    <hyperlink ref="B21" r:id="rId6" xr:uid="{F0466F7C-E47D-45CC-8C32-0B35D107A100}"/>
    <hyperlink ref="B22" r:id="rId7" xr:uid="{9B81923D-75FB-436B-A311-1C2C3DE1F70B}"/>
    <hyperlink ref="B23" r:id="rId8" xr:uid="{431A566E-5836-41C2-A0E7-09427A265D33}"/>
    <hyperlink ref="B24" r:id="rId9" xr:uid="{27D14FD6-140F-4A79-AC63-ED03C8BB61F3}"/>
    <hyperlink ref="B25" r:id="rId10" xr:uid="{5AE9E6D0-5388-4114-980C-D397F98A12B3}"/>
    <hyperlink ref="B26" r:id="rId11" xr:uid="{F4AAEBAC-1421-427C-A349-DEC4AF8487EC}"/>
  </hyperlinks>
  <pageMargins left="0.7" right="0.7" top="0.75" bottom="0.75" header="0.3" footer="0.3"/>
  <pageSetup orientation="portrait"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BE207-E445-456B-96C1-A3545A7CE081}">
  <sheetPr codeName="Sheet29">
    <tabColor rgb="FF007DC4"/>
  </sheetPr>
  <dimension ref="A2:ALP1016"/>
  <sheetViews>
    <sheetView topLeftCell="A11" zoomScaleNormal="100" workbookViewId="0">
      <selection activeCell="C16" sqref="C16"/>
    </sheetView>
  </sheetViews>
  <sheetFormatPr defaultColWidth="14.6640625" defaultRowHeight="14.4"/>
  <cols>
    <col min="1" max="1" width="5.6640625" style="71" customWidth="1"/>
    <col min="2" max="3" width="14.6640625" style="71"/>
    <col min="4" max="4" width="6.33203125" style="71" customWidth="1"/>
    <col min="5" max="5" width="6" style="71" customWidth="1"/>
    <col min="6" max="7" width="14.6640625" style="71"/>
    <col min="8" max="8" width="6.5546875" style="71" customWidth="1"/>
    <col min="9" max="9" width="5.6640625" style="71" customWidth="1"/>
    <col min="10" max="16384" width="14.6640625" style="71"/>
  </cols>
  <sheetData>
    <row r="2" spans="1:1004">
      <c r="B2" s="71" t="s">
        <v>55</v>
      </c>
      <c r="C2" s="71" t="s">
        <v>109</v>
      </c>
      <c r="E2" s="71" t="s">
        <v>392</v>
      </c>
    </row>
    <row r="3" spans="1:1004">
      <c r="B3" s="71" t="s">
        <v>53</v>
      </c>
      <c r="C3" s="71" t="s">
        <v>110</v>
      </c>
      <c r="E3" s="71" t="s">
        <v>111</v>
      </c>
    </row>
    <row r="4" spans="1:1004">
      <c r="B4" s="71" t="s">
        <v>52</v>
      </c>
      <c r="C4" s="71" t="s">
        <v>393</v>
      </c>
      <c r="E4" s="71" t="s">
        <v>112</v>
      </c>
    </row>
    <row r="5" spans="1:1004">
      <c r="B5" s="71" t="s">
        <v>51</v>
      </c>
      <c r="C5" s="71" t="s">
        <v>113</v>
      </c>
      <c r="E5" s="71" t="s">
        <v>114</v>
      </c>
    </row>
    <row r="6" spans="1:1004">
      <c r="B6" s="71" t="s">
        <v>115</v>
      </c>
      <c r="C6" s="71" t="s">
        <v>116</v>
      </c>
      <c r="E6" s="71" t="s">
        <v>117</v>
      </c>
    </row>
    <row r="9" spans="1:1004">
      <c r="B9" s="71" t="s">
        <v>118</v>
      </c>
      <c r="C9" s="71" t="s">
        <v>119</v>
      </c>
    </row>
    <row r="10" spans="1:1004">
      <c r="B10" s="71" t="s">
        <v>120</v>
      </c>
      <c r="C10" s="71" t="s">
        <v>121</v>
      </c>
    </row>
    <row r="11" spans="1:1004">
      <c r="B11" s="71" t="s">
        <v>122</v>
      </c>
    </row>
    <row r="13" spans="1:1004">
      <c r="A13" s="312"/>
      <c r="B13" s="312"/>
    </row>
    <row r="16" spans="1:1004">
      <c r="A16">
        <v>1</v>
      </c>
      <c r="B16" t="s">
        <v>1518</v>
      </c>
      <c r="C16"/>
      <c r="D16" t="str">
        <f t="shared" ref="D16:D37" si="0">_xlfn.CONCAT(A16, ". ", B16)</f>
        <v>1. None</v>
      </c>
      <c r="E16">
        <v>1</v>
      </c>
      <c r="F16" t="s">
        <v>1518</v>
      </c>
      <c r="G16"/>
      <c r="H16" t="str">
        <f t="shared" ref="H16:H25" si="1">_xlfn.CONCAT(E16, ". ", F16)</f>
        <v>1. None</v>
      </c>
      <c r="I16">
        <v>1</v>
      </c>
      <c r="J16" t="s">
        <v>1518</v>
      </c>
      <c r="K16"/>
      <c r="L16" t="str">
        <f t="shared" ref="L16:L25" si="2">_xlfn.CONCAT(I16, ". ", J16)</f>
        <v>1. None</v>
      </c>
      <c r="M16">
        <v>1</v>
      </c>
      <c r="N16" t="s">
        <v>1518</v>
      </c>
      <c r="O16"/>
      <c r="P16" t="str">
        <f>_xlfn.CONCAT(M16, ". ", N16)</f>
        <v>1. None</v>
      </c>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c r="ZU16"/>
      <c r="ZV16"/>
      <c r="ZW16"/>
      <c r="ZX16"/>
      <c r="ZY16"/>
      <c r="ZZ16"/>
      <c r="AAA16"/>
      <c r="AAB16"/>
      <c r="AAC16"/>
      <c r="AAD16"/>
      <c r="AAE16"/>
      <c r="AAF16"/>
      <c r="AAG16"/>
      <c r="AAH16"/>
      <c r="AAI16"/>
      <c r="AAJ16"/>
      <c r="AAK16"/>
      <c r="AAL16"/>
      <c r="AAM16"/>
      <c r="AAN16"/>
      <c r="AAO16"/>
      <c r="AAP16"/>
      <c r="AAQ16"/>
      <c r="AAR16"/>
      <c r="AAS16"/>
      <c r="AAT16"/>
      <c r="AAU16"/>
      <c r="AAV16"/>
      <c r="AAW16"/>
      <c r="AAX16"/>
      <c r="AAY16"/>
      <c r="AAZ16"/>
      <c r="ABA16"/>
      <c r="ABB16"/>
      <c r="ABC16"/>
      <c r="ABD16"/>
      <c r="ABE16"/>
      <c r="ABF16"/>
      <c r="ABG16"/>
      <c r="ABH16"/>
      <c r="ABI16"/>
      <c r="ABJ16"/>
      <c r="ABK16"/>
      <c r="ABL16"/>
      <c r="ABM16"/>
      <c r="ABN16"/>
      <c r="ABO16"/>
      <c r="ABP16"/>
      <c r="ABQ16"/>
      <c r="ABR16"/>
      <c r="ABS16"/>
      <c r="ABT16"/>
      <c r="ABU16"/>
      <c r="ABV16"/>
      <c r="ABW16"/>
      <c r="ABX16"/>
      <c r="ABY16"/>
      <c r="ABZ16"/>
      <c r="ACA16"/>
      <c r="ACB16"/>
      <c r="ACC16"/>
      <c r="ACD16"/>
      <c r="ACE16"/>
      <c r="ACF16"/>
      <c r="ACG16"/>
      <c r="ACH16"/>
      <c r="ACI16"/>
      <c r="ACJ16"/>
      <c r="ACK16"/>
      <c r="ACL16"/>
      <c r="ACM16"/>
      <c r="ACN16"/>
      <c r="ACO16"/>
      <c r="ACP16"/>
      <c r="ACQ16"/>
      <c r="ACR16"/>
      <c r="ACS16"/>
      <c r="ACT16"/>
      <c r="ACU16"/>
      <c r="ACV16"/>
      <c r="ACW16"/>
      <c r="ACX16"/>
      <c r="ACY16"/>
      <c r="ACZ16"/>
      <c r="ADA16"/>
      <c r="ADB16"/>
      <c r="ADC16"/>
      <c r="ADD16"/>
      <c r="ADE16"/>
      <c r="ADF16"/>
      <c r="ADG16"/>
      <c r="ADH16"/>
      <c r="ADI16"/>
      <c r="ADJ16"/>
      <c r="ADK16"/>
      <c r="ADL16"/>
      <c r="ADM16"/>
      <c r="ADN16"/>
      <c r="ADO16"/>
      <c r="ADP16"/>
      <c r="ADQ16"/>
      <c r="ADR16"/>
      <c r="ADS16"/>
      <c r="ADT16"/>
      <c r="ADU16"/>
      <c r="ADV16"/>
      <c r="ADW16"/>
      <c r="ADX16"/>
      <c r="ADY16"/>
      <c r="ADZ16"/>
      <c r="AEA16"/>
      <c r="AEB16"/>
      <c r="AEC16"/>
      <c r="AED16"/>
      <c r="AEE16"/>
      <c r="AEF16"/>
      <c r="AEG16"/>
      <c r="AEH16"/>
      <c r="AEI16"/>
      <c r="AEJ16"/>
      <c r="AEK16"/>
      <c r="AEL16"/>
      <c r="AEM16"/>
      <c r="AEN16"/>
      <c r="AEO16"/>
      <c r="AEP16"/>
      <c r="AEQ16"/>
      <c r="AER16"/>
      <c r="AES16"/>
      <c r="AET16"/>
      <c r="AEU16"/>
      <c r="AEV16"/>
      <c r="AEW16"/>
      <c r="AEX16"/>
      <c r="AEY16"/>
      <c r="AEZ16"/>
      <c r="AFA16"/>
      <c r="AFB16"/>
      <c r="AFC16"/>
      <c r="AFD16"/>
      <c r="AFE16"/>
      <c r="AFF16"/>
      <c r="AFG16"/>
      <c r="AFH16"/>
      <c r="AFI16"/>
      <c r="AFJ16"/>
      <c r="AFK16"/>
      <c r="AFL16"/>
      <c r="AFM16"/>
      <c r="AFN16"/>
      <c r="AFO16"/>
      <c r="AFP16"/>
      <c r="AFQ16"/>
      <c r="AFR16"/>
      <c r="AFS16"/>
      <c r="AFT16"/>
      <c r="AFU16"/>
      <c r="AFV16"/>
      <c r="AFW16"/>
      <c r="AFX16"/>
      <c r="AFY16"/>
      <c r="AFZ16"/>
      <c r="AGA16"/>
      <c r="AGB16"/>
      <c r="AGC16"/>
      <c r="AGD16"/>
      <c r="AGE16"/>
      <c r="AGF16"/>
      <c r="AGG16"/>
      <c r="AGH16"/>
      <c r="AGI16"/>
      <c r="AGJ16"/>
      <c r="AGK16"/>
      <c r="AGL16"/>
      <c r="AGM16"/>
      <c r="AGN16"/>
      <c r="AGO16"/>
      <c r="AGP16"/>
      <c r="AGQ16"/>
      <c r="AGR16"/>
      <c r="AGS16"/>
      <c r="AGT16"/>
      <c r="AGU16"/>
      <c r="AGV16"/>
      <c r="AGW16"/>
      <c r="AGX16"/>
      <c r="AGY16"/>
      <c r="AGZ16"/>
      <c r="AHA16"/>
      <c r="AHB16"/>
      <c r="AHC16"/>
      <c r="AHD16"/>
      <c r="AHE16"/>
      <c r="AHF16"/>
      <c r="AHG16"/>
      <c r="AHH16"/>
      <c r="AHI16"/>
      <c r="AHJ16"/>
      <c r="AHK16"/>
      <c r="AHL16"/>
      <c r="AHM16"/>
      <c r="AHN16"/>
      <c r="AHO16"/>
      <c r="AHP16"/>
      <c r="AHQ16"/>
      <c r="AHR16"/>
      <c r="AHS16"/>
      <c r="AHT16"/>
      <c r="AHU16"/>
      <c r="AHV16"/>
      <c r="AHW16"/>
      <c r="AHX16"/>
      <c r="AHY16"/>
      <c r="AHZ16"/>
      <c r="AIA16"/>
      <c r="AIB16"/>
      <c r="AIC16"/>
      <c r="AID16"/>
      <c r="AIE16"/>
      <c r="AIF16"/>
      <c r="AIG16"/>
      <c r="AIH16"/>
      <c r="AII16"/>
      <c r="AIJ16"/>
      <c r="AIK16"/>
      <c r="AIL16"/>
      <c r="AIM16"/>
      <c r="AIN16"/>
      <c r="AIO16"/>
      <c r="AIP16"/>
      <c r="AIQ16"/>
      <c r="AIR16"/>
      <c r="AIS16"/>
      <c r="AIT16"/>
      <c r="AIU16"/>
      <c r="AIV16"/>
      <c r="AIW16"/>
      <c r="AIX16"/>
      <c r="AIY16"/>
      <c r="AIZ16"/>
      <c r="AJA16"/>
      <c r="AJB16"/>
      <c r="AJC16"/>
      <c r="AJD16"/>
      <c r="AJE16"/>
      <c r="AJF16"/>
      <c r="AJG16"/>
      <c r="AJH16"/>
      <c r="AJI16"/>
      <c r="AJJ16"/>
      <c r="AJK16"/>
      <c r="AJL16"/>
      <c r="AJM16"/>
      <c r="AJN16"/>
      <c r="AJO16"/>
      <c r="AJP16"/>
      <c r="AJQ16"/>
      <c r="AJR16"/>
      <c r="AJS16"/>
      <c r="AJT16"/>
      <c r="AJU16"/>
      <c r="AJV16"/>
      <c r="AJW16"/>
      <c r="AJX16"/>
      <c r="AJY16"/>
      <c r="AJZ16"/>
      <c r="AKA16"/>
      <c r="AKB16"/>
      <c r="AKC16"/>
      <c r="AKD16"/>
      <c r="AKE16"/>
      <c r="AKF16"/>
      <c r="AKG16"/>
      <c r="AKH16"/>
      <c r="AKI16"/>
      <c r="AKJ16"/>
      <c r="AKK16"/>
      <c r="AKL16"/>
      <c r="AKM16"/>
      <c r="AKN16"/>
      <c r="AKO16"/>
      <c r="AKP16"/>
      <c r="AKQ16"/>
      <c r="AKR16"/>
      <c r="AKS16"/>
      <c r="AKT16"/>
      <c r="AKU16"/>
      <c r="AKV16"/>
      <c r="AKW16"/>
      <c r="AKX16"/>
      <c r="AKY16"/>
      <c r="AKZ16"/>
      <c r="ALA16"/>
      <c r="ALB16"/>
      <c r="ALC16"/>
      <c r="ALD16"/>
      <c r="ALE16"/>
      <c r="ALF16"/>
      <c r="ALG16"/>
      <c r="ALH16"/>
      <c r="ALI16"/>
      <c r="ALJ16"/>
      <c r="ALK16"/>
      <c r="ALL16"/>
      <c r="ALM16"/>
      <c r="ALN16"/>
      <c r="ALO16"/>
      <c r="ALP16"/>
    </row>
    <row r="17" spans="1:1004">
      <c r="A17">
        <v>2</v>
      </c>
      <c r="B17" t="s">
        <v>1522</v>
      </c>
      <c r="C17"/>
      <c r="D17" t="str">
        <f t="shared" si="0"/>
        <v>2. Pieter van Zyl</v>
      </c>
      <c r="E17">
        <v>2</v>
      </c>
      <c r="F17" t="s">
        <v>1484</v>
      </c>
      <c r="G17"/>
      <c r="H17" t="str">
        <f t="shared" si="1"/>
        <v>2. ATL</v>
      </c>
      <c r="I17">
        <v>2</v>
      </c>
      <c r="J17" t="s">
        <v>1489</v>
      </c>
      <c r="K17"/>
      <c r="L17" t="str">
        <f t="shared" si="2"/>
        <v>2. 30p</v>
      </c>
      <c r="M17">
        <v>2</v>
      </c>
      <c r="N17" t="s">
        <v>1496</v>
      </c>
      <c r="O17"/>
      <c r="P17" t="str">
        <f>_xlfn.CONCAT(M17, ". ", N17)</f>
        <v>2. Not started</v>
      </c>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c r="AJB17"/>
      <c r="AJC17"/>
      <c r="AJD17"/>
      <c r="AJE17"/>
      <c r="AJF17"/>
      <c r="AJG17"/>
      <c r="AJH17"/>
      <c r="AJI17"/>
      <c r="AJJ17"/>
      <c r="AJK17"/>
      <c r="AJL17"/>
      <c r="AJM17"/>
      <c r="AJN17"/>
      <c r="AJO17"/>
      <c r="AJP17"/>
      <c r="AJQ17"/>
      <c r="AJR17"/>
      <c r="AJS17"/>
      <c r="AJT17"/>
      <c r="AJU17"/>
      <c r="AJV17"/>
      <c r="AJW17"/>
      <c r="AJX17"/>
      <c r="AJY17"/>
      <c r="AJZ17"/>
      <c r="AKA17"/>
      <c r="AKB17"/>
      <c r="AKC17"/>
      <c r="AKD17"/>
      <c r="AKE17"/>
      <c r="AKF17"/>
      <c r="AKG17"/>
      <c r="AKH17"/>
      <c r="AKI17"/>
      <c r="AKJ17"/>
      <c r="AKK17"/>
      <c r="AKL17"/>
      <c r="AKM17"/>
      <c r="AKN17"/>
      <c r="AKO17"/>
      <c r="AKP17"/>
      <c r="AKQ17"/>
      <c r="AKR17"/>
      <c r="AKS17"/>
      <c r="AKT17"/>
      <c r="AKU17"/>
      <c r="AKV17"/>
      <c r="AKW17"/>
      <c r="AKX17"/>
      <c r="AKY17"/>
      <c r="AKZ17"/>
      <c r="ALA17"/>
      <c r="ALB17"/>
      <c r="ALC17"/>
      <c r="ALD17"/>
      <c r="ALE17"/>
      <c r="ALF17"/>
      <c r="ALG17"/>
      <c r="ALH17"/>
      <c r="ALI17"/>
      <c r="ALJ17"/>
      <c r="ALK17"/>
      <c r="ALL17"/>
      <c r="ALM17"/>
      <c r="ALN17"/>
      <c r="ALO17"/>
      <c r="ALP17"/>
    </row>
    <row r="18" spans="1:1004">
      <c r="A18">
        <v>3</v>
      </c>
      <c r="B18" t="s">
        <v>1523</v>
      </c>
      <c r="C18"/>
      <c r="D18" t="str">
        <f t="shared" si="0"/>
        <v>3. Joan van Zyl</v>
      </c>
      <c r="E18">
        <v>3</v>
      </c>
      <c r="F18" t="s">
        <v>1485</v>
      </c>
      <c r="G18"/>
      <c r="H18" t="str">
        <f t="shared" si="1"/>
        <v>3. ATL Coordinator</v>
      </c>
      <c r="I18">
        <v>3</v>
      </c>
      <c r="J18" t="s">
        <v>1490</v>
      </c>
      <c r="K18"/>
      <c r="L18" t="str">
        <f t="shared" si="2"/>
        <v>3. 50p</v>
      </c>
      <c r="M18">
        <v>3</v>
      </c>
      <c r="N18" t="s">
        <v>1547</v>
      </c>
      <c r="O18"/>
      <c r="P18" t="str">
        <f>_xlfn.CONCAT(M18, ". ", N18)</f>
        <v>3. WIP</v>
      </c>
    </row>
    <row r="19" spans="1:1004">
      <c r="A19">
        <v>4</v>
      </c>
      <c r="B19" t="s">
        <v>1482</v>
      </c>
      <c r="C19"/>
      <c r="D19" t="str">
        <f t="shared" si="0"/>
        <v>4. Jared Twigg</v>
      </c>
      <c r="E19">
        <v>4</v>
      </c>
      <c r="F19" t="s">
        <v>1486</v>
      </c>
      <c r="G19"/>
      <c r="H19" t="str">
        <f t="shared" si="1"/>
        <v>4. Sponsor</v>
      </c>
      <c r="I19">
        <v>4</v>
      </c>
      <c r="J19" t="s">
        <v>1491</v>
      </c>
      <c r="K19"/>
      <c r="L19" t="str">
        <f t="shared" si="2"/>
        <v>4. 90p</v>
      </c>
      <c r="M19">
        <v>4</v>
      </c>
      <c r="N19" t="s">
        <v>1495</v>
      </c>
      <c r="O19"/>
      <c r="P19" t="str">
        <f>_xlfn.CONCAT(M19, ". ", N19)</f>
        <v>4. Done</v>
      </c>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c r="NM19"/>
      <c r="NN19"/>
      <c r="NO19"/>
      <c r="NP19"/>
      <c r="NQ19"/>
      <c r="NR19"/>
      <c r="NS19"/>
      <c r="NT19"/>
      <c r="NU19"/>
      <c r="NV19"/>
      <c r="NW19"/>
      <c r="NX19"/>
      <c r="NY19"/>
      <c r="NZ19"/>
      <c r="OA19"/>
      <c r="OB19"/>
      <c r="OC19"/>
      <c r="OD19"/>
      <c r="OE19"/>
      <c r="OF19"/>
      <c r="OG19"/>
      <c r="OH19"/>
      <c r="OI19"/>
      <c r="OJ19"/>
      <c r="OK19"/>
      <c r="OL19"/>
      <c r="OM19"/>
      <c r="ON19"/>
      <c r="OO19"/>
      <c r="OP19"/>
      <c r="OQ19"/>
      <c r="OR19"/>
      <c r="OS19"/>
      <c r="OT19"/>
      <c r="OU19"/>
      <c r="OV19"/>
      <c r="OW19"/>
      <c r="OX19"/>
      <c r="OY19"/>
      <c r="OZ19"/>
      <c r="PA19"/>
      <c r="PB19"/>
      <c r="PC19"/>
      <c r="PD19"/>
      <c r="PE19"/>
      <c r="PF19"/>
      <c r="PG19"/>
      <c r="PH19"/>
      <c r="PI19"/>
      <c r="PJ19"/>
      <c r="PK19"/>
      <c r="PL19"/>
      <c r="PM19"/>
      <c r="PN19"/>
      <c r="PO19"/>
      <c r="PP19"/>
      <c r="PQ19"/>
      <c r="PR19"/>
      <c r="PS19"/>
      <c r="PT19"/>
      <c r="PU19"/>
      <c r="PV19"/>
      <c r="PW19"/>
      <c r="PX19"/>
      <c r="PY19"/>
      <c r="PZ19"/>
      <c r="QA19"/>
      <c r="QB19"/>
      <c r="QC19"/>
      <c r="QD19"/>
      <c r="QE19"/>
      <c r="QF19"/>
      <c r="QG19"/>
      <c r="QH19"/>
      <c r="QI19"/>
      <c r="QJ19"/>
      <c r="QK19"/>
      <c r="QL19"/>
      <c r="QM19"/>
      <c r="QN19"/>
      <c r="QO19"/>
      <c r="QP19"/>
      <c r="QQ19"/>
      <c r="QR19"/>
      <c r="QS19"/>
      <c r="QT19"/>
      <c r="QU19"/>
      <c r="QV19"/>
      <c r="QW19"/>
      <c r="QX19"/>
      <c r="QY19"/>
      <c r="QZ19"/>
      <c r="RA19"/>
      <c r="RB19"/>
      <c r="RC19"/>
      <c r="RD19"/>
      <c r="RE19"/>
      <c r="RF19"/>
      <c r="RG19"/>
      <c r="RH19"/>
      <c r="RI19"/>
      <c r="RJ19"/>
      <c r="RK19"/>
      <c r="RL19"/>
      <c r="RM19"/>
      <c r="RN19"/>
      <c r="RO19"/>
      <c r="RP19"/>
      <c r="RQ19"/>
      <c r="RR19"/>
      <c r="RS19"/>
      <c r="RT19"/>
      <c r="RU19"/>
      <c r="RV19"/>
      <c r="RW19"/>
      <c r="RX19"/>
      <c r="RY19"/>
      <c r="RZ19"/>
      <c r="SA19"/>
      <c r="SB19"/>
      <c r="SC19"/>
      <c r="SD19"/>
      <c r="SE19"/>
      <c r="SF19"/>
      <c r="SG19"/>
      <c r="SH19"/>
      <c r="SI19"/>
      <c r="SJ19"/>
      <c r="SK19"/>
      <c r="SL19"/>
      <c r="SM19"/>
      <c r="SN19"/>
      <c r="SO19"/>
      <c r="SP19"/>
      <c r="SQ19"/>
      <c r="SR19"/>
      <c r="SS19"/>
      <c r="ST19"/>
      <c r="SU19"/>
      <c r="SV19"/>
      <c r="SW19"/>
      <c r="SX19"/>
      <c r="SY19"/>
      <c r="SZ19"/>
      <c r="TA19"/>
      <c r="TB19"/>
      <c r="TC19"/>
      <c r="TD19"/>
      <c r="TE19"/>
      <c r="TF19"/>
      <c r="TG19"/>
      <c r="TH19"/>
      <c r="TI19"/>
      <c r="TJ19"/>
      <c r="TK19"/>
      <c r="TL19"/>
      <c r="TM19"/>
      <c r="TN19"/>
      <c r="TO19"/>
      <c r="TP19"/>
      <c r="TQ19"/>
      <c r="TR19"/>
      <c r="TS19"/>
      <c r="TT19"/>
      <c r="TU19"/>
      <c r="TV19"/>
      <c r="TW19"/>
      <c r="TX19"/>
      <c r="TY19"/>
      <c r="TZ19"/>
      <c r="UA19"/>
      <c r="UB19"/>
      <c r="UC19"/>
      <c r="UD19"/>
      <c r="UE19"/>
      <c r="UF19"/>
      <c r="UG19"/>
      <c r="UH19"/>
      <c r="UI19"/>
      <c r="UJ19"/>
      <c r="UK19"/>
      <c r="UL19"/>
      <c r="UM19"/>
      <c r="UN19"/>
      <c r="UO19"/>
      <c r="UP19"/>
      <c r="UQ19"/>
      <c r="UR19"/>
      <c r="US19"/>
      <c r="UT19"/>
      <c r="UU19"/>
      <c r="UV19"/>
      <c r="UW19"/>
      <c r="UX19"/>
      <c r="UY19"/>
      <c r="UZ19"/>
      <c r="VA19"/>
      <c r="VB19"/>
      <c r="VC19"/>
      <c r="VD19"/>
      <c r="VE19"/>
      <c r="VF19"/>
      <c r="VG19"/>
      <c r="VH19"/>
      <c r="VI19"/>
      <c r="VJ19"/>
      <c r="VK19"/>
      <c r="VL19"/>
      <c r="VM19"/>
      <c r="VN19"/>
      <c r="VO19"/>
      <c r="VP19"/>
      <c r="VQ19"/>
      <c r="VR19"/>
      <c r="VS19"/>
      <c r="VT19"/>
      <c r="VU19"/>
      <c r="VV19"/>
      <c r="VW19"/>
      <c r="VX19"/>
      <c r="VY19"/>
      <c r="VZ19"/>
      <c r="WA19"/>
      <c r="WB19"/>
      <c r="WC19"/>
      <c r="WD19"/>
      <c r="WE19"/>
      <c r="WF19"/>
      <c r="WG19"/>
      <c r="WH19"/>
      <c r="WI19"/>
      <c r="WJ19"/>
      <c r="WK19"/>
      <c r="WL19"/>
      <c r="WM19"/>
      <c r="WN19"/>
      <c r="WO19"/>
      <c r="WP19"/>
      <c r="WQ19"/>
      <c r="WR19"/>
      <c r="WS19"/>
      <c r="WT19"/>
      <c r="WU19"/>
      <c r="WV19"/>
      <c r="WW19"/>
      <c r="WX19"/>
      <c r="WY19"/>
      <c r="WZ19"/>
      <c r="XA19"/>
      <c r="XB19"/>
      <c r="XC19"/>
      <c r="XD19"/>
      <c r="XE19"/>
      <c r="XF19"/>
      <c r="XG19"/>
      <c r="XH19"/>
      <c r="XI19"/>
      <c r="XJ19"/>
      <c r="XK19"/>
      <c r="XL19"/>
      <c r="XM19"/>
      <c r="XN19"/>
      <c r="XO19"/>
      <c r="XP19"/>
      <c r="XQ19"/>
      <c r="XR19"/>
      <c r="XS19"/>
      <c r="XT19"/>
      <c r="XU19"/>
      <c r="XV19"/>
      <c r="XW19"/>
      <c r="XX19"/>
      <c r="XY19"/>
      <c r="XZ19"/>
      <c r="YA19"/>
      <c r="YB19"/>
      <c r="YC19"/>
      <c r="YD19"/>
      <c r="YE19"/>
      <c r="YF19"/>
      <c r="YG19"/>
      <c r="YH19"/>
      <c r="YI19"/>
      <c r="YJ19"/>
      <c r="YK19"/>
      <c r="YL19"/>
      <c r="YM19"/>
      <c r="YN19"/>
      <c r="YO19"/>
      <c r="YP19"/>
      <c r="YQ19"/>
      <c r="YR19"/>
      <c r="YS19"/>
      <c r="YT19"/>
      <c r="YU19"/>
      <c r="YV19"/>
      <c r="YW19"/>
      <c r="YX19"/>
      <c r="YY19"/>
      <c r="YZ19"/>
      <c r="ZA19"/>
      <c r="ZB19"/>
      <c r="ZC19"/>
      <c r="ZD19"/>
      <c r="ZE19"/>
      <c r="ZF19"/>
      <c r="ZG19"/>
      <c r="ZH19"/>
      <c r="ZI19"/>
      <c r="ZJ19"/>
      <c r="ZK19"/>
      <c r="ZL19"/>
      <c r="ZM19"/>
      <c r="ZN19"/>
      <c r="ZO19"/>
      <c r="ZP19"/>
      <c r="ZQ19"/>
      <c r="ZR19"/>
      <c r="ZS19"/>
      <c r="ZT19"/>
      <c r="ZU19"/>
      <c r="ZV19"/>
      <c r="ZW19"/>
      <c r="ZX19"/>
      <c r="ZY19"/>
      <c r="ZZ19"/>
      <c r="AAA19"/>
      <c r="AAB19"/>
      <c r="AAC19"/>
      <c r="AAD19"/>
      <c r="AAE19"/>
      <c r="AAF19"/>
      <c r="AAG19"/>
      <c r="AAH19"/>
      <c r="AAI19"/>
      <c r="AAJ19"/>
      <c r="AAK19"/>
      <c r="AAL19"/>
      <c r="AAM19"/>
      <c r="AAN19"/>
      <c r="AAO19"/>
      <c r="AAP19"/>
      <c r="AAQ19"/>
      <c r="AAR19"/>
      <c r="AAS19"/>
      <c r="AAT19"/>
      <c r="AAU19"/>
      <c r="AAV19"/>
      <c r="AAW19"/>
      <c r="AAX19"/>
      <c r="AAY19"/>
      <c r="AAZ19"/>
      <c r="ABA19"/>
      <c r="ABB19"/>
      <c r="ABC19"/>
      <c r="ABD19"/>
      <c r="ABE19"/>
      <c r="ABF19"/>
      <c r="ABG19"/>
      <c r="ABH19"/>
      <c r="ABI19"/>
      <c r="ABJ19"/>
      <c r="ABK19"/>
      <c r="ABL19"/>
      <c r="ABM19"/>
      <c r="ABN19"/>
      <c r="ABO19"/>
      <c r="ABP19"/>
      <c r="ABQ19"/>
      <c r="ABR19"/>
      <c r="ABS19"/>
      <c r="ABT19"/>
      <c r="ABU19"/>
      <c r="ABV19"/>
      <c r="ABW19"/>
      <c r="ABX19"/>
      <c r="ABY19"/>
      <c r="ABZ19"/>
      <c r="ACA19"/>
      <c r="ACB19"/>
      <c r="ACC19"/>
      <c r="ACD19"/>
      <c r="ACE19"/>
      <c r="ACF19"/>
      <c r="ACG19"/>
      <c r="ACH19"/>
      <c r="ACI19"/>
      <c r="ACJ19"/>
      <c r="ACK19"/>
      <c r="ACL19"/>
      <c r="ACM19"/>
      <c r="ACN19"/>
      <c r="ACO19"/>
      <c r="ACP19"/>
      <c r="ACQ19"/>
      <c r="ACR19"/>
      <c r="ACS19"/>
      <c r="ACT19"/>
      <c r="ACU19"/>
      <c r="ACV19"/>
      <c r="ACW19"/>
      <c r="ACX19"/>
      <c r="ACY19"/>
      <c r="ACZ19"/>
      <c r="ADA19"/>
      <c r="ADB19"/>
      <c r="ADC19"/>
      <c r="ADD19"/>
      <c r="ADE19"/>
      <c r="ADF19"/>
      <c r="ADG19"/>
      <c r="ADH19"/>
      <c r="ADI19"/>
      <c r="ADJ19"/>
      <c r="ADK19"/>
      <c r="ADL19"/>
      <c r="ADM19"/>
      <c r="ADN19"/>
      <c r="ADO19"/>
      <c r="ADP19"/>
      <c r="ADQ19"/>
      <c r="ADR19"/>
      <c r="ADS19"/>
      <c r="ADT19"/>
      <c r="ADU19"/>
      <c r="ADV19"/>
      <c r="ADW19"/>
      <c r="ADX19"/>
      <c r="ADY19"/>
      <c r="ADZ19"/>
      <c r="AEA19"/>
      <c r="AEB19"/>
      <c r="AEC19"/>
      <c r="AED19"/>
      <c r="AEE19"/>
      <c r="AEF19"/>
      <c r="AEG19"/>
      <c r="AEH19"/>
      <c r="AEI19"/>
      <c r="AEJ19"/>
      <c r="AEK19"/>
      <c r="AEL19"/>
      <c r="AEM19"/>
      <c r="AEN19"/>
      <c r="AEO19"/>
      <c r="AEP19"/>
      <c r="AEQ19"/>
      <c r="AER19"/>
      <c r="AES19"/>
      <c r="AET19"/>
      <c r="AEU19"/>
      <c r="AEV19"/>
      <c r="AEW19"/>
      <c r="AEX19"/>
      <c r="AEY19"/>
      <c r="AEZ19"/>
      <c r="AFA19"/>
      <c r="AFB19"/>
      <c r="AFC19"/>
      <c r="AFD19"/>
      <c r="AFE19"/>
      <c r="AFF19"/>
      <c r="AFG19"/>
      <c r="AFH19"/>
      <c r="AFI19"/>
      <c r="AFJ19"/>
      <c r="AFK19"/>
      <c r="AFL19"/>
      <c r="AFM19"/>
      <c r="AFN19"/>
      <c r="AFO19"/>
      <c r="AFP19"/>
      <c r="AFQ19"/>
      <c r="AFR19"/>
      <c r="AFS19"/>
      <c r="AFT19"/>
      <c r="AFU19"/>
      <c r="AFV19"/>
      <c r="AFW19"/>
      <c r="AFX19"/>
      <c r="AFY19"/>
      <c r="AFZ19"/>
      <c r="AGA19"/>
      <c r="AGB19"/>
      <c r="AGC19"/>
      <c r="AGD19"/>
      <c r="AGE19"/>
      <c r="AGF19"/>
      <c r="AGG19"/>
      <c r="AGH19"/>
      <c r="AGI19"/>
      <c r="AGJ19"/>
      <c r="AGK19"/>
      <c r="AGL19"/>
      <c r="AGM19"/>
      <c r="AGN19"/>
      <c r="AGO19"/>
      <c r="AGP19"/>
      <c r="AGQ19"/>
      <c r="AGR19"/>
      <c r="AGS19"/>
      <c r="AGT19"/>
      <c r="AGU19"/>
      <c r="AGV19"/>
      <c r="AGW19"/>
      <c r="AGX19"/>
      <c r="AGY19"/>
      <c r="AGZ19"/>
      <c r="AHA19"/>
      <c r="AHB19"/>
      <c r="AHC19"/>
      <c r="AHD19"/>
      <c r="AHE19"/>
      <c r="AHF19"/>
      <c r="AHG19"/>
      <c r="AHH19"/>
      <c r="AHI19"/>
      <c r="AHJ19"/>
      <c r="AHK19"/>
      <c r="AHL19"/>
      <c r="AHM19"/>
      <c r="AHN19"/>
      <c r="AHO19"/>
      <c r="AHP19"/>
      <c r="AHQ19"/>
      <c r="AHR19"/>
      <c r="AHS19"/>
      <c r="AHT19"/>
      <c r="AHU19"/>
      <c r="AHV19"/>
      <c r="AHW19"/>
      <c r="AHX19"/>
      <c r="AHY19"/>
      <c r="AHZ19"/>
      <c r="AIA19"/>
      <c r="AIB19"/>
      <c r="AIC19"/>
      <c r="AID19"/>
      <c r="AIE19"/>
      <c r="AIF19"/>
      <c r="AIG19"/>
      <c r="AIH19"/>
      <c r="AII19"/>
      <c r="AIJ19"/>
      <c r="AIK19"/>
      <c r="AIL19"/>
      <c r="AIM19"/>
      <c r="AIN19"/>
      <c r="AIO19"/>
      <c r="AIP19"/>
      <c r="AIQ19"/>
      <c r="AIR19"/>
      <c r="AIS19"/>
      <c r="AIT19"/>
      <c r="AIU19"/>
      <c r="AIV19"/>
      <c r="AIW19"/>
      <c r="AIX19"/>
      <c r="AIY19"/>
      <c r="AIZ19"/>
      <c r="AJA19"/>
      <c r="AJB19"/>
      <c r="AJC19"/>
      <c r="AJD19"/>
      <c r="AJE19"/>
      <c r="AJF19"/>
      <c r="AJG19"/>
      <c r="AJH19"/>
      <c r="AJI19"/>
      <c r="AJJ19"/>
      <c r="AJK19"/>
      <c r="AJL19"/>
      <c r="AJM19"/>
      <c r="AJN19"/>
      <c r="AJO19"/>
      <c r="AJP19"/>
      <c r="AJQ19"/>
      <c r="AJR19"/>
      <c r="AJS19"/>
      <c r="AJT19"/>
      <c r="AJU19"/>
      <c r="AJV19"/>
      <c r="AJW19"/>
      <c r="AJX19"/>
      <c r="AJY19"/>
      <c r="AJZ19"/>
      <c r="AKA19"/>
      <c r="AKB19"/>
      <c r="AKC19"/>
      <c r="AKD19"/>
      <c r="AKE19"/>
      <c r="AKF19"/>
      <c r="AKG19"/>
      <c r="AKH19"/>
      <c r="AKI19"/>
      <c r="AKJ19"/>
      <c r="AKK19"/>
      <c r="AKL19"/>
      <c r="AKM19"/>
      <c r="AKN19"/>
      <c r="AKO19"/>
      <c r="AKP19"/>
      <c r="AKQ19"/>
      <c r="AKR19"/>
      <c r="AKS19"/>
      <c r="AKT19"/>
      <c r="AKU19"/>
      <c r="AKV19"/>
      <c r="AKW19"/>
      <c r="AKX19"/>
      <c r="AKY19"/>
      <c r="AKZ19"/>
      <c r="ALA19"/>
      <c r="ALB19"/>
      <c r="ALC19"/>
      <c r="ALD19"/>
      <c r="ALE19"/>
      <c r="ALF19"/>
      <c r="ALG19"/>
      <c r="ALH19"/>
      <c r="ALI19"/>
      <c r="ALJ19"/>
      <c r="ALK19"/>
      <c r="ALL19"/>
      <c r="ALM19"/>
      <c r="ALN19"/>
      <c r="ALO19"/>
      <c r="ALP19"/>
    </row>
    <row r="20" spans="1:1004">
      <c r="A20">
        <v>5</v>
      </c>
      <c r="B20" t="s">
        <v>1525</v>
      </c>
      <c r="C20"/>
      <c r="D20" t="str">
        <f t="shared" si="0"/>
        <v>5. Marike Matthee</v>
      </c>
      <c r="E20">
        <v>5</v>
      </c>
      <c r="F20" t="s">
        <v>1487</v>
      </c>
      <c r="G20"/>
      <c r="H20" t="str">
        <f t="shared" si="1"/>
        <v>5. Scheduler</v>
      </c>
      <c r="I20">
        <v>5</v>
      </c>
      <c r="J20" t="s">
        <v>1492</v>
      </c>
      <c r="K20"/>
      <c r="L20" t="str">
        <f t="shared" si="2"/>
        <v>5. 100p</v>
      </c>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c r="MJ20"/>
      <c r="MK20"/>
      <c r="ML20"/>
      <c r="MM20"/>
      <c r="MN20"/>
      <c r="MO20"/>
      <c r="MP20"/>
      <c r="MQ20"/>
      <c r="MR20"/>
      <c r="MS20"/>
      <c r="MT20"/>
      <c r="MU20"/>
      <c r="MV20"/>
      <c r="MW20"/>
      <c r="MX20"/>
      <c r="MY20"/>
      <c r="MZ20"/>
      <c r="NA20"/>
      <c r="NB20"/>
      <c r="NC20"/>
      <c r="ND20"/>
      <c r="NE20"/>
      <c r="NF20"/>
      <c r="NG20"/>
      <c r="NH20"/>
      <c r="NI20"/>
      <c r="NJ20"/>
      <c r="NK20"/>
      <c r="NL20"/>
      <c r="NM20"/>
      <c r="NN20"/>
      <c r="NO20"/>
      <c r="NP20"/>
      <c r="NQ20"/>
      <c r="NR20"/>
      <c r="NS20"/>
      <c r="NT20"/>
      <c r="NU20"/>
      <c r="NV20"/>
      <c r="NW20"/>
      <c r="NX20"/>
      <c r="NY20"/>
      <c r="NZ20"/>
      <c r="OA20"/>
      <c r="OB20"/>
      <c r="OC20"/>
      <c r="OD20"/>
      <c r="OE20"/>
      <c r="OF20"/>
      <c r="OG20"/>
      <c r="OH20"/>
      <c r="OI20"/>
      <c r="OJ20"/>
      <c r="OK20"/>
      <c r="OL20"/>
      <c r="OM20"/>
      <c r="ON20"/>
      <c r="OO20"/>
      <c r="OP20"/>
      <c r="OQ20"/>
      <c r="OR20"/>
      <c r="OS20"/>
      <c r="OT20"/>
      <c r="OU20"/>
      <c r="OV20"/>
      <c r="OW20"/>
      <c r="OX20"/>
      <c r="OY20"/>
      <c r="OZ20"/>
      <c r="PA20"/>
      <c r="PB20"/>
      <c r="PC20"/>
      <c r="PD20"/>
      <c r="PE20"/>
      <c r="PF20"/>
      <c r="PG20"/>
      <c r="PH20"/>
      <c r="PI20"/>
      <c r="PJ20"/>
      <c r="PK20"/>
      <c r="PL20"/>
      <c r="PM20"/>
      <c r="PN20"/>
      <c r="PO20"/>
      <c r="PP20"/>
      <c r="PQ20"/>
      <c r="PR20"/>
      <c r="PS20"/>
      <c r="PT20"/>
      <c r="PU20"/>
      <c r="PV20"/>
      <c r="PW20"/>
      <c r="PX20"/>
      <c r="PY20"/>
      <c r="PZ20"/>
      <c r="QA20"/>
      <c r="QB20"/>
      <c r="QC20"/>
      <c r="QD20"/>
      <c r="QE20"/>
      <c r="QF20"/>
      <c r="QG20"/>
      <c r="QH20"/>
      <c r="QI20"/>
      <c r="QJ20"/>
      <c r="QK20"/>
      <c r="QL20"/>
      <c r="QM20"/>
      <c r="QN20"/>
      <c r="QO20"/>
      <c r="QP20"/>
      <c r="QQ20"/>
      <c r="QR20"/>
      <c r="QS20"/>
      <c r="QT20"/>
      <c r="QU20"/>
      <c r="QV20"/>
      <c r="QW20"/>
      <c r="QX20"/>
      <c r="QY20"/>
      <c r="QZ20"/>
      <c r="RA20"/>
      <c r="RB20"/>
      <c r="RC20"/>
      <c r="RD20"/>
      <c r="RE20"/>
      <c r="RF20"/>
      <c r="RG20"/>
      <c r="RH20"/>
      <c r="RI20"/>
      <c r="RJ20"/>
      <c r="RK20"/>
      <c r="RL20"/>
      <c r="RM20"/>
      <c r="RN20"/>
      <c r="RO20"/>
      <c r="RP20"/>
      <c r="RQ20"/>
      <c r="RR20"/>
      <c r="RS20"/>
      <c r="RT20"/>
      <c r="RU20"/>
      <c r="RV20"/>
      <c r="RW20"/>
      <c r="RX20"/>
      <c r="RY20"/>
      <c r="RZ20"/>
      <c r="SA20"/>
      <c r="SB20"/>
      <c r="SC20"/>
      <c r="SD20"/>
      <c r="SE20"/>
      <c r="SF20"/>
      <c r="SG20"/>
      <c r="SH20"/>
      <c r="SI20"/>
      <c r="SJ20"/>
      <c r="SK20"/>
      <c r="SL20"/>
      <c r="SM20"/>
      <c r="SN20"/>
      <c r="SO20"/>
      <c r="SP20"/>
      <c r="SQ20"/>
      <c r="SR20"/>
      <c r="SS20"/>
      <c r="ST20"/>
      <c r="SU20"/>
      <c r="SV20"/>
      <c r="SW20"/>
      <c r="SX20"/>
      <c r="SY20"/>
      <c r="SZ20"/>
      <c r="TA20"/>
      <c r="TB20"/>
      <c r="TC20"/>
      <c r="TD20"/>
      <c r="TE20"/>
      <c r="TF20"/>
      <c r="TG20"/>
      <c r="TH20"/>
      <c r="TI20"/>
      <c r="TJ20"/>
      <c r="TK20"/>
      <c r="TL20"/>
      <c r="TM20"/>
      <c r="TN20"/>
      <c r="TO20"/>
      <c r="TP20"/>
      <c r="TQ20"/>
      <c r="TR20"/>
      <c r="TS20"/>
      <c r="TT20"/>
      <c r="TU20"/>
      <c r="TV20"/>
      <c r="TW20"/>
      <c r="TX20"/>
      <c r="TY20"/>
      <c r="TZ20"/>
      <c r="UA20"/>
      <c r="UB20"/>
      <c r="UC20"/>
      <c r="UD20"/>
      <c r="UE20"/>
      <c r="UF20"/>
      <c r="UG20"/>
      <c r="UH20"/>
      <c r="UI20"/>
      <c r="UJ20"/>
      <c r="UK20"/>
      <c r="UL20"/>
      <c r="UM20"/>
      <c r="UN20"/>
      <c r="UO20"/>
      <c r="UP20"/>
      <c r="UQ20"/>
      <c r="UR20"/>
      <c r="US20"/>
      <c r="UT20"/>
      <c r="UU20"/>
      <c r="UV20"/>
      <c r="UW20"/>
      <c r="UX20"/>
      <c r="UY20"/>
      <c r="UZ20"/>
      <c r="VA20"/>
      <c r="VB20"/>
      <c r="VC20"/>
      <c r="VD20"/>
      <c r="VE20"/>
      <c r="VF20"/>
      <c r="VG20"/>
      <c r="VH20"/>
      <c r="VI20"/>
      <c r="VJ20"/>
      <c r="VK20"/>
      <c r="VL20"/>
      <c r="VM20"/>
      <c r="VN20"/>
      <c r="VO20"/>
      <c r="VP20"/>
      <c r="VQ20"/>
      <c r="VR20"/>
      <c r="VS20"/>
      <c r="VT20"/>
      <c r="VU20"/>
      <c r="VV20"/>
      <c r="VW20"/>
      <c r="VX20"/>
      <c r="VY20"/>
      <c r="VZ20"/>
      <c r="WA20"/>
      <c r="WB20"/>
      <c r="WC20"/>
      <c r="WD20"/>
      <c r="WE20"/>
      <c r="WF20"/>
      <c r="WG20"/>
      <c r="WH20"/>
      <c r="WI20"/>
      <c r="WJ20"/>
      <c r="WK20"/>
      <c r="WL20"/>
      <c r="WM20"/>
      <c r="WN20"/>
      <c r="WO20"/>
      <c r="WP20"/>
      <c r="WQ20"/>
      <c r="WR20"/>
      <c r="WS20"/>
      <c r="WT20"/>
      <c r="WU20"/>
      <c r="WV20"/>
      <c r="WW20"/>
      <c r="WX20"/>
      <c r="WY20"/>
      <c r="WZ20"/>
      <c r="XA20"/>
      <c r="XB20"/>
      <c r="XC20"/>
      <c r="XD20"/>
      <c r="XE20"/>
      <c r="XF20"/>
      <c r="XG20"/>
      <c r="XH20"/>
      <c r="XI20"/>
      <c r="XJ20"/>
      <c r="XK20"/>
      <c r="XL20"/>
      <c r="XM20"/>
      <c r="XN20"/>
      <c r="XO20"/>
      <c r="XP20"/>
      <c r="XQ20"/>
      <c r="XR20"/>
      <c r="XS20"/>
      <c r="XT20"/>
      <c r="XU20"/>
      <c r="XV20"/>
      <c r="XW20"/>
      <c r="XX20"/>
      <c r="XY20"/>
      <c r="XZ20"/>
      <c r="YA20"/>
      <c r="YB20"/>
      <c r="YC20"/>
      <c r="YD20"/>
      <c r="YE20"/>
      <c r="YF20"/>
      <c r="YG20"/>
      <c r="YH20"/>
      <c r="YI20"/>
      <c r="YJ20"/>
      <c r="YK20"/>
      <c r="YL20"/>
      <c r="YM20"/>
      <c r="YN20"/>
      <c r="YO20"/>
      <c r="YP20"/>
      <c r="YQ20"/>
      <c r="YR20"/>
      <c r="YS20"/>
      <c r="YT20"/>
      <c r="YU20"/>
      <c r="YV20"/>
      <c r="YW20"/>
      <c r="YX20"/>
      <c r="YY20"/>
      <c r="YZ20"/>
      <c r="ZA20"/>
      <c r="ZB20"/>
      <c r="ZC20"/>
      <c r="ZD20"/>
      <c r="ZE20"/>
      <c r="ZF20"/>
      <c r="ZG20"/>
      <c r="ZH20"/>
      <c r="ZI20"/>
      <c r="ZJ20"/>
      <c r="ZK20"/>
      <c r="ZL20"/>
      <c r="ZM20"/>
      <c r="ZN20"/>
      <c r="ZO20"/>
      <c r="ZP20"/>
      <c r="ZQ20"/>
      <c r="ZR20"/>
      <c r="ZS20"/>
      <c r="ZT20"/>
      <c r="ZU20"/>
      <c r="ZV20"/>
      <c r="ZW20"/>
      <c r="ZX20"/>
      <c r="ZY20"/>
      <c r="ZZ20"/>
      <c r="AAA20"/>
      <c r="AAB20"/>
      <c r="AAC20"/>
      <c r="AAD20"/>
      <c r="AAE20"/>
      <c r="AAF20"/>
      <c r="AAG20"/>
      <c r="AAH20"/>
      <c r="AAI20"/>
      <c r="AAJ20"/>
      <c r="AAK20"/>
      <c r="AAL20"/>
      <c r="AAM20"/>
      <c r="AAN20"/>
      <c r="AAO20"/>
      <c r="AAP20"/>
      <c r="AAQ20"/>
      <c r="AAR20"/>
      <c r="AAS20"/>
      <c r="AAT20"/>
      <c r="AAU20"/>
      <c r="AAV20"/>
      <c r="AAW20"/>
      <c r="AAX20"/>
      <c r="AAY20"/>
      <c r="AAZ20"/>
      <c r="ABA20"/>
      <c r="ABB20"/>
      <c r="ABC20"/>
      <c r="ABD20"/>
      <c r="ABE20"/>
      <c r="ABF20"/>
      <c r="ABG20"/>
      <c r="ABH20"/>
      <c r="ABI20"/>
      <c r="ABJ20"/>
      <c r="ABK20"/>
      <c r="ABL20"/>
      <c r="ABM20"/>
      <c r="ABN20"/>
      <c r="ABO20"/>
      <c r="ABP20"/>
      <c r="ABQ20"/>
      <c r="ABR20"/>
      <c r="ABS20"/>
      <c r="ABT20"/>
      <c r="ABU20"/>
      <c r="ABV20"/>
      <c r="ABW20"/>
      <c r="ABX20"/>
      <c r="ABY20"/>
      <c r="ABZ20"/>
      <c r="ACA20"/>
      <c r="ACB20"/>
      <c r="ACC20"/>
      <c r="ACD20"/>
      <c r="ACE20"/>
      <c r="ACF20"/>
      <c r="ACG20"/>
      <c r="ACH20"/>
      <c r="ACI20"/>
      <c r="ACJ20"/>
      <c r="ACK20"/>
      <c r="ACL20"/>
      <c r="ACM20"/>
      <c r="ACN20"/>
      <c r="ACO20"/>
      <c r="ACP20"/>
      <c r="ACQ20"/>
      <c r="ACR20"/>
      <c r="ACS20"/>
      <c r="ACT20"/>
      <c r="ACU20"/>
      <c r="ACV20"/>
      <c r="ACW20"/>
      <c r="ACX20"/>
      <c r="ACY20"/>
      <c r="ACZ20"/>
      <c r="ADA20"/>
      <c r="ADB20"/>
      <c r="ADC20"/>
      <c r="ADD20"/>
      <c r="ADE20"/>
      <c r="ADF20"/>
      <c r="ADG20"/>
      <c r="ADH20"/>
      <c r="ADI20"/>
      <c r="ADJ20"/>
      <c r="ADK20"/>
      <c r="ADL20"/>
      <c r="ADM20"/>
      <c r="ADN20"/>
      <c r="ADO20"/>
      <c r="ADP20"/>
      <c r="ADQ20"/>
      <c r="ADR20"/>
      <c r="ADS20"/>
      <c r="ADT20"/>
      <c r="ADU20"/>
      <c r="ADV20"/>
      <c r="ADW20"/>
      <c r="ADX20"/>
      <c r="ADY20"/>
      <c r="ADZ20"/>
      <c r="AEA20"/>
      <c r="AEB20"/>
      <c r="AEC20"/>
      <c r="AED20"/>
      <c r="AEE20"/>
      <c r="AEF20"/>
      <c r="AEG20"/>
      <c r="AEH20"/>
      <c r="AEI20"/>
      <c r="AEJ20"/>
      <c r="AEK20"/>
      <c r="AEL20"/>
      <c r="AEM20"/>
      <c r="AEN20"/>
      <c r="AEO20"/>
      <c r="AEP20"/>
      <c r="AEQ20"/>
      <c r="AER20"/>
      <c r="AES20"/>
      <c r="AET20"/>
      <c r="AEU20"/>
      <c r="AEV20"/>
      <c r="AEW20"/>
      <c r="AEX20"/>
      <c r="AEY20"/>
      <c r="AEZ20"/>
      <c r="AFA20"/>
      <c r="AFB20"/>
      <c r="AFC20"/>
      <c r="AFD20"/>
      <c r="AFE20"/>
      <c r="AFF20"/>
      <c r="AFG20"/>
      <c r="AFH20"/>
      <c r="AFI20"/>
      <c r="AFJ20"/>
      <c r="AFK20"/>
      <c r="AFL20"/>
      <c r="AFM20"/>
      <c r="AFN20"/>
      <c r="AFO20"/>
      <c r="AFP20"/>
      <c r="AFQ20"/>
      <c r="AFR20"/>
      <c r="AFS20"/>
      <c r="AFT20"/>
      <c r="AFU20"/>
      <c r="AFV20"/>
      <c r="AFW20"/>
      <c r="AFX20"/>
      <c r="AFY20"/>
      <c r="AFZ20"/>
      <c r="AGA20"/>
      <c r="AGB20"/>
      <c r="AGC20"/>
      <c r="AGD20"/>
      <c r="AGE20"/>
      <c r="AGF20"/>
      <c r="AGG20"/>
      <c r="AGH20"/>
      <c r="AGI20"/>
      <c r="AGJ20"/>
      <c r="AGK20"/>
      <c r="AGL20"/>
      <c r="AGM20"/>
      <c r="AGN20"/>
      <c r="AGO20"/>
      <c r="AGP20"/>
      <c r="AGQ20"/>
      <c r="AGR20"/>
      <c r="AGS20"/>
      <c r="AGT20"/>
      <c r="AGU20"/>
      <c r="AGV20"/>
      <c r="AGW20"/>
      <c r="AGX20"/>
      <c r="AGY20"/>
      <c r="AGZ20"/>
      <c r="AHA20"/>
      <c r="AHB20"/>
      <c r="AHC20"/>
      <c r="AHD20"/>
      <c r="AHE20"/>
      <c r="AHF20"/>
      <c r="AHG20"/>
      <c r="AHH20"/>
      <c r="AHI20"/>
      <c r="AHJ20"/>
      <c r="AHK20"/>
      <c r="AHL20"/>
      <c r="AHM20"/>
      <c r="AHN20"/>
      <c r="AHO20"/>
      <c r="AHP20"/>
      <c r="AHQ20"/>
      <c r="AHR20"/>
      <c r="AHS20"/>
      <c r="AHT20"/>
      <c r="AHU20"/>
      <c r="AHV20"/>
      <c r="AHW20"/>
      <c r="AHX20"/>
      <c r="AHY20"/>
      <c r="AHZ20"/>
      <c r="AIA20"/>
      <c r="AIB20"/>
      <c r="AIC20"/>
      <c r="AID20"/>
      <c r="AIE20"/>
      <c r="AIF20"/>
      <c r="AIG20"/>
      <c r="AIH20"/>
      <c r="AII20"/>
      <c r="AIJ20"/>
      <c r="AIK20"/>
      <c r="AIL20"/>
      <c r="AIM20"/>
      <c r="AIN20"/>
      <c r="AIO20"/>
      <c r="AIP20"/>
      <c r="AIQ20"/>
      <c r="AIR20"/>
      <c r="AIS20"/>
      <c r="AIT20"/>
      <c r="AIU20"/>
      <c r="AIV20"/>
      <c r="AIW20"/>
      <c r="AIX20"/>
      <c r="AIY20"/>
      <c r="AIZ20"/>
      <c r="AJA20"/>
      <c r="AJB20"/>
      <c r="AJC20"/>
      <c r="AJD20"/>
      <c r="AJE20"/>
      <c r="AJF20"/>
      <c r="AJG20"/>
      <c r="AJH20"/>
      <c r="AJI20"/>
      <c r="AJJ20"/>
      <c r="AJK20"/>
      <c r="AJL20"/>
      <c r="AJM20"/>
      <c r="AJN20"/>
      <c r="AJO20"/>
      <c r="AJP20"/>
      <c r="AJQ20"/>
      <c r="AJR20"/>
      <c r="AJS20"/>
      <c r="AJT20"/>
      <c r="AJU20"/>
      <c r="AJV20"/>
      <c r="AJW20"/>
      <c r="AJX20"/>
      <c r="AJY20"/>
      <c r="AJZ20"/>
      <c r="AKA20"/>
      <c r="AKB20"/>
      <c r="AKC20"/>
      <c r="AKD20"/>
      <c r="AKE20"/>
      <c r="AKF20"/>
      <c r="AKG20"/>
      <c r="AKH20"/>
      <c r="AKI20"/>
      <c r="AKJ20"/>
      <c r="AKK20"/>
      <c r="AKL20"/>
      <c r="AKM20"/>
      <c r="AKN20"/>
      <c r="AKO20"/>
      <c r="AKP20"/>
      <c r="AKQ20"/>
      <c r="AKR20"/>
      <c r="AKS20"/>
      <c r="AKT20"/>
      <c r="AKU20"/>
      <c r="AKV20"/>
      <c r="AKW20"/>
      <c r="AKX20"/>
      <c r="AKY20"/>
      <c r="AKZ20"/>
      <c r="ALA20"/>
      <c r="ALB20"/>
      <c r="ALC20"/>
      <c r="ALD20"/>
      <c r="ALE20"/>
      <c r="ALF20"/>
      <c r="ALG20"/>
      <c r="ALH20"/>
      <c r="ALI20"/>
      <c r="ALJ20"/>
      <c r="ALK20"/>
      <c r="ALL20"/>
      <c r="ALM20"/>
      <c r="ALN20"/>
      <c r="ALO20"/>
      <c r="ALP20"/>
    </row>
    <row r="21" spans="1:1004">
      <c r="A21">
        <v>6</v>
      </c>
      <c r="B21" t="s">
        <v>1483</v>
      </c>
      <c r="C21"/>
      <c r="D21" t="str">
        <f t="shared" si="0"/>
        <v>6. Melanie van Zyl</v>
      </c>
      <c r="E21">
        <v>6</v>
      </c>
      <c r="F21" t="s">
        <v>1488</v>
      </c>
      <c r="G21"/>
      <c r="H21" t="str">
        <f t="shared" si="1"/>
        <v>6. BPOC</v>
      </c>
      <c r="I21">
        <v>6</v>
      </c>
      <c r="J21" t="s">
        <v>1493</v>
      </c>
      <c r="K21"/>
      <c r="L21" t="str">
        <f t="shared" si="2"/>
        <v>6. 60d b4 p2</v>
      </c>
      <c r="M21"/>
      <c r="N21"/>
      <c r="O21"/>
      <c r="P21"/>
    </row>
    <row r="22" spans="1:1004">
      <c r="A22">
        <v>7</v>
      </c>
      <c r="B22" t="s">
        <v>1524</v>
      </c>
      <c r="C22"/>
      <c r="D22" t="str">
        <f t="shared" si="0"/>
        <v>7. Bianca Coetzee</v>
      </c>
      <c r="E22">
        <v>7</v>
      </c>
      <c r="F22" t="s">
        <v>1541</v>
      </c>
      <c r="G22"/>
      <c r="H22" t="str">
        <f t="shared" si="1"/>
        <v>7. Translator</v>
      </c>
      <c r="I22">
        <v>7</v>
      </c>
      <c r="J22" t="s">
        <v>1494</v>
      </c>
      <c r="K22"/>
      <c r="L22" t="str">
        <f t="shared" si="2"/>
        <v>7. 40d b4 p2</v>
      </c>
      <c r="M22"/>
      <c r="N22"/>
      <c r="O22"/>
      <c r="P22"/>
    </row>
    <row r="23" spans="1:1004">
      <c r="A23">
        <v>9</v>
      </c>
      <c r="B23" t="s">
        <v>1526</v>
      </c>
      <c r="C23"/>
      <c r="D23" t="str">
        <f t="shared" si="0"/>
        <v>9. Francois van Niekerk</v>
      </c>
      <c r="E23">
        <v>8</v>
      </c>
      <c r="F23" t="s">
        <v>420</v>
      </c>
      <c r="G23"/>
      <c r="H23" t="str">
        <f t="shared" si="1"/>
        <v>8. ATM</v>
      </c>
      <c r="I23">
        <v>8</v>
      </c>
      <c r="J23" t="s">
        <v>1544</v>
      </c>
      <c r="K23"/>
      <c r="L23" t="str">
        <f t="shared" si="2"/>
        <v>8. Scope approval</v>
      </c>
      <c r="M23"/>
      <c r="N23"/>
      <c r="O23"/>
      <c r="P23"/>
    </row>
    <row r="24" spans="1:1004">
      <c r="A24">
        <v>11</v>
      </c>
      <c r="B24" t="s">
        <v>1527</v>
      </c>
      <c r="C24"/>
      <c r="D24" t="str">
        <f t="shared" si="0"/>
        <v>11. Andries vd Walt</v>
      </c>
      <c r="E24">
        <v>9</v>
      </c>
      <c r="F24" t="s">
        <v>1542</v>
      </c>
      <c r="G24"/>
      <c r="H24" t="str">
        <f t="shared" si="1"/>
        <v>9. IPOC</v>
      </c>
      <c r="I24">
        <v>9</v>
      </c>
      <c r="J24" t="s">
        <v>1545</v>
      </c>
      <c r="K24"/>
      <c r="L24" t="str">
        <f t="shared" si="2"/>
        <v>9. Tech Test</v>
      </c>
      <c r="M24"/>
      <c r="N24"/>
      <c r="O24"/>
      <c r="P24"/>
    </row>
    <row r="25" spans="1:1004">
      <c r="A25">
        <v>12</v>
      </c>
      <c r="B25" t="s">
        <v>1528</v>
      </c>
      <c r="C25"/>
      <c r="D25" t="str">
        <f t="shared" si="0"/>
        <v>12. Francina Botha</v>
      </c>
      <c r="E25">
        <v>10</v>
      </c>
      <c r="F25" t="s">
        <v>1543</v>
      </c>
      <c r="G25"/>
      <c r="H25" t="str">
        <f t="shared" si="1"/>
        <v>10. ATLC Leader</v>
      </c>
      <c r="I25">
        <v>10</v>
      </c>
      <c r="J25" t="s">
        <v>1546</v>
      </c>
      <c r="K25"/>
      <c r="L25" t="str">
        <f t="shared" si="2"/>
        <v>10. Final RR</v>
      </c>
      <c r="M25"/>
      <c r="N25"/>
      <c r="O25"/>
      <c r="P25"/>
    </row>
    <row r="26" spans="1:1004">
      <c r="A26">
        <v>14</v>
      </c>
      <c r="B26" t="s">
        <v>1529</v>
      </c>
      <c r="C26"/>
      <c r="D26" t="str">
        <f t="shared" si="0"/>
        <v>14. Tony Gardiner</v>
      </c>
      <c r="E26"/>
      <c r="F26"/>
      <c r="G26"/>
      <c r="H26"/>
      <c r="I26"/>
      <c r="J26"/>
      <c r="K26"/>
      <c r="L26"/>
      <c r="M26"/>
      <c r="N26"/>
      <c r="O26"/>
      <c r="P26"/>
    </row>
    <row r="27" spans="1:1004">
      <c r="A27">
        <v>15</v>
      </c>
      <c r="B27" t="s">
        <v>1530</v>
      </c>
      <c r="C27"/>
      <c r="D27" t="str">
        <f t="shared" si="0"/>
        <v>15. Elmo Scheffer</v>
      </c>
      <c r="E27"/>
      <c r="F27"/>
      <c r="G27"/>
      <c r="H27"/>
      <c r="I27"/>
      <c r="J27"/>
      <c r="K27"/>
      <c r="L27"/>
      <c r="M27"/>
      <c r="N27"/>
      <c r="O27"/>
      <c r="P27"/>
    </row>
    <row r="28" spans="1:1004">
      <c r="A28">
        <v>16</v>
      </c>
      <c r="B28" t="s">
        <v>1531</v>
      </c>
      <c r="C28"/>
      <c r="D28" t="str">
        <f t="shared" si="0"/>
        <v>16. Pieter Roos</v>
      </c>
      <c r="E28"/>
      <c r="F28"/>
      <c r="G28"/>
      <c r="H28"/>
      <c r="I28"/>
      <c r="J28"/>
      <c r="K28"/>
      <c r="L28"/>
      <c r="M28"/>
      <c r="N28"/>
      <c r="O28"/>
      <c r="P28"/>
    </row>
    <row r="29" spans="1:1004">
      <c r="A29">
        <v>17</v>
      </c>
      <c r="B29" t="s">
        <v>1532</v>
      </c>
      <c r="C29"/>
      <c r="D29" t="str">
        <f t="shared" si="0"/>
        <v>17. Barry Headland</v>
      </c>
      <c r="E29"/>
      <c r="F29"/>
      <c r="G29"/>
      <c r="H29"/>
      <c r="I29"/>
      <c r="J29"/>
      <c r="K29"/>
      <c r="L29"/>
      <c r="M29"/>
      <c r="N29"/>
      <c r="O29"/>
      <c r="P29"/>
    </row>
    <row r="30" spans="1:1004">
      <c r="A30">
        <v>18</v>
      </c>
      <c r="B30" t="s">
        <v>1533</v>
      </c>
      <c r="C30"/>
      <c r="D30" t="str">
        <f t="shared" si="0"/>
        <v>18. Nigel Owen</v>
      </c>
      <c r="E30"/>
      <c r="F30"/>
      <c r="G30"/>
      <c r="H30"/>
      <c r="I30"/>
      <c r="J30"/>
      <c r="K30"/>
      <c r="L30"/>
      <c r="M30"/>
      <c r="N30"/>
      <c r="O30"/>
      <c r="P30"/>
    </row>
    <row r="31" spans="1:1004">
      <c r="A31">
        <v>19</v>
      </c>
      <c r="B31" t="s">
        <v>1534</v>
      </c>
      <c r="C31"/>
      <c r="D31" t="str">
        <f t="shared" si="0"/>
        <v>19. Ria Fouche</v>
      </c>
      <c r="E31"/>
      <c r="F31"/>
      <c r="G31"/>
      <c r="H31"/>
      <c r="I31"/>
      <c r="J31"/>
      <c r="K31"/>
      <c r="L31"/>
      <c r="M31"/>
      <c r="N31"/>
      <c r="O31"/>
      <c r="P31"/>
    </row>
    <row r="32" spans="1:1004">
      <c r="A32">
        <v>20</v>
      </c>
      <c r="B32" t="s">
        <v>1535</v>
      </c>
      <c r="C32"/>
      <c r="D32" t="str">
        <f t="shared" si="0"/>
        <v>20. Elsabie Koster</v>
      </c>
      <c r="E32"/>
      <c r="F32"/>
      <c r="G32"/>
      <c r="H32"/>
      <c r="I32"/>
      <c r="J32"/>
      <c r="K32"/>
      <c r="L32"/>
      <c r="M32"/>
      <c r="N32"/>
      <c r="O32"/>
      <c r="P32"/>
    </row>
    <row r="33" spans="1:16">
      <c r="A33">
        <v>21</v>
      </c>
      <c r="B33" t="s">
        <v>1536</v>
      </c>
      <c r="C33"/>
      <c r="D33" t="str">
        <f t="shared" si="0"/>
        <v>21. Lizwin Jacobs</v>
      </c>
      <c r="E33"/>
      <c r="F33"/>
      <c r="G33"/>
      <c r="H33"/>
      <c r="I33"/>
      <c r="J33"/>
      <c r="K33"/>
      <c r="L33"/>
      <c r="M33"/>
      <c r="N33"/>
      <c r="O33"/>
      <c r="P33"/>
    </row>
    <row r="34" spans="1:16">
      <c r="A34">
        <v>22</v>
      </c>
      <c r="B34" t="s">
        <v>1537</v>
      </c>
      <c r="C34"/>
      <c r="D34" t="str">
        <f t="shared" si="0"/>
        <v>22. Michael</v>
      </c>
      <c r="E34"/>
      <c r="F34"/>
      <c r="G34"/>
      <c r="H34"/>
      <c r="I34"/>
      <c r="J34"/>
      <c r="K34"/>
      <c r="L34"/>
      <c r="M34"/>
      <c r="N34"/>
      <c r="O34"/>
      <c r="P34"/>
    </row>
    <row r="35" spans="1:16">
      <c r="A35">
        <v>23</v>
      </c>
      <c r="B35" t="s">
        <v>1538</v>
      </c>
      <c r="C35"/>
      <c r="D35" t="str">
        <f t="shared" si="0"/>
        <v>23. Alice Erasmus</v>
      </c>
      <c r="E35"/>
      <c r="F35"/>
      <c r="G35"/>
      <c r="H35"/>
      <c r="I35"/>
      <c r="J35"/>
      <c r="K35"/>
      <c r="L35"/>
      <c r="M35"/>
      <c r="N35"/>
      <c r="O35"/>
      <c r="P35"/>
    </row>
    <row r="36" spans="1:16">
      <c r="A36">
        <v>24</v>
      </c>
      <c r="B36" t="s">
        <v>1539</v>
      </c>
      <c r="C36"/>
      <c r="D36" t="str">
        <f t="shared" si="0"/>
        <v>24. Sasha</v>
      </c>
      <c r="E36"/>
      <c r="F36"/>
      <c r="G36"/>
      <c r="H36"/>
      <c r="I36"/>
      <c r="J36"/>
      <c r="K36"/>
      <c r="L36"/>
      <c r="M36"/>
      <c r="N36"/>
      <c r="O36"/>
      <c r="P36"/>
    </row>
    <row r="37" spans="1:16">
      <c r="A37">
        <v>25</v>
      </c>
      <c r="B37" t="s">
        <v>1540</v>
      </c>
      <c r="C37"/>
      <c r="D37" t="str">
        <f t="shared" si="0"/>
        <v>25. Tembeka</v>
      </c>
      <c r="E37"/>
      <c r="F37"/>
      <c r="G37"/>
      <c r="H37"/>
      <c r="I37"/>
      <c r="J37"/>
      <c r="K37"/>
      <c r="L37"/>
      <c r="M37"/>
      <c r="N37"/>
      <c r="O37"/>
      <c r="P37"/>
    </row>
    <row r="38" spans="1:16">
      <c r="A38"/>
      <c r="B38"/>
      <c r="C38"/>
      <c r="D38"/>
      <c r="E38"/>
      <c r="F38"/>
      <c r="G38"/>
      <c r="H38"/>
      <c r="I38"/>
      <c r="J38"/>
      <c r="K38"/>
      <c r="L38"/>
      <c r="M38"/>
      <c r="N38"/>
      <c r="O38"/>
      <c r="P38"/>
    </row>
    <row r="39" spans="1:16">
      <c r="A39"/>
      <c r="B39"/>
      <c r="C39"/>
      <c r="D39"/>
      <c r="E39"/>
      <c r="F39"/>
      <c r="G39"/>
      <c r="H39"/>
      <c r="I39"/>
      <c r="J39"/>
      <c r="K39"/>
      <c r="L39"/>
      <c r="M39"/>
      <c r="N39"/>
      <c r="O39"/>
      <c r="P39"/>
    </row>
    <row r="40" spans="1:16">
      <c r="A40"/>
      <c r="B40"/>
      <c r="C40"/>
      <c r="D40"/>
      <c r="E40"/>
      <c r="F40"/>
      <c r="G40"/>
      <c r="H40"/>
      <c r="I40"/>
      <c r="J40"/>
      <c r="K40"/>
      <c r="L40"/>
      <c r="M40"/>
      <c r="N40"/>
      <c r="O40"/>
      <c r="P40"/>
    </row>
    <row r="41" spans="1:16">
      <c r="A41"/>
      <c r="B41"/>
      <c r="C41"/>
      <c r="D41"/>
      <c r="E41"/>
      <c r="F41"/>
      <c r="G41"/>
      <c r="H41"/>
      <c r="I41"/>
      <c r="J41"/>
      <c r="K41"/>
      <c r="L41"/>
      <c r="M41"/>
      <c r="N41"/>
      <c r="O41"/>
      <c r="P41"/>
    </row>
    <row r="42" spans="1:16">
      <c r="A42"/>
      <c r="B42"/>
      <c r="C42"/>
      <c r="D42"/>
      <c r="E42"/>
      <c r="F42"/>
      <c r="G42"/>
      <c r="H42"/>
      <c r="I42"/>
      <c r="J42"/>
      <c r="K42"/>
      <c r="L42"/>
      <c r="M42"/>
      <c r="N42"/>
      <c r="O42"/>
      <c r="P42"/>
    </row>
    <row r="43" spans="1:16">
      <c r="A43"/>
      <c r="B43"/>
      <c r="C43"/>
      <c r="D43"/>
      <c r="E43"/>
      <c r="F43"/>
      <c r="G43"/>
      <c r="H43"/>
      <c r="I43"/>
      <c r="J43"/>
      <c r="K43"/>
      <c r="L43"/>
      <c r="M43"/>
      <c r="N43"/>
      <c r="O43"/>
      <c r="P43"/>
    </row>
    <row r="44" spans="1:16">
      <c r="A44"/>
      <c r="B44"/>
      <c r="C44"/>
      <c r="D44"/>
      <c r="E44"/>
      <c r="F44"/>
      <c r="G44"/>
      <c r="H44"/>
      <c r="I44"/>
      <c r="J44"/>
      <c r="K44"/>
      <c r="L44"/>
      <c r="M44"/>
      <c r="N44"/>
      <c r="O44"/>
      <c r="P44"/>
    </row>
    <row r="45" spans="1:16">
      <c r="A45"/>
      <c r="B45"/>
      <c r="C45"/>
      <c r="D45"/>
      <c r="E45"/>
      <c r="F45"/>
      <c r="G45"/>
      <c r="H45"/>
      <c r="I45"/>
      <c r="J45"/>
      <c r="K45"/>
      <c r="L45"/>
      <c r="M45"/>
      <c r="N45"/>
      <c r="O45"/>
      <c r="P45"/>
    </row>
    <row r="46" spans="1:16">
      <c r="A46"/>
      <c r="B46"/>
      <c r="C46"/>
      <c r="D46"/>
      <c r="E46"/>
      <c r="F46"/>
      <c r="G46"/>
      <c r="H46"/>
      <c r="I46"/>
      <c r="J46"/>
      <c r="K46"/>
      <c r="L46"/>
      <c r="M46"/>
      <c r="N46"/>
      <c r="O46"/>
      <c r="P46"/>
    </row>
    <row r="47" spans="1:16">
      <c r="A47"/>
      <c r="B47"/>
      <c r="C47"/>
      <c r="D47"/>
      <c r="E47"/>
      <c r="F47"/>
      <c r="G47"/>
      <c r="H47"/>
      <c r="I47"/>
      <c r="J47"/>
      <c r="K47"/>
      <c r="L47"/>
      <c r="M47"/>
      <c r="N47"/>
      <c r="O47"/>
      <c r="P47"/>
    </row>
    <row r="48" spans="1:16">
      <c r="A48"/>
      <c r="B48"/>
      <c r="C48"/>
      <c r="D48"/>
      <c r="E48"/>
      <c r="F48"/>
      <c r="G48"/>
      <c r="H48"/>
      <c r="I48"/>
      <c r="J48"/>
      <c r="K48"/>
      <c r="L48"/>
      <c r="M48"/>
      <c r="N48"/>
      <c r="O48"/>
      <c r="P48"/>
    </row>
    <row r="49" spans="1:16">
      <c r="A49"/>
      <c r="B49"/>
      <c r="C49"/>
      <c r="D49"/>
      <c r="E49"/>
      <c r="F49"/>
      <c r="G49"/>
      <c r="H49"/>
      <c r="I49"/>
      <c r="J49"/>
      <c r="K49"/>
      <c r="L49"/>
      <c r="M49"/>
      <c r="N49"/>
      <c r="O49"/>
      <c r="P49"/>
    </row>
    <row r="50" spans="1:16">
      <c r="A50"/>
      <c r="B50"/>
      <c r="C50"/>
      <c r="D50"/>
      <c r="E50"/>
      <c r="F50"/>
      <c r="G50"/>
      <c r="H50"/>
      <c r="I50"/>
      <c r="J50"/>
      <c r="K50"/>
      <c r="L50"/>
      <c r="M50"/>
      <c r="N50"/>
      <c r="O50"/>
      <c r="P50"/>
    </row>
    <row r="51" spans="1:16">
      <c r="A51"/>
      <c r="B51"/>
      <c r="C51"/>
      <c r="D51"/>
      <c r="E51"/>
      <c r="F51"/>
      <c r="G51"/>
      <c r="H51"/>
      <c r="I51"/>
      <c r="J51"/>
      <c r="K51"/>
      <c r="L51"/>
      <c r="M51"/>
      <c r="N51"/>
      <c r="O51"/>
      <c r="P51"/>
    </row>
    <row r="52" spans="1:16">
      <c r="A52"/>
      <c r="B52"/>
      <c r="C52"/>
      <c r="D52"/>
      <c r="E52"/>
      <c r="F52"/>
      <c r="G52"/>
      <c r="H52"/>
      <c r="I52"/>
      <c r="J52"/>
      <c r="K52"/>
      <c r="L52"/>
      <c r="M52"/>
      <c r="N52"/>
      <c r="O52"/>
      <c r="P52"/>
    </row>
    <row r="53" spans="1:16">
      <c r="A53"/>
      <c r="B53"/>
      <c r="C53"/>
      <c r="D53"/>
      <c r="E53"/>
      <c r="F53"/>
      <c r="G53"/>
      <c r="H53"/>
      <c r="I53"/>
      <c r="J53"/>
      <c r="K53"/>
      <c r="L53"/>
      <c r="M53"/>
      <c r="N53"/>
      <c r="O53"/>
      <c r="P53"/>
    </row>
    <row r="54" spans="1:16">
      <c r="A54"/>
      <c r="B54"/>
      <c r="C54"/>
      <c r="D54"/>
      <c r="E54"/>
      <c r="F54"/>
      <c r="G54"/>
      <c r="H54"/>
      <c r="I54"/>
      <c r="J54"/>
      <c r="K54"/>
      <c r="L54"/>
      <c r="M54"/>
      <c r="N54"/>
      <c r="O54"/>
      <c r="P54"/>
    </row>
    <row r="55" spans="1:16">
      <c r="A55"/>
      <c r="B55"/>
      <c r="C55"/>
      <c r="D55"/>
      <c r="E55"/>
      <c r="F55"/>
      <c r="G55"/>
      <c r="H55"/>
      <c r="I55"/>
      <c r="J55"/>
      <c r="K55"/>
      <c r="L55"/>
      <c r="M55"/>
      <c r="N55"/>
      <c r="O55"/>
      <c r="P55"/>
    </row>
    <row r="56" spans="1:16">
      <c r="A56"/>
      <c r="B56"/>
      <c r="C56"/>
      <c r="D56"/>
      <c r="E56"/>
      <c r="F56"/>
      <c r="G56"/>
      <c r="H56"/>
      <c r="I56"/>
      <c r="J56"/>
      <c r="K56"/>
      <c r="L56"/>
      <c r="M56"/>
      <c r="N56"/>
      <c r="O56"/>
      <c r="P56"/>
    </row>
    <row r="57" spans="1:16">
      <c r="A57"/>
      <c r="B57"/>
      <c r="C57"/>
      <c r="D57"/>
      <c r="E57"/>
      <c r="F57"/>
      <c r="G57"/>
      <c r="H57"/>
      <c r="I57"/>
      <c r="J57"/>
      <c r="K57"/>
      <c r="L57"/>
      <c r="M57"/>
      <c r="N57"/>
      <c r="O57"/>
      <c r="P57"/>
    </row>
    <row r="58" spans="1:16">
      <c r="A58"/>
      <c r="B58"/>
      <c r="C58"/>
      <c r="D58"/>
      <c r="E58"/>
      <c r="F58"/>
      <c r="G58"/>
      <c r="H58"/>
      <c r="I58"/>
      <c r="J58"/>
      <c r="K58"/>
      <c r="L58"/>
      <c r="M58"/>
      <c r="N58"/>
      <c r="O58"/>
      <c r="P58"/>
    </row>
    <row r="59" spans="1:16">
      <c r="A59"/>
      <c r="B59"/>
      <c r="C59"/>
      <c r="D59"/>
      <c r="E59"/>
      <c r="F59"/>
      <c r="G59"/>
      <c r="H59"/>
      <c r="I59"/>
      <c r="J59"/>
      <c r="K59"/>
      <c r="L59"/>
      <c r="M59"/>
      <c r="N59"/>
      <c r="O59"/>
      <c r="P59"/>
    </row>
    <row r="60" spans="1:16">
      <c r="A60"/>
      <c r="B60"/>
      <c r="C60"/>
      <c r="D60"/>
      <c r="E60"/>
      <c r="F60"/>
      <c r="G60"/>
      <c r="H60"/>
      <c r="I60"/>
      <c r="J60"/>
      <c r="K60"/>
      <c r="L60"/>
      <c r="M60"/>
      <c r="N60"/>
      <c r="O60"/>
      <c r="P60"/>
    </row>
    <row r="61" spans="1:16">
      <c r="A61"/>
      <c r="B61"/>
      <c r="C61"/>
      <c r="D61"/>
      <c r="E61"/>
      <c r="F61"/>
      <c r="G61"/>
      <c r="H61"/>
      <c r="I61"/>
      <c r="J61"/>
      <c r="K61"/>
      <c r="L61"/>
      <c r="M61"/>
      <c r="N61"/>
      <c r="O61"/>
      <c r="P61"/>
    </row>
    <row r="62" spans="1:16">
      <c r="A62"/>
      <c r="B62"/>
      <c r="C62"/>
      <c r="D62"/>
      <c r="E62"/>
      <c r="F62"/>
      <c r="G62"/>
      <c r="H62"/>
      <c r="I62"/>
      <c r="J62"/>
      <c r="K62"/>
      <c r="L62"/>
      <c r="M62"/>
      <c r="N62"/>
      <c r="O62"/>
      <c r="P62"/>
    </row>
    <row r="63" spans="1:16">
      <c r="A63"/>
      <c r="B63"/>
      <c r="C63"/>
      <c r="D63"/>
      <c r="E63"/>
      <c r="F63"/>
      <c r="G63"/>
      <c r="H63"/>
      <c r="I63"/>
      <c r="J63"/>
      <c r="K63"/>
      <c r="L63"/>
      <c r="M63"/>
      <c r="N63"/>
      <c r="O63"/>
      <c r="P63"/>
    </row>
    <row r="64" spans="1:16">
      <c r="A64"/>
      <c r="B64"/>
      <c r="C64"/>
      <c r="D64"/>
      <c r="E64"/>
      <c r="F64"/>
      <c r="G64"/>
      <c r="H64"/>
      <c r="I64"/>
      <c r="J64"/>
      <c r="K64"/>
      <c r="L64"/>
      <c r="M64"/>
      <c r="N64"/>
      <c r="O64"/>
      <c r="P64"/>
    </row>
    <row r="65" spans="1:16">
      <c r="A65"/>
      <c r="B65"/>
      <c r="C65"/>
      <c r="D65"/>
      <c r="E65"/>
      <c r="F65"/>
      <c r="G65"/>
      <c r="H65"/>
      <c r="I65"/>
      <c r="J65"/>
      <c r="K65"/>
      <c r="L65"/>
      <c r="M65"/>
      <c r="N65"/>
      <c r="O65"/>
      <c r="P65"/>
    </row>
    <row r="66" spans="1:16">
      <c r="A66"/>
      <c r="B66"/>
      <c r="C66"/>
      <c r="D66"/>
      <c r="E66"/>
      <c r="F66"/>
      <c r="G66"/>
      <c r="H66"/>
      <c r="I66"/>
      <c r="J66"/>
      <c r="K66"/>
      <c r="L66"/>
      <c r="M66"/>
      <c r="N66"/>
      <c r="O66"/>
      <c r="P66"/>
    </row>
    <row r="67" spans="1:16">
      <c r="A67"/>
      <c r="B67"/>
      <c r="C67"/>
      <c r="D67"/>
      <c r="E67"/>
      <c r="F67"/>
      <c r="G67"/>
      <c r="H67"/>
      <c r="I67"/>
      <c r="J67"/>
      <c r="K67"/>
      <c r="L67"/>
      <c r="M67"/>
      <c r="N67"/>
      <c r="O67"/>
      <c r="P67"/>
    </row>
    <row r="68" spans="1:16">
      <c r="A68"/>
      <c r="B68"/>
      <c r="C68"/>
      <c r="D68"/>
      <c r="E68"/>
      <c r="F68"/>
      <c r="G68"/>
      <c r="H68"/>
      <c r="I68"/>
      <c r="J68"/>
      <c r="K68"/>
      <c r="L68"/>
      <c r="M68"/>
      <c r="N68"/>
      <c r="O68"/>
      <c r="P68"/>
    </row>
    <row r="69" spans="1:16">
      <c r="A69"/>
      <c r="B69"/>
      <c r="C69"/>
      <c r="D69"/>
      <c r="E69"/>
      <c r="F69"/>
      <c r="G69"/>
      <c r="H69"/>
      <c r="I69"/>
      <c r="J69"/>
      <c r="K69"/>
      <c r="L69"/>
      <c r="M69"/>
      <c r="N69"/>
      <c r="O69"/>
      <c r="P69"/>
    </row>
    <row r="70" spans="1:16">
      <c r="A70"/>
      <c r="B70"/>
      <c r="C70"/>
      <c r="D70"/>
      <c r="E70"/>
      <c r="F70"/>
      <c r="G70"/>
      <c r="H70"/>
      <c r="I70"/>
      <c r="J70"/>
      <c r="K70"/>
      <c r="L70"/>
      <c r="M70"/>
      <c r="N70"/>
      <c r="O70"/>
      <c r="P70"/>
    </row>
    <row r="71" spans="1:16">
      <c r="A71"/>
      <c r="B71"/>
      <c r="C71"/>
      <c r="D71"/>
      <c r="E71"/>
      <c r="F71"/>
      <c r="G71"/>
      <c r="H71"/>
      <c r="I71"/>
      <c r="J71"/>
      <c r="K71"/>
      <c r="L71"/>
      <c r="M71"/>
      <c r="N71"/>
      <c r="O71"/>
      <c r="P71"/>
    </row>
    <row r="72" spans="1:16">
      <c r="A72"/>
      <c r="B72"/>
      <c r="C72"/>
      <c r="D72"/>
      <c r="E72"/>
      <c r="F72"/>
      <c r="G72"/>
      <c r="H72"/>
      <c r="I72"/>
      <c r="J72"/>
      <c r="K72"/>
      <c r="L72"/>
      <c r="M72"/>
      <c r="N72"/>
      <c r="O72"/>
      <c r="P72"/>
    </row>
    <row r="73" spans="1:16">
      <c r="A73"/>
      <c r="B73"/>
      <c r="C73"/>
      <c r="D73"/>
      <c r="E73"/>
      <c r="F73"/>
      <c r="G73"/>
      <c r="H73"/>
      <c r="I73"/>
      <c r="J73"/>
      <c r="K73"/>
      <c r="L73"/>
      <c r="M73"/>
      <c r="N73"/>
      <c r="O73"/>
      <c r="P73"/>
    </row>
    <row r="74" spans="1:16">
      <c r="A74"/>
      <c r="B74"/>
      <c r="C74"/>
      <c r="D74"/>
      <c r="E74"/>
      <c r="F74"/>
      <c r="G74"/>
      <c r="H74"/>
      <c r="I74"/>
      <c r="J74"/>
      <c r="K74"/>
      <c r="L74"/>
      <c r="M74"/>
      <c r="N74"/>
      <c r="O74"/>
      <c r="P74"/>
    </row>
    <row r="75" spans="1:16">
      <c r="A75"/>
      <c r="B75"/>
      <c r="C75"/>
      <c r="D75"/>
      <c r="E75"/>
      <c r="F75"/>
      <c r="G75"/>
      <c r="H75"/>
      <c r="I75"/>
      <c r="J75"/>
      <c r="K75"/>
      <c r="L75"/>
      <c r="M75"/>
      <c r="N75"/>
      <c r="O75"/>
      <c r="P75"/>
    </row>
    <row r="76" spans="1:16">
      <c r="A76"/>
      <c r="B76"/>
      <c r="C76"/>
      <c r="D76"/>
      <c r="E76"/>
      <c r="F76"/>
      <c r="G76"/>
      <c r="H76"/>
      <c r="I76"/>
      <c r="J76"/>
      <c r="K76"/>
      <c r="L76"/>
      <c r="M76"/>
      <c r="N76"/>
      <c r="O76"/>
      <c r="P76"/>
    </row>
    <row r="77" spans="1:16">
      <c r="A77"/>
      <c r="B77"/>
      <c r="C77"/>
      <c r="D77"/>
      <c r="E77"/>
      <c r="F77"/>
      <c r="G77"/>
      <c r="H77"/>
      <c r="I77"/>
      <c r="J77"/>
      <c r="K77"/>
      <c r="L77"/>
      <c r="M77"/>
      <c r="N77"/>
      <c r="O77"/>
      <c r="P77"/>
    </row>
    <row r="78" spans="1:16">
      <c r="A78"/>
      <c r="B78"/>
      <c r="C78"/>
      <c r="D78"/>
      <c r="E78"/>
      <c r="F78"/>
      <c r="G78"/>
      <c r="H78"/>
      <c r="I78"/>
      <c r="J78"/>
      <c r="K78"/>
      <c r="L78"/>
      <c r="M78"/>
      <c r="N78"/>
      <c r="O78"/>
      <c r="P78"/>
    </row>
    <row r="79" spans="1:16">
      <c r="A79"/>
      <c r="B79"/>
      <c r="C79"/>
      <c r="D79"/>
      <c r="E79"/>
      <c r="F79"/>
      <c r="G79"/>
      <c r="H79"/>
      <c r="I79"/>
      <c r="J79"/>
      <c r="K79"/>
      <c r="L79"/>
      <c r="M79"/>
      <c r="N79"/>
      <c r="O79"/>
      <c r="P79"/>
    </row>
    <row r="80" spans="1:16">
      <c r="A80"/>
      <c r="B80"/>
      <c r="C80"/>
      <c r="D80"/>
      <c r="E80"/>
      <c r="F80"/>
      <c r="G80"/>
      <c r="H80"/>
      <c r="I80"/>
      <c r="J80"/>
      <c r="K80"/>
      <c r="L80"/>
      <c r="M80"/>
      <c r="N80"/>
      <c r="O80"/>
      <c r="P80"/>
    </row>
    <row r="81" spans="1:16">
      <c r="A81"/>
      <c r="B81"/>
      <c r="C81"/>
      <c r="D81"/>
      <c r="E81"/>
      <c r="F81"/>
      <c r="G81"/>
      <c r="H81"/>
      <c r="I81"/>
      <c r="J81"/>
      <c r="K81"/>
      <c r="L81"/>
      <c r="M81"/>
      <c r="N81"/>
      <c r="O81"/>
      <c r="P81"/>
    </row>
    <row r="82" spans="1:16">
      <c r="A82"/>
      <c r="B82"/>
      <c r="C82"/>
      <c r="D82"/>
      <c r="E82"/>
      <c r="F82"/>
      <c r="G82"/>
      <c r="H82"/>
      <c r="I82"/>
      <c r="J82"/>
      <c r="K82"/>
      <c r="L82"/>
      <c r="M82"/>
      <c r="N82"/>
      <c r="O82"/>
      <c r="P82"/>
    </row>
    <row r="83" spans="1:16">
      <c r="A83"/>
      <c r="B83"/>
      <c r="C83"/>
      <c r="D83"/>
      <c r="E83"/>
      <c r="F83"/>
      <c r="G83"/>
      <c r="H83"/>
      <c r="I83"/>
      <c r="J83"/>
      <c r="K83"/>
      <c r="L83"/>
      <c r="M83"/>
      <c r="N83"/>
      <c r="O83"/>
      <c r="P83"/>
    </row>
    <row r="84" spans="1:16">
      <c r="A84"/>
      <c r="B84"/>
      <c r="C84"/>
      <c r="D84"/>
      <c r="E84"/>
      <c r="F84"/>
      <c r="G84"/>
      <c r="H84"/>
      <c r="I84"/>
      <c r="J84"/>
      <c r="K84"/>
      <c r="L84"/>
      <c r="M84"/>
      <c r="N84"/>
      <c r="O84"/>
      <c r="P84"/>
    </row>
    <row r="85" spans="1:16">
      <c r="A85"/>
      <c r="B85"/>
      <c r="C85"/>
      <c r="D85"/>
      <c r="E85"/>
      <c r="F85"/>
      <c r="G85"/>
      <c r="H85"/>
      <c r="I85"/>
      <c r="J85"/>
      <c r="K85"/>
      <c r="L85"/>
      <c r="M85"/>
      <c r="N85"/>
      <c r="O85"/>
      <c r="P85"/>
    </row>
    <row r="86" spans="1:16">
      <c r="A86"/>
      <c r="B86"/>
      <c r="C86"/>
      <c r="D86"/>
      <c r="E86"/>
      <c r="F86"/>
      <c r="G86"/>
      <c r="H86"/>
      <c r="I86"/>
      <c r="J86"/>
      <c r="K86"/>
      <c r="L86"/>
      <c r="M86"/>
      <c r="N86"/>
      <c r="O86"/>
      <c r="P86"/>
    </row>
    <row r="87" spans="1:16">
      <c r="A87"/>
      <c r="B87"/>
      <c r="C87"/>
      <c r="D87"/>
      <c r="E87"/>
      <c r="F87"/>
      <c r="G87"/>
      <c r="H87"/>
      <c r="I87"/>
      <c r="J87"/>
      <c r="K87"/>
      <c r="L87"/>
      <c r="M87"/>
      <c r="N87"/>
      <c r="O87"/>
      <c r="P87"/>
    </row>
    <row r="88" spans="1:16">
      <c r="A88"/>
      <c r="B88"/>
      <c r="C88"/>
      <c r="D88"/>
      <c r="E88"/>
      <c r="F88"/>
      <c r="G88"/>
      <c r="H88"/>
      <c r="I88"/>
      <c r="J88"/>
      <c r="K88"/>
      <c r="L88"/>
      <c r="M88"/>
      <c r="N88"/>
      <c r="O88"/>
      <c r="P88"/>
    </row>
    <row r="89" spans="1:16">
      <c r="A89"/>
      <c r="B89"/>
      <c r="C89"/>
      <c r="D89"/>
      <c r="E89"/>
      <c r="F89"/>
      <c r="G89"/>
      <c r="H89"/>
      <c r="I89"/>
      <c r="J89"/>
      <c r="K89"/>
      <c r="L89"/>
      <c r="M89"/>
      <c r="N89"/>
      <c r="O89"/>
      <c r="P89"/>
    </row>
    <row r="90" spans="1:16">
      <c r="A90"/>
      <c r="B90"/>
      <c r="C90"/>
      <c r="D90"/>
      <c r="E90"/>
      <c r="F90"/>
      <c r="G90"/>
      <c r="H90"/>
      <c r="I90"/>
      <c r="J90"/>
      <c r="K90"/>
      <c r="L90"/>
      <c r="M90"/>
      <c r="N90"/>
      <c r="O90"/>
      <c r="P90"/>
    </row>
    <row r="91" spans="1:16">
      <c r="A91"/>
      <c r="B91"/>
      <c r="C91"/>
      <c r="D91"/>
      <c r="E91"/>
      <c r="F91"/>
      <c r="G91"/>
      <c r="H91"/>
      <c r="I91"/>
      <c r="J91"/>
      <c r="K91"/>
      <c r="L91"/>
      <c r="M91"/>
      <c r="N91"/>
      <c r="O91"/>
      <c r="P91"/>
    </row>
    <row r="92" spans="1:16">
      <c r="A92"/>
      <c r="B92"/>
      <c r="C92"/>
      <c r="D92"/>
      <c r="E92"/>
      <c r="F92"/>
      <c r="G92"/>
      <c r="H92"/>
      <c r="I92"/>
      <c r="J92"/>
      <c r="K92"/>
      <c r="L92"/>
      <c r="M92"/>
      <c r="N92"/>
      <c r="O92"/>
      <c r="P92"/>
    </row>
    <row r="93" spans="1:16">
      <c r="A93"/>
      <c r="B93"/>
      <c r="C93"/>
      <c r="D93"/>
      <c r="E93"/>
      <c r="F93"/>
      <c r="G93"/>
      <c r="H93"/>
      <c r="I93"/>
      <c r="J93"/>
      <c r="K93"/>
      <c r="L93"/>
      <c r="M93"/>
      <c r="N93"/>
      <c r="O93"/>
      <c r="P93"/>
    </row>
    <row r="94" spans="1:16">
      <c r="A94"/>
      <c r="B94"/>
      <c r="C94"/>
      <c r="D94"/>
      <c r="E94"/>
      <c r="F94"/>
      <c r="G94"/>
      <c r="H94"/>
      <c r="I94"/>
      <c r="J94"/>
      <c r="K94"/>
      <c r="L94"/>
      <c r="M94"/>
      <c r="N94"/>
      <c r="O94"/>
      <c r="P94"/>
    </row>
    <row r="95" spans="1:16">
      <c r="A95"/>
      <c r="B95"/>
      <c r="C95"/>
      <c r="D95"/>
      <c r="E95"/>
      <c r="F95"/>
      <c r="G95"/>
      <c r="H95"/>
      <c r="I95"/>
      <c r="J95"/>
      <c r="K95"/>
      <c r="L95"/>
      <c r="M95"/>
      <c r="N95"/>
      <c r="O95"/>
      <c r="P95"/>
    </row>
    <row r="96" spans="1:16">
      <c r="A96"/>
      <c r="B96"/>
      <c r="C96"/>
      <c r="D96"/>
      <c r="E96"/>
      <c r="F96"/>
      <c r="G96"/>
      <c r="H96"/>
      <c r="I96"/>
      <c r="J96"/>
      <c r="K96"/>
      <c r="L96"/>
      <c r="M96"/>
      <c r="N96"/>
      <c r="O96"/>
      <c r="P96"/>
    </row>
    <row r="97" spans="1:16">
      <c r="A97"/>
      <c r="B97"/>
      <c r="C97"/>
      <c r="D97"/>
      <c r="E97"/>
      <c r="F97"/>
      <c r="G97"/>
      <c r="H97"/>
      <c r="I97"/>
      <c r="J97"/>
      <c r="K97"/>
      <c r="L97"/>
      <c r="M97"/>
      <c r="N97"/>
      <c r="O97"/>
      <c r="P97"/>
    </row>
    <row r="98" spans="1:16">
      <c r="A98"/>
      <c r="B98"/>
      <c r="C98"/>
      <c r="D98"/>
      <c r="E98"/>
      <c r="F98"/>
      <c r="G98"/>
      <c r="H98"/>
      <c r="I98"/>
      <c r="J98"/>
      <c r="K98"/>
      <c r="L98"/>
      <c r="M98"/>
      <c r="N98"/>
      <c r="O98"/>
      <c r="P98"/>
    </row>
    <row r="99" spans="1:16">
      <c r="A99"/>
      <c r="B99"/>
      <c r="C99"/>
      <c r="D99"/>
      <c r="E99"/>
      <c r="F99"/>
      <c r="G99"/>
      <c r="H99"/>
      <c r="I99"/>
      <c r="J99"/>
      <c r="K99"/>
      <c r="L99"/>
      <c r="M99"/>
      <c r="N99"/>
      <c r="O99"/>
      <c r="P99"/>
    </row>
    <row r="100" spans="1:16">
      <c r="A100"/>
      <c r="B100"/>
      <c r="C100"/>
      <c r="D100"/>
      <c r="E100"/>
      <c r="F100"/>
      <c r="G100"/>
      <c r="H100"/>
      <c r="I100"/>
      <c r="J100"/>
      <c r="K100"/>
      <c r="L100"/>
      <c r="M100"/>
      <c r="N100"/>
      <c r="O100"/>
      <c r="P100"/>
    </row>
    <row r="101" spans="1:16">
      <c r="A101"/>
      <c r="B101"/>
      <c r="C101"/>
      <c r="D101"/>
      <c r="E101"/>
      <c r="F101"/>
      <c r="G101"/>
      <c r="H101"/>
      <c r="I101"/>
      <c r="J101"/>
      <c r="K101"/>
      <c r="L101"/>
      <c r="M101"/>
      <c r="N101"/>
      <c r="O101"/>
      <c r="P101"/>
    </row>
    <row r="102" spans="1:16">
      <c r="A102"/>
      <c r="B102"/>
      <c r="C102"/>
      <c r="D102"/>
      <c r="E102"/>
      <c r="F102"/>
      <c r="G102"/>
      <c r="H102"/>
      <c r="I102"/>
      <c r="J102"/>
      <c r="K102"/>
      <c r="L102"/>
      <c r="M102"/>
      <c r="N102"/>
      <c r="O102"/>
      <c r="P102"/>
    </row>
    <row r="103" spans="1:16">
      <c r="A103"/>
      <c r="B103"/>
      <c r="C103"/>
      <c r="D103"/>
      <c r="E103"/>
      <c r="F103"/>
      <c r="G103"/>
      <c r="H103"/>
      <c r="I103"/>
      <c r="J103"/>
      <c r="K103"/>
      <c r="L103"/>
      <c r="M103"/>
      <c r="N103"/>
      <c r="O103"/>
      <c r="P103"/>
    </row>
    <row r="104" spans="1:16">
      <c r="A104"/>
      <c r="B104"/>
      <c r="C104"/>
      <c r="D104"/>
      <c r="E104"/>
      <c r="F104"/>
      <c r="G104"/>
      <c r="H104"/>
      <c r="I104"/>
      <c r="J104"/>
      <c r="K104"/>
      <c r="L104"/>
      <c r="M104"/>
      <c r="N104"/>
      <c r="O104"/>
      <c r="P104"/>
    </row>
    <row r="105" spans="1:16">
      <c r="A105"/>
      <c r="B105"/>
      <c r="C105"/>
      <c r="D105"/>
      <c r="E105"/>
      <c r="F105"/>
      <c r="G105"/>
      <c r="H105"/>
      <c r="I105"/>
      <c r="J105"/>
      <c r="K105"/>
      <c r="L105"/>
      <c r="M105"/>
      <c r="N105"/>
      <c r="O105"/>
      <c r="P105"/>
    </row>
    <row r="106" spans="1:16">
      <c r="A106"/>
      <c r="B106"/>
      <c r="C106"/>
      <c r="D106"/>
      <c r="E106"/>
      <c r="F106"/>
      <c r="G106"/>
      <c r="H106"/>
      <c r="I106"/>
      <c r="J106"/>
      <c r="K106"/>
      <c r="L106"/>
      <c r="M106"/>
      <c r="N106"/>
      <c r="O106"/>
      <c r="P106"/>
    </row>
    <row r="107" spans="1:16">
      <c r="A107"/>
      <c r="B107"/>
      <c r="C107"/>
      <c r="D107"/>
      <c r="E107"/>
      <c r="F107"/>
      <c r="G107"/>
      <c r="H107"/>
      <c r="I107"/>
      <c r="J107"/>
      <c r="K107"/>
      <c r="L107"/>
      <c r="M107"/>
      <c r="N107"/>
      <c r="O107"/>
      <c r="P107"/>
    </row>
    <row r="108" spans="1:16">
      <c r="A108"/>
      <c r="B108"/>
      <c r="C108"/>
      <c r="D108"/>
      <c r="E108"/>
      <c r="F108"/>
      <c r="G108"/>
      <c r="H108"/>
      <c r="I108"/>
      <c r="J108"/>
      <c r="K108"/>
      <c r="L108"/>
      <c r="M108"/>
      <c r="N108"/>
      <c r="O108"/>
      <c r="P108"/>
    </row>
    <row r="109" spans="1:16">
      <c r="A109"/>
      <c r="B109"/>
      <c r="C109"/>
      <c r="D109"/>
      <c r="E109"/>
      <c r="F109"/>
      <c r="G109"/>
      <c r="H109"/>
      <c r="I109"/>
      <c r="J109"/>
      <c r="K109"/>
      <c r="L109"/>
      <c r="M109"/>
      <c r="N109"/>
      <c r="O109"/>
      <c r="P109"/>
    </row>
    <row r="110" spans="1:16">
      <c r="A110"/>
      <c r="B110"/>
      <c r="C110"/>
      <c r="D110"/>
      <c r="E110"/>
      <c r="F110"/>
      <c r="G110"/>
      <c r="H110"/>
      <c r="I110"/>
      <c r="J110"/>
      <c r="K110"/>
      <c r="L110"/>
      <c r="M110"/>
      <c r="N110"/>
      <c r="O110"/>
      <c r="P110"/>
    </row>
    <row r="111" spans="1:16">
      <c r="A111"/>
      <c r="B111"/>
      <c r="C111"/>
      <c r="D111"/>
      <c r="E111"/>
      <c r="F111"/>
      <c r="G111"/>
      <c r="H111"/>
      <c r="I111"/>
      <c r="J111"/>
      <c r="K111"/>
      <c r="L111"/>
      <c r="M111"/>
      <c r="N111"/>
      <c r="O111"/>
      <c r="P111"/>
    </row>
    <row r="112" spans="1:16">
      <c r="A112"/>
      <c r="B112"/>
      <c r="C112"/>
      <c r="D112"/>
      <c r="E112"/>
      <c r="F112"/>
      <c r="G112"/>
      <c r="H112"/>
      <c r="I112"/>
      <c r="J112"/>
      <c r="K112"/>
      <c r="L112"/>
      <c r="M112"/>
      <c r="N112"/>
      <c r="O112"/>
      <c r="P112"/>
    </row>
    <row r="113" spans="1:16">
      <c r="A113"/>
      <c r="B113"/>
      <c r="C113"/>
      <c r="D113"/>
      <c r="E113"/>
      <c r="F113"/>
      <c r="G113"/>
      <c r="H113"/>
      <c r="I113"/>
      <c r="J113"/>
      <c r="K113"/>
      <c r="L113"/>
      <c r="M113"/>
      <c r="N113"/>
      <c r="O113"/>
      <c r="P113"/>
    </row>
    <row r="114" spans="1:16">
      <c r="A114"/>
      <c r="B114"/>
      <c r="C114"/>
      <c r="D114"/>
      <c r="E114"/>
      <c r="F114"/>
      <c r="G114"/>
      <c r="H114"/>
      <c r="I114"/>
      <c r="J114"/>
      <c r="K114"/>
      <c r="L114"/>
      <c r="M114"/>
      <c r="N114"/>
      <c r="O114"/>
      <c r="P114"/>
    </row>
    <row r="115" spans="1:16">
      <c r="A115"/>
      <c r="B115"/>
      <c r="C115"/>
      <c r="D115"/>
      <c r="E115"/>
      <c r="F115"/>
      <c r="G115"/>
      <c r="H115"/>
      <c r="I115"/>
      <c r="J115"/>
      <c r="K115"/>
      <c r="L115"/>
      <c r="M115"/>
      <c r="N115"/>
      <c r="O115"/>
      <c r="P115"/>
    </row>
    <row r="116" spans="1:16">
      <c r="A116"/>
      <c r="B116"/>
      <c r="C116"/>
      <c r="D116"/>
      <c r="E116"/>
      <c r="F116"/>
      <c r="G116"/>
      <c r="H116"/>
      <c r="I116"/>
      <c r="J116"/>
      <c r="K116"/>
      <c r="L116"/>
      <c r="M116"/>
      <c r="N116"/>
      <c r="O116"/>
      <c r="P116"/>
    </row>
    <row r="117" spans="1:16">
      <c r="A117"/>
      <c r="B117"/>
      <c r="C117"/>
      <c r="D117"/>
      <c r="E117"/>
      <c r="F117"/>
      <c r="G117"/>
      <c r="H117"/>
      <c r="I117"/>
      <c r="J117"/>
      <c r="K117"/>
      <c r="L117"/>
      <c r="M117"/>
      <c r="N117"/>
      <c r="O117"/>
      <c r="P117"/>
    </row>
    <row r="118" spans="1:16">
      <c r="A118"/>
      <c r="B118"/>
      <c r="C118"/>
      <c r="D118"/>
      <c r="E118"/>
      <c r="F118"/>
      <c r="G118"/>
      <c r="H118"/>
      <c r="I118"/>
      <c r="J118"/>
      <c r="K118"/>
      <c r="L118"/>
      <c r="M118"/>
      <c r="N118"/>
      <c r="O118"/>
      <c r="P118"/>
    </row>
    <row r="119" spans="1:16">
      <c r="A119"/>
      <c r="B119"/>
      <c r="C119"/>
      <c r="D119"/>
      <c r="E119"/>
      <c r="F119"/>
      <c r="G119"/>
      <c r="H119"/>
      <c r="I119"/>
      <c r="J119"/>
      <c r="K119"/>
      <c r="L119"/>
      <c r="M119"/>
      <c r="N119"/>
      <c r="O119"/>
      <c r="P119"/>
    </row>
    <row r="120" spans="1:16">
      <c r="A120"/>
      <c r="B120"/>
      <c r="C120"/>
      <c r="D120"/>
      <c r="E120"/>
      <c r="F120"/>
      <c r="G120"/>
      <c r="H120"/>
      <c r="I120"/>
      <c r="J120"/>
      <c r="K120"/>
      <c r="L120"/>
      <c r="M120"/>
      <c r="N120"/>
      <c r="O120"/>
      <c r="P120"/>
    </row>
    <row r="121" spans="1:16">
      <c r="A121"/>
      <c r="B121"/>
      <c r="C121"/>
      <c r="D121"/>
      <c r="E121"/>
      <c r="F121"/>
      <c r="G121"/>
      <c r="H121"/>
      <c r="I121"/>
      <c r="J121"/>
      <c r="K121"/>
      <c r="L121"/>
      <c r="M121"/>
      <c r="N121"/>
      <c r="O121"/>
      <c r="P121"/>
    </row>
    <row r="122" spans="1:16">
      <c r="A122"/>
      <c r="B122"/>
      <c r="C122"/>
      <c r="D122"/>
      <c r="E122"/>
      <c r="F122"/>
      <c r="G122"/>
      <c r="H122"/>
      <c r="I122"/>
      <c r="J122"/>
      <c r="K122"/>
      <c r="L122"/>
      <c r="M122"/>
      <c r="N122"/>
      <c r="O122"/>
      <c r="P122"/>
    </row>
    <row r="123" spans="1:16">
      <c r="A123"/>
      <c r="B123"/>
      <c r="C123"/>
      <c r="D123"/>
      <c r="E123"/>
      <c r="F123"/>
      <c r="G123"/>
      <c r="H123"/>
      <c r="I123"/>
      <c r="J123"/>
      <c r="K123"/>
      <c r="L123"/>
      <c r="M123"/>
      <c r="N123"/>
      <c r="O123"/>
      <c r="P123"/>
    </row>
    <row r="124" spans="1:16">
      <c r="A124"/>
      <c r="B124"/>
      <c r="C124"/>
      <c r="D124"/>
      <c r="E124"/>
      <c r="F124"/>
      <c r="G124"/>
      <c r="H124"/>
      <c r="I124"/>
      <c r="J124"/>
      <c r="K124"/>
      <c r="L124"/>
      <c r="M124"/>
      <c r="N124"/>
      <c r="O124"/>
      <c r="P124"/>
    </row>
    <row r="125" spans="1:16">
      <c r="A125"/>
      <c r="B125"/>
      <c r="C125"/>
      <c r="D125"/>
      <c r="E125"/>
      <c r="F125"/>
      <c r="G125"/>
      <c r="H125"/>
      <c r="I125"/>
      <c r="J125"/>
      <c r="K125"/>
      <c r="L125"/>
      <c r="M125"/>
      <c r="N125"/>
      <c r="O125"/>
      <c r="P125"/>
    </row>
    <row r="126" spans="1:16">
      <c r="A126"/>
      <c r="B126"/>
      <c r="C126"/>
      <c r="D126"/>
      <c r="E126"/>
      <c r="F126"/>
      <c r="G126"/>
      <c r="H126"/>
      <c r="I126"/>
      <c r="J126"/>
      <c r="K126"/>
      <c r="L126"/>
      <c r="M126"/>
      <c r="N126"/>
      <c r="O126"/>
      <c r="P126"/>
    </row>
    <row r="127" spans="1:16">
      <c r="A127"/>
      <c r="B127"/>
      <c r="C127"/>
      <c r="D127"/>
      <c r="E127"/>
      <c r="F127"/>
      <c r="G127"/>
      <c r="H127"/>
      <c r="I127"/>
      <c r="J127"/>
      <c r="K127"/>
      <c r="L127"/>
      <c r="M127"/>
      <c r="N127"/>
      <c r="O127"/>
      <c r="P127"/>
    </row>
    <row r="128" spans="1:16">
      <c r="A128"/>
      <c r="B128"/>
      <c r="C128"/>
      <c r="D128"/>
      <c r="E128"/>
      <c r="F128"/>
      <c r="G128"/>
      <c r="H128"/>
      <c r="I128"/>
      <c r="J128"/>
      <c r="K128"/>
      <c r="L128"/>
      <c r="M128"/>
      <c r="N128"/>
      <c r="O128"/>
      <c r="P128"/>
    </row>
    <row r="129" spans="1:16">
      <c r="A129"/>
      <c r="B129"/>
      <c r="C129"/>
      <c r="D129"/>
      <c r="E129"/>
      <c r="F129"/>
      <c r="G129"/>
      <c r="H129"/>
      <c r="I129"/>
      <c r="J129"/>
      <c r="K129"/>
      <c r="L129"/>
      <c r="M129"/>
      <c r="N129"/>
      <c r="O129"/>
      <c r="P129"/>
    </row>
    <row r="130" spans="1:16">
      <c r="A130"/>
      <c r="B130"/>
      <c r="C130"/>
      <c r="D130"/>
      <c r="E130"/>
      <c r="F130"/>
      <c r="G130"/>
      <c r="H130"/>
      <c r="I130"/>
      <c r="J130"/>
      <c r="K130"/>
      <c r="L130"/>
      <c r="M130"/>
      <c r="N130"/>
      <c r="O130"/>
      <c r="P130"/>
    </row>
    <row r="131" spans="1:16">
      <c r="A131"/>
      <c r="B131"/>
      <c r="C131"/>
      <c r="D131"/>
      <c r="E131"/>
      <c r="F131"/>
      <c r="G131"/>
      <c r="H131"/>
      <c r="I131"/>
      <c r="J131"/>
      <c r="K131"/>
      <c r="L131"/>
      <c r="M131"/>
      <c r="N131"/>
      <c r="O131"/>
      <c r="P131"/>
    </row>
    <row r="132" spans="1:16">
      <c r="A132"/>
      <c r="B132"/>
      <c r="C132"/>
      <c r="D132"/>
      <c r="E132"/>
      <c r="F132"/>
      <c r="G132"/>
      <c r="H132"/>
      <c r="I132"/>
      <c r="J132"/>
      <c r="K132"/>
      <c r="L132"/>
      <c r="M132"/>
      <c r="N132"/>
      <c r="O132"/>
      <c r="P132"/>
    </row>
    <row r="133" spans="1:16">
      <c r="A133"/>
      <c r="B133"/>
      <c r="C133"/>
      <c r="D133"/>
      <c r="E133"/>
      <c r="F133"/>
      <c r="G133"/>
      <c r="H133"/>
      <c r="I133"/>
      <c r="J133"/>
      <c r="K133"/>
      <c r="L133"/>
      <c r="M133"/>
      <c r="N133"/>
      <c r="O133"/>
      <c r="P133"/>
    </row>
    <row r="134" spans="1:16">
      <c r="A134"/>
      <c r="B134"/>
      <c r="C134"/>
      <c r="D134"/>
      <c r="E134"/>
      <c r="F134"/>
      <c r="G134"/>
      <c r="H134"/>
      <c r="I134"/>
      <c r="J134"/>
      <c r="K134"/>
      <c r="L134"/>
      <c r="M134"/>
      <c r="N134"/>
      <c r="O134"/>
      <c r="P134"/>
    </row>
    <row r="135" spans="1:16">
      <c r="A135"/>
      <c r="B135"/>
      <c r="C135"/>
      <c r="D135"/>
      <c r="E135"/>
      <c r="F135"/>
      <c r="G135"/>
      <c r="H135"/>
      <c r="I135"/>
      <c r="J135"/>
      <c r="K135"/>
      <c r="L135"/>
      <c r="M135"/>
      <c r="N135"/>
      <c r="O135"/>
      <c r="P135"/>
    </row>
    <row r="136" spans="1:16">
      <c r="A136"/>
      <c r="B136"/>
      <c r="C136"/>
      <c r="D136"/>
      <c r="E136"/>
      <c r="F136"/>
      <c r="G136"/>
      <c r="H136"/>
      <c r="I136"/>
      <c r="J136"/>
      <c r="K136"/>
      <c r="L136"/>
      <c r="M136"/>
      <c r="N136"/>
      <c r="O136"/>
      <c r="P136"/>
    </row>
    <row r="137" spans="1:16">
      <c r="A137"/>
      <c r="B137"/>
      <c r="C137"/>
      <c r="D137"/>
      <c r="E137"/>
      <c r="F137"/>
      <c r="G137"/>
      <c r="H137"/>
      <c r="I137"/>
      <c r="J137"/>
      <c r="K137"/>
      <c r="L137"/>
      <c r="M137"/>
      <c r="N137"/>
      <c r="O137"/>
      <c r="P137"/>
    </row>
    <row r="138" spans="1:16">
      <c r="A138"/>
      <c r="B138"/>
      <c r="C138"/>
      <c r="D138"/>
      <c r="E138"/>
      <c r="F138"/>
      <c r="G138"/>
      <c r="H138"/>
      <c r="I138"/>
      <c r="J138"/>
      <c r="K138"/>
      <c r="L138"/>
      <c r="M138"/>
      <c r="N138"/>
      <c r="O138"/>
      <c r="P138"/>
    </row>
    <row r="139" spans="1:16">
      <c r="A139"/>
      <c r="B139"/>
      <c r="C139"/>
      <c r="D139"/>
      <c r="E139"/>
      <c r="F139"/>
      <c r="G139"/>
      <c r="H139"/>
      <c r="I139"/>
      <c r="J139"/>
      <c r="K139"/>
      <c r="L139"/>
      <c r="M139"/>
      <c r="N139"/>
      <c r="O139"/>
      <c r="P139"/>
    </row>
    <row r="140" spans="1:16">
      <c r="A140"/>
      <c r="B140"/>
      <c r="C140"/>
      <c r="D140"/>
      <c r="E140"/>
      <c r="F140"/>
      <c r="G140"/>
      <c r="H140"/>
      <c r="I140"/>
      <c r="J140"/>
      <c r="K140"/>
      <c r="L140"/>
      <c r="M140"/>
      <c r="N140"/>
      <c r="O140"/>
      <c r="P140"/>
    </row>
    <row r="141" spans="1:16">
      <c r="A141"/>
      <c r="B141"/>
      <c r="C141"/>
      <c r="D141"/>
      <c r="E141"/>
      <c r="F141"/>
      <c r="G141"/>
      <c r="H141"/>
      <c r="I141"/>
      <c r="J141"/>
      <c r="K141"/>
      <c r="L141"/>
      <c r="M141"/>
      <c r="N141"/>
      <c r="O141"/>
      <c r="P141"/>
    </row>
    <row r="142" spans="1:16">
      <c r="A142"/>
      <c r="B142"/>
      <c r="C142"/>
      <c r="D142"/>
      <c r="E142"/>
      <c r="F142"/>
      <c r="G142"/>
      <c r="H142"/>
      <c r="I142"/>
      <c r="J142"/>
      <c r="K142"/>
      <c r="L142"/>
      <c r="M142"/>
      <c r="N142"/>
      <c r="O142"/>
      <c r="P142"/>
    </row>
    <row r="143" spans="1:16">
      <c r="A143"/>
      <c r="B143"/>
      <c r="C143"/>
      <c r="D143"/>
      <c r="E143"/>
      <c r="F143"/>
      <c r="G143"/>
      <c r="H143"/>
      <c r="I143"/>
      <c r="J143"/>
      <c r="K143"/>
      <c r="L143"/>
      <c r="M143"/>
      <c r="N143"/>
      <c r="O143"/>
      <c r="P143"/>
    </row>
    <row r="144" spans="1:16">
      <c r="A144"/>
      <c r="B144"/>
      <c r="C144"/>
      <c r="D144"/>
      <c r="E144"/>
      <c r="F144"/>
      <c r="G144"/>
      <c r="H144"/>
      <c r="I144"/>
      <c r="J144"/>
      <c r="K144"/>
      <c r="L144"/>
      <c r="M144"/>
      <c r="N144"/>
      <c r="O144"/>
      <c r="P144"/>
    </row>
    <row r="145" spans="1:16">
      <c r="A145"/>
      <c r="B145"/>
      <c r="C145"/>
      <c r="D145"/>
      <c r="E145"/>
      <c r="F145"/>
      <c r="G145"/>
      <c r="H145"/>
      <c r="I145"/>
      <c r="J145"/>
      <c r="K145"/>
      <c r="L145"/>
      <c r="M145"/>
      <c r="N145"/>
      <c r="O145"/>
      <c r="P145"/>
    </row>
    <row r="146" spans="1:16">
      <c r="A146"/>
      <c r="B146"/>
      <c r="C146"/>
      <c r="D146"/>
      <c r="E146"/>
      <c r="F146"/>
      <c r="G146"/>
      <c r="H146"/>
      <c r="I146"/>
      <c r="J146"/>
      <c r="K146"/>
      <c r="L146"/>
      <c r="M146"/>
      <c r="N146"/>
      <c r="O146"/>
      <c r="P146"/>
    </row>
    <row r="147" spans="1:16">
      <c r="A147"/>
      <c r="B147"/>
      <c r="C147"/>
      <c r="D147"/>
      <c r="E147"/>
      <c r="F147"/>
      <c r="G147"/>
      <c r="H147"/>
      <c r="I147"/>
      <c r="J147"/>
      <c r="K147"/>
      <c r="L147"/>
      <c r="M147"/>
      <c r="N147"/>
      <c r="O147"/>
      <c r="P147"/>
    </row>
    <row r="148" spans="1:16">
      <c r="A148"/>
      <c r="B148"/>
      <c r="C148"/>
      <c r="D148"/>
      <c r="E148"/>
      <c r="F148"/>
      <c r="G148"/>
      <c r="H148"/>
      <c r="I148"/>
      <c r="J148"/>
      <c r="K148"/>
      <c r="L148"/>
      <c r="M148"/>
      <c r="N148"/>
      <c r="O148"/>
      <c r="P148"/>
    </row>
    <row r="149" spans="1:16">
      <c r="A149"/>
      <c r="B149"/>
      <c r="C149"/>
      <c r="D149"/>
      <c r="E149"/>
      <c r="F149"/>
      <c r="G149"/>
      <c r="H149"/>
      <c r="I149"/>
      <c r="J149"/>
      <c r="K149"/>
      <c r="L149"/>
      <c r="M149"/>
      <c r="N149"/>
      <c r="O149"/>
      <c r="P149"/>
    </row>
    <row r="150" spans="1:16">
      <c r="A150"/>
      <c r="B150"/>
      <c r="C150"/>
      <c r="D150"/>
      <c r="E150"/>
      <c r="F150"/>
      <c r="G150"/>
      <c r="H150"/>
      <c r="I150"/>
      <c r="J150"/>
      <c r="K150"/>
      <c r="L150"/>
      <c r="M150"/>
      <c r="N150"/>
      <c r="O150"/>
      <c r="P150"/>
    </row>
    <row r="151" spans="1:16">
      <c r="A151"/>
      <c r="B151"/>
      <c r="C151"/>
      <c r="D151"/>
      <c r="E151"/>
      <c r="F151"/>
      <c r="G151"/>
      <c r="H151"/>
      <c r="I151"/>
      <c r="J151"/>
      <c r="K151"/>
      <c r="L151"/>
      <c r="M151"/>
      <c r="N151"/>
      <c r="O151"/>
      <c r="P151"/>
    </row>
    <row r="152" spans="1:16">
      <c r="A152"/>
      <c r="B152"/>
      <c r="C152"/>
      <c r="D152"/>
      <c r="E152"/>
      <c r="F152"/>
      <c r="G152"/>
      <c r="H152"/>
      <c r="I152"/>
      <c r="J152"/>
      <c r="K152"/>
      <c r="L152"/>
      <c r="M152"/>
      <c r="N152"/>
      <c r="O152"/>
      <c r="P152"/>
    </row>
    <row r="153" spans="1:16">
      <c r="A153"/>
      <c r="B153"/>
      <c r="C153"/>
      <c r="D153"/>
      <c r="E153"/>
      <c r="F153"/>
      <c r="G153"/>
      <c r="H153"/>
      <c r="I153"/>
      <c r="J153"/>
      <c r="K153"/>
      <c r="L153"/>
      <c r="M153"/>
      <c r="N153"/>
      <c r="O153"/>
      <c r="P153"/>
    </row>
    <row r="154" spans="1:16">
      <c r="A154"/>
      <c r="B154"/>
      <c r="C154"/>
      <c r="D154"/>
      <c r="E154"/>
      <c r="F154"/>
      <c r="G154"/>
      <c r="H154"/>
      <c r="I154"/>
      <c r="J154"/>
      <c r="K154"/>
      <c r="L154"/>
      <c r="M154"/>
      <c r="N154"/>
      <c r="O154"/>
      <c r="P154"/>
    </row>
    <row r="155" spans="1:16">
      <c r="A155"/>
      <c r="B155"/>
      <c r="C155"/>
      <c r="D155"/>
      <c r="E155"/>
      <c r="F155"/>
      <c r="G155"/>
      <c r="H155"/>
      <c r="I155"/>
      <c r="J155"/>
      <c r="K155"/>
      <c r="L155"/>
      <c r="M155"/>
      <c r="N155"/>
      <c r="O155"/>
      <c r="P155"/>
    </row>
    <row r="156" spans="1:16">
      <c r="A156"/>
      <c r="B156"/>
      <c r="C156"/>
      <c r="D156"/>
      <c r="E156"/>
      <c r="F156"/>
      <c r="G156"/>
      <c r="H156"/>
      <c r="I156"/>
      <c r="J156"/>
      <c r="K156"/>
      <c r="L156"/>
      <c r="M156"/>
      <c r="N156"/>
      <c r="O156"/>
      <c r="P156"/>
    </row>
    <row r="157" spans="1:16">
      <c r="A157"/>
      <c r="B157"/>
      <c r="C157"/>
      <c r="D157"/>
      <c r="E157"/>
      <c r="F157"/>
      <c r="G157"/>
      <c r="H157"/>
      <c r="I157"/>
      <c r="J157"/>
      <c r="K157"/>
      <c r="L157"/>
      <c r="M157"/>
      <c r="N157"/>
      <c r="O157"/>
      <c r="P157"/>
    </row>
    <row r="158" spans="1:16">
      <c r="A158"/>
      <c r="B158"/>
      <c r="C158"/>
      <c r="D158"/>
      <c r="E158"/>
      <c r="F158"/>
      <c r="G158"/>
      <c r="H158"/>
      <c r="I158"/>
      <c r="J158"/>
      <c r="K158"/>
      <c r="L158"/>
      <c r="M158"/>
      <c r="N158"/>
      <c r="O158"/>
      <c r="P158"/>
    </row>
    <row r="159" spans="1:16">
      <c r="A159"/>
      <c r="B159"/>
      <c r="C159"/>
      <c r="D159"/>
      <c r="E159"/>
      <c r="F159"/>
      <c r="G159"/>
      <c r="H159"/>
      <c r="I159"/>
      <c r="J159"/>
      <c r="K159"/>
      <c r="L159"/>
      <c r="M159"/>
      <c r="N159"/>
      <c r="O159"/>
      <c r="P159"/>
    </row>
    <row r="160" spans="1:16">
      <c r="A160"/>
      <c r="B160"/>
      <c r="C160"/>
      <c r="D160"/>
      <c r="E160"/>
      <c r="F160"/>
      <c r="G160"/>
      <c r="H160"/>
      <c r="I160"/>
      <c r="J160"/>
      <c r="K160"/>
      <c r="L160"/>
      <c r="M160"/>
      <c r="N160"/>
      <c r="O160"/>
      <c r="P160"/>
    </row>
    <row r="161" spans="1:16">
      <c r="A161"/>
      <c r="B161"/>
      <c r="C161"/>
      <c r="D161"/>
      <c r="E161"/>
      <c r="F161"/>
      <c r="G161"/>
      <c r="H161"/>
      <c r="I161"/>
      <c r="J161"/>
      <c r="K161"/>
      <c r="L161"/>
      <c r="M161"/>
      <c r="N161"/>
      <c r="O161"/>
      <c r="P161"/>
    </row>
    <row r="162" spans="1:16">
      <c r="A162"/>
      <c r="B162"/>
      <c r="C162"/>
      <c r="D162"/>
      <c r="E162"/>
      <c r="F162"/>
      <c r="G162"/>
      <c r="H162"/>
      <c r="I162"/>
      <c r="J162"/>
      <c r="K162"/>
      <c r="L162"/>
      <c r="M162"/>
      <c r="N162"/>
      <c r="O162"/>
      <c r="P162"/>
    </row>
    <row r="163" spans="1:16">
      <c r="A163"/>
      <c r="B163"/>
      <c r="C163"/>
      <c r="D163"/>
      <c r="E163"/>
      <c r="F163"/>
      <c r="G163"/>
      <c r="H163"/>
      <c r="I163"/>
      <c r="J163"/>
      <c r="K163"/>
      <c r="L163"/>
      <c r="M163"/>
      <c r="N163"/>
      <c r="O163"/>
      <c r="P163"/>
    </row>
    <row r="164" spans="1:16">
      <c r="A164"/>
      <c r="B164"/>
      <c r="C164"/>
      <c r="D164"/>
      <c r="E164"/>
      <c r="F164"/>
      <c r="G164"/>
      <c r="H164"/>
      <c r="I164"/>
      <c r="J164"/>
      <c r="K164"/>
      <c r="L164"/>
      <c r="M164"/>
      <c r="N164"/>
      <c r="O164"/>
      <c r="P164"/>
    </row>
    <row r="165" spans="1:16">
      <c r="A165"/>
      <c r="B165"/>
      <c r="C165"/>
      <c r="D165"/>
      <c r="E165"/>
      <c r="F165"/>
      <c r="G165"/>
      <c r="H165"/>
      <c r="I165"/>
      <c r="J165"/>
      <c r="K165"/>
      <c r="L165"/>
      <c r="M165"/>
      <c r="N165"/>
      <c r="O165"/>
      <c r="P165"/>
    </row>
    <row r="166" spans="1:16">
      <c r="A166"/>
      <c r="B166"/>
      <c r="C166"/>
      <c r="D166"/>
      <c r="E166"/>
      <c r="F166"/>
      <c r="G166"/>
      <c r="H166"/>
      <c r="I166"/>
      <c r="J166"/>
      <c r="K166"/>
      <c r="L166"/>
      <c r="M166"/>
      <c r="N166"/>
      <c r="O166"/>
      <c r="P166"/>
    </row>
    <row r="167" spans="1:16">
      <c r="A167"/>
      <c r="B167"/>
      <c r="C167"/>
      <c r="D167"/>
      <c r="E167"/>
      <c r="F167"/>
      <c r="G167"/>
      <c r="H167"/>
      <c r="I167"/>
      <c r="J167"/>
      <c r="K167"/>
      <c r="L167"/>
      <c r="M167"/>
      <c r="N167"/>
      <c r="O167"/>
      <c r="P167"/>
    </row>
    <row r="168" spans="1:16">
      <c r="A168"/>
      <c r="B168"/>
      <c r="C168"/>
      <c r="D168"/>
      <c r="E168"/>
      <c r="F168"/>
      <c r="G168"/>
      <c r="H168"/>
      <c r="I168"/>
      <c r="J168"/>
      <c r="K168"/>
      <c r="L168"/>
      <c r="M168"/>
      <c r="N168"/>
      <c r="O168"/>
      <c r="P168"/>
    </row>
    <row r="169" spans="1:16">
      <c r="A169"/>
      <c r="B169"/>
      <c r="C169"/>
      <c r="D169"/>
      <c r="E169"/>
      <c r="F169"/>
      <c r="G169"/>
      <c r="H169"/>
      <c r="I169"/>
      <c r="J169"/>
      <c r="K169"/>
      <c r="L169"/>
      <c r="M169"/>
      <c r="N169"/>
      <c r="O169"/>
      <c r="P169"/>
    </row>
    <row r="170" spans="1:16">
      <c r="A170"/>
      <c r="B170"/>
      <c r="C170"/>
      <c r="D170"/>
      <c r="E170"/>
      <c r="F170"/>
      <c r="G170"/>
      <c r="H170"/>
      <c r="I170"/>
      <c r="J170"/>
      <c r="K170"/>
      <c r="L170"/>
      <c r="M170"/>
      <c r="N170"/>
      <c r="O170"/>
      <c r="P170"/>
    </row>
    <row r="171" spans="1:16">
      <c r="A171"/>
      <c r="B171"/>
      <c r="C171"/>
      <c r="D171"/>
      <c r="E171"/>
      <c r="F171"/>
      <c r="G171"/>
      <c r="H171"/>
      <c r="I171"/>
      <c r="J171"/>
      <c r="K171"/>
      <c r="L171"/>
      <c r="M171"/>
      <c r="N171"/>
      <c r="O171"/>
      <c r="P171"/>
    </row>
    <row r="172" spans="1:16">
      <c r="A172"/>
      <c r="B172"/>
      <c r="C172"/>
      <c r="D172"/>
      <c r="E172"/>
      <c r="F172"/>
      <c r="G172"/>
      <c r="H172"/>
      <c r="I172"/>
      <c r="J172"/>
      <c r="K172"/>
      <c r="L172"/>
      <c r="M172"/>
      <c r="N172"/>
      <c r="O172"/>
      <c r="P172"/>
    </row>
    <row r="173" spans="1:16">
      <c r="A173"/>
      <c r="B173"/>
      <c r="C173"/>
      <c r="D173"/>
      <c r="E173"/>
      <c r="F173"/>
      <c r="G173"/>
      <c r="H173"/>
      <c r="I173"/>
      <c r="J173"/>
      <c r="K173"/>
      <c r="L173"/>
      <c r="M173"/>
      <c r="N173"/>
      <c r="O173"/>
      <c r="P173"/>
    </row>
    <row r="174" spans="1:16">
      <c r="A174"/>
      <c r="B174"/>
      <c r="C174"/>
      <c r="D174"/>
      <c r="E174"/>
      <c r="F174"/>
      <c r="G174"/>
      <c r="H174"/>
      <c r="I174"/>
      <c r="J174"/>
      <c r="K174"/>
      <c r="L174"/>
      <c r="M174"/>
      <c r="N174"/>
      <c r="O174"/>
      <c r="P174"/>
    </row>
    <row r="175" spans="1:16">
      <c r="A175"/>
      <c r="B175"/>
      <c r="C175"/>
      <c r="D175"/>
      <c r="E175"/>
      <c r="F175"/>
      <c r="G175"/>
      <c r="H175"/>
      <c r="I175"/>
      <c r="J175"/>
      <c r="K175"/>
      <c r="L175"/>
      <c r="M175"/>
      <c r="N175"/>
      <c r="O175"/>
      <c r="P175"/>
    </row>
    <row r="176" spans="1:16">
      <c r="A176"/>
      <c r="B176"/>
      <c r="C176"/>
      <c r="D176"/>
      <c r="E176"/>
      <c r="F176"/>
      <c r="G176"/>
      <c r="H176"/>
      <c r="I176"/>
      <c r="J176"/>
      <c r="K176"/>
      <c r="L176"/>
      <c r="M176"/>
      <c r="N176"/>
      <c r="O176"/>
      <c r="P176"/>
    </row>
    <row r="177" spans="1:16">
      <c r="A177"/>
      <c r="B177"/>
      <c r="C177"/>
      <c r="D177"/>
      <c r="E177"/>
      <c r="F177"/>
      <c r="G177"/>
      <c r="H177"/>
      <c r="I177"/>
      <c r="J177"/>
      <c r="K177"/>
      <c r="L177"/>
      <c r="M177"/>
      <c r="N177"/>
      <c r="O177"/>
      <c r="P177"/>
    </row>
    <row r="178" spans="1:16">
      <c r="A178"/>
      <c r="B178"/>
      <c r="C178"/>
      <c r="D178"/>
      <c r="E178"/>
      <c r="F178"/>
      <c r="G178"/>
      <c r="H178"/>
      <c r="I178"/>
      <c r="J178"/>
      <c r="K178"/>
      <c r="L178"/>
      <c r="M178"/>
      <c r="N178"/>
      <c r="O178"/>
      <c r="P178"/>
    </row>
    <row r="179" spans="1:16">
      <c r="A179"/>
      <c r="B179"/>
      <c r="C179"/>
      <c r="D179"/>
      <c r="E179"/>
      <c r="F179"/>
      <c r="G179"/>
      <c r="H179"/>
      <c r="I179"/>
      <c r="J179"/>
      <c r="K179"/>
      <c r="L179"/>
      <c r="M179"/>
      <c r="N179"/>
      <c r="O179"/>
      <c r="P179"/>
    </row>
    <row r="180" spans="1:16">
      <c r="A180"/>
      <c r="B180"/>
      <c r="C180"/>
      <c r="D180"/>
      <c r="E180"/>
      <c r="F180"/>
      <c r="G180"/>
      <c r="H180"/>
      <c r="I180"/>
      <c r="J180"/>
      <c r="K180"/>
      <c r="L180"/>
      <c r="M180"/>
      <c r="N180"/>
      <c r="O180"/>
      <c r="P180"/>
    </row>
    <row r="181" spans="1:16">
      <c r="A181"/>
      <c r="B181"/>
      <c r="C181"/>
      <c r="D181"/>
      <c r="E181"/>
      <c r="F181"/>
      <c r="G181"/>
      <c r="H181"/>
      <c r="I181"/>
      <c r="J181"/>
      <c r="K181"/>
      <c r="L181"/>
      <c r="M181"/>
      <c r="N181"/>
      <c r="O181"/>
      <c r="P181"/>
    </row>
    <row r="182" spans="1:16">
      <c r="A182"/>
      <c r="B182"/>
      <c r="C182"/>
      <c r="D182"/>
      <c r="E182"/>
      <c r="F182"/>
      <c r="G182"/>
      <c r="H182"/>
      <c r="I182"/>
      <c r="J182"/>
      <c r="K182"/>
      <c r="L182"/>
      <c r="M182"/>
      <c r="N182"/>
      <c r="O182"/>
      <c r="P182"/>
    </row>
    <row r="183" spans="1:16">
      <c r="A183"/>
      <c r="B183"/>
      <c r="C183"/>
      <c r="D183"/>
      <c r="E183"/>
      <c r="F183"/>
      <c r="G183"/>
      <c r="H183"/>
      <c r="I183"/>
      <c r="J183"/>
      <c r="K183"/>
      <c r="L183"/>
      <c r="M183"/>
      <c r="N183"/>
      <c r="O183"/>
      <c r="P183"/>
    </row>
    <row r="184" spans="1:16">
      <c r="A184"/>
      <c r="B184"/>
      <c r="C184"/>
      <c r="D184"/>
      <c r="E184"/>
      <c r="F184"/>
      <c r="G184"/>
      <c r="H184"/>
      <c r="I184"/>
      <c r="J184"/>
      <c r="K184"/>
      <c r="L184"/>
      <c r="M184"/>
      <c r="N184"/>
      <c r="O184"/>
      <c r="P184"/>
    </row>
    <row r="185" spans="1:16">
      <c r="A185"/>
      <c r="B185"/>
      <c r="C185"/>
      <c r="D185"/>
      <c r="E185"/>
      <c r="F185"/>
      <c r="G185"/>
      <c r="H185"/>
      <c r="I185"/>
      <c r="J185"/>
      <c r="K185"/>
      <c r="L185"/>
      <c r="M185"/>
      <c r="N185"/>
      <c r="O185"/>
      <c r="P185"/>
    </row>
    <row r="186" spans="1:16">
      <c r="A186"/>
      <c r="B186"/>
      <c r="C186"/>
      <c r="D186"/>
      <c r="E186"/>
      <c r="F186"/>
      <c r="G186"/>
      <c r="H186"/>
      <c r="I186"/>
      <c r="J186"/>
      <c r="K186"/>
      <c r="L186"/>
      <c r="M186"/>
      <c r="N186"/>
      <c r="O186"/>
      <c r="P186"/>
    </row>
    <row r="187" spans="1:16">
      <c r="A187"/>
      <c r="B187"/>
      <c r="C187"/>
      <c r="D187"/>
      <c r="E187"/>
      <c r="F187"/>
      <c r="G187"/>
      <c r="H187"/>
      <c r="I187"/>
      <c r="J187"/>
      <c r="K187"/>
      <c r="L187"/>
      <c r="M187"/>
      <c r="N187"/>
      <c r="O187"/>
      <c r="P187"/>
    </row>
    <row r="188" spans="1:16">
      <c r="A188"/>
      <c r="B188"/>
      <c r="C188"/>
      <c r="D188"/>
      <c r="E188"/>
      <c r="F188"/>
      <c r="G188"/>
      <c r="H188"/>
      <c r="I188"/>
      <c r="J188"/>
      <c r="K188"/>
      <c r="L188"/>
      <c r="M188"/>
      <c r="N188"/>
      <c r="O188"/>
      <c r="P188"/>
    </row>
    <row r="189" spans="1:16">
      <c r="A189"/>
      <c r="B189"/>
      <c r="C189"/>
      <c r="D189"/>
      <c r="E189"/>
      <c r="F189"/>
      <c r="G189"/>
      <c r="H189"/>
      <c r="I189"/>
      <c r="J189"/>
      <c r="K189"/>
      <c r="L189"/>
      <c r="M189"/>
      <c r="N189"/>
      <c r="O189"/>
      <c r="P189"/>
    </row>
    <row r="190" spans="1:16">
      <c r="A190"/>
      <c r="B190"/>
      <c r="C190"/>
      <c r="D190"/>
      <c r="E190"/>
      <c r="F190"/>
      <c r="G190"/>
      <c r="H190"/>
      <c r="I190"/>
      <c r="J190"/>
      <c r="K190"/>
      <c r="L190"/>
      <c r="M190"/>
      <c r="N190"/>
      <c r="O190"/>
      <c r="P190"/>
    </row>
    <row r="191" spans="1:16">
      <c r="A191"/>
      <c r="B191"/>
      <c r="C191"/>
      <c r="D191"/>
      <c r="E191"/>
      <c r="F191"/>
      <c r="G191"/>
      <c r="H191"/>
      <c r="I191"/>
      <c r="J191"/>
      <c r="K191"/>
      <c r="L191"/>
      <c r="M191"/>
      <c r="N191"/>
      <c r="O191"/>
      <c r="P191"/>
    </row>
    <row r="192" spans="1:16">
      <c r="A192"/>
      <c r="B192"/>
      <c r="C192"/>
      <c r="D192"/>
      <c r="E192"/>
      <c r="F192"/>
      <c r="G192"/>
      <c r="H192"/>
      <c r="I192"/>
      <c r="J192"/>
      <c r="K192"/>
      <c r="L192"/>
      <c r="M192"/>
      <c r="N192"/>
      <c r="O192"/>
      <c r="P192"/>
    </row>
    <row r="193" spans="1:16">
      <c r="A193"/>
      <c r="B193"/>
      <c r="C193"/>
      <c r="D193"/>
      <c r="E193"/>
      <c r="F193"/>
      <c r="G193"/>
      <c r="H193"/>
      <c r="I193"/>
      <c r="J193"/>
      <c r="K193"/>
      <c r="L193"/>
      <c r="M193"/>
      <c r="N193"/>
      <c r="O193"/>
      <c r="P193"/>
    </row>
    <row r="194" spans="1:16">
      <c r="A194"/>
      <c r="B194"/>
      <c r="C194"/>
      <c r="D194"/>
      <c r="E194"/>
      <c r="F194"/>
      <c r="G194"/>
      <c r="H194"/>
      <c r="I194"/>
      <c r="J194"/>
      <c r="K194"/>
      <c r="L194"/>
      <c r="M194"/>
      <c r="N194"/>
      <c r="O194"/>
      <c r="P194"/>
    </row>
    <row r="195" spans="1:16">
      <c r="A195"/>
      <c r="B195"/>
      <c r="C195"/>
      <c r="D195"/>
      <c r="E195"/>
      <c r="F195"/>
      <c r="G195"/>
      <c r="H195"/>
      <c r="I195"/>
      <c r="J195"/>
      <c r="K195"/>
      <c r="L195"/>
      <c r="M195"/>
      <c r="N195"/>
      <c r="O195"/>
      <c r="P195"/>
    </row>
    <row r="196" spans="1:16">
      <c r="A196"/>
      <c r="B196"/>
      <c r="C196"/>
      <c r="D196"/>
      <c r="E196"/>
      <c r="F196"/>
      <c r="G196"/>
      <c r="H196"/>
      <c r="I196"/>
      <c r="J196"/>
      <c r="K196"/>
      <c r="L196"/>
      <c r="M196"/>
      <c r="N196"/>
      <c r="O196"/>
      <c r="P196"/>
    </row>
    <row r="197" spans="1:16">
      <c r="A197"/>
      <c r="B197"/>
      <c r="C197"/>
      <c r="D197"/>
      <c r="E197"/>
      <c r="F197"/>
      <c r="G197"/>
      <c r="H197"/>
      <c r="I197"/>
      <c r="J197"/>
      <c r="K197"/>
      <c r="L197"/>
      <c r="M197"/>
      <c r="N197"/>
      <c r="O197"/>
      <c r="P197"/>
    </row>
    <row r="198" spans="1:16">
      <c r="A198"/>
      <c r="B198"/>
      <c r="C198"/>
      <c r="D198"/>
      <c r="E198"/>
      <c r="F198"/>
      <c r="G198"/>
      <c r="H198"/>
      <c r="I198"/>
      <c r="J198"/>
      <c r="K198"/>
      <c r="L198"/>
      <c r="M198"/>
      <c r="N198"/>
      <c r="O198"/>
      <c r="P198"/>
    </row>
    <row r="199" spans="1:16">
      <c r="A199"/>
      <c r="B199"/>
      <c r="C199"/>
      <c r="D199"/>
      <c r="E199"/>
      <c r="F199"/>
      <c r="G199"/>
      <c r="H199"/>
      <c r="I199"/>
      <c r="J199"/>
      <c r="K199"/>
      <c r="L199"/>
      <c r="M199"/>
      <c r="N199"/>
      <c r="O199"/>
      <c r="P199"/>
    </row>
    <row r="200" spans="1:16">
      <c r="A200"/>
      <c r="B200"/>
      <c r="C200"/>
      <c r="D200"/>
      <c r="E200"/>
      <c r="F200"/>
      <c r="G200"/>
      <c r="H200"/>
      <c r="I200"/>
      <c r="J200"/>
      <c r="K200"/>
      <c r="L200"/>
      <c r="M200"/>
      <c r="N200"/>
      <c r="O200"/>
      <c r="P200"/>
    </row>
    <row r="201" spans="1:16">
      <c r="A201"/>
      <c r="B201"/>
      <c r="C201"/>
      <c r="D201"/>
      <c r="E201"/>
      <c r="F201"/>
      <c r="G201"/>
      <c r="H201"/>
      <c r="I201"/>
      <c r="J201"/>
      <c r="K201"/>
      <c r="L201"/>
      <c r="M201"/>
      <c r="N201"/>
      <c r="O201"/>
      <c r="P201"/>
    </row>
    <row r="202" spans="1:16">
      <c r="A202"/>
      <c r="B202"/>
      <c r="C202"/>
      <c r="D202"/>
      <c r="E202"/>
      <c r="F202"/>
      <c r="G202"/>
      <c r="H202"/>
      <c r="I202"/>
      <c r="J202"/>
      <c r="K202"/>
      <c r="L202"/>
      <c r="M202"/>
      <c r="N202"/>
      <c r="O202"/>
      <c r="P202"/>
    </row>
    <row r="203" spans="1:16">
      <c r="A203"/>
      <c r="B203"/>
      <c r="C203"/>
      <c r="D203"/>
      <c r="E203"/>
      <c r="F203"/>
      <c r="G203"/>
      <c r="H203"/>
      <c r="I203"/>
      <c r="J203"/>
      <c r="K203"/>
      <c r="L203"/>
      <c r="M203"/>
      <c r="N203"/>
      <c r="O203"/>
      <c r="P203"/>
    </row>
    <row r="204" spans="1:16">
      <c r="A204"/>
      <c r="B204"/>
      <c r="C204"/>
      <c r="D204"/>
      <c r="E204"/>
      <c r="F204"/>
      <c r="G204"/>
      <c r="H204"/>
      <c r="I204"/>
      <c r="J204"/>
      <c r="K204"/>
      <c r="L204"/>
      <c r="M204"/>
      <c r="N204"/>
      <c r="O204"/>
      <c r="P204"/>
    </row>
    <row r="205" spans="1:16">
      <c r="A205"/>
      <c r="B205"/>
      <c r="C205"/>
      <c r="D205"/>
      <c r="E205"/>
      <c r="F205"/>
      <c r="G205"/>
      <c r="H205"/>
      <c r="I205"/>
      <c r="J205"/>
      <c r="K205"/>
      <c r="L205"/>
      <c r="M205"/>
      <c r="N205"/>
      <c r="O205"/>
      <c r="P205"/>
    </row>
    <row r="206" spans="1:16">
      <c r="A206"/>
      <c r="B206"/>
      <c r="C206"/>
      <c r="D206"/>
      <c r="E206"/>
      <c r="F206"/>
      <c r="G206"/>
      <c r="H206"/>
      <c r="I206"/>
      <c r="J206"/>
      <c r="K206"/>
      <c r="L206"/>
      <c r="M206"/>
      <c r="N206"/>
      <c r="O206"/>
      <c r="P206"/>
    </row>
    <row r="207" spans="1:16">
      <c r="A207"/>
      <c r="B207"/>
      <c r="C207"/>
      <c r="D207"/>
      <c r="E207"/>
      <c r="F207"/>
      <c r="G207"/>
      <c r="H207"/>
      <c r="I207"/>
      <c r="J207"/>
      <c r="K207"/>
      <c r="L207"/>
      <c r="M207"/>
      <c r="N207"/>
      <c r="O207"/>
      <c r="P207"/>
    </row>
    <row r="208" spans="1:16">
      <c r="A208"/>
      <c r="B208"/>
      <c r="C208"/>
      <c r="D208"/>
      <c r="E208"/>
      <c r="F208"/>
      <c r="G208"/>
      <c r="H208"/>
      <c r="I208"/>
      <c r="J208"/>
      <c r="K208"/>
      <c r="L208"/>
      <c r="M208"/>
      <c r="N208"/>
      <c r="O208"/>
      <c r="P208"/>
    </row>
    <row r="209" spans="1:16">
      <c r="A209"/>
      <c r="B209"/>
      <c r="C209"/>
      <c r="D209"/>
      <c r="E209"/>
      <c r="F209"/>
      <c r="G209"/>
      <c r="H209"/>
      <c r="I209"/>
      <c r="J209"/>
      <c r="K209"/>
      <c r="L209"/>
      <c r="M209"/>
      <c r="N209"/>
      <c r="O209"/>
      <c r="P209"/>
    </row>
    <row r="210" spans="1:16">
      <c r="A210"/>
      <c r="B210"/>
      <c r="C210"/>
      <c r="D210"/>
      <c r="E210"/>
      <c r="F210"/>
      <c r="G210"/>
      <c r="H210"/>
      <c r="I210"/>
      <c r="J210"/>
      <c r="K210"/>
      <c r="L210"/>
      <c r="M210"/>
      <c r="N210"/>
      <c r="O210"/>
      <c r="P210"/>
    </row>
    <row r="211" spans="1:16">
      <c r="A211"/>
      <c r="B211"/>
      <c r="C211"/>
      <c r="D211"/>
      <c r="E211"/>
      <c r="F211"/>
      <c r="G211"/>
      <c r="H211"/>
      <c r="I211"/>
      <c r="J211"/>
      <c r="K211"/>
      <c r="L211"/>
      <c r="M211"/>
      <c r="N211"/>
      <c r="O211"/>
      <c r="P211"/>
    </row>
    <row r="212" spans="1:16">
      <c r="A212"/>
      <c r="B212"/>
      <c r="C212"/>
      <c r="D212"/>
      <c r="E212"/>
      <c r="F212"/>
      <c r="G212"/>
      <c r="H212"/>
      <c r="I212"/>
      <c r="J212"/>
      <c r="K212"/>
      <c r="L212"/>
      <c r="M212"/>
      <c r="N212"/>
      <c r="O212"/>
      <c r="P212"/>
    </row>
    <row r="213" spans="1:16">
      <c r="A213"/>
      <c r="B213"/>
      <c r="C213"/>
      <c r="D213"/>
      <c r="E213"/>
      <c r="F213"/>
      <c r="G213"/>
      <c r="H213"/>
      <c r="I213"/>
      <c r="J213"/>
      <c r="K213"/>
      <c r="L213"/>
      <c r="M213"/>
      <c r="N213"/>
      <c r="O213"/>
      <c r="P213"/>
    </row>
    <row r="214" spans="1:16">
      <c r="A214"/>
      <c r="B214"/>
      <c r="C214"/>
      <c r="D214"/>
      <c r="E214"/>
      <c r="F214"/>
      <c r="G214"/>
      <c r="H214"/>
      <c r="I214"/>
      <c r="J214"/>
      <c r="K214"/>
      <c r="L214"/>
      <c r="M214"/>
      <c r="N214"/>
      <c r="O214"/>
      <c r="P214"/>
    </row>
    <row r="215" spans="1:16">
      <c r="A215"/>
      <c r="B215"/>
      <c r="C215"/>
      <c r="D215"/>
      <c r="E215"/>
      <c r="F215"/>
      <c r="G215"/>
      <c r="H215"/>
      <c r="I215"/>
      <c r="J215"/>
      <c r="K215"/>
      <c r="L215"/>
      <c r="M215"/>
      <c r="N215"/>
      <c r="O215"/>
      <c r="P215"/>
    </row>
    <row r="216" spans="1:16">
      <c r="A216"/>
      <c r="B216"/>
      <c r="C216"/>
      <c r="D216"/>
      <c r="E216"/>
      <c r="F216"/>
      <c r="G216"/>
      <c r="H216"/>
      <c r="I216"/>
      <c r="J216"/>
      <c r="K216"/>
      <c r="L216"/>
      <c r="M216"/>
      <c r="N216"/>
      <c r="O216"/>
      <c r="P216"/>
    </row>
    <row r="217" spans="1:16">
      <c r="A217"/>
      <c r="B217"/>
      <c r="C217"/>
      <c r="D217"/>
      <c r="E217"/>
      <c r="F217"/>
      <c r="G217"/>
      <c r="H217"/>
      <c r="I217"/>
      <c r="J217"/>
      <c r="K217"/>
      <c r="L217"/>
      <c r="M217"/>
      <c r="N217"/>
      <c r="O217"/>
      <c r="P217"/>
    </row>
    <row r="218" spans="1:16">
      <c r="A218"/>
      <c r="B218"/>
      <c r="C218"/>
      <c r="D218"/>
      <c r="E218"/>
      <c r="F218"/>
      <c r="G218"/>
      <c r="H218"/>
      <c r="I218"/>
      <c r="J218"/>
      <c r="K218"/>
      <c r="L218"/>
      <c r="M218"/>
      <c r="N218"/>
      <c r="O218"/>
      <c r="P218"/>
    </row>
    <row r="219" spans="1:16">
      <c r="A219"/>
      <c r="B219"/>
      <c r="C219"/>
      <c r="D219"/>
      <c r="E219"/>
      <c r="F219"/>
      <c r="G219"/>
      <c r="H219"/>
      <c r="I219"/>
      <c r="J219"/>
      <c r="K219"/>
      <c r="L219"/>
      <c r="M219"/>
      <c r="N219"/>
      <c r="O219"/>
      <c r="P219"/>
    </row>
    <row r="220" spans="1:16">
      <c r="A220"/>
      <c r="B220"/>
      <c r="C220"/>
      <c r="D220"/>
      <c r="E220"/>
      <c r="F220"/>
      <c r="G220"/>
      <c r="H220"/>
      <c r="I220"/>
      <c r="J220"/>
      <c r="K220"/>
      <c r="L220"/>
      <c r="M220"/>
      <c r="N220"/>
      <c r="O220"/>
      <c r="P220"/>
    </row>
    <row r="221" spans="1:16">
      <c r="A221"/>
      <c r="B221"/>
      <c r="C221"/>
      <c r="D221"/>
      <c r="E221"/>
      <c r="F221"/>
      <c r="G221"/>
      <c r="H221"/>
      <c r="I221"/>
      <c r="J221"/>
      <c r="K221"/>
      <c r="L221"/>
      <c r="M221"/>
      <c r="N221"/>
      <c r="O221"/>
      <c r="P221"/>
    </row>
    <row r="222" spans="1:16">
      <c r="A222"/>
      <c r="B222"/>
      <c r="C222"/>
      <c r="D222"/>
      <c r="E222"/>
      <c r="F222"/>
      <c r="G222"/>
      <c r="H222"/>
      <c r="I222"/>
      <c r="J222"/>
      <c r="K222"/>
      <c r="L222"/>
      <c r="M222"/>
      <c r="N222"/>
      <c r="O222"/>
      <c r="P222"/>
    </row>
    <row r="223" spans="1:16">
      <c r="A223"/>
      <c r="B223"/>
      <c r="C223"/>
      <c r="D223"/>
      <c r="E223"/>
      <c r="F223"/>
      <c r="G223"/>
      <c r="H223"/>
      <c r="I223"/>
      <c r="J223"/>
      <c r="K223"/>
      <c r="L223"/>
      <c r="M223"/>
      <c r="N223"/>
      <c r="O223"/>
      <c r="P223"/>
    </row>
    <row r="224" spans="1:16">
      <c r="A224"/>
      <c r="B224"/>
      <c r="C224"/>
      <c r="D224"/>
      <c r="E224"/>
      <c r="F224"/>
      <c r="G224"/>
      <c r="H224"/>
      <c r="I224"/>
      <c r="J224"/>
      <c r="K224"/>
      <c r="L224"/>
      <c r="M224"/>
      <c r="N224"/>
      <c r="O224"/>
      <c r="P224"/>
    </row>
    <row r="225" spans="1:16">
      <c r="A225"/>
      <c r="B225"/>
      <c r="C225"/>
      <c r="D225"/>
      <c r="E225"/>
      <c r="F225"/>
      <c r="G225"/>
      <c r="H225"/>
      <c r="I225"/>
      <c r="J225"/>
      <c r="K225"/>
      <c r="L225"/>
      <c r="M225"/>
      <c r="N225"/>
      <c r="O225"/>
      <c r="P225"/>
    </row>
    <row r="226" spans="1:16">
      <c r="A226"/>
      <c r="B226"/>
      <c r="C226"/>
      <c r="D226"/>
      <c r="E226"/>
      <c r="F226"/>
      <c r="G226"/>
      <c r="H226"/>
      <c r="I226"/>
      <c r="J226"/>
      <c r="K226"/>
      <c r="L226"/>
      <c r="M226"/>
      <c r="N226"/>
      <c r="O226"/>
      <c r="P226"/>
    </row>
    <row r="227" spans="1:16">
      <c r="A227"/>
      <c r="B227"/>
      <c r="C227"/>
      <c r="D227"/>
      <c r="E227"/>
      <c r="F227"/>
      <c r="G227"/>
      <c r="H227"/>
      <c r="I227"/>
      <c r="J227"/>
      <c r="K227"/>
      <c r="L227"/>
      <c r="M227"/>
      <c r="N227"/>
      <c r="O227"/>
      <c r="P227"/>
    </row>
    <row r="228" spans="1:16">
      <c r="A228"/>
      <c r="B228"/>
      <c r="C228"/>
      <c r="D228"/>
      <c r="E228"/>
      <c r="F228"/>
      <c r="G228"/>
      <c r="H228"/>
      <c r="I228"/>
      <c r="J228"/>
      <c r="K228"/>
      <c r="L228"/>
      <c r="M228"/>
      <c r="N228"/>
      <c r="O228"/>
      <c r="P228"/>
    </row>
    <row r="229" spans="1:16">
      <c r="A229"/>
      <c r="B229"/>
      <c r="C229"/>
      <c r="D229"/>
      <c r="E229"/>
      <c r="F229"/>
      <c r="G229"/>
      <c r="H229"/>
      <c r="I229"/>
      <c r="J229"/>
      <c r="K229"/>
      <c r="L229"/>
      <c r="M229"/>
      <c r="N229"/>
      <c r="O229"/>
      <c r="P229"/>
    </row>
    <row r="230" spans="1:16">
      <c r="A230"/>
      <c r="B230"/>
      <c r="C230"/>
      <c r="D230"/>
      <c r="E230"/>
      <c r="F230"/>
      <c r="G230"/>
      <c r="H230"/>
      <c r="I230"/>
      <c r="J230"/>
      <c r="K230"/>
      <c r="L230"/>
      <c r="M230"/>
      <c r="N230"/>
      <c r="O230"/>
      <c r="P230"/>
    </row>
    <row r="231" spans="1:16">
      <c r="A231"/>
      <c r="B231"/>
      <c r="C231"/>
      <c r="D231"/>
      <c r="E231"/>
      <c r="F231"/>
      <c r="G231"/>
      <c r="H231"/>
      <c r="I231"/>
      <c r="J231"/>
      <c r="K231"/>
      <c r="L231"/>
      <c r="M231"/>
      <c r="N231"/>
      <c r="O231"/>
      <c r="P231"/>
    </row>
    <row r="232" spans="1:16">
      <c r="A232"/>
      <c r="B232"/>
      <c r="C232"/>
      <c r="D232"/>
      <c r="E232"/>
      <c r="F232"/>
      <c r="G232"/>
      <c r="H232"/>
      <c r="I232"/>
      <c r="J232"/>
      <c r="K232"/>
      <c r="L232"/>
      <c r="M232"/>
      <c r="N232"/>
      <c r="O232"/>
      <c r="P232"/>
    </row>
    <row r="233" spans="1:16">
      <c r="A233"/>
      <c r="B233"/>
      <c r="C233"/>
      <c r="D233"/>
      <c r="E233"/>
      <c r="F233"/>
      <c r="G233"/>
      <c r="H233"/>
      <c r="I233"/>
      <c r="J233"/>
      <c r="K233"/>
      <c r="L233"/>
      <c r="M233"/>
      <c r="N233"/>
      <c r="O233"/>
      <c r="P233"/>
    </row>
    <row r="234" spans="1:16">
      <c r="A234"/>
      <c r="B234"/>
      <c r="C234"/>
      <c r="D234"/>
      <c r="E234"/>
      <c r="F234"/>
      <c r="G234"/>
      <c r="H234"/>
      <c r="I234"/>
      <c r="J234"/>
      <c r="K234"/>
      <c r="L234"/>
      <c r="M234"/>
      <c r="N234"/>
      <c r="O234"/>
      <c r="P234"/>
    </row>
    <row r="235" spans="1:16">
      <c r="A235"/>
      <c r="B235"/>
      <c r="C235"/>
      <c r="D235"/>
      <c r="E235"/>
      <c r="F235"/>
      <c r="G235"/>
      <c r="H235"/>
      <c r="I235"/>
      <c r="J235"/>
      <c r="K235"/>
      <c r="L235"/>
      <c r="M235"/>
      <c r="N235"/>
      <c r="O235"/>
      <c r="P235"/>
    </row>
    <row r="236" spans="1:16">
      <c r="A236"/>
      <c r="B236"/>
      <c r="C236"/>
      <c r="D236"/>
      <c r="E236"/>
      <c r="F236"/>
      <c r="G236"/>
      <c r="H236"/>
      <c r="I236"/>
      <c r="J236"/>
      <c r="K236"/>
      <c r="L236"/>
      <c r="M236"/>
      <c r="N236"/>
      <c r="O236"/>
      <c r="P236"/>
    </row>
    <row r="237" spans="1:16">
      <c r="A237"/>
      <c r="B237"/>
      <c r="C237"/>
      <c r="D237"/>
      <c r="E237"/>
      <c r="F237"/>
      <c r="G237"/>
      <c r="H237"/>
      <c r="I237"/>
      <c r="J237"/>
      <c r="K237"/>
      <c r="L237"/>
      <c r="M237"/>
      <c r="N237"/>
      <c r="O237"/>
      <c r="P237"/>
    </row>
    <row r="238" spans="1:16">
      <c r="A238"/>
      <c r="B238"/>
      <c r="C238"/>
      <c r="D238"/>
      <c r="E238"/>
      <c r="F238"/>
      <c r="G238"/>
      <c r="H238"/>
      <c r="I238"/>
      <c r="J238"/>
      <c r="K238"/>
      <c r="L238"/>
      <c r="M238"/>
      <c r="N238"/>
      <c r="O238"/>
      <c r="P238"/>
    </row>
    <row r="239" spans="1:16">
      <c r="A239"/>
      <c r="B239"/>
      <c r="C239"/>
      <c r="D239"/>
      <c r="E239"/>
      <c r="F239"/>
      <c r="G239"/>
      <c r="H239"/>
      <c r="I239"/>
      <c r="J239"/>
      <c r="K239"/>
      <c r="L239"/>
      <c r="M239"/>
      <c r="N239"/>
      <c r="O239"/>
      <c r="P239"/>
    </row>
    <row r="240" spans="1:16">
      <c r="A240"/>
      <c r="B240"/>
      <c r="C240"/>
      <c r="D240"/>
      <c r="E240"/>
      <c r="F240"/>
      <c r="G240"/>
      <c r="H240"/>
      <c r="I240"/>
      <c r="J240"/>
      <c r="K240"/>
      <c r="L240"/>
      <c r="M240"/>
      <c r="N240"/>
      <c r="O240"/>
      <c r="P240"/>
    </row>
    <row r="241" spans="1:16">
      <c r="A241"/>
      <c r="B241"/>
      <c r="C241"/>
      <c r="D241"/>
      <c r="E241"/>
      <c r="F241"/>
      <c r="G241"/>
      <c r="H241"/>
      <c r="I241"/>
      <c r="J241"/>
      <c r="K241"/>
      <c r="L241"/>
      <c r="M241"/>
      <c r="N241"/>
      <c r="O241"/>
      <c r="P241"/>
    </row>
    <row r="242" spans="1:16">
      <c r="A242"/>
      <c r="B242"/>
      <c r="C242"/>
      <c r="D242"/>
      <c r="E242"/>
      <c r="F242"/>
      <c r="G242"/>
      <c r="H242"/>
      <c r="I242"/>
      <c r="J242"/>
      <c r="K242"/>
      <c r="L242"/>
      <c r="M242"/>
      <c r="N242"/>
      <c r="O242"/>
      <c r="P242"/>
    </row>
    <row r="243" spans="1:16">
      <c r="A243"/>
      <c r="B243"/>
      <c r="C243"/>
      <c r="D243"/>
      <c r="E243"/>
      <c r="F243"/>
      <c r="G243"/>
      <c r="H243"/>
      <c r="I243"/>
      <c r="J243"/>
      <c r="K243"/>
      <c r="L243"/>
      <c r="M243"/>
      <c r="N243"/>
      <c r="O243"/>
      <c r="P243"/>
    </row>
    <row r="244" spans="1:16">
      <c r="A244"/>
      <c r="B244"/>
      <c r="C244"/>
      <c r="D244"/>
      <c r="E244"/>
      <c r="F244"/>
      <c r="G244"/>
      <c r="H244"/>
      <c r="I244"/>
      <c r="J244"/>
      <c r="K244"/>
      <c r="L244"/>
      <c r="M244"/>
      <c r="N244"/>
      <c r="O244"/>
      <c r="P244"/>
    </row>
    <row r="245" spans="1:16">
      <c r="A245"/>
      <c r="B245"/>
      <c r="C245"/>
      <c r="D245"/>
      <c r="E245"/>
      <c r="F245"/>
      <c r="G245"/>
      <c r="H245"/>
      <c r="I245"/>
      <c r="J245"/>
      <c r="K245"/>
      <c r="L245"/>
      <c r="M245"/>
      <c r="N245"/>
      <c r="O245"/>
      <c r="P245"/>
    </row>
    <row r="246" spans="1:16">
      <c r="A246"/>
      <c r="B246"/>
      <c r="C246"/>
      <c r="D246"/>
      <c r="E246"/>
      <c r="F246"/>
      <c r="G246"/>
      <c r="H246"/>
      <c r="I246"/>
      <c r="J246"/>
      <c r="K246"/>
      <c r="L246"/>
      <c r="M246"/>
      <c r="N246"/>
      <c r="O246"/>
      <c r="P246"/>
    </row>
    <row r="247" spans="1:16">
      <c r="A247"/>
      <c r="B247"/>
      <c r="C247"/>
      <c r="D247"/>
      <c r="E247"/>
      <c r="F247"/>
      <c r="G247"/>
      <c r="H247"/>
      <c r="I247"/>
      <c r="J247"/>
      <c r="K247"/>
      <c r="L247"/>
      <c r="M247"/>
      <c r="N247"/>
      <c r="O247"/>
      <c r="P247"/>
    </row>
    <row r="248" spans="1:16">
      <c r="A248"/>
      <c r="B248"/>
      <c r="C248"/>
      <c r="D248"/>
      <c r="E248"/>
      <c r="F248"/>
      <c r="G248"/>
      <c r="H248"/>
      <c r="I248"/>
      <c r="J248"/>
      <c r="K248"/>
      <c r="L248"/>
      <c r="M248"/>
      <c r="N248"/>
      <c r="O248"/>
      <c r="P248"/>
    </row>
    <row r="249" spans="1:16">
      <c r="A249"/>
      <c r="B249"/>
      <c r="C249"/>
      <c r="D249"/>
      <c r="E249"/>
      <c r="F249"/>
      <c r="G249"/>
      <c r="H249"/>
      <c r="I249"/>
      <c r="J249"/>
      <c r="K249"/>
      <c r="L249"/>
      <c r="M249"/>
      <c r="N249"/>
      <c r="O249"/>
      <c r="P249"/>
    </row>
    <row r="250" spans="1:16">
      <c r="A250"/>
      <c r="B250"/>
      <c r="C250"/>
      <c r="D250"/>
      <c r="E250"/>
      <c r="F250"/>
      <c r="G250"/>
      <c r="H250"/>
      <c r="I250"/>
      <c r="J250"/>
      <c r="K250"/>
      <c r="L250"/>
      <c r="M250"/>
      <c r="N250"/>
      <c r="O250"/>
      <c r="P250"/>
    </row>
    <row r="251" spans="1:16">
      <c r="A251"/>
      <c r="B251"/>
      <c r="C251"/>
      <c r="D251"/>
      <c r="E251"/>
      <c r="F251"/>
      <c r="G251"/>
      <c r="H251"/>
      <c r="I251"/>
      <c r="J251"/>
      <c r="K251"/>
      <c r="L251"/>
      <c r="M251"/>
      <c r="N251"/>
      <c r="O251"/>
      <c r="P251"/>
    </row>
    <row r="252" spans="1:16">
      <c r="A252"/>
      <c r="B252"/>
      <c r="C252"/>
      <c r="D252"/>
      <c r="E252"/>
      <c r="F252"/>
      <c r="G252"/>
      <c r="H252"/>
      <c r="I252"/>
      <c r="J252"/>
      <c r="K252"/>
      <c r="L252"/>
      <c r="M252"/>
      <c r="N252"/>
      <c r="O252"/>
      <c r="P252"/>
    </row>
    <row r="253" spans="1:16">
      <c r="A253"/>
      <c r="B253"/>
      <c r="C253"/>
      <c r="D253"/>
      <c r="E253"/>
      <c r="F253"/>
      <c r="G253"/>
      <c r="H253"/>
      <c r="I253"/>
      <c r="J253"/>
      <c r="K253"/>
      <c r="L253"/>
      <c r="M253"/>
      <c r="N253"/>
      <c r="O253"/>
      <c r="P253"/>
    </row>
    <row r="254" spans="1:16">
      <c r="A254"/>
      <c r="B254"/>
      <c r="C254"/>
      <c r="D254"/>
      <c r="E254"/>
      <c r="F254"/>
      <c r="G254"/>
      <c r="H254"/>
      <c r="I254"/>
      <c r="J254"/>
      <c r="K254"/>
      <c r="L254"/>
      <c r="M254"/>
      <c r="N254"/>
      <c r="O254"/>
      <c r="P254"/>
    </row>
    <row r="255" spans="1:16">
      <c r="A255"/>
      <c r="B255"/>
      <c r="C255"/>
      <c r="D255"/>
      <c r="E255"/>
      <c r="F255"/>
      <c r="G255"/>
      <c r="H255"/>
      <c r="I255"/>
      <c r="J255"/>
      <c r="K255"/>
      <c r="L255"/>
      <c r="M255"/>
      <c r="N255"/>
      <c r="O255"/>
      <c r="P255"/>
    </row>
    <row r="256" spans="1:16">
      <c r="A256"/>
      <c r="B256"/>
      <c r="C256"/>
      <c r="D256"/>
      <c r="E256"/>
      <c r="F256"/>
      <c r="G256"/>
      <c r="H256"/>
      <c r="I256"/>
      <c r="J256"/>
      <c r="K256"/>
      <c r="L256"/>
      <c r="M256"/>
      <c r="N256"/>
      <c r="O256"/>
      <c r="P256"/>
    </row>
    <row r="257" spans="1:16">
      <c r="A257"/>
      <c r="B257"/>
      <c r="C257"/>
      <c r="D257"/>
      <c r="E257"/>
      <c r="F257"/>
      <c r="G257"/>
      <c r="H257"/>
      <c r="I257"/>
      <c r="J257"/>
      <c r="K257"/>
      <c r="L257"/>
      <c r="M257"/>
      <c r="N257"/>
      <c r="O257"/>
      <c r="P257"/>
    </row>
    <row r="258" spans="1:16">
      <c r="A258"/>
      <c r="B258"/>
      <c r="C258"/>
      <c r="D258"/>
      <c r="E258"/>
      <c r="F258"/>
      <c r="G258"/>
      <c r="H258"/>
      <c r="I258"/>
      <c r="J258"/>
      <c r="K258"/>
      <c r="L258"/>
      <c r="M258"/>
      <c r="N258"/>
      <c r="O258"/>
      <c r="P258"/>
    </row>
    <row r="259" spans="1:16">
      <c r="A259"/>
      <c r="B259"/>
      <c r="C259"/>
      <c r="D259"/>
      <c r="E259"/>
      <c r="F259"/>
      <c r="G259"/>
      <c r="H259"/>
      <c r="I259"/>
      <c r="J259"/>
      <c r="K259"/>
      <c r="L259"/>
      <c r="M259"/>
      <c r="N259"/>
      <c r="O259"/>
      <c r="P259"/>
    </row>
    <row r="260" spans="1:16">
      <c r="A260"/>
      <c r="B260"/>
      <c r="C260"/>
      <c r="D260"/>
      <c r="E260"/>
      <c r="F260"/>
      <c r="G260"/>
      <c r="H260"/>
      <c r="I260"/>
      <c r="J260"/>
      <c r="K260"/>
      <c r="L260"/>
      <c r="M260"/>
      <c r="N260"/>
      <c r="O260"/>
      <c r="P260"/>
    </row>
    <row r="261" spans="1:16">
      <c r="A261"/>
      <c r="B261"/>
      <c r="C261"/>
      <c r="D261"/>
      <c r="E261"/>
      <c r="F261"/>
      <c r="G261"/>
      <c r="H261"/>
      <c r="I261"/>
      <c r="J261"/>
      <c r="K261"/>
      <c r="L261"/>
      <c r="M261"/>
      <c r="N261"/>
      <c r="O261"/>
      <c r="P261"/>
    </row>
    <row r="262" spans="1:16">
      <c r="A262"/>
      <c r="B262"/>
      <c r="C262"/>
      <c r="D262"/>
      <c r="E262"/>
      <c r="F262"/>
      <c r="G262"/>
      <c r="H262"/>
      <c r="I262"/>
      <c r="J262"/>
      <c r="K262"/>
      <c r="L262"/>
      <c r="M262"/>
      <c r="N262"/>
      <c r="O262"/>
      <c r="P262"/>
    </row>
    <row r="263" spans="1:16">
      <c r="A263"/>
      <c r="B263"/>
      <c r="C263"/>
      <c r="D263"/>
      <c r="E263"/>
      <c r="F263"/>
      <c r="G263"/>
      <c r="H263"/>
      <c r="I263"/>
      <c r="J263"/>
      <c r="K263"/>
      <c r="L263"/>
      <c r="M263"/>
      <c r="N263"/>
      <c r="O263"/>
      <c r="P263"/>
    </row>
    <row r="264" spans="1:16">
      <c r="A264"/>
      <c r="B264"/>
      <c r="C264"/>
      <c r="D264"/>
      <c r="E264"/>
      <c r="F264"/>
      <c r="G264"/>
      <c r="H264"/>
      <c r="I264"/>
      <c r="J264"/>
      <c r="K264"/>
      <c r="L264"/>
      <c r="M264"/>
      <c r="N264"/>
      <c r="O264"/>
      <c r="P264"/>
    </row>
    <row r="265" spans="1:16">
      <c r="A265"/>
      <c r="B265"/>
      <c r="C265"/>
      <c r="D265"/>
      <c r="E265"/>
      <c r="F265"/>
      <c r="G265"/>
      <c r="H265"/>
      <c r="I265"/>
      <c r="J265"/>
      <c r="K265"/>
      <c r="L265"/>
      <c r="M265"/>
      <c r="N265"/>
      <c r="O265"/>
      <c r="P265"/>
    </row>
    <row r="266" spans="1:16">
      <c r="A266"/>
      <c r="B266"/>
      <c r="C266"/>
      <c r="D266"/>
      <c r="E266"/>
      <c r="F266"/>
      <c r="G266"/>
      <c r="H266"/>
      <c r="I266"/>
      <c r="J266"/>
      <c r="K266"/>
      <c r="L266"/>
      <c r="M266"/>
      <c r="N266"/>
      <c r="O266"/>
      <c r="P266"/>
    </row>
    <row r="267" spans="1:16">
      <c r="A267"/>
      <c r="B267"/>
      <c r="C267"/>
      <c r="D267"/>
      <c r="E267"/>
      <c r="F267"/>
      <c r="G267"/>
      <c r="H267"/>
      <c r="I267"/>
      <c r="J267"/>
      <c r="K267"/>
      <c r="L267"/>
      <c r="M267"/>
      <c r="N267"/>
      <c r="O267"/>
      <c r="P267"/>
    </row>
    <row r="268" spans="1:16">
      <c r="A268"/>
      <c r="B268"/>
      <c r="C268"/>
      <c r="D268"/>
      <c r="E268"/>
      <c r="F268"/>
      <c r="G268"/>
      <c r="H268"/>
      <c r="I268"/>
      <c r="J268"/>
      <c r="K268"/>
      <c r="L268"/>
      <c r="M268"/>
      <c r="N268"/>
      <c r="O268"/>
      <c r="P268"/>
    </row>
    <row r="269" spans="1:16">
      <c r="A269"/>
      <c r="B269"/>
      <c r="C269"/>
      <c r="D269"/>
      <c r="E269"/>
      <c r="F269"/>
      <c r="G269"/>
      <c r="H269"/>
      <c r="I269"/>
      <c r="J269"/>
      <c r="K269"/>
      <c r="L269"/>
      <c r="M269"/>
      <c r="N269"/>
      <c r="O269"/>
      <c r="P269"/>
    </row>
    <row r="270" spans="1:16">
      <c r="A270"/>
      <c r="B270"/>
      <c r="C270"/>
      <c r="D270"/>
      <c r="E270"/>
      <c r="F270"/>
      <c r="G270"/>
      <c r="H270"/>
      <c r="I270"/>
      <c r="J270"/>
      <c r="K270"/>
      <c r="L270"/>
      <c r="M270"/>
      <c r="N270"/>
      <c r="O270"/>
      <c r="P270"/>
    </row>
    <row r="271" spans="1:16">
      <c r="A271"/>
      <c r="B271"/>
      <c r="C271"/>
      <c r="D271"/>
      <c r="E271"/>
      <c r="F271"/>
      <c r="G271"/>
      <c r="H271"/>
      <c r="I271"/>
      <c r="J271"/>
      <c r="K271"/>
      <c r="L271"/>
      <c r="M271"/>
      <c r="N271"/>
      <c r="O271"/>
      <c r="P271"/>
    </row>
    <row r="272" spans="1:16">
      <c r="A272"/>
      <c r="B272"/>
      <c r="C272"/>
      <c r="D272"/>
      <c r="E272"/>
      <c r="F272"/>
      <c r="G272"/>
      <c r="H272"/>
      <c r="I272"/>
      <c r="J272"/>
      <c r="K272"/>
      <c r="L272"/>
      <c r="M272"/>
      <c r="N272"/>
      <c r="O272"/>
      <c r="P272"/>
    </row>
    <row r="273" spans="1:16">
      <c r="A273"/>
      <c r="B273"/>
      <c r="C273"/>
      <c r="D273"/>
      <c r="E273"/>
      <c r="F273"/>
      <c r="G273"/>
      <c r="H273"/>
      <c r="I273"/>
      <c r="J273"/>
      <c r="K273"/>
      <c r="L273"/>
      <c r="M273"/>
      <c r="N273"/>
      <c r="O273"/>
      <c r="P273"/>
    </row>
    <row r="274" spans="1:16">
      <c r="A274"/>
      <c r="B274"/>
      <c r="C274"/>
      <c r="D274"/>
      <c r="E274"/>
      <c r="F274"/>
      <c r="G274"/>
      <c r="H274"/>
      <c r="I274"/>
      <c r="J274"/>
      <c r="K274"/>
      <c r="L274"/>
      <c r="M274"/>
      <c r="N274"/>
      <c r="O274"/>
      <c r="P274"/>
    </row>
    <row r="275" spans="1:16">
      <c r="A275"/>
      <c r="B275"/>
      <c r="C275"/>
      <c r="D275"/>
      <c r="E275"/>
      <c r="F275"/>
      <c r="G275"/>
      <c r="H275"/>
      <c r="I275"/>
      <c r="J275"/>
      <c r="K275"/>
      <c r="L275"/>
      <c r="M275"/>
      <c r="N275"/>
      <c r="O275"/>
      <c r="P275"/>
    </row>
    <row r="276" spans="1:16">
      <c r="A276"/>
      <c r="B276"/>
      <c r="C276"/>
      <c r="D276"/>
      <c r="E276"/>
      <c r="F276"/>
      <c r="G276"/>
      <c r="H276"/>
      <c r="I276"/>
      <c r="J276"/>
      <c r="K276"/>
      <c r="L276"/>
      <c r="M276"/>
      <c r="N276"/>
      <c r="O276"/>
      <c r="P276"/>
    </row>
    <row r="277" spans="1:16">
      <c r="A277"/>
      <c r="B277"/>
      <c r="C277"/>
      <c r="D277"/>
      <c r="E277"/>
      <c r="F277"/>
      <c r="G277"/>
      <c r="H277"/>
      <c r="I277"/>
      <c r="J277"/>
      <c r="K277"/>
      <c r="L277"/>
      <c r="M277"/>
      <c r="N277"/>
      <c r="O277"/>
      <c r="P277"/>
    </row>
    <row r="278" spans="1:16">
      <c r="A278"/>
      <c r="B278"/>
      <c r="C278"/>
      <c r="D278"/>
      <c r="E278"/>
      <c r="F278"/>
      <c r="G278"/>
      <c r="H278"/>
      <c r="I278"/>
      <c r="J278"/>
      <c r="K278"/>
      <c r="L278"/>
      <c r="M278"/>
      <c r="N278"/>
      <c r="O278"/>
      <c r="P278"/>
    </row>
    <row r="279" spans="1:16">
      <c r="A279"/>
      <c r="B279"/>
      <c r="C279"/>
      <c r="D279"/>
      <c r="E279"/>
      <c r="F279"/>
      <c r="G279"/>
      <c r="H279"/>
      <c r="I279"/>
      <c r="J279"/>
      <c r="K279"/>
      <c r="L279"/>
      <c r="M279"/>
      <c r="N279"/>
      <c r="O279"/>
      <c r="P279"/>
    </row>
    <row r="280" spans="1:16">
      <c r="A280"/>
      <c r="B280"/>
      <c r="C280"/>
      <c r="D280"/>
      <c r="E280"/>
      <c r="F280"/>
      <c r="G280"/>
      <c r="H280"/>
      <c r="I280"/>
      <c r="J280"/>
      <c r="K280"/>
      <c r="L280"/>
      <c r="M280"/>
      <c r="N280"/>
      <c r="O280"/>
      <c r="P280"/>
    </row>
    <row r="281" spans="1:16">
      <c r="A281"/>
      <c r="B281"/>
      <c r="C281"/>
      <c r="D281"/>
      <c r="E281"/>
      <c r="F281"/>
      <c r="G281"/>
      <c r="H281"/>
      <c r="I281"/>
      <c r="J281"/>
      <c r="K281"/>
      <c r="L281"/>
      <c r="M281"/>
      <c r="N281"/>
      <c r="O281"/>
      <c r="P281"/>
    </row>
    <row r="282" spans="1:16">
      <c r="A282"/>
      <c r="B282"/>
      <c r="C282"/>
      <c r="D282"/>
      <c r="E282"/>
      <c r="F282"/>
      <c r="G282"/>
      <c r="H282"/>
      <c r="I282"/>
      <c r="J282"/>
      <c r="K282"/>
      <c r="L282"/>
      <c r="M282"/>
      <c r="N282"/>
      <c r="O282"/>
      <c r="P282"/>
    </row>
    <row r="283" spans="1:16">
      <c r="A283"/>
      <c r="B283"/>
      <c r="C283"/>
      <c r="D283"/>
      <c r="E283"/>
      <c r="F283"/>
      <c r="G283"/>
      <c r="H283"/>
      <c r="I283"/>
      <c r="J283"/>
      <c r="K283"/>
      <c r="L283"/>
      <c r="M283"/>
      <c r="N283"/>
      <c r="O283"/>
      <c r="P283"/>
    </row>
    <row r="284" spans="1:16">
      <c r="A284"/>
      <c r="B284"/>
      <c r="C284"/>
      <c r="D284"/>
      <c r="E284"/>
      <c r="F284"/>
      <c r="G284"/>
      <c r="H284"/>
      <c r="I284"/>
      <c r="J284"/>
      <c r="K284"/>
      <c r="L284"/>
      <c r="M284"/>
      <c r="N284"/>
      <c r="O284"/>
      <c r="P284"/>
    </row>
    <row r="285" spans="1:16">
      <c r="A285"/>
      <c r="B285"/>
      <c r="C285"/>
      <c r="D285"/>
      <c r="E285"/>
      <c r="F285"/>
      <c r="G285"/>
      <c r="H285"/>
      <c r="I285"/>
      <c r="J285"/>
      <c r="K285"/>
      <c r="L285"/>
      <c r="M285"/>
      <c r="N285"/>
      <c r="O285"/>
      <c r="P285"/>
    </row>
    <row r="286" spans="1:16">
      <c r="A286"/>
      <c r="B286"/>
      <c r="C286"/>
      <c r="D286"/>
      <c r="E286"/>
      <c r="F286"/>
      <c r="G286"/>
      <c r="H286"/>
      <c r="I286"/>
      <c r="J286"/>
      <c r="K286"/>
      <c r="L286"/>
      <c r="M286"/>
      <c r="N286"/>
      <c r="O286"/>
      <c r="P286"/>
    </row>
    <row r="287" spans="1:16">
      <c r="A287"/>
      <c r="B287"/>
      <c r="C287"/>
      <c r="D287"/>
      <c r="E287"/>
      <c r="F287"/>
      <c r="G287"/>
      <c r="H287"/>
      <c r="I287"/>
      <c r="J287"/>
      <c r="K287"/>
      <c r="L287"/>
      <c r="M287"/>
      <c r="N287"/>
      <c r="O287"/>
      <c r="P287"/>
    </row>
    <row r="288" spans="1:16">
      <c r="A288"/>
      <c r="B288"/>
      <c r="C288"/>
      <c r="D288"/>
      <c r="E288"/>
      <c r="F288"/>
      <c r="G288"/>
      <c r="H288"/>
      <c r="I288"/>
      <c r="J288"/>
      <c r="K288"/>
      <c r="L288"/>
      <c r="M288"/>
      <c r="N288"/>
      <c r="O288"/>
      <c r="P288"/>
    </row>
    <row r="289" spans="1:16">
      <c r="A289"/>
      <c r="B289"/>
      <c r="C289"/>
      <c r="D289"/>
      <c r="E289"/>
      <c r="F289"/>
      <c r="G289"/>
      <c r="H289"/>
      <c r="I289"/>
      <c r="J289"/>
      <c r="K289"/>
      <c r="L289"/>
      <c r="M289"/>
      <c r="N289"/>
      <c r="O289"/>
      <c r="P289"/>
    </row>
    <row r="290" spans="1:16">
      <c r="A290"/>
      <c r="B290"/>
      <c r="C290"/>
      <c r="D290"/>
      <c r="E290"/>
      <c r="F290"/>
      <c r="G290"/>
      <c r="H290"/>
      <c r="I290"/>
      <c r="J290"/>
      <c r="K290"/>
      <c r="L290"/>
      <c r="M290"/>
      <c r="N290"/>
      <c r="O290"/>
      <c r="P290"/>
    </row>
    <row r="291" spans="1:16">
      <c r="A291"/>
      <c r="B291"/>
      <c r="C291"/>
      <c r="D291"/>
      <c r="E291"/>
      <c r="F291"/>
      <c r="G291"/>
      <c r="H291"/>
      <c r="I291"/>
      <c r="J291"/>
      <c r="K291"/>
      <c r="L291"/>
      <c r="M291"/>
      <c r="N291"/>
      <c r="O291"/>
      <c r="P291"/>
    </row>
    <row r="292" spans="1:16">
      <c r="A292"/>
      <c r="B292"/>
      <c r="C292"/>
      <c r="D292"/>
      <c r="E292"/>
      <c r="F292"/>
      <c r="G292"/>
      <c r="H292"/>
      <c r="I292"/>
      <c r="J292"/>
      <c r="K292"/>
      <c r="L292"/>
      <c r="M292"/>
      <c r="N292"/>
      <c r="O292"/>
      <c r="P292"/>
    </row>
    <row r="293" spans="1:16">
      <c r="A293"/>
      <c r="B293"/>
      <c r="C293"/>
      <c r="D293"/>
      <c r="E293"/>
      <c r="F293"/>
      <c r="G293"/>
      <c r="H293"/>
      <c r="I293"/>
      <c r="J293"/>
      <c r="K293"/>
      <c r="L293"/>
      <c r="M293"/>
      <c r="N293"/>
      <c r="O293"/>
      <c r="P293"/>
    </row>
    <row r="294" spans="1:16">
      <c r="A294"/>
      <c r="B294"/>
      <c r="C294"/>
      <c r="D294"/>
      <c r="E294"/>
      <c r="F294"/>
      <c r="G294"/>
      <c r="H294"/>
      <c r="I294"/>
      <c r="J294"/>
      <c r="K294"/>
      <c r="L294"/>
      <c r="M294"/>
      <c r="N294"/>
      <c r="O294"/>
      <c r="P294"/>
    </row>
    <row r="295" spans="1:16">
      <c r="A295"/>
      <c r="B295"/>
      <c r="C295"/>
      <c r="D295"/>
      <c r="E295"/>
      <c r="F295"/>
      <c r="G295"/>
      <c r="H295"/>
      <c r="I295"/>
      <c r="J295"/>
      <c r="K295"/>
      <c r="L295"/>
      <c r="M295"/>
      <c r="N295"/>
      <c r="O295"/>
      <c r="P295"/>
    </row>
    <row r="296" spans="1:16">
      <c r="A296"/>
      <c r="B296"/>
      <c r="C296"/>
      <c r="D296"/>
      <c r="E296"/>
      <c r="F296"/>
      <c r="G296"/>
      <c r="H296"/>
      <c r="I296"/>
      <c r="J296"/>
      <c r="K296"/>
      <c r="L296"/>
      <c r="M296"/>
      <c r="N296"/>
      <c r="O296"/>
      <c r="P296"/>
    </row>
    <row r="297" spans="1:16">
      <c r="A297"/>
      <c r="B297"/>
      <c r="C297"/>
      <c r="D297"/>
      <c r="E297"/>
      <c r="F297"/>
      <c r="G297"/>
      <c r="H297"/>
      <c r="I297"/>
      <c r="J297"/>
      <c r="K297"/>
      <c r="L297"/>
      <c r="M297"/>
      <c r="N297"/>
      <c r="O297"/>
      <c r="P297"/>
    </row>
    <row r="298" spans="1:16">
      <c r="A298"/>
      <c r="B298"/>
      <c r="C298"/>
      <c r="D298"/>
      <c r="E298"/>
      <c r="F298"/>
      <c r="G298"/>
      <c r="H298"/>
      <c r="I298"/>
      <c r="J298"/>
      <c r="K298"/>
      <c r="L298"/>
      <c r="M298"/>
      <c r="N298"/>
      <c r="O298"/>
      <c r="P298"/>
    </row>
    <row r="299" spans="1:16">
      <c r="A299"/>
      <c r="B299"/>
      <c r="C299"/>
      <c r="D299"/>
      <c r="E299"/>
      <c r="F299"/>
      <c r="G299"/>
      <c r="H299"/>
      <c r="I299"/>
      <c r="J299"/>
      <c r="K299"/>
      <c r="L299"/>
      <c r="M299"/>
      <c r="N299"/>
      <c r="O299"/>
      <c r="P299"/>
    </row>
    <row r="300" spans="1:16">
      <c r="A300"/>
      <c r="B300"/>
      <c r="C300"/>
      <c r="D300"/>
      <c r="E300"/>
      <c r="F300"/>
      <c r="G300"/>
      <c r="H300"/>
      <c r="I300"/>
      <c r="J300"/>
      <c r="K300"/>
      <c r="L300"/>
      <c r="M300"/>
      <c r="N300"/>
      <c r="O300"/>
      <c r="P300"/>
    </row>
    <row r="301" spans="1:16">
      <c r="A301"/>
      <c r="B301"/>
      <c r="C301"/>
      <c r="D301"/>
      <c r="E301"/>
      <c r="F301"/>
      <c r="G301"/>
      <c r="H301"/>
      <c r="I301"/>
      <c r="J301"/>
      <c r="K301"/>
      <c r="L301"/>
      <c r="M301"/>
      <c r="N301"/>
      <c r="O301"/>
      <c r="P301"/>
    </row>
    <row r="302" spans="1:16">
      <c r="A302"/>
      <c r="B302"/>
      <c r="C302"/>
      <c r="D302"/>
      <c r="E302"/>
      <c r="F302"/>
      <c r="G302"/>
      <c r="H302"/>
      <c r="I302"/>
      <c r="J302"/>
      <c r="K302"/>
      <c r="L302"/>
      <c r="M302"/>
      <c r="N302"/>
      <c r="O302"/>
      <c r="P302"/>
    </row>
    <row r="303" spans="1:16">
      <c r="A303"/>
      <c r="B303"/>
      <c r="C303"/>
      <c r="D303"/>
      <c r="E303"/>
      <c r="F303"/>
      <c r="G303"/>
      <c r="H303"/>
      <c r="I303"/>
      <c r="J303"/>
      <c r="K303"/>
      <c r="L303"/>
      <c r="M303"/>
      <c r="N303"/>
      <c r="O303"/>
      <c r="P303"/>
    </row>
    <row r="304" spans="1:16">
      <c r="A304"/>
      <c r="B304"/>
      <c r="C304"/>
      <c r="D304"/>
      <c r="E304"/>
      <c r="F304"/>
      <c r="G304"/>
      <c r="H304"/>
      <c r="I304"/>
      <c r="J304"/>
      <c r="K304"/>
      <c r="L304"/>
      <c r="M304"/>
      <c r="N304"/>
      <c r="O304"/>
      <c r="P304"/>
    </row>
    <row r="305" spans="1:16">
      <c r="A305"/>
      <c r="B305"/>
      <c r="C305"/>
      <c r="D305"/>
      <c r="E305"/>
      <c r="F305"/>
      <c r="G305"/>
      <c r="H305"/>
      <c r="I305"/>
      <c r="J305"/>
      <c r="K305"/>
      <c r="L305"/>
      <c r="M305"/>
      <c r="N305"/>
      <c r="O305"/>
      <c r="P305"/>
    </row>
    <row r="306" spans="1:16">
      <c r="A306"/>
      <c r="B306"/>
      <c r="C306"/>
      <c r="D306"/>
      <c r="E306"/>
      <c r="F306"/>
      <c r="G306"/>
      <c r="H306"/>
      <c r="I306"/>
      <c r="J306"/>
      <c r="K306"/>
      <c r="L306"/>
      <c r="M306"/>
      <c r="N306"/>
      <c r="O306"/>
      <c r="P306"/>
    </row>
    <row r="307" spans="1:16">
      <c r="A307"/>
      <c r="B307"/>
      <c r="C307"/>
      <c r="D307"/>
      <c r="E307"/>
      <c r="F307"/>
      <c r="G307"/>
      <c r="H307"/>
      <c r="I307"/>
      <c r="J307"/>
      <c r="K307"/>
      <c r="L307"/>
      <c r="M307"/>
      <c r="N307"/>
      <c r="O307"/>
      <c r="P307"/>
    </row>
    <row r="308" spans="1:16">
      <c r="A308"/>
      <c r="B308"/>
      <c r="C308"/>
      <c r="D308"/>
      <c r="E308"/>
      <c r="F308"/>
      <c r="G308"/>
      <c r="H308"/>
      <c r="I308"/>
      <c r="J308"/>
      <c r="K308"/>
      <c r="L308"/>
      <c r="M308"/>
      <c r="N308"/>
      <c r="O308"/>
      <c r="P308"/>
    </row>
    <row r="309" spans="1:16">
      <c r="A309"/>
      <c r="B309"/>
      <c r="C309"/>
      <c r="D309"/>
      <c r="E309"/>
      <c r="F309"/>
      <c r="G309"/>
      <c r="H309"/>
      <c r="I309"/>
      <c r="J309"/>
      <c r="K309"/>
      <c r="L309"/>
      <c r="M309"/>
      <c r="N309"/>
      <c r="O309"/>
      <c r="P309"/>
    </row>
    <row r="310" spans="1:16">
      <c r="A310"/>
      <c r="B310"/>
      <c r="C310"/>
      <c r="D310"/>
      <c r="E310"/>
      <c r="F310"/>
      <c r="G310"/>
      <c r="H310"/>
      <c r="I310"/>
      <c r="J310"/>
      <c r="K310"/>
      <c r="L310"/>
      <c r="M310"/>
      <c r="N310"/>
      <c r="O310"/>
      <c r="P310"/>
    </row>
    <row r="311" spans="1:16">
      <c r="A311"/>
      <c r="B311"/>
      <c r="C311"/>
      <c r="D311"/>
      <c r="E311"/>
      <c r="F311"/>
      <c r="G311"/>
      <c r="H311"/>
      <c r="I311"/>
      <c r="J311"/>
      <c r="K311"/>
      <c r="L311"/>
      <c r="M311"/>
      <c r="N311"/>
      <c r="O311"/>
      <c r="P311"/>
    </row>
    <row r="312" spans="1:16">
      <c r="A312"/>
      <c r="B312"/>
      <c r="C312"/>
      <c r="D312"/>
      <c r="E312"/>
      <c r="F312"/>
      <c r="G312"/>
      <c r="H312"/>
      <c r="I312"/>
      <c r="J312"/>
      <c r="K312"/>
      <c r="L312"/>
      <c r="M312"/>
      <c r="N312"/>
      <c r="O312"/>
      <c r="P312"/>
    </row>
    <row r="313" spans="1:16">
      <c r="A313"/>
      <c r="B313"/>
      <c r="C313"/>
      <c r="D313"/>
      <c r="E313"/>
      <c r="F313"/>
      <c r="G313"/>
      <c r="H313"/>
      <c r="I313"/>
      <c r="J313"/>
      <c r="K313"/>
      <c r="L313"/>
      <c r="M313"/>
      <c r="N313"/>
      <c r="O313"/>
      <c r="P313"/>
    </row>
    <row r="314" spans="1:16">
      <c r="A314"/>
      <c r="B314"/>
      <c r="C314"/>
      <c r="D314"/>
      <c r="E314"/>
      <c r="F314"/>
      <c r="G314"/>
      <c r="H314"/>
      <c r="I314"/>
      <c r="J314"/>
      <c r="K314"/>
      <c r="L314"/>
      <c r="M314"/>
      <c r="N314"/>
      <c r="O314"/>
      <c r="P314"/>
    </row>
    <row r="315" spans="1:16">
      <c r="A315"/>
      <c r="B315"/>
      <c r="C315"/>
      <c r="D315"/>
      <c r="E315"/>
      <c r="F315"/>
      <c r="G315"/>
      <c r="H315"/>
      <c r="I315"/>
      <c r="J315"/>
      <c r="K315"/>
      <c r="L315"/>
      <c r="M315"/>
      <c r="N315"/>
      <c r="O315"/>
      <c r="P315"/>
    </row>
    <row r="316" spans="1:16">
      <c r="A316"/>
      <c r="B316"/>
      <c r="C316"/>
      <c r="D316"/>
      <c r="E316"/>
      <c r="F316"/>
      <c r="G316"/>
      <c r="H316"/>
      <c r="I316"/>
      <c r="J316"/>
      <c r="K316"/>
      <c r="L316"/>
      <c r="M316"/>
      <c r="N316"/>
      <c r="O316"/>
      <c r="P316"/>
    </row>
    <row r="317" spans="1:16">
      <c r="A317"/>
      <c r="B317"/>
      <c r="C317"/>
      <c r="D317"/>
      <c r="E317"/>
      <c r="F317"/>
      <c r="G317"/>
      <c r="H317"/>
      <c r="I317"/>
      <c r="J317"/>
      <c r="K317"/>
      <c r="L317"/>
      <c r="M317"/>
      <c r="N317"/>
      <c r="O317"/>
      <c r="P317"/>
    </row>
    <row r="318" spans="1:16">
      <c r="A318"/>
      <c r="B318"/>
      <c r="C318"/>
      <c r="D318"/>
      <c r="E318"/>
      <c r="F318"/>
      <c r="G318"/>
      <c r="H318"/>
      <c r="I318"/>
      <c r="J318"/>
      <c r="K318"/>
      <c r="L318"/>
      <c r="M318"/>
      <c r="N318"/>
      <c r="O318"/>
      <c r="P318"/>
    </row>
    <row r="319" spans="1:16">
      <c r="A319"/>
      <c r="B319"/>
      <c r="C319"/>
      <c r="D319"/>
      <c r="E319"/>
      <c r="F319"/>
      <c r="G319"/>
      <c r="H319"/>
      <c r="I319"/>
      <c r="J319"/>
      <c r="K319"/>
      <c r="L319"/>
      <c r="M319"/>
      <c r="N319"/>
      <c r="O319"/>
      <c r="P319"/>
    </row>
    <row r="320" spans="1:16">
      <c r="A320"/>
      <c r="B320"/>
      <c r="C320"/>
      <c r="D320"/>
      <c r="E320"/>
      <c r="F320"/>
      <c r="G320"/>
      <c r="H320"/>
      <c r="I320"/>
      <c r="J320"/>
      <c r="K320"/>
      <c r="L320"/>
      <c r="M320"/>
      <c r="N320"/>
      <c r="O320"/>
      <c r="P320"/>
    </row>
    <row r="321" spans="1:16">
      <c r="A321"/>
      <c r="B321"/>
      <c r="C321"/>
      <c r="D321"/>
      <c r="E321"/>
      <c r="F321"/>
      <c r="G321"/>
      <c r="H321"/>
      <c r="I321"/>
      <c r="J321"/>
      <c r="K321"/>
      <c r="L321"/>
      <c r="M321"/>
      <c r="N321"/>
      <c r="O321"/>
      <c r="P321"/>
    </row>
    <row r="322" spans="1:16">
      <c r="A322"/>
      <c r="B322"/>
      <c r="C322"/>
      <c r="D322"/>
      <c r="E322"/>
      <c r="F322"/>
      <c r="G322"/>
      <c r="H322"/>
      <c r="I322"/>
      <c r="J322"/>
      <c r="K322"/>
      <c r="L322"/>
      <c r="M322"/>
      <c r="N322"/>
      <c r="O322"/>
      <c r="P322"/>
    </row>
    <row r="323" spans="1:16">
      <c r="A323"/>
      <c r="B323"/>
      <c r="C323"/>
      <c r="D323"/>
      <c r="E323"/>
      <c r="F323"/>
      <c r="G323"/>
      <c r="H323"/>
      <c r="I323"/>
      <c r="J323"/>
      <c r="K323"/>
      <c r="L323"/>
      <c r="M323"/>
      <c r="N323"/>
      <c r="O323"/>
      <c r="P323"/>
    </row>
    <row r="324" spans="1:16">
      <c r="A324"/>
      <c r="B324"/>
      <c r="C324"/>
      <c r="D324"/>
      <c r="E324"/>
      <c r="F324"/>
      <c r="G324"/>
      <c r="H324"/>
      <c r="I324"/>
      <c r="J324"/>
      <c r="K324"/>
      <c r="L324"/>
      <c r="M324"/>
      <c r="N324"/>
      <c r="O324"/>
      <c r="P324"/>
    </row>
    <row r="325" spans="1:16">
      <c r="A325"/>
      <c r="B325"/>
      <c r="C325"/>
      <c r="D325"/>
      <c r="E325"/>
      <c r="F325"/>
      <c r="G325"/>
      <c r="H325"/>
      <c r="I325"/>
      <c r="J325"/>
      <c r="K325"/>
      <c r="L325"/>
      <c r="M325"/>
      <c r="N325"/>
      <c r="O325"/>
      <c r="P325"/>
    </row>
    <row r="326" spans="1:16">
      <c r="A326"/>
      <c r="B326"/>
      <c r="C326"/>
      <c r="D326"/>
      <c r="E326"/>
      <c r="F326"/>
      <c r="G326"/>
      <c r="H326"/>
      <c r="I326"/>
      <c r="J326"/>
      <c r="K326"/>
      <c r="L326"/>
      <c r="M326"/>
      <c r="N326"/>
      <c r="O326"/>
      <c r="P326"/>
    </row>
    <row r="327" spans="1:16">
      <c r="A327"/>
      <c r="B327"/>
      <c r="C327"/>
      <c r="D327"/>
      <c r="E327"/>
      <c r="F327"/>
      <c r="G327"/>
      <c r="H327"/>
      <c r="I327"/>
      <c r="J327"/>
      <c r="K327"/>
      <c r="L327"/>
      <c r="M327"/>
      <c r="N327"/>
      <c r="O327"/>
      <c r="P327"/>
    </row>
    <row r="328" spans="1:16">
      <c r="A328"/>
      <c r="B328"/>
      <c r="C328"/>
      <c r="D328"/>
      <c r="E328"/>
      <c r="F328"/>
      <c r="G328"/>
      <c r="H328"/>
      <c r="I328"/>
      <c r="J328"/>
      <c r="K328"/>
      <c r="L328"/>
      <c r="M328"/>
      <c r="N328"/>
      <c r="O328"/>
      <c r="P328"/>
    </row>
    <row r="329" spans="1:16">
      <c r="A329"/>
      <c r="B329"/>
      <c r="C329"/>
      <c r="D329"/>
      <c r="E329"/>
      <c r="F329"/>
      <c r="G329"/>
      <c r="H329"/>
      <c r="I329"/>
      <c r="J329"/>
      <c r="K329"/>
      <c r="L329"/>
      <c r="M329"/>
      <c r="N329"/>
      <c r="O329"/>
      <c r="P329"/>
    </row>
    <row r="330" spans="1:16">
      <c r="A330"/>
      <c r="B330"/>
      <c r="C330"/>
      <c r="D330"/>
      <c r="E330"/>
      <c r="F330"/>
      <c r="G330"/>
      <c r="H330"/>
      <c r="I330"/>
      <c r="J330"/>
      <c r="K330"/>
      <c r="L330"/>
      <c r="M330"/>
      <c r="N330"/>
      <c r="O330"/>
      <c r="P330"/>
    </row>
    <row r="331" spans="1:16">
      <c r="A331"/>
      <c r="B331"/>
      <c r="C331"/>
      <c r="D331"/>
      <c r="E331"/>
      <c r="F331"/>
      <c r="G331"/>
      <c r="H331"/>
      <c r="I331"/>
      <c r="J331"/>
      <c r="K331"/>
      <c r="L331"/>
      <c r="M331"/>
      <c r="N331"/>
      <c r="O331"/>
      <c r="P331"/>
    </row>
    <row r="332" spans="1:16">
      <c r="A332"/>
      <c r="B332"/>
      <c r="C332"/>
      <c r="D332"/>
      <c r="E332"/>
      <c r="F332"/>
      <c r="G332"/>
      <c r="H332"/>
      <c r="I332"/>
      <c r="J332"/>
      <c r="K332"/>
      <c r="L332"/>
      <c r="M332"/>
      <c r="N332"/>
      <c r="O332"/>
      <c r="P332"/>
    </row>
    <row r="333" spans="1:16">
      <c r="A333"/>
      <c r="B333"/>
      <c r="C333"/>
      <c r="D333"/>
      <c r="E333"/>
      <c r="F333"/>
      <c r="G333"/>
      <c r="H333"/>
      <c r="I333"/>
      <c r="J333"/>
      <c r="K333"/>
      <c r="L333"/>
      <c r="M333"/>
      <c r="N333"/>
      <c r="O333"/>
      <c r="P333"/>
    </row>
    <row r="334" spans="1:16">
      <c r="A334"/>
      <c r="B334"/>
      <c r="C334"/>
      <c r="D334"/>
      <c r="E334"/>
      <c r="F334"/>
      <c r="G334"/>
      <c r="H334"/>
      <c r="I334"/>
      <c r="J334"/>
      <c r="K334"/>
      <c r="L334"/>
      <c r="M334"/>
      <c r="N334"/>
      <c r="O334"/>
      <c r="P334"/>
    </row>
    <row r="335" spans="1:16">
      <c r="A335"/>
      <c r="B335"/>
      <c r="C335"/>
      <c r="D335"/>
      <c r="E335"/>
      <c r="F335"/>
      <c r="G335"/>
      <c r="H335"/>
      <c r="I335"/>
      <c r="J335"/>
      <c r="K335"/>
      <c r="L335"/>
      <c r="M335"/>
      <c r="N335"/>
      <c r="O335"/>
      <c r="P335"/>
    </row>
    <row r="336" spans="1:16">
      <c r="A336"/>
      <c r="B336"/>
      <c r="C336"/>
      <c r="D336"/>
      <c r="E336"/>
      <c r="F336"/>
      <c r="G336"/>
      <c r="H336"/>
      <c r="I336"/>
      <c r="J336"/>
      <c r="K336"/>
      <c r="L336"/>
      <c r="M336"/>
      <c r="N336"/>
      <c r="O336"/>
      <c r="P336"/>
    </row>
    <row r="337" spans="1:16">
      <c r="A337"/>
      <c r="B337"/>
      <c r="C337"/>
      <c r="D337"/>
      <c r="E337"/>
      <c r="F337"/>
      <c r="G337"/>
      <c r="H337"/>
      <c r="I337"/>
      <c r="J337"/>
      <c r="K337"/>
      <c r="L337"/>
      <c r="M337"/>
      <c r="N337"/>
      <c r="O337"/>
      <c r="P337"/>
    </row>
    <row r="338" spans="1:16">
      <c r="A338"/>
      <c r="B338"/>
      <c r="C338"/>
      <c r="D338"/>
      <c r="E338"/>
      <c r="F338"/>
      <c r="G338"/>
      <c r="H338"/>
      <c r="I338"/>
      <c r="J338"/>
      <c r="K338"/>
      <c r="L338"/>
      <c r="M338"/>
      <c r="N338"/>
      <c r="O338"/>
      <c r="P338"/>
    </row>
    <row r="339" spans="1:16">
      <c r="A339"/>
      <c r="B339"/>
      <c r="C339"/>
      <c r="D339"/>
      <c r="E339"/>
      <c r="F339"/>
      <c r="G339"/>
      <c r="H339"/>
      <c r="I339"/>
      <c r="J339"/>
      <c r="K339"/>
      <c r="L339"/>
      <c r="M339"/>
      <c r="N339"/>
      <c r="O339"/>
      <c r="P339"/>
    </row>
    <row r="340" spans="1:16">
      <c r="A340"/>
      <c r="B340"/>
      <c r="C340"/>
      <c r="D340"/>
      <c r="E340"/>
      <c r="F340"/>
      <c r="G340"/>
      <c r="H340"/>
      <c r="I340"/>
      <c r="J340"/>
      <c r="K340"/>
      <c r="L340"/>
      <c r="M340"/>
      <c r="N340"/>
      <c r="O340"/>
      <c r="P340"/>
    </row>
    <row r="341" spans="1:16">
      <c r="A341"/>
      <c r="B341"/>
      <c r="C341"/>
      <c r="D341"/>
      <c r="E341"/>
      <c r="F341"/>
      <c r="G341"/>
      <c r="H341"/>
      <c r="I341"/>
      <c r="J341"/>
      <c r="K341"/>
      <c r="L341"/>
      <c r="M341"/>
      <c r="N341"/>
      <c r="O341"/>
      <c r="P341"/>
    </row>
    <row r="342" spans="1:16">
      <c r="A342"/>
      <c r="B342"/>
      <c r="C342"/>
      <c r="D342"/>
      <c r="E342"/>
      <c r="F342"/>
      <c r="G342"/>
      <c r="H342"/>
      <c r="I342"/>
      <c r="J342"/>
      <c r="K342"/>
      <c r="L342"/>
      <c r="M342"/>
      <c r="N342"/>
      <c r="O342"/>
      <c r="P342"/>
    </row>
    <row r="343" spans="1:16">
      <c r="A343"/>
      <c r="B343"/>
      <c r="C343"/>
      <c r="D343"/>
      <c r="E343"/>
      <c r="F343"/>
      <c r="G343"/>
      <c r="H343"/>
      <c r="I343"/>
      <c r="J343"/>
      <c r="K343"/>
      <c r="L343"/>
      <c r="M343"/>
      <c r="N343"/>
      <c r="O343"/>
      <c r="P343"/>
    </row>
    <row r="344" spans="1:16">
      <c r="A344"/>
      <c r="B344"/>
      <c r="C344"/>
      <c r="D344"/>
      <c r="E344"/>
      <c r="F344"/>
      <c r="G344"/>
      <c r="H344"/>
      <c r="I344"/>
      <c r="J344"/>
      <c r="K344"/>
      <c r="L344"/>
      <c r="M344"/>
      <c r="N344"/>
      <c r="O344"/>
      <c r="P344"/>
    </row>
    <row r="345" spans="1:16">
      <c r="A345"/>
      <c r="B345"/>
      <c r="C345"/>
      <c r="D345"/>
      <c r="E345"/>
      <c r="F345"/>
      <c r="G345"/>
      <c r="H345"/>
      <c r="I345"/>
      <c r="J345"/>
      <c r="K345"/>
      <c r="L345"/>
      <c r="M345"/>
      <c r="N345"/>
      <c r="O345"/>
      <c r="P345"/>
    </row>
    <row r="346" spans="1:16">
      <c r="A346"/>
      <c r="B346"/>
      <c r="C346"/>
      <c r="D346"/>
      <c r="E346"/>
      <c r="F346"/>
      <c r="G346"/>
      <c r="H346"/>
      <c r="I346"/>
      <c r="J346"/>
      <c r="K346"/>
      <c r="L346"/>
      <c r="M346"/>
      <c r="N346"/>
      <c r="O346"/>
      <c r="P346"/>
    </row>
    <row r="347" spans="1:16">
      <c r="A347"/>
      <c r="B347"/>
      <c r="C347"/>
      <c r="D347"/>
      <c r="E347"/>
      <c r="F347"/>
      <c r="G347"/>
      <c r="H347"/>
      <c r="I347"/>
      <c r="J347"/>
      <c r="K347"/>
      <c r="L347"/>
      <c r="M347"/>
      <c r="N347"/>
      <c r="O347"/>
      <c r="P347"/>
    </row>
    <row r="348" spans="1:16">
      <c r="A348"/>
      <c r="B348"/>
      <c r="C348"/>
      <c r="D348"/>
      <c r="E348"/>
      <c r="F348"/>
      <c r="G348"/>
      <c r="H348"/>
      <c r="I348"/>
      <c r="J348"/>
      <c r="K348"/>
      <c r="L348"/>
      <c r="M348"/>
      <c r="N348"/>
      <c r="O348"/>
      <c r="P348"/>
    </row>
    <row r="349" spans="1:16">
      <c r="A349"/>
      <c r="B349"/>
      <c r="C349"/>
      <c r="D349"/>
      <c r="E349"/>
      <c r="F349"/>
      <c r="G349"/>
      <c r="H349"/>
      <c r="I349"/>
      <c r="J349"/>
      <c r="K349"/>
      <c r="L349"/>
      <c r="M349"/>
      <c r="N349"/>
      <c r="O349"/>
      <c r="P349"/>
    </row>
    <row r="350" spans="1:16">
      <c r="A350"/>
      <c r="B350"/>
      <c r="C350"/>
      <c r="D350"/>
      <c r="E350"/>
      <c r="F350"/>
      <c r="G350"/>
      <c r="H350"/>
      <c r="I350"/>
      <c r="J350"/>
      <c r="K350"/>
      <c r="L350"/>
      <c r="M350"/>
      <c r="N350"/>
      <c r="O350"/>
      <c r="P350"/>
    </row>
    <row r="351" spans="1:16">
      <c r="A351"/>
      <c r="B351"/>
      <c r="C351"/>
      <c r="D351"/>
      <c r="E351"/>
      <c r="F351"/>
      <c r="G351"/>
      <c r="H351"/>
      <c r="I351"/>
      <c r="J351"/>
      <c r="K351"/>
      <c r="L351"/>
      <c r="M351"/>
      <c r="N351"/>
      <c r="O351"/>
      <c r="P351"/>
    </row>
    <row r="352" spans="1:16">
      <c r="A352"/>
      <c r="B352"/>
      <c r="C352"/>
      <c r="D352"/>
      <c r="E352"/>
      <c r="F352"/>
      <c r="G352"/>
      <c r="H352"/>
      <c r="I352"/>
      <c r="J352"/>
      <c r="K352"/>
      <c r="L352"/>
      <c r="M352"/>
      <c r="N352"/>
      <c r="O352"/>
      <c r="P352"/>
    </row>
    <row r="353" spans="1:16">
      <c r="A353"/>
      <c r="B353"/>
      <c r="C353"/>
      <c r="D353"/>
      <c r="E353"/>
      <c r="F353"/>
      <c r="G353"/>
      <c r="H353"/>
      <c r="I353"/>
      <c r="J353"/>
      <c r="K353"/>
      <c r="L353"/>
      <c r="M353"/>
      <c r="N353"/>
      <c r="O353"/>
      <c r="P353"/>
    </row>
    <row r="354" spans="1:16">
      <c r="A354"/>
      <c r="B354"/>
      <c r="C354"/>
      <c r="D354"/>
      <c r="E354"/>
      <c r="F354"/>
      <c r="G354"/>
      <c r="H354"/>
      <c r="I354"/>
      <c r="J354"/>
      <c r="K354"/>
      <c r="L354"/>
      <c r="M354"/>
      <c r="N354"/>
      <c r="O354"/>
      <c r="P354"/>
    </row>
    <row r="355" spans="1:16">
      <c r="A355"/>
      <c r="B355"/>
      <c r="C355"/>
      <c r="D355"/>
      <c r="E355"/>
      <c r="F355"/>
      <c r="G355"/>
      <c r="H355"/>
      <c r="I355"/>
      <c r="J355"/>
      <c r="K355"/>
      <c r="L355"/>
      <c r="M355"/>
      <c r="N355"/>
      <c r="O355"/>
      <c r="P355"/>
    </row>
    <row r="356" spans="1:16">
      <c r="A356"/>
      <c r="B356"/>
      <c r="C356"/>
      <c r="D356"/>
      <c r="E356"/>
      <c r="F356"/>
      <c r="G356"/>
      <c r="H356"/>
      <c r="I356"/>
      <c r="J356"/>
      <c r="K356"/>
      <c r="L356"/>
      <c r="M356"/>
      <c r="N356"/>
      <c r="O356"/>
      <c r="P356"/>
    </row>
    <row r="357" spans="1:16">
      <c r="A357"/>
      <c r="B357"/>
      <c r="C357"/>
      <c r="D357"/>
      <c r="E357"/>
      <c r="F357"/>
      <c r="G357"/>
      <c r="H357"/>
      <c r="I357"/>
      <c r="J357"/>
      <c r="K357"/>
      <c r="L357"/>
      <c r="M357"/>
      <c r="N357"/>
      <c r="O357"/>
      <c r="P357"/>
    </row>
    <row r="358" spans="1:16">
      <c r="A358"/>
      <c r="B358"/>
      <c r="C358"/>
      <c r="D358"/>
      <c r="E358"/>
      <c r="F358"/>
      <c r="G358"/>
      <c r="H358"/>
      <c r="I358"/>
      <c r="J358"/>
      <c r="K358"/>
      <c r="L358"/>
      <c r="M358"/>
      <c r="N358"/>
      <c r="O358"/>
      <c r="P358"/>
    </row>
    <row r="359" spans="1:16">
      <c r="A359"/>
      <c r="B359"/>
      <c r="C359"/>
      <c r="D359"/>
      <c r="E359"/>
      <c r="F359"/>
      <c r="G359"/>
      <c r="H359"/>
      <c r="I359"/>
      <c r="J359"/>
      <c r="K359"/>
      <c r="L359"/>
      <c r="M359"/>
      <c r="N359"/>
      <c r="O359"/>
      <c r="P359"/>
    </row>
    <row r="360" spans="1:16">
      <c r="A360"/>
      <c r="B360"/>
      <c r="C360"/>
      <c r="D360"/>
      <c r="E360"/>
      <c r="F360"/>
      <c r="G360"/>
      <c r="H360"/>
      <c r="I360"/>
      <c r="J360"/>
      <c r="K360"/>
      <c r="L360"/>
      <c r="M360"/>
      <c r="N360"/>
      <c r="O360"/>
      <c r="P360"/>
    </row>
    <row r="361" spans="1:16">
      <c r="A361"/>
      <c r="B361"/>
      <c r="C361"/>
      <c r="D361"/>
      <c r="E361"/>
      <c r="F361"/>
      <c r="G361"/>
      <c r="H361"/>
      <c r="I361"/>
      <c r="J361"/>
      <c r="K361"/>
      <c r="L361"/>
      <c r="M361"/>
      <c r="N361"/>
      <c r="O361"/>
      <c r="P361"/>
    </row>
    <row r="362" spans="1:16">
      <c r="A362"/>
      <c r="B362"/>
      <c r="C362"/>
      <c r="D362"/>
      <c r="E362"/>
      <c r="F362"/>
      <c r="G362"/>
      <c r="H362"/>
      <c r="I362"/>
      <c r="J362"/>
      <c r="K362"/>
      <c r="L362"/>
      <c r="M362"/>
      <c r="N362"/>
      <c r="O362"/>
      <c r="P362"/>
    </row>
    <row r="363" spans="1:16">
      <c r="A363"/>
      <c r="B363"/>
      <c r="C363"/>
      <c r="D363"/>
      <c r="E363"/>
      <c r="F363"/>
      <c r="G363"/>
      <c r="H363"/>
      <c r="I363"/>
      <c r="J363"/>
      <c r="K363"/>
      <c r="L363"/>
      <c r="M363"/>
      <c r="N363"/>
      <c r="O363"/>
      <c r="P363"/>
    </row>
    <row r="364" spans="1:16">
      <c r="A364"/>
      <c r="B364"/>
      <c r="C364"/>
      <c r="D364"/>
      <c r="E364"/>
      <c r="F364"/>
      <c r="G364"/>
      <c r="H364"/>
      <c r="I364"/>
      <c r="J364"/>
      <c r="K364"/>
      <c r="L364"/>
      <c r="M364"/>
      <c r="N364"/>
      <c r="O364"/>
      <c r="P364"/>
    </row>
    <row r="365" spans="1:16">
      <c r="A365"/>
      <c r="B365"/>
      <c r="C365"/>
      <c r="D365"/>
      <c r="E365"/>
      <c r="F365"/>
      <c r="G365"/>
      <c r="H365"/>
      <c r="I365"/>
      <c r="J365"/>
      <c r="K365"/>
      <c r="L365"/>
      <c r="M365"/>
      <c r="N365"/>
      <c r="O365"/>
      <c r="P365"/>
    </row>
    <row r="366" spans="1:16">
      <c r="A366"/>
      <c r="B366"/>
      <c r="C366"/>
      <c r="D366"/>
      <c r="E366"/>
      <c r="F366"/>
      <c r="G366"/>
      <c r="H366"/>
      <c r="I366"/>
      <c r="J366"/>
      <c r="K366"/>
      <c r="L366"/>
      <c r="M366"/>
      <c r="N366"/>
      <c r="O366"/>
      <c r="P366"/>
    </row>
    <row r="367" spans="1:16">
      <c r="A367"/>
      <c r="B367"/>
      <c r="C367"/>
      <c r="D367"/>
      <c r="E367"/>
      <c r="F367"/>
      <c r="G367"/>
      <c r="H367"/>
      <c r="I367"/>
      <c r="J367"/>
      <c r="K367"/>
      <c r="L367"/>
      <c r="M367"/>
      <c r="N367"/>
      <c r="O367"/>
      <c r="P367"/>
    </row>
    <row r="368" spans="1:16">
      <c r="A368"/>
      <c r="B368"/>
      <c r="C368"/>
      <c r="D368"/>
      <c r="E368"/>
      <c r="F368"/>
      <c r="G368"/>
      <c r="H368"/>
      <c r="I368"/>
      <c r="J368"/>
      <c r="K368"/>
      <c r="L368"/>
      <c r="M368"/>
      <c r="N368"/>
      <c r="O368"/>
      <c r="P368"/>
    </row>
    <row r="369" spans="1:16">
      <c r="A369"/>
      <c r="B369"/>
      <c r="C369"/>
      <c r="D369"/>
      <c r="E369"/>
      <c r="F369"/>
      <c r="G369"/>
      <c r="H369"/>
      <c r="I369"/>
      <c r="J369"/>
      <c r="K369"/>
      <c r="L369"/>
      <c r="M369"/>
      <c r="N369"/>
      <c r="O369"/>
      <c r="P369"/>
    </row>
    <row r="370" spans="1:16">
      <c r="A370"/>
      <c r="B370"/>
      <c r="C370"/>
      <c r="D370"/>
      <c r="E370"/>
      <c r="F370"/>
      <c r="G370"/>
      <c r="H370"/>
      <c r="I370"/>
      <c r="J370"/>
      <c r="K370"/>
      <c r="L370"/>
      <c r="M370"/>
      <c r="N370"/>
      <c r="O370"/>
      <c r="P370"/>
    </row>
    <row r="371" spans="1:16">
      <c r="A371"/>
      <c r="B371"/>
      <c r="C371"/>
      <c r="D371"/>
      <c r="E371"/>
      <c r="F371"/>
      <c r="G371"/>
      <c r="H371"/>
      <c r="I371"/>
      <c r="J371"/>
      <c r="K371"/>
      <c r="L371"/>
      <c r="M371"/>
      <c r="N371"/>
      <c r="O371"/>
      <c r="P371"/>
    </row>
    <row r="372" spans="1:16">
      <c r="A372"/>
      <c r="B372"/>
      <c r="C372"/>
      <c r="D372"/>
      <c r="E372"/>
      <c r="F372"/>
      <c r="G372"/>
      <c r="H372"/>
      <c r="I372"/>
      <c r="J372"/>
      <c r="K372"/>
      <c r="L372"/>
      <c r="M372"/>
      <c r="N372"/>
      <c r="O372"/>
      <c r="P372"/>
    </row>
    <row r="373" spans="1:16">
      <c r="A373"/>
      <c r="B373"/>
      <c r="C373"/>
      <c r="D373"/>
      <c r="E373"/>
      <c r="F373"/>
      <c r="G373"/>
      <c r="H373"/>
      <c r="I373"/>
      <c r="J373"/>
      <c r="K373"/>
      <c r="L373"/>
      <c r="M373"/>
      <c r="N373"/>
      <c r="O373"/>
      <c r="P373"/>
    </row>
    <row r="374" spans="1:16">
      <c r="A374"/>
      <c r="B374"/>
      <c r="C374"/>
      <c r="D374"/>
      <c r="E374"/>
      <c r="F374"/>
      <c r="G374"/>
      <c r="H374"/>
      <c r="I374"/>
      <c r="J374"/>
      <c r="K374"/>
      <c r="L374"/>
      <c r="M374"/>
      <c r="N374"/>
      <c r="O374"/>
      <c r="P374"/>
    </row>
    <row r="375" spans="1:16">
      <c r="A375"/>
      <c r="B375"/>
      <c r="C375"/>
      <c r="D375"/>
      <c r="E375"/>
      <c r="F375"/>
      <c r="G375"/>
      <c r="H375"/>
      <c r="I375"/>
      <c r="J375"/>
      <c r="K375"/>
      <c r="L375"/>
      <c r="M375"/>
      <c r="N375"/>
      <c r="O375"/>
      <c r="P375"/>
    </row>
    <row r="376" spans="1:16">
      <c r="A376"/>
      <c r="B376"/>
      <c r="C376"/>
      <c r="D376"/>
      <c r="E376"/>
      <c r="F376"/>
      <c r="G376"/>
      <c r="H376"/>
      <c r="I376"/>
      <c r="J376"/>
      <c r="K376"/>
      <c r="L376"/>
      <c r="M376"/>
      <c r="N376"/>
      <c r="O376"/>
      <c r="P376"/>
    </row>
    <row r="377" spans="1:16">
      <c r="A377"/>
      <c r="B377"/>
      <c r="C377"/>
      <c r="D377"/>
      <c r="E377"/>
      <c r="F377"/>
      <c r="G377"/>
      <c r="H377"/>
      <c r="I377"/>
      <c r="J377"/>
      <c r="K377"/>
      <c r="L377"/>
      <c r="M377"/>
      <c r="N377"/>
      <c r="O377"/>
      <c r="P377"/>
    </row>
    <row r="378" spans="1:16">
      <c r="A378"/>
      <c r="B378"/>
      <c r="C378"/>
      <c r="D378"/>
      <c r="E378"/>
      <c r="F378"/>
      <c r="G378"/>
      <c r="H378"/>
      <c r="I378"/>
      <c r="J378"/>
      <c r="K378"/>
      <c r="L378"/>
      <c r="M378"/>
      <c r="N378"/>
      <c r="O378"/>
      <c r="P378"/>
    </row>
    <row r="379" spans="1:16">
      <c r="A379"/>
      <c r="B379"/>
      <c r="C379"/>
      <c r="D379"/>
      <c r="E379"/>
      <c r="F379"/>
      <c r="G379"/>
      <c r="H379"/>
      <c r="I379"/>
      <c r="J379"/>
      <c r="K379"/>
      <c r="L379"/>
      <c r="M379"/>
      <c r="N379"/>
      <c r="O379"/>
      <c r="P379"/>
    </row>
    <row r="380" spans="1:16">
      <c r="A380"/>
      <c r="B380"/>
      <c r="C380"/>
      <c r="D380"/>
      <c r="E380"/>
      <c r="F380"/>
      <c r="G380"/>
      <c r="H380"/>
      <c r="I380"/>
      <c r="J380"/>
      <c r="K380"/>
      <c r="L380"/>
      <c r="M380"/>
      <c r="N380"/>
      <c r="O380"/>
      <c r="P380"/>
    </row>
    <row r="381" spans="1:16">
      <c r="A381"/>
      <c r="B381"/>
      <c r="C381"/>
      <c r="D381"/>
      <c r="E381"/>
      <c r="F381"/>
      <c r="G381"/>
      <c r="H381"/>
      <c r="I381"/>
      <c r="J381"/>
      <c r="K381"/>
      <c r="L381"/>
      <c r="M381"/>
      <c r="N381"/>
      <c r="O381"/>
      <c r="P381"/>
    </row>
    <row r="382" spans="1:16">
      <c r="A382"/>
      <c r="B382"/>
      <c r="C382"/>
      <c r="D382"/>
      <c r="E382"/>
      <c r="F382"/>
      <c r="G382"/>
      <c r="H382"/>
      <c r="I382"/>
      <c r="J382"/>
      <c r="K382"/>
      <c r="L382"/>
      <c r="M382"/>
      <c r="N382"/>
      <c r="O382"/>
      <c r="P382"/>
    </row>
    <row r="383" spans="1:16">
      <c r="A383"/>
      <c r="B383"/>
      <c r="C383"/>
      <c r="D383"/>
      <c r="E383"/>
      <c r="F383"/>
      <c r="G383"/>
      <c r="H383"/>
      <c r="I383"/>
      <c r="J383"/>
      <c r="K383"/>
      <c r="L383"/>
      <c r="M383"/>
      <c r="N383"/>
      <c r="O383"/>
      <c r="P383"/>
    </row>
    <row r="384" spans="1:16">
      <c r="A384"/>
      <c r="B384"/>
      <c r="C384"/>
      <c r="D384"/>
      <c r="E384"/>
      <c r="F384"/>
      <c r="G384"/>
      <c r="H384"/>
      <c r="I384"/>
      <c r="J384"/>
      <c r="K384"/>
      <c r="L384"/>
      <c r="M384"/>
      <c r="N384"/>
      <c r="O384"/>
      <c r="P384"/>
    </row>
    <row r="385" spans="1:16">
      <c r="A385"/>
      <c r="B385"/>
      <c r="C385"/>
      <c r="D385"/>
      <c r="E385"/>
      <c r="F385"/>
      <c r="G385"/>
      <c r="H385"/>
      <c r="I385"/>
      <c r="J385"/>
      <c r="K385"/>
      <c r="L385"/>
      <c r="M385"/>
      <c r="N385"/>
      <c r="O385"/>
      <c r="P385"/>
    </row>
    <row r="386" spans="1:16">
      <c r="A386"/>
      <c r="B386"/>
      <c r="C386"/>
      <c r="D386"/>
      <c r="E386"/>
      <c r="F386"/>
      <c r="G386"/>
      <c r="H386"/>
      <c r="I386"/>
      <c r="J386"/>
      <c r="K386"/>
      <c r="L386"/>
      <c r="M386"/>
      <c r="N386"/>
      <c r="O386"/>
      <c r="P386"/>
    </row>
    <row r="387" spans="1:16">
      <c r="A387"/>
      <c r="B387"/>
      <c r="C387"/>
      <c r="D387"/>
      <c r="E387"/>
      <c r="F387"/>
      <c r="G387"/>
      <c r="H387"/>
      <c r="I387"/>
      <c r="J387"/>
      <c r="K387"/>
      <c r="L387"/>
      <c r="M387"/>
      <c r="N387"/>
      <c r="O387"/>
      <c r="P387"/>
    </row>
    <row r="388" spans="1:16">
      <c r="A388"/>
      <c r="B388"/>
      <c r="C388"/>
      <c r="D388"/>
      <c r="E388"/>
      <c r="F388"/>
      <c r="G388"/>
      <c r="H388"/>
      <c r="I388"/>
      <c r="J388"/>
      <c r="K388"/>
      <c r="L388"/>
      <c r="M388"/>
      <c r="N388"/>
      <c r="O388"/>
      <c r="P388"/>
    </row>
    <row r="389" spans="1:16">
      <c r="A389"/>
      <c r="B389"/>
      <c r="C389"/>
      <c r="D389"/>
      <c r="E389"/>
      <c r="F389"/>
      <c r="G389"/>
      <c r="H389"/>
      <c r="I389"/>
      <c r="J389"/>
      <c r="K389"/>
      <c r="L389"/>
      <c r="M389"/>
      <c r="N389"/>
      <c r="O389"/>
      <c r="P389"/>
    </row>
    <row r="390" spans="1:16">
      <c r="A390"/>
      <c r="B390"/>
      <c r="C390"/>
      <c r="D390"/>
      <c r="E390"/>
      <c r="F390"/>
      <c r="G390"/>
      <c r="H390"/>
      <c r="I390"/>
      <c r="J390"/>
      <c r="K390"/>
      <c r="L390"/>
      <c r="M390"/>
      <c r="N390"/>
      <c r="O390"/>
      <c r="P390"/>
    </row>
    <row r="391" spans="1:16">
      <c r="A391"/>
      <c r="B391"/>
      <c r="C391"/>
      <c r="D391"/>
      <c r="E391"/>
      <c r="F391"/>
      <c r="G391"/>
      <c r="H391"/>
      <c r="I391"/>
      <c r="J391"/>
      <c r="K391"/>
      <c r="L391"/>
      <c r="M391"/>
      <c r="N391"/>
      <c r="O391"/>
      <c r="P391"/>
    </row>
    <row r="392" spans="1:16">
      <c r="A392"/>
      <c r="B392"/>
      <c r="C392"/>
      <c r="D392"/>
      <c r="E392"/>
      <c r="F392"/>
      <c r="G392"/>
      <c r="H392"/>
      <c r="I392"/>
      <c r="J392"/>
      <c r="K392"/>
      <c r="L392"/>
      <c r="M392"/>
      <c r="N392"/>
      <c r="O392"/>
      <c r="P392"/>
    </row>
    <row r="393" spans="1:16">
      <c r="A393"/>
      <c r="B393"/>
      <c r="C393"/>
      <c r="D393"/>
      <c r="E393"/>
      <c r="F393"/>
      <c r="G393"/>
      <c r="H393"/>
      <c r="I393"/>
      <c r="J393"/>
      <c r="K393"/>
      <c r="L393"/>
      <c r="M393"/>
      <c r="N393"/>
      <c r="O393"/>
      <c r="P393"/>
    </row>
    <row r="394" spans="1:16">
      <c r="A394"/>
      <c r="B394"/>
      <c r="C394"/>
      <c r="D394"/>
      <c r="E394"/>
      <c r="F394"/>
      <c r="G394"/>
      <c r="H394"/>
      <c r="I394"/>
      <c r="J394"/>
      <c r="K394"/>
      <c r="L394"/>
      <c r="M394"/>
      <c r="N394"/>
      <c r="O394"/>
      <c r="P394"/>
    </row>
    <row r="395" spans="1:16">
      <c r="A395"/>
      <c r="B395"/>
      <c r="C395"/>
      <c r="D395"/>
      <c r="E395"/>
      <c r="F395"/>
      <c r="G395"/>
      <c r="H395"/>
      <c r="I395"/>
      <c r="J395"/>
      <c r="K395"/>
      <c r="L395"/>
      <c r="M395"/>
      <c r="N395"/>
      <c r="O395"/>
      <c r="P395"/>
    </row>
    <row r="396" spans="1:16">
      <c r="A396"/>
      <c r="B396"/>
      <c r="C396"/>
      <c r="D396"/>
      <c r="E396"/>
      <c r="F396"/>
      <c r="G396"/>
      <c r="H396"/>
      <c r="I396"/>
      <c r="J396"/>
      <c r="K396"/>
      <c r="L396"/>
      <c r="M396"/>
      <c r="N396"/>
      <c r="O396"/>
      <c r="P396"/>
    </row>
    <row r="397" spans="1:16">
      <c r="A397"/>
      <c r="B397"/>
      <c r="C397"/>
      <c r="D397"/>
      <c r="E397"/>
      <c r="F397"/>
      <c r="G397"/>
      <c r="H397"/>
      <c r="I397"/>
      <c r="J397"/>
      <c r="K397"/>
      <c r="L397"/>
      <c r="M397"/>
      <c r="N397"/>
      <c r="O397"/>
      <c r="P397"/>
    </row>
    <row r="398" spans="1:16">
      <c r="A398"/>
      <c r="B398"/>
      <c r="C398"/>
      <c r="D398"/>
      <c r="E398"/>
      <c r="F398"/>
      <c r="G398"/>
      <c r="H398"/>
      <c r="I398"/>
      <c r="J398"/>
      <c r="K398"/>
      <c r="L398"/>
      <c r="M398"/>
      <c r="N398"/>
      <c r="O398"/>
      <c r="P398"/>
    </row>
    <row r="399" spans="1:16">
      <c r="A399"/>
      <c r="B399"/>
      <c r="C399"/>
      <c r="D399"/>
      <c r="E399"/>
      <c r="F399"/>
      <c r="G399"/>
      <c r="H399"/>
      <c r="I399"/>
      <c r="J399"/>
      <c r="K399"/>
      <c r="L399"/>
      <c r="M399"/>
      <c r="N399"/>
      <c r="O399"/>
      <c r="P399"/>
    </row>
    <row r="400" spans="1:16">
      <c r="A400"/>
      <c r="B400"/>
      <c r="C400"/>
      <c r="D400"/>
      <c r="E400"/>
      <c r="F400"/>
      <c r="G400"/>
      <c r="H400"/>
      <c r="I400"/>
      <c r="J400"/>
      <c r="K400"/>
      <c r="L400"/>
      <c r="M400"/>
      <c r="N400"/>
      <c r="O400"/>
      <c r="P400"/>
    </row>
    <row r="401" spans="1:16">
      <c r="A401"/>
      <c r="B401"/>
      <c r="C401"/>
      <c r="D401"/>
      <c r="E401"/>
      <c r="F401"/>
      <c r="G401"/>
      <c r="H401"/>
      <c r="I401"/>
      <c r="J401"/>
      <c r="K401"/>
      <c r="L401"/>
      <c r="M401"/>
      <c r="N401"/>
      <c r="O401"/>
      <c r="P401"/>
    </row>
    <row r="402" spans="1:16">
      <c r="A402"/>
      <c r="B402"/>
      <c r="C402"/>
      <c r="D402"/>
      <c r="E402"/>
      <c r="F402"/>
      <c r="G402"/>
      <c r="H402"/>
      <c r="I402"/>
      <c r="J402"/>
      <c r="K402"/>
      <c r="L402"/>
      <c r="M402"/>
      <c r="N402"/>
      <c r="O402"/>
      <c r="P402"/>
    </row>
    <row r="403" spans="1:16">
      <c r="A403"/>
      <c r="B403"/>
      <c r="C403"/>
      <c r="D403"/>
      <c r="E403"/>
      <c r="F403"/>
      <c r="G403"/>
      <c r="H403"/>
      <c r="I403"/>
      <c r="J403"/>
      <c r="K403"/>
      <c r="L403"/>
      <c r="M403"/>
      <c r="N403"/>
      <c r="O403"/>
      <c r="P403"/>
    </row>
    <row r="404" spans="1:16">
      <c r="A404"/>
      <c r="B404"/>
      <c r="C404"/>
      <c r="D404"/>
      <c r="E404"/>
      <c r="F404"/>
      <c r="G404"/>
      <c r="H404"/>
      <c r="I404"/>
      <c r="J404"/>
      <c r="K404"/>
      <c r="L404"/>
      <c r="M404"/>
      <c r="N404"/>
      <c r="O404"/>
      <c r="P404"/>
    </row>
    <row r="405" spans="1:16">
      <c r="A405"/>
      <c r="B405"/>
      <c r="C405"/>
      <c r="D405"/>
      <c r="E405"/>
      <c r="F405"/>
      <c r="G405"/>
      <c r="H405"/>
      <c r="I405"/>
      <c r="J405"/>
      <c r="K405"/>
      <c r="L405"/>
      <c r="M405"/>
      <c r="N405"/>
      <c r="O405"/>
      <c r="P405"/>
    </row>
    <row r="406" spans="1:16">
      <c r="A406"/>
      <c r="B406"/>
      <c r="C406"/>
      <c r="D406"/>
      <c r="E406"/>
      <c r="F406"/>
      <c r="G406"/>
      <c r="H406"/>
      <c r="I406"/>
      <c r="J406"/>
      <c r="K406"/>
      <c r="L406"/>
      <c r="M406"/>
      <c r="N406"/>
      <c r="O406"/>
      <c r="P406"/>
    </row>
    <row r="407" spans="1:16">
      <c r="A407"/>
      <c r="B407"/>
      <c r="C407"/>
      <c r="D407"/>
      <c r="E407"/>
      <c r="F407"/>
      <c r="G407"/>
      <c r="H407"/>
      <c r="I407"/>
      <c r="J407"/>
      <c r="K407"/>
      <c r="L407"/>
      <c r="M407"/>
      <c r="N407"/>
      <c r="O407"/>
      <c r="P407"/>
    </row>
    <row r="408" spans="1:16">
      <c r="A408"/>
      <c r="B408"/>
      <c r="C408"/>
      <c r="D408"/>
      <c r="E408"/>
      <c r="F408"/>
      <c r="G408"/>
      <c r="H408"/>
      <c r="I408"/>
      <c r="J408"/>
      <c r="K408"/>
      <c r="L408"/>
      <c r="M408"/>
      <c r="N408"/>
      <c r="O408"/>
      <c r="P408"/>
    </row>
    <row r="409" spans="1:16">
      <c r="A409"/>
      <c r="B409"/>
      <c r="C409"/>
      <c r="D409"/>
      <c r="E409"/>
      <c r="F409"/>
      <c r="G409"/>
      <c r="H409"/>
      <c r="I409"/>
      <c r="J409"/>
      <c r="K409"/>
      <c r="L409"/>
      <c r="M409"/>
      <c r="N409"/>
      <c r="O409"/>
      <c r="P409"/>
    </row>
    <row r="410" spans="1:16">
      <c r="A410"/>
      <c r="B410"/>
      <c r="C410"/>
      <c r="D410"/>
      <c r="E410"/>
      <c r="F410"/>
      <c r="G410"/>
      <c r="H410"/>
      <c r="I410"/>
      <c r="J410"/>
      <c r="K410"/>
      <c r="L410"/>
      <c r="M410"/>
      <c r="N410"/>
      <c r="O410"/>
      <c r="P410"/>
    </row>
    <row r="411" spans="1:16">
      <c r="A411"/>
      <c r="B411"/>
      <c r="C411"/>
      <c r="D411"/>
      <c r="E411"/>
      <c r="F411"/>
      <c r="G411"/>
      <c r="H411"/>
      <c r="I411"/>
      <c r="J411"/>
      <c r="K411"/>
      <c r="L411"/>
      <c r="M411"/>
      <c r="N411"/>
      <c r="O411"/>
      <c r="P411"/>
    </row>
    <row r="412" spans="1:16">
      <c r="A412"/>
      <c r="B412"/>
      <c r="C412"/>
      <c r="D412"/>
      <c r="E412"/>
      <c r="F412"/>
      <c r="G412"/>
      <c r="H412"/>
      <c r="I412"/>
      <c r="J412"/>
      <c r="K412"/>
      <c r="L412"/>
      <c r="M412"/>
      <c r="N412"/>
      <c r="O412"/>
      <c r="P412"/>
    </row>
    <row r="413" spans="1:16">
      <c r="A413"/>
      <c r="B413"/>
      <c r="C413"/>
      <c r="D413"/>
      <c r="E413"/>
      <c r="F413"/>
      <c r="G413"/>
      <c r="H413"/>
      <c r="I413"/>
      <c r="J413"/>
      <c r="K413"/>
      <c r="L413"/>
      <c r="M413"/>
      <c r="N413"/>
      <c r="O413"/>
      <c r="P413"/>
    </row>
    <row r="414" spans="1:16">
      <c r="A414"/>
      <c r="B414"/>
      <c r="C414"/>
      <c r="D414"/>
      <c r="E414"/>
      <c r="F414"/>
      <c r="G414"/>
      <c r="H414"/>
      <c r="I414"/>
      <c r="J414"/>
      <c r="K414"/>
      <c r="L414"/>
      <c r="M414"/>
      <c r="N414"/>
      <c r="O414"/>
      <c r="P414"/>
    </row>
    <row r="415" spans="1:16">
      <c r="A415"/>
      <c r="B415"/>
      <c r="C415"/>
      <c r="D415"/>
      <c r="E415"/>
      <c r="F415"/>
      <c r="G415"/>
      <c r="H415"/>
      <c r="I415"/>
      <c r="J415"/>
      <c r="K415"/>
      <c r="L415"/>
      <c r="M415"/>
      <c r="N415"/>
      <c r="O415"/>
      <c r="P415"/>
    </row>
    <row r="416" spans="1:16">
      <c r="A416"/>
      <c r="B416"/>
      <c r="C416"/>
      <c r="D416"/>
      <c r="E416"/>
      <c r="F416"/>
      <c r="G416"/>
      <c r="H416"/>
      <c r="I416"/>
      <c r="J416"/>
      <c r="K416"/>
      <c r="L416"/>
      <c r="M416"/>
      <c r="N416"/>
      <c r="O416"/>
      <c r="P416"/>
    </row>
    <row r="417" spans="1:16">
      <c r="A417"/>
      <c r="B417"/>
      <c r="C417"/>
      <c r="D417"/>
      <c r="E417"/>
      <c r="F417"/>
      <c r="G417"/>
      <c r="H417"/>
      <c r="I417"/>
      <c r="J417"/>
      <c r="K417"/>
      <c r="L417"/>
      <c r="M417"/>
      <c r="N417"/>
      <c r="O417"/>
      <c r="P417"/>
    </row>
    <row r="418" spans="1:16">
      <c r="A418"/>
      <c r="B418"/>
      <c r="C418"/>
      <c r="D418"/>
      <c r="E418"/>
      <c r="F418"/>
      <c r="G418"/>
      <c r="H418"/>
      <c r="I418"/>
      <c r="J418"/>
      <c r="K418"/>
      <c r="L418"/>
      <c r="M418"/>
      <c r="N418"/>
      <c r="O418"/>
      <c r="P418"/>
    </row>
    <row r="419" spans="1:16">
      <c r="A419"/>
      <c r="B419"/>
      <c r="C419"/>
      <c r="D419"/>
      <c r="E419"/>
      <c r="F419"/>
      <c r="G419"/>
      <c r="H419"/>
      <c r="I419"/>
      <c r="J419"/>
      <c r="K419"/>
      <c r="L419"/>
      <c r="M419"/>
      <c r="N419"/>
      <c r="O419"/>
      <c r="P419"/>
    </row>
    <row r="420" spans="1:16">
      <c r="A420"/>
      <c r="B420"/>
      <c r="C420"/>
      <c r="D420"/>
      <c r="E420"/>
      <c r="F420"/>
      <c r="G420"/>
      <c r="H420"/>
      <c r="I420"/>
      <c r="J420"/>
      <c r="K420"/>
      <c r="L420"/>
      <c r="M420"/>
      <c r="N420"/>
      <c r="O420"/>
      <c r="P420"/>
    </row>
    <row r="421" spans="1:16">
      <c r="A421"/>
      <c r="B421"/>
      <c r="C421"/>
      <c r="D421"/>
      <c r="E421"/>
      <c r="F421"/>
      <c r="G421"/>
      <c r="H421"/>
      <c r="I421"/>
      <c r="J421"/>
      <c r="K421"/>
      <c r="L421"/>
      <c r="M421"/>
      <c r="N421"/>
      <c r="O421"/>
      <c r="P421"/>
    </row>
    <row r="422" spans="1:16">
      <c r="A422"/>
      <c r="B422"/>
      <c r="C422"/>
      <c r="D422"/>
      <c r="E422"/>
      <c r="F422"/>
      <c r="G422"/>
      <c r="H422"/>
      <c r="I422"/>
      <c r="J422"/>
      <c r="K422"/>
      <c r="L422"/>
      <c r="M422"/>
      <c r="N422"/>
      <c r="O422"/>
      <c r="P422"/>
    </row>
    <row r="423" spans="1:16">
      <c r="A423"/>
      <c r="B423"/>
      <c r="C423"/>
      <c r="D423"/>
      <c r="E423"/>
      <c r="F423"/>
      <c r="G423"/>
      <c r="H423"/>
      <c r="I423"/>
      <c r="J423"/>
      <c r="K423"/>
      <c r="L423"/>
      <c r="M423"/>
      <c r="N423"/>
      <c r="O423"/>
      <c r="P423"/>
    </row>
    <row r="424" spans="1:16">
      <c r="A424"/>
      <c r="B424"/>
      <c r="C424"/>
      <c r="D424"/>
      <c r="E424"/>
      <c r="F424"/>
      <c r="G424"/>
      <c r="H424"/>
      <c r="I424"/>
      <c r="J424"/>
      <c r="K424"/>
      <c r="L424"/>
      <c r="M424"/>
      <c r="N424"/>
      <c r="O424"/>
      <c r="P424"/>
    </row>
    <row r="425" spans="1:16">
      <c r="A425"/>
      <c r="B425"/>
      <c r="C425"/>
      <c r="D425"/>
      <c r="E425"/>
      <c r="F425"/>
      <c r="G425"/>
      <c r="H425"/>
      <c r="I425"/>
      <c r="J425"/>
      <c r="K425"/>
      <c r="L425"/>
      <c r="M425"/>
      <c r="N425"/>
      <c r="O425"/>
      <c r="P425"/>
    </row>
    <row r="426" spans="1:16">
      <c r="A426"/>
      <c r="B426"/>
      <c r="C426"/>
      <c r="D426"/>
      <c r="E426"/>
      <c r="F426"/>
      <c r="G426"/>
      <c r="H426"/>
      <c r="I426"/>
      <c r="J426"/>
      <c r="K426"/>
      <c r="L426"/>
      <c r="M426"/>
      <c r="N426"/>
      <c r="O426"/>
      <c r="P426"/>
    </row>
    <row r="427" spans="1:16">
      <c r="A427"/>
      <c r="B427"/>
      <c r="C427"/>
      <c r="D427"/>
      <c r="E427"/>
      <c r="F427"/>
      <c r="G427"/>
      <c r="H427"/>
      <c r="I427"/>
      <c r="J427"/>
      <c r="K427"/>
      <c r="L427"/>
      <c r="M427"/>
      <c r="N427"/>
      <c r="O427"/>
      <c r="P427"/>
    </row>
    <row r="428" spans="1:16">
      <c r="A428"/>
      <c r="B428"/>
      <c r="C428"/>
      <c r="D428"/>
      <c r="E428"/>
      <c r="F428"/>
      <c r="G428"/>
      <c r="H428"/>
      <c r="I428"/>
      <c r="J428"/>
      <c r="K428"/>
      <c r="L428"/>
      <c r="M428"/>
      <c r="N428"/>
      <c r="O428"/>
      <c r="P428"/>
    </row>
    <row r="429" spans="1:16">
      <c r="A429"/>
      <c r="B429"/>
      <c r="C429"/>
      <c r="D429"/>
      <c r="E429"/>
      <c r="F429"/>
      <c r="G429"/>
      <c r="H429"/>
      <c r="I429"/>
      <c r="J429"/>
      <c r="K429"/>
      <c r="L429"/>
      <c r="M429"/>
      <c r="N429"/>
      <c r="O429"/>
      <c r="P429"/>
    </row>
    <row r="430" spans="1:16">
      <c r="A430"/>
      <c r="B430"/>
      <c r="C430"/>
      <c r="D430"/>
      <c r="E430"/>
      <c r="F430"/>
      <c r="G430"/>
      <c r="H430"/>
      <c r="I430"/>
      <c r="J430"/>
      <c r="K430"/>
      <c r="L430"/>
      <c r="M430"/>
      <c r="N430"/>
      <c r="O430"/>
      <c r="P430"/>
    </row>
    <row r="431" spans="1:16">
      <c r="A431"/>
      <c r="B431"/>
      <c r="C431"/>
      <c r="D431"/>
      <c r="E431"/>
      <c r="F431"/>
      <c r="G431"/>
      <c r="H431"/>
      <c r="I431"/>
      <c r="J431"/>
      <c r="K431"/>
      <c r="L431"/>
      <c r="M431"/>
      <c r="N431"/>
      <c r="O431"/>
      <c r="P431"/>
    </row>
    <row r="432" spans="1:16">
      <c r="A432"/>
      <c r="B432"/>
      <c r="C432"/>
      <c r="D432"/>
      <c r="E432"/>
      <c r="F432"/>
      <c r="G432"/>
      <c r="H432"/>
      <c r="I432"/>
      <c r="J432"/>
      <c r="K432"/>
      <c r="L432"/>
      <c r="M432"/>
      <c r="N432"/>
      <c r="O432"/>
      <c r="P432"/>
    </row>
    <row r="433" spans="1:16">
      <c r="A433"/>
      <c r="B433"/>
      <c r="C433"/>
      <c r="D433"/>
      <c r="E433"/>
      <c r="F433"/>
      <c r="G433"/>
      <c r="H433"/>
      <c r="I433"/>
      <c r="J433"/>
      <c r="K433"/>
      <c r="L433"/>
      <c r="M433"/>
      <c r="N433"/>
      <c r="O433"/>
      <c r="P433"/>
    </row>
    <row r="434" spans="1:16">
      <c r="A434"/>
      <c r="B434"/>
      <c r="C434"/>
      <c r="D434"/>
      <c r="E434"/>
      <c r="F434"/>
      <c r="G434"/>
      <c r="H434"/>
      <c r="I434"/>
      <c r="J434"/>
      <c r="K434"/>
      <c r="L434"/>
      <c r="M434"/>
      <c r="N434"/>
      <c r="O434"/>
      <c r="P434"/>
    </row>
    <row r="435" spans="1:16">
      <c r="A435"/>
      <c r="B435"/>
      <c r="C435"/>
      <c r="D435"/>
      <c r="E435"/>
      <c r="F435"/>
      <c r="G435"/>
      <c r="H435"/>
      <c r="I435"/>
      <c r="J435"/>
      <c r="K435"/>
      <c r="L435"/>
      <c r="M435"/>
      <c r="N435"/>
      <c r="O435"/>
      <c r="P435"/>
    </row>
    <row r="436" spans="1:16">
      <c r="A436"/>
      <c r="B436"/>
      <c r="C436"/>
      <c r="D436"/>
      <c r="E436"/>
      <c r="F436"/>
      <c r="G436"/>
      <c r="H436"/>
      <c r="I436"/>
      <c r="J436"/>
      <c r="K436"/>
      <c r="L436"/>
      <c r="M436"/>
      <c r="N436"/>
      <c r="O436"/>
      <c r="P436"/>
    </row>
    <row r="437" spans="1:16">
      <c r="A437"/>
      <c r="B437"/>
      <c r="C437"/>
      <c r="D437"/>
      <c r="E437"/>
      <c r="F437"/>
      <c r="G437"/>
      <c r="H437"/>
      <c r="I437"/>
      <c r="J437"/>
      <c r="K437"/>
      <c r="L437"/>
      <c r="M437"/>
      <c r="N437"/>
      <c r="O437"/>
      <c r="P437"/>
    </row>
    <row r="438" spans="1:16">
      <c r="A438"/>
      <c r="B438"/>
      <c r="C438"/>
      <c r="D438"/>
      <c r="E438"/>
      <c r="F438"/>
      <c r="G438"/>
      <c r="H438"/>
      <c r="I438"/>
      <c r="J438"/>
      <c r="K438"/>
      <c r="L438"/>
      <c r="M438"/>
      <c r="N438"/>
      <c r="O438"/>
      <c r="P438"/>
    </row>
    <row r="439" spans="1:16">
      <c r="A439"/>
      <c r="B439"/>
      <c r="C439"/>
      <c r="D439"/>
      <c r="E439"/>
      <c r="F439"/>
      <c r="G439"/>
      <c r="H439"/>
      <c r="I439"/>
      <c r="J439"/>
      <c r="K439"/>
      <c r="L439"/>
      <c r="M439"/>
      <c r="N439"/>
      <c r="O439"/>
      <c r="P439"/>
    </row>
    <row r="440" spans="1:16">
      <c r="A440"/>
      <c r="B440"/>
      <c r="C440"/>
      <c r="D440"/>
      <c r="E440"/>
      <c r="F440"/>
      <c r="G440"/>
      <c r="H440"/>
      <c r="I440"/>
      <c r="J440"/>
      <c r="K440"/>
      <c r="L440"/>
      <c r="M440"/>
      <c r="N440"/>
      <c r="O440"/>
      <c r="P440"/>
    </row>
    <row r="441" spans="1:16">
      <c r="A441"/>
      <c r="B441"/>
      <c r="C441"/>
      <c r="D441"/>
      <c r="E441"/>
      <c r="F441"/>
      <c r="G441"/>
      <c r="H441"/>
      <c r="I441"/>
      <c r="J441"/>
      <c r="K441"/>
      <c r="L441"/>
      <c r="M441"/>
      <c r="N441"/>
      <c r="O441"/>
      <c r="P441"/>
    </row>
    <row r="442" spans="1:16">
      <c r="A442"/>
      <c r="B442"/>
      <c r="C442"/>
      <c r="D442"/>
      <c r="E442"/>
      <c r="F442"/>
      <c r="G442"/>
      <c r="H442"/>
      <c r="I442"/>
      <c r="J442"/>
      <c r="K442"/>
      <c r="L442"/>
      <c r="M442"/>
      <c r="N442"/>
      <c r="O442"/>
      <c r="P442"/>
    </row>
    <row r="443" spans="1:16">
      <c r="A443"/>
      <c r="B443"/>
      <c r="C443"/>
      <c r="D443"/>
      <c r="E443"/>
      <c r="F443"/>
      <c r="G443"/>
      <c r="H443"/>
      <c r="I443"/>
      <c r="J443"/>
      <c r="K443"/>
      <c r="L443"/>
      <c r="M443"/>
      <c r="N443"/>
      <c r="O443"/>
      <c r="P443"/>
    </row>
    <row r="444" spans="1:16">
      <c r="A444"/>
      <c r="B444"/>
      <c r="C444"/>
      <c r="D444"/>
      <c r="E444"/>
      <c r="F444"/>
      <c r="G444"/>
      <c r="H444"/>
      <c r="I444"/>
      <c r="J444"/>
      <c r="K444"/>
      <c r="L444"/>
      <c r="M444"/>
      <c r="N444"/>
      <c r="O444"/>
      <c r="P444"/>
    </row>
    <row r="445" spans="1:16">
      <c r="A445"/>
      <c r="B445"/>
      <c r="C445"/>
      <c r="D445"/>
      <c r="E445"/>
      <c r="F445"/>
      <c r="G445"/>
      <c r="H445"/>
      <c r="I445"/>
      <c r="J445"/>
      <c r="K445"/>
      <c r="L445"/>
      <c r="M445"/>
      <c r="N445"/>
      <c r="O445"/>
      <c r="P445"/>
    </row>
    <row r="446" spans="1:16">
      <c r="A446"/>
      <c r="B446"/>
      <c r="C446"/>
      <c r="D446"/>
      <c r="E446"/>
      <c r="F446"/>
      <c r="G446"/>
      <c r="H446"/>
      <c r="I446"/>
      <c r="J446"/>
      <c r="K446"/>
      <c r="L446"/>
      <c r="M446"/>
      <c r="N446"/>
      <c r="O446"/>
      <c r="P446"/>
    </row>
    <row r="447" spans="1:16">
      <c r="A447"/>
      <c r="B447"/>
      <c r="C447"/>
      <c r="D447"/>
      <c r="E447"/>
      <c r="F447"/>
      <c r="G447"/>
      <c r="H447"/>
      <c r="I447"/>
      <c r="J447"/>
      <c r="K447"/>
      <c r="L447"/>
      <c r="M447"/>
      <c r="N447"/>
      <c r="O447"/>
      <c r="P447"/>
    </row>
    <row r="448" spans="1:16">
      <c r="A448"/>
      <c r="B448"/>
      <c r="C448"/>
      <c r="D448"/>
      <c r="E448"/>
      <c r="F448"/>
      <c r="G448"/>
      <c r="H448"/>
      <c r="I448"/>
      <c r="J448"/>
      <c r="K448"/>
      <c r="L448"/>
      <c r="M448"/>
      <c r="N448"/>
      <c r="O448"/>
      <c r="P448"/>
    </row>
    <row r="449" spans="1:16">
      <c r="A449"/>
      <c r="B449"/>
      <c r="C449"/>
      <c r="D449"/>
      <c r="E449"/>
      <c r="F449"/>
      <c r="G449"/>
      <c r="H449"/>
      <c r="I449"/>
      <c r="J449"/>
      <c r="K449"/>
      <c r="L449"/>
      <c r="M449"/>
      <c r="N449"/>
      <c r="O449"/>
      <c r="P449"/>
    </row>
    <row r="450" spans="1:16">
      <c r="A450"/>
      <c r="B450"/>
      <c r="C450"/>
      <c r="D450"/>
      <c r="E450"/>
      <c r="F450"/>
      <c r="G450"/>
      <c r="H450"/>
      <c r="I450"/>
      <c r="J450"/>
      <c r="K450"/>
      <c r="L450"/>
      <c r="M450"/>
      <c r="N450"/>
      <c r="O450"/>
      <c r="P450"/>
    </row>
    <row r="451" spans="1:16">
      <c r="A451"/>
      <c r="B451"/>
      <c r="C451"/>
      <c r="D451"/>
      <c r="E451"/>
      <c r="F451"/>
      <c r="G451"/>
      <c r="H451"/>
      <c r="I451"/>
      <c r="J451"/>
      <c r="K451"/>
      <c r="L451"/>
      <c r="M451"/>
      <c r="N451"/>
      <c r="O451"/>
      <c r="P451"/>
    </row>
    <row r="452" spans="1:16">
      <c r="A452"/>
      <c r="B452"/>
      <c r="C452"/>
      <c r="D452"/>
      <c r="E452"/>
      <c r="F452"/>
      <c r="G452"/>
      <c r="H452"/>
      <c r="I452"/>
      <c r="J452"/>
      <c r="K452"/>
      <c r="L452"/>
      <c r="M452"/>
      <c r="N452"/>
      <c r="O452"/>
      <c r="P452"/>
    </row>
    <row r="453" spans="1:16">
      <c r="A453"/>
      <c r="B453"/>
      <c r="C453"/>
      <c r="D453"/>
      <c r="E453"/>
      <c r="F453"/>
      <c r="G453"/>
      <c r="H453"/>
      <c r="I453"/>
      <c r="J453"/>
      <c r="K453"/>
      <c r="L453"/>
      <c r="M453"/>
      <c r="N453"/>
      <c r="O453"/>
      <c r="P453"/>
    </row>
    <row r="454" spans="1:16">
      <c r="A454"/>
      <c r="B454"/>
      <c r="C454"/>
      <c r="D454"/>
      <c r="E454"/>
      <c r="F454"/>
      <c r="G454"/>
      <c r="H454"/>
      <c r="I454"/>
      <c r="J454"/>
      <c r="K454"/>
      <c r="L454"/>
      <c r="M454"/>
      <c r="N454"/>
      <c r="O454"/>
      <c r="P454"/>
    </row>
    <row r="455" spans="1:16">
      <c r="A455"/>
      <c r="B455"/>
      <c r="C455"/>
      <c r="D455"/>
      <c r="E455"/>
      <c r="F455"/>
      <c r="G455"/>
      <c r="H455"/>
      <c r="I455"/>
      <c r="J455"/>
      <c r="K455"/>
      <c r="L455"/>
      <c r="M455"/>
      <c r="N455"/>
      <c r="O455"/>
      <c r="P455"/>
    </row>
    <row r="456" spans="1:16">
      <c r="A456"/>
      <c r="B456"/>
      <c r="C456"/>
      <c r="D456"/>
      <c r="E456"/>
      <c r="F456"/>
      <c r="G456"/>
      <c r="H456"/>
      <c r="I456"/>
      <c r="J456"/>
      <c r="K456"/>
      <c r="L456"/>
      <c r="M456"/>
      <c r="N456"/>
      <c r="O456"/>
      <c r="P456"/>
    </row>
    <row r="457" spans="1:16">
      <c r="A457"/>
      <c r="B457"/>
      <c r="C457"/>
      <c r="D457"/>
      <c r="E457"/>
      <c r="F457"/>
      <c r="G457"/>
      <c r="H457"/>
      <c r="I457"/>
      <c r="J457"/>
      <c r="K457"/>
      <c r="L457"/>
      <c r="M457"/>
      <c r="N457"/>
      <c r="O457"/>
      <c r="P457"/>
    </row>
    <row r="458" spans="1:16">
      <c r="A458"/>
      <c r="B458"/>
      <c r="C458"/>
      <c r="D458"/>
      <c r="E458"/>
      <c r="F458"/>
      <c r="G458"/>
      <c r="H458"/>
      <c r="I458"/>
      <c r="J458"/>
      <c r="K458"/>
      <c r="L458"/>
      <c r="M458"/>
      <c r="N458"/>
      <c r="O458"/>
      <c r="P458"/>
    </row>
    <row r="459" spans="1:16">
      <c r="A459"/>
      <c r="B459"/>
      <c r="C459"/>
      <c r="D459"/>
      <c r="E459"/>
      <c r="F459"/>
      <c r="G459"/>
      <c r="H459"/>
      <c r="I459"/>
      <c r="J459"/>
      <c r="K459"/>
      <c r="L459"/>
      <c r="M459"/>
      <c r="N459"/>
      <c r="O459"/>
      <c r="P459"/>
    </row>
    <row r="460" spans="1:16">
      <c r="A460"/>
      <c r="B460"/>
      <c r="C460"/>
      <c r="D460"/>
      <c r="E460"/>
      <c r="F460"/>
      <c r="G460"/>
      <c r="H460"/>
      <c r="I460"/>
      <c r="J460"/>
      <c r="K460"/>
      <c r="L460"/>
      <c r="M460"/>
      <c r="N460"/>
      <c r="O460"/>
      <c r="P460"/>
    </row>
    <row r="461" spans="1:16">
      <c r="A461"/>
      <c r="B461"/>
      <c r="C461"/>
      <c r="D461"/>
      <c r="E461"/>
      <c r="F461"/>
      <c r="G461"/>
      <c r="H461"/>
      <c r="I461"/>
      <c r="J461"/>
      <c r="K461"/>
      <c r="L461"/>
      <c r="M461"/>
      <c r="N461"/>
      <c r="O461"/>
      <c r="P461"/>
    </row>
    <row r="462" spans="1:16">
      <c r="A462"/>
      <c r="B462"/>
      <c r="C462"/>
      <c r="D462"/>
      <c r="E462"/>
      <c r="F462"/>
      <c r="G462"/>
      <c r="H462"/>
      <c r="I462"/>
      <c r="J462"/>
      <c r="K462"/>
      <c r="L462"/>
      <c r="M462"/>
      <c r="N462"/>
      <c r="O462"/>
      <c r="P462"/>
    </row>
    <row r="463" spans="1:16">
      <c r="A463"/>
      <c r="B463"/>
      <c r="C463"/>
      <c r="D463"/>
      <c r="E463"/>
      <c r="F463"/>
      <c r="G463"/>
      <c r="H463"/>
      <c r="I463"/>
      <c r="J463"/>
      <c r="K463"/>
      <c r="L463"/>
      <c r="M463"/>
      <c r="N463"/>
      <c r="O463"/>
      <c r="P463"/>
    </row>
    <row r="464" spans="1:16">
      <c r="A464"/>
      <c r="B464"/>
      <c r="C464"/>
      <c r="D464"/>
      <c r="E464"/>
      <c r="F464"/>
      <c r="G464"/>
      <c r="H464"/>
      <c r="I464"/>
      <c r="J464"/>
      <c r="K464"/>
      <c r="L464"/>
      <c r="M464"/>
      <c r="N464"/>
      <c r="O464"/>
      <c r="P464"/>
    </row>
    <row r="465" spans="1:16">
      <c r="A465"/>
      <c r="B465"/>
      <c r="C465"/>
      <c r="D465"/>
      <c r="E465"/>
      <c r="F465"/>
      <c r="G465"/>
      <c r="H465"/>
      <c r="I465"/>
      <c r="J465"/>
      <c r="K465"/>
      <c r="L465"/>
      <c r="M465"/>
      <c r="N465"/>
      <c r="O465"/>
      <c r="P465"/>
    </row>
    <row r="466" spans="1:16">
      <c r="A466"/>
      <c r="B466"/>
      <c r="C466"/>
      <c r="D466"/>
      <c r="E466"/>
      <c r="F466"/>
      <c r="G466"/>
      <c r="H466"/>
      <c r="I466"/>
      <c r="J466"/>
      <c r="K466"/>
      <c r="L466"/>
      <c r="M466"/>
      <c r="N466"/>
      <c r="O466"/>
      <c r="P466"/>
    </row>
    <row r="467" spans="1:16">
      <c r="A467"/>
      <c r="B467"/>
      <c r="C467"/>
      <c r="D467"/>
      <c r="E467"/>
      <c r="F467"/>
      <c r="G467"/>
      <c r="H467"/>
      <c r="I467"/>
      <c r="J467"/>
      <c r="K467"/>
      <c r="L467"/>
      <c r="M467"/>
      <c r="N467"/>
      <c r="O467"/>
      <c r="P467"/>
    </row>
    <row r="468" spans="1:16">
      <c r="A468"/>
      <c r="B468"/>
      <c r="C468"/>
      <c r="D468"/>
      <c r="E468"/>
      <c r="F468"/>
      <c r="G468"/>
      <c r="H468"/>
      <c r="I468"/>
      <c r="J468"/>
      <c r="K468"/>
      <c r="L468"/>
      <c r="M468"/>
      <c r="N468"/>
      <c r="O468"/>
      <c r="P468"/>
    </row>
    <row r="469" spans="1:16">
      <c r="A469"/>
      <c r="B469"/>
      <c r="C469"/>
      <c r="D469"/>
      <c r="E469"/>
      <c r="F469"/>
      <c r="G469"/>
      <c r="H469"/>
      <c r="I469"/>
      <c r="J469"/>
      <c r="K469"/>
      <c r="L469"/>
      <c r="M469"/>
      <c r="N469"/>
      <c r="O469"/>
      <c r="P469"/>
    </row>
    <row r="470" spans="1:16">
      <c r="A470"/>
      <c r="B470"/>
      <c r="C470"/>
      <c r="D470"/>
      <c r="E470"/>
      <c r="F470"/>
      <c r="G470"/>
      <c r="H470"/>
      <c r="I470"/>
      <c r="J470"/>
      <c r="K470"/>
      <c r="L470"/>
      <c r="M470"/>
      <c r="N470"/>
      <c r="O470"/>
      <c r="P470"/>
    </row>
    <row r="471" spans="1:16">
      <c r="A471"/>
      <c r="B471"/>
      <c r="C471"/>
      <c r="D471"/>
      <c r="E471"/>
      <c r="F471"/>
      <c r="G471"/>
      <c r="H471"/>
      <c r="I471"/>
      <c r="J471"/>
      <c r="K471"/>
      <c r="L471"/>
      <c r="M471"/>
      <c r="N471"/>
      <c r="O471"/>
      <c r="P471"/>
    </row>
    <row r="472" spans="1:16">
      <c r="A472"/>
      <c r="B472"/>
      <c r="C472"/>
      <c r="D472"/>
      <c r="E472"/>
      <c r="F472"/>
      <c r="G472"/>
      <c r="H472"/>
      <c r="I472"/>
      <c r="J472"/>
      <c r="K472"/>
      <c r="L472"/>
      <c r="M472"/>
      <c r="N472"/>
      <c r="O472"/>
      <c r="P472"/>
    </row>
    <row r="473" spans="1:16">
      <c r="A473"/>
      <c r="B473"/>
      <c r="C473"/>
      <c r="D473"/>
      <c r="E473"/>
      <c r="F473"/>
      <c r="G473"/>
      <c r="H473"/>
      <c r="I473"/>
      <c r="J473"/>
      <c r="K473"/>
      <c r="L473"/>
      <c r="M473"/>
      <c r="N473"/>
      <c r="O473"/>
      <c r="P473"/>
    </row>
    <row r="474" spans="1:16">
      <c r="A474"/>
      <c r="B474"/>
      <c r="C474"/>
      <c r="D474"/>
      <c r="E474"/>
      <c r="F474"/>
      <c r="G474"/>
      <c r="H474"/>
      <c r="I474"/>
      <c r="J474"/>
      <c r="K474"/>
      <c r="L474"/>
      <c r="M474"/>
      <c r="N474"/>
      <c r="O474"/>
      <c r="P474"/>
    </row>
    <row r="475" spans="1:16">
      <c r="A475"/>
      <c r="B475"/>
      <c r="C475"/>
      <c r="D475"/>
      <c r="E475"/>
      <c r="F475"/>
      <c r="G475"/>
      <c r="H475"/>
      <c r="I475"/>
      <c r="J475"/>
      <c r="K475"/>
      <c r="L475"/>
      <c r="M475"/>
      <c r="N475"/>
      <c r="O475"/>
      <c r="P475"/>
    </row>
    <row r="476" spans="1:16">
      <c r="A476"/>
      <c r="B476"/>
      <c r="C476"/>
      <c r="D476"/>
      <c r="E476"/>
      <c r="F476"/>
      <c r="G476"/>
      <c r="H476"/>
      <c r="I476"/>
      <c r="J476"/>
      <c r="K476"/>
      <c r="L476"/>
      <c r="M476"/>
      <c r="N476"/>
      <c r="O476"/>
      <c r="P476"/>
    </row>
    <row r="477" spans="1:16">
      <c r="A477"/>
      <c r="B477"/>
      <c r="C477"/>
      <c r="D477"/>
      <c r="E477"/>
      <c r="F477"/>
      <c r="G477"/>
      <c r="H477"/>
      <c r="I477"/>
      <c r="J477"/>
      <c r="K477"/>
      <c r="L477"/>
      <c r="M477"/>
      <c r="N477"/>
      <c r="O477"/>
      <c r="P477"/>
    </row>
    <row r="478" spans="1:16">
      <c r="A478"/>
      <c r="B478"/>
      <c r="C478"/>
      <c r="D478"/>
      <c r="E478"/>
      <c r="F478"/>
      <c r="G478"/>
      <c r="H478"/>
      <c r="I478"/>
      <c r="J478"/>
      <c r="K478"/>
      <c r="L478"/>
      <c r="M478"/>
      <c r="N478"/>
      <c r="O478"/>
      <c r="P478"/>
    </row>
    <row r="479" spans="1:16">
      <c r="A479"/>
      <c r="B479"/>
      <c r="C479"/>
      <c r="D479"/>
      <c r="E479"/>
      <c r="F479"/>
      <c r="G479"/>
      <c r="H479"/>
      <c r="I479"/>
      <c r="J479"/>
      <c r="K479"/>
      <c r="L479"/>
      <c r="M479"/>
      <c r="N479"/>
      <c r="O479"/>
      <c r="P479"/>
    </row>
    <row r="480" spans="1:16">
      <c r="A480"/>
      <c r="B480"/>
      <c r="C480"/>
      <c r="D480"/>
      <c r="E480"/>
      <c r="F480"/>
      <c r="G480"/>
      <c r="H480"/>
      <c r="I480"/>
      <c r="J480"/>
      <c r="K480"/>
      <c r="L480"/>
      <c r="M480"/>
      <c r="N480"/>
      <c r="O480"/>
      <c r="P480"/>
    </row>
    <row r="481" spans="1:16">
      <c r="A481"/>
      <c r="B481"/>
      <c r="C481"/>
      <c r="D481"/>
      <c r="E481"/>
      <c r="F481"/>
      <c r="G481"/>
      <c r="H481"/>
      <c r="I481"/>
      <c r="J481"/>
      <c r="K481"/>
      <c r="L481"/>
      <c r="M481"/>
      <c r="N481"/>
      <c r="O481"/>
      <c r="P481"/>
    </row>
    <row r="482" spans="1:16">
      <c r="A482"/>
      <c r="B482"/>
      <c r="C482"/>
      <c r="D482"/>
      <c r="E482"/>
      <c r="F482"/>
      <c r="G482"/>
      <c r="H482"/>
      <c r="I482"/>
      <c r="J482"/>
      <c r="K482"/>
      <c r="L482"/>
      <c r="M482"/>
      <c r="N482"/>
      <c r="O482"/>
      <c r="P482"/>
    </row>
    <row r="483" spans="1:16">
      <c r="A483"/>
      <c r="B483"/>
      <c r="C483"/>
      <c r="D483"/>
      <c r="E483"/>
      <c r="F483"/>
      <c r="G483"/>
      <c r="H483"/>
      <c r="I483"/>
      <c r="J483"/>
      <c r="K483"/>
      <c r="L483"/>
      <c r="M483"/>
      <c r="N483"/>
      <c r="O483"/>
      <c r="P483"/>
    </row>
    <row r="484" spans="1:16">
      <c r="A484"/>
      <c r="B484"/>
      <c r="C484"/>
      <c r="D484"/>
      <c r="E484"/>
      <c r="F484"/>
      <c r="G484"/>
      <c r="H484"/>
      <c r="I484"/>
      <c r="J484"/>
      <c r="K484"/>
      <c r="L484"/>
      <c r="M484"/>
      <c r="N484"/>
      <c r="O484"/>
      <c r="P484"/>
    </row>
    <row r="485" spans="1:16">
      <c r="A485"/>
      <c r="B485"/>
      <c r="C485"/>
      <c r="D485"/>
      <c r="E485"/>
      <c r="F485"/>
      <c r="G485"/>
      <c r="H485"/>
      <c r="I485"/>
      <c r="J485"/>
      <c r="K485"/>
      <c r="L485"/>
      <c r="M485"/>
      <c r="N485"/>
      <c r="O485"/>
      <c r="P485"/>
    </row>
    <row r="486" spans="1:16">
      <c r="A486"/>
      <c r="B486"/>
      <c r="C486"/>
      <c r="D486"/>
      <c r="E486"/>
      <c r="F486"/>
      <c r="G486"/>
      <c r="H486"/>
      <c r="I486"/>
      <c r="J486"/>
      <c r="K486"/>
      <c r="L486"/>
      <c r="M486"/>
      <c r="N486"/>
      <c r="O486"/>
      <c r="P486"/>
    </row>
    <row r="487" spans="1:16">
      <c r="A487"/>
      <c r="B487"/>
      <c r="C487"/>
      <c r="D487"/>
      <c r="E487"/>
      <c r="F487"/>
      <c r="G487"/>
      <c r="H487"/>
      <c r="I487"/>
      <c r="J487"/>
      <c r="K487"/>
      <c r="L487"/>
      <c r="M487"/>
      <c r="N487"/>
      <c r="O487"/>
      <c r="P487"/>
    </row>
    <row r="488" spans="1:16">
      <c r="A488"/>
      <c r="B488"/>
      <c r="C488"/>
      <c r="D488"/>
      <c r="E488"/>
      <c r="F488"/>
      <c r="G488"/>
      <c r="H488"/>
      <c r="I488"/>
      <c r="J488"/>
      <c r="K488"/>
      <c r="L488"/>
      <c r="M488"/>
      <c r="N488"/>
      <c r="O488"/>
      <c r="P488"/>
    </row>
    <row r="489" spans="1:16">
      <c r="A489"/>
      <c r="B489"/>
      <c r="C489"/>
      <c r="D489"/>
      <c r="E489"/>
      <c r="F489"/>
      <c r="G489"/>
      <c r="H489"/>
      <c r="I489"/>
      <c r="J489"/>
      <c r="K489"/>
      <c r="L489"/>
      <c r="M489"/>
      <c r="N489"/>
      <c r="O489"/>
      <c r="P489"/>
    </row>
    <row r="490" spans="1:16">
      <c r="A490"/>
      <c r="B490"/>
      <c r="C490"/>
      <c r="D490"/>
      <c r="E490"/>
      <c r="F490"/>
      <c r="G490"/>
      <c r="H490"/>
      <c r="I490"/>
      <c r="J490"/>
      <c r="K490"/>
      <c r="L490"/>
      <c r="M490"/>
      <c r="N490"/>
      <c r="O490"/>
      <c r="P490"/>
    </row>
    <row r="491" spans="1:16">
      <c r="A491"/>
      <c r="B491"/>
      <c r="C491"/>
      <c r="D491"/>
      <c r="E491"/>
      <c r="F491"/>
      <c r="G491"/>
      <c r="H491"/>
      <c r="I491"/>
      <c r="J491"/>
      <c r="K491"/>
      <c r="L491"/>
      <c r="M491"/>
      <c r="N491"/>
      <c r="O491"/>
      <c r="P491"/>
    </row>
    <row r="492" spans="1:16">
      <c r="A492"/>
      <c r="B492"/>
      <c r="C492"/>
      <c r="D492"/>
      <c r="E492"/>
      <c r="F492"/>
      <c r="G492"/>
      <c r="H492"/>
      <c r="I492"/>
      <c r="J492"/>
      <c r="K492"/>
      <c r="L492"/>
      <c r="M492"/>
      <c r="N492"/>
      <c r="O492"/>
      <c r="P492"/>
    </row>
    <row r="493" spans="1:16">
      <c r="A493"/>
      <c r="B493"/>
      <c r="C493"/>
      <c r="D493"/>
      <c r="E493"/>
      <c r="F493"/>
      <c r="G493"/>
      <c r="H493"/>
      <c r="I493"/>
      <c r="J493"/>
      <c r="K493"/>
      <c r="L493"/>
      <c r="M493"/>
      <c r="N493"/>
      <c r="O493"/>
      <c r="P493"/>
    </row>
    <row r="494" spans="1:16">
      <c r="A494"/>
      <c r="B494"/>
      <c r="C494"/>
      <c r="D494"/>
      <c r="E494"/>
      <c r="F494"/>
      <c r="G494"/>
      <c r="H494"/>
      <c r="I494"/>
      <c r="J494"/>
      <c r="K494"/>
      <c r="L494"/>
      <c r="M494"/>
      <c r="N494"/>
      <c r="O494"/>
      <c r="P494"/>
    </row>
    <row r="495" spans="1:16">
      <c r="A495"/>
      <c r="B495"/>
      <c r="C495"/>
      <c r="D495"/>
      <c r="E495"/>
      <c r="F495"/>
      <c r="G495"/>
      <c r="H495"/>
      <c r="I495"/>
      <c r="J495"/>
      <c r="K495"/>
      <c r="L495"/>
      <c r="M495"/>
      <c r="N495"/>
      <c r="O495"/>
      <c r="P495"/>
    </row>
    <row r="496" spans="1:16">
      <c r="A496"/>
      <c r="B496"/>
      <c r="C496"/>
      <c r="D496"/>
      <c r="E496"/>
      <c r="F496"/>
      <c r="G496"/>
      <c r="H496"/>
      <c r="I496"/>
      <c r="J496"/>
      <c r="K496"/>
      <c r="L496"/>
      <c r="M496"/>
      <c r="N496"/>
      <c r="O496"/>
      <c r="P496"/>
    </row>
    <row r="497" spans="1:16">
      <c r="A497"/>
      <c r="B497"/>
      <c r="C497"/>
      <c r="D497"/>
      <c r="E497"/>
      <c r="F497"/>
      <c r="G497"/>
      <c r="H497"/>
      <c r="I497"/>
      <c r="J497"/>
      <c r="K497"/>
      <c r="L497"/>
      <c r="M497"/>
      <c r="N497"/>
      <c r="O497"/>
      <c r="P497"/>
    </row>
    <row r="498" spans="1:16">
      <c r="A498"/>
      <c r="B498"/>
      <c r="C498"/>
      <c r="D498"/>
      <c r="E498"/>
      <c r="F498"/>
      <c r="G498"/>
      <c r="H498"/>
      <c r="I498"/>
      <c r="J498"/>
      <c r="K498"/>
      <c r="L498"/>
      <c r="M498"/>
      <c r="N498"/>
      <c r="O498"/>
      <c r="P498"/>
    </row>
    <row r="499" spans="1:16">
      <c r="A499"/>
      <c r="B499"/>
      <c r="C499"/>
      <c r="D499"/>
      <c r="E499"/>
      <c r="F499"/>
      <c r="G499"/>
      <c r="H499"/>
      <c r="I499"/>
      <c r="J499"/>
      <c r="K499"/>
      <c r="L499"/>
      <c r="M499"/>
      <c r="N499"/>
      <c r="O499"/>
      <c r="P499"/>
    </row>
    <row r="500" spans="1:16">
      <c r="A500"/>
      <c r="B500"/>
      <c r="C500"/>
      <c r="D500"/>
      <c r="E500"/>
      <c r="F500"/>
      <c r="G500"/>
      <c r="H500"/>
      <c r="I500"/>
      <c r="J500"/>
      <c r="K500"/>
      <c r="L500"/>
      <c r="M500"/>
      <c r="N500"/>
      <c r="O500"/>
      <c r="P500"/>
    </row>
    <row r="501" spans="1:16">
      <c r="A501"/>
      <c r="B501"/>
      <c r="C501"/>
      <c r="D501"/>
      <c r="E501"/>
      <c r="F501"/>
      <c r="G501"/>
      <c r="H501"/>
      <c r="I501"/>
      <c r="J501"/>
      <c r="K501"/>
      <c r="L501"/>
      <c r="M501"/>
      <c r="N501"/>
      <c r="O501"/>
      <c r="P501"/>
    </row>
    <row r="502" spans="1:16">
      <c r="A502"/>
      <c r="B502"/>
      <c r="C502"/>
      <c r="D502"/>
      <c r="E502"/>
      <c r="F502"/>
      <c r="G502"/>
      <c r="H502"/>
      <c r="I502"/>
      <c r="J502"/>
      <c r="K502"/>
      <c r="L502"/>
      <c r="M502"/>
      <c r="N502"/>
      <c r="O502"/>
      <c r="P502"/>
    </row>
    <row r="503" spans="1:16">
      <c r="A503"/>
      <c r="B503"/>
      <c r="C503"/>
      <c r="D503"/>
      <c r="E503"/>
      <c r="F503"/>
      <c r="G503"/>
      <c r="H503"/>
      <c r="I503"/>
      <c r="J503"/>
      <c r="K503"/>
      <c r="L503"/>
      <c r="M503"/>
      <c r="N503"/>
      <c r="O503"/>
      <c r="P503"/>
    </row>
    <row r="504" spans="1:16">
      <c r="A504"/>
      <c r="B504"/>
      <c r="C504"/>
      <c r="D504"/>
      <c r="E504"/>
      <c r="F504"/>
      <c r="G504"/>
      <c r="H504"/>
      <c r="I504"/>
      <c r="J504"/>
      <c r="K504"/>
      <c r="L504"/>
      <c r="M504"/>
      <c r="N504"/>
      <c r="O504"/>
      <c r="P504"/>
    </row>
    <row r="505" spans="1:16">
      <c r="A505"/>
      <c r="B505"/>
      <c r="C505"/>
      <c r="D505"/>
      <c r="E505"/>
      <c r="F505"/>
      <c r="G505"/>
      <c r="H505"/>
      <c r="I505"/>
      <c r="J505"/>
      <c r="K505"/>
      <c r="L505"/>
      <c r="M505"/>
      <c r="N505"/>
      <c r="O505"/>
      <c r="P505"/>
    </row>
    <row r="506" spans="1:16">
      <c r="A506"/>
      <c r="B506"/>
      <c r="C506"/>
      <c r="D506"/>
      <c r="E506"/>
      <c r="F506"/>
      <c r="G506"/>
      <c r="H506"/>
      <c r="I506"/>
      <c r="J506"/>
      <c r="K506"/>
      <c r="L506"/>
      <c r="M506"/>
      <c r="N506"/>
      <c r="O506"/>
      <c r="P506"/>
    </row>
    <row r="507" spans="1:16">
      <c r="A507"/>
      <c r="B507"/>
      <c r="C507"/>
      <c r="D507"/>
      <c r="E507"/>
      <c r="F507"/>
      <c r="G507"/>
      <c r="H507"/>
      <c r="I507"/>
      <c r="J507"/>
      <c r="K507"/>
      <c r="L507"/>
      <c r="M507"/>
      <c r="N507"/>
      <c r="O507"/>
      <c r="P507"/>
    </row>
    <row r="508" spans="1:16">
      <c r="A508"/>
      <c r="B508"/>
      <c r="C508"/>
      <c r="D508"/>
      <c r="E508"/>
      <c r="F508"/>
      <c r="G508"/>
      <c r="H508"/>
      <c r="I508"/>
      <c r="J508"/>
      <c r="K508"/>
      <c r="L508"/>
      <c r="M508"/>
      <c r="N508"/>
      <c r="O508"/>
      <c r="P508"/>
    </row>
    <row r="509" spans="1:16">
      <c r="A509"/>
      <c r="B509"/>
      <c r="C509"/>
      <c r="D509"/>
      <c r="E509"/>
      <c r="F509"/>
      <c r="G509"/>
      <c r="H509"/>
      <c r="I509"/>
      <c r="J509"/>
      <c r="K509"/>
      <c r="L509"/>
      <c r="M509"/>
      <c r="N509"/>
      <c r="O509"/>
      <c r="P509"/>
    </row>
    <row r="510" spans="1:16">
      <c r="A510"/>
      <c r="B510"/>
      <c r="C510"/>
      <c r="D510"/>
      <c r="E510"/>
      <c r="F510"/>
      <c r="G510"/>
      <c r="H510"/>
      <c r="I510"/>
      <c r="J510"/>
      <c r="K510"/>
      <c r="L510"/>
      <c r="M510"/>
      <c r="N510"/>
      <c r="O510"/>
      <c r="P510"/>
    </row>
    <row r="511" spans="1:16">
      <c r="A511"/>
      <c r="B511"/>
      <c r="C511"/>
      <c r="D511"/>
      <c r="E511"/>
      <c r="F511"/>
      <c r="G511"/>
      <c r="H511"/>
      <c r="I511"/>
      <c r="J511"/>
      <c r="K511"/>
      <c r="L511"/>
      <c r="M511"/>
      <c r="N511"/>
      <c r="O511"/>
      <c r="P511"/>
    </row>
    <row r="512" spans="1:16">
      <c r="A512"/>
      <c r="B512"/>
      <c r="C512"/>
      <c r="D512"/>
      <c r="E512"/>
      <c r="F512"/>
      <c r="G512"/>
      <c r="H512"/>
      <c r="I512"/>
      <c r="J512"/>
      <c r="K512"/>
      <c r="L512"/>
      <c r="M512"/>
      <c r="N512"/>
      <c r="O512"/>
      <c r="P512"/>
    </row>
    <row r="513" spans="1:16">
      <c r="A513"/>
      <c r="B513"/>
      <c r="C513"/>
      <c r="D513"/>
      <c r="E513"/>
      <c r="F513"/>
      <c r="G513"/>
      <c r="H513"/>
      <c r="I513"/>
      <c r="J513"/>
      <c r="K513"/>
      <c r="L513"/>
      <c r="M513"/>
      <c r="N513"/>
      <c r="O513"/>
      <c r="P513"/>
    </row>
    <row r="514" spans="1:16">
      <c r="A514"/>
      <c r="B514"/>
      <c r="C514"/>
      <c r="D514"/>
      <c r="E514"/>
      <c r="F514"/>
      <c r="G514"/>
      <c r="H514"/>
      <c r="I514"/>
      <c r="J514"/>
      <c r="K514"/>
      <c r="L514"/>
      <c r="M514"/>
      <c r="N514"/>
      <c r="O514"/>
      <c r="P514"/>
    </row>
    <row r="515" spans="1:16">
      <c r="A515"/>
      <c r="B515"/>
      <c r="C515"/>
      <c r="D515"/>
      <c r="E515"/>
      <c r="F515"/>
      <c r="G515"/>
      <c r="H515"/>
      <c r="I515"/>
      <c r="J515"/>
      <c r="K515"/>
      <c r="L515"/>
      <c r="M515"/>
      <c r="N515"/>
      <c r="O515"/>
      <c r="P515"/>
    </row>
    <row r="516" spans="1:16">
      <c r="A516"/>
      <c r="B516"/>
      <c r="C516"/>
      <c r="D516"/>
      <c r="E516"/>
      <c r="F516"/>
      <c r="G516"/>
      <c r="H516"/>
      <c r="I516"/>
      <c r="J516"/>
      <c r="K516"/>
      <c r="L516"/>
      <c r="M516"/>
      <c r="N516"/>
      <c r="O516"/>
      <c r="P516"/>
    </row>
    <row r="517" spans="1:16">
      <c r="A517"/>
      <c r="B517"/>
      <c r="C517"/>
      <c r="D517"/>
      <c r="E517"/>
      <c r="F517"/>
      <c r="G517"/>
      <c r="H517"/>
      <c r="I517"/>
      <c r="J517"/>
      <c r="K517"/>
      <c r="L517"/>
      <c r="M517"/>
      <c r="N517"/>
      <c r="O517"/>
      <c r="P517"/>
    </row>
    <row r="518" spans="1:16">
      <c r="A518"/>
      <c r="B518"/>
      <c r="C518"/>
      <c r="D518"/>
      <c r="E518"/>
      <c r="F518"/>
      <c r="G518"/>
      <c r="H518"/>
      <c r="I518"/>
      <c r="J518"/>
      <c r="K518"/>
      <c r="L518"/>
      <c r="M518"/>
      <c r="N518"/>
      <c r="O518"/>
      <c r="P518"/>
    </row>
    <row r="519" spans="1:16">
      <c r="A519"/>
      <c r="B519"/>
      <c r="C519"/>
      <c r="D519"/>
      <c r="E519"/>
      <c r="F519"/>
      <c r="G519"/>
      <c r="H519"/>
      <c r="I519"/>
      <c r="J519"/>
      <c r="K519"/>
      <c r="L519"/>
      <c r="M519"/>
      <c r="N519"/>
      <c r="O519"/>
      <c r="P519"/>
    </row>
    <row r="520" spans="1:16">
      <c r="A520"/>
      <c r="B520"/>
      <c r="C520"/>
      <c r="D520"/>
      <c r="E520"/>
      <c r="F520"/>
      <c r="G520"/>
      <c r="H520"/>
      <c r="I520"/>
      <c r="J520"/>
      <c r="K520"/>
      <c r="L520"/>
      <c r="M520"/>
      <c r="N520"/>
      <c r="O520"/>
      <c r="P520"/>
    </row>
    <row r="521" spans="1:16">
      <c r="A521"/>
      <c r="B521"/>
      <c r="C521"/>
      <c r="D521"/>
      <c r="E521"/>
      <c r="F521"/>
      <c r="G521"/>
      <c r="H521"/>
      <c r="I521"/>
      <c r="J521"/>
      <c r="K521"/>
      <c r="L521"/>
      <c r="M521"/>
      <c r="N521"/>
      <c r="O521"/>
      <c r="P521"/>
    </row>
    <row r="522" spans="1:16">
      <c r="A522"/>
      <c r="B522"/>
      <c r="C522"/>
      <c r="D522"/>
      <c r="E522"/>
      <c r="F522"/>
      <c r="G522"/>
      <c r="H522"/>
      <c r="I522"/>
      <c r="J522"/>
      <c r="K522"/>
      <c r="L522"/>
      <c r="M522"/>
      <c r="N522"/>
      <c r="O522"/>
      <c r="P522"/>
    </row>
    <row r="523" spans="1:16">
      <c r="A523"/>
      <c r="B523"/>
      <c r="C523"/>
      <c r="D523"/>
      <c r="E523"/>
      <c r="F523"/>
      <c r="G523"/>
      <c r="H523"/>
      <c r="I523"/>
      <c r="J523"/>
      <c r="K523"/>
      <c r="L523"/>
      <c r="M523"/>
      <c r="N523"/>
      <c r="O523"/>
      <c r="P523"/>
    </row>
    <row r="524" spans="1:16">
      <c r="A524"/>
      <c r="B524"/>
      <c r="C524"/>
      <c r="D524"/>
      <c r="E524"/>
      <c r="F524"/>
      <c r="G524"/>
      <c r="H524"/>
      <c r="I524"/>
      <c r="J524"/>
      <c r="K524"/>
      <c r="L524"/>
      <c r="M524"/>
      <c r="N524"/>
      <c r="O524"/>
      <c r="P524"/>
    </row>
    <row r="525" spans="1:16">
      <c r="A525"/>
      <c r="B525"/>
      <c r="C525"/>
      <c r="D525"/>
      <c r="E525"/>
      <c r="F525"/>
      <c r="G525"/>
      <c r="H525"/>
      <c r="I525"/>
      <c r="J525"/>
      <c r="K525"/>
      <c r="L525"/>
      <c r="M525"/>
      <c r="N525"/>
      <c r="O525"/>
      <c r="P525"/>
    </row>
    <row r="526" spans="1:16">
      <c r="A526"/>
      <c r="B526"/>
      <c r="C526"/>
      <c r="D526"/>
      <c r="E526"/>
      <c r="F526"/>
      <c r="G526"/>
      <c r="H526"/>
      <c r="I526"/>
      <c r="J526"/>
      <c r="K526"/>
      <c r="L526"/>
      <c r="M526"/>
      <c r="N526"/>
      <c r="O526"/>
      <c r="P526"/>
    </row>
    <row r="527" spans="1:16">
      <c r="A527"/>
      <c r="B527"/>
      <c r="C527"/>
      <c r="D527"/>
      <c r="E527"/>
      <c r="F527"/>
      <c r="G527"/>
      <c r="H527"/>
      <c r="I527"/>
      <c r="J527"/>
      <c r="K527"/>
      <c r="L527"/>
      <c r="M527"/>
      <c r="N527"/>
      <c r="O527"/>
      <c r="P527"/>
    </row>
    <row r="528" spans="1:16">
      <c r="A528"/>
      <c r="B528"/>
      <c r="C528"/>
      <c r="D528"/>
      <c r="E528"/>
      <c r="F528"/>
      <c r="G528"/>
      <c r="H528"/>
      <c r="I528"/>
      <c r="J528"/>
      <c r="K528"/>
      <c r="L528"/>
      <c r="M528"/>
      <c r="N528"/>
      <c r="O528"/>
      <c r="P528"/>
    </row>
    <row r="529" spans="1:16">
      <c r="A529"/>
      <c r="B529"/>
      <c r="C529"/>
      <c r="D529"/>
      <c r="E529"/>
      <c r="F529"/>
      <c r="G529"/>
      <c r="H529"/>
      <c r="I529"/>
      <c r="J529"/>
      <c r="K529"/>
      <c r="L529"/>
      <c r="M529"/>
      <c r="N529"/>
      <c r="O529"/>
      <c r="P529"/>
    </row>
    <row r="530" spans="1:16">
      <c r="A530"/>
      <c r="B530"/>
      <c r="C530"/>
      <c r="D530"/>
      <c r="E530"/>
      <c r="F530"/>
      <c r="G530"/>
      <c r="H530"/>
      <c r="I530"/>
      <c r="J530"/>
      <c r="K530"/>
      <c r="L530"/>
      <c r="M530"/>
      <c r="N530"/>
      <c r="O530"/>
      <c r="P530"/>
    </row>
    <row r="531" spans="1:16">
      <c r="A531"/>
      <c r="B531"/>
      <c r="C531"/>
      <c r="D531"/>
      <c r="E531"/>
      <c r="F531"/>
      <c r="G531"/>
      <c r="H531"/>
      <c r="I531"/>
      <c r="J531"/>
      <c r="K531"/>
      <c r="L531"/>
      <c r="M531"/>
      <c r="N531"/>
      <c r="O531"/>
      <c r="P531"/>
    </row>
    <row r="532" spans="1:16">
      <c r="A532"/>
      <c r="B532"/>
      <c r="C532"/>
      <c r="D532"/>
      <c r="E532"/>
      <c r="F532"/>
      <c r="G532"/>
      <c r="H532"/>
      <c r="I532"/>
      <c r="J532"/>
      <c r="K532"/>
      <c r="L532"/>
      <c r="M532"/>
      <c r="N532"/>
      <c r="O532"/>
      <c r="P532"/>
    </row>
    <row r="533" spans="1:16">
      <c r="A533"/>
      <c r="B533"/>
      <c r="C533"/>
      <c r="D533"/>
      <c r="E533"/>
      <c r="F533"/>
      <c r="G533"/>
      <c r="H533"/>
      <c r="I533"/>
      <c r="J533"/>
      <c r="K533"/>
      <c r="L533"/>
      <c r="M533"/>
      <c r="N533"/>
      <c r="O533"/>
      <c r="P533"/>
    </row>
    <row r="534" spans="1:16">
      <c r="A534"/>
      <c r="B534"/>
      <c r="C534"/>
      <c r="D534"/>
      <c r="E534"/>
      <c r="F534"/>
      <c r="G534"/>
      <c r="H534"/>
      <c r="I534"/>
      <c r="J534"/>
      <c r="K534"/>
      <c r="L534"/>
      <c r="M534"/>
      <c r="N534"/>
      <c r="O534"/>
      <c r="P534"/>
    </row>
    <row r="535" spans="1:16">
      <c r="A535"/>
      <c r="B535"/>
      <c r="C535"/>
      <c r="D535"/>
      <c r="E535"/>
      <c r="F535"/>
      <c r="G535"/>
      <c r="H535"/>
      <c r="I535"/>
      <c r="J535"/>
      <c r="K535"/>
      <c r="L535"/>
      <c r="M535"/>
      <c r="N535"/>
      <c r="O535"/>
      <c r="P535"/>
    </row>
    <row r="536" spans="1:16">
      <c r="A536"/>
      <c r="B536"/>
      <c r="C536"/>
      <c r="D536"/>
      <c r="E536"/>
      <c r="F536"/>
      <c r="G536"/>
      <c r="H536"/>
      <c r="I536"/>
      <c r="J536"/>
      <c r="K536"/>
      <c r="L536"/>
      <c r="M536"/>
      <c r="N536"/>
      <c r="O536"/>
      <c r="P536"/>
    </row>
    <row r="537" spans="1:16">
      <c r="A537"/>
      <c r="B537"/>
      <c r="C537"/>
      <c r="D537"/>
      <c r="E537"/>
      <c r="F537"/>
      <c r="G537"/>
      <c r="H537"/>
      <c r="I537"/>
      <c r="J537"/>
      <c r="K537"/>
      <c r="L537"/>
      <c r="M537"/>
      <c r="N537"/>
      <c r="O537"/>
      <c r="P537"/>
    </row>
    <row r="538" spans="1:16">
      <c r="A538"/>
      <c r="B538"/>
      <c r="C538"/>
      <c r="D538"/>
      <c r="E538"/>
      <c r="F538"/>
      <c r="G538"/>
      <c r="H538"/>
      <c r="I538"/>
      <c r="J538"/>
      <c r="K538"/>
      <c r="L538"/>
      <c r="M538"/>
      <c r="N538"/>
      <c r="O538"/>
      <c r="P538"/>
    </row>
    <row r="539" spans="1:16">
      <c r="A539"/>
      <c r="B539"/>
      <c r="C539"/>
      <c r="D539"/>
      <c r="E539"/>
      <c r="F539"/>
      <c r="G539"/>
      <c r="H539"/>
      <c r="I539"/>
      <c r="J539"/>
      <c r="K539"/>
      <c r="L539"/>
      <c r="M539"/>
      <c r="N539"/>
      <c r="O539"/>
      <c r="P539"/>
    </row>
    <row r="540" spans="1:16">
      <c r="A540"/>
      <c r="B540"/>
      <c r="C540"/>
      <c r="D540"/>
      <c r="E540"/>
      <c r="F540"/>
      <c r="G540"/>
      <c r="H540"/>
      <c r="I540"/>
      <c r="J540"/>
      <c r="K540"/>
      <c r="L540"/>
      <c r="M540"/>
      <c r="N540"/>
      <c r="O540"/>
      <c r="P540"/>
    </row>
    <row r="541" spans="1:16">
      <c r="A541"/>
      <c r="B541"/>
      <c r="C541"/>
      <c r="D541"/>
      <c r="E541"/>
      <c r="F541"/>
      <c r="G541"/>
      <c r="H541"/>
      <c r="I541"/>
      <c r="J541"/>
      <c r="K541"/>
      <c r="L541"/>
      <c r="M541"/>
      <c r="N541"/>
      <c r="O541"/>
      <c r="P541"/>
    </row>
    <row r="542" spans="1:16">
      <c r="A542"/>
      <c r="B542"/>
      <c r="C542"/>
      <c r="D542"/>
      <c r="E542"/>
      <c r="F542"/>
      <c r="G542"/>
      <c r="H542"/>
      <c r="I542"/>
      <c r="J542"/>
      <c r="K542"/>
      <c r="L542"/>
      <c r="M542"/>
      <c r="N542"/>
      <c r="O542"/>
      <c r="P542"/>
    </row>
    <row r="543" spans="1:16">
      <c r="A543"/>
      <c r="B543"/>
      <c r="C543"/>
      <c r="D543"/>
      <c r="E543"/>
      <c r="F543"/>
      <c r="G543"/>
      <c r="H543"/>
      <c r="I543"/>
      <c r="J543"/>
      <c r="K543"/>
      <c r="L543"/>
      <c r="M543"/>
      <c r="N543"/>
      <c r="O543"/>
      <c r="P543"/>
    </row>
    <row r="544" spans="1:16">
      <c r="A544"/>
      <c r="B544"/>
      <c r="C544"/>
      <c r="D544"/>
      <c r="E544"/>
      <c r="F544"/>
      <c r="G544"/>
      <c r="H544"/>
      <c r="I544"/>
      <c r="J544"/>
      <c r="K544"/>
      <c r="L544"/>
      <c r="M544"/>
      <c r="N544"/>
      <c r="O544"/>
      <c r="P544"/>
    </row>
    <row r="545" spans="1:16">
      <c r="A545"/>
      <c r="B545"/>
      <c r="C545"/>
      <c r="D545"/>
      <c r="E545"/>
      <c r="F545"/>
      <c r="G545"/>
      <c r="H545"/>
      <c r="I545"/>
      <c r="J545"/>
      <c r="K545"/>
      <c r="L545"/>
      <c r="M545"/>
      <c r="N545"/>
      <c r="O545"/>
      <c r="P545"/>
    </row>
    <row r="546" spans="1:16">
      <c r="A546"/>
      <c r="B546"/>
      <c r="C546"/>
      <c r="D546"/>
      <c r="E546"/>
      <c r="F546"/>
      <c r="G546"/>
      <c r="H546"/>
      <c r="I546"/>
      <c r="J546"/>
      <c r="K546"/>
      <c r="L546"/>
      <c r="M546"/>
      <c r="N546"/>
      <c r="O546"/>
      <c r="P546"/>
    </row>
    <row r="547" spans="1:16">
      <c r="A547"/>
      <c r="B547"/>
      <c r="C547"/>
      <c r="D547"/>
      <c r="E547"/>
      <c r="F547"/>
      <c r="G547"/>
      <c r="H547"/>
      <c r="I547"/>
      <c r="J547"/>
      <c r="K547"/>
      <c r="L547"/>
      <c r="M547"/>
      <c r="N547"/>
      <c r="O547"/>
      <c r="P547"/>
    </row>
    <row r="548" spans="1:16">
      <c r="A548"/>
      <c r="B548"/>
      <c r="C548"/>
      <c r="D548"/>
      <c r="E548"/>
      <c r="F548"/>
      <c r="G548"/>
      <c r="H548"/>
      <c r="I548"/>
      <c r="J548"/>
      <c r="K548"/>
      <c r="L548"/>
      <c r="M548"/>
      <c r="N548"/>
      <c r="O548"/>
      <c r="P548"/>
    </row>
    <row r="549" spans="1:16">
      <c r="A549"/>
      <c r="B549"/>
      <c r="C549"/>
      <c r="D549"/>
      <c r="E549"/>
      <c r="F549"/>
      <c r="G549"/>
      <c r="H549"/>
      <c r="I549"/>
      <c r="J549"/>
      <c r="K549"/>
      <c r="L549"/>
      <c r="M549"/>
      <c r="N549"/>
      <c r="O549"/>
      <c r="P549"/>
    </row>
    <row r="550" spans="1:16">
      <c r="A550"/>
      <c r="B550"/>
      <c r="C550"/>
      <c r="D550"/>
      <c r="E550"/>
      <c r="F550"/>
      <c r="G550"/>
      <c r="H550"/>
      <c r="I550"/>
      <c r="J550"/>
      <c r="K550"/>
      <c r="L550"/>
      <c r="M550"/>
      <c r="N550"/>
      <c r="O550"/>
      <c r="P550"/>
    </row>
    <row r="551" spans="1:16">
      <c r="A551"/>
      <c r="B551"/>
      <c r="C551"/>
      <c r="D551"/>
      <c r="E551"/>
      <c r="F551"/>
      <c r="G551"/>
      <c r="H551"/>
      <c r="I551"/>
      <c r="J551"/>
      <c r="K551"/>
      <c r="L551"/>
      <c r="M551"/>
      <c r="N551"/>
      <c r="O551"/>
      <c r="P551"/>
    </row>
    <row r="552" spans="1:16">
      <c r="A552"/>
      <c r="B552"/>
      <c r="C552"/>
      <c r="D552"/>
      <c r="E552"/>
      <c r="F552"/>
      <c r="G552"/>
      <c r="H552"/>
      <c r="I552"/>
      <c r="J552"/>
      <c r="K552"/>
      <c r="L552"/>
      <c r="M552"/>
      <c r="N552"/>
      <c r="O552"/>
      <c r="P552"/>
    </row>
    <row r="553" spans="1:16">
      <c r="A553"/>
      <c r="B553"/>
      <c r="C553"/>
      <c r="D553"/>
      <c r="E553"/>
      <c r="F553"/>
      <c r="G553"/>
      <c r="H553"/>
      <c r="I553"/>
      <c r="J553"/>
      <c r="K553"/>
      <c r="L553"/>
      <c r="M553"/>
      <c r="N553"/>
      <c r="O553"/>
      <c r="P553"/>
    </row>
    <row r="554" spans="1:16">
      <c r="A554"/>
      <c r="B554"/>
      <c r="C554"/>
      <c r="D554"/>
      <c r="E554"/>
      <c r="F554"/>
      <c r="G554"/>
      <c r="H554"/>
      <c r="I554"/>
      <c r="J554"/>
      <c r="K554"/>
      <c r="L554"/>
      <c r="M554"/>
      <c r="N554"/>
      <c r="O554"/>
      <c r="P554"/>
    </row>
    <row r="555" spans="1:16">
      <c r="A555"/>
      <c r="B555"/>
      <c r="C555"/>
      <c r="D555"/>
      <c r="E555"/>
      <c r="F555"/>
      <c r="G555"/>
      <c r="H555"/>
      <c r="I555"/>
      <c r="J555"/>
      <c r="K555"/>
      <c r="L555"/>
      <c r="M555"/>
      <c r="N555"/>
      <c r="O555"/>
      <c r="P555"/>
    </row>
    <row r="556" spans="1:16">
      <c r="A556"/>
      <c r="B556"/>
      <c r="C556"/>
      <c r="D556"/>
      <c r="E556"/>
      <c r="F556"/>
      <c r="G556"/>
      <c r="H556"/>
      <c r="I556"/>
      <c r="J556"/>
      <c r="K556"/>
      <c r="L556"/>
      <c r="M556"/>
      <c r="N556"/>
      <c r="O556"/>
      <c r="P556"/>
    </row>
    <row r="557" spans="1:16">
      <c r="A557"/>
      <c r="B557"/>
      <c r="C557"/>
      <c r="D557"/>
      <c r="E557"/>
      <c r="F557"/>
      <c r="G557"/>
      <c r="H557"/>
      <c r="I557"/>
      <c r="J557"/>
      <c r="K557"/>
      <c r="L557"/>
      <c r="M557"/>
      <c r="N557"/>
      <c r="O557"/>
      <c r="P557"/>
    </row>
    <row r="558" spans="1:16">
      <c r="A558"/>
      <c r="B558"/>
      <c r="C558"/>
      <c r="D558"/>
      <c r="E558"/>
      <c r="F558"/>
      <c r="G558"/>
      <c r="H558"/>
      <c r="I558"/>
      <c r="J558"/>
      <c r="K558"/>
      <c r="L558"/>
      <c r="M558"/>
      <c r="N558"/>
      <c r="O558"/>
      <c r="P558"/>
    </row>
    <row r="559" spans="1:16">
      <c r="A559"/>
      <c r="B559"/>
      <c r="C559"/>
      <c r="D559"/>
      <c r="E559"/>
      <c r="F559"/>
      <c r="G559"/>
      <c r="H559"/>
      <c r="I559"/>
      <c r="J559"/>
      <c r="K559"/>
      <c r="L559"/>
      <c r="M559"/>
      <c r="N559"/>
      <c r="O559"/>
      <c r="P559"/>
    </row>
    <row r="560" spans="1:16">
      <c r="A560"/>
      <c r="B560"/>
      <c r="C560"/>
      <c r="D560"/>
      <c r="E560"/>
      <c r="F560"/>
      <c r="G560"/>
      <c r="H560"/>
      <c r="I560"/>
      <c r="J560"/>
      <c r="K560"/>
      <c r="L560"/>
      <c r="M560"/>
      <c r="N560"/>
      <c r="O560"/>
      <c r="P560"/>
    </row>
    <row r="561" spans="1:16">
      <c r="A561"/>
      <c r="B561"/>
      <c r="C561"/>
      <c r="D561"/>
      <c r="E561"/>
      <c r="F561"/>
      <c r="G561"/>
      <c r="H561"/>
      <c r="I561"/>
      <c r="J561"/>
      <c r="K561"/>
      <c r="L561"/>
      <c r="M561"/>
      <c r="N561"/>
      <c r="O561"/>
      <c r="P561"/>
    </row>
    <row r="562" spans="1:16">
      <c r="A562"/>
      <c r="B562"/>
      <c r="C562"/>
      <c r="D562"/>
      <c r="E562"/>
      <c r="F562"/>
      <c r="G562"/>
      <c r="H562"/>
      <c r="I562"/>
      <c r="J562"/>
      <c r="K562"/>
      <c r="L562"/>
      <c r="M562"/>
      <c r="N562"/>
      <c r="O562"/>
      <c r="P562"/>
    </row>
    <row r="563" spans="1:16">
      <c r="A563"/>
      <c r="B563"/>
      <c r="C563"/>
      <c r="D563"/>
      <c r="E563"/>
      <c r="F563"/>
      <c r="G563"/>
      <c r="H563"/>
      <c r="I563"/>
      <c r="J563"/>
      <c r="K563"/>
      <c r="L563"/>
      <c r="M563"/>
      <c r="N563"/>
      <c r="O563"/>
      <c r="P563"/>
    </row>
    <row r="564" spans="1:16">
      <c r="A564"/>
      <c r="B564"/>
      <c r="C564"/>
      <c r="D564"/>
      <c r="E564"/>
      <c r="F564"/>
      <c r="G564"/>
      <c r="H564"/>
      <c r="I564"/>
      <c r="J564"/>
      <c r="K564"/>
      <c r="L564"/>
      <c r="M564"/>
      <c r="N564"/>
      <c r="O564"/>
      <c r="P564"/>
    </row>
    <row r="565" spans="1:16">
      <c r="A565"/>
      <c r="B565"/>
      <c r="C565"/>
      <c r="D565"/>
      <c r="E565"/>
      <c r="F565"/>
      <c r="G565"/>
      <c r="H565"/>
      <c r="I565"/>
      <c r="J565"/>
      <c r="K565"/>
      <c r="L565"/>
      <c r="M565"/>
      <c r="N565"/>
      <c r="O565"/>
      <c r="P565"/>
    </row>
    <row r="566" spans="1:16">
      <c r="A566"/>
      <c r="B566"/>
      <c r="C566"/>
      <c r="D566"/>
      <c r="E566"/>
      <c r="F566"/>
      <c r="G566"/>
      <c r="H566"/>
      <c r="I566"/>
      <c r="J566"/>
      <c r="K566"/>
      <c r="L566"/>
      <c r="M566"/>
      <c r="N566"/>
      <c r="O566"/>
      <c r="P566"/>
    </row>
    <row r="567" spans="1:16">
      <c r="A567"/>
      <c r="B567"/>
      <c r="C567"/>
      <c r="D567"/>
      <c r="E567"/>
      <c r="F567"/>
      <c r="G567"/>
      <c r="H567"/>
      <c r="I567"/>
      <c r="J567"/>
      <c r="K567"/>
      <c r="L567"/>
      <c r="M567"/>
      <c r="N567"/>
      <c r="O567"/>
      <c r="P567"/>
    </row>
    <row r="568" spans="1:16">
      <c r="A568"/>
      <c r="B568"/>
      <c r="C568"/>
      <c r="D568"/>
      <c r="E568"/>
      <c r="F568"/>
      <c r="G568"/>
      <c r="H568"/>
      <c r="I568"/>
      <c r="J568"/>
      <c r="K568"/>
      <c r="L568"/>
      <c r="M568"/>
      <c r="N568"/>
      <c r="O568"/>
      <c r="P568"/>
    </row>
    <row r="569" spans="1:16">
      <c r="A569"/>
      <c r="B569"/>
      <c r="C569"/>
      <c r="D569"/>
      <c r="E569"/>
      <c r="F569"/>
      <c r="G569"/>
      <c r="H569"/>
      <c r="I569"/>
      <c r="J569"/>
      <c r="K569"/>
      <c r="L569"/>
      <c r="M569"/>
      <c r="N569"/>
      <c r="O569"/>
      <c r="P569"/>
    </row>
    <row r="570" spans="1:16">
      <c r="A570"/>
      <c r="B570"/>
      <c r="C570"/>
      <c r="D570"/>
      <c r="E570"/>
      <c r="F570"/>
      <c r="G570"/>
      <c r="H570"/>
      <c r="I570"/>
      <c r="J570"/>
      <c r="K570"/>
      <c r="L570"/>
      <c r="M570"/>
      <c r="N570"/>
      <c r="O570"/>
      <c r="P570"/>
    </row>
    <row r="571" spans="1:16">
      <c r="A571"/>
      <c r="B571"/>
      <c r="C571"/>
      <c r="D571"/>
      <c r="E571"/>
      <c r="F571"/>
      <c r="G571"/>
      <c r="H571"/>
      <c r="I571"/>
      <c r="J571"/>
      <c r="K571"/>
      <c r="L571"/>
      <c r="M571"/>
      <c r="N571"/>
      <c r="O571"/>
      <c r="P571"/>
    </row>
    <row r="572" spans="1:16">
      <c r="A572"/>
      <c r="B572"/>
      <c r="C572"/>
      <c r="D572"/>
      <c r="E572"/>
      <c r="F572"/>
      <c r="G572"/>
      <c r="H572"/>
      <c r="I572"/>
      <c r="J572"/>
      <c r="K572"/>
      <c r="L572"/>
      <c r="M572"/>
      <c r="N572"/>
      <c r="O572"/>
      <c r="P572"/>
    </row>
    <row r="573" spans="1:16">
      <c r="A573"/>
      <c r="B573"/>
      <c r="C573"/>
      <c r="D573"/>
      <c r="E573"/>
      <c r="F573"/>
      <c r="G573"/>
      <c r="H573"/>
      <c r="I573"/>
      <c r="J573"/>
      <c r="K573"/>
      <c r="L573"/>
      <c r="M573"/>
      <c r="N573"/>
      <c r="O573"/>
      <c r="P573"/>
    </row>
    <row r="574" spans="1:16">
      <c r="A574"/>
      <c r="B574"/>
      <c r="C574"/>
      <c r="D574"/>
      <c r="E574"/>
      <c r="F574"/>
      <c r="G574"/>
      <c r="H574"/>
      <c r="I574"/>
      <c r="J574"/>
      <c r="K574"/>
      <c r="L574"/>
      <c r="M574"/>
      <c r="N574"/>
      <c r="O574"/>
      <c r="P574"/>
    </row>
    <row r="575" spans="1:16">
      <c r="A575"/>
      <c r="B575"/>
      <c r="C575"/>
      <c r="D575"/>
      <c r="E575"/>
      <c r="F575"/>
      <c r="G575"/>
      <c r="H575"/>
      <c r="I575"/>
      <c r="J575"/>
      <c r="K575"/>
      <c r="L575"/>
      <c r="M575"/>
      <c r="N575"/>
      <c r="O575"/>
      <c r="P575"/>
    </row>
    <row r="576" spans="1:16">
      <c r="A576"/>
      <c r="B576"/>
      <c r="C576"/>
      <c r="D576"/>
      <c r="E576"/>
      <c r="F576"/>
      <c r="G576"/>
      <c r="H576"/>
      <c r="I576"/>
      <c r="J576"/>
      <c r="K576"/>
      <c r="L576"/>
      <c r="M576"/>
      <c r="N576"/>
      <c r="O576"/>
      <c r="P576"/>
    </row>
    <row r="577" spans="1:16">
      <c r="A577"/>
      <c r="B577"/>
      <c r="C577"/>
      <c r="D577"/>
      <c r="E577"/>
      <c r="F577"/>
      <c r="G577"/>
      <c r="H577"/>
      <c r="I577"/>
      <c r="J577"/>
      <c r="K577"/>
      <c r="L577"/>
      <c r="M577"/>
      <c r="N577"/>
      <c r="O577"/>
      <c r="P577"/>
    </row>
    <row r="578" spans="1:16">
      <c r="A578"/>
      <c r="B578"/>
      <c r="C578"/>
      <c r="D578"/>
      <c r="E578"/>
      <c r="F578"/>
      <c r="G578"/>
      <c r="H578"/>
      <c r="I578"/>
      <c r="J578"/>
      <c r="K578"/>
      <c r="L578"/>
      <c r="M578"/>
      <c r="N578"/>
      <c r="O578"/>
      <c r="P578"/>
    </row>
    <row r="579" spans="1:16">
      <c r="A579"/>
      <c r="B579"/>
      <c r="C579"/>
      <c r="D579"/>
      <c r="E579"/>
      <c r="F579"/>
      <c r="G579"/>
      <c r="H579"/>
      <c r="I579"/>
      <c r="J579"/>
      <c r="K579"/>
      <c r="L579"/>
      <c r="M579"/>
      <c r="N579"/>
      <c r="O579"/>
      <c r="P579"/>
    </row>
    <row r="580" spans="1:16">
      <c r="A580"/>
      <c r="B580"/>
      <c r="C580"/>
      <c r="D580"/>
      <c r="E580"/>
      <c r="F580"/>
      <c r="G580"/>
      <c r="H580"/>
      <c r="I580"/>
      <c r="J580"/>
      <c r="K580"/>
      <c r="L580"/>
      <c r="M580"/>
      <c r="N580"/>
      <c r="O580"/>
      <c r="P580"/>
    </row>
    <row r="581" spans="1:16">
      <c r="A581"/>
      <c r="B581"/>
      <c r="C581"/>
      <c r="D581"/>
      <c r="E581"/>
      <c r="F581"/>
      <c r="G581"/>
      <c r="H581"/>
      <c r="I581"/>
      <c r="J581"/>
      <c r="K581"/>
      <c r="L581"/>
      <c r="M581"/>
      <c r="N581"/>
      <c r="O581"/>
      <c r="P581"/>
    </row>
    <row r="582" spans="1:16">
      <c r="A582"/>
      <c r="B582"/>
      <c r="C582"/>
      <c r="D582"/>
      <c r="E582"/>
      <c r="F582"/>
      <c r="G582"/>
      <c r="H582"/>
      <c r="I582"/>
      <c r="J582"/>
      <c r="K582"/>
      <c r="L582"/>
      <c r="M582"/>
      <c r="N582"/>
      <c r="O582"/>
      <c r="P582"/>
    </row>
    <row r="583" spans="1:16">
      <c r="A583"/>
      <c r="B583"/>
      <c r="C583"/>
      <c r="D583"/>
      <c r="E583"/>
      <c r="F583"/>
      <c r="G583"/>
      <c r="H583"/>
      <c r="I583"/>
      <c r="J583"/>
      <c r="K583"/>
      <c r="L583"/>
      <c r="M583"/>
      <c r="N583"/>
      <c r="O583"/>
      <c r="P583"/>
    </row>
    <row r="584" spans="1:16">
      <c r="A584"/>
      <c r="B584"/>
      <c r="C584"/>
      <c r="D584"/>
      <c r="E584"/>
      <c r="F584"/>
      <c r="G584"/>
      <c r="H584"/>
      <c r="I584"/>
      <c r="J584"/>
      <c r="K584"/>
      <c r="L584"/>
      <c r="M584"/>
      <c r="N584"/>
      <c r="O584"/>
      <c r="P584"/>
    </row>
    <row r="585" spans="1:16">
      <c r="A585"/>
      <c r="B585"/>
      <c r="C585"/>
      <c r="D585"/>
      <c r="E585"/>
      <c r="F585"/>
      <c r="G585"/>
      <c r="H585"/>
      <c r="I585"/>
      <c r="J585"/>
      <c r="K585"/>
      <c r="L585"/>
      <c r="M585"/>
      <c r="N585"/>
      <c r="O585"/>
      <c r="P585"/>
    </row>
    <row r="586" spans="1:16">
      <c r="A586"/>
      <c r="B586"/>
      <c r="C586"/>
      <c r="D586"/>
      <c r="E586"/>
      <c r="F586"/>
      <c r="G586"/>
      <c r="H586"/>
      <c r="I586"/>
      <c r="J586"/>
      <c r="K586"/>
      <c r="L586"/>
      <c r="M586"/>
      <c r="N586"/>
      <c r="O586"/>
      <c r="P586"/>
    </row>
    <row r="587" spans="1:16">
      <c r="A587"/>
      <c r="B587"/>
      <c r="C587"/>
      <c r="D587"/>
      <c r="E587"/>
      <c r="F587"/>
      <c r="G587"/>
      <c r="H587"/>
      <c r="I587"/>
      <c r="J587"/>
      <c r="K587"/>
      <c r="L587"/>
      <c r="M587"/>
      <c r="N587"/>
      <c r="O587"/>
      <c r="P587"/>
    </row>
    <row r="588" spans="1:16">
      <c r="A588"/>
      <c r="B588"/>
      <c r="C588"/>
      <c r="D588"/>
      <c r="E588"/>
      <c r="F588"/>
      <c r="G588"/>
      <c r="H588"/>
      <c r="I588"/>
      <c r="J588"/>
      <c r="K588"/>
      <c r="L588"/>
      <c r="M588"/>
      <c r="N588"/>
      <c r="O588"/>
      <c r="P588"/>
    </row>
    <row r="589" spans="1:16">
      <c r="A589"/>
      <c r="B589"/>
      <c r="C589"/>
      <c r="D589"/>
      <c r="E589"/>
      <c r="F589"/>
      <c r="G589"/>
      <c r="H589"/>
      <c r="I589"/>
      <c r="J589"/>
      <c r="K589"/>
      <c r="L589"/>
      <c r="M589"/>
      <c r="N589"/>
      <c r="O589"/>
      <c r="P589"/>
    </row>
    <row r="590" spans="1:16">
      <c r="A590"/>
      <c r="B590"/>
      <c r="C590"/>
      <c r="D590"/>
      <c r="E590"/>
      <c r="F590"/>
      <c r="G590"/>
      <c r="H590"/>
      <c r="I590"/>
      <c r="J590"/>
      <c r="K590"/>
      <c r="L590"/>
      <c r="M590"/>
      <c r="N590"/>
      <c r="O590"/>
      <c r="P590"/>
    </row>
    <row r="591" spans="1:16">
      <c r="A591"/>
      <c r="B591"/>
      <c r="C591"/>
      <c r="D591"/>
      <c r="E591"/>
      <c r="F591"/>
      <c r="G591"/>
      <c r="H591"/>
      <c r="I591"/>
      <c r="J591"/>
      <c r="K591"/>
      <c r="L591"/>
      <c r="M591"/>
      <c r="N591"/>
      <c r="O591"/>
      <c r="P591"/>
    </row>
    <row r="592" spans="1:16">
      <c r="A592"/>
      <c r="B592"/>
      <c r="C592"/>
      <c r="D592"/>
      <c r="E592"/>
      <c r="F592"/>
      <c r="G592"/>
      <c r="H592"/>
      <c r="I592"/>
      <c r="J592"/>
      <c r="K592"/>
      <c r="L592"/>
      <c r="M592"/>
      <c r="N592"/>
      <c r="O592"/>
      <c r="P592"/>
    </row>
    <row r="593" spans="1:16">
      <c r="A593"/>
      <c r="B593"/>
      <c r="C593"/>
      <c r="D593"/>
      <c r="E593"/>
      <c r="F593"/>
      <c r="G593"/>
      <c r="H593"/>
      <c r="I593"/>
      <c r="J593"/>
      <c r="K593"/>
      <c r="L593"/>
      <c r="M593"/>
      <c r="N593"/>
      <c r="O593"/>
      <c r="P593"/>
    </row>
    <row r="594" spans="1:16">
      <c r="A594"/>
      <c r="B594"/>
      <c r="C594"/>
      <c r="D594"/>
      <c r="E594"/>
      <c r="F594"/>
      <c r="G594"/>
      <c r="H594"/>
      <c r="I594"/>
      <c r="J594"/>
      <c r="K594"/>
      <c r="L594"/>
      <c r="M594"/>
      <c r="N594"/>
      <c r="O594"/>
      <c r="P594"/>
    </row>
    <row r="595" spans="1:16">
      <c r="A595"/>
      <c r="B595"/>
      <c r="C595"/>
      <c r="D595"/>
      <c r="E595"/>
      <c r="F595"/>
      <c r="G595"/>
      <c r="H595"/>
      <c r="I595"/>
      <c r="J595"/>
      <c r="K595"/>
      <c r="L595"/>
      <c r="M595"/>
      <c r="N595"/>
      <c r="O595"/>
      <c r="P595"/>
    </row>
    <row r="596" spans="1:16">
      <c r="A596"/>
      <c r="B596"/>
      <c r="C596"/>
      <c r="D596"/>
      <c r="E596"/>
      <c r="F596"/>
      <c r="G596"/>
      <c r="H596"/>
      <c r="I596"/>
      <c r="J596"/>
      <c r="K596"/>
      <c r="L596"/>
      <c r="M596"/>
      <c r="N596"/>
      <c r="O596"/>
      <c r="P596"/>
    </row>
    <row r="597" spans="1:16">
      <c r="A597"/>
      <c r="B597"/>
      <c r="C597"/>
      <c r="D597"/>
      <c r="E597"/>
      <c r="F597"/>
      <c r="G597"/>
      <c r="H597"/>
      <c r="I597"/>
      <c r="J597"/>
      <c r="K597"/>
      <c r="L597"/>
      <c r="M597"/>
      <c r="N597"/>
      <c r="O597"/>
      <c r="P597"/>
    </row>
    <row r="598" spans="1:16">
      <c r="A598"/>
      <c r="B598"/>
      <c r="C598"/>
      <c r="D598"/>
      <c r="E598"/>
      <c r="F598"/>
      <c r="G598"/>
      <c r="H598"/>
      <c r="I598"/>
      <c r="J598"/>
      <c r="K598"/>
      <c r="L598"/>
      <c r="M598"/>
      <c r="N598"/>
      <c r="O598"/>
      <c r="P598"/>
    </row>
    <row r="599" spans="1:16">
      <c r="A599"/>
      <c r="B599"/>
      <c r="C599"/>
      <c r="D599"/>
      <c r="E599"/>
      <c r="F599"/>
      <c r="G599"/>
      <c r="H599"/>
      <c r="I599"/>
      <c r="J599"/>
      <c r="K599"/>
      <c r="L599"/>
      <c r="M599"/>
      <c r="N599"/>
      <c r="O599"/>
      <c r="P599"/>
    </row>
    <row r="600" spans="1:16">
      <c r="A600"/>
      <c r="B600"/>
      <c r="C600"/>
      <c r="D600"/>
      <c r="E600"/>
      <c r="F600"/>
      <c r="G600"/>
      <c r="H600"/>
      <c r="I600"/>
      <c r="J600"/>
      <c r="K600"/>
      <c r="L600"/>
      <c r="M600"/>
      <c r="N600"/>
      <c r="O600"/>
      <c r="P600"/>
    </row>
    <row r="601" spans="1:16">
      <c r="A601"/>
      <c r="B601"/>
      <c r="C601"/>
      <c r="D601"/>
      <c r="E601"/>
      <c r="F601"/>
      <c r="G601"/>
      <c r="H601"/>
      <c r="I601"/>
      <c r="J601"/>
      <c r="K601"/>
      <c r="L601"/>
      <c r="M601"/>
      <c r="N601"/>
      <c r="O601"/>
      <c r="P601"/>
    </row>
    <row r="602" spans="1:16">
      <c r="A602"/>
      <c r="B602"/>
      <c r="C602"/>
      <c r="D602"/>
      <c r="E602"/>
      <c r="F602"/>
      <c r="G602"/>
      <c r="H602"/>
      <c r="I602"/>
      <c r="J602"/>
      <c r="K602"/>
      <c r="L602"/>
      <c r="M602"/>
      <c r="N602"/>
      <c r="O602"/>
      <c r="P602"/>
    </row>
    <row r="603" spans="1:16">
      <c r="A603"/>
      <c r="B603"/>
      <c r="C603"/>
      <c r="D603"/>
      <c r="E603"/>
      <c r="F603"/>
      <c r="G603"/>
      <c r="H603"/>
      <c r="I603"/>
      <c r="J603"/>
      <c r="K603"/>
      <c r="L603"/>
      <c r="M603"/>
      <c r="N603"/>
      <c r="O603"/>
      <c r="P603"/>
    </row>
    <row r="604" spans="1:16">
      <c r="A604"/>
      <c r="B604"/>
      <c r="C604"/>
      <c r="D604"/>
      <c r="E604"/>
      <c r="F604"/>
      <c r="G604"/>
      <c r="H604"/>
      <c r="I604"/>
      <c r="J604"/>
      <c r="K604"/>
      <c r="L604"/>
      <c r="M604"/>
      <c r="N604"/>
      <c r="O604"/>
      <c r="P604"/>
    </row>
    <row r="605" spans="1:16">
      <c r="A605"/>
      <c r="B605"/>
      <c r="C605"/>
      <c r="D605"/>
      <c r="E605"/>
      <c r="F605"/>
      <c r="G605"/>
      <c r="H605"/>
      <c r="I605"/>
      <c r="J605"/>
      <c r="K605"/>
      <c r="L605"/>
      <c r="M605"/>
      <c r="N605"/>
      <c r="O605"/>
      <c r="P605"/>
    </row>
    <row r="606" spans="1:16">
      <c r="A606"/>
      <c r="B606"/>
      <c r="C606"/>
      <c r="D606"/>
      <c r="E606"/>
      <c r="F606"/>
      <c r="G606"/>
      <c r="H606"/>
      <c r="I606"/>
      <c r="J606"/>
      <c r="K606"/>
      <c r="L606"/>
      <c r="M606"/>
      <c r="N606"/>
      <c r="O606"/>
      <c r="P606"/>
    </row>
    <row r="607" spans="1:16">
      <c r="A607"/>
      <c r="B607"/>
      <c r="C607"/>
      <c r="D607"/>
      <c r="E607"/>
      <c r="F607"/>
      <c r="G607"/>
      <c r="H607"/>
      <c r="I607"/>
      <c r="J607"/>
      <c r="K607"/>
      <c r="L607"/>
      <c r="M607"/>
      <c r="N607"/>
      <c r="O607"/>
      <c r="P607"/>
    </row>
    <row r="608" spans="1:16">
      <c r="A608"/>
      <c r="B608"/>
      <c r="C608"/>
      <c r="D608"/>
      <c r="E608"/>
      <c r="F608"/>
      <c r="G608"/>
      <c r="H608"/>
      <c r="I608"/>
      <c r="J608"/>
      <c r="K608"/>
      <c r="L608"/>
      <c r="M608"/>
      <c r="N608"/>
      <c r="O608"/>
      <c r="P608"/>
    </row>
    <row r="609" spans="1:16">
      <c r="A609"/>
      <c r="B609"/>
      <c r="C609"/>
      <c r="D609"/>
      <c r="E609"/>
      <c r="F609"/>
      <c r="G609"/>
      <c r="H609"/>
      <c r="I609"/>
      <c r="J609"/>
      <c r="K609"/>
      <c r="L609"/>
      <c r="M609"/>
      <c r="N609"/>
      <c r="O609"/>
      <c r="P609"/>
    </row>
    <row r="610" spans="1:16">
      <c r="A610"/>
      <c r="B610"/>
      <c r="C610"/>
      <c r="D610"/>
      <c r="E610"/>
      <c r="F610"/>
      <c r="G610"/>
      <c r="H610"/>
      <c r="I610"/>
      <c r="J610"/>
      <c r="K610"/>
      <c r="L610"/>
      <c r="M610"/>
      <c r="N610"/>
      <c r="O610"/>
      <c r="P610"/>
    </row>
    <row r="611" spans="1:16">
      <c r="A611"/>
      <c r="B611"/>
      <c r="C611"/>
      <c r="D611"/>
      <c r="E611"/>
      <c r="F611"/>
      <c r="G611"/>
      <c r="H611"/>
      <c r="I611"/>
      <c r="J611"/>
      <c r="K611"/>
      <c r="L611"/>
      <c r="M611"/>
      <c r="N611"/>
      <c r="O611"/>
      <c r="P611"/>
    </row>
    <row r="612" spans="1:16">
      <c r="A612"/>
      <c r="B612"/>
      <c r="C612"/>
      <c r="D612"/>
      <c r="E612"/>
      <c r="F612"/>
      <c r="G612"/>
      <c r="H612"/>
      <c r="I612"/>
      <c r="J612"/>
      <c r="K612"/>
      <c r="L612"/>
      <c r="M612"/>
      <c r="N612"/>
      <c r="O612"/>
      <c r="P612"/>
    </row>
    <row r="613" spans="1:16">
      <c r="A613"/>
      <c r="B613"/>
      <c r="C613"/>
      <c r="D613"/>
      <c r="E613"/>
      <c r="F613"/>
      <c r="G613"/>
      <c r="H613"/>
      <c r="I613"/>
      <c r="J613"/>
      <c r="K613"/>
      <c r="L613"/>
      <c r="M613"/>
      <c r="N613"/>
      <c r="O613"/>
      <c r="P613"/>
    </row>
    <row r="614" spans="1:16">
      <c r="A614"/>
      <c r="B614"/>
      <c r="C614"/>
      <c r="D614"/>
      <c r="E614"/>
      <c r="F614"/>
      <c r="G614"/>
      <c r="H614"/>
      <c r="I614"/>
      <c r="J614"/>
      <c r="K614"/>
      <c r="L614"/>
      <c r="M614"/>
      <c r="N614"/>
      <c r="O614"/>
      <c r="P614"/>
    </row>
    <row r="615" spans="1:16">
      <c r="A615"/>
      <c r="B615"/>
      <c r="C615"/>
      <c r="D615"/>
      <c r="E615"/>
      <c r="F615"/>
      <c r="G615"/>
      <c r="H615"/>
      <c r="I615"/>
      <c r="J615"/>
      <c r="K615"/>
      <c r="L615"/>
      <c r="M615"/>
      <c r="N615"/>
      <c r="O615"/>
      <c r="P615"/>
    </row>
    <row r="616" spans="1:16">
      <c r="A616"/>
      <c r="B616"/>
      <c r="C616"/>
      <c r="D616"/>
      <c r="E616"/>
      <c r="F616"/>
      <c r="G616"/>
      <c r="H616"/>
      <c r="I616"/>
      <c r="J616"/>
      <c r="K616"/>
      <c r="L616"/>
      <c r="M616"/>
      <c r="N616"/>
      <c r="O616"/>
      <c r="P616"/>
    </row>
    <row r="617" spans="1:16">
      <c r="A617"/>
      <c r="B617"/>
      <c r="C617"/>
      <c r="D617"/>
      <c r="E617"/>
      <c r="F617"/>
      <c r="G617"/>
      <c r="H617"/>
      <c r="I617"/>
      <c r="J617"/>
      <c r="K617"/>
      <c r="L617"/>
      <c r="M617"/>
      <c r="N617"/>
      <c r="O617"/>
      <c r="P617"/>
    </row>
    <row r="618" spans="1:16">
      <c r="A618"/>
      <c r="B618"/>
      <c r="C618"/>
      <c r="D618"/>
      <c r="E618"/>
      <c r="F618"/>
      <c r="G618"/>
      <c r="H618"/>
      <c r="I618"/>
      <c r="J618"/>
      <c r="K618"/>
      <c r="L618"/>
      <c r="M618"/>
      <c r="N618"/>
      <c r="O618"/>
      <c r="P618"/>
    </row>
    <row r="619" spans="1:16">
      <c r="A619"/>
      <c r="B619"/>
      <c r="C619"/>
      <c r="D619"/>
      <c r="E619"/>
      <c r="F619"/>
      <c r="G619"/>
      <c r="H619"/>
      <c r="I619"/>
      <c r="J619"/>
      <c r="K619"/>
      <c r="L619"/>
      <c r="M619"/>
      <c r="N619"/>
      <c r="O619"/>
      <c r="P619"/>
    </row>
    <row r="620" spans="1:16">
      <c r="A620"/>
      <c r="B620"/>
      <c r="C620"/>
      <c r="D620"/>
      <c r="E620"/>
      <c r="F620"/>
      <c r="G620"/>
      <c r="H620"/>
      <c r="I620"/>
      <c r="J620"/>
      <c r="K620"/>
      <c r="L620"/>
      <c r="M620"/>
      <c r="N620"/>
      <c r="O620"/>
      <c r="P620"/>
    </row>
    <row r="621" spans="1:16">
      <c r="A621"/>
      <c r="B621"/>
      <c r="C621"/>
      <c r="D621"/>
      <c r="E621"/>
      <c r="F621"/>
      <c r="G621"/>
      <c r="H621"/>
      <c r="I621"/>
      <c r="J621"/>
      <c r="K621"/>
      <c r="L621"/>
      <c r="M621"/>
      <c r="N621"/>
      <c r="O621"/>
      <c r="P621"/>
    </row>
    <row r="622" spans="1:16">
      <c r="A622"/>
      <c r="B622"/>
      <c r="C622"/>
      <c r="D622"/>
      <c r="E622"/>
      <c r="F622"/>
      <c r="G622"/>
      <c r="H622"/>
      <c r="I622"/>
      <c r="J622"/>
      <c r="K622"/>
      <c r="L622"/>
      <c r="M622"/>
      <c r="N622"/>
      <c r="O622"/>
      <c r="P622"/>
    </row>
    <row r="623" spans="1:16">
      <c r="A623"/>
      <c r="B623"/>
      <c r="C623"/>
      <c r="D623"/>
      <c r="E623"/>
      <c r="F623"/>
      <c r="G623"/>
      <c r="H623"/>
      <c r="I623"/>
      <c r="J623"/>
      <c r="K623"/>
      <c r="L623"/>
      <c r="M623"/>
      <c r="N623"/>
      <c r="O623"/>
      <c r="P623"/>
    </row>
    <row r="624" spans="1:16">
      <c r="A624"/>
      <c r="B624"/>
      <c r="C624"/>
      <c r="D624"/>
      <c r="E624"/>
      <c r="F624"/>
      <c r="G624"/>
      <c r="H624"/>
      <c r="I624"/>
      <c r="J624"/>
      <c r="K624"/>
      <c r="L624"/>
      <c r="M624"/>
      <c r="N624"/>
      <c r="O624"/>
      <c r="P624"/>
    </row>
    <row r="625" spans="1:16">
      <c r="A625"/>
      <c r="B625"/>
      <c r="C625"/>
      <c r="D625"/>
      <c r="E625"/>
      <c r="F625"/>
      <c r="G625"/>
      <c r="H625"/>
      <c r="I625"/>
      <c r="J625"/>
      <c r="K625"/>
      <c r="L625"/>
      <c r="M625"/>
      <c r="N625"/>
      <c r="O625"/>
      <c r="P625"/>
    </row>
    <row r="626" spans="1:16">
      <c r="A626"/>
      <c r="B626"/>
      <c r="C626"/>
      <c r="D626"/>
      <c r="E626"/>
      <c r="F626"/>
      <c r="G626"/>
      <c r="H626"/>
      <c r="I626"/>
      <c r="J626"/>
      <c r="K626"/>
      <c r="L626"/>
      <c r="M626"/>
      <c r="N626"/>
      <c r="O626"/>
      <c r="P626"/>
    </row>
    <row r="627" spans="1:16">
      <c r="A627"/>
      <c r="B627"/>
      <c r="C627"/>
      <c r="D627"/>
      <c r="E627"/>
      <c r="F627"/>
      <c r="G627"/>
      <c r="H627"/>
      <c r="I627"/>
      <c r="J627"/>
      <c r="K627"/>
      <c r="L627"/>
      <c r="M627"/>
      <c r="N627"/>
      <c r="O627"/>
      <c r="P627"/>
    </row>
    <row r="628" spans="1:16">
      <c r="A628"/>
      <c r="B628"/>
      <c r="C628"/>
      <c r="D628"/>
      <c r="E628"/>
      <c r="F628"/>
      <c r="G628"/>
      <c r="H628"/>
      <c r="I628"/>
      <c r="J628"/>
      <c r="K628"/>
      <c r="L628"/>
      <c r="M628"/>
      <c r="N628"/>
      <c r="O628"/>
      <c r="P628"/>
    </row>
    <row r="629" spans="1:16">
      <c r="A629"/>
      <c r="B629"/>
      <c r="C629"/>
      <c r="D629"/>
      <c r="E629"/>
      <c r="F629"/>
      <c r="G629"/>
      <c r="H629"/>
      <c r="I629"/>
      <c r="J629"/>
      <c r="K629"/>
      <c r="L629"/>
      <c r="M629"/>
      <c r="N629"/>
      <c r="O629"/>
      <c r="P629"/>
    </row>
    <row r="630" spans="1:16">
      <c r="A630"/>
      <c r="B630"/>
      <c r="C630"/>
      <c r="D630"/>
      <c r="E630"/>
      <c r="F630"/>
      <c r="G630"/>
      <c r="H630"/>
      <c r="I630"/>
      <c r="J630"/>
      <c r="K630"/>
      <c r="L630"/>
      <c r="M630"/>
      <c r="N630"/>
      <c r="O630"/>
      <c r="P630"/>
    </row>
    <row r="631" spans="1:16">
      <c r="A631"/>
      <c r="B631"/>
      <c r="C631"/>
      <c r="D631"/>
      <c r="E631"/>
      <c r="F631"/>
      <c r="G631"/>
      <c r="H631"/>
      <c r="I631"/>
      <c r="J631"/>
      <c r="K631"/>
      <c r="L631"/>
      <c r="M631"/>
      <c r="N631"/>
      <c r="O631"/>
      <c r="P631"/>
    </row>
    <row r="632" spans="1:16">
      <c r="A632"/>
      <c r="B632"/>
      <c r="C632"/>
      <c r="D632"/>
      <c r="E632"/>
      <c r="F632"/>
      <c r="G632"/>
      <c r="H632"/>
      <c r="I632"/>
      <c r="J632"/>
      <c r="K632"/>
      <c r="L632"/>
      <c r="M632"/>
      <c r="N632"/>
      <c r="O632"/>
      <c r="P632"/>
    </row>
    <row r="633" spans="1:16">
      <c r="A633"/>
      <c r="B633"/>
      <c r="C633"/>
      <c r="D633"/>
      <c r="E633"/>
      <c r="F633"/>
      <c r="G633"/>
      <c r="H633"/>
      <c r="I633"/>
      <c r="J633"/>
      <c r="K633"/>
      <c r="L633"/>
      <c r="M633"/>
      <c r="N633"/>
      <c r="O633"/>
      <c r="P633"/>
    </row>
    <row r="634" spans="1:16">
      <c r="A634"/>
      <c r="B634"/>
      <c r="C634"/>
      <c r="D634"/>
      <c r="E634"/>
      <c r="F634"/>
      <c r="G634"/>
      <c r="H634"/>
      <c r="I634"/>
      <c r="J634"/>
      <c r="K634"/>
      <c r="L634"/>
      <c r="M634"/>
      <c r="N634"/>
      <c r="O634"/>
      <c r="P634"/>
    </row>
    <row r="635" spans="1:16">
      <c r="A635"/>
      <c r="B635"/>
      <c r="C635"/>
      <c r="D635"/>
      <c r="E635"/>
      <c r="F635"/>
      <c r="G635"/>
      <c r="H635"/>
      <c r="I635"/>
      <c r="J635"/>
      <c r="K635"/>
      <c r="L635"/>
      <c r="M635"/>
      <c r="N635"/>
      <c r="O635"/>
      <c r="P635"/>
    </row>
    <row r="636" spans="1:16">
      <c r="A636"/>
      <c r="B636"/>
      <c r="C636"/>
      <c r="D636"/>
      <c r="E636"/>
      <c r="F636"/>
      <c r="G636"/>
      <c r="H636"/>
      <c r="I636"/>
      <c r="J636"/>
      <c r="K636"/>
      <c r="L636"/>
      <c r="M636"/>
      <c r="N636"/>
      <c r="O636"/>
      <c r="P636"/>
    </row>
    <row r="637" spans="1:16">
      <c r="A637"/>
      <c r="B637"/>
      <c r="C637"/>
      <c r="D637"/>
      <c r="E637"/>
      <c r="F637"/>
      <c r="G637"/>
      <c r="H637"/>
      <c r="I637"/>
      <c r="J637"/>
      <c r="K637"/>
      <c r="L637"/>
      <c r="M637"/>
      <c r="N637"/>
      <c r="O637"/>
      <c r="P637"/>
    </row>
    <row r="638" spans="1:16">
      <c r="A638"/>
      <c r="B638"/>
      <c r="C638"/>
      <c r="D638"/>
      <c r="E638"/>
      <c r="F638"/>
      <c r="G638"/>
      <c r="H638"/>
      <c r="I638"/>
      <c r="J638"/>
      <c r="K638"/>
      <c r="L638"/>
      <c r="M638"/>
      <c r="N638"/>
      <c r="O638"/>
      <c r="P638"/>
    </row>
    <row r="639" spans="1:16">
      <c r="A639"/>
      <c r="B639"/>
      <c r="C639"/>
      <c r="D639"/>
      <c r="E639"/>
      <c r="F639"/>
      <c r="G639"/>
      <c r="H639"/>
      <c r="I639"/>
      <c r="J639"/>
      <c r="K639"/>
      <c r="L639"/>
      <c r="M639"/>
      <c r="N639"/>
      <c r="O639"/>
      <c r="P639"/>
    </row>
    <row r="640" spans="1:16">
      <c r="A640"/>
      <c r="B640"/>
      <c r="C640"/>
      <c r="D640"/>
      <c r="E640"/>
      <c r="F640"/>
      <c r="G640"/>
      <c r="H640"/>
      <c r="I640"/>
      <c r="J640"/>
      <c r="K640"/>
      <c r="L640"/>
      <c r="M640"/>
      <c r="N640"/>
      <c r="O640"/>
      <c r="P640"/>
    </row>
    <row r="641" spans="1:16">
      <c r="A641"/>
      <c r="B641"/>
      <c r="C641"/>
      <c r="D641"/>
      <c r="E641"/>
      <c r="F641"/>
      <c r="G641"/>
      <c r="H641"/>
      <c r="I641"/>
      <c r="J641"/>
      <c r="K641"/>
      <c r="L641"/>
      <c r="M641"/>
      <c r="N641"/>
      <c r="O641"/>
      <c r="P641"/>
    </row>
    <row r="642" spans="1:16">
      <c r="A642"/>
      <c r="B642"/>
      <c r="C642"/>
      <c r="D642"/>
      <c r="E642"/>
      <c r="F642"/>
      <c r="G642"/>
      <c r="H642"/>
      <c r="I642"/>
      <c r="J642"/>
      <c r="K642"/>
      <c r="L642"/>
      <c r="M642"/>
      <c r="N642"/>
      <c r="O642"/>
      <c r="P642"/>
    </row>
    <row r="643" spans="1:16">
      <c r="A643"/>
      <c r="B643"/>
      <c r="C643"/>
      <c r="D643"/>
      <c r="E643"/>
      <c r="F643"/>
      <c r="G643"/>
      <c r="H643"/>
      <c r="I643"/>
      <c r="J643"/>
      <c r="K643"/>
      <c r="L643"/>
      <c r="M643"/>
      <c r="N643"/>
      <c r="O643"/>
      <c r="P643"/>
    </row>
    <row r="644" spans="1:16">
      <c r="A644"/>
      <c r="B644"/>
      <c r="C644"/>
      <c r="D644"/>
      <c r="E644"/>
      <c r="F644"/>
      <c r="G644"/>
      <c r="H644"/>
      <c r="I644"/>
      <c r="J644"/>
      <c r="K644"/>
      <c r="L644"/>
      <c r="M644"/>
      <c r="N644"/>
      <c r="O644"/>
      <c r="P644"/>
    </row>
    <row r="645" spans="1:16">
      <c r="A645"/>
      <c r="B645"/>
      <c r="C645"/>
      <c r="D645"/>
      <c r="E645"/>
      <c r="F645"/>
      <c r="G645"/>
      <c r="H645"/>
      <c r="I645"/>
      <c r="J645"/>
      <c r="K645"/>
      <c r="L645"/>
      <c r="M645"/>
      <c r="N645"/>
      <c r="O645"/>
      <c r="P645"/>
    </row>
    <row r="646" spans="1:16">
      <c r="A646"/>
      <c r="B646"/>
      <c r="C646"/>
      <c r="D646"/>
      <c r="E646"/>
      <c r="F646"/>
      <c r="G646"/>
      <c r="H646"/>
      <c r="I646"/>
      <c r="J646"/>
      <c r="K646"/>
      <c r="L646"/>
      <c r="M646"/>
      <c r="N646"/>
      <c r="O646"/>
      <c r="P646"/>
    </row>
    <row r="647" spans="1:16">
      <c r="A647"/>
      <c r="B647"/>
      <c r="C647"/>
      <c r="D647"/>
      <c r="E647"/>
      <c r="F647"/>
      <c r="G647"/>
      <c r="H647"/>
      <c r="I647"/>
      <c r="J647"/>
      <c r="K647"/>
      <c r="L647"/>
      <c r="M647"/>
      <c r="N647"/>
      <c r="O647"/>
      <c r="P647"/>
    </row>
    <row r="648" spans="1:16">
      <c r="A648"/>
      <c r="B648"/>
      <c r="C648"/>
      <c r="D648"/>
      <c r="E648"/>
      <c r="F648"/>
      <c r="G648"/>
      <c r="H648"/>
      <c r="I648"/>
      <c r="J648"/>
      <c r="K648"/>
      <c r="L648"/>
      <c r="M648"/>
      <c r="N648"/>
      <c r="O648"/>
      <c r="P648"/>
    </row>
    <row r="649" spans="1:16">
      <c r="A649"/>
      <c r="B649"/>
      <c r="C649"/>
      <c r="D649"/>
      <c r="E649"/>
      <c r="F649"/>
      <c r="G649"/>
      <c r="H649"/>
      <c r="I649"/>
      <c r="J649"/>
      <c r="K649"/>
      <c r="L649"/>
      <c r="M649"/>
      <c r="N649"/>
      <c r="O649"/>
      <c r="P649"/>
    </row>
    <row r="650" spans="1:16">
      <c r="A650"/>
      <c r="B650"/>
      <c r="C650"/>
      <c r="D650"/>
      <c r="E650"/>
      <c r="F650"/>
      <c r="G650"/>
      <c r="H650"/>
      <c r="I650"/>
      <c r="J650"/>
      <c r="K650"/>
      <c r="L650"/>
      <c r="M650"/>
      <c r="N650"/>
      <c r="O650"/>
      <c r="P650"/>
    </row>
    <row r="651" spans="1:16">
      <c r="A651"/>
      <c r="B651"/>
      <c r="C651"/>
      <c r="D651"/>
      <c r="E651"/>
      <c r="F651"/>
      <c r="G651"/>
      <c r="H651"/>
      <c r="I651"/>
      <c r="J651"/>
      <c r="K651"/>
      <c r="L651"/>
      <c r="M651"/>
      <c r="N651"/>
      <c r="O651"/>
      <c r="P651"/>
    </row>
    <row r="652" spans="1:16">
      <c r="A652"/>
      <c r="B652"/>
      <c r="C652"/>
      <c r="D652"/>
      <c r="E652"/>
      <c r="F652"/>
      <c r="G652"/>
      <c r="H652"/>
      <c r="I652"/>
      <c r="J652"/>
      <c r="K652"/>
      <c r="L652"/>
      <c r="M652"/>
      <c r="N652"/>
      <c r="O652"/>
      <c r="P652"/>
    </row>
    <row r="653" spans="1:16">
      <c r="A653"/>
      <c r="B653"/>
      <c r="C653"/>
      <c r="D653"/>
      <c r="E653"/>
      <c r="F653"/>
      <c r="G653"/>
      <c r="H653"/>
      <c r="I653"/>
      <c r="J653"/>
      <c r="K653"/>
      <c r="L653"/>
      <c r="M653"/>
      <c r="N653"/>
      <c r="O653"/>
      <c r="P653"/>
    </row>
    <row r="654" spans="1:16">
      <c r="A654"/>
      <c r="B654"/>
      <c r="C654"/>
      <c r="D654"/>
      <c r="E654"/>
      <c r="F654"/>
      <c r="G654"/>
      <c r="H654"/>
      <c r="I654"/>
      <c r="J654"/>
      <c r="K654"/>
      <c r="L654"/>
      <c r="M654"/>
      <c r="N654"/>
      <c r="O654"/>
      <c r="P654"/>
    </row>
    <row r="655" spans="1:16">
      <c r="A655"/>
      <c r="B655"/>
      <c r="C655"/>
      <c r="D655"/>
      <c r="E655"/>
      <c r="F655"/>
      <c r="G655"/>
      <c r="H655"/>
      <c r="I655"/>
      <c r="J655"/>
      <c r="K655"/>
      <c r="L655"/>
      <c r="M655"/>
      <c r="N655"/>
      <c r="O655"/>
      <c r="P655"/>
    </row>
    <row r="656" spans="1:16">
      <c r="A656"/>
      <c r="B656"/>
      <c r="C656"/>
      <c r="D656"/>
      <c r="E656"/>
      <c r="F656"/>
      <c r="G656"/>
      <c r="H656"/>
      <c r="I656"/>
      <c r="J656"/>
      <c r="K656"/>
      <c r="L656"/>
      <c r="M656"/>
      <c r="N656"/>
      <c r="O656"/>
      <c r="P656"/>
    </row>
    <row r="657" spans="1:16">
      <c r="A657"/>
      <c r="B657"/>
      <c r="C657"/>
      <c r="D657"/>
      <c r="E657"/>
      <c r="F657"/>
      <c r="G657"/>
      <c r="H657"/>
      <c r="I657"/>
      <c r="J657"/>
      <c r="K657"/>
      <c r="L657"/>
      <c r="M657"/>
      <c r="N657"/>
      <c r="O657"/>
      <c r="P657"/>
    </row>
    <row r="658" spans="1:16">
      <c r="A658"/>
      <c r="B658"/>
      <c r="C658"/>
      <c r="D658"/>
      <c r="E658"/>
      <c r="F658"/>
      <c r="G658"/>
      <c r="H658"/>
      <c r="I658"/>
      <c r="J658"/>
      <c r="K658"/>
      <c r="L658"/>
      <c r="M658"/>
      <c r="N658"/>
      <c r="O658"/>
      <c r="P658"/>
    </row>
    <row r="659" spans="1:16">
      <c r="A659"/>
      <c r="B659"/>
      <c r="C659"/>
      <c r="D659"/>
      <c r="E659"/>
      <c r="F659"/>
      <c r="G659"/>
      <c r="H659"/>
      <c r="I659"/>
      <c r="J659"/>
      <c r="K659"/>
      <c r="L659"/>
      <c r="M659"/>
      <c r="N659"/>
      <c r="O659"/>
      <c r="P659"/>
    </row>
    <row r="660" spans="1:16">
      <c r="A660"/>
      <c r="B660"/>
      <c r="C660"/>
      <c r="D660"/>
      <c r="E660"/>
      <c r="F660"/>
      <c r="G660"/>
      <c r="H660"/>
      <c r="I660"/>
      <c r="J660"/>
      <c r="K660"/>
      <c r="L660"/>
      <c r="M660"/>
      <c r="N660"/>
      <c r="O660"/>
      <c r="P660"/>
    </row>
    <row r="661" spans="1:16">
      <c r="A661"/>
      <c r="B661"/>
      <c r="C661"/>
      <c r="D661"/>
      <c r="E661"/>
      <c r="F661"/>
      <c r="G661"/>
      <c r="H661"/>
      <c r="I661"/>
      <c r="J661"/>
      <c r="K661"/>
      <c r="L661"/>
      <c r="M661"/>
      <c r="N661"/>
      <c r="O661"/>
      <c r="P661"/>
    </row>
    <row r="662" spans="1:16">
      <c r="A662"/>
      <c r="B662"/>
      <c r="C662"/>
      <c r="D662"/>
      <c r="E662"/>
      <c r="F662"/>
      <c r="G662"/>
      <c r="H662"/>
      <c r="I662"/>
      <c r="J662"/>
      <c r="K662"/>
      <c r="L662"/>
      <c r="M662"/>
      <c r="N662"/>
      <c r="O662"/>
      <c r="P662"/>
    </row>
    <row r="663" spans="1:16">
      <c r="A663"/>
      <c r="B663"/>
      <c r="C663"/>
      <c r="D663"/>
      <c r="E663"/>
      <c r="F663"/>
      <c r="G663"/>
      <c r="H663"/>
      <c r="I663"/>
      <c r="J663"/>
      <c r="K663"/>
      <c r="L663"/>
      <c r="M663"/>
      <c r="N663"/>
      <c r="O663"/>
      <c r="P663"/>
    </row>
    <row r="664" spans="1:16">
      <c r="A664"/>
      <c r="B664"/>
      <c r="C664"/>
      <c r="D664"/>
      <c r="E664"/>
      <c r="F664"/>
      <c r="G664"/>
      <c r="H664"/>
      <c r="I664"/>
      <c r="J664"/>
      <c r="K664"/>
      <c r="L664"/>
      <c r="M664"/>
      <c r="N664"/>
      <c r="O664"/>
      <c r="P664"/>
    </row>
    <row r="665" spans="1:16">
      <c r="A665"/>
      <c r="B665"/>
      <c r="C665"/>
      <c r="D665"/>
      <c r="E665"/>
      <c r="F665"/>
      <c r="G665"/>
      <c r="H665"/>
      <c r="I665"/>
      <c r="J665"/>
      <c r="K665"/>
      <c r="L665"/>
      <c r="M665"/>
      <c r="N665"/>
      <c r="O665"/>
      <c r="P665"/>
    </row>
    <row r="666" spans="1:16">
      <c r="A666"/>
      <c r="B666"/>
      <c r="C666"/>
      <c r="D666"/>
      <c r="E666"/>
      <c r="F666"/>
      <c r="G666"/>
      <c r="H666"/>
      <c r="I666"/>
      <c r="J666"/>
      <c r="K666"/>
      <c r="L666"/>
      <c r="M666"/>
      <c r="N666"/>
      <c r="O666"/>
      <c r="P666"/>
    </row>
    <row r="667" spans="1:16">
      <c r="A667"/>
      <c r="B667"/>
      <c r="C667"/>
      <c r="D667"/>
      <c r="E667"/>
      <c r="F667"/>
      <c r="G667"/>
      <c r="H667"/>
      <c r="I667"/>
      <c r="J667"/>
      <c r="K667"/>
      <c r="L667"/>
      <c r="M667"/>
      <c r="N667"/>
      <c r="O667"/>
      <c r="P667"/>
    </row>
    <row r="668" spans="1:16">
      <c r="A668"/>
      <c r="B668"/>
      <c r="C668"/>
      <c r="D668"/>
      <c r="E668"/>
      <c r="F668"/>
      <c r="G668"/>
      <c r="H668"/>
      <c r="I668"/>
      <c r="J668"/>
      <c r="K668"/>
      <c r="L668"/>
      <c r="M668"/>
      <c r="N668"/>
      <c r="O668"/>
      <c r="P668"/>
    </row>
    <row r="669" spans="1:16">
      <c r="A669"/>
      <c r="B669"/>
      <c r="C669"/>
      <c r="D669"/>
      <c r="E669"/>
      <c r="F669"/>
      <c r="G669"/>
      <c r="H669"/>
      <c r="I669"/>
      <c r="J669"/>
      <c r="K669"/>
      <c r="L669"/>
      <c r="M669"/>
      <c r="N669"/>
      <c r="O669"/>
      <c r="P669"/>
    </row>
    <row r="670" spans="1:16">
      <c r="A670"/>
      <c r="B670"/>
      <c r="C670"/>
      <c r="D670"/>
      <c r="E670"/>
      <c r="F670"/>
      <c r="G670"/>
      <c r="H670"/>
      <c r="I670"/>
      <c r="J670"/>
      <c r="K670"/>
      <c r="L670"/>
      <c r="M670"/>
      <c r="N670"/>
      <c r="O670"/>
      <c r="P670"/>
    </row>
    <row r="671" spans="1:16">
      <c r="A671"/>
      <c r="B671"/>
      <c r="C671"/>
      <c r="D671"/>
      <c r="E671"/>
      <c r="F671"/>
      <c r="G671"/>
      <c r="H671"/>
      <c r="I671"/>
      <c r="J671"/>
      <c r="K671"/>
      <c r="L671"/>
      <c r="M671"/>
      <c r="N671"/>
      <c r="O671"/>
      <c r="P671"/>
    </row>
    <row r="672" spans="1:16">
      <c r="A672"/>
      <c r="B672"/>
      <c r="C672"/>
      <c r="D672"/>
      <c r="E672"/>
      <c r="F672"/>
      <c r="G672"/>
      <c r="H672"/>
      <c r="I672"/>
      <c r="J672"/>
      <c r="K672"/>
      <c r="L672"/>
      <c r="M672"/>
      <c r="N672"/>
      <c r="O672"/>
      <c r="P672"/>
    </row>
    <row r="673" spans="1:16">
      <c r="A673"/>
      <c r="B673"/>
      <c r="C673"/>
      <c r="D673"/>
      <c r="E673"/>
      <c r="F673"/>
      <c r="G673"/>
      <c r="H673"/>
      <c r="I673"/>
      <c r="J673"/>
      <c r="K673"/>
      <c r="L673"/>
      <c r="M673"/>
      <c r="N673"/>
      <c r="O673"/>
      <c r="P673"/>
    </row>
    <row r="674" spans="1:16">
      <c r="A674"/>
      <c r="B674"/>
      <c r="C674"/>
      <c r="D674"/>
      <c r="E674"/>
      <c r="F674"/>
      <c r="G674"/>
      <c r="H674"/>
      <c r="I674"/>
      <c r="J674"/>
      <c r="K674"/>
      <c r="L674"/>
      <c r="M674"/>
      <c r="N674"/>
      <c r="O674"/>
      <c r="P674"/>
    </row>
    <row r="675" spans="1:16">
      <c r="A675"/>
      <c r="B675"/>
      <c r="C675"/>
      <c r="D675"/>
      <c r="E675"/>
      <c r="F675"/>
      <c r="G675"/>
      <c r="H675"/>
      <c r="I675"/>
      <c r="J675"/>
      <c r="K675"/>
      <c r="L675"/>
      <c r="M675"/>
      <c r="N675"/>
      <c r="O675"/>
      <c r="P675"/>
    </row>
    <row r="676" spans="1:16">
      <c r="A676"/>
      <c r="B676"/>
      <c r="C676"/>
      <c r="D676"/>
      <c r="E676"/>
      <c r="F676"/>
      <c r="G676"/>
      <c r="H676"/>
      <c r="I676"/>
      <c r="J676"/>
      <c r="K676"/>
      <c r="L676"/>
      <c r="M676"/>
      <c r="N676"/>
      <c r="O676"/>
      <c r="P676"/>
    </row>
    <row r="677" spans="1:16">
      <c r="A677"/>
      <c r="B677"/>
      <c r="C677"/>
      <c r="D677"/>
      <c r="E677"/>
      <c r="F677"/>
      <c r="G677"/>
      <c r="H677"/>
      <c r="I677"/>
      <c r="J677"/>
      <c r="K677"/>
      <c r="L677"/>
      <c r="M677"/>
      <c r="N677"/>
      <c r="O677"/>
      <c r="P677"/>
    </row>
    <row r="678" spans="1:16">
      <c r="A678"/>
      <c r="B678"/>
      <c r="C678"/>
      <c r="D678"/>
      <c r="E678"/>
      <c r="F678"/>
      <c r="G678"/>
      <c r="H678"/>
      <c r="I678"/>
      <c r="J678"/>
      <c r="K678"/>
      <c r="L678"/>
      <c r="M678"/>
      <c r="N678"/>
      <c r="O678"/>
      <c r="P678"/>
    </row>
    <row r="679" spans="1:16">
      <c r="A679"/>
      <c r="B679"/>
      <c r="C679"/>
      <c r="D679"/>
      <c r="E679"/>
      <c r="F679"/>
      <c r="G679"/>
      <c r="H679"/>
      <c r="I679"/>
      <c r="J679"/>
      <c r="K679"/>
      <c r="L679"/>
      <c r="M679"/>
      <c r="N679"/>
      <c r="O679"/>
      <c r="P679"/>
    </row>
    <row r="680" spans="1:16">
      <c r="A680"/>
      <c r="B680"/>
      <c r="C680"/>
      <c r="D680"/>
      <c r="E680"/>
      <c r="F680"/>
      <c r="G680"/>
      <c r="H680"/>
      <c r="I680"/>
      <c r="J680"/>
      <c r="K680"/>
      <c r="L680"/>
      <c r="M680"/>
      <c r="N680"/>
      <c r="O680"/>
      <c r="P680"/>
    </row>
    <row r="681" spans="1:16">
      <c r="A681"/>
      <c r="B681"/>
      <c r="C681"/>
      <c r="D681"/>
      <c r="E681"/>
      <c r="F681"/>
      <c r="G681"/>
      <c r="H681"/>
      <c r="I681"/>
      <c r="J681"/>
      <c r="K681"/>
      <c r="L681"/>
      <c r="M681"/>
      <c r="N681"/>
      <c r="O681"/>
      <c r="P681"/>
    </row>
    <row r="682" spans="1:16">
      <c r="A682"/>
      <c r="B682"/>
      <c r="C682"/>
      <c r="D682"/>
      <c r="E682"/>
      <c r="F682"/>
      <c r="G682"/>
      <c r="H682"/>
      <c r="I682"/>
      <c r="J682"/>
      <c r="K682"/>
      <c r="L682"/>
      <c r="M682"/>
      <c r="N682"/>
      <c r="O682"/>
      <c r="P682"/>
    </row>
    <row r="683" spans="1:16">
      <c r="A683"/>
      <c r="B683"/>
      <c r="C683"/>
      <c r="D683"/>
      <c r="E683"/>
      <c r="F683"/>
      <c r="G683"/>
      <c r="H683"/>
      <c r="I683"/>
      <c r="J683"/>
      <c r="K683"/>
      <c r="L683"/>
      <c r="M683"/>
      <c r="N683"/>
      <c r="O683"/>
      <c r="P683"/>
    </row>
    <row r="684" spans="1:16">
      <c r="A684"/>
      <c r="B684"/>
      <c r="C684"/>
      <c r="D684"/>
      <c r="E684"/>
      <c r="F684"/>
      <c r="G684"/>
      <c r="H684"/>
      <c r="I684"/>
      <c r="J684"/>
      <c r="K684"/>
      <c r="L684"/>
      <c r="M684"/>
      <c r="N684"/>
      <c r="O684"/>
      <c r="P684"/>
    </row>
    <row r="685" spans="1:16">
      <c r="A685"/>
      <c r="B685"/>
      <c r="C685"/>
      <c r="D685"/>
      <c r="E685"/>
      <c r="F685"/>
      <c r="G685"/>
      <c r="H685"/>
      <c r="I685"/>
      <c r="J685"/>
      <c r="K685"/>
      <c r="L685"/>
      <c r="M685"/>
      <c r="N685"/>
      <c r="O685"/>
      <c r="P685"/>
    </row>
    <row r="686" spans="1:16">
      <c r="A686"/>
      <c r="B686"/>
      <c r="C686"/>
      <c r="D686"/>
      <c r="E686"/>
      <c r="F686"/>
      <c r="G686"/>
      <c r="H686"/>
      <c r="I686"/>
      <c r="J686"/>
      <c r="K686"/>
      <c r="L686"/>
      <c r="M686"/>
      <c r="N686"/>
      <c r="O686"/>
      <c r="P686"/>
    </row>
    <row r="687" spans="1:16">
      <c r="A687"/>
      <c r="B687"/>
      <c r="C687"/>
      <c r="D687"/>
      <c r="E687"/>
      <c r="F687"/>
      <c r="G687"/>
      <c r="H687"/>
      <c r="I687"/>
      <c r="J687"/>
      <c r="K687"/>
      <c r="L687"/>
      <c r="M687"/>
      <c r="N687"/>
      <c r="O687"/>
      <c r="P687"/>
    </row>
    <row r="688" spans="1:16">
      <c r="A688"/>
      <c r="B688"/>
      <c r="C688"/>
      <c r="D688"/>
      <c r="E688"/>
      <c r="F688"/>
      <c r="G688"/>
      <c r="H688"/>
      <c r="I688"/>
      <c r="J688"/>
      <c r="K688"/>
      <c r="L688"/>
      <c r="M688"/>
      <c r="N688"/>
      <c r="O688"/>
      <c r="P688"/>
    </row>
    <row r="689" spans="1:16">
      <c r="A689"/>
      <c r="B689"/>
      <c r="C689"/>
      <c r="D689"/>
      <c r="E689"/>
      <c r="F689"/>
      <c r="G689"/>
      <c r="H689"/>
      <c r="I689"/>
      <c r="J689"/>
      <c r="K689"/>
      <c r="L689"/>
      <c r="M689"/>
      <c r="N689"/>
      <c r="O689"/>
      <c r="P689"/>
    </row>
    <row r="690" spans="1:16">
      <c r="A690"/>
      <c r="B690"/>
      <c r="C690"/>
      <c r="D690"/>
      <c r="E690"/>
      <c r="F690"/>
      <c r="G690"/>
      <c r="H690"/>
      <c r="I690"/>
      <c r="J690"/>
      <c r="K690"/>
      <c r="L690"/>
      <c r="M690"/>
      <c r="N690"/>
      <c r="O690"/>
      <c r="P690"/>
    </row>
    <row r="691" spans="1:16">
      <c r="A691"/>
      <c r="B691"/>
      <c r="C691"/>
      <c r="D691"/>
      <c r="E691"/>
      <c r="F691"/>
      <c r="G691"/>
      <c r="H691"/>
      <c r="I691"/>
      <c r="J691"/>
      <c r="K691"/>
      <c r="L691"/>
      <c r="M691"/>
      <c r="N691"/>
      <c r="O691"/>
      <c r="P691"/>
    </row>
    <row r="692" spans="1:16">
      <c r="A692"/>
      <c r="B692"/>
      <c r="C692"/>
      <c r="D692"/>
      <c r="E692"/>
      <c r="F692"/>
      <c r="G692"/>
      <c r="H692"/>
      <c r="I692"/>
      <c r="J692"/>
      <c r="K692"/>
      <c r="L692"/>
      <c r="M692"/>
      <c r="N692"/>
      <c r="O692"/>
      <c r="P692"/>
    </row>
    <row r="693" spans="1:16">
      <c r="A693"/>
      <c r="B693"/>
      <c r="C693"/>
      <c r="D693"/>
      <c r="E693"/>
      <c r="F693"/>
      <c r="G693"/>
      <c r="H693"/>
      <c r="I693"/>
      <c r="J693"/>
      <c r="K693"/>
      <c r="L693"/>
      <c r="M693"/>
      <c r="N693"/>
      <c r="O693"/>
      <c r="P693"/>
    </row>
    <row r="694" spans="1:16">
      <c r="A694"/>
      <c r="B694"/>
      <c r="C694"/>
      <c r="D694"/>
      <c r="E694"/>
      <c r="F694"/>
      <c r="G694"/>
      <c r="H694"/>
      <c r="I694"/>
      <c r="J694"/>
      <c r="K694"/>
      <c r="L694"/>
      <c r="M694"/>
      <c r="N694"/>
      <c r="O694"/>
      <c r="P694"/>
    </row>
    <row r="695" spans="1:16">
      <c r="A695"/>
      <c r="B695"/>
      <c r="C695"/>
      <c r="D695"/>
      <c r="E695"/>
      <c r="F695"/>
      <c r="G695"/>
      <c r="H695"/>
      <c r="I695"/>
      <c r="J695"/>
      <c r="K695"/>
      <c r="L695"/>
      <c r="M695"/>
      <c r="N695"/>
      <c r="O695"/>
      <c r="P695"/>
    </row>
    <row r="696" spans="1:16">
      <c r="A696"/>
      <c r="B696"/>
      <c r="C696"/>
      <c r="D696"/>
      <c r="E696"/>
      <c r="F696"/>
      <c r="G696"/>
      <c r="H696"/>
      <c r="I696"/>
      <c r="J696"/>
      <c r="K696"/>
      <c r="L696"/>
      <c r="M696"/>
      <c r="N696"/>
      <c r="O696"/>
      <c r="P696"/>
    </row>
    <row r="697" spans="1:16">
      <c r="A697"/>
      <c r="B697"/>
      <c r="C697"/>
      <c r="D697"/>
      <c r="E697"/>
      <c r="F697"/>
      <c r="G697"/>
      <c r="H697"/>
      <c r="I697"/>
      <c r="J697"/>
      <c r="K697"/>
      <c r="L697"/>
      <c r="M697"/>
      <c r="N697"/>
      <c r="O697"/>
      <c r="P697"/>
    </row>
    <row r="698" spans="1:16">
      <c r="A698"/>
      <c r="B698"/>
      <c r="C698"/>
      <c r="D698"/>
      <c r="E698"/>
      <c r="F698"/>
      <c r="G698"/>
      <c r="H698"/>
      <c r="I698"/>
      <c r="J698"/>
      <c r="K698"/>
      <c r="L698"/>
      <c r="M698"/>
      <c r="N698"/>
      <c r="O698"/>
      <c r="P698"/>
    </row>
    <row r="699" spans="1:16">
      <c r="A699"/>
      <c r="B699"/>
      <c r="C699"/>
      <c r="D699"/>
      <c r="E699"/>
      <c r="F699"/>
      <c r="G699"/>
      <c r="H699"/>
      <c r="I699"/>
      <c r="J699"/>
      <c r="K699"/>
      <c r="L699"/>
      <c r="M699"/>
      <c r="N699"/>
      <c r="O699"/>
      <c r="P699"/>
    </row>
    <row r="700" spans="1:16">
      <c r="A700"/>
      <c r="B700"/>
      <c r="C700"/>
      <c r="D700"/>
      <c r="E700"/>
      <c r="F700"/>
      <c r="G700"/>
      <c r="H700"/>
      <c r="I700"/>
      <c r="J700"/>
      <c r="K700"/>
      <c r="L700"/>
      <c r="M700"/>
      <c r="N700"/>
      <c r="O700"/>
      <c r="P700"/>
    </row>
    <row r="701" spans="1:16">
      <c r="A701"/>
      <c r="B701"/>
      <c r="C701"/>
      <c r="D701"/>
      <c r="E701"/>
      <c r="F701"/>
      <c r="G701"/>
      <c r="H701"/>
      <c r="I701"/>
      <c r="J701"/>
      <c r="K701"/>
      <c r="L701"/>
      <c r="M701"/>
      <c r="N701"/>
      <c r="O701"/>
      <c r="P701"/>
    </row>
    <row r="702" spans="1:16">
      <c r="A702"/>
      <c r="B702"/>
      <c r="C702"/>
      <c r="D702"/>
      <c r="E702"/>
      <c r="F702"/>
      <c r="G702"/>
      <c r="H702"/>
      <c r="I702"/>
      <c r="J702"/>
      <c r="K702"/>
      <c r="L702"/>
      <c r="M702"/>
      <c r="N702"/>
      <c r="O702"/>
      <c r="P702"/>
    </row>
    <row r="703" spans="1:16">
      <c r="A703"/>
      <c r="B703"/>
      <c r="C703"/>
      <c r="D703"/>
      <c r="E703"/>
      <c r="F703"/>
      <c r="G703"/>
      <c r="H703"/>
      <c r="I703"/>
      <c r="J703"/>
      <c r="K703"/>
      <c r="L703"/>
      <c r="M703"/>
      <c r="N703"/>
      <c r="O703"/>
      <c r="P703"/>
    </row>
    <row r="704" spans="1:16">
      <c r="A704"/>
      <c r="B704"/>
      <c r="C704"/>
      <c r="D704"/>
      <c r="E704"/>
      <c r="F704"/>
      <c r="G704"/>
      <c r="H704"/>
      <c r="I704"/>
      <c r="J704"/>
      <c r="K704"/>
      <c r="L704"/>
      <c r="M704"/>
      <c r="N704"/>
      <c r="O704"/>
      <c r="P704"/>
    </row>
    <row r="705" spans="1:16">
      <c r="A705"/>
      <c r="B705"/>
      <c r="C705"/>
      <c r="D705"/>
      <c r="E705"/>
      <c r="F705"/>
      <c r="G705"/>
      <c r="H705"/>
      <c r="I705"/>
      <c r="J705"/>
      <c r="K705"/>
      <c r="L705"/>
      <c r="M705"/>
      <c r="N705"/>
      <c r="O705"/>
      <c r="P705"/>
    </row>
    <row r="706" spans="1:16">
      <c r="A706"/>
      <c r="B706"/>
      <c r="C706"/>
      <c r="D706"/>
      <c r="E706"/>
      <c r="F706"/>
      <c r="G706"/>
      <c r="H706"/>
      <c r="I706"/>
      <c r="J706"/>
      <c r="K706"/>
      <c r="L706"/>
      <c r="M706"/>
      <c r="N706"/>
      <c r="O706"/>
      <c r="P706"/>
    </row>
    <row r="707" spans="1:16">
      <c r="A707"/>
      <c r="B707"/>
      <c r="C707"/>
      <c r="D707"/>
      <c r="E707"/>
      <c r="F707"/>
      <c r="G707"/>
      <c r="H707"/>
      <c r="I707"/>
      <c r="J707"/>
      <c r="K707"/>
      <c r="L707"/>
      <c r="M707"/>
      <c r="N707"/>
      <c r="O707"/>
      <c r="P707"/>
    </row>
    <row r="708" spans="1:16">
      <c r="A708"/>
      <c r="B708"/>
      <c r="C708"/>
      <c r="D708"/>
      <c r="E708"/>
      <c r="F708"/>
      <c r="G708"/>
      <c r="H708"/>
      <c r="I708"/>
      <c r="J708"/>
      <c r="K708"/>
      <c r="L708"/>
      <c r="M708"/>
      <c r="N708"/>
      <c r="O708"/>
      <c r="P708"/>
    </row>
    <row r="709" spans="1:16">
      <c r="A709"/>
      <c r="B709"/>
      <c r="C709"/>
      <c r="D709"/>
      <c r="E709"/>
      <c r="F709"/>
      <c r="G709"/>
      <c r="H709"/>
      <c r="I709"/>
      <c r="J709"/>
      <c r="K709"/>
      <c r="L709"/>
      <c r="M709"/>
      <c r="N709"/>
      <c r="O709"/>
      <c r="P709"/>
    </row>
    <row r="710" spans="1:16">
      <c r="A710"/>
      <c r="B710"/>
      <c r="C710"/>
      <c r="D710"/>
      <c r="E710"/>
      <c r="F710"/>
      <c r="G710"/>
      <c r="H710"/>
      <c r="I710"/>
      <c r="J710"/>
      <c r="K710"/>
      <c r="L710"/>
      <c r="M710"/>
      <c r="N710"/>
      <c r="O710"/>
      <c r="P710"/>
    </row>
    <row r="711" spans="1:16">
      <c r="A711"/>
      <c r="B711"/>
      <c r="C711"/>
      <c r="D711"/>
      <c r="E711"/>
      <c r="F711"/>
      <c r="G711"/>
      <c r="H711"/>
      <c r="I711"/>
      <c r="J711"/>
      <c r="K711"/>
      <c r="L711"/>
      <c r="M711"/>
      <c r="N711"/>
      <c r="O711"/>
      <c r="P711"/>
    </row>
    <row r="712" spans="1:16">
      <c r="A712"/>
      <c r="B712"/>
      <c r="C712"/>
      <c r="D712"/>
      <c r="E712"/>
      <c r="F712"/>
      <c r="G712"/>
      <c r="H712"/>
      <c r="I712"/>
      <c r="J712"/>
      <c r="K712"/>
      <c r="L712"/>
      <c r="M712"/>
      <c r="N712"/>
      <c r="O712"/>
      <c r="P712"/>
    </row>
    <row r="713" spans="1:16">
      <c r="A713"/>
      <c r="B713"/>
      <c r="C713"/>
      <c r="D713"/>
      <c r="E713"/>
      <c r="F713"/>
      <c r="G713"/>
      <c r="H713"/>
      <c r="I713"/>
      <c r="J713"/>
      <c r="K713"/>
      <c r="L713"/>
      <c r="M713"/>
      <c r="N713"/>
      <c r="O713"/>
      <c r="P713"/>
    </row>
    <row r="714" spans="1:16">
      <c r="A714"/>
      <c r="B714"/>
      <c r="C714"/>
      <c r="D714"/>
      <c r="E714"/>
      <c r="F714"/>
      <c r="G714"/>
      <c r="H714"/>
      <c r="I714"/>
      <c r="J714"/>
      <c r="K714"/>
      <c r="L714"/>
      <c r="M714"/>
      <c r="N714"/>
      <c r="O714"/>
      <c r="P714"/>
    </row>
    <row r="715" spans="1:16">
      <c r="A715"/>
      <c r="B715"/>
      <c r="C715"/>
      <c r="D715"/>
      <c r="E715"/>
      <c r="F715"/>
      <c r="G715"/>
      <c r="H715"/>
      <c r="I715"/>
      <c r="J715"/>
      <c r="K715"/>
      <c r="L715"/>
      <c r="M715"/>
      <c r="N715"/>
      <c r="O715"/>
      <c r="P715"/>
    </row>
    <row r="716" spans="1:16">
      <c r="A716"/>
      <c r="B716"/>
      <c r="C716"/>
      <c r="D716"/>
      <c r="E716"/>
      <c r="F716"/>
      <c r="G716"/>
      <c r="H716"/>
      <c r="I716"/>
      <c r="J716"/>
      <c r="K716"/>
      <c r="L716"/>
      <c r="M716"/>
      <c r="N716"/>
      <c r="O716"/>
      <c r="P716"/>
    </row>
    <row r="717" spans="1:16">
      <c r="A717"/>
      <c r="B717"/>
      <c r="C717"/>
      <c r="D717"/>
      <c r="E717"/>
      <c r="F717"/>
      <c r="G717"/>
      <c r="H717"/>
      <c r="I717"/>
      <c r="J717"/>
      <c r="K717"/>
      <c r="L717"/>
      <c r="M717"/>
      <c r="N717"/>
      <c r="O717"/>
      <c r="P717"/>
    </row>
    <row r="718" spans="1:16">
      <c r="A718"/>
      <c r="B718"/>
      <c r="C718"/>
      <c r="D718"/>
      <c r="E718"/>
      <c r="F718"/>
      <c r="G718"/>
      <c r="H718"/>
      <c r="I718"/>
      <c r="J718"/>
      <c r="K718"/>
      <c r="L718"/>
      <c r="M718"/>
      <c r="N718"/>
      <c r="O718"/>
      <c r="P718"/>
    </row>
    <row r="719" spans="1:16">
      <c r="A719"/>
      <c r="B719"/>
      <c r="C719"/>
      <c r="D719"/>
      <c r="E719"/>
      <c r="F719"/>
      <c r="G719"/>
      <c r="H719"/>
      <c r="I719"/>
      <c r="J719"/>
      <c r="K719"/>
      <c r="L719"/>
      <c r="M719"/>
      <c r="N719"/>
      <c r="O719"/>
      <c r="P719"/>
    </row>
    <row r="720" spans="1:16">
      <c r="A720"/>
      <c r="B720"/>
      <c r="C720"/>
      <c r="D720"/>
      <c r="E720"/>
      <c r="F720"/>
      <c r="G720"/>
      <c r="H720"/>
      <c r="I720"/>
      <c r="J720"/>
      <c r="K720"/>
      <c r="L720"/>
      <c r="M720"/>
      <c r="N720"/>
      <c r="O720"/>
      <c r="P720"/>
    </row>
    <row r="721" spans="1:16">
      <c r="A721"/>
      <c r="B721"/>
      <c r="C721"/>
      <c r="D721"/>
      <c r="E721"/>
      <c r="F721"/>
      <c r="G721"/>
      <c r="H721"/>
      <c r="I721"/>
      <c r="J721"/>
      <c r="K721"/>
      <c r="L721"/>
      <c r="M721"/>
      <c r="N721"/>
      <c r="O721"/>
      <c r="P721"/>
    </row>
    <row r="722" spans="1:16">
      <c r="A722"/>
      <c r="B722"/>
      <c r="C722"/>
      <c r="D722"/>
      <c r="E722"/>
      <c r="F722"/>
      <c r="G722"/>
      <c r="H722"/>
      <c r="I722"/>
      <c r="J722"/>
      <c r="K722"/>
      <c r="L722"/>
      <c r="M722"/>
      <c r="N722"/>
      <c r="O722"/>
      <c r="P722"/>
    </row>
    <row r="723" spans="1:16">
      <c r="A723"/>
      <c r="B723"/>
      <c r="C723"/>
      <c r="D723"/>
      <c r="E723"/>
      <c r="F723"/>
      <c r="G723"/>
      <c r="H723"/>
      <c r="I723"/>
      <c r="J723"/>
      <c r="K723"/>
      <c r="L723"/>
      <c r="M723"/>
      <c r="N723"/>
      <c r="O723"/>
      <c r="P723"/>
    </row>
    <row r="724" spans="1:16">
      <c r="A724"/>
      <c r="B724"/>
      <c r="C724"/>
      <c r="D724"/>
      <c r="E724"/>
      <c r="F724"/>
      <c r="G724"/>
      <c r="H724"/>
      <c r="I724"/>
      <c r="J724"/>
      <c r="K724"/>
      <c r="L724"/>
      <c r="M724"/>
      <c r="N724"/>
      <c r="O724"/>
      <c r="P724"/>
    </row>
    <row r="725" spans="1:16">
      <c r="A725"/>
      <c r="B725"/>
      <c r="C725"/>
      <c r="D725"/>
      <c r="E725"/>
      <c r="F725"/>
      <c r="G725"/>
      <c r="H725"/>
      <c r="I725"/>
      <c r="J725"/>
      <c r="K725"/>
      <c r="L725"/>
      <c r="M725"/>
      <c r="N725"/>
      <c r="O725"/>
      <c r="P725"/>
    </row>
    <row r="726" spans="1:16">
      <c r="A726"/>
      <c r="B726"/>
      <c r="C726"/>
      <c r="D726"/>
      <c r="E726"/>
      <c r="F726"/>
      <c r="G726"/>
      <c r="H726"/>
      <c r="I726"/>
      <c r="J726"/>
      <c r="K726"/>
      <c r="L726"/>
      <c r="M726"/>
      <c r="N726"/>
      <c r="O726"/>
      <c r="P726"/>
    </row>
    <row r="727" spans="1:16">
      <c r="A727"/>
      <c r="B727"/>
      <c r="C727"/>
      <c r="D727"/>
      <c r="E727"/>
      <c r="F727"/>
      <c r="G727"/>
      <c r="H727"/>
      <c r="I727"/>
      <c r="J727"/>
      <c r="K727"/>
      <c r="L727"/>
      <c r="M727"/>
      <c r="N727"/>
      <c r="O727"/>
      <c r="P727"/>
    </row>
    <row r="728" spans="1:16">
      <c r="A728"/>
      <c r="B728"/>
      <c r="C728"/>
      <c r="D728"/>
      <c r="E728"/>
      <c r="F728"/>
      <c r="G728"/>
      <c r="H728"/>
      <c r="I728"/>
      <c r="J728"/>
      <c r="K728"/>
      <c r="L728"/>
      <c r="M728"/>
      <c r="N728"/>
      <c r="O728"/>
      <c r="P728"/>
    </row>
    <row r="729" spans="1:16">
      <c r="A729"/>
      <c r="B729"/>
      <c r="C729"/>
      <c r="D729"/>
      <c r="E729"/>
      <c r="F729"/>
      <c r="G729"/>
      <c r="H729"/>
      <c r="I729"/>
      <c r="J729"/>
      <c r="K729"/>
      <c r="L729"/>
      <c r="M729"/>
      <c r="N729"/>
      <c r="O729"/>
      <c r="P729"/>
    </row>
    <row r="730" spans="1:16">
      <c r="A730"/>
      <c r="B730"/>
      <c r="C730"/>
      <c r="D730"/>
      <c r="E730"/>
      <c r="F730"/>
      <c r="G730"/>
      <c r="H730"/>
      <c r="I730"/>
      <c r="J730"/>
      <c r="K730"/>
      <c r="L730"/>
      <c r="M730"/>
      <c r="N730"/>
      <c r="O730"/>
      <c r="P730"/>
    </row>
    <row r="731" spans="1:16">
      <c r="A731"/>
      <c r="B731"/>
      <c r="C731"/>
      <c r="D731"/>
      <c r="E731"/>
      <c r="F731"/>
      <c r="G731"/>
      <c r="H731"/>
      <c r="I731"/>
      <c r="J731"/>
      <c r="K731"/>
      <c r="L731"/>
      <c r="M731"/>
      <c r="N731"/>
      <c r="O731"/>
      <c r="P731"/>
    </row>
    <row r="732" spans="1:16">
      <c r="A732"/>
      <c r="B732"/>
      <c r="C732"/>
      <c r="D732"/>
      <c r="E732"/>
      <c r="F732"/>
      <c r="G732"/>
      <c r="H732"/>
      <c r="I732"/>
      <c r="J732"/>
      <c r="K732"/>
      <c r="L732"/>
      <c r="M732"/>
      <c r="N732"/>
      <c r="O732"/>
      <c r="P732"/>
    </row>
    <row r="733" spans="1:16">
      <c r="A733"/>
      <c r="B733"/>
      <c r="C733"/>
      <c r="D733"/>
      <c r="E733"/>
      <c r="F733"/>
      <c r="G733"/>
      <c r="H733"/>
      <c r="I733"/>
      <c r="J733"/>
      <c r="K733"/>
      <c r="L733"/>
      <c r="M733"/>
      <c r="N733"/>
      <c r="O733"/>
      <c r="P733"/>
    </row>
    <row r="734" spans="1:16">
      <c r="A734"/>
      <c r="B734"/>
      <c r="C734"/>
      <c r="D734"/>
      <c r="E734"/>
      <c r="F734"/>
      <c r="G734"/>
      <c r="H734"/>
      <c r="I734"/>
      <c r="J734"/>
      <c r="K734"/>
      <c r="L734"/>
      <c r="M734"/>
      <c r="N734"/>
      <c r="O734"/>
      <c r="P734"/>
    </row>
    <row r="735" spans="1:16">
      <c r="A735"/>
      <c r="B735"/>
      <c r="C735"/>
      <c r="D735"/>
      <c r="E735"/>
      <c r="F735"/>
      <c r="G735"/>
      <c r="H735"/>
      <c r="I735"/>
      <c r="J735"/>
      <c r="K735"/>
      <c r="L735"/>
      <c r="M735"/>
      <c r="N735"/>
      <c r="O735"/>
      <c r="P735"/>
    </row>
    <row r="736" spans="1:16">
      <c r="A736"/>
      <c r="B736"/>
      <c r="C736"/>
      <c r="D736"/>
      <c r="E736"/>
      <c r="F736"/>
      <c r="G736"/>
      <c r="H736"/>
      <c r="I736"/>
      <c r="J736"/>
      <c r="K736"/>
      <c r="L736"/>
      <c r="M736"/>
      <c r="N736"/>
      <c r="O736"/>
      <c r="P736"/>
    </row>
    <row r="737" spans="1:16">
      <c r="A737"/>
      <c r="B737"/>
      <c r="C737"/>
      <c r="D737"/>
      <c r="E737"/>
      <c r="F737"/>
      <c r="G737"/>
      <c r="H737"/>
      <c r="I737"/>
      <c r="J737"/>
      <c r="K737"/>
      <c r="L737"/>
      <c r="M737"/>
      <c r="N737"/>
      <c r="O737"/>
      <c r="P737"/>
    </row>
    <row r="738" spans="1:16">
      <c r="A738"/>
      <c r="B738"/>
      <c r="C738"/>
      <c r="D738"/>
      <c r="E738"/>
      <c r="F738"/>
      <c r="G738"/>
      <c r="H738"/>
      <c r="I738"/>
      <c r="J738"/>
      <c r="K738"/>
      <c r="L738"/>
      <c r="M738"/>
      <c r="N738"/>
      <c r="O738"/>
      <c r="P738"/>
    </row>
    <row r="739" spans="1:16">
      <c r="A739"/>
      <c r="B739"/>
      <c r="C739"/>
      <c r="D739"/>
      <c r="E739"/>
      <c r="F739"/>
      <c r="G739"/>
      <c r="H739"/>
      <c r="I739"/>
      <c r="J739"/>
      <c r="K739"/>
      <c r="L739"/>
      <c r="M739"/>
      <c r="N739"/>
      <c r="O739"/>
      <c r="P739"/>
    </row>
    <row r="740" spans="1:16">
      <c r="A740"/>
      <c r="B740"/>
      <c r="C740"/>
      <c r="D740"/>
      <c r="E740"/>
      <c r="F740"/>
      <c r="G740"/>
      <c r="H740"/>
      <c r="I740"/>
      <c r="J740"/>
      <c r="K740"/>
      <c r="L740"/>
      <c r="M740"/>
      <c r="N740"/>
      <c r="O740"/>
      <c r="P740"/>
    </row>
    <row r="741" spans="1:16">
      <c r="A741"/>
      <c r="B741"/>
      <c r="C741"/>
      <c r="D741"/>
      <c r="E741"/>
      <c r="F741"/>
      <c r="G741"/>
      <c r="H741"/>
      <c r="I741"/>
      <c r="J741"/>
      <c r="K741"/>
      <c r="L741"/>
      <c r="M741"/>
      <c r="N741"/>
      <c r="O741"/>
      <c r="P741"/>
    </row>
    <row r="742" spans="1:16">
      <c r="A742"/>
      <c r="B742"/>
      <c r="C742"/>
      <c r="D742"/>
      <c r="E742"/>
      <c r="F742"/>
      <c r="G742"/>
      <c r="H742"/>
      <c r="I742"/>
      <c r="J742"/>
      <c r="K742"/>
      <c r="L742"/>
      <c r="M742"/>
      <c r="N742"/>
      <c r="O742"/>
      <c r="P742"/>
    </row>
    <row r="743" spans="1:16">
      <c r="A743"/>
      <c r="B743"/>
      <c r="C743"/>
      <c r="D743"/>
      <c r="E743"/>
      <c r="F743"/>
      <c r="G743"/>
      <c r="H743"/>
      <c r="I743"/>
      <c r="J743"/>
      <c r="K743"/>
      <c r="L743"/>
      <c r="M743"/>
      <c r="N743"/>
      <c r="O743"/>
      <c r="P743"/>
    </row>
    <row r="744" spans="1:16">
      <c r="A744"/>
      <c r="B744"/>
      <c r="C744"/>
      <c r="D744"/>
      <c r="E744"/>
      <c r="F744"/>
      <c r="G744"/>
      <c r="H744"/>
      <c r="I744"/>
      <c r="J744"/>
      <c r="K744"/>
      <c r="L744"/>
      <c r="M744"/>
      <c r="N744"/>
      <c r="O744"/>
      <c r="P744"/>
    </row>
    <row r="745" spans="1:16">
      <c r="A745"/>
      <c r="B745"/>
      <c r="C745"/>
      <c r="D745"/>
      <c r="E745"/>
      <c r="F745"/>
      <c r="G745"/>
      <c r="H745"/>
      <c r="I745"/>
      <c r="J745"/>
      <c r="K745"/>
      <c r="L745"/>
      <c r="M745"/>
      <c r="N745"/>
      <c r="O745"/>
      <c r="P745"/>
    </row>
    <row r="746" spans="1:16">
      <c r="A746"/>
      <c r="B746"/>
      <c r="C746"/>
      <c r="D746"/>
      <c r="E746"/>
      <c r="F746"/>
      <c r="G746"/>
      <c r="H746"/>
      <c r="I746"/>
      <c r="J746"/>
      <c r="K746"/>
      <c r="L746"/>
      <c r="M746"/>
      <c r="N746"/>
      <c r="O746"/>
      <c r="P746"/>
    </row>
    <row r="747" spans="1:16">
      <c r="A747"/>
      <c r="B747"/>
      <c r="C747"/>
      <c r="D747"/>
      <c r="E747"/>
      <c r="F747"/>
      <c r="G747"/>
      <c r="H747"/>
      <c r="I747"/>
      <c r="J747"/>
      <c r="K747"/>
      <c r="L747"/>
      <c r="M747"/>
      <c r="N747"/>
      <c r="O747"/>
      <c r="P747"/>
    </row>
    <row r="748" spans="1:16">
      <c r="A748"/>
      <c r="B748"/>
      <c r="C748"/>
      <c r="D748"/>
      <c r="E748"/>
      <c r="F748"/>
      <c r="G748"/>
      <c r="H748"/>
      <c r="I748"/>
      <c r="J748"/>
      <c r="K748"/>
      <c r="L748"/>
      <c r="M748"/>
      <c r="N748"/>
      <c r="O748"/>
      <c r="P748"/>
    </row>
    <row r="749" spans="1:16">
      <c r="A749"/>
      <c r="B749"/>
      <c r="C749"/>
      <c r="D749"/>
      <c r="E749"/>
      <c r="F749"/>
      <c r="G749"/>
      <c r="H749"/>
      <c r="I749"/>
      <c r="J749"/>
      <c r="K749"/>
      <c r="L749"/>
      <c r="M749"/>
      <c r="N749"/>
      <c r="O749"/>
      <c r="P749"/>
    </row>
    <row r="750" spans="1:16">
      <c r="A750"/>
      <c r="B750"/>
      <c r="C750"/>
      <c r="D750"/>
      <c r="E750"/>
      <c r="F750"/>
      <c r="G750"/>
      <c r="H750"/>
      <c r="I750"/>
      <c r="J750"/>
      <c r="K750"/>
      <c r="L750"/>
      <c r="M750"/>
      <c r="N750"/>
      <c r="O750"/>
      <c r="P750"/>
    </row>
    <row r="751" spans="1:16">
      <c r="A751"/>
      <c r="B751"/>
      <c r="C751"/>
      <c r="D751"/>
      <c r="E751"/>
      <c r="F751"/>
      <c r="G751"/>
      <c r="H751"/>
      <c r="I751"/>
      <c r="J751"/>
      <c r="K751"/>
      <c r="L751"/>
      <c r="M751"/>
      <c r="N751"/>
      <c r="O751"/>
      <c r="P751"/>
    </row>
    <row r="752" spans="1:16">
      <c r="A752"/>
      <c r="B752"/>
      <c r="C752"/>
      <c r="D752"/>
      <c r="E752"/>
      <c r="F752"/>
      <c r="G752"/>
      <c r="H752"/>
      <c r="I752"/>
      <c r="J752"/>
      <c r="K752"/>
      <c r="L752"/>
      <c r="M752"/>
      <c r="N752"/>
      <c r="O752"/>
      <c r="P752"/>
    </row>
    <row r="753" spans="1:16">
      <c r="A753"/>
      <c r="B753"/>
      <c r="C753"/>
      <c r="D753"/>
      <c r="E753"/>
      <c r="F753"/>
      <c r="G753"/>
      <c r="H753"/>
      <c r="I753"/>
      <c r="J753"/>
      <c r="K753"/>
      <c r="L753"/>
      <c r="M753"/>
      <c r="N753"/>
      <c r="O753"/>
      <c r="P753"/>
    </row>
    <row r="754" spans="1:16">
      <c r="A754"/>
      <c r="B754"/>
      <c r="C754"/>
      <c r="D754"/>
      <c r="E754"/>
      <c r="F754"/>
      <c r="G754"/>
      <c r="H754"/>
      <c r="I754"/>
      <c r="J754"/>
      <c r="K754"/>
      <c r="L754"/>
      <c r="M754"/>
      <c r="N754"/>
      <c r="O754"/>
      <c r="P754"/>
    </row>
    <row r="755" spans="1:16">
      <c r="A755"/>
      <c r="B755"/>
      <c r="C755"/>
      <c r="D755"/>
      <c r="E755"/>
      <c r="F755"/>
      <c r="G755"/>
      <c r="H755"/>
      <c r="I755"/>
      <c r="J755"/>
      <c r="K755"/>
      <c r="L755"/>
      <c r="M755"/>
      <c r="N755"/>
      <c r="O755"/>
      <c r="P755"/>
    </row>
    <row r="756" spans="1:16">
      <c r="A756"/>
      <c r="B756"/>
      <c r="C756"/>
      <c r="D756"/>
      <c r="E756"/>
      <c r="F756"/>
      <c r="G756"/>
      <c r="H756"/>
      <c r="I756"/>
      <c r="J756"/>
      <c r="K756"/>
      <c r="L756"/>
      <c r="M756"/>
      <c r="N756"/>
      <c r="O756"/>
      <c r="P756"/>
    </row>
    <row r="757" spans="1:16">
      <c r="A757"/>
      <c r="B757"/>
      <c r="C757"/>
      <c r="D757"/>
      <c r="E757"/>
      <c r="F757"/>
      <c r="G757"/>
      <c r="H757"/>
      <c r="I757"/>
      <c r="J757"/>
      <c r="K757"/>
      <c r="L757"/>
      <c r="M757"/>
      <c r="N757"/>
      <c r="O757"/>
      <c r="P757"/>
    </row>
    <row r="758" spans="1:16">
      <c r="A758"/>
      <c r="B758"/>
      <c r="C758"/>
      <c r="D758"/>
      <c r="E758"/>
      <c r="F758"/>
      <c r="G758"/>
      <c r="H758"/>
      <c r="I758"/>
      <c r="J758"/>
      <c r="K758"/>
      <c r="L758"/>
      <c r="M758"/>
      <c r="N758"/>
      <c r="O758"/>
      <c r="P758"/>
    </row>
    <row r="759" spans="1:16">
      <c r="A759"/>
      <c r="B759"/>
      <c r="C759"/>
      <c r="D759"/>
      <c r="E759"/>
      <c r="F759"/>
      <c r="G759"/>
      <c r="H759"/>
      <c r="I759"/>
      <c r="J759"/>
      <c r="K759"/>
      <c r="L759"/>
      <c r="M759"/>
      <c r="N759"/>
      <c r="O759"/>
      <c r="P759"/>
    </row>
    <row r="760" spans="1:16">
      <c r="A760"/>
      <c r="B760"/>
      <c r="C760"/>
      <c r="D760"/>
      <c r="E760"/>
      <c r="F760"/>
      <c r="G760"/>
      <c r="H760"/>
      <c r="I760"/>
      <c r="J760"/>
      <c r="K760"/>
      <c r="L760"/>
      <c r="M760"/>
      <c r="N760"/>
      <c r="O760"/>
      <c r="P760"/>
    </row>
    <row r="761" spans="1:16">
      <c r="A761"/>
      <c r="B761"/>
      <c r="C761"/>
      <c r="D761"/>
      <c r="E761"/>
      <c r="F761"/>
      <c r="G761"/>
      <c r="H761"/>
      <c r="I761"/>
      <c r="J761"/>
      <c r="K761"/>
      <c r="L761"/>
      <c r="M761"/>
      <c r="N761"/>
      <c r="O761"/>
      <c r="P761"/>
    </row>
    <row r="762" spans="1:16">
      <c r="A762"/>
      <c r="B762"/>
      <c r="C762"/>
      <c r="D762"/>
      <c r="E762"/>
      <c r="F762"/>
      <c r="G762"/>
      <c r="H762"/>
      <c r="I762"/>
      <c r="J762"/>
      <c r="K762"/>
      <c r="L762"/>
      <c r="M762"/>
      <c r="N762"/>
      <c r="O762"/>
      <c r="P762"/>
    </row>
    <row r="763" spans="1:16">
      <c r="A763"/>
      <c r="B763"/>
      <c r="C763"/>
      <c r="D763"/>
      <c r="E763"/>
      <c r="F763"/>
      <c r="G763"/>
      <c r="H763"/>
      <c r="I763"/>
      <c r="J763"/>
      <c r="K763"/>
      <c r="L763"/>
      <c r="M763"/>
      <c r="N763"/>
      <c r="O763"/>
      <c r="P763"/>
    </row>
    <row r="764" spans="1:16">
      <c r="A764"/>
      <c r="B764"/>
      <c r="C764"/>
      <c r="D764"/>
      <c r="E764"/>
      <c r="F764"/>
      <c r="G764"/>
      <c r="H764"/>
      <c r="I764"/>
      <c r="J764"/>
      <c r="K764"/>
      <c r="L764"/>
      <c r="M764"/>
      <c r="N764"/>
      <c r="O764"/>
      <c r="P764"/>
    </row>
    <row r="765" spans="1:16">
      <c r="A765"/>
      <c r="B765"/>
      <c r="C765"/>
      <c r="D765"/>
      <c r="E765"/>
      <c r="F765"/>
      <c r="G765"/>
      <c r="H765"/>
      <c r="I765"/>
      <c r="J765"/>
      <c r="K765"/>
      <c r="L765"/>
      <c r="M765"/>
      <c r="N765"/>
      <c r="O765"/>
      <c r="P765"/>
    </row>
    <row r="766" spans="1:16">
      <c r="A766"/>
      <c r="B766"/>
      <c r="C766"/>
      <c r="D766"/>
      <c r="E766"/>
      <c r="F766"/>
      <c r="G766"/>
      <c r="H766"/>
      <c r="I766"/>
      <c r="J766"/>
      <c r="K766"/>
      <c r="L766"/>
      <c r="M766"/>
      <c r="N766"/>
      <c r="O766"/>
      <c r="P766"/>
    </row>
    <row r="767" spans="1:16">
      <c r="A767"/>
      <c r="B767"/>
      <c r="C767"/>
      <c r="D767"/>
      <c r="E767"/>
      <c r="F767"/>
      <c r="G767"/>
      <c r="H767"/>
      <c r="I767"/>
      <c r="J767"/>
      <c r="K767"/>
      <c r="L767"/>
      <c r="M767"/>
      <c r="N767"/>
      <c r="O767"/>
      <c r="P767"/>
    </row>
    <row r="768" spans="1:16">
      <c r="A768"/>
      <c r="B768"/>
      <c r="C768"/>
      <c r="D768"/>
      <c r="E768"/>
      <c r="F768"/>
      <c r="G768"/>
      <c r="H768"/>
      <c r="I768"/>
      <c r="J768"/>
      <c r="K768"/>
      <c r="L768"/>
      <c r="M768"/>
      <c r="N768"/>
      <c r="O768"/>
      <c r="P768"/>
    </row>
    <row r="769" spans="1:16">
      <c r="A769"/>
      <c r="B769"/>
      <c r="C769"/>
      <c r="D769"/>
      <c r="E769"/>
      <c r="F769"/>
      <c r="G769"/>
      <c r="H769"/>
      <c r="I769"/>
      <c r="J769"/>
      <c r="K769"/>
      <c r="L769"/>
      <c r="M769"/>
      <c r="N769"/>
      <c r="O769"/>
      <c r="P769"/>
    </row>
    <row r="770" spans="1:16">
      <c r="A770"/>
      <c r="B770"/>
      <c r="C770"/>
      <c r="D770"/>
      <c r="E770"/>
      <c r="F770"/>
      <c r="G770"/>
      <c r="H770"/>
      <c r="I770"/>
      <c r="J770"/>
      <c r="K770"/>
      <c r="L770"/>
      <c r="M770"/>
      <c r="N770"/>
      <c r="O770"/>
      <c r="P770"/>
    </row>
    <row r="771" spans="1:16">
      <c r="A771"/>
      <c r="B771"/>
      <c r="C771"/>
      <c r="D771"/>
      <c r="E771"/>
      <c r="F771"/>
      <c r="G771"/>
      <c r="H771"/>
      <c r="I771"/>
      <c r="J771"/>
      <c r="K771"/>
      <c r="L771"/>
      <c r="M771"/>
      <c r="N771"/>
      <c r="O771"/>
      <c r="P771"/>
    </row>
    <row r="772" spans="1:16">
      <c r="A772"/>
      <c r="B772"/>
      <c r="C772"/>
      <c r="D772"/>
      <c r="E772"/>
      <c r="F772"/>
      <c r="G772"/>
      <c r="H772"/>
      <c r="I772"/>
      <c r="J772"/>
      <c r="K772"/>
      <c r="L772"/>
      <c r="M772"/>
      <c r="N772"/>
      <c r="O772"/>
      <c r="P772"/>
    </row>
    <row r="773" spans="1:16">
      <c r="A773"/>
      <c r="B773"/>
      <c r="C773"/>
      <c r="D773"/>
      <c r="E773"/>
      <c r="F773"/>
      <c r="G773"/>
      <c r="H773"/>
      <c r="I773"/>
      <c r="J773"/>
      <c r="K773"/>
      <c r="L773"/>
      <c r="M773"/>
      <c r="N773"/>
      <c r="O773"/>
      <c r="P773"/>
    </row>
    <row r="774" spans="1:16">
      <c r="A774"/>
      <c r="B774"/>
      <c r="C774"/>
      <c r="D774"/>
      <c r="E774"/>
      <c r="F774"/>
      <c r="G774"/>
      <c r="H774"/>
      <c r="I774"/>
      <c r="J774"/>
      <c r="K774"/>
      <c r="L774"/>
      <c r="M774"/>
      <c r="N774"/>
      <c r="O774"/>
      <c r="P774"/>
    </row>
    <row r="775" spans="1:16">
      <c r="A775"/>
      <c r="B775"/>
      <c r="C775"/>
      <c r="D775"/>
      <c r="E775"/>
      <c r="F775"/>
      <c r="G775"/>
      <c r="H775"/>
      <c r="I775"/>
      <c r="J775"/>
      <c r="K775"/>
      <c r="L775"/>
      <c r="M775"/>
      <c r="N775"/>
      <c r="O775"/>
      <c r="P775"/>
    </row>
    <row r="776" spans="1:16">
      <c r="A776"/>
      <c r="B776"/>
      <c r="C776"/>
      <c r="D776"/>
      <c r="E776"/>
      <c r="F776"/>
      <c r="G776"/>
      <c r="H776"/>
      <c r="I776"/>
      <c r="J776"/>
      <c r="K776"/>
      <c r="L776"/>
      <c r="M776"/>
      <c r="N776"/>
      <c r="O776"/>
      <c r="P776"/>
    </row>
    <row r="777" spans="1:16">
      <c r="A777"/>
      <c r="B777"/>
      <c r="C777"/>
      <c r="D777"/>
      <c r="E777"/>
      <c r="F777"/>
      <c r="G777"/>
      <c r="H777"/>
      <c r="I777"/>
      <c r="J777"/>
      <c r="K777"/>
      <c r="L777"/>
      <c r="M777"/>
      <c r="N777"/>
      <c r="O777"/>
      <c r="P777"/>
    </row>
    <row r="778" spans="1:16">
      <c r="A778"/>
      <c r="B778"/>
      <c r="C778"/>
      <c r="D778"/>
      <c r="E778"/>
      <c r="F778"/>
      <c r="G778"/>
      <c r="H778"/>
      <c r="I778"/>
      <c r="J778"/>
      <c r="K778"/>
      <c r="L778"/>
      <c r="M778"/>
      <c r="N778"/>
      <c r="O778"/>
      <c r="P778"/>
    </row>
    <row r="779" spans="1:16">
      <c r="A779"/>
      <c r="B779"/>
      <c r="C779"/>
      <c r="D779"/>
      <c r="E779"/>
      <c r="F779"/>
      <c r="G779"/>
      <c r="H779"/>
      <c r="I779"/>
      <c r="J779"/>
      <c r="K779"/>
      <c r="L779"/>
      <c r="M779"/>
      <c r="N779"/>
      <c r="O779"/>
      <c r="P779"/>
    </row>
    <row r="780" spans="1:16">
      <c r="A780"/>
      <c r="B780"/>
      <c r="C780"/>
      <c r="D780"/>
      <c r="E780"/>
      <c r="F780"/>
      <c r="G780"/>
      <c r="H780"/>
      <c r="I780"/>
      <c r="J780"/>
      <c r="K780"/>
      <c r="L780"/>
      <c r="M780"/>
      <c r="N780"/>
      <c r="O780"/>
      <c r="P780"/>
    </row>
    <row r="781" spans="1:16">
      <c r="A781"/>
      <c r="B781"/>
      <c r="C781"/>
      <c r="D781"/>
      <c r="E781"/>
      <c r="F781"/>
      <c r="G781"/>
      <c r="H781"/>
      <c r="I781"/>
      <c r="J781"/>
      <c r="K781"/>
      <c r="L781"/>
      <c r="M781"/>
      <c r="N781"/>
      <c r="O781"/>
      <c r="P781"/>
    </row>
    <row r="782" spans="1:16">
      <c r="A782"/>
      <c r="B782"/>
      <c r="C782"/>
      <c r="D782"/>
      <c r="E782"/>
      <c r="F782"/>
      <c r="G782"/>
      <c r="H782"/>
      <c r="I782"/>
      <c r="J782"/>
      <c r="K782"/>
      <c r="L782"/>
      <c r="M782"/>
      <c r="N782"/>
      <c r="O782"/>
      <c r="P782"/>
    </row>
    <row r="783" spans="1:16">
      <c r="A783"/>
      <c r="B783"/>
      <c r="C783"/>
      <c r="D783"/>
      <c r="E783"/>
      <c r="F783"/>
      <c r="G783"/>
      <c r="H783"/>
      <c r="I783"/>
      <c r="J783"/>
      <c r="K783"/>
      <c r="L783"/>
      <c r="M783"/>
      <c r="N783"/>
      <c r="O783"/>
      <c r="P783"/>
    </row>
    <row r="784" spans="1:16">
      <c r="A784"/>
      <c r="B784"/>
      <c r="C784"/>
      <c r="D784"/>
      <c r="E784"/>
      <c r="F784"/>
      <c r="G784"/>
      <c r="H784"/>
      <c r="I784"/>
      <c r="J784"/>
      <c r="K784"/>
      <c r="L784"/>
      <c r="M784"/>
      <c r="N784"/>
      <c r="O784"/>
      <c r="P784"/>
    </row>
    <row r="785" spans="1:16">
      <c r="A785"/>
      <c r="B785"/>
      <c r="C785"/>
      <c r="D785"/>
      <c r="E785"/>
      <c r="F785"/>
      <c r="G785"/>
      <c r="H785"/>
      <c r="I785"/>
      <c r="J785"/>
      <c r="K785"/>
      <c r="L785"/>
      <c r="M785"/>
      <c r="N785"/>
      <c r="O785"/>
      <c r="P785"/>
    </row>
    <row r="786" spans="1:16">
      <c r="A786"/>
      <c r="B786"/>
      <c r="C786"/>
      <c r="D786"/>
      <c r="E786"/>
      <c r="F786"/>
      <c r="G786"/>
      <c r="H786"/>
      <c r="I786"/>
      <c r="J786"/>
      <c r="K786"/>
      <c r="L786"/>
      <c r="M786"/>
      <c r="N786"/>
      <c r="O786"/>
      <c r="P786"/>
    </row>
    <row r="787" spans="1:16">
      <c r="A787"/>
      <c r="B787"/>
      <c r="C787"/>
      <c r="D787"/>
      <c r="E787"/>
      <c r="F787"/>
      <c r="G787"/>
      <c r="H787"/>
      <c r="I787"/>
      <c r="J787"/>
      <c r="K787"/>
      <c r="L787"/>
      <c r="M787"/>
      <c r="N787"/>
      <c r="O787"/>
      <c r="P787"/>
    </row>
    <row r="788" spans="1:16">
      <c r="A788"/>
      <c r="B788"/>
      <c r="C788"/>
      <c r="D788"/>
      <c r="E788"/>
      <c r="F788"/>
      <c r="G788"/>
      <c r="H788"/>
      <c r="I788"/>
      <c r="J788"/>
      <c r="K788"/>
      <c r="L788"/>
      <c r="M788"/>
      <c r="N788"/>
      <c r="O788"/>
      <c r="P788"/>
    </row>
    <row r="789" spans="1:16">
      <c r="A789"/>
      <c r="B789"/>
      <c r="C789"/>
      <c r="D789"/>
      <c r="E789"/>
      <c r="F789"/>
      <c r="G789"/>
      <c r="H789"/>
      <c r="I789"/>
      <c r="J789"/>
      <c r="K789"/>
      <c r="L789"/>
      <c r="M789"/>
      <c r="N789"/>
      <c r="O789"/>
      <c r="P789"/>
    </row>
    <row r="790" spans="1:16">
      <c r="A790"/>
      <c r="B790"/>
      <c r="C790"/>
      <c r="D790"/>
      <c r="E790"/>
      <c r="F790"/>
      <c r="G790"/>
      <c r="H790"/>
      <c r="I790"/>
      <c r="J790"/>
      <c r="K790"/>
      <c r="L790"/>
      <c r="M790"/>
      <c r="N790"/>
      <c r="O790"/>
      <c r="P790"/>
    </row>
    <row r="791" spans="1:16">
      <c r="A791"/>
      <c r="B791"/>
      <c r="C791"/>
      <c r="D791"/>
      <c r="E791"/>
      <c r="F791"/>
      <c r="G791"/>
      <c r="H791"/>
      <c r="I791"/>
      <c r="J791"/>
      <c r="K791"/>
      <c r="L791"/>
      <c r="M791"/>
      <c r="N791"/>
      <c r="O791"/>
      <c r="P791"/>
    </row>
    <row r="792" spans="1:16">
      <c r="A792"/>
      <c r="B792"/>
      <c r="C792"/>
      <c r="D792"/>
      <c r="E792"/>
      <c r="F792"/>
      <c r="G792"/>
      <c r="H792"/>
      <c r="I792"/>
      <c r="J792"/>
      <c r="K792"/>
      <c r="L792"/>
      <c r="M792"/>
      <c r="N792"/>
      <c r="O792"/>
      <c r="P792"/>
    </row>
    <row r="793" spans="1:16">
      <c r="A793"/>
      <c r="B793"/>
      <c r="C793"/>
      <c r="D793"/>
      <c r="E793"/>
      <c r="F793"/>
      <c r="G793"/>
      <c r="H793"/>
      <c r="I793"/>
      <c r="J793"/>
      <c r="K793"/>
      <c r="L793"/>
      <c r="M793"/>
      <c r="N793"/>
      <c r="O793"/>
      <c r="P793"/>
    </row>
    <row r="794" spans="1:16">
      <c r="A794"/>
      <c r="B794"/>
      <c r="C794"/>
      <c r="D794"/>
      <c r="E794"/>
      <c r="F794"/>
      <c r="G794"/>
      <c r="H794"/>
      <c r="I794"/>
      <c r="J794"/>
      <c r="K794"/>
      <c r="L794"/>
      <c r="M794"/>
      <c r="N794"/>
      <c r="O794"/>
      <c r="P794"/>
    </row>
    <row r="795" spans="1:16">
      <c r="A795"/>
      <c r="B795"/>
      <c r="C795"/>
      <c r="D795"/>
      <c r="E795"/>
      <c r="F795"/>
      <c r="G795"/>
      <c r="H795"/>
      <c r="I795"/>
      <c r="J795"/>
      <c r="K795"/>
      <c r="L795"/>
      <c r="M795"/>
      <c r="N795"/>
      <c r="O795"/>
      <c r="P795"/>
    </row>
    <row r="796" spans="1:16">
      <c r="A796"/>
      <c r="B796"/>
      <c r="C796"/>
      <c r="D796"/>
      <c r="E796"/>
      <c r="F796"/>
      <c r="G796"/>
      <c r="H796"/>
      <c r="I796"/>
      <c r="J796"/>
      <c r="K796"/>
      <c r="L796"/>
      <c r="M796"/>
      <c r="N796"/>
      <c r="O796"/>
      <c r="P796"/>
    </row>
    <row r="797" spans="1:16">
      <c r="A797"/>
      <c r="B797"/>
      <c r="C797"/>
      <c r="D797"/>
      <c r="E797"/>
      <c r="F797"/>
      <c r="G797"/>
      <c r="H797"/>
      <c r="I797"/>
      <c r="J797"/>
      <c r="K797"/>
      <c r="L797"/>
      <c r="M797"/>
      <c r="N797"/>
      <c r="O797"/>
      <c r="P797"/>
    </row>
    <row r="798" spans="1:16">
      <c r="A798"/>
      <c r="B798"/>
      <c r="C798"/>
      <c r="D798"/>
      <c r="E798"/>
      <c r="F798"/>
      <c r="G798"/>
      <c r="H798"/>
      <c r="I798"/>
      <c r="J798"/>
      <c r="K798"/>
      <c r="L798"/>
      <c r="M798"/>
      <c r="N798"/>
      <c r="O798"/>
      <c r="P798"/>
    </row>
    <row r="799" spans="1:16">
      <c r="A799"/>
      <c r="B799"/>
      <c r="C799"/>
      <c r="D799"/>
      <c r="E799"/>
      <c r="F799"/>
      <c r="G799"/>
      <c r="H799"/>
      <c r="I799"/>
      <c r="J799"/>
      <c r="K799"/>
      <c r="L799"/>
      <c r="M799"/>
      <c r="N799"/>
      <c r="O799"/>
      <c r="P799"/>
    </row>
    <row r="800" spans="1:16">
      <c r="A800"/>
      <c r="B800"/>
      <c r="C800"/>
      <c r="D800"/>
      <c r="E800"/>
      <c r="F800"/>
      <c r="G800"/>
      <c r="H800"/>
      <c r="I800"/>
      <c r="J800"/>
      <c r="K800"/>
      <c r="L800"/>
      <c r="M800"/>
      <c r="N800"/>
      <c r="O800"/>
      <c r="P800"/>
    </row>
    <row r="801" spans="1:16">
      <c r="A801"/>
      <c r="B801"/>
      <c r="C801"/>
      <c r="D801"/>
      <c r="E801"/>
      <c r="F801"/>
      <c r="G801"/>
      <c r="H801"/>
      <c r="I801"/>
      <c r="J801"/>
      <c r="K801"/>
      <c r="L801"/>
      <c r="M801"/>
      <c r="N801"/>
      <c r="O801"/>
      <c r="P801"/>
    </row>
    <row r="802" spans="1:16">
      <c r="A802"/>
      <c r="B802"/>
      <c r="C802"/>
      <c r="D802"/>
      <c r="E802"/>
      <c r="F802"/>
      <c r="G802"/>
      <c r="H802"/>
      <c r="I802"/>
      <c r="J802"/>
      <c r="K802"/>
      <c r="L802"/>
      <c r="M802"/>
      <c r="N802"/>
      <c r="O802"/>
      <c r="P802"/>
    </row>
    <row r="803" spans="1:16">
      <c r="A803"/>
      <c r="B803"/>
      <c r="C803"/>
      <c r="D803"/>
      <c r="E803"/>
      <c r="F803"/>
      <c r="G803"/>
      <c r="H803"/>
      <c r="I803"/>
      <c r="J803"/>
      <c r="K803"/>
      <c r="L803"/>
      <c r="M803"/>
      <c r="N803"/>
      <c r="O803"/>
      <c r="P803"/>
    </row>
    <row r="804" spans="1:16">
      <c r="A804"/>
      <c r="B804"/>
      <c r="C804"/>
      <c r="D804"/>
      <c r="E804"/>
      <c r="F804"/>
      <c r="G804"/>
      <c r="H804"/>
      <c r="I804"/>
      <c r="J804"/>
      <c r="K804"/>
      <c r="L804"/>
      <c r="M804"/>
      <c r="N804"/>
      <c r="O804"/>
      <c r="P804"/>
    </row>
    <row r="805" spans="1:16">
      <c r="A805"/>
      <c r="B805"/>
      <c r="C805"/>
      <c r="D805"/>
      <c r="E805"/>
      <c r="F805"/>
      <c r="G805"/>
      <c r="H805"/>
      <c r="I805"/>
      <c r="J805"/>
      <c r="K805"/>
      <c r="L805"/>
      <c r="M805"/>
      <c r="N805"/>
      <c r="O805"/>
      <c r="P805"/>
    </row>
    <row r="806" spans="1:16">
      <c r="A806"/>
      <c r="B806"/>
      <c r="C806"/>
      <c r="D806"/>
      <c r="E806"/>
      <c r="F806"/>
      <c r="G806"/>
      <c r="H806"/>
      <c r="I806"/>
      <c r="J806"/>
      <c r="K806"/>
      <c r="L806"/>
      <c r="M806"/>
      <c r="N806"/>
      <c r="O806"/>
      <c r="P806"/>
    </row>
    <row r="807" spans="1:16">
      <c r="A807"/>
      <c r="B807"/>
      <c r="C807"/>
      <c r="D807"/>
      <c r="E807"/>
      <c r="F807"/>
      <c r="G807"/>
      <c r="H807"/>
      <c r="I807"/>
      <c r="J807"/>
      <c r="K807"/>
      <c r="L807"/>
      <c r="M807"/>
      <c r="N807"/>
      <c r="O807"/>
      <c r="P807"/>
    </row>
    <row r="808" spans="1:16">
      <c r="A808"/>
      <c r="B808"/>
      <c r="C808"/>
      <c r="D808"/>
      <c r="E808"/>
      <c r="F808"/>
      <c r="G808"/>
      <c r="H808"/>
      <c r="I808"/>
      <c r="J808"/>
      <c r="K808"/>
      <c r="L808"/>
      <c r="M808"/>
      <c r="N808"/>
      <c r="O808"/>
      <c r="P808"/>
    </row>
    <row r="809" spans="1:16">
      <c r="A809"/>
      <c r="B809"/>
      <c r="C809"/>
      <c r="D809"/>
      <c r="E809"/>
      <c r="F809"/>
      <c r="G809"/>
      <c r="H809"/>
      <c r="I809"/>
      <c r="J809"/>
      <c r="K809"/>
      <c r="L809"/>
      <c r="M809"/>
      <c r="N809"/>
      <c r="O809"/>
      <c r="P809"/>
    </row>
    <row r="810" spans="1:16">
      <c r="A810"/>
      <c r="B810"/>
      <c r="C810"/>
      <c r="D810"/>
      <c r="E810"/>
      <c r="F810"/>
      <c r="G810"/>
      <c r="H810"/>
      <c r="I810"/>
      <c r="J810"/>
      <c r="K810"/>
      <c r="L810"/>
      <c r="M810"/>
      <c r="N810"/>
      <c r="O810"/>
      <c r="P810"/>
    </row>
    <row r="811" spans="1:16">
      <c r="A811"/>
      <c r="B811"/>
      <c r="C811"/>
      <c r="D811"/>
      <c r="E811"/>
      <c r="F811"/>
      <c r="G811"/>
      <c r="H811"/>
      <c r="I811"/>
      <c r="J811"/>
      <c r="K811"/>
      <c r="L811"/>
      <c r="M811"/>
      <c r="N811"/>
      <c r="O811"/>
      <c r="P811"/>
    </row>
    <row r="812" spans="1:16">
      <c r="A812"/>
      <c r="B812"/>
      <c r="C812"/>
      <c r="D812"/>
      <c r="E812"/>
      <c r="F812"/>
      <c r="G812"/>
      <c r="H812"/>
      <c r="I812"/>
      <c r="J812"/>
      <c r="K812"/>
      <c r="L812"/>
      <c r="M812"/>
      <c r="N812"/>
      <c r="O812"/>
      <c r="P812"/>
    </row>
    <row r="813" spans="1:16">
      <c r="A813"/>
      <c r="B813"/>
      <c r="C813"/>
      <c r="D813"/>
      <c r="E813"/>
      <c r="F813"/>
      <c r="G813"/>
      <c r="H813"/>
      <c r="I813"/>
      <c r="J813"/>
      <c r="K813"/>
      <c r="L813"/>
      <c r="M813"/>
      <c r="N813"/>
      <c r="O813"/>
      <c r="P813"/>
    </row>
    <row r="814" spans="1:16">
      <c r="A814"/>
      <c r="B814"/>
      <c r="C814"/>
      <c r="D814"/>
      <c r="E814"/>
      <c r="F814"/>
      <c r="G814"/>
      <c r="H814"/>
      <c r="I814"/>
      <c r="J814"/>
      <c r="K814"/>
      <c r="L814"/>
      <c r="M814"/>
      <c r="N814"/>
      <c r="O814"/>
      <c r="P814"/>
    </row>
    <row r="815" spans="1:16">
      <c r="A815"/>
      <c r="B815"/>
      <c r="C815"/>
      <c r="D815"/>
      <c r="E815"/>
      <c r="F815"/>
      <c r="G815"/>
      <c r="H815"/>
      <c r="I815"/>
      <c r="J815"/>
      <c r="K815"/>
      <c r="L815"/>
      <c r="M815"/>
      <c r="N815"/>
      <c r="O815"/>
      <c r="P815"/>
    </row>
    <row r="816" spans="1:16">
      <c r="A816"/>
      <c r="B816"/>
      <c r="C816"/>
      <c r="D816"/>
      <c r="E816"/>
      <c r="F816"/>
      <c r="G816"/>
      <c r="H816"/>
      <c r="I816"/>
      <c r="J816"/>
      <c r="K816"/>
      <c r="L816"/>
      <c r="M816"/>
      <c r="N816"/>
      <c r="O816"/>
      <c r="P816"/>
    </row>
    <row r="817" spans="1:16">
      <c r="A817"/>
      <c r="B817"/>
      <c r="C817"/>
      <c r="D817"/>
      <c r="E817"/>
      <c r="F817"/>
      <c r="G817"/>
      <c r="H817"/>
      <c r="I817"/>
      <c r="J817"/>
      <c r="K817"/>
      <c r="L817"/>
      <c r="M817"/>
      <c r="N817"/>
      <c r="O817"/>
      <c r="P817"/>
    </row>
    <row r="818" spans="1:16">
      <c r="A818"/>
      <c r="B818"/>
      <c r="C818"/>
      <c r="D818"/>
      <c r="E818"/>
      <c r="F818"/>
      <c r="G818"/>
      <c r="H818"/>
      <c r="I818"/>
      <c r="J818"/>
      <c r="K818"/>
      <c r="L818"/>
      <c r="M818"/>
      <c r="N818"/>
      <c r="O818"/>
      <c r="P818"/>
    </row>
    <row r="819" spans="1:16">
      <c r="A819"/>
      <c r="B819"/>
      <c r="C819"/>
      <c r="D819"/>
      <c r="E819"/>
      <c r="F819"/>
      <c r="G819"/>
      <c r="H819"/>
      <c r="I819"/>
      <c r="J819"/>
      <c r="K819"/>
      <c r="L819"/>
      <c r="M819"/>
      <c r="N819"/>
      <c r="O819"/>
      <c r="P819"/>
    </row>
    <row r="820" spans="1:16">
      <c r="A820"/>
      <c r="B820"/>
      <c r="C820"/>
      <c r="D820"/>
      <c r="E820"/>
      <c r="F820"/>
      <c r="G820"/>
      <c r="H820"/>
      <c r="I820"/>
      <c r="J820"/>
      <c r="K820"/>
      <c r="L820"/>
      <c r="M820"/>
      <c r="N820"/>
      <c r="O820"/>
      <c r="P820"/>
    </row>
    <row r="821" spans="1:16">
      <c r="A821"/>
      <c r="B821"/>
      <c r="C821"/>
      <c r="D821"/>
      <c r="E821"/>
      <c r="F821"/>
      <c r="G821"/>
      <c r="H821"/>
      <c r="I821"/>
      <c r="J821"/>
      <c r="K821"/>
      <c r="L821"/>
      <c r="M821"/>
      <c r="N821"/>
      <c r="O821"/>
      <c r="P821"/>
    </row>
    <row r="822" spans="1:16">
      <c r="A822"/>
      <c r="B822"/>
      <c r="C822"/>
      <c r="D822"/>
      <c r="E822"/>
      <c r="F822"/>
      <c r="G822"/>
      <c r="H822"/>
      <c r="I822"/>
      <c r="J822"/>
      <c r="K822"/>
      <c r="L822"/>
      <c r="M822"/>
      <c r="N822"/>
      <c r="O822"/>
      <c r="P822"/>
    </row>
    <row r="823" spans="1:16">
      <c r="A823"/>
      <c r="B823"/>
      <c r="C823"/>
      <c r="D823"/>
      <c r="E823"/>
      <c r="F823"/>
      <c r="G823"/>
      <c r="H823"/>
      <c r="I823"/>
      <c r="J823"/>
      <c r="K823"/>
      <c r="L823"/>
      <c r="M823"/>
      <c r="N823"/>
      <c r="O823"/>
      <c r="P823"/>
    </row>
    <row r="824" spans="1:16">
      <c r="A824"/>
      <c r="B824"/>
      <c r="C824"/>
      <c r="D824"/>
      <c r="E824"/>
      <c r="F824"/>
      <c r="G824"/>
      <c r="H824"/>
      <c r="I824"/>
      <c r="J824"/>
      <c r="K824"/>
      <c r="L824"/>
      <c r="M824"/>
      <c r="N824"/>
      <c r="O824"/>
      <c r="P824"/>
    </row>
    <row r="825" spans="1:16">
      <c r="A825"/>
      <c r="B825"/>
      <c r="C825"/>
      <c r="D825"/>
      <c r="E825"/>
      <c r="F825"/>
      <c r="G825"/>
      <c r="H825"/>
      <c r="I825"/>
      <c r="J825"/>
      <c r="K825"/>
      <c r="L825"/>
      <c r="M825"/>
      <c r="N825"/>
      <c r="O825"/>
      <c r="P825"/>
    </row>
    <row r="826" spans="1:16">
      <c r="A826"/>
      <c r="B826"/>
      <c r="C826"/>
      <c r="D826"/>
      <c r="E826"/>
      <c r="F826"/>
      <c r="G826"/>
      <c r="H826"/>
      <c r="I826"/>
      <c r="J826"/>
      <c r="K826"/>
      <c r="L826"/>
      <c r="M826"/>
      <c r="N826"/>
      <c r="O826"/>
      <c r="P826"/>
    </row>
    <row r="827" spans="1:16">
      <c r="A827"/>
      <c r="B827"/>
      <c r="C827"/>
      <c r="D827"/>
      <c r="E827"/>
      <c r="F827"/>
      <c r="G827"/>
      <c r="H827"/>
      <c r="I827"/>
      <c r="J827"/>
      <c r="K827"/>
      <c r="L827"/>
      <c r="M827"/>
      <c r="N827"/>
      <c r="O827"/>
      <c r="P827"/>
    </row>
    <row r="828" spans="1:16">
      <c r="A828"/>
      <c r="B828"/>
      <c r="C828"/>
      <c r="D828"/>
      <c r="E828"/>
      <c r="F828"/>
      <c r="G828"/>
      <c r="H828"/>
      <c r="I828"/>
      <c r="J828"/>
      <c r="K828"/>
      <c r="L828"/>
      <c r="M828"/>
      <c r="N828"/>
      <c r="O828"/>
      <c r="P828"/>
    </row>
    <row r="829" spans="1:16">
      <c r="A829"/>
      <c r="B829"/>
      <c r="C829"/>
      <c r="D829"/>
      <c r="E829"/>
      <c r="F829"/>
      <c r="G829"/>
      <c r="H829"/>
      <c r="I829"/>
      <c r="J829"/>
      <c r="K829"/>
      <c r="L829"/>
      <c r="M829"/>
      <c r="N829"/>
      <c r="O829"/>
      <c r="P829"/>
    </row>
    <row r="830" spans="1:16">
      <c r="A830"/>
      <c r="B830"/>
      <c r="C830"/>
      <c r="D830"/>
      <c r="E830"/>
      <c r="F830"/>
      <c r="G830"/>
      <c r="H830"/>
      <c r="I830"/>
      <c r="J830"/>
      <c r="K830"/>
      <c r="L830"/>
      <c r="M830"/>
      <c r="N830"/>
      <c r="O830"/>
      <c r="P830"/>
    </row>
    <row r="831" spans="1:16">
      <c r="A831"/>
      <c r="B831"/>
      <c r="C831"/>
      <c r="D831"/>
      <c r="E831"/>
      <c r="F831"/>
      <c r="G831"/>
      <c r="H831"/>
      <c r="I831"/>
      <c r="J831"/>
      <c r="K831"/>
      <c r="L831"/>
      <c r="M831"/>
      <c r="N831"/>
      <c r="O831"/>
      <c r="P831"/>
    </row>
    <row r="832" spans="1:16">
      <c r="A832"/>
      <c r="B832"/>
      <c r="C832"/>
      <c r="D832"/>
      <c r="E832"/>
      <c r="F832"/>
      <c r="G832"/>
      <c r="H832"/>
      <c r="I832"/>
      <c r="J832"/>
      <c r="K832"/>
      <c r="L832"/>
      <c r="M832"/>
      <c r="N832"/>
      <c r="O832"/>
      <c r="P832"/>
    </row>
    <row r="833" spans="1:16">
      <c r="A833"/>
      <c r="B833"/>
      <c r="C833"/>
      <c r="D833"/>
      <c r="E833"/>
      <c r="F833"/>
      <c r="G833"/>
      <c r="H833"/>
      <c r="I833"/>
      <c r="J833"/>
      <c r="K833"/>
      <c r="L833"/>
      <c r="M833"/>
      <c r="N833"/>
      <c r="O833"/>
      <c r="P833"/>
    </row>
    <row r="834" spans="1:16">
      <c r="A834"/>
      <c r="B834"/>
      <c r="C834"/>
      <c r="D834"/>
      <c r="E834"/>
      <c r="F834"/>
      <c r="G834"/>
      <c r="H834"/>
      <c r="I834"/>
      <c r="J834"/>
      <c r="K834"/>
      <c r="L834"/>
      <c r="M834"/>
      <c r="N834"/>
      <c r="O834"/>
      <c r="P834"/>
    </row>
    <row r="835" spans="1:16">
      <c r="A835"/>
      <c r="B835"/>
      <c r="C835"/>
      <c r="D835"/>
      <c r="E835"/>
      <c r="F835"/>
      <c r="G835"/>
      <c r="H835"/>
      <c r="I835"/>
      <c r="J835"/>
      <c r="K835"/>
      <c r="L835"/>
      <c r="M835"/>
      <c r="N835"/>
      <c r="O835"/>
      <c r="P835"/>
    </row>
    <row r="836" spans="1:16">
      <c r="A836"/>
      <c r="B836"/>
      <c r="C836"/>
      <c r="D836"/>
      <c r="E836"/>
      <c r="F836"/>
      <c r="G836"/>
      <c r="H836"/>
      <c r="I836"/>
      <c r="J836"/>
      <c r="K836"/>
      <c r="L836"/>
      <c r="M836"/>
      <c r="N836"/>
      <c r="O836"/>
      <c r="P836"/>
    </row>
    <row r="837" spans="1:16">
      <c r="A837"/>
      <c r="B837"/>
      <c r="C837"/>
      <c r="D837"/>
      <c r="E837"/>
      <c r="F837"/>
      <c r="G837"/>
      <c r="H837"/>
      <c r="I837"/>
      <c r="J837"/>
      <c r="K837"/>
      <c r="L837"/>
      <c r="M837"/>
      <c r="N837"/>
      <c r="O837"/>
      <c r="P837"/>
    </row>
    <row r="838" spans="1:16">
      <c r="A838"/>
      <c r="B838"/>
      <c r="C838"/>
      <c r="D838"/>
      <c r="E838"/>
      <c r="F838"/>
      <c r="G838"/>
      <c r="H838"/>
      <c r="I838"/>
      <c r="J838"/>
      <c r="K838"/>
      <c r="L838"/>
      <c r="M838"/>
      <c r="N838"/>
      <c r="O838"/>
      <c r="P838"/>
    </row>
    <row r="839" spans="1:16">
      <c r="A839"/>
      <c r="B839"/>
      <c r="C839"/>
      <c r="D839"/>
      <c r="E839"/>
      <c r="F839"/>
      <c r="G839"/>
      <c r="H839"/>
      <c r="I839"/>
      <c r="J839"/>
      <c r="K839"/>
      <c r="L839"/>
      <c r="M839"/>
      <c r="N839"/>
      <c r="O839"/>
      <c r="P839"/>
    </row>
    <row r="840" spans="1:16">
      <c r="A840"/>
      <c r="B840"/>
      <c r="C840"/>
      <c r="D840"/>
      <c r="E840"/>
      <c r="F840"/>
      <c r="G840"/>
      <c r="H840"/>
      <c r="I840"/>
      <c r="J840"/>
      <c r="K840"/>
      <c r="L840"/>
      <c r="M840"/>
      <c r="N840"/>
      <c r="O840"/>
      <c r="P840"/>
    </row>
    <row r="841" spans="1:16">
      <c r="A841"/>
      <c r="B841"/>
      <c r="C841"/>
      <c r="D841"/>
      <c r="E841"/>
      <c r="F841"/>
      <c r="G841"/>
      <c r="H841"/>
      <c r="I841"/>
      <c r="J841"/>
      <c r="K841"/>
      <c r="L841"/>
      <c r="M841"/>
      <c r="N841"/>
      <c r="O841"/>
      <c r="P841"/>
    </row>
    <row r="842" spans="1:16">
      <c r="A842"/>
      <c r="B842"/>
      <c r="C842"/>
      <c r="D842"/>
      <c r="E842"/>
      <c r="F842"/>
      <c r="G842"/>
      <c r="H842"/>
      <c r="I842"/>
      <c r="J842"/>
      <c r="K842"/>
      <c r="L842"/>
      <c r="M842"/>
      <c r="N842"/>
      <c r="O842"/>
      <c r="P842"/>
    </row>
    <row r="843" spans="1:16">
      <c r="A843"/>
      <c r="B843"/>
      <c r="C843"/>
      <c r="D843"/>
      <c r="E843"/>
      <c r="F843"/>
      <c r="G843"/>
      <c r="H843"/>
      <c r="I843"/>
      <c r="J843"/>
      <c r="K843"/>
      <c r="L843"/>
      <c r="M843"/>
      <c r="N843"/>
      <c r="O843"/>
      <c r="P843"/>
    </row>
    <row r="844" spans="1:16">
      <c r="A844"/>
      <c r="B844"/>
      <c r="C844"/>
      <c r="D844"/>
      <c r="E844"/>
      <c r="F844"/>
      <c r="G844"/>
      <c r="H844"/>
      <c r="I844"/>
      <c r="J844"/>
      <c r="K844"/>
      <c r="L844"/>
      <c r="M844"/>
      <c r="N844"/>
      <c r="O844"/>
      <c r="P844"/>
    </row>
    <row r="845" spans="1:16">
      <c r="A845"/>
      <c r="B845"/>
      <c r="C845"/>
      <c r="D845"/>
      <c r="E845"/>
      <c r="F845"/>
      <c r="G845"/>
      <c r="H845"/>
      <c r="I845"/>
      <c r="J845"/>
      <c r="K845"/>
      <c r="L845"/>
      <c r="M845"/>
      <c r="N845"/>
      <c r="O845"/>
      <c r="P845"/>
    </row>
    <row r="846" spans="1:16">
      <c r="A846"/>
      <c r="B846"/>
      <c r="C846"/>
      <c r="D846"/>
      <c r="E846"/>
      <c r="F846"/>
      <c r="G846"/>
      <c r="H846"/>
      <c r="I846"/>
      <c r="J846"/>
      <c r="K846"/>
      <c r="L846"/>
      <c r="M846"/>
      <c r="N846"/>
      <c r="O846"/>
      <c r="P846"/>
    </row>
    <row r="847" spans="1:16">
      <c r="A847"/>
      <c r="B847"/>
      <c r="C847"/>
      <c r="D847"/>
      <c r="E847"/>
      <c r="F847"/>
      <c r="G847"/>
      <c r="H847"/>
      <c r="I847"/>
      <c r="J847"/>
      <c r="K847"/>
      <c r="L847"/>
      <c r="M847"/>
      <c r="N847"/>
      <c r="O847"/>
      <c r="P847"/>
    </row>
    <row r="848" spans="1:16">
      <c r="A848"/>
      <c r="B848"/>
      <c r="C848"/>
      <c r="D848"/>
      <c r="E848"/>
      <c r="F848"/>
      <c r="G848"/>
      <c r="H848"/>
      <c r="I848"/>
      <c r="J848"/>
      <c r="K848"/>
      <c r="L848"/>
      <c r="M848"/>
      <c r="N848"/>
      <c r="O848"/>
      <c r="P848"/>
    </row>
    <row r="849" spans="1:16">
      <c r="A849"/>
      <c r="B849"/>
      <c r="C849"/>
      <c r="D849"/>
      <c r="E849"/>
      <c r="F849"/>
      <c r="G849"/>
      <c r="H849"/>
      <c r="I849"/>
      <c r="J849"/>
      <c r="K849"/>
      <c r="L849"/>
      <c r="M849"/>
      <c r="N849"/>
      <c r="O849"/>
      <c r="P849"/>
    </row>
    <row r="850" spans="1:16">
      <c r="A850"/>
      <c r="B850"/>
      <c r="C850"/>
      <c r="D850"/>
      <c r="E850"/>
      <c r="F850"/>
      <c r="G850"/>
      <c r="H850"/>
      <c r="I850"/>
      <c r="J850"/>
      <c r="K850"/>
      <c r="L850"/>
      <c r="M850"/>
      <c r="N850"/>
      <c r="O850"/>
      <c r="P850"/>
    </row>
    <row r="851" spans="1:16">
      <c r="A851"/>
      <c r="B851"/>
      <c r="C851"/>
      <c r="D851"/>
      <c r="E851"/>
      <c r="F851"/>
      <c r="G851"/>
      <c r="H851"/>
      <c r="I851"/>
      <c r="J851"/>
      <c r="K851"/>
      <c r="L851"/>
      <c r="M851"/>
      <c r="N851"/>
      <c r="O851"/>
      <c r="P851"/>
    </row>
    <row r="852" spans="1:16">
      <c r="A852"/>
      <c r="B852"/>
      <c r="C852"/>
      <c r="D852"/>
      <c r="E852"/>
      <c r="F852"/>
      <c r="G852"/>
      <c r="H852"/>
      <c r="I852"/>
      <c r="J852"/>
      <c r="K852"/>
      <c r="L852"/>
      <c r="M852"/>
      <c r="N852"/>
      <c r="O852"/>
      <c r="P852"/>
    </row>
    <row r="853" spans="1:16">
      <c r="A853"/>
      <c r="B853"/>
      <c r="C853"/>
      <c r="D853"/>
      <c r="E853"/>
      <c r="F853"/>
      <c r="G853"/>
      <c r="H853"/>
      <c r="I853"/>
      <c r="J853"/>
      <c r="K853"/>
      <c r="L853"/>
      <c r="M853"/>
      <c r="N853"/>
      <c r="O853"/>
      <c r="P853"/>
    </row>
    <row r="854" spans="1:16">
      <c r="A854"/>
      <c r="B854"/>
      <c r="C854"/>
      <c r="D854"/>
      <c r="E854"/>
      <c r="F854"/>
      <c r="G854"/>
      <c r="H854"/>
      <c r="I854"/>
      <c r="J854"/>
      <c r="K854"/>
      <c r="L854"/>
      <c r="M854"/>
      <c r="N854"/>
      <c r="O854"/>
      <c r="P854"/>
    </row>
    <row r="855" spans="1:16">
      <c r="A855"/>
      <c r="B855"/>
      <c r="C855"/>
      <c r="D855"/>
      <c r="E855"/>
      <c r="F855"/>
      <c r="G855"/>
      <c r="H855"/>
      <c r="I855"/>
      <c r="J855"/>
      <c r="K855"/>
      <c r="L855"/>
      <c r="M855"/>
      <c r="N855"/>
      <c r="O855"/>
      <c r="P855"/>
    </row>
    <row r="856" spans="1:16">
      <c r="A856"/>
      <c r="B856"/>
      <c r="C856"/>
      <c r="D856"/>
      <c r="E856"/>
      <c r="F856"/>
      <c r="G856"/>
      <c r="H856"/>
      <c r="I856"/>
      <c r="J856"/>
      <c r="K856"/>
      <c r="L856"/>
      <c r="M856"/>
      <c r="N856"/>
      <c r="O856"/>
      <c r="P856"/>
    </row>
    <row r="857" spans="1:16">
      <c r="A857"/>
      <c r="B857"/>
      <c r="C857"/>
      <c r="D857"/>
      <c r="E857"/>
      <c r="F857"/>
      <c r="G857"/>
      <c r="H857"/>
      <c r="I857"/>
      <c r="J857"/>
      <c r="K857"/>
      <c r="L857"/>
      <c r="M857"/>
      <c r="N857"/>
      <c r="O857"/>
      <c r="P857"/>
    </row>
    <row r="858" spans="1:16">
      <c r="A858"/>
      <c r="B858"/>
      <c r="C858"/>
      <c r="D858"/>
      <c r="E858"/>
      <c r="F858"/>
      <c r="G858"/>
      <c r="H858"/>
      <c r="I858"/>
      <c r="J858"/>
      <c r="K858"/>
      <c r="L858"/>
      <c r="M858"/>
      <c r="N858"/>
      <c r="O858"/>
      <c r="P858"/>
    </row>
    <row r="859" spans="1:16">
      <c r="A859"/>
      <c r="B859"/>
      <c r="C859"/>
      <c r="D859"/>
      <c r="E859"/>
      <c r="F859"/>
      <c r="G859"/>
      <c r="H859"/>
      <c r="I859"/>
      <c r="J859"/>
      <c r="K859"/>
      <c r="L859"/>
      <c r="M859"/>
      <c r="N859"/>
      <c r="O859"/>
      <c r="P859"/>
    </row>
    <row r="860" spans="1:16">
      <c r="A860"/>
      <c r="B860"/>
      <c r="C860"/>
      <c r="D860"/>
      <c r="E860"/>
      <c r="F860"/>
      <c r="G860"/>
      <c r="H860"/>
      <c r="I860"/>
      <c r="J860"/>
      <c r="K860"/>
      <c r="L860"/>
      <c r="M860"/>
      <c r="N860"/>
      <c r="O860"/>
      <c r="P860"/>
    </row>
    <row r="861" spans="1:16">
      <c r="A861"/>
      <c r="B861"/>
      <c r="C861"/>
      <c r="D861"/>
      <c r="E861"/>
      <c r="F861"/>
      <c r="G861"/>
      <c r="H861"/>
      <c r="I861"/>
      <c r="J861"/>
      <c r="K861"/>
      <c r="L861"/>
      <c r="M861"/>
      <c r="N861"/>
      <c r="O861"/>
      <c r="P861"/>
    </row>
    <row r="862" spans="1:16">
      <c r="A862"/>
      <c r="B862"/>
      <c r="C862"/>
      <c r="D862"/>
      <c r="E862"/>
      <c r="F862"/>
      <c r="G862"/>
      <c r="H862"/>
      <c r="I862"/>
      <c r="J862"/>
      <c r="K862"/>
      <c r="L862"/>
      <c r="M862"/>
      <c r="N862"/>
      <c r="O862"/>
      <c r="P862"/>
    </row>
    <row r="863" spans="1:16">
      <c r="A863"/>
      <c r="B863"/>
      <c r="C863"/>
      <c r="D863"/>
      <c r="E863"/>
      <c r="F863"/>
      <c r="G863"/>
      <c r="H863"/>
      <c r="I863"/>
      <c r="J863"/>
      <c r="K863"/>
      <c r="L863"/>
      <c r="M863"/>
      <c r="N863"/>
      <c r="O863"/>
      <c r="P863"/>
    </row>
    <row r="864" spans="1:16">
      <c r="A864"/>
      <c r="B864"/>
      <c r="C864"/>
      <c r="D864"/>
      <c r="E864"/>
      <c r="F864"/>
      <c r="G864"/>
      <c r="H864"/>
      <c r="I864"/>
      <c r="J864"/>
      <c r="K864"/>
      <c r="L864"/>
      <c r="M864"/>
      <c r="N864"/>
      <c r="O864"/>
      <c r="P864"/>
    </row>
    <row r="865" spans="1:16">
      <c r="A865"/>
      <c r="B865"/>
      <c r="C865"/>
      <c r="D865"/>
      <c r="E865"/>
      <c r="F865"/>
      <c r="G865"/>
      <c r="H865"/>
      <c r="I865"/>
      <c r="J865"/>
      <c r="K865"/>
      <c r="L865"/>
      <c r="M865"/>
      <c r="N865"/>
      <c r="O865"/>
      <c r="P865"/>
    </row>
    <row r="866" spans="1:16">
      <c r="A866"/>
      <c r="B866"/>
      <c r="C866"/>
      <c r="D866"/>
      <c r="E866"/>
      <c r="F866"/>
      <c r="G866"/>
      <c r="H866"/>
      <c r="I866"/>
      <c r="J866"/>
      <c r="K866"/>
      <c r="L866"/>
      <c r="M866"/>
      <c r="N866"/>
      <c r="O866"/>
      <c r="P866"/>
    </row>
    <row r="867" spans="1:16">
      <c r="A867"/>
      <c r="B867"/>
      <c r="C867"/>
      <c r="D867"/>
      <c r="E867"/>
      <c r="F867"/>
      <c r="G867"/>
      <c r="H867"/>
      <c r="I867"/>
      <c r="J867"/>
      <c r="K867"/>
      <c r="L867"/>
      <c r="M867"/>
      <c r="N867"/>
      <c r="O867"/>
      <c r="P867"/>
    </row>
    <row r="868" spans="1:16">
      <c r="A868"/>
      <c r="B868"/>
      <c r="C868"/>
      <c r="D868"/>
      <c r="E868"/>
      <c r="F868"/>
      <c r="G868"/>
      <c r="H868"/>
      <c r="I868"/>
      <c r="J868"/>
      <c r="K868"/>
      <c r="L868"/>
      <c r="M868"/>
      <c r="N868"/>
      <c r="O868"/>
      <c r="P868"/>
    </row>
    <row r="869" spans="1:16">
      <c r="A869"/>
      <c r="B869"/>
      <c r="C869"/>
      <c r="D869"/>
      <c r="E869"/>
      <c r="F869"/>
      <c r="G869"/>
      <c r="H869"/>
      <c r="I869"/>
      <c r="J869"/>
      <c r="K869"/>
      <c r="L869"/>
      <c r="M869"/>
      <c r="N869"/>
      <c r="O869"/>
      <c r="P869"/>
    </row>
    <row r="870" spans="1:16">
      <c r="A870"/>
      <c r="B870"/>
      <c r="C870"/>
      <c r="D870"/>
      <c r="E870"/>
      <c r="F870"/>
      <c r="G870"/>
      <c r="H870"/>
      <c r="I870"/>
      <c r="J870"/>
      <c r="K870"/>
      <c r="L870"/>
      <c r="M870"/>
      <c r="N870"/>
      <c r="O870"/>
      <c r="P870"/>
    </row>
    <row r="871" spans="1:16">
      <c r="A871"/>
      <c r="B871"/>
      <c r="C871"/>
      <c r="D871"/>
      <c r="E871"/>
      <c r="F871"/>
      <c r="G871"/>
      <c r="H871"/>
      <c r="I871"/>
      <c r="J871"/>
      <c r="K871"/>
      <c r="L871"/>
      <c r="M871"/>
      <c r="N871"/>
      <c r="O871"/>
      <c r="P871"/>
    </row>
    <row r="872" spans="1:16">
      <c r="A872"/>
      <c r="B872"/>
      <c r="C872"/>
      <c r="D872"/>
      <c r="E872"/>
      <c r="F872"/>
      <c r="G872"/>
      <c r="H872"/>
      <c r="I872"/>
      <c r="J872"/>
      <c r="K872"/>
      <c r="L872"/>
      <c r="M872"/>
      <c r="N872"/>
      <c r="O872"/>
      <c r="P872"/>
    </row>
    <row r="873" spans="1:16">
      <c r="A873"/>
      <c r="B873"/>
      <c r="C873"/>
      <c r="D873"/>
      <c r="E873"/>
      <c r="F873"/>
      <c r="G873"/>
      <c r="H873"/>
      <c r="I873"/>
      <c r="J873"/>
      <c r="K873"/>
      <c r="L873"/>
      <c r="M873"/>
      <c r="N873"/>
      <c r="O873"/>
      <c r="P873"/>
    </row>
    <row r="874" spans="1:16">
      <c r="A874"/>
      <c r="B874"/>
      <c r="C874"/>
      <c r="D874"/>
      <c r="E874"/>
      <c r="F874"/>
      <c r="G874"/>
      <c r="H874"/>
      <c r="I874"/>
      <c r="J874"/>
      <c r="K874"/>
      <c r="L874"/>
      <c r="M874"/>
      <c r="N874"/>
      <c r="O874"/>
      <c r="P874"/>
    </row>
    <row r="875" spans="1:16">
      <c r="A875"/>
      <c r="B875"/>
      <c r="C875"/>
      <c r="D875"/>
      <c r="E875"/>
      <c r="F875"/>
      <c r="G875"/>
      <c r="H875"/>
      <c r="I875"/>
      <c r="J875"/>
      <c r="K875"/>
      <c r="L875"/>
      <c r="M875"/>
      <c r="N875"/>
      <c r="O875"/>
      <c r="P875"/>
    </row>
    <row r="876" spans="1:16">
      <c r="A876"/>
      <c r="B876"/>
      <c r="C876"/>
      <c r="D876"/>
      <c r="E876"/>
      <c r="F876"/>
      <c r="G876"/>
      <c r="H876"/>
      <c r="I876"/>
      <c r="J876"/>
      <c r="K876"/>
      <c r="L876"/>
      <c r="M876"/>
      <c r="N876"/>
      <c r="O876"/>
      <c r="P876"/>
    </row>
    <row r="877" spans="1:16">
      <c r="A877"/>
      <c r="B877"/>
      <c r="C877"/>
      <c r="D877"/>
      <c r="E877"/>
      <c r="F877"/>
      <c r="G877"/>
      <c r="H877"/>
      <c r="I877"/>
      <c r="J877"/>
      <c r="K877"/>
      <c r="L877"/>
      <c r="M877"/>
      <c r="N877"/>
      <c r="O877"/>
      <c r="P877"/>
    </row>
    <row r="878" spans="1:16">
      <c r="A878"/>
      <c r="B878"/>
      <c r="C878"/>
      <c r="D878"/>
      <c r="E878"/>
      <c r="F878"/>
      <c r="G878"/>
      <c r="H878"/>
      <c r="I878"/>
      <c r="J878"/>
      <c r="K878"/>
      <c r="L878"/>
      <c r="M878"/>
      <c r="N878"/>
      <c r="O878"/>
      <c r="P878"/>
    </row>
    <row r="879" spans="1:16">
      <c r="A879"/>
      <c r="B879"/>
      <c r="C879"/>
      <c r="D879"/>
      <c r="E879"/>
      <c r="F879"/>
      <c r="G879"/>
      <c r="H879"/>
      <c r="I879"/>
      <c r="J879"/>
      <c r="K879"/>
      <c r="L879"/>
      <c r="M879"/>
      <c r="N879"/>
      <c r="O879"/>
      <c r="P879"/>
    </row>
    <row r="880" spans="1:16">
      <c r="A880"/>
      <c r="B880"/>
      <c r="C880"/>
      <c r="D880"/>
      <c r="E880"/>
      <c r="F880"/>
      <c r="G880"/>
      <c r="H880"/>
      <c r="I880"/>
      <c r="J880"/>
      <c r="K880"/>
      <c r="L880"/>
      <c r="M880"/>
      <c r="N880"/>
      <c r="O880"/>
      <c r="P880"/>
    </row>
    <row r="881" spans="1:16">
      <c r="A881"/>
      <c r="B881"/>
      <c r="C881"/>
      <c r="D881"/>
      <c r="E881"/>
      <c r="F881"/>
      <c r="G881"/>
      <c r="H881"/>
      <c r="I881"/>
      <c r="J881"/>
      <c r="K881"/>
      <c r="L881"/>
      <c r="M881"/>
      <c r="N881"/>
      <c r="O881"/>
      <c r="P881"/>
    </row>
    <row r="882" spans="1:16">
      <c r="A882"/>
      <c r="B882"/>
      <c r="C882"/>
      <c r="D882"/>
      <c r="E882"/>
      <c r="F882"/>
      <c r="G882"/>
      <c r="H882"/>
      <c r="I882"/>
      <c r="J882"/>
      <c r="K882"/>
      <c r="L882"/>
      <c r="M882"/>
      <c r="N882"/>
      <c r="O882"/>
      <c r="P882"/>
    </row>
    <row r="883" spans="1:16">
      <c r="A883"/>
      <c r="B883"/>
      <c r="C883"/>
      <c r="D883"/>
      <c r="E883"/>
      <c r="F883"/>
      <c r="G883"/>
      <c r="H883"/>
      <c r="I883"/>
      <c r="J883"/>
      <c r="K883"/>
      <c r="L883"/>
      <c r="M883"/>
      <c r="N883"/>
      <c r="O883"/>
      <c r="P883"/>
    </row>
    <row r="884" spans="1:16">
      <c r="A884"/>
      <c r="B884"/>
      <c r="C884"/>
      <c r="D884"/>
      <c r="E884"/>
      <c r="F884"/>
      <c r="G884"/>
      <c r="H884"/>
      <c r="I884"/>
      <c r="J884"/>
      <c r="K884"/>
      <c r="L884"/>
      <c r="M884"/>
      <c r="N884"/>
      <c r="O884"/>
      <c r="P884"/>
    </row>
    <row r="885" spans="1:16">
      <c r="A885"/>
      <c r="B885"/>
      <c r="C885"/>
      <c r="D885"/>
      <c r="E885"/>
      <c r="F885"/>
      <c r="G885"/>
      <c r="H885"/>
      <c r="I885"/>
      <c r="J885"/>
      <c r="K885"/>
      <c r="L885"/>
      <c r="M885"/>
      <c r="N885"/>
      <c r="O885"/>
      <c r="P885"/>
    </row>
    <row r="886" spans="1:16">
      <c r="A886"/>
      <c r="B886"/>
      <c r="C886"/>
      <c r="D886"/>
      <c r="E886"/>
      <c r="F886"/>
      <c r="G886"/>
      <c r="H886"/>
      <c r="I886"/>
      <c r="J886"/>
      <c r="K886"/>
      <c r="L886"/>
      <c r="M886"/>
      <c r="N886"/>
      <c r="O886"/>
      <c r="P886"/>
    </row>
    <row r="887" spans="1:16">
      <c r="A887"/>
      <c r="B887"/>
      <c r="C887"/>
      <c r="D887"/>
      <c r="E887"/>
      <c r="F887"/>
      <c r="G887"/>
      <c r="H887"/>
      <c r="I887"/>
      <c r="J887"/>
      <c r="K887"/>
      <c r="L887"/>
      <c r="M887"/>
      <c r="N887"/>
      <c r="O887"/>
      <c r="P887"/>
    </row>
    <row r="888" spans="1:16">
      <c r="A888"/>
      <c r="B888"/>
      <c r="C888"/>
      <c r="D888"/>
      <c r="E888"/>
      <c r="F888"/>
      <c r="G888"/>
      <c r="H888"/>
      <c r="I888"/>
      <c r="J888"/>
      <c r="K888"/>
      <c r="L888"/>
      <c r="M888"/>
      <c r="N888"/>
      <c r="O888"/>
      <c r="P888"/>
    </row>
    <row r="889" spans="1:16">
      <c r="A889"/>
      <c r="B889"/>
      <c r="C889"/>
      <c r="D889"/>
      <c r="E889"/>
      <c r="F889"/>
      <c r="G889"/>
      <c r="H889"/>
      <c r="I889"/>
      <c r="J889"/>
      <c r="K889"/>
      <c r="L889"/>
      <c r="M889"/>
      <c r="N889"/>
      <c r="O889"/>
      <c r="P889"/>
    </row>
    <row r="890" spans="1:16">
      <c r="A890"/>
      <c r="B890"/>
      <c r="C890"/>
      <c r="D890"/>
      <c r="E890"/>
      <c r="F890"/>
      <c r="G890"/>
      <c r="H890"/>
      <c r="I890"/>
      <c r="J890"/>
      <c r="K890"/>
      <c r="L890"/>
      <c r="M890"/>
      <c r="N890"/>
      <c r="O890"/>
      <c r="P890"/>
    </row>
    <row r="891" spans="1:16">
      <c r="A891"/>
      <c r="B891"/>
      <c r="C891"/>
      <c r="D891"/>
      <c r="E891"/>
      <c r="F891"/>
      <c r="G891"/>
      <c r="H891"/>
      <c r="I891"/>
      <c r="J891"/>
      <c r="K891"/>
      <c r="L891"/>
      <c r="M891"/>
      <c r="N891"/>
      <c r="O891"/>
      <c r="P891"/>
    </row>
    <row r="892" spans="1:16">
      <c r="A892"/>
      <c r="B892"/>
      <c r="C892"/>
      <c r="D892"/>
      <c r="E892"/>
      <c r="F892"/>
      <c r="G892"/>
      <c r="H892"/>
      <c r="I892"/>
      <c r="J892"/>
      <c r="K892"/>
      <c r="L892"/>
      <c r="M892"/>
      <c r="N892"/>
      <c r="O892"/>
      <c r="P892"/>
    </row>
    <row r="893" spans="1:16">
      <c r="A893"/>
      <c r="B893"/>
      <c r="C893"/>
      <c r="D893"/>
      <c r="E893"/>
      <c r="F893"/>
      <c r="G893"/>
      <c r="H893"/>
      <c r="I893"/>
      <c r="J893"/>
      <c r="K893"/>
      <c r="L893"/>
      <c r="M893"/>
      <c r="N893"/>
      <c r="O893"/>
      <c r="P893"/>
    </row>
    <row r="894" spans="1:16">
      <c r="A894"/>
      <c r="B894"/>
      <c r="C894"/>
      <c r="D894"/>
      <c r="E894"/>
      <c r="F894"/>
      <c r="G894"/>
      <c r="H894"/>
      <c r="I894"/>
      <c r="J894"/>
      <c r="K894"/>
      <c r="L894"/>
      <c r="M894"/>
      <c r="N894"/>
      <c r="O894"/>
      <c r="P894"/>
    </row>
    <row r="895" spans="1:16">
      <c r="A895"/>
      <c r="B895"/>
      <c r="C895"/>
      <c r="D895"/>
      <c r="E895"/>
      <c r="F895"/>
      <c r="G895"/>
      <c r="H895"/>
      <c r="I895"/>
      <c r="J895"/>
      <c r="K895"/>
      <c r="L895"/>
      <c r="M895"/>
      <c r="N895"/>
      <c r="O895"/>
      <c r="P895"/>
    </row>
    <row r="896" spans="1:16">
      <c r="A896"/>
      <c r="B896"/>
      <c r="C896"/>
      <c r="D896"/>
      <c r="E896"/>
      <c r="F896"/>
      <c r="G896"/>
      <c r="H896"/>
      <c r="I896"/>
      <c r="J896"/>
      <c r="K896"/>
      <c r="L896"/>
      <c r="M896"/>
      <c r="N896"/>
      <c r="O896"/>
      <c r="P896"/>
    </row>
    <row r="897" spans="1:16">
      <c r="A897"/>
      <c r="B897"/>
      <c r="C897"/>
      <c r="D897"/>
      <c r="E897"/>
      <c r="F897"/>
      <c r="G897"/>
      <c r="H897"/>
      <c r="I897"/>
      <c r="J897"/>
      <c r="K897"/>
      <c r="L897"/>
      <c r="M897"/>
      <c r="N897"/>
      <c r="O897"/>
      <c r="P897"/>
    </row>
    <row r="898" spans="1:16">
      <c r="A898"/>
      <c r="B898"/>
      <c r="C898"/>
      <c r="D898"/>
      <c r="E898"/>
      <c r="F898"/>
      <c r="G898"/>
      <c r="H898"/>
      <c r="I898"/>
      <c r="J898"/>
      <c r="K898"/>
      <c r="L898"/>
      <c r="M898"/>
      <c r="N898"/>
      <c r="O898"/>
      <c r="P898"/>
    </row>
    <row r="899" spans="1:16">
      <c r="A899"/>
      <c r="B899"/>
      <c r="C899"/>
      <c r="D899"/>
      <c r="E899"/>
      <c r="F899"/>
      <c r="G899"/>
      <c r="H899"/>
      <c r="I899"/>
      <c r="J899"/>
      <c r="K899"/>
      <c r="L899"/>
      <c r="M899"/>
      <c r="N899"/>
      <c r="O899"/>
      <c r="P899"/>
    </row>
    <row r="900" spans="1:16">
      <c r="A900"/>
      <c r="B900"/>
      <c r="C900"/>
      <c r="D900"/>
      <c r="E900"/>
      <c r="F900"/>
      <c r="G900"/>
      <c r="H900"/>
      <c r="I900"/>
      <c r="J900"/>
      <c r="K900"/>
      <c r="L900"/>
      <c r="M900"/>
      <c r="N900"/>
      <c r="O900"/>
      <c r="P900"/>
    </row>
    <row r="901" spans="1:16">
      <c r="A901"/>
      <c r="B901"/>
      <c r="C901"/>
      <c r="D901"/>
      <c r="E901"/>
      <c r="F901"/>
      <c r="G901"/>
      <c r="H901"/>
      <c r="I901"/>
      <c r="J901"/>
      <c r="K901"/>
      <c r="L901"/>
      <c r="M901"/>
      <c r="N901"/>
      <c r="O901"/>
      <c r="P901"/>
    </row>
    <row r="902" spans="1:16">
      <c r="A902"/>
      <c r="B902"/>
      <c r="C902"/>
      <c r="D902"/>
      <c r="E902"/>
      <c r="F902"/>
      <c r="G902"/>
      <c r="H902"/>
      <c r="I902"/>
      <c r="J902"/>
      <c r="K902"/>
      <c r="L902"/>
      <c r="M902"/>
      <c r="N902"/>
      <c r="O902"/>
      <c r="P902"/>
    </row>
    <row r="903" spans="1:16">
      <c r="A903"/>
      <c r="B903"/>
      <c r="C903"/>
      <c r="D903"/>
      <c r="E903"/>
      <c r="F903"/>
      <c r="G903"/>
      <c r="H903"/>
      <c r="I903"/>
      <c r="J903"/>
      <c r="K903"/>
      <c r="L903"/>
      <c r="M903"/>
      <c r="N903"/>
      <c r="O903"/>
      <c r="P903"/>
    </row>
    <row r="904" spans="1:16">
      <c r="A904"/>
      <c r="B904"/>
      <c r="C904"/>
      <c r="D904"/>
      <c r="E904"/>
      <c r="F904"/>
      <c r="G904"/>
      <c r="H904"/>
      <c r="I904"/>
      <c r="J904"/>
      <c r="K904"/>
      <c r="L904"/>
      <c r="M904"/>
      <c r="N904"/>
      <c r="O904"/>
      <c r="P904"/>
    </row>
    <row r="905" spans="1:16">
      <c r="A905"/>
      <c r="B905"/>
      <c r="C905"/>
      <c r="D905"/>
      <c r="E905"/>
      <c r="F905"/>
      <c r="G905"/>
      <c r="H905"/>
      <c r="I905"/>
      <c r="J905"/>
      <c r="K905"/>
      <c r="L905"/>
      <c r="M905"/>
      <c r="N905"/>
      <c r="O905"/>
      <c r="P905"/>
    </row>
    <row r="906" spans="1:16">
      <c r="A906"/>
      <c r="B906"/>
      <c r="C906"/>
      <c r="D906"/>
      <c r="E906"/>
      <c r="F906"/>
      <c r="G906"/>
      <c r="H906"/>
      <c r="I906"/>
      <c r="J906"/>
      <c r="K906"/>
      <c r="L906"/>
      <c r="M906"/>
      <c r="N906"/>
      <c r="O906"/>
      <c r="P906"/>
    </row>
    <row r="907" spans="1:16">
      <c r="A907"/>
      <c r="B907"/>
      <c r="C907"/>
      <c r="D907"/>
      <c r="E907"/>
      <c r="F907"/>
      <c r="G907"/>
      <c r="H907"/>
      <c r="I907"/>
      <c r="J907"/>
      <c r="K907"/>
      <c r="L907"/>
      <c r="M907"/>
      <c r="N907"/>
      <c r="O907"/>
      <c r="P907"/>
    </row>
    <row r="908" spans="1:16">
      <c r="A908"/>
      <c r="B908"/>
      <c r="C908"/>
      <c r="D908"/>
      <c r="E908"/>
      <c r="F908"/>
      <c r="G908"/>
      <c r="H908"/>
      <c r="I908"/>
      <c r="J908"/>
      <c r="K908"/>
      <c r="L908"/>
      <c r="M908"/>
      <c r="N908"/>
      <c r="O908"/>
      <c r="P908"/>
    </row>
    <row r="909" spans="1:16">
      <c r="A909"/>
      <c r="B909"/>
      <c r="C909"/>
      <c r="D909"/>
      <c r="E909"/>
      <c r="F909"/>
      <c r="G909"/>
      <c r="H909"/>
      <c r="I909"/>
      <c r="J909"/>
      <c r="K909"/>
      <c r="L909"/>
      <c r="M909"/>
      <c r="N909"/>
      <c r="O909"/>
      <c r="P909"/>
    </row>
    <row r="910" spans="1:16">
      <c r="A910"/>
      <c r="B910"/>
      <c r="C910"/>
      <c r="D910"/>
      <c r="E910"/>
      <c r="F910"/>
      <c r="G910"/>
      <c r="H910"/>
      <c r="I910"/>
      <c r="J910"/>
      <c r="K910"/>
      <c r="L910"/>
      <c r="M910"/>
      <c r="N910"/>
      <c r="O910"/>
      <c r="P910"/>
    </row>
    <row r="911" spans="1:16">
      <c r="A911"/>
      <c r="B911"/>
      <c r="C911"/>
      <c r="D911"/>
      <c r="E911"/>
      <c r="F911"/>
      <c r="G911"/>
      <c r="H911"/>
      <c r="I911"/>
      <c r="J911"/>
      <c r="K911"/>
      <c r="L911"/>
      <c r="M911"/>
      <c r="N911"/>
      <c r="O911"/>
      <c r="P911"/>
    </row>
    <row r="912" spans="1:16">
      <c r="A912"/>
      <c r="B912"/>
      <c r="C912"/>
      <c r="D912"/>
      <c r="E912"/>
      <c r="F912"/>
      <c r="G912"/>
      <c r="H912"/>
      <c r="I912"/>
      <c r="J912"/>
      <c r="K912"/>
      <c r="L912"/>
      <c r="M912"/>
      <c r="N912"/>
      <c r="O912"/>
      <c r="P912"/>
    </row>
    <row r="913" spans="1:16">
      <c r="A913"/>
      <c r="B913"/>
      <c r="C913"/>
      <c r="D913"/>
      <c r="E913"/>
      <c r="F913"/>
      <c r="G913"/>
      <c r="H913"/>
      <c r="I913"/>
      <c r="J913"/>
      <c r="K913"/>
      <c r="L913"/>
      <c r="M913"/>
      <c r="N913"/>
      <c r="O913"/>
      <c r="P913"/>
    </row>
    <row r="914" spans="1:16">
      <c r="A914"/>
      <c r="B914"/>
      <c r="C914"/>
      <c r="D914"/>
      <c r="E914"/>
      <c r="F914"/>
      <c r="G914"/>
      <c r="H914"/>
      <c r="I914"/>
      <c r="J914"/>
      <c r="K914"/>
      <c r="L914"/>
      <c r="M914"/>
      <c r="N914"/>
      <c r="O914"/>
      <c r="P914"/>
    </row>
    <row r="915" spans="1:16">
      <c r="A915"/>
      <c r="B915"/>
      <c r="C915"/>
      <c r="D915"/>
      <c r="E915"/>
      <c r="F915"/>
      <c r="G915"/>
      <c r="H915"/>
      <c r="I915"/>
      <c r="J915"/>
      <c r="K915"/>
      <c r="L915"/>
      <c r="M915"/>
      <c r="N915"/>
      <c r="O915"/>
      <c r="P915"/>
    </row>
    <row r="916" spans="1:16">
      <c r="A916"/>
      <c r="B916"/>
      <c r="C916"/>
      <c r="D916"/>
      <c r="E916"/>
      <c r="F916"/>
      <c r="G916"/>
      <c r="H916"/>
      <c r="I916"/>
      <c r="J916"/>
      <c r="K916"/>
      <c r="L916"/>
      <c r="M916"/>
      <c r="N916"/>
      <c r="O916"/>
      <c r="P916"/>
    </row>
    <row r="917" spans="1:16">
      <c r="A917"/>
      <c r="B917"/>
      <c r="C917"/>
      <c r="D917"/>
      <c r="E917"/>
      <c r="F917"/>
      <c r="G917"/>
      <c r="H917"/>
      <c r="I917"/>
      <c r="J917"/>
      <c r="K917"/>
      <c r="L917"/>
      <c r="M917"/>
      <c r="N917"/>
      <c r="O917"/>
      <c r="P917"/>
    </row>
    <row r="918" spans="1:16">
      <c r="A918"/>
      <c r="B918"/>
      <c r="C918"/>
      <c r="D918"/>
      <c r="E918"/>
      <c r="F918"/>
      <c r="G918"/>
      <c r="H918"/>
      <c r="I918"/>
      <c r="J918"/>
      <c r="K918"/>
      <c r="L918"/>
      <c r="M918"/>
      <c r="N918"/>
      <c r="O918"/>
      <c r="P918"/>
    </row>
    <row r="919" spans="1:16">
      <c r="A919"/>
      <c r="B919"/>
      <c r="C919"/>
      <c r="D919"/>
      <c r="E919"/>
      <c r="F919"/>
      <c r="G919"/>
      <c r="H919"/>
      <c r="I919"/>
      <c r="J919"/>
      <c r="K919"/>
      <c r="L919"/>
      <c r="M919"/>
      <c r="N919"/>
      <c r="O919"/>
      <c r="P919"/>
    </row>
    <row r="920" spans="1:16">
      <c r="A920"/>
      <c r="B920"/>
      <c r="C920"/>
      <c r="D920"/>
      <c r="E920"/>
      <c r="F920"/>
      <c r="G920"/>
      <c r="H920"/>
      <c r="I920"/>
      <c r="J920"/>
      <c r="K920"/>
      <c r="L920"/>
      <c r="M920"/>
      <c r="N920"/>
      <c r="O920"/>
      <c r="P920"/>
    </row>
    <row r="921" spans="1:16">
      <c r="A921"/>
      <c r="B921"/>
      <c r="C921"/>
      <c r="D921"/>
      <c r="E921"/>
      <c r="F921"/>
      <c r="G921"/>
      <c r="H921"/>
      <c r="I921"/>
      <c r="J921"/>
      <c r="K921"/>
      <c r="L921"/>
      <c r="M921"/>
      <c r="N921"/>
      <c r="O921"/>
      <c r="P921"/>
    </row>
    <row r="922" spans="1:16">
      <c r="A922"/>
      <c r="B922"/>
      <c r="C922"/>
      <c r="D922"/>
      <c r="E922"/>
      <c r="F922"/>
      <c r="G922"/>
      <c r="H922"/>
      <c r="I922"/>
      <c r="J922"/>
      <c r="K922"/>
      <c r="L922"/>
      <c r="M922"/>
      <c r="N922"/>
      <c r="O922"/>
      <c r="P922"/>
    </row>
    <row r="923" spans="1:16">
      <c r="A923"/>
      <c r="B923"/>
      <c r="C923"/>
      <c r="D923"/>
      <c r="E923"/>
      <c r="F923"/>
      <c r="G923"/>
      <c r="H923"/>
      <c r="I923"/>
      <c r="J923"/>
      <c r="K923"/>
      <c r="L923"/>
      <c r="M923"/>
      <c r="N923"/>
      <c r="O923"/>
      <c r="P923"/>
    </row>
    <row r="924" spans="1:16">
      <c r="A924"/>
      <c r="B924"/>
      <c r="C924"/>
      <c r="D924"/>
      <c r="E924"/>
      <c r="F924"/>
      <c r="G924"/>
      <c r="H924"/>
      <c r="I924"/>
      <c r="J924"/>
      <c r="K924"/>
      <c r="L924"/>
      <c r="M924"/>
      <c r="N924"/>
      <c r="O924"/>
      <c r="P924"/>
    </row>
    <row r="925" spans="1:16">
      <c r="A925"/>
      <c r="B925"/>
      <c r="C925"/>
      <c r="D925"/>
      <c r="E925"/>
      <c r="F925"/>
      <c r="G925"/>
      <c r="H925"/>
      <c r="I925"/>
      <c r="J925"/>
      <c r="K925"/>
      <c r="L925"/>
      <c r="M925"/>
      <c r="N925"/>
      <c r="O925"/>
      <c r="P925"/>
    </row>
    <row r="926" spans="1:16">
      <c r="A926"/>
      <c r="B926"/>
      <c r="C926"/>
      <c r="D926"/>
      <c r="E926"/>
      <c r="F926"/>
      <c r="G926"/>
      <c r="H926"/>
      <c r="I926"/>
      <c r="J926"/>
      <c r="K926"/>
      <c r="L926"/>
      <c r="M926"/>
      <c r="N926"/>
      <c r="O926"/>
      <c r="P926"/>
    </row>
    <row r="927" spans="1:16">
      <c r="A927"/>
      <c r="B927"/>
      <c r="C927"/>
      <c r="D927"/>
      <c r="E927"/>
      <c r="F927"/>
      <c r="G927"/>
      <c r="H927"/>
      <c r="I927"/>
      <c r="J927"/>
      <c r="K927"/>
      <c r="L927"/>
      <c r="M927"/>
      <c r="N927"/>
      <c r="O927"/>
      <c r="P927"/>
    </row>
    <row r="928" spans="1:16">
      <c r="A928"/>
      <c r="B928"/>
      <c r="C928"/>
      <c r="D928"/>
      <c r="E928"/>
      <c r="F928"/>
      <c r="G928"/>
      <c r="H928"/>
      <c r="I928"/>
      <c r="J928"/>
      <c r="K928"/>
      <c r="L928"/>
      <c r="M928"/>
      <c r="N928"/>
      <c r="O928"/>
      <c r="P928"/>
    </row>
    <row r="929" spans="1:16">
      <c r="A929"/>
      <c r="B929"/>
      <c r="C929"/>
      <c r="D929"/>
      <c r="E929"/>
      <c r="F929"/>
      <c r="G929"/>
      <c r="H929"/>
      <c r="I929"/>
      <c r="J929"/>
      <c r="K929"/>
      <c r="L929"/>
      <c r="M929"/>
      <c r="N929"/>
      <c r="O929"/>
      <c r="P929"/>
    </row>
    <row r="930" spans="1:16">
      <c r="A930"/>
      <c r="B930"/>
      <c r="C930"/>
      <c r="D930"/>
      <c r="E930"/>
      <c r="F930"/>
      <c r="G930"/>
      <c r="H930"/>
      <c r="I930"/>
      <c r="J930"/>
      <c r="K930"/>
      <c r="L930"/>
      <c r="M930"/>
      <c r="N930"/>
      <c r="O930"/>
      <c r="P930"/>
    </row>
    <row r="931" spans="1:16">
      <c r="A931"/>
      <c r="B931"/>
      <c r="C931"/>
      <c r="D931"/>
      <c r="E931"/>
      <c r="F931"/>
      <c r="G931"/>
      <c r="H931"/>
      <c r="I931"/>
      <c r="J931"/>
      <c r="K931"/>
      <c r="L931"/>
      <c r="M931"/>
      <c r="N931"/>
      <c r="O931"/>
      <c r="P931"/>
    </row>
    <row r="932" spans="1:16">
      <c r="A932"/>
      <c r="B932"/>
      <c r="C932"/>
      <c r="D932"/>
      <c r="E932"/>
      <c r="F932"/>
      <c r="G932"/>
      <c r="H932"/>
      <c r="I932"/>
      <c r="J932"/>
      <c r="K932"/>
      <c r="L932"/>
      <c r="M932"/>
      <c r="N932"/>
      <c r="O932"/>
      <c r="P932"/>
    </row>
    <row r="933" spans="1:16">
      <c r="A933"/>
      <c r="B933"/>
      <c r="C933"/>
      <c r="D933"/>
      <c r="E933"/>
      <c r="F933"/>
      <c r="G933"/>
      <c r="H933"/>
      <c r="I933"/>
      <c r="J933"/>
      <c r="K933"/>
      <c r="L933"/>
      <c r="M933"/>
      <c r="N933"/>
      <c r="O933"/>
      <c r="P933"/>
    </row>
    <row r="934" spans="1:16">
      <c r="A934"/>
      <c r="B934"/>
      <c r="C934"/>
      <c r="D934"/>
      <c r="E934"/>
      <c r="F934"/>
      <c r="G934"/>
      <c r="H934"/>
      <c r="I934"/>
      <c r="J934"/>
      <c r="K934"/>
      <c r="L934"/>
      <c r="M934"/>
      <c r="N934"/>
      <c r="O934"/>
      <c r="P934"/>
    </row>
    <row r="935" spans="1:16">
      <c r="A935"/>
      <c r="B935"/>
      <c r="C935"/>
      <c r="D935"/>
      <c r="E935"/>
      <c r="F935"/>
      <c r="G935"/>
      <c r="H935"/>
      <c r="I935"/>
      <c r="J935"/>
      <c r="K935"/>
      <c r="L935"/>
      <c r="M935"/>
      <c r="N935"/>
      <c r="O935"/>
      <c r="P935"/>
    </row>
    <row r="936" spans="1:16">
      <c r="A936"/>
      <c r="B936"/>
      <c r="C936"/>
      <c r="D936"/>
      <c r="E936"/>
      <c r="F936"/>
      <c r="G936"/>
      <c r="H936"/>
      <c r="I936"/>
      <c r="J936"/>
      <c r="K936"/>
      <c r="L936"/>
      <c r="M936"/>
      <c r="N936"/>
      <c r="O936"/>
      <c r="P936"/>
    </row>
    <row r="937" spans="1:16">
      <c r="A937"/>
      <c r="B937"/>
      <c r="C937"/>
      <c r="D937"/>
      <c r="E937"/>
      <c r="F937"/>
      <c r="G937"/>
      <c r="H937"/>
      <c r="I937"/>
      <c r="J937"/>
      <c r="K937"/>
      <c r="L937"/>
      <c r="M937"/>
      <c r="N937"/>
      <c r="O937"/>
      <c r="P937"/>
    </row>
    <row r="938" spans="1:16">
      <c r="A938"/>
      <c r="B938"/>
      <c r="C938"/>
      <c r="D938"/>
      <c r="E938"/>
      <c r="F938"/>
      <c r="G938"/>
      <c r="H938"/>
      <c r="I938"/>
      <c r="J938"/>
      <c r="K938"/>
      <c r="L938"/>
      <c r="M938"/>
      <c r="N938"/>
      <c r="O938"/>
      <c r="P938"/>
    </row>
    <row r="939" spans="1:16">
      <c r="A939"/>
      <c r="B939"/>
      <c r="C939"/>
      <c r="D939"/>
      <c r="E939"/>
      <c r="F939"/>
      <c r="G939"/>
      <c r="H939"/>
      <c r="I939"/>
      <c r="J939"/>
      <c r="K939"/>
      <c r="L939"/>
      <c r="M939"/>
      <c r="N939"/>
      <c r="O939"/>
      <c r="P939"/>
    </row>
    <row r="940" spans="1:16">
      <c r="A940"/>
      <c r="B940"/>
      <c r="C940"/>
      <c r="D940"/>
      <c r="E940"/>
      <c r="F940"/>
      <c r="G940"/>
      <c r="H940"/>
      <c r="I940"/>
      <c r="J940"/>
      <c r="K940"/>
      <c r="L940"/>
      <c r="M940"/>
      <c r="N940"/>
      <c r="O940"/>
      <c r="P940"/>
    </row>
    <row r="941" spans="1:16">
      <c r="A941"/>
      <c r="B941"/>
      <c r="C941"/>
      <c r="D941"/>
      <c r="E941"/>
      <c r="F941"/>
      <c r="G941"/>
      <c r="H941"/>
      <c r="I941"/>
      <c r="J941"/>
      <c r="K941"/>
      <c r="L941"/>
      <c r="M941"/>
      <c r="N941"/>
      <c r="O941"/>
      <c r="P941"/>
    </row>
    <row r="942" spans="1:16">
      <c r="A942"/>
      <c r="B942"/>
      <c r="C942"/>
      <c r="D942"/>
      <c r="E942"/>
      <c r="F942"/>
      <c r="G942"/>
      <c r="H942"/>
      <c r="I942"/>
      <c r="J942"/>
      <c r="K942"/>
      <c r="L942"/>
      <c r="M942"/>
      <c r="N942"/>
      <c r="O942"/>
      <c r="P942"/>
    </row>
    <row r="943" spans="1:16">
      <c r="A943"/>
      <c r="B943"/>
      <c r="C943"/>
      <c r="D943"/>
      <c r="E943"/>
      <c r="F943"/>
      <c r="G943"/>
      <c r="H943"/>
      <c r="I943"/>
      <c r="J943"/>
      <c r="K943"/>
      <c r="L943"/>
      <c r="M943"/>
      <c r="N943"/>
      <c r="O943"/>
      <c r="P943"/>
    </row>
    <row r="944" spans="1:16">
      <c r="A944"/>
      <c r="B944"/>
      <c r="C944"/>
      <c r="D944"/>
      <c r="E944"/>
      <c r="F944"/>
      <c r="G944"/>
      <c r="H944"/>
      <c r="I944"/>
      <c r="J944"/>
      <c r="K944"/>
      <c r="L944"/>
      <c r="M944"/>
      <c r="N944"/>
      <c r="O944"/>
      <c r="P944"/>
    </row>
    <row r="945" spans="1:16">
      <c r="A945"/>
      <c r="B945"/>
      <c r="C945"/>
      <c r="D945"/>
      <c r="E945"/>
      <c r="F945"/>
      <c r="G945"/>
      <c r="H945"/>
      <c r="I945"/>
      <c r="J945"/>
      <c r="K945"/>
      <c r="L945"/>
      <c r="M945"/>
      <c r="N945"/>
      <c r="O945"/>
      <c r="P945"/>
    </row>
    <row r="946" spans="1:16">
      <c r="A946"/>
      <c r="B946"/>
      <c r="C946"/>
      <c r="D946"/>
      <c r="E946"/>
      <c r="F946"/>
      <c r="G946"/>
      <c r="H946"/>
      <c r="I946"/>
      <c r="J946"/>
      <c r="K946"/>
      <c r="L946"/>
      <c r="M946"/>
      <c r="N946"/>
      <c r="O946"/>
      <c r="P946"/>
    </row>
    <row r="947" spans="1:16">
      <c r="A947"/>
      <c r="B947"/>
      <c r="C947"/>
      <c r="D947"/>
      <c r="E947"/>
      <c r="F947"/>
      <c r="G947"/>
      <c r="H947"/>
      <c r="I947"/>
      <c r="J947"/>
      <c r="K947"/>
      <c r="L947"/>
      <c r="M947"/>
      <c r="N947"/>
      <c r="O947"/>
      <c r="P947"/>
    </row>
    <row r="948" spans="1:16">
      <c r="A948"/>
      <c r="B948"/>
      <c r="C948"/>
      <c r="D948"/>
      <c r="E948"/>
      <c r="F948"/>
      <c r="G948"/>
      <c r="H948"/>
      <c r="I948"/>
      <c r="J948"/>
      <c r="K948"/>
      <c r="L948"/>
      <c r="M948"/>
      <c r="N948"/>
      <c r="O948"/>
      <c r="P948"/>
    </row>
    <row r="949" spans="1:16">
      <c r="A949"/>
      <c r="B949"/>
      <c r="C949"/>
      <c r="D949"/>
      <c r="E949"/>
      <c r="F949"/>
      <c r="G949"/>
      <c r="H949"/>
      <c r="I949"/>
      <c r="J949"/>
      <c r="K949"/>
      <c r="L949"/>
      <c r="M949"/>
      <c r="N949"/>
      <c r="O949"/>
      <c r="P949"/>
    </row>
    <row r="950" spans="1:16">
      <c r="A950"/>
      <c r="B950"/>
      <c r="C950"/>
      <c r="D950"/>
      <c r="E950"/>
      <c r="F950"/>
      <c r="G950"/>
      <c r="H950"/>
      <c r="I950"/>
      <c r="J950"/>
      <c r="K950"/>
      <c r="L950"/>
      <c r="M950"/>
      <c r="N950"/>
      <c r="O950"/>
      <c r="P950"/>
    </row>
    <row r="951" spans="1:16">
      <c r="A951"/>
      <c r="B951"/>
      <c r="C951"/>
      <c r="D951"/>
      <c r="E951"/>
      <c r="F951"/>
      <c r="G951"/>
      <c r="H951"/>
      <c r="I951"/>
      <c r="J951"/>
      <c r="K951"/>
      <c r="L951"/>
      <c r="M951"/>
      <c r="N951"/>
      <c r="O951"/>
      <c r="P951"/>
    </row>
    <row r="952" spans="1:16">
      <c r="A952"/>
      <c r="B952"/>
      <c r="C952"/>
      <c r="D952"/>
      <c r="E952"/>
      <c r="F952"/>
      <c r="G952"/>
      <c r="H952"/>
      <c r="I952"/>
      <c r="J952"/>
      <c r="K952"/>
      <c r="L952"/>
      <c r="M952"/>
      <c r="N952"/>
      <c r="O952"/>
      <c r="P952"/>
    </row>
    <row r="953" spans="1:16">
      <c r="A953"/>
      <c r="B953"/>
      <c r="C953"/>
      <c r="D953"/>
      <c r="E953"/>
      <c r="F953"/>
      <c r="G953"/>
      <c r="H953"/>
      <c r="I953"/>
      <c r="J953"/>
      <c r="K953"/>
      <c r="L953"/>
      <c r="M953"/>
      <c r="N953"/>
      <c r="O953"/>
      <c r="P953"/>
    </row>
    <row r="954" spans="1:16">
      <c r="A954"/>
      <c r="B954"/>
      <c r="C954"/>
      <c r="D954"/>
      <c r="E954"/>
      <c r="F954"/>
      <c r="G954"/>
      <c r="H954"/>
      <c r="I954"/>
      <c r="J954"/>
      <c r="K954"/>
      <c r="L954"/>
      <c r="M954"/>
      <c r="N954"/>
      <c r="O954"/>
      <c r="P954"/>
    </row>
    <row r="955" spans="1:16">
      <c r="A955"/>
      <c r="B955"/>
      <c r="C955"/>
      <c r="D955"/>
      <c r="E955"/>
      <c r="F955"/>
      <c r="G955"/>
      <c r="H955"/>
      <c r="I955"/>
      <c r="J955"/>
      <c r="K955"/>
      <c r="L955"/>
      <c r="M955"/>
      <c r="N955"/>
      <c r="O955"/>
      <c r="P955"/>
    </row>
    <row r="956" spans="1:16">
      <c r="A956"/>
      <c r="B956"/>
      <c r="C956"/>
      <c r="D956"/>
      <c r="E956"/>
      <c r="F956"/>
      <c r="G956"/>
      <c r="H956"/>
      <c r="I956"/>
      <c r="J956"/>
      <c r="K956"/>
      <c r="L956"/>
      <c r="M956"/>
      <c r="N956"/>
      <c r="O956"/>
      <c r="P956"/>
    </row>
    <row r="957" spans="1:16">
      <c r="A957"/>
      <c r="B957"/>
      <c r="C957"/>
      <c r="D957"/>
      <c r="E957"/>
      <c r="F957"/>
      <c r="G957"/>
      <c r="H957"/>
      <c r="I957"/>
      <c r="J957"/>
      <c r="K957"/>
      <c r="L957"/>
      <c r="M957"/>
      <c r="N957"/>
      <c r="O957"/>
      <c r="P957"/>
    </row>
    <row r="958" spans="1:16">
      <c r="A958"/>
      <c r="B958"/>
      <c r="C958"/>
      <c r="D958"/>
      <c r="E958"/>
      <c r="F958"/>
      <c r="G958"/>
      <c r="H958"/>
      <c r="I958"/>
      <c r="J958"/>
      <c r="K958"/>
      <c r="L958"/>
      <c r="M958"/>
      <c r="N958"/>
      <c r="O958"/>
      <c r="P958"/>
    </row>
    <row r="959" spans="1:16">
      <c r="A959"/>
      <c r="B959"/>
      <c r="C959"/>
      <c r="D959"/>
      <c r="E959"/>
      <c r="F959"/>
      <c r="G959"/>
      <c r="H959"/>
      <c r="I959"/>
      <c r="J959"/>
      <c r="K959"/>
      <c r="L959"/>
      <c r="M959"/>
      <c r="N959"/>
      <c r="O959"/>
      <c r="P959"/>
    </row>
    <row r="960" spans="1:16">
      <c r="A960"/>
      <c r="B960"/>
      <c r="C960"/>
      <c r="D960"/>
      <c r="E960"/>
      <c r="F960"/>
      <c r="G960"/>
      <c r="H960"/>
      <c r="I960"/>
      <c r="J960"/>
      <c r="K960"/>
      <c r="L960"/>
      <c r="M960"/>
      <c r="N960"/>
      <c r="O960"/>
      <c r="P960"/>
    </row>
    <row r="961" spans="1:16">
      <c r="A961"/>
      <c r="B961"/>
      <c r="C961"/>
      <c r="D961"/>
      <c r="E961"/>
      <c r="F961"/>
      <c r="G961"/>
      <c r="H961"/>
      <c r="I961"/>
      <c r="J961"/>
      <c r="K961"/>
      <c r="L961"/>
      <c r="M961"/>
      <c r="N961"/>
      <c r="O961"/>
      <c r="P961"/>
    </row>
    <row r="962" spans="1:16">
      <c r="A962"/>
      <c r="B962"/>
      <c r="C962"/>
      <c r="D962"/>
      <c r="E962"/>
      <c r="F962"/>
      <c r="G962"/>
      <c r="H962"/>
      <c r="I962"/>
      <c r="J962"/>
      <c r="K962"/>
      <c r="L962"/>
      <c r="M962"/>
      <c r="N962"/>
      <c r="O962"/>
      <c r="P962"/>
    </row>
    <row r="963" spans="1:16">
      <c r="A963"/>
      <c r="B963"/>
      <c r="C963"/>
      <c r="D963"/>
      <c r="E963"/>
      <c r="F963"/>
      <c r="G963"/>
      <c r="H963"/>
      <c r="I963"/>
      <c r="J963"/>
      <c r="K963"/>
      <c r="L963"/>
      <c r="M963"/>
      <c r="N963"/>
      <c r="O963"/>
      <c r="P963"/>
    </row>
    <row r="964" spans="1:16">
      <c r="A964"/>
      <c r="B964"/>
      <c r="C964"/>
      <c r="D964"/>
      <c r="E964"/>
      <c r="F964"/>
      <c r="G964"/>
      <c r="H964"/>
      <c r="I964"/>
      <c r="J964"/>
      <c r="K964"/>
      <c r="L964"/>
      <c r="M964"/>
      <c r="N964"/>
      <c r="O964"/>
      <c r="P964"/>
    </row>
    <row r="965" spans="1:16">
      <c r="A965"/>
      <c r="B965"/>
      <c r="C965"/>
      <c r="D965"/>
      <c r="E965"/>
      <c r="F965"/>
      <c r="G965"/>
      <c r="H965"/>
      <c r="I965"/>
      <c r="J965"/>
      <c r="K965"/>
      <c r="L965"/>
      <c r="M965"/>
      <c r="N965"/>
      <c r="O965"/>
      <c r="P965"/>
    </row>
    <row r="966" spans="1:16">
      <c r="A966"/>
      <c r="B966"/>
      <c r="C966"/>
      <c r="D966"/>
      <c r="E966"/>
      <c r="F966"/>
      <c r="G966"/>
      <c r="H966"/>
      <c r="I966"/>
      <c r="J966"/>
      <c r="K966"/>
      <c r="L966"/>
      <c r="M966"/>
      <c r="N966"/>
      <c r="O966"/>
      <c r="P966"/>
    </row>
    <row r="967" spans="1:16">
      <c r="A967"/>
      <c r="B967"/>
      <c r="C967"/>
      <c r="D967"/>
      <c r="E967"/>
      <c r="F967"/>
      <c r="G967"/>
      <c r="H967"/>
      <c r="I967"/>
      <c r="J967"/>
      <c r="K967"/>
      <c r="L967"/>
      <c r="M967"/>
      <c r="N967"/>
      <c r="O967"/>
      <c r="P967"/>
    </row>
    <row r="968" spans="1:16">
      <c r="A968"/>
      <c r="B968"/>
      <c r="C968"/>
      <c r="D968"/>
      <c r="E968"/>
      <c r="F968"/>
      <c r="G968"/>
      <c r="H968"/>
      <c r="I968"/>
      <c r="J968"/>
      <c r="K968"/>
      <c r="L968"/>
      <c r="M968"/>
      <c r="N968"/>
      <c r="O968"/>
      <c r="P968"/>
    </row>
    <row r="969" spans="1:16">
      <c r="A969"/>
      <c r="B969"/>
      <c r="C969"/>
      <c r="D969"/>
      <c r="E969"/>
      <c r="F969"/>
      <c r="G969"/>
      <c r="H969"/>
      <c r="I969"/>
      <c r="J969"/>
      <c r="K969"/>
      <c r="L969"/>
      <c r="M969"/>
      <c r="N969"/>
      <c r="O969"/>
      <c r="P969"/>
    </row>
    <row r="970" spans="1:16">
      <c r="A970"/>
      <c r="B970"/>
      <c r="C970"/>
      <c r="D970"/>
      <c r="E970"/>
      <c r="F970"/>
      <c r="G970"/>
      <c r="H970"/>
      <c r="I970"/>
      <c r="J970"/>
      <c r="K970"/>
      <c r="L970"/>
      <c r="M970"/>
      <c r="N970"/>
      <c r="O970"/>
      <c r="P970"/>
    </row>
    <row r="971" spans="1:16">
      <c r="A971"/>
      <c r="B971"/>
      <c r="C971"/>
      <c r="D971"/>
      <c r="E971"/>
      <c r="F971"/>
      <c r="G971"/>
      <c r="H971"/>
      <c r="I971"/>
      <c r="J971"/>
      <c r="K971"/>
      <c r="L971"/>
      <c r="M971"/>
      <c r="N971"/>
      <c r="O971"/>
      <c r="P971"/>
    </row>
    <row r="972" spans="1:16">
      <c r="A972"/>
      <c r="B972"/>
      <c r="C972"/>
      <c r="D972"/>
      <c r="E972"/>
      <c r="F972"/>
      <c r="G972"/>
      <c r="H972"/>
      <c r="I972"/>
      <c r="J972"/>
      <c r="K972"/>
      <c r="L972"/>
      <c r="M972"/>
      <c r="N972"/>
      <c r="O972"/>
      <c r="P972"/>
    </row>
    <row r="973" spans="1:16">
      <c r="A973"/>
      <c r="B973"/>
      <c r="C973"/>
      <c r="D973"/>
      <c r="E973"/>
      <c r="F973"/>
      <c r="G973"/>
      <c r="H973"/>
      <c r="I973"/>
      <c r="J973"/>
      <c r="K973"/>
      <c r="L973"/>
      <c r="M973"/>
      <c r="N973"/>
      <c r="O973"/>
      <c r="P973"/>
    </row>
    <row r="974" spans="1:16">
      <c r="A974"/>
      <c r="B974"/>
      <c r="C974"/>
      <c r="D974"/>
      <c r="E974"/>
      <c r="F974"/>
      <c r="G974"/>
      <c r="H974"/>
      <c r="I974"/>
      <c r="J974"/>
      <c r="K974"/>
      <c r="L974"/>
      <c r="M974"/>
      <c r="N974"/>
      <c r="O974"/>
      <c r="P974"/>
    </row>
    <row r="975" spans="1:16">
      <c r="A975"/>
      <c r="B975"/>
      <c r="C975"/>
      <c r="D975"/>
      <c r="E975"/>
      <c r="F975"/>
      <c r="G975"/>
      <c r="H975"/>
      <c r="I975"/>
      <c r="J975"/>
      <c r="K975"/>
      <c r="L975"/>
      <c r="M975"/>
      <c r="N975"/>
      <c r="O975"/>
      <c r="P975"/>
    </row>
    <row r="976" spans="1:16">
      <c r="A976"/>
      <c r="B976"/>
      <c r="C976"/>
      <c r="D976"/>
      <c r="E976"/>
      <c r="F976"/>
      <c r="G976"/>
      <c r="H976"/>
      <c r="I976"/>
      <c r="J976"/>
      <c r="K976"/>
      <c r="L976"/>
      <c r="M976"/>
      <c r="N976"/>
      <c r="O976"/>
      <c r="P976"/>
    </row>
    <row r="977" spans="1:16">
      <c r="A977"/>
      <c r="B977"/>
      <c r="C977"/>
      <c r="D977"/>
      <c r="E977"/>
      <c r="F977"/>
      <c r="G977"/>
      <c r="H977"/>
      <c r="I977"/>
      <c r="J977"/>
      <c r="K977"/>
      <c r="L977"/>
      <c r="M977"/>
      <c r="N977"/>
      <c r="O977"/>
      <c r="P977"/>
    </row>
    <row r="978" spans="1:16">
      <c r="A978"/>
      <c r="B978"/>
      <c r="C978"/>
      <c r="D978"/>
      <c r="E978"/>
      <c r="F978"/>
      <c r="G978"/>
      <c r="H978"/>
      <c r="I978"/>
      <c r="J978"/>
      <c r="K978"/>
      <c r="L978"/>
      <c r="M978"/>
      <c r="N978"/>
      <c r="O978"/>
      <c r="P978"/>
    </row>
    <row r="979" spans="1:16">
      <c r="A979"/>
      <c r="B979"/>
      <c r="C979"/>
      <c r="D979"/>
      <c r="E979"/>
      <c r="F979"/>
      <c r="G979"/>
      <c r="H979"/>
      <c r="I979"/>
      <c r="J979"/>
      <c r="K979"/>
      <c r="L979"/>
      <c r="M979"/>
      <c r="N979"/>
      <c r="O979"/>
      <c r="P979"/>
    </row>
    <row r="980" spans="1:16">
      <c r="A980"/>
      <c r="B980"/>
      <c r="C980"/>
      <c r="D980"/>
      <c r="E980"/>
      <c r="F980"/>
      <c r="G980"/>
      <c r="H980"/>
      <c r="I980"/>
      <c r="J980"/>
      <c r="K980"/>
      <c r="L980"/>
      <c r="M980"/>
      <c r="N980"/>
      <c r="O980"/>
      <c r="P980"/>
    </row>
    <row r="981" spans="1:16">
      <c r="A981"/>
      <c r="B981"/>
      <c r="C981"/>
      <c r="D981"/>
      <c r="E981"/>
      <c r="F981"/>
      <c r="G981"/>
      <c r="H981"/>
      <c r="I981"/>
      <c r="J981"/>
      <c r="K981"/>
      <c r="L981"/>
      <c r="M981"/>
      <c r="N981"/>
      <c r="O981"/>
      <c r="P981"/>
    </row>
    <row r="982" spans="1:16">
      <c r="A982"/>
      <c r="B982"/>
      <c r="C982"/>
      <c r="D982"/>
      <c r="E982"/>
      <c r="F982"/>
      <c r="G982"/>
      <c r="H982"/>
      <c r="I982"/>
      <c r="J982"/>
      <c r="K982"/>
      <c r="L982"/>
      <c r="M982"/>
      <c r="N982"/>
      <c r="O982"/>
      <c r="P982"/>
    </row>
    <row r="983" spans="1:16">
      <c r="A983"/>
      <c r="B983"/>
      <c r="C983"/>
      <c r="D983"/>
      <c r="E983"/>
      <c r="F983"/>
      <c r="G983"/>
      <c r="H983"/>
      <c r="I983"/>
      <c r="J983"/>
      <c r="K983"/>
      <c r="L983"/>
      <c r="M983"/>
      <c r="N983"/>
      <c r="O983"/>
      <c r="P983"/>
    </row>
    <row r="984" spans="1:16">
      <c r="A984"/>
      <c r="B984"/>
      <c r="C984"/>
      <c r="D984"/>
      <c r="E984"/>
      <c r="F984"/>
      <c r="G984"/>
      <c r="H984"/>
      <c r="I984"/>
      <c r="J984"/>
      <c r="K984"/>
      <c r="L984"/>
      <c r="M984"/>
      <c r="N984"/>
      <c r="O984"/>
      <c r="P984"/>
    </row>
    <row r="985" spans="1:16">
      <c r="A985"/>
      <c r="B985"/>
      <c r="C985"/>
      <c r="D985"/>
      <c r="E985"/>
      <c r="F985"/>
      <c r="G985"/>
      <c r="H985"/>
      <c r="I985"/>
      <c r="J985"/>
      <c r="K985"/>
      <c r="L985"/>
      <c r="M985"/>
      <c r="N985"/>
      <c r="O985"/>
      <c r="P985"/>
    </row>
    <row r="986" spans="1:16">
      <c r="A986"/>
      <c r="B986"/>
      <c r="C986"/>
      <c r="D986"/>
      <c r="E986"/>
      <c r="F986"/>
      <c r="G986"/>
      <c r="H986"/>
      <c r="I986"/>
      <c r="J986"/>
      <c r="K986"/>
      <c r="L986"/>
      <c r="M986"/>
      <c r="N986"/>
      <c r="O986"/>
      <c r="P986"/>
    </row>
    <row r="987" spans="1:16">
      <c r="A987"/>
      <c r="B987"/>
      <c r="C987"/>
      <c r="D987"/>
      <c r="E987"/>
      <c r="F987"/>
      <c r="G987"/>
      <c r="H987"/>
      <c r="I987"/>
      <c r="J987"/>
      <c r="K987"/>
      <c r="L987"/>
      <c r="M987"/>
      <c r="N987"/>
      <c r="O987"/>
      <c r="P987"/>
    </row>
    <row r="988" spans="1:16">
      <c r="A988"/>
      <c r="B988"/>
      <c r="C988"/>
      <c r="D988"/>
      <c r="E988"/>
      <c r="F988"/>
      <c r="G988"/>
      <c r="H988"/>
      <c r="I988"/>
      <c r="J988"/>
      <c r="K988"/>
      <c r="L988"/>
      <c r="M988"/>
      <c r="N988"/>
      <c r="O988"/>
      <c r="P988"/>
    </row>
    <row r="989" spans="1:16">
      <c r="A989"/>
      <c r="B989"/>
      <c r="C989"/>
      <c r="D989"/>
      <c r="E989"/>
      <c r="F989"/>
      <c r="G989"/>
      <c r="H989"/>
      <c r="I989"/>
      <c r="J989"/>
      <c r="K989"/>
      <c r="L989"/>
      <c r="M989"/>
      <c r="N989"/>
      <c r="O989"/>
      <c r="P989"/>
    </row>
    <row r="990" spans="1:16">
      <c r="A990"/>
      <c r="B990"/>
      <c r="C990"/>
      <c r="D990"/>
      <c r="E990"/>
      <c r="F990"/>
      <c r="G990"/>
      <c r="H990"/>
      <c r="I990"/>
      <c r="J990"/>
      <c r="K990"/>
      <c r="L990"/>
      <c r="M990"/>
      <c r="N990"/>
      <c r="O990"/>
      <c r="P990"/>
    </row>
    <row r="991" spans="1:16">
      <c r="A991"/>
      <c r="B991"/>
      <c r="C991"/>
      <c r="D991"/>
      <c r="E991"/>
      <c r="F991"/>
      <c r="G991"/>
      <c r="H991"/>
      <c r="I991"/>
      <c r="J991"/>
      <c r="K991"/>
      <c r="L991"/>
      <c r="M991"/>
      <c r="N991"/>
      <c r="O991"/>
      <c r="P991"/>
    </row>
    <row r="992" spans="1:16">
      <c r="A992"/>
      <c r="B992"/>
      <c r="C992"/>
      <c r="D992"/>
      <c r="E992"/>
      <c r="F992"/>
      <c r="G992"/>
      <c r="H992"/>
      <c r="I992"/>
      <c r="J992"/>
      <c r="K992"/>
      <c r="L992"/>
      <c r="M992"/>
      <c r="N992"/>
      <c r="O992"/>
      <c r="P992"/>
    </row>
    <row r="993" spans="1:16">
      <c r="A993"/>
      <c r="B993"/>
      <c r="C993"/>
      <c r="D993"/>
      <c r="E993"/>
      <c r="F993"/>
      <c r="G993"/>
      <c r="H993"/>
      <c r="I993"/>
      <c r="J993"/>
      <c r="K993"/>
      <c r="L993"/>
      <c r="M993"/>
      <c r="N993"/>
      <c r="O993"/>
      <c r="P993"/>
    </row>
    <row r="994" spans="1:16">
      <c r="A994"/>
      <c r="B994"/>
      <c r="C994"/>
      <c r="D994"/>
      <c r="E994"/>
      <c r="F994"/>
      <c r="G994"/>
      <c r="H994"/>
      <c r="I994"/>
      <c r="J994"/>
      <c r="K994"/>
      <c r="L994"/>
      <c r="M994"/>
      <c r="N994"/>
      <c r="O994"/>
      <c r="P994"/>
    </row>
    <row r="995" spans="1:16">
      <c r="A995"/>
      <c r="B995"/>
      <c r="C995"/>
      <c r="D995"/>
      <c r="E995"/>
      <c r="F995"/>
      <c r="G995"/>
      <c r="H995"/>
      <c r="I995"/>
      <c r="J995"/>
      <c r="K995"/>
      <c r="L995"/>
      <c r="M995"/>
      <c r="N995"/>
      <c r="O995"/>
      <c r="P995"/>
    </row>
    <row r="996" spans="1:16">
      <c r="A996"/>
      <c r="B996"/>
      <c r="C996"/>
      <c r="D996"/>
      <c r="E996"/>
      <c r="F996"/>
      <c r="G996"/>
      <c r="H996"/>
      <c r="I996"/>
      <c r="J996"/>
      <c r="K996"/>
      <c r="L996"/>
      <c r="M996"/>
      <c r="N996"/>
      <c r="O996"/>
      <c r="P996"/>
    </row>
    <row r="997" spans="1:16">
      <c r="A997"/>
      <c r="B997"/>
      <c r="C997"/>
      <c r="D997"/>
      <c r="E997"/>
      <c r="F997"/>
      <c r="G997"/>
      <c r="H997"/>
      <c r="I997"/>
      <c r="J997"/>
      <c r="K997"/>
      <c r="L997"/>
      <c r="M997"/>
      <c r="N997"/>
      <c r="O997"/>
      <c r="P997"/>
    </row>
    <row r="998" spans="1:16">
      <c r="A998"/>
      <c r="B998"/>
      <c r="C998"/>
      <c r="D998"/>
      <c r="E998"/>
      <c r="F998"/>
      <c r="G998"/>
      <c r="H998"/>
      <c r="I998"/>
      <c r="J998"/>
      <c r="K998"/>
      <c r="L998"/>
      <c r="M998"/>
      <c r="N998"/>
      <c r="O998"/>
      <c r="P998"/>
    </row>
    <row r="999" spans="1:16">
      <c r="A999"/>
      <c r="B999"/>
      <c r="C999"/>
      <c r="D999"/>
      <c r="E999"/>
      <c r="F999"/>
      <c r="G999"/>
      <c r="H999"/>
      <c r="I999"/>
      <c r="J999"/>
      <c r="K999"/>
      <c r="L999"/>
      <c r="M999"/>
      <c r="N999"/>
      <c r="O999"/>
      <c r="P999"/>
    </row>
    <row r="1000" spans="1:16">
      <c r="A1000"/>
      <c r="B1000"/>
      <c r="C1000"/>
      <c r="D1000"/>
      <c r="E1000"/>
      <c r="F1000"/>
      <c r="G1000"/>
      <c r="H1000"/>
      <c r="I1000"/>
      <c r="J1000"/>
      <c r="K1000"/>
      <c r="L1000"/>
      <c r="M1000"/>
      <c r="N1000"/>
      <c r="O1000"/>
      <c r="P1000"/>
    </row>
    <row r="1001" spans="1:16">
      <c r="A1001"/>
      <c r="B1001"/>
      <c r="C1001"/>
      <c r="D1001"/>
      <c r="E1001"/>
      <c r="F1001"/>
      <c r="G1001"/>
      <c r="H1001"/>
      <c r="I1001"/>
      <c r="J1001"/>
      <c r="K1001"/>
      <c r="L1001"/>
      <c r="M1001"/>
      <c r="N1001"/>
      <c r="O1001"/>
      <c r="P1001"/>
    </row>
    <row r="1002" spans="1:16">
      <c r="A1002"/>
      <c r="B1002"/>
      <c r="C1002"/>
      <c r="D1002"/>
      <c r="E1002"/>
      <c r="F1002"/>
      <c r="G1002"/>
      <c r="H1002"/>
      <c r="I1002"/>
      <c r="J1002"/>
      <c r="K1002"/>
      <c r="L1002"/>
      <c r="M1002"/>
      <c r="N1002"/>
      <c r="O1002"/>
      <c r="P1002"/>
    </row>
    <row r="1003" spans="1:16">
      <c r="A1003"/>
      <c r="B1003"/>
      <c r="C1003"/>
      <c r="D1003"/>
      <c r="E1003"/>
      <c r="F1003"/>
      <c r="G1003"/>
      <c r="H1003"/>
      <c r="I1003"/>
      <c r="J1003"/>
      <c r="K1003"/>
      <c r="L1003"/>
      <c r="M1003"/>
      <c r="N1003"/>
      <c r="O1003"/>
      <c r="P1003"/>
    </row>
    <row r="1004" spans="1:16">
      <c r="A1004"/>
      <c r="B1004"/>
      <c r="C1004"/>
      <c r="D1004"/>
      <c r="E1004"/>
      <c r="F1004"/>
      <c r="G1004"/>
      <c r="H1004"/>
      <c r="I1004"/>
      <c r="J1004"/>
      <c r="K1004"/>
      <c r="L1004"/>
      <c r="M1004"/>
      <c r="N1004"/>
      <c r="O1004"/>
      <c r="P1004"/>
    </row>
    <row r="1005" spans="1:16">
      <c r="A1005"/>
      <c r="B1005"/>
      <c r="C1005"/>
      <c r="D1005"/>
      <c r="E1005"/>
      <c r="F1005"/>
      <c r="G1005"/>
      <c r="H1005"/>
      <c r="I1005"/>
      <c r="J1005"/>
      <c r="K1005"/>
      <c r="L1005"/>
      <c r="M1005"/>
      <c r="N1005"/>
      <c r="O1005"/>
      <c r="P1005"/>
    </row>
    <row r="1006" spans="1:16">
      <c r="A1006"/>
      <c r="B1006"/>
      <c r="C1006"/>
      <c r="D1006"/>
      <c r="E1006"/>
      <c r="F1006"/>
      <c r="G1006"/>
      <c r="H1006"/>
      <c r="I1006"/>
      <c r="J1006"/>
      <c r="K1006"/>
      <c r="L1006"/>
      <c r="M1006"/>
      <c r="N1006"/>
      <c r="O1006"/>
      <c r="P1006"/>
    </row>
    <row r="1007" spans="1:16">
      <c r="A1007"/>
      <c r="B1007"/>
      <c r="C1007"/>
      <c r="D1007"/>
      <c r="E1007"/>
      <c r="F1007"/>
      <c r="G1007"/>
      <c r="H1007"/>
      <c r="I1007"/>
      <c r="J1007"/>
      <c r="K1007"/>
      <c r="L1007"/>
      <c r="M1007"/>
      <c r="N1007"/>
      <c r="O1007"/>
      <c r="P1007"/>
    </row>
    <row r="1008" spans="1:16">
      <c r="A1008"/>
      <c r="B1008"/>
      <c r="C1008"/>
      <c r="D1008"/>
      <c r="E1008"/>
      <c r="F1008"/>
      <c r="G1008"/>
      <c r="H1008"/>
      <c r="I1008"/>
      <c r="J1008"/>
      <c r="K1008"/>
      <c r="L1008"/>
      <c r="M1008"/>
      <c r="N1008"/>
      <c r="O1008"/>
      <c r="P1008"/>
    </row>
    <row r="1009" spans="1:16">
      <c r="A1009"/>
      <c r="B1009"/>
      <c r="C1009"/>
      <c r="D1009"/>
      <c r="E1009"/>
      <c r="F1009"/>
      <c r="G1009"/>
      <c r="H1009"/>
      <c r="I1009"/>
      <c r="J1009"/>
      <c r="K1009"/>
      <c r="L1009"/>
      <c r="M1009"/>
      <c r="N1009"/>
      <c r="O1009"/>
      <c r="P1009"/>
    </row>
    <row r="1010" spans="1:16">
      <c r="A1010"/>
      <c r="B1010"/>
      <c r="C1010"/>
      <c r="D1010"/>
      <c r="E1010"/>
      <c r="F1010"/>
      <c r="G1010"/>
      <c r="H1010"/>
      <c r="I1010"/>
      <c r="J1010"/>
      <c r="K1010"/>
      <c r="L1010"/>
      <c r="M1010"/>
      <c r="N1010"/>
      <c r="O1010"/>
      <c r="P1010"/>
    </row>
    <row r="1011" spans="1:16">
      <c r="A1011"/>
      <c r="B1011"/>
      <c r="C1011"/>
      <c r="D1011"/>
      <c r="E1011"/>
      <c r="F1011"/>
      <c r="G1011"/>
      <c r="H1011"/>
      <c r="I1011"/>
      <c r="J1011"/>
      <c r="K1011"/>
      <c r="L1011"/>
      <c r="M1011"/>
      <c r="N1011"/>
      <c r="O1011"/>
      <c r="P1011"/>
    </row>
    <row r="1012" spans="1:16">
      <c r="A1012"/>
      <c r="B1012"/>
      <c r="C1012"/>
      <c r="D1012"/>
      <c r="E1012"/>
      <c r="F1012"/>
      <c r="G1012"/>
      <c r="H1012"/>
      <c r="I1012"/>
      <c r="J1012"/>
      <c r="K1012"/>
      <c r="L1012"/>
      <c r="M1012"/>
      <c r="N1012"/>
      <c r="O1012"/>
      <c r="P1012"/>
    </row>
    <row r="1013" spans="1:16">
      <c r="A1013"/>
      <c r="B1013"/>
      <c r="C1013"/>
      <c r="D1013"/>
      <c r="E1013"/>
      <c r="F1013"/>
      <c r="G1013"/>
      <c r="H1013"/>
      <c r="I1013"/>
      <c r="J1013"/>
      <c r="K1013"/>
      <c r="L1013"/>
      <c r="M1013"/>
      <c r="N1013"/>
      <c r="O1013"/>
      <c r="P1013"/>
    </row>
    <row r="1014" spans="1:16">
      <c r="A1014"/>
      <c r="B1014"/>
      <c r="C1014"/>
      <c r="D1014"/>
      <c r="E1014"/>
      <c r="F1014"/>
      <c r="G1014"/>
      <c r="H1014"/>
      <c r="I1014"/>
      <c r="J1014"/>
      <c r="K1014"/>
      <c r="L1014"/>
      <c r="M1014"/>
      <c r="N1014"/>
      <c r="O1014"/>
      <c r="P1014"/>
    </row>
    <row r="1015" spans="1:16">
      <c r="A1015"/>
      <c r="B1015"/>
      <c r="C1015"/>
      <c r="D1015"/>
      <c r="E1015"/>
      <c r="F1015"/>
      <c r="G1015"/>
      <c r="H1015"/>
      <c r="I1015"/>
      <c r="J1015"/>
      <c r="K1015"/>
      <c r="L1015"/>
      <c r="M1015"/>
      <c r="N1015"/>
      <c r="O1015"/>
      <c r="P1015"/>
    </row>
    <row r="1016" spans="1:16">
      <c r="A1016"/>
      <c r="B1016"/>
      <c r="C1016"/>
      <c r="D1016"/>
      <c r="E1016"/>
      <c r="F1016"/>
      <c r="G1016"/>
      <c r="H1016"/>
      <c r="I1016"/>
      <c r="J1016"/>
      <c r="K1016"/>
      <c r="L1016"/>
      <c r="M1016"/>
      <c r="N1016"/>
      <c r="O1016"/>
      <c r="P1016"/>
    </row>
  </sheetData>
  <phoneticPr fontId="7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7393" r:id="rId4" name="Button 1">
              <controlPr defaultSize="0" print="0" autoFill="0" autoPict="0" macro="[0]!ListStaff">
                <anchor moveWithCells="1" sizeWithCells="1">
                  <from>
                    <xdr:col>1</xdr:col>
                    <xdr:colOff>15240</xdr:colOff>
                    <xdr:row>11</xdr:row>
                    <xdr:rowOff>68580</xdr:rowOff>
                  </from>
                  <to>
                    <xdr:col>1</xdr:col>
                    <xdr:colOff>967740</xdr:colOff>
                    <xdr:row>13</xdr:row>
                    <xdr:rowOff>152400</xdr:rowOff>
                  </to>
                </anchor>
              </controlPr>
            </control>
          </mc:Choice>
        </mc:AlternateContent>
        <mc:AlternateContent xmlns:mc="http://schemas.openxmlformats.org/markup-compatibility/2006">
          <mc:Choice Requires="x14">
            <control shapeId="187395" r:id="rId5" name="Button 3">
              <controlPr defaultSize="0" print="0" autoFill="0" autoPict="0" macro="[0]!ProcessStaffUpdates">
                <anchor moveWithCells="1" sizeWithCells="1">
                  <from>
                    <xdr:col>2</xdr:col>
                    <xdr:colOff>45720</xdr:colOff>
                    <xdr:row>11</xdr:row>
                    <xdr:rowOff>76200</xdr:rowOff>
                  </from>
                  <to>
                    <xdr:col>2</xdr:col>
                    <xdr:colOff>998220</xdr:colOff>
                    <xdr:row>13</xdr:row>
                    <xdr:rowOff>144780</xdr:rowOff>
                  </to>
                </anchor>
              </controlPr>
            </control>
          </mc:Choice>
        </mc:AlternateContent>
        <mc:AlternateContent xmlns:mc="http://schemas.openxmlformats.org/markup-compatibility/2006">
          <mc:Choice Requires="x14">
            <control shapeId="187396" r:id="rId6" name="Button 4">
              <controlPr defaultSize="0" print="0" autoFill="0" autoPict="0" macro="[0]!ListStaffRole">
                <anchor moveWithCells="1" sizeWithCells="1">
                  <from>
                    <xdr:col>5</xdr:col>
                    <xdr:colOff>30480</xdr:colOff>
                    <xdr:row>11</xdr:row>
                    <xdr:rowOff>68580</xdr:rowOff>
                  </from>
                  <to>
                    <xdr:col>5</xdr:col>
                    <xdr:colOff>982980</xdr:colOff>
                    <xdr:row>13</xdr:row>
                    <xdr:rowOff>137160</xdr:rowOff>
                  </to>
                </anchor>
              </controlPr>
            </control>
          </mc:Choice>
        </mc:AlternateContent>
        <mc:AlternateContent xmlns:mc="http://schemas.openxmlformats.org/markup-compatibility/2006">
          <mc:Choice Requires="x14">
            <control shapeId="187397" r:id="rId7" name="Button 5">
              <controlPr defaultSize="0" print="0" autoFill="0" autoPict="0" macro="[0]!ProcessStaffRoleUpdates">
                <anchor moveWithCells="1" sizeWithCells="1">
                  <from>
                    <xdr:col>6</xdr:col>
                    <xdr:colOff>53340</xdr:colOff>
                    <xdr:row>11</xdr:row>
                    <xdr:rowOff>83820</xdr:rowOff>
                  </from>
                  <to>
                    <xdr:col>7</xdr:col>
                    <xdr:colOff>0</xdr:colOff>
                    <xdr:row>13</xdr:row>
                    <xdr:rowOff>152400</xdr:rowOff>
                  </to>
                </anchor>
              </controlPr>
            </control>
          </mc:Choice>
        </mc:AlternateContent>
        <mc:AlternateContent xmlns:mc="http://schemas.openxmlformats.org/markup-compatibility/2006">
          <mc:Choice Requires="x14">
            <control shapeId="187398" r:id="rId8" name="Button 6">
              <controlPr defaultSize="0" print="0" autoFill="0" autoPict="0" macro="[0]!ListWorkTaskCode">
                <anchor moveWithCells="1" sizeWithCells="1">
                  <from>
                    <xdr:col>9</xdr:col>
                    <xdr:colOff>38100</xdr:colOff>
                    <xdr:row>11</xdr:row>
                    <xdr:rowOff>38100</xdr:rowOff>
                  </from>
                  <to>
                    <xdr:col>9</xdr:col>
                    <xdr:colOff>990600</xdr:colOff>
                    <xdr:row>13</xdr:row>
                    <xdr:rowOff>106680</xdr:rowOff>
                  </to>
                </anchor>
              </controlPr>
            </control>
          </mc:Choice>
        </mc:AlternateContent>
        <mc:AlternateContent xmlns:mc="http://schemas.openxmlformats.org/markup-compatibility/2006">
          <mc:Choice Requires="x14">
            <control shapeId="187399" r:id="rId9" name="Button 7">
              <controlPr defaultSize="0" print="0" autoFill="0" autoPict="0" macro="[0]!ProcessWorkTaskCodeUpdates">
                <anchor moveWithCells="1" sizeWithCells="1">
                  <from>
                    <xdr:col>10</xdr:col>
                    <xdr:colOff>38100</xdr:colOff>
                    <xdr:row>11</xdr:row>
                    <xdr:rowOff>38100</xdr:rowOff>
                  </from>
                  <to>
                    <xdr:col>10</xdr:col>
                    <xdr:colOff>990600</xdr:colOff>
                    <xdr:row>13</xdr:row>
                    <xdr:rowOff>106680</xdr:rowOff>
                  </to>
                </anchor>
              </controlPr>
            </control>
          </mc:Choice>
        </mc:AlternateContent>
        <mc:AlternateContent xmlns:mc="http://schemas.openxmlformats.org/markup-compatibility/2006">
          <mc:Choice Requires="x14">
            <control shapeId="187400" r:id="rId10" name="Button 8">
              <controlPr defaultSize="0" print="0" autoFill="0" autoPict="0" macro="[0]!ListWorkTaskStatus">
                <anchor moveWithCells="1" sizeWithCells="1">
                  <from>
                    <xdr:col>13</xdr:col>
                    <xdr:colOff>22860</xdr:colOff>
                    <xdr:row>11</xdr:row>
                    <xdr:rowOff>15240</xdr:rowOff>
                  </from>
                  <to>
                    <xdr:col>13</xdr:col>
                    <xdr:colOff>975360</xdr:colOff>
                    <xdr:row>13</xdr:row>
                    <xdr:rowOff>83820</xdr:rowOff>
                  </to>
                </anchor>
              </controlPr>
            </control>
          </mc:Choice>
        </mc:AlternateContent>
        <mc:AlternateContent xmlns:mc="http://schemas.openxmlformats.org/markup-compatibility/2006">
          <mc:Choice Requires="x14">
            <control shapeId="187401" r:id="rId11" name="Button 9">
              <controlPr defaultSize="0" print="0" autoFill="0" autoPict="0" macro="[0]!ProcessWorkTaskStatusUpdates">
                <anchor moveWithCells="1" sizeWithCells="1">
                  <from>
                    <xdr:col>14</xdr:col>
                    <xdr:colOff>45720</xdr:colOff>
                    <xdr:row>11</xdr:row>
                    <xdr:rowOff>7620</xdr:rowOff>
                  </from>
                  <to>
                    <xdr:col>14</xdr:col>
                    <xdr:colOff>998220</xdr:colOff>
                    <xdr:row>13</xdr:row>
                    <xdr:rowOff>76200</xdr:rowOff>
                  </to>
                </anchor>
              </controlPr>
            </control>
          </mc:Choice>
        </mc:AlternateContent>
        <mc:AlternateContent xmlns:mc="http://schemas.openxmlformats.org/markup-compatibility/2006">
          <mc:Choice Requires="x14">
            <control shapeId="187402" r:id="rId12" name="Button 10">
              <controlPr defaultSize="0" print="0" autoFill="0" autoPict="0" macro="[0]!SetupSheets">
                <anchor moveWithCells="1" sizeWithCells="1">
                  <from>
                    <xdr:col>17</xdr:col>
                    <xdr:colOff>99060</xdr:colOff>
                    <xdr:row>11</xdr:row>
                    <xdr:rowOff>68580</xdr:rowOff>
                  </from>
                  <to>
                    <xdr:col>17</xdr:col>
                    <xdr:colOff>876300</xdr:colOff>
                    <xdr:row>13</xdr:row>
                    <xdr:rowOff>83820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01730-E8B6-4C31-B302-B0CB4D9782B6}">
  <sheetPr codeName="Sheet62">
    <tabColor theme="4"/>
  </sheetPr>
  <dimension ref="A4:R1009"/>
  <sheetViews>
    <sheetView workbookViewId="0">
      <selection activeCell="C19" sqref="C19"/>
    </sheetView>
  </sheetViews>
  <sheetFormatPr defaultRowHeight="14.4"/>
  <cols>
    <col min="1" max="1" width="8.44140625" customWidth="1"/>
    <col min="2" max="2" width="13" customWidth="1"/>
    <col min="3" max="3" width="15.88671875" customWidth="1"/>
    <col min="4" max="4" width="34.77734375" customWidth="1"/>
    <col min="5" max="7" width="15.109375" customWidth="1"/>
    <col min="8" max="8" width="13.5546875" customWidth="1"/>
    <col min="9" max="9" width="13.5546875" style="314" customWidth="1"/>
    <col min="10" max="10" width="15.109375" style="314" customWidth="1"/>
    <col min="11" max="12" width="12" customWidth="1"/>
    <col min="13" max="18" width="9.21875" customWidth="1"/>
  </cols>
  <sheetData>
    <row r="4" spans="1:18" ht="15" thickBot="1"/>
    <row r="5" spans="1:18" ht="15" thickBot="1">
      <c r="F5" t="s">
        <v>1497</v>
      </c>
      <c r="H5" s="316"/>
      <c r="I5" s="316"/>
      <c r="J5" s="316"/>
    </row>
    <row r="6" spans="1:18" ht="15" thickBot="1">
      <c r="B6" s="315"/>
      <c r="C6" s="315" t="s">
        <v>1514</v>
      </c>
      <c r="E6" s="315" t="s">
        <v>1515</v>
      </c>
      <c r="F6" s="315" t="s">
        <v>1516</v>
      </c>
      <c r="G6" s="315" t="s">
        <v>1517</v>
      </c>
      <c r="H6" s="316"/>
      <c r="I6" s="316"/>
      <c r="J6" s="316"/>
    </row>
    <row r="7" spans="1:18" s="313" customFormat="1" ht="28.8">
      <c r="A7" s="313" t="s">
        <v>1507</v>
      </c>
      <c r="B7" s="313" t="s">
        <v>1519</v>
      </c>
      <c r="C7" s="319" t="s">
        <v>1506</v>
      </c>
      <c r="D7" s="313" t="s">
        <v>1498</v>
      </c>
      <c r="E7" s="313" t="s">
        <v>1505</v>
      </c>
      <c r="F7" s="313" t="s">
        <v>1503</v>
      </c>
      <c r="G7" s="313" t="s">
        <v>1504</v>
      </c>
      <c r="H7" t="s">
        <v>1500</v>
      </c>
      <c r="I7" s="313" t="s">
        <v>1502</v>
      </c>
      <c r="J7" s="313" t="s">
        <v>1501</v>
      </c>
      <c r="K7" s="318" t="s">
        <v>1499</v>
      </c>
      <c r="M7" s="313" t="s">
        <v>1508</v>
      </c>
      <c r="N7" s="313" t="s">
        <v>1509</v>
      </c>
      <c r="O7" s="313" t="s">
        <v>1510</v>
      </c>
      <c r="P7" s="313" t="s">
        <v>1511</v>
      </c>
      <c r="Q7" s="313" t="s">
        <v>1512</v>
      </c>
      <c r="R7" s="313" t="s">
        <v>1513</v>
      </c>
    </row>
    <row r="8" spans="1:18">
      <c r="A8">
        <v>1</v>
      </c>
      <c r="B8" t="s">
        <v>1521</v>
      </c>
      <c r="C8" t="str">
        <f>VLOOKUP(N8,tbl_TaskCodeX,4,FALSE)</f>
        <v>3. 50p</v>
      </c>
      <c r="D8" t="s">
        <v>1549</v>
      </c>
      <c r="E8" t="str">
        <f>VLOOKUP(O8,tbl_TaskStatusX,4,FALSE)</f>
        <v>3. WIP</v>
      </c>
      <c r="F8" t="str">
        <f>VLOOKUP(P8,tbl_StaffX,4,FALSE)</f>
        <v>3. Joan van Zyl</v>
      </c>
      <c r="G8" t="str">
        <f>VLOOKUP(Q8,tbl_StaffRoleX,4,FALSE)</f>
        <v>2. ATL</v>
      </c>
      <c r="H8" s="317">
        <v>44768</v>
      </c>
      <c r="I8" s="317">
        <v>44782</v>
      </c>
      <c r="J8" s="317">
        <v>44796</v>
      </c>
      <c r="N8">
        <v>3</v>
      </c>
      <c r="O8">
        <v>3</v>
      </c>
      <c r="P8">
        <v>3</v>
      </c>
      <c r="Q8">
        <v>2</v>
      </c>
    </row>
    <row r="9" spans="1:18">
      <c r="A9">
        <v>2</v>
      </c>
      <c r="B9" t="s">
        <v>1520</v>
      </c>
      <c r="C9" t="str">
        <f>VLOOKUP(N9,tbl_TaskCodeX,4,FALSE)</f>
        <v>2. 30p</v>
      </c>
      <c r="D9" t="s">
        <v>1550</v>
      </c>
      <c r="E9" t="str">
        <f>VLOOKUP(O9,tbl_TaskStatusX,4,FALSE)</f>
        <v>3. WIP</v>
      </c>
      <c r="F9" t="str">
        <f>VLOOKUP(P9,tbl_StaffX,4,FALSE)</f>
        <v>2. Pieter van Zyl</v>
      </c>
      <c r="G9" t="str">
        <f>VLOOKUP(Q9,tbl_StaffRoleX,4,FALSE)</f>
        <v>1. None</v>
      </c>
      <c r="H9" s="317">
        <v>44775</v>
      </c>
      <c r="I9" s="317">
        <v>44775</v>
      </c>
      <c r="J9" s="317">
        <v>44775</v>
      </c>
      <c r="N9">
        <v>2</v>
      </c>
      <c r="O9">
        <v>3</v>
      </c>
      <c r="P9">
        <v>2</v>
      </c>
      <c r="Q9">
        <v>1</v>
      </c>
    </row>
    <row r="10" spans="1:18">
      <c r="A10">
        <v>3</v>
      </c>
      <c r="B10" t="s">
        <v>1520</v>
      </c>
      <c r="C10" t="str">
        <f>VLOOKUP(N10,tbl_TaskCodeX,4,FALSE)</f>
        <v>2. 30p</v>
      </c>
      <c r="D10" t="s">
        <v>1551</v>
      </c>
      <c r="E10" t="str">
        <f>VLOOKUP(O10,tbl_TaskStatusX,4,FALSE)</f>
        <v>3. WIP</v>
      </c>
      <c r="F10" t="str">
        <f>VLOOKUP(P10,tbl_StaffX,4,FALSE)</f>
        <v>2. Pieter van Zyl</v>
      </c>
      <c r="G10" t="str">
        <f>VLOOKUP(Q10,tbl_StaffRoleX,4,FALSE)</f>
        <v>1. None</v>
      </c>
      <c r="H10" s="317">
        <v>44775</v>
      </c>
      <c r="I10" s="317">
        <v>44775</v>
      </c>
      <c r="J10"/>
      <c r="N10">
        <v>2</v>
      </c>
      <c r="O10">
        <v>3</v>
      </c>
      <c r="P10">
        <v>2</v>
      </c>
      <c r="Q10">
        <v>1</v>
      </c>
    </row>
    <row r="11" spans="1:18">
      <c r="A11">
        <v>4</v>
      </c>
      <c r="B11" t="s">
        <v>1548</v>
      </c>
      <c r="C11" t="str">
        <f>VLOOKUP(N11,tbl_TaskCodeX,4,FALSE)</f>
        <v>2. 30p</v>
      </c>
      <c r="D11" t="s">
        <v>1552</v>
      </c>
      <c r="E11" t="str">
        <f>VLOOKUP(O11,tbl_TaskStatusX,4,FALSE)</f>
        <v>2. Not started</v>
      </c>
      <c r="F11" t="str">
        <f>VLOOKUP(P11,tbl_StaffX,4,FALSE)</f>
        <v>2. Pieter van Zyl</v>
      </c>
      <c r="G11" t="str">
        <f>VLOOKUP(Q11,tbl_StaffRoleX,4,FALSE)</f>
        <v>2. ATL</v>
      </c>
      <c r="H11" s="317">
        <v>44775</v>
      </c>
      <c r="I11" s="317">
        <v>44782</v>
      </c>
      <c r="J11"/>
      <c r="N11">
        <v>2</v>
      </c>
      <c r="O11">
        <v>2</v>
      </c>
      <c r="P11">
        <v>2</v>
      </c>
      <c r="Q11">
        <v>2</v>
      </c>
    </row>
    <row r="12" spans="1:18">
      <c r="I12"/>
      <c r="J12"/>
    </row>
    <row r="13" spans="1:18">
      <c r="I13"/>
      <c r="J13"/>
    </row>
    <row r="14" spans="1:18">
      <c r="I14"/>
      <c r="J14"/>
    </row>
    <row r="15" spans="1:18">
      <c r="I15"/>
      <c r="J15"/>
    </row>
    <row r="16" spans="1:18">
      <c r="I16"/>
      <c r="J16"/>
    </row>
    <row r="17" spans="9:10">
      <c r="I17"/>
      <c r="J17"/>
    </row>
    <row r="18" spans="9:10">
      <c r="I18"/>
      <c r="J18"/>
    </row>
    <row r="19" spans="9:10">
      <c r="I19"/>
      <c r="J19"/>
    </row>
    <row r="20" spans="9:10">
      <c r="I20"/>
      <c r="J20"/>
    </row>
    <row r="21" spans="9:10">
      <c r="I21"/>
      <c r="J21"/>
    </row>
    <row r="22" spans="9:10">
      <c r="I22"/>
      <c r="J22"/>
    </row>
    <row r="23" spans="9:10">
      <c r="I23"/>
      <c r="J23"/>
    </row>
    <row r="24" spans="9:10">
      <c r="I24"/>
      <c r="J24"/>
    </row>
    <row r="25" spans="9:10">
      <c r="I25"/>
      <c r="J25"/>
    </row>
    <row r="26" spans="9:10">
      <c r="I26"/>
      <c r="J26"/>
    </row>
    <row r="27" spans="9:10">
      <c r="I27"/>
      <c r="J27"/>
    </row>
    <row r="28" spans="9:10">
      <c r="I28"/>
      <c r="J28"/>
    </row>
    <row r="29" spans="9:10">
      <c r="I29"/>
      <c r="J29"/>
    </row>
    <row r="30" spans="9:10">
      <c r="I30"/>
      <c r="J30"/>
    </row>
    <row r="31" spans="9:10">
      <c r="I31"/>
      <c r="J31"/>
    </row>
    <row r="32" spans="9:10">
      <c r="I32"/>
      <c r="J32"/>
    </row>
    <row r="33" spans="9:10">
      <c r="I33"/>
      <c r="J33"/>
    </row>
    <row r="34" spans="9:10">
      <c r="I34"/>
      <c r="J34"/>
    </row>
    <row r="35" spans="9:10">
      <c r="I35"/>
      <c r="J35"/>
    </row>
    <row r="36" spans="9:10">
      <c r="I36"/>
      <c r="J36"/>
    </row>
    <row r="37" spans="9:10">
      <c r="I37"/>
      <c r="J37"/>
    </row>
    <row r="38" spans="9:10">
      <c r="I38"/>
      <c r="J38"/>
    </row>
    <row r="39" spans="9:10">
      <c r="I39"/>
      <c r="J39"/>
    </row>
    <row r="40" spans="9:10">
      <c r="I40"/>
      <c r="J40"/>
    </row>
    <row r="41" spans="9:10">
      <c r="I41"/>
      <c r="J41"/>
    </row>
    <row r="42" spans="9:10">
      <c r="I42"/>
      <c r="J42"/>
    </row>
    <row r="43" spans="9:10">
      <c r="I43"/>
      <c r="J43"/>
    </row>
    <row r="44" spans="9:10">
      <c r="I44"/>
      <c r="J44"/>
    </row>
    <row r="45" spans="9:10">
      <c r="I45"/>
      <c r="J45"/>
    </row>
    <row r="46" spans="9:10">
      <c r="I46"/>
      <c r="J46"/>
    </row>
    <row r="47" spans="9:10">
      <c r="I47"/>
      <c r="J47"/>
    </row>
    <row r="48" spans="9:10">
      <c r="I48"/>
      <c r="J48"/>
    </row>
    <row r="49" spans="9:10">
      <c r="I49"/>
      <c r="J49"/>
    </row>
    <row r="50" spans="9:10">
      <c r="I50"/>
      <c r="J50"/>
    </row>
    <row r="51" spans="9:10">
      <c r="I51"/>
      <c r="J51"/>
    </row>
    <row r="52" spans="9:10">
      <c r="I52"/>
      <c r="J52"/>
    </row>
    <row r="53" spans="9:10">
      <c r="I53"/>
      <c r="J53"/>
    </row>
    <row r="54" spans="9:10">
      <c r="I54"/>
      <c r="J54"/>
    </row>
    <row r="55" spans="9:10">
      <c r="I55"/>
      <c r="J55"/>
    </row>
    <row r="56" spans="9:10">
      <c r="I56"/>
      <c r="J56"/>
    </row>
    <row r="57" spans="9:10">
      <c r="I57"/>
      <c r="J57"/>
    </row>
    <row r="58" spans="9:10">
      <c r="I58"/>
      <c r="J58"/>
    </row>
    <row r="59" spans="9:10">
      <c r="I59"/>
      <c r="J59"/>
    </row>
    <row r="60" spans="9:10">
      <c r="I60"/>
      <c r="J60"/>
    </row>
    <row r="61" spans="9:10">
      <c r="I61"/>
      <c r="J61"/>
    </row>
    <row r="62" spans="9:10">
      <c r="I62"/>
      <c r="J62"/>
    </row>
    <row r="63" spans="9:10">
      <c r="I63"/>
      <c r="J63"/>
    </row>
    <row r="64" spans="9:10">
      <c r="I64"/>
      <c r="J64"/>
    </row>
    <row r="65" spans="9:10">
      <c r="I65"/>
      <c r="J65"/>
    </row>
    <row r="66" spans="9:10">
      <c r="I66"/>
      <c r="J66"/>
    </row>
    <row r="67" spans="9:10">
      <c r="I67"/>
      <c r="J67"/>
    </row>
    <row r="68" spans="9:10">
      <c r="I68"/>
      <c r="J68"/>
    </row>
    <row r="69" spans="9:10">
      <c r="I69"/>
      <c r="J69"/>
    </row>
    <row r="70" spans="9:10">
      <c r="I70"/>
      <c r="J70"/>
    </row>
    <row r="71" spans="9:10">
      <c r="I71"/>
      <c r="J71"/>
    </row>
    <row r="72" spans="9:10">
      <c r="I72"/>
      <c r="J72"/>
    </row>
    <row r="73" spans="9:10">
      <c r="I73"/>
      <c r="J73"/>
    </row>
    <row r="74" spans="9:10">
      <c r="I74"/>
      <c r="J74"/>
    </row>
    <row r="75" spans="9:10">
      <c r="I75"/>
      <c r="J75"/>
    </row>
    <row r="76" spans="9:10">
      <c r="I76"/>
      <c r="J76"/>
    </row>
    <row r="77" spans="9:10">
      <c r="I77"/>
      <c r="J77"/>
    </row>
    <row r="78" spans="9:10">
      <c r="I78"/>
      <c r="J78"/>
    </row>
    <row r="79" spans="9:10">
      <c r="I79"/>
      <c r="J79"/>
    </row>
    <row r="80" spans="9:10">
      <c r="I80"/>
      <c r="J80"/>
    </row>
    <row r="81" spans="9:10">
      <c r="I81"/>
      <c r="J81"/>
    </row>
    <row r="82" spans="9:10">
      <c r="I82"/>
      <c r="J82"/>
    </row>
    <row r="83" spans="9:10">
      <c r="I83"/>
      <c r="J83"/>
    </row>
    <row r="84" spans="9:10">
      <c r="I84"/>
      <c r="J84"/>
    </row>
    <row r="85" spans="9:10">
      <c r="I85"/>
      <c r="J85"/>
    </row>
    <row r="86" spans="9:10">
      <c r="I86"/>
      <c r="J86"/>
    </row>
    <row r="87" spans="9:10">
      <c r="I87"/>
      <c r="J87"/>
    </row>
    <row r="88" spans="9:10">
      <c r="I88"/>
      <c r="J88"/>
    </row>
    <row r="89" spans="9:10">
      <c r="I89"/>
      <c r="J89"/>
    </row>
    <row r="90" spans="9:10">
      <c r="I90"/>
      <c r="J90"/>
    </row>
    <row r="91" spans="9:10">
      <c r="I91"/>
      <c r="J91"/>
    </row>
    <row r="92" spans="9:10">
      <c r="I92"/>
      <c r="J92"/>
    </row>
    <row r="93" spans="9:10">
      <c r="I93"/>
      <c r="J93"/>
    </row>
    <row r="94" spans="9:10">
      <c r="I94"/>
      <c r="J94"/>
    </row>
    <row r="95" spans="9:10">
      <c r="I95"/>
      <c r="J95"/>
    </row>
    <row r="96" spans="9:10">
      <c r="I96"/>
      <c r="J96"/>
    </row>
    <row r="97" spans="9:10">
      <c r="I97"/>
      <c r="J97"/>
    </row>
    <row r="98" spans="9:10">
      <c r="I98"/>
      <c r="J98"/>
    </row>
    <row r="99" spans="9:10">
      <c r="I99"/>
      <c r="J99"/>
    </row>
    <row r="100" spans="9:10">
      <c r="I100"/>
      <c r="J100"/>
    </row>
    <row r="101" spans="9:10">
      <c r="I101"/>
      <c r="J101"/>
    </row>
    <row r="102" spans="9:10">
      <c r="I102"/>
      <c r="J102"/>
    </row>
    <row r="103" spans="9:10">
      <c r="I103"/>
      <c r="J103"/>
    </row>
    <row r="104" spans="9:10">
      <c r="I104"/>
      <c r="J104"/>
    </row>
    <row r="105" spans="9:10">
      <c r="I105"/>
      <c r="J105"/>
    </row>
    <row r="106" spans="9:10">
      <c r="I106"/>
      <c r="J106"/>
    </row>
    <row r="107" spans="9:10">
      <c r="I107"/>
      <c r="J107"/>
    </row>
    <row r="108" spans="9:10">
      <c r="I108"/>
      <c r="J108"/>
    </row>
    <row r="109" spans="9:10">
      <c r="I109"/>
      <c r="J109"/>
    </row>
    <row r="110" spans="9:10">
      <c r="I110"/>
      <c r="J110"/>
    </row>
    <row r="111" spans="9:10">
      <c r="I111"/>
      <c r="J111"/>
    </row>
    <row r="112" spans="9:10">
      <c r="I112"/>
      <c r="J112"/>
    </row>
    <row r="113" spans="9:10">
      <c r="I113"/>
      <c r="J113"/>
    </row>
    <row r="114" spans="9:10">
      <c r="I114"/>
      <c r="J114"/>
    </row>
    <row r="115" spans="9:10">
      <c r="I115"/>
      <c r="J115"/>
    </row>
    <row r="116" spans="9:10">
      <c r="I116"/>
      <c r="J116"/>
    </row>
    <row r="117" spans="9:10">
      <c r="I117"/>
      <c r="J117"/>
    </row>
    <row r="118" spans="9:10">
      <c r="I118"/>
      <c r="J118"/>
    </row>
    <row r="119" spans="9:10">
      <c r="I119"/>
      <c r="J119"/>
    </row>
    <row r="120" spans="9:10">
      <c r="I120"/>
      <c r="J120"/>
    </row>
    <row r="121" spans="9:10">
      <c r="I121"/>
      <c r="J121"/>
    </row>
    <row r="122" spans="9:10">
      <c r="I122"/>
      <c r="J122"/>
    </row>
    <row r="123" spans="9:10">
      <c r="I123"/>
      <c r="J123"/>
    </row>
    <row r="124" spans="9:10">
      <c r="I124"/>
      <c r="J124"/>
    </row>
    <row r="125" spans="9:10">
      <c r="I125"/>
      <c r="J125"/>
    </row>
    <row r="126" spans="9:10">
      <c r="I126"/>
      <c r="J126"/>
    </row>
    <row r="127" spans="9:10">
      <c r="I127"/>
      <c r="J127"/>
    </row>
    <row r="128" spans="9:10">
      <c r="I128"/>
      <c r="J128"/>
    </row>
    <row r="129" spans="9:10">
      <c r="I129"/>
      <c r="J129"/>
    </row>
    <row r="130" spans="9:10">
      <c r="I130"/>
      <c r="J130"/>
    </row>
    <row r="131" spans="9:10">
      <c r="I131"/>
      <c r="J131"/>
    </row>
    <row r="132" spans="9:10">
      <c r="I132"/>
      <c r="J132"/>
    </row>
    <row r="133" spans="9:10">
      <c r="I133"/>
      <c r="J133"/>
    </row>
    <row r="134" spans="9:10">
      <c r="I134"/>
      <c r="J134"/>
    </row>
    <row r="135" spans="9:10">
      <c r="I135"/>
      <c r="J135"/>
    </row>
    <row r="136" spans="9:10">
      <c r="I136"/>
      <c r="J136"/>
    </row>
    <row r="137" spans="9:10">
      <c r="I137"/>
      <c r="J137"/>
    </row>
    <row r="138" spans="9:10">
      <c r="I138"/>
      <c r="J138"/>
    </row>
    <row r="139" spans="9:10">
      <c r="I139"/>
      <c r="J139"/>
    </row>
    <row r="140" spans="9:10">
      <c r="I140"/>
      <c r="J140"/>
    </row>
    <row r="141" spans="9:10">
      <c r="I141"/>
      <c r="J141"/>
    </row>
    <row r="142" spans="9:10">
      <c r="I142"/>
      <c r="J142"/>
    </row>
    <row r="143" spans="9:10">
      <c r="I143"/>
      <c r="J143"/>
    </row>
    <row r="144" spans="9:10">
      <c r="I144"/>
      <c r="J144"/>
    </row>
    <row r="145" spans="9:10">
      <c r="I145"/>
      <c r="J145"/>
    </row>
    <row r="146" spans="9:10">
      <c r="I146"/>
      <c r="J146"/>
    </row>
    <row r="147" spans="9:10">
      <c r="I147"/>
      <c r="J147"/>
    </row>
    <row r="148" spans="9:10">
      <c r="I148"/>
      <c r="J148"/>
    </row>
    <row r="149" spans="9:10">
      <c r="I149"/>
      <c r="J149"/>
    </row>
    <row r="150" spans="9:10">
      <c r="I150"/>
      <c r="J150"/>
    </row>
    <row r="151" spans="9:10">
      <c r="I151"/>
      <c r="J151"/>
    </row>
    <row r="152" spans="9:10">
      <c r="I152"/>
      <c r="J152"/>
    </row>
    <row r="153" spans="9:10">
      <c r="I153"/>
      <c r="J153"/>
    </row>
    <row r="154" spans="9:10">
      <c r="I154"/>
      <c r="J154"/>
    </row>
    <row r="155" spans="9:10">
      <c r="I155"/>
      <c r="J155"/>
    </row>
    <row r="156" spans="9:10">
      <c r="I156"/>
      <c r="J156"/>
    </row>
    <row r="157" spans="9:10">
      <c r="I157"/>
      <c r="J157"/>
    </row>
    <row r="158" spans="9:10">
      <c r="I158"/>
      <c r="J158"/>
    </row>
    <row r="159" spans="9:10">
      <c r="I159"/>
      <c r="J159"/>
    </row>
    <row r="160" spans="9:10">
      <c r="I160"/>
      <c r="J160"/>
    </row>
    <row r="161" spans="9:10">
      <c r="I161"/>
      <c r="J161"/>
    </row>
    <row r="162" spans="9:10">
      <c r="I162"/>
      <c r="J162"/>
    </row>
    <row r="163" spans="9:10">
      <c r="I163"/>
      <c r="J163"/>
    </row>
    <row r="164" spans="9:10">
      <c r="I164"/>
      <c r="J164"/>
    </row>
    <row r="165" spans="9:10">
      <c r="I165"/>
      <c r="J165"/>
    </row>
    <row r="166" spans="9:10">
      <c r="I166"/>
      <c r="J166"/>
    </row>
    <row r="167" spans="9:10">
      <c r="I167"/>
      <c r="J167"/>
    </row>
    <row r="168" spans="9:10">
      <c r="I168"/>
      <c r="J168"/>
    </row>
    <row r="169" spans="9:10">
      <c r="I169"/>
      <c r="J169"/>
    </row>
    <row r="170" spans="9:10">
      <c r="I170"/>
      <c r="J170"/>
    </row>
    <row r="171" spans="9:10">
      <c r="I171"/>
      <c r="J171"/>
    </row>
    <row r="172" spans="9:10">
      <c r="I172"/>
      <c r="J172"/>
    </row>
    <row r="173" spans="9:10">
      <c r="I173"/>
      <c r="J173"/>
    </row>
    <row r="174" spans="9:10">
      <c r="I174"/>
      <c r="J174"/>
    </row>
    <row r="175" spans="9:10">
      <c r="I175"/>
      <c r="J175"/>
    </row>
    <row r="176" spans="9:10">
      <c r="I176"/>
      <c r="J176"/>
    </row>
    <row r="177" spans="9:10">
      <c r="I177"/>
      <c r="J177"/>
    </row>
    <row r="178" spans="9:10">
      <c r="I178"/>
      <c r="J178"/>
    </row>
    <row r="179" spans="9:10">
      <c r="I179"/>
      <c r="J179"/>
    </row>
    <row r="180" spans="9:10">
      <c r="I180"/>
      <c r="J180"/>
    </row>
    <row r="181" spans="9:10">
      <c r="I181"/>
      <c r="J181"/>
    </row>
    <row r="182" spans="9:10">
      <c r="I182"/>
      <c r="J182"/>
    </row>
    <row r="183" spans="9:10">
      <c r="I183"/>
      <c r="J183"/>
    </row>
    <row r="184" spans="9:10">
      <c r="I184"/>
      <c r="J184"/>
    </row>
    <row r="185" spans="9:10">
      <c r="I185"/>
      <c r="J185"/>
    </row>
    <row r="186" spans="9:10">
      <c r="I186"/>
      <c r="J186"/>
    </row>
    <row r="187" spans="9:10">
      <c r="I187"/>
      <c r="J187"/>
    </row>
    <row r="188" spans="9:10">
      <c r="I188"/>
      <c r="J188"/>
    </row>
    <row r="189" spans="9:10">
      <c r="I189"/>
      <c r="J189"/>
    </row>
    <row r="190" spans="9:10">
      <c r="I190"/>
      <c r="J190"/>
    </row>
    <row r="191" spans="9:10">
      <c r="I191"/>
      <c r="J191"/>
    </row>
    <row r="192" spans="9:10">
      <c r="I192"/>
      <c r="J192"/>
    </row>
    <row r="193" spans="9:10">
      <c r="I193"/>
      <c r="J193"/>
    </row>
    <row r="194" spans="9:10">
      <c r="I194"/>
      <c r="J194"/>
    </row>
    <row r="195" spans="9:10">
      <c r="I195"/>
      <c r="J195"/>
    </row>
    <row r="196" spans="9:10">
      <c r="I196"/>
      <c r="J196"/>
    </row>
    <row r="197" spans="9:10">
      <c r="I197"/>
      <c r="J197"/>
    </row>
    <row r="198" spans="9:10">
      <c r="I198"/>
      <c r="J198"/>
    </row>
    <row r="199" spans="9:10">
      <c r="I199"/>
      <c r="J199"/>
    </row>
    <row r="200" spans="9:10">
      <c r="I200"/>
      <c r="J200"/>
    </row>
    <row r="201" spans="9:10">
      <c r="I201"/>
      <c r="J201"/>
    </row>
    <row r="202" spans="9:10">
      <c r="I202"/>
      <c r="J202"/>
    </row>
    <row r="203" spans="9:10">
      <c r="I203"/>
      <c r="J203"/>
    </row>
    <row r="204" spans="9:10">
      <c r="I204"/>
      <c r="J204"/>
    </row>
    <row r="205" spans="9:10">
      <c r="I205"/>
      <c r="J205"/>
    </row>
    <row r="206" spans="9:10">
      <c r="I206"/>
      <c r="J206"/>
    </row>
    <row r="207" spans="9:10">
      <c r="I207"/>
      <c r="J207"/>
    </row>
    <row r="208" spans="9:10">
      <c r="I208"/>
      <c r="J208"/>
    </row>
    <row r="209" spans="9:10">
      <c r="I209"/>
      <c r="J209"/>
    </row>
    <row r="210" spans="9:10">
      <c r="I210"/>
      <c r="J210"/>
    </row>
    <row r="211" spans="9:10">
      <c r="I211"/>
      <c r="J211"/>
    </row>
    <row r="212" spans="9:10">
      <c r="I212"/>
      <c r="J212"/>
    </row>
    <row r="213" spans="9:10">
      <c r="I213"/>
      <c r="J213"/>
    </row>
    <row r="214" spans="9:10">
      <c r="I214"/>
      <c r="J214"/>
    </row>
    <row r="215" spans="9:10">
      <c r="I215"/>
      <c r="J215"/>
    </row>
    <row r="216" spans="9:10">
      <c r="I216"/>
      <c r="J216"/>
    </row>
    <row r="217" spans="9:10">
      <c r="I217"/>
      <c r="J217"/>
    </row>
    <row r="218" spans="9:10">
      <c r="I218"/>
      <c r="J218"/>
    </row>
    <row r="219" spans="9:10">
      <c r="I219"/>
      <c r="J219"/>
    </row>
    <row r="220" spans="9:10">
      <c r="I220"/>
      <c r="J220"/>
    </row>
    <row r="221" spans="9:10">
      <c r="I221"/>
      <c r="J221"/>
    </row>
    <row r="222" spans="9:10">
      <c r="I222"/>
      <c r="J222"/>
    </row>
    <row r="223" spans="9:10">
      <c r="I223"/>
      <c r="J223"/>
    </row>
    <row r="224" spans="9:10">
      <c r="I224"/>
      <c r="J224"/>
    </row>
    <row r="225" spans="9:10">
      <c r="I225"/>
      <c r="J225"/>
    </row>
    <row r="226" spans="9:10">
      <c r="I226"/>
      <c r="J226"/>
    </row>
    <row r="227" spans="9:10">
      <c r="I227"/>
      <c r="J227"/>
    </row>
    <row r="228" spans="9:10">
      <c r="I228"/>
      <c r="J228"/>
    </row>
    <row r="229" spans="9:10">
      <c r="I229"/>
      <c r="J229"/>
    </row>
    <row r="230" spans="9:10">
      <c r="I230"/>
      <c r="J230"/>
    </row>
    <row r="231" spans="9:10">
      <c r="I231"/>
      <c r="J231"/>
    </row>
    <row r="232" spans="9:10">
      <c r="I232"/>
      <c r="J232"/>
    </row>
    <row r="233" spans="9:10">
      <c r="I233"/>
      <c r="J233"/>
    </row>
    <row r="234" spans="9:10">
      <c r="I234"/>
      <c r="J234"/>
    </row>
    <row r="235" spans="9:10">
      <c r="I235"/>
      <c r="J235"/>
    </row>
    <row r="236" spans="9:10">
      <c r="I236"/>
      <c r="J236"/>
    </row>
    <row r="237" spans="9:10">
      <c r="I237"/>
      <c r="J237"/>
    </row>
    <row r="238" spans="9:10">
      <c r="I238"/>
      <c r="J238"/>
    </row>
    <row r="239" spans="9:10">
      <c r="I239"/>
      <c r="J239"/>
    </row>
    <row r="240" spans="9:10">
      <c r="I240"/>
      <c r="J240"/>
    </row>
    <row r="241" spans="9:10">
      <c r="I241"/>
      <c r="J241"/>
    </row>
    <row r="242" spans="9:10">
      <c r="I242"/>
      <c r="J242"/>
    </row>
    <row r="243" spans="9:10">
      <c r="I243"/>
      <c r="J243"/>
    </row>
    <row r="244" spans="9:10">
      <c r="I244"/>
      <c r="J244"/>
    </row>
    <row r="245" spans="9:10">
      <c r="I245"/>
      <c r="J245"/>
    </row>
    <row r="246" spans="9:10">
      <c r="I246"/>
      <c r="J246"/>
    </row>
    <row r="247" spans="9:10">
      <c r="I247"/>
      <c r="J247"/>
    </row>
    <row r="248" spans="9:10">
      <c r="I248"/>
      <c r="J248"/>
    </row>
    <row r="249" spans="9:10">
      <c r="I249"/>
      <c r="J249"/>
    </row>
    <row r="250" spans="9:10">
      <c r="I250"/>
      <c r="J250"/>
    </row>
    <row r="251" spans="9:10">
      <c r="I251"/>
      <c r="J251"/>
    </row>
    <row r="252" spans="9:10">
      <c r="I252"/>
      <c r="J252"/>
    </row>
    <row r="253" spans="9:10">
      <c r="I253"/>
      <c r="J253"/>
    </row>
    <row r="254" spans="9:10">
      <c r="I254"/>
      <c r="J254"/>
    </row>
    <row r="255" spans="9:10">
      <c r="I255"/>
      <c r="J255"/>
    </row>
    <row r="256" spans="9:10">
      <c r="I256"/>
      <c r="J256"/>
    </row>
    <row r="257" spans="9:10">
      <c r="I257"/>
      <c r="J257"/>
    </row>
    <row r="258" spans="9:10">
      <c r="I258"/>
      <c r="J258"/>
    </row>
    <row r="259" spans="9:10">
      <c r="I259"/>
      <c r="J259"/>
    </row>
    <row r="260" spans="9:10">
      <c r="I260"/>
      <c r="J260"/>
    </row>
    <row r="261" spans="9:10">
      <c r="I261"/>
      <c r="J261"/>
    </row>
    <row r="262" spans="9:10">
      <c r="I262"/>
      <c r="J262"/>
    </row>
    <row r="263" spans="9:10">
      <c r="I263"/>
      <c r="J263"/>
    </row>
    <row r="264" spans="9:10">
      <c r="I264"/>
      <c r="J264"/>
    </row>
    <row r="265" spans="9:10">
      <c r="I265"/>
      <c r="J265"/>
    </row>
    <row r="266" spans="9:10">
      <c r="I266"/>
      <c r="J266"/>
    </row>
    <row r="267" spans="9:10">
      <c r="I267"/>
      <c r="J267"/>
    </row>
    <row r="268" spans="9:10">
      <c r="I268"/>
      <c r="J268"/>
    </row>
    <row r="269" spans="9:10">
      <c r="I269"/>
      <c r="J269"/>
    </row>
    <row r="270" spans="9:10">
      <c r="I270"/>
      <c r="J270"/>
    </row>
    <row r="271" spans="9:10">
      <c r="I271"/>
      <c r="J271"/>
    </row>
    <row r="272" spans="9:10">
      <c r="I272"/>
      <c r="J272"/>
    </row>
    <row r="273" spans="9:10">
      <c r="I273"/>
      <c r="J273"/>
    </row>
    <row r="274" spans="9:10">
      <c r="I274"/>
      <c r="J274"/>
    </row>
    <row r="275" spans="9:10">
      <c r="I275"/>
      <c r="J275"/>
    </row>
    <row r="276" spans="9:10">
      <c r="I276"/>
      <c r="J276"/>
    </row>
    <row r="277" spans="9:10">
      <c r="I277"/>
      <c r="J277"/>
    </row>
    <row r="278" spans="9:10">
      <c r="I278"/>
      <c r="J278"/>
    </row>
    <row r="279" spans="9:10">
      <c r="I279"/>
      <c r="J279"/>
    </row>
    <row r="280" spans="9:10">
      <c r="I280"/>
      <c r="J280"/>
    </row>
    <row r="281" spans="9:10">
      <c r="I281"/>
      <c r="J281"/>
    </row>
    <row r="282" spans="9:10">
      <c r="I282"/>
      <c r="J282"/>
    </row>
    <row r="283" spans="9:10">
      <c r="I283"/>
      <c r="J283"/>
    </row>
    <row r="284" spans="9:10">
      <c r="I284"/>
      <c r="J284"/>
    </row>
    <row r="285" spans="9:10">
      <c r="I285"/>
      <c r="J285"/>
    </row>
    <row r="286" spans="9:10">
      <c r="I286"/>
      <c r="J286"/>
    </row>
    <row r="287" spans="9:10">
      <c r="I287"/>
      <c r="J287"/>
    </row>
    <row r="288" spans="9:10">
      <c r="I288"/>
      <c r="J288"/>
    </row>
    <row r="289" spans="9:10">
      <c r="I289"/>
      <c r="J289"/>
    </row>
    <row r="290" spans="9:10">
      <c r="I290"/>
      <c r="J290"/>
    </row>
    <row r="291" spans="9:10">
      <c r="I291"/>
      <c r="J291"/>
    </row>
    <row r="292" spans="9:10">
      <c r="I292"/>
      <c r="J292"/>
    </row>
    <row r="293" spans="9:10">
      <c r="I293"/>
      <c r="J293"/>
    </row>
    <row r="294" spans="9:10">
      <c r="I294"/>
      <c r="J294"/>
    </row>
    <row r="295" spans="9:10">
      <c r="I295"/>
      <c r="J295"/>
    </row>
    <row r="296" spans="9:10">
      <c r="I296"/>
      <c r="J296"/>
    </row>
    <row r="297" spans="9:10">
      <c r="I297"/>
      <c r="J297"/>
    </row>
    <row r="298" spans="9:10">
      <c r="I298"/>
      <c r="J298"/>
    </row>
    <row r="299" spans="9:10">
      <c r="I299"/>
      <c r="J299"/>
    </row>
    <row r="300" spans="9:10">
      <c r="I300"/>
      <c r="J300"/>
    </row>
    <row r="301" spans="9:10">
      <c r="I301"/>
      <c r="J301"/>
    </row>
    <row r="302" spans="9:10">
      <c r="I302"/>
      <c r="J302"/>
    </row>
    <row r="303" spans="9:10">
      <c r="I303"/>
      <c r="J303"/>
    </row>
    <row r="304" spans="9:10">
      <c r="I304"/>
      <c r="J304"/>
    </row>
    <row r="305" spans="9:10">
      <c r="I305"/>
      <c r="J305"/>
    </row>
    <row r="306" spans="9:10">
      <c r="I306"/>
      <c r="J306"/>
    </row>
    <row r="307" spans="9:10">
      <c r="I307"/>
      <c r="J307"/>
    </row>
    <row r="308" spans="9:10">
      <c r="I308"/>
      <c r="J308"/>
    </row>
    <row r="309" spans="9:10">
      <c r="I309"/>
      <c r="J309"/>
    </row>
    <row r="310" spans="9:10">
      <c r="I310"/>
      <c r="J310"/>
    </row>
    <row r="311" spans="9:10">
      <c r="I311"/>
      <c r="J311"/>
    </row>
    <row r="312" spans="9:10">
      <c r="I312"/>
      <c r="J312"/>
    </row>
    <row r="313" spans="9:10">
      <c r="I313"/>
      <c r="J313"/>
    </row>
    <row r="314" spans="9:10">
      <c r="I314"/>
      <c r="J314"/>
    </row>
    <row r="315" spans="9:10">
      <c r="I315"/>
      <c r="J315"/>
    </row>
    <row r="316" spans="9:10">
      <c r="I316"/>
      <c r="J316"/>
    </row>
    <row r="317" spans="9:10">
      <c r="I317"/>
      <c r="J317"/>
    </row>
    <row r="318" spans="9:10">
      <c r="I318"/>
      <c r="J318"/>
    </row>
    <row r="319" spans="9:10">
      <c r="I319"/>
      <c r="J319"/>
    </row>
    <row r="320" spans="9:10">
      <c r="I320"/>
      <c r="J320"/>
    </row>
    <row r="321" spans="9:10">
      <c r="I321"/>
      <c r="J321"/>
    </row>
    <row r="322" spans="9:10">
      <c r="I322"/>
      <c r="J322"/>
    </row>
    <row r="323" spans="9:10">
      <c r="I323"/>
      <c r="J323"/>
    </row>
    <row r="324" spans="9:10">
      <c r="I324"/>
      <c r="J324"/>
    </row>
    <row r="325" spans="9:10">
      <c r="I325"/>
      <c r="J325"/>
    </row>
    <row r="326" spans="9:10">
      <c r="I326"/>
      <c r="J326"/>
    </row>
    <row r="327" spans="9:10">
      <c r="I327"/>
      <c r="J327"/>
    </row>
    <row r="328" spans="9:10">
      <c r="I328"/>
      <c r="J328"/>
    </row>
    <row r="329" spans="9:10">
      <c r="I329"/>
      <c r="J329"/>
    </row>
    <row r="330" spans="9:10">
      <c r="I330"/>
      <c r="J330"/>
    </row>
    <row r="331" spans="9:10">
      <c r="I331"/>
      <c r="J331"/>
    </row>
    <row r="332" spans="9:10">
      <c r="I332"/>
      <c r="J332"/>
    </row>
    <row r="333" spans="9:10">
      <c r="I333"/>
      <c r="J333"/>
    </row>
    <row r="334" spans="9:10">
      <c r="I334"/>
      <c r="J334"/>
    </row>
    <row r="335" spans="9:10">
      <c r="I335"/>
      <c r="J335"/>
    </row>
    <row r="336" spans="9:10">
      <c r="I336"/>
      <c r="J336"/>
    </row>
    <row r="337" spans="9:10">
      <c r="I337"/>
      <c r="J337"/>
    </row>
    <row r="338" spans="9:10">
      <c r="I338"/>
      <c r="J338"/>
    </row>
    <row r="339" spans="9:10">
      <c r="I339"/>
      <c r="J339"/>
    </row>
    <row r="340" spans="9:10">
      <c r="I340"/>
      <c r="J340"/>
    </row>
    <row r="341" spans="9:10">
      <c r="I341"/>
      <c r="J341"/>
    </row>
    <row r="342" spans="9:10">
      <c r="I342"/>
      <c r="J342"/>
    </row>
    <row r="343" spans="9:10">
      <c r="I343"/>
      <c r="J343"/>
    </row>
    <row r="344" spans="9:10">
      <c r="I344"/>
      <c r="J344"/>
    </row>
    <row r="345" spans="9:10">
      <c r="I345"/>
      <c r="J345"/>
    </row>
    <row r="346" spans="9:10">
      <c r="I346"/>
      <c r="J346"/>
    </row>
    <row r="347" spans="9:10">
      <c r="I347"/>
      <c r="J347"/>
    </row>
    <row r="348" spans="9:10">
      <c r="I348"/>
      <c r="J348"/>
    </row>
    <row r="349" spans="9:10">
      <c r="I349"/>
      <c r="J349"/>
    </row>
    <row r="350" spans="9:10">
      <c r="I350"/>
      <c r="J350"/>
    </row>
    <row r="351" spans="9:10">
      <c r="I351"/>
      <c r="J351"/>
    </row>
    <row r="352" spans="9:10">
      <c r="I352"/>
      <c r="J352"/>
    </row>
    <row r="353" spans="9:10">
      <c r="I353"/>
      <c r="J353"/>
    </row>
    <row r="354" spans="9:10">
      <c r="I354"/>
      <c r="J354"/>
    </row>
    <row r="355" spans="9:10">
      <c r="I355"/>
      <c r="J355"/>
    </row>
    <row r="356" spans="9:10">
      <c r="I356"/>
      <c r="J356"/>
    </row>
    <row r="357" spans="9:10">
      <c r="I357"/>
      <c r="J357"/>
    </row>
    <row r="358" spans="9:10">
      <c r="I358"/>
      <c r="J358"/>
    </row>
    <row r="359" spans="9:10">
      <c r="I359"/>
      <c r="J359"/>
    </row>
    <row r="360" spans="9:10">
      <c r="I360"/>
      <c r="J360"/>
    </row>
    <row r="361" spans="9:10">
      <c r="I361"/>
      <c r="J361"/>
    </row>
    <row r="362" spans="9:10">
      <c r="I362"/>
      <c r="J362"/>
    </row>
    <row r="363" spans="9:10">
      <c r="I363"/>
      <c r="J363"/>
    </row>
    <row r="364" spans="9:10">
      <c r="I364"/>
      <c r="J364"/>
    </row>
    <row r="365" spans="9:10">
      <c r="I365"/>
      <c r="J365"/>
    </row>
    <row r="366" spans="9:10">
      <c r="I366"/>
      <c r="J366"/>
    </row>
    <row r="367" spans="9:10">
      <c r="I367"/>
      <c r="J367"/>
    </row>
    <row r="368" spans="9:10">
      <c r="I368"/>
      <c r="J368"/>
    </row>
    <row r="369" spans="9:10">
      <c r="I369"/>
      <c r="J369"/>
    </row>
    <row r="370" spans="9:10">
      <c r="I370"/>
      <c r="J370"/>
    </row>
    <row r="371" spans="9:10">
      <c r="I371"/>
      <c r="J371"/>
    </row>
    <row r="372" spans="9:10">
      <c r="I372"/>
      <c r="J372"/>
    </row>
    <row r="373" spans="9:10">
      <c r="I373"/>
      <c r="J373"/>
    </row>
    <row r="374" spans="9:10">
      <c r="I374"/>
      <c r="J374"/>
    </row>
    <row r="375" spans="9:10">
      <c r="I375"/>
      <c r="J375"/>
    </row>
    <row r="376" spans="9:10">
      <c r="I376"/>
      <c r="J376"/>
    </row>
    <row r="377" spans="9:10">
      <c r="I377"/>
      <c r="J377"/>
    </row>
    <row r="378" spans="9:10">
      <c r="I378"/>
      <c r="J378"/>
    </row>
    <row r="379" spans="9:10">
      <c r="I379"/>
      <c r="J379"/>
    </row>
    <row r="380" spans="9:10">
      <c r="I380"/>
      <c r="J380"/>
    </row>
    <row r="381" spans="9:10">
      <c r="I381"/>
      <c r="J381"/>
    </row>
    <row r="382" spans="9:10">
      <c r="I382"/>
      <c r="J382"/>
    </row>
    <row r="383" spans="9:10">
      <c r="I383"/>
      <c r="J383"/>
    </row>
    <row r="384" spans="9:10">
      <c r="I384"/>
      <c r="J384"/>
    </row>
    <row r="385" spans="9:10">
      <c r="I385"/>
      <c r="J385"/>
    </row>
    <row r="386" spans="9:10">
      <c r="I386"/>
      <c r="J386"/>
    </row>
    <row r="387" spans="9:10">
      <c r="I387"/>
      <c r="J387"/>
    </row>
    <row r="388" spans="9:10">
      <c r="I388"/>
      <c r="J388"/>
    </row>
    <row r="389" spans="9:10">
      <c r="I389"/>
      <c r="J389"/>
    </row>
    <row r="390" spans="9:10">
      <c r="I390"/>
      <c r="J390"/>
    </row>
    <row r="391" spans="9:10">
      <c r="I391"/>
      <c r="J391"/>
    </row>
    <row r="392" spans="9:10">
      <c r="I392"/>
      <c r="J392"/>
    </row>
    <row r="393" spans="9:10">
      <c r="I393"/>
      <c r="J393"/>
    </row>
    <row r="394" spans="9:10">
      <c r="I394"/>
      <c r="J394"/>
    </row>
    <row r="395" spans="9:10">
      <c r="I395"/>
      <c r="J395"/>
    </row>
    <row r="396" spans="9:10">
      <c r="I396"/>
      <c r="J396"/>
    </row>
    <row r="397" spans="9:10">
      <c r="I397"/>
      <c r="J397"/>
    </row>
    <row r="398" spans="9:10">
      <c r="I398"/>
      <c r="J398"/>
    </row>
    <row r="399" spans="9:10">
      <c r="I399"/>
      <c r="J399"/>
    </row>
    <row r="400" spans="9:10">
      <c r="I400"/>
      <c r="J400"/>
    </row>
    <row r="401" spans="9:10">
      <c r="I401"/>
      <c r="J401"/>
    </row>
    <row r="402" spans="9:10">
      <c r="I402"/>
      <c r="J402"/>
    </row>
    <row r="403" spans="9:10">
      <c r="I403"/>
      <c r="J403"/>
    </row>
    <row r="404" spans="9:10">
      <c r="I404"/>
      <c r="J404"/>
    </row>
    <row r="405" spans="9:10">
      <c r="I405"/>
      <c r="J405"/>
    </row>
    <row r="406" spans="9:10">
      <c r="I406"/>
      <c r="J406"/>
    </row>
    <row r="407" spans="9:10">
      <c r="I407"/>
      <c r="J407"/>
    </row>
    <row r="408" spans="9:10">
      <c r="I408"/>
      <c r="J408"/>
    </row>
    <row r="409" spans="9:10">
      <c r="I409"/>
      <c r="J409"/>
    </row>
    <row r="410" spans="9:10">
      <c r="I410"/>
      <c r="J410"/>
    </row>
    <row r="411" spans="9:10">
      <c r="I411"/>
      <c r="J411"/>
    </row>
    <row r="412" spans="9:10">
      <c r="I412"/>
      <c r="J412"/>
    </row>
    <row r="413" spans="9:10">
      <c r="I413"/>
      <c r="J413"/>
    </row>
    <row r="414" spans="9:10">
      <c r="I414"/>
      <c r="J414"/>
    </row>
    <row r="415" spans="9:10">
      <c r="I415"/>
      <c r="J415"/>
    </row>
    <row r="416" spans="9:10">
      <c r="I416"/>
      <c r="J416"/>
    </row>
    <row r="417" spans="9:10">
      <c r="I417"/>
      <c r="J417"/>
    </row>
    <row r="418" spans="9:10">
      <c r="I418"/>
      <c r="J418"/>
    </row>
    <row r="419" spans="9:10">
      <c r="I419"/>
      <c r="J419"/>
    </row>
    <row r="420" spans="9:10">
      <c r="I420"/>
      <c r="J420"/>
    </row>
    <row r="421" spans="9:10">
      <c r="I421"/>
      <c r="J421"/>
    </row>
    <row r="422" spans="9:10">
      <c r="I422"/>
      <c r="J422"/>
    </row>
    <row r="423" spans="9:10">
      <c r="I423"/>
      <c r="J423"/>
    </row>
    <row r="424" spans="9:10">
      <c r="I424"/>
      <c r="J424"/>
    </row>
    <row r="425" spans="9:10">
      <c r="I425"/>
      <c r="J425"/>
    </row>
    <row r="426" spans="9:10">
      <c r="I426"/>
      <c r="J426"/>
    </row>
    <row r="427" spans="9:10">
      <c r="I427"/>
      <c r="J427"/>
    </row>
    <row r="428" spans="9:10">
      <c r="I428"/>
      <c r="J428"/>
    </row>
    <row r="429" spans="9:10">
      <c r="I429"/>
      <c r="J429"/>
    </row>
    <row r="430" spans="9:10">
      <c r="I430"/>
      <c r="J430"/>
    </row>
    <row r="431" spans="9:10">
      <c r="I431"/>
      <c r="J431"/>
    </row>
    <row r="432" spans="9:10">
      <c r="I432"/>
      <c r="J432"/>
    </row>
    <row r="433" spans="9:10">
      <c r="I433"/>
      <c r="J433"/>
    </row>
    <row r="434" spans="9:10">
      <c r="I434"/>
      <c r="J434"/>
    </row>
    <row r="435" spans="9:10">
      <c r="I435"/>
      <c r="J435"/>
    </row>
    <row r="436" spans="9:10">
      <c r="I436"/>
      <c r="J436"/>
    </row>
    <row r="437" spans="9:10">
      <c r="I437"/>
      <c r="J437"/>
    </row>
    <row r="438" spans="9:10">
      <c r="I438"/>
      <c r="J438"/>
    </row>
    <row r="439" spans="9:10">
      <c r="I439"/>
      <c r="J439"/>
    </row>
    <row r="440" spans="9:10">
      <c r="I440"/>
      <c r="J440"/>
    </row>
    <row r="441" spans="9:10">
      <c r="I441"/>
      <c r="J441"/>
    </row>
    <row r="442" spans="9:10">
      <c r="I442"/>
      <c r="J442"/>
    </row>
    <row r="443" spans="9:10">
      <c r="I443"/>
      <c r="J443"/>
    </row>
    <row r="444" spans="9:10">
      <c r="I444"/>
      <c r="J444"/>
    </row>
    <row r="445" spans="9:10">
      <c r="I445"/>
      <c r="J445"/>
    </row>
    <row r="446" spans="9:10">
      <c r="I446"/>
      <c r="J446"/>
    </row>
    <row r="447" spans="9:10">
      <c r="I447"/>
      <c r="J447"/>
    </row>
    <row r="448" spans="9:10">
      <c r="I448"/>
      <c r="J448"/>
    </row>
    <row r="449" spans="9:10">
      <c r="I449"/>
      <c r="J449"/>
    </row>
    <row r="450" spans="9:10">
      <c r="I450"/>
      <c r="J450"/>
    </row>
    <row r="451" spans="9:10">
      <c r="I451"/>
      <c r="J451"/>
    </row>
    <row r="452" spans="9:10">
      <c r="I452"/>
      <c r="J452"/>
    </row>
    <row r="453" spans="9:10">
      <c r="I453"/>
      <c r="J453"/>
    </row>
    <row r="454" spans="9:10">
      <c r="I454"/>
      <c r="J454"/>
    </row>
    <row r="455" spans="9:10">
      <c r="I455"/>
      <c r="J455"/>
    </row>
    <row r="456" spans="9:10">
      <c r="I456"/>
      <c r="J456"/>
    </row>
    <row r="457" spans="9:10">
      <c r="I457"/>
      <c r="J457"/>
    </row>
    <row r="458" spans="9:10">
      <c r="I458"/>
      <c r="J458"/>
    </row>
    <row r="459" spans="9:10">
      <c r="I459"/>
      <c r="J459"/>
    </row>
    <row r="460" spans="9:10">
      <c r="I460"/>
      <c r="J460"/>
    </row>
    <row r="461" spans="9:10">
      <c r="I461"/>
      <c r="J461"/>
    </row>
    <row r="462" spans="9:10">
      <c r="I462"/>
      <c r="J462"/>
    </row>
    <row r="463" spans="9:10">
      <c r="I463"/>
      <c r="J463"/>
    </row>
    <row r="464" spans="9:10">
      <c r="I464"/>
      <c r="J464"/>
    </row>
    <row r="465" spans="9:10">
      <c r="I465"/>
      <c r="J465"/>
    </row>
    <row r="466" spans="9:10">
      <c r="I466"/>
      <c r="J466"/>
    </row>
    <row r="467" spans="9:10">
      <c r="I467"/>
      <c r="J467"/>
    </row>
    <row r="468" spans="9:10">
      <c r="I468"/>
      <c r="J468"/>
    </row>
    <row r="469" spans="9:10">
      <c r="I469"/>
      <c r="J469"/>
    </row>
    <row r="470" spans="9:10">
      <c r="I470"/>
      <c r="J470"/>
    </row>
    <row r="471" spans="9:10">
      <c r="I471"/>
      <c r="J471"/>
    </row>
    <row r="472" spans="9:10">
      <c r="I472"/>
      <c r="J472"/>
    </row>
    <row r="473" spans="9:10">
      <c r="I473"/>
      <c r="J473"/>
    </row>
    <row r="474" spans="9:10">
      <c r="I474"/>
      <c r="J474"/>
    </row>
    <row r="475" spans="9:10">
      <c r="I475"/>
      <c r="J475"/>
    </row>
    <row r="476" spans="9:10">
      <c r="I476"/>
      <c r="J476"/>
    </row>
    <row r="477" spans="9:10">
      <c r="I477"/>
      <c r="J477"/>
    </row>
    <row r="478" spans="9:10">
      <c r="I478"/>
      <c r="J478"/>
    </row>
    <row r="479" spans="9:10">
      <c r="I479"/>
      <c r="J479"/>
    </row>
    <row r="480" spans="9:10">
      <c r="I480"/>
      <c r="J480"/>
    </row>
    <row r="481" spans="9:10">
      <c r="I481"/>
      <c r="J481"/>
    </row>
    <row r="482" spans="9:10">
      <c r="I482"/>
      <c r="J482"/>
    </row>
    <row r="483" spans="9:10">
      <c r="I483"/>
      <c r="J483"/>
    </row>
    <row r="484" spans="9:10">
      <c r="I484"/>
      <c r="J484"/>
    </row>
    <row r="485" spans="9:10">
      <c r="I485"/>
      <c r="J485"/>
    </row>
    <row r="486" spans="9:10">
      <c r="I486"/>
      <c r="J486"/>
    </row>
    <row r="487" spans="9:10">
      <c r="I487"/>
      <c r="J487"/>
    </row>
    <row r="488" spans="9:10">
      <c r="I488"/>
      <c r="J488"/>
    </row>
    <row r="489" spans="9:10">
      <c r="I489"/>
      <c r="J489"/>
    </row>
    <row r="490" spans="9:10">
      <c r="I490"/>
      <c r="J490"/>
    </row>
    <row r="491" spans="9:10">
      <c r="I491"/>
      <c r="J491"/>
    </row>
    <row r="492" spans="9:10">
      <c r="I492"/>
      <c r="J492"/>
    </row>
    <row r="493" spans="9:10">
      <c r="I493"/>
      <c r="J493"/>
    </row>
    <row r="494" spans="9:10">
      <c r="I494"/>
      <c r="J494"/>
    </row>
    <row r="495" spans="9:10">
      <c r="I495"/>
      <c r="J495"/>
    </row>
    <row r="496" spans="9:10">
      <c r="I496"/>
      <c r="J496"/>
    </row>
    <row r="497" spans="9:10">
      <c r="I497"/>
      <c r="J497"/>
    </row>
    <row r="498" spans="9:10">
      <c r="I498"/>
      <c r="J498"/>
    </row>
    <row r="499" spans="9:10">
      <c r="I499"/>
      <c r="J499"/>
    </row>
    <row r="500" spans="9:10">
      <c r="I500"/>
      <c r="J500"/>
    </row>
    <row r="501" spans="9:10">
      <c r="I501"/>
      <c r="J501"/>
    </row>
    <row r="502" spans="9:10">
      <c r="I502"/>
      <c r="J502"/>
    </row>
    <row r="503" spans="9:10">
      <c r="I503"/>
      <c r="J503"/>
    </row>
    <row r="504" spans="9:10">
      <c r="I504"/>
      <c r="J504"/>
    </row>
    <row r="505" spans="9:10">
      <c r="I505"/>
      <c r="J505"/>
    </row>
    <row r="506" spans="9:10">
      <c r="I506"/>
      <c r="J506"/>
    </row>
    <row r="507" spans="9:10">
      <c r="I507"/>
      <c r="J507"/>
    </row>
    <row r="508" spans="9:10">
      <c r="I508"/>
      <c r="J508"/>
    </row>
    <row r="509" spans="9:10">
      <c r="I509"/>
      <c r="J509"/>
    </row>
    <row r="510" spans="9:10">
      <c r="I510"/>
      <c r="J510"/>
    </row>
    <row r="511" spans="9:10">
      <c r="I511"/>
      <c r="J511"/>
    </row>
    <row r="512" spans="9:10">
      <c r="I512"/>
      <c r="J512"/>
    </row>
    <row r="513" spans="9:10">
      <c r="I513"/>
      <c r="J513"/>
    </row>
    <row r="514" spans="9:10">
      <c r="I514"/>
      <c r="J514"/>
    </row>
    <row r="515" spans="9:10">
      <c r="I515"/>
      <c r="J515"/>
    </row>
    <row r="516" spans="9:10">
      <c r="I516"/>
      <c r="J516"/>
    </row>
    <row r="517" spans="9:10">
      <c r="I517"/>
      <c r="J517"/>
    </row>
    <row r="518" spans="9:10">
      <c r="I518"/>
      <c r="J518"/>
    </row>
    <row r="519" spans="9:10">
      <c r="I519"/>
      <c r="J519"/>
    </row>
    <row r="520" spans="9:10">
      <c r="I520"/>
      <c r="J520"/>
    </row>
    <row r="521" spans="9:10">
      <c r="I521"/>
      <c r="J521"/>
    </row>
    <row r="522" spans="9:10">
      <c r="I522"/>
      <c r="J522"/>
    </row>
    <row r="523" spans="9:10">
      <c r="I523"/>
      <c r="J523"/>
    </row>
    <row r="524" spans="9:10">
      <c r="I524"/>
      <c r="J524"/>
    </row>
    <row r="525" spans="9:10">
      <c r="I525"/>
      <c r="J525"/>
    </row>
    <row r="526" spans="9:10">
      <c r="I526"/>
      <c r="J526"/>
    </row>
    <row r="527" spans="9:10">
      <c r="I527"/>
      <c r="J527"/>
    </row>
    <row r="528" spans="9:10">
      <c r="I528"/>
      <c r="J528"/>
    </row>
    <row r="529" spans="9:10">
      <c r="I529"/>
      <c r="J529"/>
    </row>
    <row r="530" spans="9:10">
      <c r="I530"/>
      <c r="J530"/>
    </row>
    <row r="531" spans="9:10">
      <c r="I531"/>
      <c r="J531"/>
    </row>
    <row r="532" spans="9:10">
      <c r="I532"/>
      <c r="J532"/>
    </row>
    <row r="533" spans="9:10">
      <c r="I533"/>
      <c r="J533"/>
    </row>
    <row r="534" spans="9:10">
      <c r="I534"/>
      <c r="J534"/>
    </row>
    <row r="535" spans="9:10">
      <c r="I535"/>
      <c r="J535"/>
    </row>
    <row r="536" spans="9:10">
      <c r="I536"/>
      <c r="J536"/>
    </row>
    <row r="537" spans="9:10">
      <c r="I537"/>
      <c r="J537"/>
    </row>
    <row r="538" spans="9:10">
      <c r="I538"/>
      <c r="J538"/>
    </row>
    <row r="539" spans="9:10">
      <c r="I539"/>
      <c r="J539"/>
    </row>
    <row r="540" spans="9:10">
      <c r="I540"/>
      <c r="J540"/>
    </row>
    <row r="541" spans="9:10">
      <c r="I541"/>
      <c r="J541"/>
    </row>
    <row r="542" spans="9:10">
      <c r="I542"/>
      <c r="J542"/>
    </row>
    <row r="543" spans="9:10">
      <c r="I543"/>
      <c r="J543"/>
    </row>
    <row r="544" spans="9:10">
      <c r="I544"/>
      <c r="J544"/>
    </row>
    <row r="545" spans="9:10">
      <c r="I545"/>
      <c r="J545"/>
    </row>
    <row r="546" spans="9:10">
      <c r="I546"/>
      <c r="J546"/>
    </row>
    <row r="547" spans="9:10">
      <c r="I547"/>
      <c r="J547"/>
    </row>
    <row r="548" spans="9:10">
      <c r="I548"/>
      <c r="J548"/>
    </row>
    <row r="549" spans="9:10">
      <c r="I549"/>
      <c r="J549"/>
    </row>
    <row r="550" spans="9:10">
      <c r="I550"/>
      <c r="J550"/>
    </row>
    <row r="551" spans="9:10">
      <c r="I551"/>
      <c r="J551"/>
    </row>
    <row r="552" spans="9:10">
      <c r="I552"/>
      <c r="J552"/>
    </row>
    <row r="553" spans="9:10">
      <c r="I553"/>
      <c r="J553"/>
    </row>
    <row r="554" spans="9:10">
      <c r="I554"/>
      <c r="J554"/>
    </row>
    <row r="555" spans="9:10">
      <c r="I555"/>
      <c r="J555"/>
    </row>
    <row r="556" spans="9:10">
      <c r="I556"/>
      <c r="J556"/>
    </row>
    <row r="557" spans="9:10">
      <c r="I557"/>
      <c r="J557"/>
    </row>
    <row r="558" spans="9:10">
      <c r="I558"/>
      <c r="J558"/>
    </row>
    <row r="559" spans="9:10">
      <c r="I559"/>
      <c r="J559"/>
    </row>
    <row r="560" spans="9:10">
      <c r="I560"/>
      <c r="J560"/>
    </row>
    <row r="561" spans="9:10">
      <c r="I561"/>
      <c r="J561"/>
    </row>
    <row r="562" spans="9:10">
      <c r="I562"/>
      <c r="J562"/>
    </row>
    <row r="563" spans="9:10">
      <c r="I563"/>
      <c r="J563"/>
    </row>
    <row r="564" spans="9:10">
      <c r="I564"/>
      <c r="J564"/>
    </row>
    <row r="565" spans="9:10">
      <c r="I565"/>
      <c r="J565"/>
    </row>
    <row r="566" spans="9:10">
      <c r="I566"/>
      <c r="J566"/>
    </row>
    <row r="567" spans="9:10">
      <c r="I567"/>
      <c r="J567"/>
    </row>
    <row r="568" spans="9:10">
      <c r="I568"/>
      <c r="J568"/>
    </row>
    <row r="569" spans="9:10">
      <c r="I569"/>
      <c r="J569"/>
    </row>
    <row r="570" spans="9:10">
      <c r="I570"/>
      <c r="J570"/>
    </row>
    <row r="571" spans="9:10">
      <c r="I571"/>
      <c r="J571"/>
    </row>
    <row r="572" spans="9:10">
      <c r="I572"/>
      <c r="J572"/>
    </row>
    <row r="573" spans="9:10">
      <c r="I573"/>
      <c r="J573"/>
    </row>
    <row r="574" spans="9:10">
      <c r="I574"/>
      <c r="J574"/>
    </row>
    <row r="575" spans="9:10">
      <c r="I575"/>
      <c r="J575"/>
    </row>
    <row r="576" spans="9:10">
      <c r="I576"/>
      <c r="J576"/>
    </row>
    <row r="577" spans="9:10">
      <c r="I577"/>
      <c r="J577"/>
    </row>
    <row r="578" spans="9:10">
      <c r="I578"/>
      <c r="J578"/>
    </row>
    <row r="579" spans="9:10">
      <c r="I579"/>
      <c r="J579"/>
    </row>
    <row r="580" spans="9:10">
      <c r="I580"/>
      <c r="J580"/>
    </row>
    <row r="581" spans="9:10">
      <c r="I581"/>
      <c r="J581"/>
    </row>
    <row r="582" spans="9:10">
      <c r="I582"/>
      <c r="J582"/>
    </row>
    <row r="583" spans="9:10">
      <c r="I583"/>
      <c r="J583"/>
    </row>
    <row r="584" spans="9:10">
      <c r="I584"/>
      <c r="J584"/>
    </row>
    <row r="585" spans="9:10">
      <c r="I585"/>
      <c r="J585"/>
    </row>
    <row r="586" spans="9:10">
      <c r="I586"/>
      <c r="J586"/>
    </row>
    <row r="587" spans="9:10">
      <c r="I587"/>
      <c r="J587"/>
    </row>
    <row r="588" spans="9:10">
      <c r="I588"/>
      <c r="J588"/>
    </row>
    <row r="589" spans="9:10">
      <c r="I589"/>
      <c r="J589"/>
    </row>
    <row r="590" spans="9:10">
      <c r="I590"/>
      <c r="J590"/>
    </row>
    <row r="591" spans="9:10">
      <c r="I591"/>
      <c r="J591"/>
    </row>
    <row r="592" spans="9:10">
      <c r="I592"/>
      <c r="J592"/>
    </row>
    <row r="593" spans="9:10">
      <c r="I593"/>
      <c r="J593"/>
    </row>
    <row r="594" spans="9:10">
      <c r="I594"/>
      <c r="J594"/>
    </row>
    <row r="595" spans="9:10">
      <c r="I595"/>
      <c r="J595"/>
    </row>
    <row r="596" spans="9:10">
      <c r="I596"/>
      <c r="J596"/>
    </row>
    <row r="597" spans="9:10">
      <c r="I597"/>
      <c r="J597"/>
    </row>
    <row r="598" spans="9:10">
      <c r="I598"/>
      <c r="J598"/>
    </row>
    <row r="599" spans="9:10">
      <c r="I599"/>
      <c r="J599"/>
    </row>
    <row r="600" spans="9:10">
      <c r="I600"/>
      <c r="J600"/>
    </row>
    <row r="601" spans="9:10">
      <c r="I601"/>
      <c r="J601"/>
    </row>
    <row r="602" spans="9:10">
      <c r="I602"/>
      <c r="J602"/>
    </row>
    <row r="603" spans="9:10">
      <c r="I603"/>
      <c r="J603"/>
    </row>
    <row r="604" spans="9:10">
      <c r="I604"/>
      <c r="J604"/>
    </row>
    <row r="605" spans="9:10">
      <c r="I605"/>
      <c r="J605"/>
    </row>
    <row r="606" spans="9:10">
      <c r="I606"/>
      <c r="J606"/>
    </row>
    <row r="607" spans="9:10">
      <c r="I607"/>
      <c r="J607"/>
    </row>
    <row r="608" spans="9:10">
      <c r="I608"/>
      <c r="J608"/>
    </row>
    <row r="609" spans="9:10">
      <c r="I609"/>
      <c r="J609"/>
    </row>
    <row r="610" spans="9:10">
      <c r="I610"/>
      <c r="J610"/>
    </row>
    <row r="611" spans="9:10">
      <c r="I611"/>
      <c r="J611"/>
    </row>
    <row r="612" spans="9:10">
      <c r="I612"/>
      <c r="J612"/>
    </row>
    <row r="613" spans="9:10">
      <c r="I613"/>
      <c r="J613"/>
    </row>
    <row r="614" spans="9:10">
      <c r="I614"/>
      <c r="J614"/>
    </row>
    <row r="615" spans="9:10">
      <c r="I615"/>
      <c r="J615"/>
    </row>
    <row r="616" spans="9:10">
      <c r="I616"/>
      <c r="J616"/>
    </row>
    <row r="617" spans="9:10">
      <c r="I617"/>
      <c r="J617"/>
    </row>
    <row r="618" spans="9:10">
      <c r="I618"/>
      <c r="J618"/>
    </row>
    <row r="619" spans="9:10">
      <c r="I619"/>
      <c r="J619"/>
    </row>
    <row r="620" spans="9:10">
      <c r="I620"/>
      <c r="J620"/>
    </row>
    <row r="621" spans="9:10">
      <c r="I621"/>
      <c r="J621"/>
    </row>
    <row r="622" spans="9:10">
      <c r="I622"/>
      <c r="J622"/>
    </row>
    <row r="623" spans="9:10">
      <c r="I623"/>
      <c r="J623"/>
    </row>
    <row r="624" spans="9:10">
      <c r="I624"/>
      <c r="J624"/>
    </row>
    <row r="625" spans="9:10">
      <c r="I625"/>
      <c r="J625"/>
    </row>
    <row r="626" spans="9:10">
      <c r="I626"/>
      <c r="J626"/>
    </row>
    <row r="627" spans="9:10">
      <c r="I627"/>
      <c r="J627"/>
    </row>
    <row r="628" spans="9:10">
      <c r="I628"/>
      <c r="J628"/>
    </row>
    <row r="629" spans="9:10">
      <c r="I629"/>
      <c r="J629"/>
    </row>
    <row r="630" spans="9:10">
      <c r="I630"/>
      <c r="J630"/>
    </row>
    <row r="631" spans="9:10">
      <c r="I631"/>
      <c r="J631"/>
    </row>
    <row r="632" spans="9:10">
      <c r="I632"/>
      <c r="J632"/>
    </row>
    <row r="633" spans="9:10">
      <c r="I633"/>
      <c r="J633"/>
    </row>
    <row r="634" spans="9:10">
      <c r="I634"/>
      <c r="J634"/>
    </row>
    <row r="635" spans="9:10">
      <c r="I635"/>
      <c r="J635"/>
    </row>
    <row r="636" spans="9:10">
      <c r="I636"/>
      <c r="J636"/>
    </row>
    <row r="637" spans="9:10">
      <c r="I637"/>
      <c r="J637"/>
    </row>
    <row r="638" spans="9:10">
      <c r="I638"/>
      <c r="J638"/>
    </row>
    <row r="639" spans="9:10">
      <c r="I639"/>
      <c r="J639"/>
    </row>
    <row r="640" spans="9:10">
      <c r="I640"/>
      <c r="J640"/>
    </row>
    <row r="641" spans="9:10">
      <c r="I641"/>
      <c r="J641"/>
    </row>
    <row r="642" spans="9:10">
      <c r="I642"/>
      <c r="J642"/>
    </row>
    <row r="643" spans="9:10">
      <c r="I643"/>
      <c r="J643"/>
    </row>
    <row r="644" spans="9:10">
      <c r="I644"/>
      <c r="J644"/>
    </row>
    <row r="645" spans="9:10">
      <c r="I645"/>
      <c r="J645"/>
    </row>
    <row r="646" spans="9:10">
      <c r="I646"/>
      <c r="J646"/>
    </row>
    <row r="647" spans="9:10">
      <c r="I647"/>
      <c r="J647"/>
    </row>
    <row r="648" spans="9:10">
      <c r="I648"/>
      <c r="J648"/>
    </row>
    <row r="649" spans="9:10">
      <c r="I649"/>
      <c r="J649"/>
    </row>
    <row r="650" spans="9:10">
      <c r="I650"/>
      <c r="J650"/>
    </row>
    <row r="651" spans="9:10">
      <c r="I651"/>
      <c r="J651"/>
    </row>
    <row r="652" spans="9:10">
      <c r="I652"/>
      <c r="J652"/>
    </row>
    <row r="653" spans="9:10">
      <c r="I653"/>
      <c r="J653"/>
    </row>
    <row r="654" spans="9:10">
      <c r="I654"/>
      <c r="J654"/>
    </row>
    <row r="655" spans="9:10">
      <c r="I655"/>
      <c r="J655"/>
    </row>
    <row r="656" spans="9:10">
      <c r="I656"/>
      <c r="J656"/>
    </row>
    <row r="657" spans="9:10">
      <c r="I657"/>
      <c r="J657"/>
    </row>
    <row r="658" spans="9:10">
      <c r="I658"/>
      <c r="J658"/>
    </row>
    <row r="659" spans="9:10">
      <c r="I659"/>
      <c r="J659"/>
    </row>
    <row r="660" spans="9:10">
      <c r="I660"/>
      <c r="J660"/>
    </row>
    <row r="661" spans="9:10">
      <c r="I661"/>
      <c r="J661"/>
    </row>
    <row r="662" spans="9:10">
      <c r="I662"/>
      <c r="J662"/>
    </row>
    <row r="663" spans="9:10">
      <c r="I663"/>
      <c r="J663"/>
    </row>
    <row r="664" spans="9:10">
      <c r="I664"/>
      <c r="J664"/>
    </row>
    <row r="665" spans="9:10">
      <c r="I665"/>
      <c r="J665"/>
    </row>
    <row r="666" spans="9:10">
      <c r="I666"/>
      <c r="J666"/>
    </row>
    <row r="667" spans="9:10">
      <c r="I667"/>
      <c r="J667"/>
    </row>
    <row r="668" spans="9:10">
      <c r="I668"/>
      <c r="J668"/>
    </row>
    <row r="669" spans="9:10">
      <c r="I669"/>
      <c r="J669"/>
    </row>
    <row r="670" spans="9:10">
      <c r="I670"/>
      <c r="J670"/>
    </row>
    <row r="671" spans="9:10">
      <c r="I671"/>
      <c r="J671"/>
    </row>
    <row r="672" spans="9:10">
      <c r="I672"/>
      <c r="J672"/>
    </row>
    <row r="673" spans="9:10">
      <c r="I673"/>
      <c r="J673"/>
    </row>
    <row r="674" spans="9:10">
      <c r="I674"/>
      <c r="J674"/>
    </row>
    <row r="675" spans="9:10">
      <c r="I675"/>
      <c r="J675"/>
    </row>
    <row r="676" spans="9:10">
      <c r="I676"/>
      <c r="J676"/>
    </row>
    <row r="677" spans="9:10">
      <c r="I677"/>
      <c r="J677"/>
    </row>
    <row r="678" spans="9:10">
      <c r="I678"/>
      <c r="J678"/>
    </row>
    <row r="679" spans="9:10">
      <c r="I679"/>
      <c r="J679"/>
    </row>
    <row r="680" spans="9:10">
      <c r="I680"/>
      <c r="J680"/>
    </row>
    <row r="681" spans="9:10">
      <c r="I681"/>
      <c r="J681"/>
    </row>
    <row r="682" spans="9:10">
      <c r="I682"/>
      <c r="J682"/>
    </row>
    <row r="683" spans="9:10">
      <c r="I683"/>
      <c r="J683"/>
    </row>
    <row r="684" spans="9:10">
      <c r="I684"/>
      <c r="J684"/>
    </row>
    <row r="685" spans="9:10">
      <c r="I685"/>
      <c r="J685"/>
    </row>
    <row r="686" spans="9:10">
      <c r="I686"/>
      <c r="J686"/>
    </row>
    <row r="687" spans="9:10">
      <c r="I687"/>
      <c r="J687"/>
    </row>
    <row r="688" spans="9:10">
      <c r="I688"/>
      <c r="J688"/>
    </row>
    <row r="689" spans="9:10">
      <c r="I689"/>
      <c r="J689"/>
    </row>
    <row r="690" spans="9:10">
      <c r="I690"/>
      <c r="J690"/>
    </row>
    <row r="691" spans="9:10">
      <c r="I691"/>
      <c r="J691"/>
    </row>
    <row r="692" spans="9:10">
      <c r="I692"/>
      <c r="J692"/>
    </row>
    <row r="693" spans="9:10">
      <c r="I693"/>
      <c r="J693"/>
    </row>
    <row r="694" spans="9:10">
      <c r="I694"/>
      <c r="J694"/>
    </row>
    <row r="695" spans="9:10">
      <c r="I695"/>
      <c r="J695"/>
    </row>
    <row r="696" spans="9:10">
      <c r="I696"/>
      <c r="J696"/>
    </row>
    <row r="697" spans="9:10">
      <c r="I697"/>
      <c r="J697"/>
    </row>
    <row r="698" spans="9:10">
      <c r="I698"/>
      <c r="J698"/>
    </row>
    <row r="699" spans="9:10">
      <c r="I699"/>
      <c r="J699"/>
    </row>
    <row r="700" spans="9:10">
      <c r="I700"/>
      <c r="J700"/>
    </row>
    <row r="701" spans="9:10">
      <c r="I701"/>
      <c r="J701"/>
    </row>
    <row r="702" spans="9:10">
      <c r="I702"/>
      <c r="J702"/>
    </row>
    <row r="703" spans="9:10">
      <c r="I703"/>
      <c r="J703"/>
    </row>
    <row r="704" spans="9:10">
      <c r="I704"/>
      <c r="J704"/>
    </row>
    <row r="705" spans="9:10">
      <c r="I705"/>
      <c r="J705"/>
    </row>
    <row r="706" spans="9:10">
      <c r="I706"/>
      <c r="J706"/>
    </row>
    <row r="707" spans="9:10">
      <c r="I707"/>
      <c r="J707"/>
    </row>
    <row r="708" spans="9:10">
      <c r="I708"/>
      <c r="J708"/>
    </row>
    <row r="709" spans="9:10">
      <c r="I709"/>
      <c r="J709"/>
    </row>
    <row r="710" spans="9:10">
      <c r="I710"/>
      <c r="J710"/>
    </row>
    <row r="711" spans="9:10">
      <c r="I711"/>
      <c r="J711"/>
    </row>
    <row r="712" spans="9:10">
      <c r="I712"/>
      <c r="J712"/>
    </row>
    <row r="713" spans="9:10">
      <c r="I713"/>
      <c r="J713"/>
    </row>
    <row r="714" spans="9:10">
      <c r="I714"/>
      <c r="J714"/>
    </row>
    <row r="715" spans="9:10">
      <c r="I715"/>
      <c r="J715"/>
    </row>
    <row r="716" spans="9:10">
      <c r="I716"/>
      <c r="J716"/>
    </row>
    <row r="717" spans="9:10">
      <c r="I717"/>
      <c r="J717"/>
    </row>
    <row r="718" spans="9:10">
      <c r="I718"/>
      <c r="J718"/>
    </row>
    <row r="719" spans="9:10">
      <c r="I719"/>
      <c r="J719"/>
    </row>
    <row r="720" spans="9:10">
      <c r="I720"/>
      <c r="J720"/>
    </row>
    <row r="721" spans="9:10">
      <c r="I721"/>
      <c r="J721"/>
    </row>
    <row r="722" spans="9:10">
      <c r="I722"/>
      <c r="J722"/>
    </row>
    <row r="723" spans="9:10">
      <c r="I723"/>
      <c r="J723"/>
    </row>
    <row r="724" spans="9:10">
      <c r="I724"/>
      <c r="J724"/>
    </row>
    <row r="725" spans="9:10">
      <c r="I725"/>
      <c r="J725"/>
    </row>
    <row r="726" spans="9:10">
      <c r="I726"/>
      <c r="J726"/>
    </row>
    <row r="727" spans="9:10">
      <c r="I727"/>
      <c r="J727"/>
    </row>
    <row r="728" spans="9:10">
      <c r="I728"/>
      <c r="J728"/>
    </row>
    <row r="729" spans="9:10">
      <c r="I729"/>
      <c r="J729"/>
    </row>
    <row r="730" spans="9:10">
      <c r="I730"/>
      <c r="J730"/>
    </row>
    <row r="731" spans="9:10">
      <c r="I731"/>
      <c r="J731"/>
    </row>
    <row r="732" spans="9:10">
      <c r="I732"/>
      <c r="J732"/>
    </row>
    <row r="733" spans="9:10">
      <c r="I733"/>
      <c r="J733"/>
    </row>
    <row r="734" spans="9:10">
      <c r="I734"/>
      <c r="J734"/>
    </row>
    <row r="735" spans="9:10">
      <c r="I735"/>
      <c r="J735"/>
    </row>
    <row r="736" spans="9:10">
      <c r="I736"/>
      <c r="J736"/>
    </row>
    <row r="737" spans="9:10">
      <c r="I737"/>
      <c r="J737"/>
    </row>
    <row r="738" spans="9:10">
      <c r="I738"/>
      <c r="J738"/>
    </row>
    <row r="739" spans="9:10">
      <c r="I739"/>
      <c r="J739"/>
    </row>
    <row r="740" spans="9:10">
      <c r="I740"/>
      <c r="J740"/>
    </row>
    <row r="741" spans="9:10">
      <c r="I741"/>
      <c r="J741"/>
    </row>
    <row r="742" spans="9:10">
      <c r="I742"/>
      <c r="J742"/>
    </row>
    <row r="743" spans="9:10">
      <c r="I743"/>
      <c r="J743"/>
    </row>
    <row r="744" spans="9:10">
      <c r="I744"/>
      <c r="J744"/>
    </row>
    <row r="745" spans="9:10">
      <c r="I745"/>
      <c r="J745"/>
    </row>
    <row r="746" spans="9:10">
      <c r="I746"/>
      <c r="J746"/>
    </row>
    <row r="747" spans="9:10">
      <c r="I747"/>
      <c r="J747"/>
    </row>
    <row r="748" spans="9:10">
      <c r="I748"/>
      <c r="J748"/>
    </row>
    <row r="749" spans="9:10">
      <c r="I749"/>
      <c r="J749"/>
    </row>
    <row r="750" spans="9:10">
      <c r="I750"/>
      <c r="J750"/>
    </row>
    <row r="751" spans="9:10">
      <c r="I751"/>
      <c r="J751"/>
    </row>
    <row r="752" spans="9:10">
      <c r="I752"/>
      <c r="J752"/>
    </row>
    <row r="753" spans="9:10">
      <c r="I753"/>
      <c r="J753"/>
    </row>
    <row r="754" spans="9:10">
      <c r="I754"/>
      <c r="J754"/>
    </row>
    <row r="755" spans="9:10">
      <c r="I755"/>
      <c r="J755"/>
    </row>
    <row r="756" spans="9:10">
      <c r="I756"/>
      <c r="J756"/>
    </row>
    <row r="757" spans="9:10">
      <c r="I757"/>
      <c r="J757"/>
    </row>
    <row r="758" spans="9:10">
      <c r="I758"/>
      <c r="J758"/>
    </row>
    <row r="759" spans="9:10">
      <c r="I759"/>
      <c r="J759"/>
    </row>
    <row r="760" spans="9:10">
      <c r="I760"/>
      <c r="J760"/>
    </row>
    <row r="761" spans="9:10">
      <c r="I761"/>
      <c r="J761"/>
    </row>
    <row r="762" spans="9:10">
      <c r="I762"/>
      <c r="J762"/>
    </row>
    <row r="763" spans="9:10">
      <c r="I763"/>
      <c r="J763"/>
    </row>
    <row r="764" spans="9:10">
      <c r="I764"/>
      <c r="J764"/>
    </row>
    <row r="765" spans="9:10">
      <c r="I765"/>
      <c r="J765"/>
    </row>
    <row r="766" spans="9:10">
      <c r="I766"/>
      <c r="J766"/>
    </row>
    <row r="767" spans="9:10">
      <c r="I767"/>
      <c r="J767"/>
    </row>
    <row r="768" spans="9:10">
      <c r="I768"/>
      <c r="J768"/>
    </row>
    <row r="769" spans="9:10">
      <c r="I769"/>
      <c r="J769"/>
    </row>
    <row r="770" spans="9:10">
      <c r="I770"/>
      <c r="J770"/>
    </row>
    <row r="771" spans="9:10">
      <c r="I771"/>
      <c r="J771"/>
    </row>
    <row r="772" spans="9:10">
      <c r="I772"/>
      <c r="J772"/>
    </row>
    <row r="773" spans="9:10">
      <c r="I773"/>
      <c r="J773"/>
    </row>
    <row r="774" spans="9:10">
      <c r="I774"/>
      <c r="J774"/>
    </row>
    <row r="775" spans="9:10">
      <c r="I775"/>
      <c r="J775"/>
    </row>
    <row r="776" spans="9:10">
      <c r="I776"/>
      <c r="J776"/>
    </row>
    <row r="777" spans="9:10">
      <c r="I777"/>
      <c r="J777"/>
    </row>
    <row r="778" spans="9:10">
      <c r="I778"/>
      <c r="J778"/>
    </row>
    <row r="779" spans="9:10">
      <c r="I779"/>
      <c r="J779"/>
    </row>
    <row r="780" spans="9:10">
      <c r="I780"/>
      <c r="J780"/>
    </row>
    <row r="781" spans="9:10">
      <c r="I781"/>
      <c r="J781"/>
    </row>
    <row r="782" spans="9:10">
      <c r="I782"/>
      <c r="J782"/>
    </row>
    <row r="783" spans="9:10">
      <c r="I783"/>
      <c r="J783"/>
    </row>
    <row r="784" spans="9:10">
      <c r="I784"/>
      <c r="J784"/>
    </row>
    <row r="785" spans="9:10">
      <c r="I785"/>
      <c r="J785"/>
    </row>
    <row r="786" spans="9:10">
      <c r="I786"/>
      <c r="J786"/>
    </row>
    <row r="787" spans="9:10">
      <c r="I787"/>
      <c r="J787"/>
    </row>
    <row r="788" spans="9:10">
      <c r="I788"/>
      <c r="J788"/>
    </row>
    <row r="789" spans="9:10">
      <c r="I789"/>
      <c r="J789"/>
    </row>
    <row r="790" spans="9:10">
      <c r="I790"/>
      <c r="J790"/>
    </row>
    <row r="791" spans="9:10">
      <c r="I791"/>
      <c r="J791"/>
    </row>
    <row r="792" spans="9:10">
      <c r="I792"/>
      <c r="J792"/>
    </row>
    <row r="793" spans="9:10">
      <c r="I793"/>
      <c r="J793"/>
    </row>
    <row r="794" spans="9:10">
      <c r="I794"/>
      <c r="J794"/>
    </row>
    <row r="795" spans="9:10">
      <c r="I795"/>
      <c r="J795"/>
    </row>
    <row r="796" spans="9:10">
      <c r="I796"/>
      <c r="J796"/>
    </row>
    <row r="797" spans="9:10">
      <c r="I797"/>
      <c r="J797"/>
    </row>
    <row r="798" spans="9:10">
      <c r="I798"/>
      <c r="J798"/>
    </row>
    <row r="799" spans="9:10">
      <c r="I799"/>
      <c r="J799"/>
    </row>
    <row r="800" spans="9:10">
      <c r="I800"/>
      <c r="J800"/>
    </row>
    <row r="801" spans="9:10">
      <c r="I801"/>
      <c r="J801"/>
    </row>
    <row r="802" spans="9:10">
      <c r="I802"/>
      <c r="J802"/>
    </row>
    <row r="803" spans="9:10">
      <c r="I803"/>
      <c r="J803"/>
    </row>
    <row r="804" spans="9:10">
      <c r="I804"/>
      <c r="J804"/>
    </row>
    <row r="805" spans="9:10">
      <c r="I805"/>
      <c r="J805"/>
    </row>
    <row r="806" spans="9:10">
      <c r="I806"/>
      <c r="J806"/>
    </row>
    <row r="807" spans="9:10">
      <c r="I807"/>
      <c r="J807"/>
    </row>
    <row r="808" spans="9:10">
      <c r="I808"/>
      <c r="J808"/>
    </row>
    <row r="809" spans="9:10">
      <c r="I809"/>
      <c r="J809"/>
    </row>
    <row r="810" spans="9:10">
      <c r="I810"/>
      <c r="J810"/>
    </row>
    <row r="811" spans="9:10">
      <c r="I811"/>
      <c r="J811"/>
    </row>
    <row r="812" spans="9:10">
      <c r="I812"/>
      <c r="J812"/>
    </row>
    <row r="813" spans="9:10">
      <c r="I813"/>
      <c r="J813"/>
    </row>
    <row r="814" spans="9:10">
      <c r="I814"/>
      <c r="J814"/>
    </row>
    <row r="815" spans="9:10">
      <c r="I815"/>
      <c r="J815"/>
    </row>
    <row r="816" spans="9:10">
      <c r="I816"/>
      <c r="J816"/>
    </row>
    <row r="817" spans="9:10">
      <c r="I817"/>
      <c r="J817"/>
    </row>
    <row r="818" spans="9:10">
      <c r="I818"/>
      <c r="J818"/>
    </row>
    <row r="819" spans="9:10">
      <c r="I819"/>
      <c r="J819"/>
    </row>
    <row r="820" spans="9:10">
      <c r="I820"/>
      <c r="J820"/>
    </row>
    <row r="821" spans="9:10">
      <c r="I821"/>
      <c r="J821"/>
    </row>
    <row r="822" spans="9:10">
      <c r="I822"/>
      <c r="J822"/>
    </row>
    <row r="823" spans="9:10">
      <c r="I823"/>
      <c r="J823"/>
    </row>
    <row r="824" spans="9:10">
      <c r="I824"/>
      <c r="J824"/>
    </row>
    <row r="825" spans="9:10">
      <c r="I825"/>
      <c r="J825"/>
    </row>
    <row r="826" spans="9:10">
      <c r="I826"/>
      <c r="J826"/>
    </row>
    <row r="827" spans="9:10">
      <c r="I827"/>
      <c r="J827"/>
    </row>
    <row r="828" spans="9:10">
      <c r="I828"/>
      <c r="J828"/>
    </row>
    <row r="829" spans="9:10">
      <c r="I829"/>
      <c r="J829"/>
    </row>
    <row r="830" spans="9:10">
      <c r="I830"/>
      <c r="J830"/>
    </row>
    <row r="831" spans="9:10">
      <c r="I831"/>
      <c r="J831"/>
    </row>
    <row r="832" spans="9:10">
      <c r="I832"/>
      <c r="J832"/>
    </row>
    <row r="833" spans="9:10">
      <c r="I833"/>
      <c r="J833"/>
    </row>
    <row r="834" spans="9:10">
      <c r="I834"/>
      <c r="J834"/>
    </row>
    <row r="835" spans="9:10">
      <c r="I835"/>
      <c r="J835"/>
    </row>
    <row r="836" spans="9:10">
      <c r="I836"/>
      <c r="J836"/>
    </row>
    <row r="837" spans="9:10">
      <c r="I837"/>
      <c r="J837"/>
    </row>
    <row r="838" spans="9:10">
      <c r="I838"/>
      <c r="J838"/>
    </row>
    <row r="839" spans="9:10">
      <c r="I839"/>
      <c r="J839"/>
    </row>
    <row r="840" spans="9:10">
      <c r="I840"/>
      <c r="J840"/>
    </row>
    <row r="841" spans="9:10">
      <c r="I841"/>
      <c r="J841"/>
    </row>
    <row r="842" spans="9:10">
      <c r="I842"/>
      <c r="J842"/>
    </row>
    <row r="843" spans="9:10">
      <c r="I843"/>
      <c r="J843"/>
    </row>
    <row r="844" spans="9:10">
      <c r="I844"/>
      <c r="J844"/>
    </row>
    <row r="845" spans="9:10">
      <c r="I845"/>
      <c r="J845"/>
    </row>
    <row r="846" spans="9:10">
      <c r="I846"/>
      <c r="J846"/>
    </row>
    <row r="847" spans="9:10">
      <c r="I847"/>
      <c r="J847"/>
    </row>
    <row r="848" spans="9:10">
      <c r="I848"/>
      <c r="J848"/>
    </row>
    <row r="849" spans="9:10">
      <c r="I849"/>
      <c r="J849"/>
    </row>
    <row r="850" spans="9:10">
      <c r="I850"/>
      <c r="J850"/>
    </row>
    <row r="851" spans="9:10">
      <c r="I851"/>
      <c r="J851"/>
    </row>
    <row r="852" spans="9:10">
      <c r="I852"/>
      <c r="J852"/>
    </row>
    <row r="853" spans="9:10">
      <c r="I853"/>
      <c r="J853"/>
    </row>
    <row r="854" spans="9:10">
      <c r="I854"/>
      <c r="J854"/>
    </row>
    <row r="855" spans="9:10">
      <c r="I855"/>
      <c r="J855"/>
    </row>
    <row r="856" spans="9:10">
      <c r="I856"/>
      <c r="J856"/>
    </row>
    <row r="857" spans="9:10">
      <c r="I857"/>
      <c r="J857"/>
    </row>
    <row r="858" spans="9:10">
      <c r="I858"/>
      <c r="J858"/>
    </row>
    <row r="859" spans="9:10">
      <c r="I859"/>
      <c r="J859"/>
    </row>
    <row r="860" spans="9:10">
      <c r="I860"/>
      <c r="J860"/>
    </row>
    <row r="861" spans="9:10">
      <c r="I861"/>
      <c r="J861"/>
    </row>
    <row r="862" spans="9:10">
      <c r="I862"/>
      <c r="J862"/>
    </row>
    <row r="863" spans="9:10">
      <c r="I863"/>
      <c r="J863"/>
    </row>
    <row r="864" spans="9:10">
      <c r="I864"/>
      <c r="J864"/>
    </row>
    <row r="865" spans="9:10">
      <c r="I865"/>
      <c r="J865"/>
    </row>
    <row r="866" spans="9:10">
      <c r="I866"/>
      <c r="J866"/>
    </row>
    <row r="867" spans="9:10">
      <c r="I867"/>
      <c r="J867"/>
    </row>
    <row r="868" spans="9:10">
      <c r="I868"/>
      <c r="J868"/>
    </row>
    <row r="869" spans="9:10">
      <c r="I869"/>
      <c r="J869"/>
    </row>
    <row r="870" spans="9:10">
      <c r="I870"/>
      <c r="J870"/>
    </row>
    <row r="871" spans="9:10">
      <c r="I871"/>
      <c r="J871"/>
    </row>
    <row r="872" spans="9:10">
      <c r="I872"/>
      <c r="J872"/>
    </row>
    <row r="873" spans="9:10">
      <c r="I873"/>
      <c r="J873"/>
    </row>
    <row r="874" spans="9:10">
      <c r="I874"/>
      <c r="J874"/>
    </row>
    <row r="875" spans="9:10">
      <c r="I875"/>
      <c r="J875"/>
    </row>
    <row r="876" spans="9:10">
      <c r="I876"/>
      <c r="J876"/>
    </row>
    <row r="877" spans="9:10">
      <c r="I877"/>
      <c r="J877"/>
    </row>
    <row r="878" spans="9:10">
      <c r="I878"/>
      <c r="J878"/>
    </row>
    <row r="879" spans="9:10">
      <c r="I879"/>
      <c r="J879"/>
    </row>
    <row r="880" spans="9:10">
      <c r="I880"/>
      <c r="J880"/>
    </row>
    <row r="881" spans="9:10">
      <c r="I881"/>
      <c r="J881"/>
    </row>
    <row r="882" spans="9:10">
      <c r="I882"/>
      <c r="J882"/>
    </row>
    <row r="883" spans="9:10">
      <c r="I883"/>
      <c r="J883"/>
    </row>
    <row r="884" spans="9:10">
      <c r="I884"/>
      <c r="J884"/>
    </row>
    <row r="885" spans="9:10">
      <c r="I885"/>
      <c r="J885"/>
    </row>
    <row r="886" spans="9:10">
      <c r="I886"/>
      <c r="J886"/>
    </row>
    <row r="887" spans="9:10">
      <c r="I887"/>
      <c r="J887"/>
    </row>
    <row r="888" spans="9:10">
      <c r="I888"/>
      <c r="J888"/>
    </row>
    <row r="889" spans="9:10">
      <c r="I889"/>
      <c r="J889"/>
    </row>
    <row r="890" spans="9:10">
      <c r="I890"/>
      <c r="J890"/>
    </row>
    <row r="891" spans="9:10">
      <c r="I891"/>
      <c r="J891"/>
    </row>
    <row r="892" spans="9:10">
      <c r="I892"/>
      <c r="J892"/>
    </row>
    <row r="893" spans="9:10">
      <c r="I893"/>
      <c r="J893"/>
    </row>
    <row r="894" spans="9:10">
      <c r="I894"/>
      <c r="J894"/>
    </row>
    <row r="895" spans="9:10">
      <c r="I895"/>
      <c r="J895"/>
    </row>
    <row r="896" spans="9:10">
      <c r="I896"/>
      <c r="J896"/>
    </row>
    <row r="897" spans="9:10">
      <c r="I897"/>
      <c r="J897"/>
    </row>
    <row r="898" spans="9:10">
      <c r="I898"/>
      <c r="J898"/>
    </row>
    <row r="899" spans="9:10">
      <c r="I899"/>
      <c r="J899"/>
    </row>
    <row r="900" spans="9:10">
      <c r="I900"/>
      <c r="J900"/>
    </row>
    <row r="901" spans="9:10">
      <c r="I901"/>
      <c r="J901"/>
    </row>
    <row r="902" spans="9:10">
      <c r="I902"/>
      <c r="J902"/>
    </row>
    <row r="903" spans="9:10">
      <c r="I903"/>
      <c r="J903"/>
    </row>
    <row r="904" spans="9:10">
      <c r="I904"/>
      <c r="J904"/>
    </row>
    <row r="905" spans="9:10">
      <c r="I905"/>
      <c r="J905"/>
    </row>
    <row r="906" spans="9:10">
      <c r="I906"/>
      <c r="J906"/>
    </row>
    <row r="907" spans="9:10">
      <c r="I907"/>
      <c r="J907"/>
    </row>
    <row r="908" spans="9:10">
      <c r="I908"/>
      <c r="J908"/>
    </row>
    <row r="909" spans="9:10">
      <c r="I909"/>
      <c r="J909"/>
    </row>
    <row r="910" spans="9:10">
      <c r="I910"/>
      <c r="J910"/>
    </row>
    <row r="911" spans="9:10">
      <c r="I911"/>
      <c r="J911"/>
    </row>
    <row r="912" spans="9:10">
      <c r="I912"/>
      <c r="J912"/>
    </row>
    <row r="913" spans="9:10">
      <c r="I913"/>
      <c r="J913"/>
    </row>
    <row r="914" spans="9:10">
      <c r="I914"/>
      <c r="J914"/>
    </row>
    <row r="915" spans="9:10">
      <c r="I915"/>
      <c r="J915"/>
    </row>
    <row r="916" spans="9:10">
      <c r="I916"/>
      <c r="J916"/>
    </row>
    <row r="917" spans="9:10">
      <c r="I917"/>
      <c r="J917"/>
    </row>
    <row r="918" spans="9:10">
      <c r="I918"/>
      <c r="J918"/>
    </row>
    <row r="919" spans="9:10">
      <c r="I919"/>
      <c r="J919"/>
    </row>
    <row r="920" spans="9:10">
      <c r="I920"/>
      <c r="J920"/>
    </row>
    <row r="921" spans="9:10">
      <c r="I921"/>
      <c r="J921"/>
    </row>
    <row r="922" spans="9:10">
      <c r="I922"/>
      <c r="J922"/>
    </row>
    <row r="923" spans="9:10">
      <c r="I923"/>
      <c r="J923"/>
    </row>
    <row r="924" spans="9:10">
      <c r="I924"/>
      <c r="J924"/>
    </row>
    <row r="925" spans="9:10">
      <c r="I925"/>
      <c r="J925"/>
    </row>
    <row r="926" spans="9:10">
      <c r="I926"/>
      <c r="J926"/>
    </row>
    <row r="927" spans="9:10">
      <c r="I927"/>
      <c r="J927"/>
    </row>
    <row r="928" spans="9:10">
      <c r="I928"/>
      <c r="J928"/>
    </row>
    <row r="929" spans="9:10">
      <c r="I929"/>
      <c r="J929"/>
    </row>
    <row r="930" spans="9:10">
      <c r="I930"/>
      <c r="J930"/>
    </row>
    <row r="931" spans="9:10">
      <c r="I931"/>
      <c r="J931"/>
    </row>
    <row r="932" spans="9:10">
      <c r="I932"/>
      <c r="J932"/>
    </row>
    <row r="933" spans="9:10">
      <c r="I933"/>
      <c r="J933"/>
    </row>
    <row r="934" spans="9:10">
      <c r="I934"/>
      <c r="J934"/>
    </row>
    <row r="935" spans="9:10">
      <c r="I935"/>
      <c r="J935"/>
    </row>
    <row r="936" spans="9:10">
      <c r="I936"/>
      <c r="J936"/>
    </row>
    <row r="937" spans="9:10">
      <c r="I937"/>
      <c r="J937"/>
    </row>
    <row r="938" spans="9:10">
      <c r="I938"/>
      <c r="J938"/>
    </row>
    <row r="939" spans="9:10">
      <c r="I939"/>
      <c r="J939"/>
    </row>
    <row r="940" spans="9:10">
      <c r="I940"/>
      <c r="J940"/>
    </row>
    <row r="941" spans="9:10">
      <c r="I941"/>
      <c r="J941"/>
    </row>
    <row r="942" spans="9:10">
      <c r="I942"/>
      <c r="J942"/>
    </row>
    <row r="943" spans="9:10">
      <c r="I943"/>
      <c r="J943"/>
    </row>
    <row r="944" spans="9:10">
      <c r="I944"/>
      <c r="J944"/>
    </row>
    <row r="945" spans="9:10">
      <c r="I945"/>
      <c r="J945"/>
    </row>
    <row r="946" spans="9:10">
      <c r="I946"/>
      <c r="J946"/>
    </row>
    <row r="947" spans="9:10">
      <c r="I947"/>
      <c r="J947"/>
    </row>
    <row r="948" spans="9:10">
      <c r="I948"/>
      <c r="J948"/>
    </row>
    <row r="949" spans="9:10">
      <c r="I949"/>
      <c r="J949"/>
    </row>
    <row r="950" spans="9:10">
      <c r="I950"/>
      <c r="J950"/>
    </row>
    <row r="951" spans="9:10">
      <c r="I951"/>
      <c r="J951"/>
    </row>
    <row r="952" spans="9:10">
      <c r="I952"/>
      <c r="J952"/>
    </row>
    <row r="953" spans="9:10">
      <c r="I953"/>
      <c r="J953"/>
    </row>
    <row r="954" spans="9:10">
      <c r="I954"/>
      <c r="J954"/>
    </row>
    <row r="955" spans="9:10">
      <c r="I955"/>
      <c r="J955"/>
    </row>
    <row r="956" spans="9:10">
      <c r="I956"/>
      <c r="J956"/>
    </row>
    <row r="957" spans="9:10">
      <c r="I957"/>
      <c r="J957"/>
    </row>
    <row r="958" spans="9:10">
      <c r="I958"/>
      <c r="J958"/>
    </row>
    <row r="959" spans="9:10">
      <c r="I959"/>
      <c r="J959"/>
    </row>
    <row r="960" spans="9:10">
      <c r="I960"/>
      <c r="J960"/>
    </row>
    <row r="961" spans="9:10">
      <c r="I961"/>
      <c r="J961"/>
    </row>
    <row r="962" spans="9:10">
      <c r="I962"/>
      <c r="J962"/>
    </row>
    <row r="963" spans="9:10">
      <c r="I963"/>
      <c r="J963"/>
    </row>
    <row r="964" spans="9:10">
      <c r="I964"/>
      <c r="J964"/>
    </row>
    <row r="965" spans="9:10">
      <c r="I965"/>
      <c r="J965"/>
    </row>
    <row r="966" spans="9:10">
      <c r="I966"/>
      <c r="J966"/>
    </row>
    <row r="967" spans="9:10">
      <c r="I967"/>
      <c r="J967"/>
    </row>
    <row r="968" spans="9:10">
      <c r="I968"/>
      <c r="J968"/>
    </row>
    <row r="969" spans="9:10">
      <c r="I969"/>
      <c r="J969"/>
    </row>
    <row r="970" spans="9:10">
      <c r="I970"/>
      <c r="J970"/>
    </row>
    <row r="971" spans="9:10">
      <c r="I971"/>
      <c r="J971"/>
    </row>
    <row r="972" spans="9:10">
      <c r="I972"/>
      <c r="J972"/>
    </row>
    <row r="973" spans="9:10">
      <c r="I973"/>
      <c r="J973"/>
    </row>
    <row r="974" spans="9:10">
      <c r="I974"/>
      <c r="J974"/>
    </row>
    <row r="975" spans="9:10">
      <c r="I975"/>
      <c r="J975"/>
    </row>
    <row r="976" spans="9:10">
      <c r="I976"/>
      <c r="J976"/>
    </row>
    <row r="977" spans="9:10">
      <c r="I977"/>
      <c r="J977"/>
    </row>
    <row r="978" spans="9:10">
      <c r="I978"/>
      <c r="J978"/>
    </row>
    <row r="979" spans="9:10">
      <c r="I979"/>
      <c r="J979"/>
    </row>
    <row r="980" spans="9:10">
      <c r="I980"/>
      <c r="J980"/>
    </row>
    <row r="981" spans="9:10">
      <c r="I981"/>
      <c r="J981"/>
    </row>
    <row r="982" spans="9:10">
      <c r="I982"/>
      <c r="J982"/>
    </row>
    <row r="983" spans="9:10">
      <c r="I983"/>
      <c r="J983"/>
    </row>
    <row r="984" spans="9:10">
      <c r="I984"/>
      <c r="J984"/>
    </row>
    <row r="985" spans="9:10">
      <c r="I985"/>
      <c r="J985"/>
    </row>
    <row r="986" spans="9:10">
      <c r="I986"/>
      <c r="J986"/>
    </row>
    <row r="987" spans="9:10">
      <c r="I987"/>
      <c r="J987"/>
    </row>
    <row r="988" spans="9:10">
      <c r="I988"/>
      <c r="J988"/>
    </row>
    <row r="989" spans="9:10">
      <c r="I989"/>
      <c r="J989"/>
    </row>
    <row r="990" spans="9:10">
      <c r="I990"/>
      <c r="J990"/>
    </row>
    <row r="991" spans="9:10">
      <c r="I991"/>
      <c r="J991"/>
    </row>
    <row r="992" spans="9:10">
      <c r="I992"/>
      <c r="J992"/>
    </row>
    <row r="993" spans="9:10">
      <c r="I993"/>
      <c r="J993"/>
    </row>
    <row r="994" spans="9:10">
      <c r="I994"/>
      <c r="J994"/>
    </row>
    <row r="995" spans="9:10">
      <c r="I995"/>
      <c r="J995"/>
    </row>
    <row r="996" spans="9:10">
      <c r="I996"/>
      <c r="J996"/>
    </row>
    <row r="997" spans="9:10">
      <c r="I997"/>
      <c r="J997"/>
    </row>
    <row r="998" spans="9:10">
      <c r="I998"/>
      <c r="J998"/>
    </row>
    <row r="999" spans="9:10">
      <c r="I999"/>
      <c r="J999"/>
    </row>
    <row r="1000" spans="9:10">
      <c r="I1000"/>
      <c r="J1000"/>
    </row>
    <row r="1001" spans="9:10">
      <c r="I1001"/>
      <c r="J1001"/>
    </row>
    <row r="1002" spans="9:10">
      <c r="I1002"/>
      <c r="J1002"/>
    </row>
    <row r="1003" spans="9:10">
      <c r="I1003"/>
      <c r="J1003"/>
    </row>
    <row r="1004" spans="9:10">
      <c r="I1004"/>
      <c r="J1004"/>
    </row>
    <row r="1005" spans="9:10">
      <c r="I1005"/>
      <c r="J1005"/>
    </row>
    <row r="1006" spans="9:10">
      <c r="I1006"/>
      <c r="J1006"/>
    </row>
    <row r="1007" spans="9:10">
      <c r="I1007"/>
      <c r="J1007"/>
    </row>
    <row r="1008" spans="9:10">
      <c r="I1008"/>
      <c r="J1008"/>
    </row>
    <row r="1009" spans="9:10">
      <c r="I1009"/>
      <c r="J1009"/>
    </row>
  </sheetData>
  <dataValidations count="8">
    <dataValidation type="list" allowBlank="1" showInputMessage="1" showErrorMessage="1" sqref="F6" xr:uid="{E6537140-FCD6-444A-9E12-46625A3A1E7E}">
      <formula1>tbl_Staff</formula1>
    </dataValidation>
    <dataValidation type="list" allowBlank="1" showInputMessage="1" showErrorMessage="1" sqref="C6" xr:uid="{9B9BE81B-C902-4B2C-BF1E-A10EAE8A8413}">
      <formula1>tbl_WorkTaskCode</formula1>
    </dataValidation>
    <dataValidation type="list" allowBlank="1" showInputMessage="1" showErrorMessage="1" sqref="E6" xr:uid="{9E0CA214-143A-42F2-8164-0AC05C1736E8}">
      <formula1>tbl_WorkTaskStatus</formula1>
    </dataValidation>
    <dataValidation type="list" allowBlank="1" showInputMessage="1" showErrorMessage="1" sqref="G6" xr:uid="{D0F8BD99-1167-4634-833F-5C8353B49FF2}">
      <formula1>tbl_StaffRole</formula1>
    </dataValidation>
    <dataValidation type="list" allowBlank="1" showInputMessage="1" showErrorMessage="1" errorTitle="Error:" error="Please provide a valid input" sqref="C8:C1009" xr:uid="{B7464678-F6CF-49B3-9F38-96905F60E0AC}">
      <formula1>tbl_WorkTaskCode</formula1>
    </dataValidation>
    <dataValidation type="list" allowBlank="1" showInputMessage="1" showErrorMessage="1" errorTitle="Error:" error="Please provide a valid input" sqref="E8:E1009" xr:uid="{6F72EE84-164D-4CDF-9AD4-BF160E373B11}">
      <formula1>tbl_WorkTaskStatus</formula1>
    </dataValidation>
    <dataValidation type="list" allowBlank="1" showInputMessage="1" showErrorMessage="1" errorTitle="Error:" error="Please provide a valid input" sqref="F8:F1009" xr:uid="{7FB289E8-D8B2-4B1B-B719-9D7A05C4B163}">
      <formula1>tbl_Staff</formula1>
    </dataValidation>
    <dataValidation type="list" allowBlank="1" showInputMessage="1" showErrorMessage="1" errorTitle="Error:" error="Please provide a valid input" sqref="G8:G1009" xr:uid="{3F5DB99B-C070-45AB-9B50-2CA473A8ED4F}">
      <formula1>tbl_StaffRole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0465" r:id="rId4" name="Button 1">
              <controlPr defaultSize="0" print="0" autoFill="0" autoPict="0" macro="[0]!ListWorkTask">
                <anchor moveWithCells="1" sizeWithCells="1">
                  <from>
                    <xdr:col>1</xdr:col>
                    <xdr:colOff>129540</xdr:colOff>
                    <xdr:row>1</xdr:row>
                    <xdr:rowOff>15240</xdr:rowOff>
                  </from>
                  <to>
                    <xdr:col>2</xdr:col>
                    <xdr:colOff>144780</xdr:colOff>
                    <xdr:row>3</xdr:row>
                    <xdr:rowOff>99060</xdr:rowOff>
                  </to>
                </anchor>
              </controlPr>
            </control>
          </mc:Choice>
        </mc:AlternateContent>
        <mc:AlternateContent xmlns:mc="http://schemas.openxmlformats.org/markup-compatibility/2006">
          <mc:Choice Requires="x14">
            <control shapeId="190466" r:id="rId5" name="Button 2">
              <controlPr defaultSize="0" print="0" autoFill="0" autoPict="0" macro="[0]!ProcessWorkTaskUpdates">
                <anchor moveWithCells="1" sizeWithCells="1">
                  <from>
                    <xdr:col>2</xdr:col>
                    <xdr:colOff>502920</xdr:colOff>
                    <xdr:row>1</xdr:row>
                    <xdr:rowOff>0</xdr:rowOff>
                  </from>
                  <to>
                    <xdr:col>3</xdr:col>
                    <xdr:colOff>236220</xdr:colOff>
                    <xdr:row>3</xdr:row>
                    <xdr:rowOff>68580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19692-D842-4C28-989E-F405CE04BE98}">
  <sheetPr codeName="Sheet44">
    <tabColor rgb="FF0070C0"/>
  </sheetPr>
  <dimension ref="A2:G4"/>
  <sheetViews>
    <sheetView workbookViewId="0"/>
  </sheetViews>
  <sheetFormatPr defaultColWidth="8.88671875" defaultRowHeight="14.4"/>
  <cols>
    <col min="1" max="1" width="8.88671875" style="14"/>
    <col min="2" max="2" width="12.6640625" style="14" customWidth="1"/>
    <col min="3" max="3" width="20.44140625" style="14" customWidth="1"/>
    <col min="4" max="4" width="85.6640625" style="14" customWidth="1"/>
    <col min="5" max="5" width="57.6640625" style="14" customWidth="1"/>
    <col min="6" max="6" width="14.44140625" style="14" customWidth="1"/>
    <col min="7" max="7" width="18.5546875" style="14" customWidth="1"/>
    <col min="8" max="16384" width="8.88671875" style="18"/>
  </cols>
  <sheetData>
    <row r="2" spans="1:7">
      <c r="D2" s="69" t="s">
        <v>419</v>
      </c>
      <c r="E2" s="70"/>
    </row>
    <row r="4" spans="1:7">
      <c r="A4" s="14" t="s">
        <v>384</v>
      </c>
      <c r="B4" s="14" t="s">
        <v>385</v>
      </c>
      <c r="C4" s="14" t="s">
        <v>388</v>
      </c>
      <c r="D4" s="14" t="s">
        <v>390</v>
      </c>
      <c r="E4" s="14" t="s">
        <v>386</v>
      </c>
      <c r="F4" s="14" t="s">
        <v>387</v>
      </c>
      <c r="G4" s="14" t="s">
        <v>389</v>
      </c>
    </row>
  </sheetData>
  <autoFilter ref="A4:G1675" xr:uid="{40A19692-D842-4C28-989E-F405CE04BE98}"/>
  <sortState xmlns:xlrd2="http://schemas.microsoft.com/office/spreadsheetml/2017/richdata2" ref="A5:H2010">
    <sortCondition ref="D5:D2010"/>
  </sortState>
  <phoneticPr fontId="7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4033" r:id="rId3" name="Button 1">
              <controlPr defaultSize="0" print="0" autoFill="0" autoPict="0" macro="[0]!Extract_Findings">
                <anchor moveWithCells="1" sizeWithCells="1">
                  <from>
                    <xdr:col>3</xdr:col>
                    <xdr:colOff>381000</xdr:colOff>
                    <xdr:row>0</xdr:row>
                    <xdr:rowOff>106680</xdr:rowOff>
                  </from>
                  <to>
                    <xdr:col>3</xdr:col>
                    <xdr:colOff>2552700</xdr:colOff>
                    <xdr:row>2</xdr:row>
                    <xdr:rowOff>45720</xdr:rowOff>
                  </to>
                </anchor>
              </controlPr>
            </control>
          </mc:Choice>
        </mc:AlternateContent>
        <mc:AlternateContent xmlns:mc="http://schemas.openxmlformats.org/markup-compatibility/2006">
          <mc:Choice Requires="x14">
            <control shapeId="44034" r:id="rId4" name="Button 2">
              <controlPr defaultSize="0" print="0" autoFill="0" autoPict="0" macro="[0]!Update_Findings">
                <anchor moveWithCells="1" sizeWithCells="1">
                  <from>
                    <xdr:col>0</xdr:col>
                    <xdr:colOff>182880</xdr:colOff>
                    <xdr:row>0</xdr:row>
                    <xdr:rowOff>144780</xdr:rowOff>
                  </from>
                  <to>
                    <xdr:col>2</xdr:col>
                    <xdr:colOff>876300</xdr:colOff>
                    <xdr:row>2</xdr:row>
                    <xdr:rowOff>38100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DA7E70-79D5-4AF1-BEE4-5F8747C66CC6}">
  <sheetPr codeName="Sheet45">
    <tabColor rgb="FF0070C0"/>
  </sheetPr>
  <dimension ref="A2:I4"/>
  <sheetViews>
    <sheetView workbookViewId="0">
      <selection activeCell="F8" sqref="F8"/>
    </sheetView>
  </sheetViews>
  <sheetFormatPr defaultColWidth="8.88671875" defaultRowHeight="14.4"/>
  <cols>
    <col min="1" max="1" width="8.88671875" style="14"/>
    <col min="2" max="4" width="8.109375" style="14" customWidth="1"/>
    <col min="5" max="7" width="46" style="14" customWidth="1"/>
    <col min="8" max="8" width="14.88671875" style="14" customWidth="1"/>
    <col min="9" max="9" width="23.5546875" style="14" customWidth="1"/>
    <col min="10" max="16384" width="8.88671875" style="18"/>
  </cols>
  <sheetData>
    <row r="2" spans="1:9">
      <c r="F2" s="69" t="s">
        <v>419</v>
      </c>
      <c r="G2" s="70"/>
    </row>
    <row r="4" spans="1:9" ht="28.8">
      <c r="A4" s="14" t="s">
        <v>384</v>
      </c>
      <c r="B4" s="14" t="s">
        <v>385</v>
      </c>
      <c r="C4" s="14" t="s">
        <v>433</v>
      </c>
      <c r="D4" s="14" t="s">
        <v>434</v>
      </c>
      <c r="E4" s="14" t="s">
        <v>435</v>
      </c>
      <c r="F4" s="14" t="s">
        <v>436</v>
      </c>
      <c r="G4" s="14" t="s">
        <v>437</v>
      </c>
      <c r="H4" s="14" t="s">
        <v>387</v>
      </c>
      <c r="I4" s="14" t="s">
        <v>389</v>
      </c>
    </row>
  </sheetData>
  <autoFilter ref="A4:I10" xr:uid="{47DA7E70-79D5-4AF1-BEE4-5F8747C66CC6}"/>
  <phoneticPr fontId="7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5777" r:id="rId3" name="Button 1">
              <controlPr defaultSize="0" print="0" autoFill="0" autoPict="0" macro="[0]!Extract_Questions">
                <anchor moveWithCells="1" sizeWithCells="1">
                  <from>
                    <xdr:col>4</xdr:col>
                    <xdr:colOff>2400300</xdr:colOff>
                    <xdr:row>0</xdr:row>
                    <xdr:rowOff>106680</xdr:rowOff>
                  </from>
                  <to>
                    <xdr:col>5</xdr:col>
                    <xdr:colOff>1417320</xdr:colOff>
                    <xdr:row>2</xdr:row>
                    <xdr:rowOff>45720</xdr:rowOff>
                  </to>
                </anchor>
              </controlPr>
            </control>
          </mc:Choice>
        </mc:AlternateContent>
        <mc:AlternateContent xmlns:mc="http://schemas.openxmlformats.org/markup-compatibility/2006">
          <mc:Choice Requires="x14">
            <control shapeId="75778" r:id="rId4" name="Button 2">
              <controlPr defaultSize="0" print="0" autoFill="0" autoPict="0" macro="[0]!Update_Questions">
                <anchor moveWithCells="1" sizeWithCells="1">
                  <from>
                    <xdr:col>2</xdr:col>
                    <xdr:colOff>144780</xdr:colOff>
                    <xdr:row>0</xdr:row>
                    <xdr:rowOff>121920</xdr:rowOff>
                  </from>
                  <to>
                    <xdr:col>4</xdr:col>
                    <xdr:colOff>571500</xdr:colOff>
                    <xdr:row>2</xdr:row>
                    <xdr:rowOff>30480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015AC-2729-4104-A4D2-DD4B97A8791B}">
  <sheetPr codeName="Sheet33">
    <tabColor rgb="FF0070C0"/>
  </sheetPr>
  <dimension ref="D50"/>
  <sheetViews>
    <sheetView workbookViewId="0"/>
  </sheetViews>
  <sheetFormatPr defaultRowHeight="14.4"/>
  <sheetData>
    <row r="50" spans="4:4">
      <c r="D50" s="301"/>
    </row>
  </sheetData>
  <sortState xmlns:xlrd2="http://schemas.microsoft.com/office/spreadsheetml/2017/richdata2" ref="C1:C19">
    <sortCondition ref="C1:C19"/>
  </sortState>
  <phoneticPr fontId="72"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94B63-2F37-4C70-BE34-0BA1A4776085}">
  <sheetPr codeName="Sheet2"/>
  <dimension ref="B2:C27"/>
  <sheetViews>
    <sheetView topLeftCell="A10" workbookViewId="0">
      <selection activeCell="A26" sqref="A26:XFD26"/>
    </sheetView>
  </sheetViews>
  <sheetFormatPr defaultColWidth="8.6640625" defaultRowHeight="15.6"/>
  <cols>
    <col min="1" max="16384" width="8.6640625" style="23"/>
  </cols>
  <sheetData>
    <row r="2" spans="2:3">
      <c r="B2" s="23" t="s">
        <v>0</v>
      </c>
    </row>
    <row r="3" spans="2:3">
      <c r="C3" s="23" t="s">
        <v>1</v>
      </c>
    </row>
    <row r="4" spans="2:3">
      <c r="C4" s="23" t="s">
        <v>2</v>
      </c>
    </row>
    <row r="5" spans="2:3">
      <c r="C5" s="23" t="s">
        <v>394</v>
      </c>
    </row>
    <row r="6" spans="2:3">
      <c r="C6" s="23" t="s">
        <v>3</v>
      </c>
    </row>
    <row r="7" spans="2:3">
      <c r="C7" s="23" t="s">
        <v>4</v>
      </c>
    </row>
    <row r="8" spans="2:3">
      <c r="C8" s="23" t="s">
        <v>5</v>
      </c>
    </row>
    <row r="9" spans="2:3">
      <c r="C9" s="23" t="s">
        <v>6</v>
      </c>
    </row>
    <row r="10" spans="2:3">
      <c r="C10" s="23" t="s">
        <v>7</v>
      </c>
    </row>
    <row r="11" spans="2:3">
      <c r="C11" s="23" t="s">
        <v>8</v>
      </c>
    </row>
    <row r="13" spans="2:3">
      <c r="B13" s="23" t="s">
        <v>9</v>
      </c>
    </row>
    <row r="14" spans="2:3">
      <c r="C14" s="23" t="s">
        <v>10</v>
      </c>
    </row>
    <row r="15" spans="2:3">
      <c r="C15" s="24" t="s">
        <v>395</v>
      </c>
    </row>
    <row r="16" spans="2:3">
      <c r="C16" s="24" t="s">
        <v>396</v>
      </c>
    </row>
    <row r="17" spans="2:3">
      <c r="C17" s="23" t="s">
        <v>397</v>
      </c>
    </row>
    <row r="18" spans="2:3">
      <c r="C18" s="24" t="s">
        <v>11</v>
      </c>
    </row>
    <row r="19" spans="2:3">
      <c r="C19" s="24" t="s">
        <v>12</v>
      </c>
    </row>
    <row r="20" spans="2:3">
      <c r="C20" s="23" t="s">
        <v>13</v>
      </c>
    </row>
    <row r="21" spans="2:3">
      <c r="C21" s="23" t="s">
        <v>14</v>
      </c>
    </row>
    <row r="22" spans="2:3">
      <c r="C22" s="23" t="s">
        <v>15</v>
      </c>
    </row>
    <row r="25" spans="2:3">
      <c r="B25" s="23" t="s">
        <v>398</v>
      </c>
    </row>
    <row r="26" spans="2:3">
      <c r="C26" s="25" t="s">
        <v>399</v>
      </c>
    </row>
    <row r="27" spans="2:3">
      <c r="C27" s="15" t="s">
        <v>1956</v>
      </c>
    </row>
  </sheetData>
  <phoneticPr fontId="72" type="noConversion"/>
  <hyperlinks>
    <hyperlink ref="C26" r:id="rId1" xr:uid="{729DCEB6-AFEF-405D-BDC6-CFF7EB81D2BB}"/>
    <hyperlink ref="C27" r:id="rId2" xr:uid="{1A57ECCA-E2D0-4680-9401-59679FCD73F2}"/>
  </hyperlinks>
  <pageMargins left="0.7" right="0.7" top="0.75" bottom="0.75" header="0.3" footer="0.3"/>
  <pageSetup paperSize="9" orientation="portrait" horizontalDpi="1200" verticalDpi="1200"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FA3D0-785F-4676-ACF4-8370E7E0BFC8}">
  <sheetPr codeName="Sheet3"/>
  <dimension ref="A2:V35"/>
  <sheetViews>
    <sheetView workbookViewId="0"/>
  </sheetViews>
  <sheetFormatPr defaultColWidth="8.6640625" defaultRowHeight="14.4"/>
  <cols>
    <col min="1" max="21" width="8.6640625" style="29"/>
    <col min="22" max="22" width="8.6640625" style="29" hidden="1" customWidth="1"/>
    <col min="23" max="16384" width="8.6640625" style="29"/>
  </cols>
  <sheetData>
    <row r="2" spans="1:22" ht="93.6">
      <c r="A2" s="373" t="s">
        <v>16</v>
      </c>
      <c r="B2" s="373" t="s">
        <v>17</v>
      </c>
      <c r="C2" s="371" t="s">
        <v>18</v>
      </c>
      <c r="D2" s="371"/>
      <c r="E2" s="372" t="s">
        <v>19</v>
      </c>
      <c r="F2" s="372"/>
      <c r="G2" s="371" t="s">
        <v>20</v>
      </c>
      <c r="H2" s="371"/>
      <c r="I2" s="371"/>
      <c r="J2" s="371"/>
      <c r="K2" s="372" t="s">
        <v>21</v>
      </c>
      <c r="L2" s="372"/>
      <c r="M2" s="372"/>
      <c r="N2" s="26" t="s">
        <v>22</v>
      </c>
      <c r="O2" s="27" t="s">
        <v>23</v>
      </c>
      <c r="P2" s="371" t="s">
        <v>24</v>
      </c>
      <c r="Q2" s="371"/>
      <c r="R2" s="371"/>
      <c r="S2" s="372" t="s">
        <v>25</v>
      </c>
      <c r="T2" s="372"/>
      <c r="U2" s="372"/>
      <c r="V2" s="28" t="s">
        <v>26</v>
      </c>
    </row>
    <row r="3" spans="1:22" ht="15.6">
      <c r="A3" s="373"/>
      <c r="B3" s="373"/>
      <c r="C3" s="30" t="s">
        <v>27</v>
      </c>
      <c r="D3" s="30" t="s">
        <v>28</v>
      </c>
      <c r="E3" s="31" t="s">
        <v>29</v>
      </c>
      <c r="F3" s="31" t="s">
        <v>30</v>
      </c>
      <c r="G3" s="30" t="s">
        <v>31</v>
      </c>
      <c r="H3" s="30" t="s">
        <v>32</v>
      </c>
      <c r="I3" s="30" t="s">
        <v>33</v>
      </c>
      <c r="J3" s="30" t="s">
        <v>34</v>
      </c>
      <c r="K3" s="31" t="s">
        <v>35</v>
      </c>
      <c r="L3" s="31" t="s">
        <v>36</v>
      </c>
      <c r="M3" s="31" t="s">
        <v>37</v>
      </c>
      <c r="N3" s="30" t="s">
        <v>38</v>
      </c>
      <c r="O3" s="31" t="s">
        <v>39</v>
      </c>
      <c r="P3" s="30" t="s">
        <v>40</v>
      </c>
      <c r="Q3" s="30" t="s">
        <v>41</v>
      </c>
      <c r="R3" s="30" t="s">
        <v>42</v>
      </c>
      <c r="S3" s="31" t="s">
        <v>43</v>
      </c>
      <c r="T3" s="31" t="s">
        <v>44</v>
      </c>
      <c r="U3" s="31" t="s">
        <v>45</v>
      </c>
      <c r="V3" s="28" t="s">
        <v>46</v>
      </c>
    </row>
    <row r="4" spans="1:22" ht="15.6">
      <c r="A4" s="370" t="s">
        <v>400</v>
      </c>
      <c r="B4" s="32" t="s">
        <v>47</v>
      </c>
      <c r="C4" s="33" t="s">
        <v>48</v>
      </c>
      <c r="D4" s="33" t="s">
        <v>48</v>
      </c>
      <c r="E4" s="33" t="s">
        <v>48</v>
      </c>
      <c r="F4" s="33" t="s">
        <v>48</v>
      </c>
      <c r="G4" s="33" t="s">
        <v>48</v>
      </c>
      <c r="H4" s="33" t="s">
        <v>48</v>
      </c>
      <c r="I4" s="33" t="s">
        <v>48</v>
      </c>
      <c r="J4" s="33" t="s">
        <v>48</v>
      </c>
      <c r="K4" s="33" t="s">
        <v>48</v>
      </c>
      <c r="L4" s="33" t="s">
        <v>48</v>
      </c>
      <c r="M4" s="33" t="s">
        <v>48</v>
      </c>
      <c r="N4" s="33" t="s">
        <v>48</v>
      </c>
      <c r="O4" s="33" t="s">
        <v>48</v>
      </c>
      <c r="P4" s="33" t="s">
        <v>48</v>
      </c>
      <c r="Q4" s="33" t="s">
        <v>48</v>
      </c>
      <c r="R4" s="33" t="s">
        <v>48</v>
      </c>
      <c r="S4" s="33" t="s">
        <v>48</v>
      </c>
      <c r="T4" s="33" t="s">
        <v>48</v>
      </c>
      <c r="U4" s="33" t="s">
        <v>48</v>
      </c>
      <c r="V4" s="34" t="s">
        <v>49</v>
      </c>
    </row>
    <row r="5" spans="1:22" ht="15.6">
      <c r="A5" s="370"/>
      <c r="B5" s="31">
        <v>1.1000000000000001</v>
      </c>
      <c r="C5" s="35" t="s">
        <v>50</v>
      </c>
      <c r="D5" s="35" t="s">
        <v>50</v>
      </c>
      <c r="E5" s="35" t="s">
        <v>50</v>
      </c>
      <c r="F5" s="35" t="s">
        <v>50</v>
      </c>
      <c r="G5" s="35" t="s">
        <v>50</v>
      </c>
      <c r="H5" s="35" t="s">
        <v>50</v>
      </c>
      <c r="I5" s="35" t="s">
        <v>50</v>
      </c>
      <c r="J5" s="35" t="s">
        <v>50</v>
      </c>
      <c r="K5" s="35" t="s">
        <v>50</v>
      </c>
      <c r="L5" s="35" t="s">
        <v>50</v>
      </c>
      <c r="M5" s="35" t="s">
        <v>50</v>
      </c>
      <c r="N5" s="35" t="s">
        <v>50</v>
      </c>
      <c r="O5" s="35" t="s">
        <v>50</v>
      </c>
      <c r="P5" s="35" t="s">
        <v>50</v>
      </c>
      <c r="Q5" s="35" t="s">
        <v>50</v>
      </c>
      <c r="R5" s="35" t="s">
        <v>50</v>
      </c>
      <c r="S5" s="35" t="s">
        <v>50</v>
      </c>
      <c r="T5" s="35" t="s">
        <v>50</v>
      </c>
      <c r="U5" s="35" t="s">
        <v>50</v>
      </c>
      <c r="V5" s="34" t="s">
        <v>51</v>
      </c>
    </row>
    <row r="6" spans="1:22" ht="15.6">
      <c r="A6" s="370"/>
      <c r="B6" s="31">
        <v>1.2</v>
      </c>
      <c r="C6" s="35"/>
      <c r="D6" s="35"/>
      <c r="E6" s="35"/>
      <c r="F6" s="35"/>
      <c r="G6" s="35"/>
      <c r="H6" s="35" t="s">
        <v>50</v>
      </c>
      <c r="I6" s="35"/>
      <c r="J6" s="35"/>
      <c r="K6" s="35" t="s">
        <v>50</v>
      </c>
      <c r="L6" s="35"/>
      <c r="M6" s="35" t="s">
        <v>50</v>
      </c>
      <c r="N6" s="35"/>
      <c r="O6" s="35"/>
      <c r="P6" s="35" t="s">
        <v>50</v>
      </c>
      <c r="Q6" s="35" t="s">
        <v>50</v>
      </c>
      <c r="R6" s="35"/>
      <c r="S6" s="35"/>
      <c r="T6" s="35" t="s">
        <v>50</v>
      </c>
      <c r="U6" s="35"/>
      <c r="V6" s="34" t="s">
        <v>52</v>
      </c>
    </row>
    <row r="7" spans="1:22" ht="15.6">
      <c r="A7" s="370"/>
      <c r="B7" s="31">
        <v>1.3</v>
      </c>
      <c r="C7" s="35"/>
      <c r="D7" s="35"/>
      <c r="E7" s="35"/>
      <c r="F7" s="35"/>
      <c r="G7" s="35"/>
      <c r="H7" s="35"/>
      <c r="I7" s="35"/>
      <c r="J7" s="35"/>
      <c r="K7" s="35" t="s">
        <v>50</v>
      </c>
      <c r="L7" s="35"/>
      <c r="M7" s="35"/>
      <c r="N7" s="35"/>
      <c r="O7" s="35"/>
      <c r="P7" s="35"/>
      <c r="Q7" s="35"/>
      <c r="R7" s="35"/>
      <c r="S7" s="35"/>
      <c r="T7" s="35"/>
      <c r="U7" s="35"/>
      <c r="V7" s="34" t="s">
        <v>53</v>
      </c>
    </row>
    <row r="8" spans="1:22" ht="15.6">
      <c r="A8" s="370"/>
      <c r="B8" s="31">
        <v>1.4</v>
      </c>
      <c r="C8" s="35"/>
      <c r="D8" s="35"/>
      <c r="E8" s="35"/>
      <c r="F8" s="35"/>
      <c r="G8" s="35"/>
      <c r="H8" s="35"/>
      <c r="I8" s="35"/>
      <c r="J8" s="35"/>
      <c r="K8" s="35"/>
      <c r="L8" s="35"/>
      <c r="M8" s="35"/>
      <c r="N8" s="35"/>
      <c r="O8" s="35"/>
      <c r="P8" s="35"/>
      <c r="Q8" s="35"/>
      <c r="R8" s="35"/>
      <c r="S8" s="35"/>
      <c r="T8" s="35"/>
      <c r="U8" s="35"/>
      <c r="V8" s="34" t="s">
        <v>53</v>
      </c>
    </row>
    <row r="9" spans="1:22" ht="15.6">
      <c r="A9" s="370" t="s">
        <v>54</v>
      </c>
      <c r="B9" s="32" t="s">
        <v>54</v>
      </c>
      <c r="C9" s="33" t="s">
        <v>48</v>
      </c>
      <c r="D9" s="33" t="s">
        <v>48</v>
      </c>
      <c r="E9" s="33" t="s">
        <v>48</v>
      </c>
      <c r="F9" s="33" t="s">
        <v>48</v>
      </c>
      <c r="G9" s="33" t="s">
        <v>48</v>
      </c>
      <c r="H9" s="33" t="s">
        <v>48</v>
      </c>
      <c r="I9" s="33" t="s">
        <v>48</v>
      </c>
      <c r="J9" s="33" t="s">
        <v>48</v>
      </c>
      <c r="K9" s="33" t="s">
        <v>48</v>
      </c>
      <c r="L9" s="33" t="s">
        <v>48</v>
      </c>
      <c r="M9" s="33" t="s">
        <v>48</v>
      </c>
      <c r="N9" s="33" t="s">
        <v>48</v>
      </c>
      <c r="O9" s="33" t="s">
        <v>48</v>
      </c>
      <c r="P9" s="33" t="s">
        <v>48</v>
      </c>
      <c r="Q9" s="33" t="s">
        <v>48</v>
      </c>
      <c r="R9" s="33" t="s">
        <v>48</v>
      </c>
      <c r="S9" s="33" t="s">
        <v>48</v>
      </c>
      <c r="T9" s="33" t="s">
        <v>48</v>
      </c>
      <c r="U9" s="33" t="s">
        <v>48</v>
      </c>
      <c r="V9" s="34"/>
    </row>
    <row r="10" spans="1:22" ht="15.6">
      <c r="A10" s="370"/>
      <c r="B10" s="31">
        <v>2.1</v>
      </c>
      <c r="C10" s="35" t="s">
        <v>50</v>
      </c>
      <c r="D10" s="35" t="s">
        <v>50</v>
      </c>
      <c r="E10" s="35" t="s">
        <v>50</v>
      </c>
      <c r="F10" s="35" t="s">
        <v>50</v>
      </c>
      <c r="G10" s="35" t="s">
        <v>50</v>
      </c>
      <c r="H10" s="35" t="s">
        <v>50</v>
      </c>
      <c r="I10" s="35" t="s">
        <v>50</v>
      </c>
      <c r="J10" s="35" t="s">
        <v>50</v>
      </c>
      <c r="K10" s="35" t="s">
        <v>50</v>
      </c>
      <c r="L10" s="35" t="s">
        <v>50</v>
      </c>
      <c r="M10" s="35" t="s">
        <v>50</v>
      </c>
      <c r="N10" s="35" t="s">
        <v>50</v>
      </c>
      <c r="O10" s="35" t="s">
        <v>50</v>
      </c>
      <c r="P10" s="35" t="s">
        <v>50</v>
      </c>
      <c r="Q10" s="35" t="s">
        <v>50</v>
      </c>
      <c r="R10" s="35" t="s">
        <v>50</v>
      </c>
      <c r="S10" s="35" t="s">
        <v>50</v>
      </c>
      <c r="T10" s="35" t="s">
        <v>50</v>
      </c>
      <c r="U10" s="35" t="s">
        <v>50</v>
      </c>
      <c r="V10" s="34" t="s">
        <v>51</v>
      </c>
    </row>
    <row r="11" spans="1:22" ht="15.6">
      <c r="A11" s="370"/>
      <c r="B11" s="31">
        <v>2.2000000000000002</v>
      </c>
      <c r="C11" s="35" t="s">
        <v>50</v>
      </c>
      <c r="D11" s="35" t="s">
        <v>50</v>
      </c>
      <c r="E11" s="35" t="s">
        <v>50</v>
      </c>
      <c r="F11" s="35" t="s">
        <v>50</v>
      </c>
      <c r="G11" s="35" t="s">
        <v>50</v>
      </c>
      <c r="H11" s="35" t="s">
        <v>50</v>
      </c>
      <c r="I11" s="35" t="s">
        <v>50</v>
      </c>
      <c r="J11" s="35" t="s">
        <v>50</v>
      </c>
      <c r="K11" s="35" t="s">
        <v>50</v>
      </c>
      <c r="L11" s="35" t="s">
        <v>50</v>
      </c>
      <c r="M11" s="35" t="s">
        <v>50</v>
      </c>
      <c r="N11" s="35" t="s">
        <v>50</v>
      </c>
      <c r="O11" s="35" t="s">
        <v>50</v>
      </c>
      <c r="P11" s="35" t="s">
        <v>50</v>
      </c>
      <c r="Q11" s="35" t="s">
        <v>50</v>
      </c>
      <c r="R11" s="35" t="s">
        <v>50</v>
      </c>
      <c r="S11" s="35" t="s">
        <v>50</v>
      </c>
      <c r="T11" s="35" t="s">
        <v>50</v>
      </c>
      <c r="U11" s="35" t="s">
        <v>50</v>
      </c>
      <c r="V11" s="34" t="s">
        <v>51</v>
      </c>
    </row>
    <row r="12" spans="1:22" ht="15.6">
      <c r="A12" s="370"/>
      <c r="B12" s="31">
        <v>2.2999999999999998</v>
      </c>
      <c r="C12" s="35" t="s">
        <v>50</v>
      </c>
      <c r="D12" s="35"/>
      <c r="E12" s="35" t="s">
        <v>50</v>
      </c>
      <c r="F12" s="35" t="s">
        <v>50</v>
      </c>
      <c r="G12" s="35" t="s">
        <v>50</v>
      </c>
      <c r="H12" s="35" t="s">
        <v>50</v>
      </c>
      <c r="I12" s="35" t="s">
        <v>50</v>
      </c>
      <c r="J12" s="35" t="s">
        <v>50</v>
      </c>
      <c r="K12" s="35"/>
      <c r="L12" s="35" t="s">
        <v>50</v>
      </c>
      <c r="M12" s="35" t="s">
        <v>50</v>
      </c>
      <c r="N12" s="35"/>
      <c r="O12" s="35"/>
      <c r="P12" s="35" t="s">
        <v>50</v>
      </c>
      <c r="Q12" s="35" t="s">
        <v>50</v>
      </c>
      <c r="R12" s="35" t="s">
        <v>50</v>
      </c>
      <c r="S12" s="35"/>
      <c r="T12" s="35" t="s">
        <v>50</v>
      </c>
      <c r="U12" s="35" t="s">
        <v>50</v>
      </c>
      <c r="V12" s="34" t="s">
        <v>55</v>
      </c>
    </row>
    <row r="13" spans="1:22" ht="15.6">
      <c r="A13" s="370"/>
      <c r="B13" s="31">
        <v>2.4</v>
      </c>
      <c r="C13" s="35" t="s">
        <v>50</v>
      </c>
      <c r="D13" s="35"/>
      <c r="E13" s="35"/>
      <c r="F13" s="35" t="s">
        <v>50</v>
      </c>
      <c r="G13" s="35" t="s">
        <v>50</v>
      </c>
      <c r="H13" s="35"/>
      <c r="I13" s="35" t="s">
        <v>50</v>
      </c>
      <c r="J13" s="35" t="s">
        <v>50</v>
      </c>
      <c r="K13" s="35"/>
      <c r="L13" s="35"/>
      <c r="M13" s="35" t="s">
        <v>50</v>
      </c>
      <c r="N13" s="35"/>
      <c r="O13" s="35"/>
      <c r="P13" s="35" t="s">
        <v>50</v>
      </c>
      <c r="Q13" s="35" t="s">
        <v>50</v>
      </c>
      <c r="R13" s="35"/>
      <c r="S13" s="35"/>
      <c r="T13" s="35" t="s">
        <v>50</v>
      </c>
      <c r="U13" s="35" t="s">
        <v>50</v>
      </c>
      <c r="V13" s="34" t="s">
        <v>53</v>
      </c>
    </row>
    <row r="14" spans="1:22" ht="15.6">
      <c r="A14" s="370"/>
      <c r="B14" s="31">
        <v>2.5</v>
      </c>
      <c r="C14" s="35"/>
      <c r="D14" s="35"/>
      <c r="E14" s="35"/>
      <c r="F14" s="35" t="s">
        <v>50</v>
      </c>
      <c r="G14" s="35"/>
      <c r="H14" s="35"/>
      <c r="I14" s="35"/>
      <c r="J14" s="35" t="s">
        <v>50</v>
      </c>
      <c r="K14" s="35"/>
      <c r="L14" s="35"/>
      <c r="M14" s="35" t="s">
        <v>50</v>
      </c>
      <c r="N14" s="35"/>
      <c r="O14" s="35"/>
      <c r="P14" s="35"/>
      <c r="Q14" s="35" t="s">
        <v>50</v>
      </c>
      <c r="R14" s="35"/>
      <c r="S14" s="35"/>
      <c r="T14" s="35" t="s">
        <v>50</v>
      </c>
      <c r="U14" s="35" t="s">
        <v>50</v>
      </c>
      <c r="V14" s="34"/>
    </row>
    <row r="15" spans="1:22" ht="15.6">
      <c r="A15" s="370"/>
      <c r="B15" s="31">
        <v>2.6</v>
      </c>
      <c r="C15" s="35"/>
      <c r="D15" s="35"/>
      <c r="E15" s="35"/>
      <c r="F15" s="35" t="s">
        <v>50</v>
      </c>
      <c r="G15" s="35"/>
      <c r="H15" s="35"/>
      <c r="I15" s="35"/>
      <c r="J15" s="35" t="s">
        <v>50</v>
      </c>
      <c r="K15" s="35"/>
      <c r="L15" s="35"/>
      <c r="M15" s="35" t="s">
        <v>50</v>
      </c>
      <c r="N15" s="35"/>
      <c r="O15" s="35"/>
      <c r="P15" s="35"/>
      <c r="Q15" s="35" t="s">
        <v>50</v>
      </c>
      <c r="R15" s="35"/>
      <c r="S15" s="35"/>
      <c r="T15" s="35"/>
      <c r="U15" s="35" t="s">
        <v>50</v>
      </c>
      <c r="V15" s="34"/>
    </row>
    <row r="16" spans="1:22" ht="15.6">
      <c r="A16" s="370"/>
      <c r="B16" s="31">
        <v>2.7</v>
      </c>
      <c r="C16" s="35"/>
      <c r="D16" s="35"/>
      <c r="E16" s="35"/>
      <c r="F16" s="35"/>
      <c r="G16" s="35"/>
      <c r="H16" s="35"/>
      <c r="I16" s="35"/>
      <c r="J16" s="35"/>
      <c r="K16" s="35"/>
      <c r="L16" s="35"/>
      <c r="M16" s="35"/>
      <c r="N16" s="35"/>
      <c r="O16" s="35"/>
      <c r="P16" s="35"/>
      <c r="Q16" s="35" t="s">
        <v>50</v>
      </c>
      <c r="R16" s="35"/>
      <c r="S16" s="35"/>
      <c r="T16" s="35"/>
      <c r="U16" s="35"/>
      <c r="V16" s="34"/>
    </row>
    <row r="17" spans="1:22" ht="15.6">
      <c r="A17" s="370"/>
      <c r="B17" s="31">
        <v>2.8</v>
      </c>
      <c r="C17" s="35"/>
      <c r="D17" s="35"/>
      <c r="E17" s="35"/>
      <c r="F17" s="35"/>
      <c r="G17" s="35"/>
      <c r="H17" s="35"/>
      <c r="I17" s="35"/>
      <c r="J17" s="35"/>
      <c r="K17" s="35"/>
      <c r="L17" s="35"/>
      <c r="M17" s="35"/>
      <c r="N17" s="35"/>
      <c r="O17" s="35"/>
      <c r="P17" s="35"/>
      <c r="Q17" s="35" t="s">
        <v>50</v>
      </c>
      <c r="R17" s="35"/>
      <c r="S17" s="35"/>
      <c r="T17" s="35"/>
      <c r="U17" s="35"/>
      <c r="V17" s="34"/>
    </row>
    <row r="18" spans="1:22" ht="15.6">
      <c r="A18" s="370" t="s">
        <v>56</v>
      </c>
      <c r="B18" s="32" t="s">
        <v>56</v>
      </c>
      <c r="C18" s="33" t="s">
        <v>48</v>
      </c>
      <c r="D18" s="33" t="s">
        <v>48</v>
      </c>
      <c r="E18" s="33" t="s">
        <v>48</v>
      </c>
      <c r="F18" s="33" t="s">
        <v>48</v>
      </c>
      <c r="G18" s="33" t="s">
        <v>48</v>
      </c>
      <c r="H18" s="33" t="s">
        <v>48</v>
      </c>
      <c r="I18" s="33" t="s">
        <v>48</v>
      </c>
      <c r="J18" s="33" t="s">
        <v>48</v>
      </c>
      <c r="K18" s="33" t="s">
        <v>48</v>
      </c>
      <c r="L18" s="33" t="s">
        <v>48</v>
      </c>
      <c r="M18" s="33" t="s">
        <v>48</v>
      </c>
      <c r="N18" s="33" t="s">
        <v>48</v>
      </c>
      <c r="O18" s="33" t="s">
        <v>48</v>
      </c>
      <c r="P18" s="33" t="s">
        <v>48</v>
      </c>
      <c r="Q18" s="33" t="s">
        <v>48</v>
      </c>
      <c r="R18" s="33" t="s">
        <v>48</v>
      </c>
      <c r="S18" s="33" t="s">
        <v>48</v>
      </c>
      <c r="T18" s="33" t="s">
        <v>48</v>
      </c>
      <c r="U18" s="35"/>
      <c r="V18" s="34"/>
    </row>
    <row r="19" spans="1:22" ht="15.6">
      <c r="A19" s="370"/>
      <c r="B19" s="31">
        <v>3.1</v>
      </c>
      <c r="C19" s="35" t="s">
        <v>50</v>
      </c>
      <c r="D19" s="35" t="s">
        <v>50</v>
      </c>
      <c r="E19" s="35" t="s">
        <v>50</v>
      </c>
      <c r="F19" s="35" t="s">
        <v>50</v>
      </c>
      <c r="G19" s="35" t="s">
        <v>50</v>
      </c>
      <c r="H19" s="35" t="s">
        <v>50</v>
      </c>
      <c r="I19" s="35" t="s">
        <v>50</v>
      </c>
      <c r="J19" s="35" t="s">
        <v>50</v>
      </c>
      <c r="K19" s="35" t="s">
        <v>50</v>
      </c>
      <c r="L19" s="35" t="s">
        <v>50</v>
      </c>
      <c r="M19" s="35" t="s">
        <v>50</v>
      </c>
      <c r="N19" s="35" t="s">
        <v>50</v>
      </c>
      <c r="O19" s="35" t="s">
        <v>50</v>
      </c>
      <c r="P19" s="35" t="s">
        <v>50</v>
      </c>
      <c r="Q19" s="35" t="s">
        <v>50</v>
      </c>
      <c r="R19" s="35" t="s">
        <v>50</v>
      </c>
      <c r="S19" s="35" t="s">
        <v>50</v>
      </c>
      <c r="T19" s="35" t="s">
        <v>50</v>
      </c>
      <c r="U19" s="35"/>
      <c r="V19" s="34" t="s">
        <v>51</v>
      </c>
    </row>
    <row r="20" spans="1:22" ht="15.6">
      <c r="A20" s="370"/>
      <c r="B20" s="31">
        <v>3.2</v>
      </c>
      <c r="C20" s="35" t="s">
        <v>50</v>
      </c>
      <c r="D20" s="35" t="s">
        <v>50</v>
      </c>
      <c r="E20" s="35" t="s">
        <v>50</v>
      </c>
      <c r="F20" s="35" t="s">
        <v>50</v>
      </c>
      <c r="G20" s="35"/>
      <c r="H20" s="35" t="s">
        <v>50</v>
      </c>
      <c r="I20" s="35"/>
      <c r="J20" s="35" t="s">
        <v>50</v>
      </c>
      <c r="K20" s="35" t="s">
        <v>50</v>
      </c>
      <c r="L20" s="35" t="s">
        <v>50</v>
      </c>
      <c r="M20" s="35" t="s">
        <v>50</v>
      </c>
      <c r="N20" s="35" t="s">
        <v>50</v>
      </c>
      <c r="O20" s="35" t="s">
        <v>50</v>
      </c>
      <c r="P20" s="35" t="s">
        <v>50</v>
      </c>
      <c r="Q20" s="35" t="s">
        <v>50</v>
      </c>
      <c r="R20" s="35" t="s">
        <v>50</v>
      </c>
      <c r="S20" s="35" t="s">
        <v>50</v>
      </c>
      <c r="T20" s="35"/>
      <c r="U20" s="35"/>
      <c r="V20" s="34" t="s">
        <v>51</v>
      </c>
    </row>
    <row r="21" spans="1:22" ht="15.6">
      <c r="A21" s="370"/>
      <c r="B21" s="31">
        <v>3.3</v>
      </c>
      <c r="C21" s="35"/>
      <c r="D21" s="35" t="s">
        <v>50</v>
      </c>
      <c r="E21" s="35" t="s">
        <v>50</v>
      </c>
      <c r="F21" s="35" t="s">
        <v>50</v>
      </c>
      <c r="G21" s="35"/>
      <c r="H21" s="35"/>
      <c r="I21" s="35"/>
      <c r="J21" s="35" t="s">
        <v>50</v>
      </c>
      <c r="K21" s="35" t="s">
        <v>50</v>
      </c>
      <c r="L21" s="35" t="s">
        <v>50</v>
      </c>
      <c r="M21" s="35" t="s">
        <v>50</v>
      </c>
      <c r="N21" s="35" t="s">
        <v>50</v>
      </c>
      <c r="O21" s="35" t="s">
        <v>50</v>
      </c>
      <c r="P21" s="35" t="s">
        <v>50</v>
      </c>
      <c r="Q21" s="35" t="s">
        <v>50</v>
      </c>
      <c r="R21" s="35"/>
      <c r="S21" s="35" t="s">
        <v>50</v>
      </c>
      <c r="T21" s="35"/>
      <c r="U21" s="35"/>
      <c r="V21" s="34"/>
    </row>
    <row r="22" spans="1:22" ht="15.6">
      <c r="A22" s="370"/>
      <c r="B22" s="31">
        <v>3.4</v>
      </c>
      <c r="C22" s="35"/>
      <c r="D22" s="35"/>
      <c r="E22" s="35" t="s">
        <v>50</v>
      </c>
      <c r="F22" s="35"/>
      <c r="G22" s="35"/>
      <c r="H22" s="35"/>
      <c r="I22" s="35"/>
      <c r="J22" s="35" t="s">
        <v>50</v>
      </c>
      <c r="K22" s="35" t="s">
        <v>50</v>
      </c>
      <c r="L22" s="35" t="s">
        <v>50</v>
      </c>
      <c r="M22" s="35" t="s">
        <v>50</v>
      </c>
      <c r="N22" s="35" t="s">
        <v>50</v>
      </c>
      <c r="O22" s="35" t="s">
        <v>50</v>
      </c>
      <c r="P22" s="35" t="s">
        <v>50</v>
      </c>
      <c r="Q22" s="35" t="s">
        <v>50</v>
      </c>
      <c r="R22" s="35"/>
      <c r="S22" s="35" t="s">
        <v>50</v>
      </c>
      <c r="T22" s="35"/>
      <c r="U22" s="35"/>
      <c r="V22" s="34"/>
    </row>
    <row r="23" spans="1:22" ht="15.6">
      <c r="A23" s="370"/>
      <c r="B23" s="31">
        <v>3.5</v>
      </c>
      <c r="C23" s="35"/>
      <c r="D23" s="35"/>
      <c r="E23" s="35" t="s">
        <v>50</v>
      </c>
      <c r="F23" s="35"/>
      <c r="G23" s="35"/>
      <c r="H23" s="35"/>
      <c r="I23" s="35"/>
      <c r="J23" s="35" t="s">
        <v>50</v>
      </c>
      <c r="K23" s="35" t="s">
        <v>50</v>
      </c>
      <c r="L23" s="35" t="s">
        <v>50</v>
      </c>
      <c r="M23" s="35" t="s">
        <v>50</v>
      </c>
      <c r="N23" s="35" t="s">
        <v>50</v>
      </c>
      <c r="O23" s="35" t="s">
        <v>50</v>
      </c>
      <c r="P23" s="35"/>
      <c r="Q23" s="35"/>
      <c r="R23" s="35"/>
      <c r="S23" s="35" t="s">
        <v>50</v>
      </c>
      <c r="T23" s="35"/>
      <c r="U23" s="35"/>
      <c r="V23" s="34"/>
    </row>
    <row r="24" spans="1:22" ht="15.6">
      <c r="A24" s="370"/>
      <c r="B24" s="31">
        <v>3.6</v>
      </c>
      <c r="C24" s="35"/>
      <c r="D24" s="35"/>
      <c r="E24" s="35" t="s">
        <v>50</v>
      </c>
      <c r="F24" s="35"/>
      <c r="G24" s="35"/>
      <c r="H24" s="35"/>
      <c r="I24" s="35"/>
      <c r="J24" s="35" t="s">
        <v>50</v>
      </c>
      <c r="K24" s="35" t="s">
        <v>50</v>
      </c>
      <c r="L24" s="35" t="s">
        <v>50</v>
      </c>
      <c r="M24" s="35" t="s">
        <v>50</v>
      </c>
      <c r="N24" s="35"/>
      <c r="O24" s="35" t="s">
        <v>50</v>
      </c>
      <c r="P24" s="35"/>
      <c r="Q24" s="35"/>
      <c r="R24" s="35"/>
      <c r="S24" s="35"/>
      <c r="T24" s="35"/>
      <c r="U24" s="35"/>
      <c r="V24" s="34"/>
    </row>
    <row r="25" spans="1:22" ht="15.6">
      <c r="A25" s="370"/>
      <c r="B25" s="31">
        <v>3.7</v>
      </c>
      <c r="C25" s="35"/>
      <c r="D25" s="35"/>
      <c r="E25" s="35"/>
      <c r="F25" s="35"/>
      <c r="G25" s="35"/>
      <c r="H25" s="35"/>
      <c r="I25" s="35"/>
      <c r="J25" s="35" t="s">
        <v>50</v>
      </c>
      <c r="K25" s="35"/>
      <c r="L25" s="35" t="s">
        <v>50</v>
      </c>
      <c r="M25" s="35"/>
      <c r="N25" s="35"/>
      <c r="O25" s="35"/>
      <c r="P25" s="35"/>
      <c r="Q25" s="35"/>
      <c r="R25" s="35"/>
      <c r="S25" s="35"/>
      <c r="T25" s="35"/>
      <c r="U25" s="35"/>
      <c r="V25" s="34"/>
    </row>
    <row r="26" spans="1:22" ht="15.6">
      <c r="A26" s="370" t="s">
        <v>401</v>
      </c>
      <c r="B26" s="32" t="s">
        <v>57</v>
      </c>
      <c r="C26" s="33" t="s">
        <v>48</v>
      </c>
      <c r="D26" s="35"/>
      <c r="E26" s="35"/>
      <c r="F26" s="35"/>
      <c r="G26" s="35"/>
      <c r="H26" s="35"/>
      <c r="I26" s="35"/>
      <c r="J26" s="35"/>
      <c r="K26" s="33" t="s">
        <v>48</v>
      </c>
      <c r="L26" s="35"/>
      <c r="M26" s="33" t="s">
        <v>48</v>
      </c>
      <c r="N26" s="35"/>
      <c r="O26" s="35"/>
      <c r="P26" s="35"/>
      <c r="Q26" s="33" t="s">
        <v>48</v>
      </c>
      <c r="R26" s="35"/>
      <c r="S26" s="33" t="s">
        <v>48</v>
      </c>
      <c r="T26" s="35"/>
      <c r="U26" s="35"/>
      <c r="V26" s="34"/>
    </row>
    <row r="27" spans="1:22" ht="15.6">
      <c r="A27" s="370"/>
      <c r="B27" s="31">
        <v>4.0999999999999996</v>
      </c>
      <c r="C27" s="35" t="s">
        <v>50</v>
      </c>
      <c r="D27" s="35"/>
      <c r="E27" s="35"/>
      <c r="F27" s="35"/>
      <c r="G27" s="35"/>
      <c r="H27" s="35"/>
      <c r="I27" s="35"/>
      <c r="J27" s="35"/>
      <c r="K27" s="35" t="s">
        <v>50</v>
      </c>
      <c r="L27" s="35"/>
      <c r="M27" s="35" t="s">
        <v>50</v>
      </c>
      <c r="N27" s="35"/>
      <c r="O27" s="35"/>
      <c r="P27" s="35"/>
      <c r="Q27" s="35" t="s">
        <v>50</v>
      </c>
      <c r="R27" s="35"/>
      <c r="S27" s="35" t="s">
        <v>50</v>
      </c>
      <c r="T27" s="35"/>
      <c r="U27" s="35"/>
      <c r="V27" s="34" t="s">
        <v>51</v>
      </c>
    </row>
    <row r="28" spans="1:22" ht="15.6">
      <c r="A28" s="370"/>
      <c r="B28" s="31">
        <v>4.2</v>
      </c>
      <c r="C28" s="35"/>
      <c r="D28" s="35"/>
      <c r="E28" s="35"/>
      <c r="F28" s="35"/>
      <c r="G28" s="35"/>
      <c r="H28" s="35"/>
      <c r="I28" s="35"/>
      <c r="J28" s="35"/>
      <c r="K28" s="35"/>
      <c r="L28" s="35"/>
      <c r="M28" s="35" t="s">
        <v>50</v>
      </c>
      <c r="N28" s="35"/>
      <c r="O28" s="35"/>
      <c r="P28" s="35"/>
      <c r="Q28" s="35"/>
      <c r="R28" s="35"/>
      <c r="S28" s="35" t="s">
        <v>50</v>
      </c>
      <c r="T28" s="35"/>
      <c r="U28" s="35"/>
      <c r="V28" s="34"/>
    </row>
    <row r="29" spans="1:22" ht="15.6">
      <c r="A29" s="370"/>
      <c r="B29" s="31">
        <v>4.3</v>
      </c>
      <c r="C29" s="35"/>
      <c r="D29" s="35"/>
      <c r="E29" s="35"/>
      <c r="F29" s="35"/>
      <c r="G29" s="35"/>
      <c r="H29" s="35"/>
      <c r="I29" s="35"/>
      <c r="J29" s="35"/>
      <c r="K29" s="35"/>
      <c r="L29" s="35"/>
      <c r="M29" s="35" t="s">
        <v>50</v>
      </c>
      <c r="N29" s="35"/>
      <c r="O29" s="35"/>
      <c r="P29" s="35"/>
      <c r="Q29" s="35"/>
      <c r="R29" s="35"/>
      <c r="S29" s="35"/>
      <c r="T29" s="35"/>
      <c r="U29" s="35"/>
      <c r="V29" s="34"/>
    </row>
    <row r="30" spans="1:22" ht="15.6">
      <c r="A30" s="370"/>
      <c r="B30" s="31">
        <v>4.4000000000000004</v>
      </c>
      <c r="C30" s="35"/>
      <c r="D30" s="35"/>
      <c r="E30" s="35"/>
      <c r="F30" s="35"/>
      <c r="G30" s="35"/>
      <c r="H30" s="35"/>
      <c r="I30" s="35"/>
      <c r="J30" s="35"/>
      <c r="K30" s="35"/>
      <c r="L30" s="35"/>
      <c r="M30" s="35" t="s">
        <v>50</v>
      </c>
      <c r="N30" s="35"/>
      <c r="O30" s="35"/>
      <c r="P30" s="35"/>
      <c r="Q30" s="35"/>
      <c r="R30" s="35"/>
      <c r="S30" s="35"/>
      <c r="T30" s="35"/>
      <c r="U30" s="35"/>
      <c r="V30" s="34"/>
    </row>
    <row r="31" spans="1:22" ht="15.6">
      <c r="A31" s="370"/>
      <c r="B31" s="31">
        <v>4.5</v>
      </c>
      <c r="C31" s="35"/>
      <c r="D31" s="35"/>
      <c r="E31" s="35"/>
      <c r="F31" s="35"/>
      <c r="G31" s="35"/>
      <c r="H31" s="35"/>
      <c r="I31" s="35"/>
      <c r="J31" s="35"/>
      <c r="K31" s="35"/>
      <c r="L31" s="35"/>
      <c r="M31" s="35" t="s">
        <v>50</v>
      </c>
      <c r="N31" s="35"/>
      <c r="O31" s="35"/>
      <c r="P31" s="35"/>
      <c r="Q31" s="35"/>
      <c r="R31" s="35"/>
      <c r="S31" s="35"/>
      <c r="T31" s="35"/>
      <c r="U31" s="35"/>
      <c r="V31" s="34"/>
    </row>
    <row r="32" spans="1:22" ht="15.6">
      <c r="A32" s="370" t="s">
        <v>58</v>
      </c>
      <c r="B32" s="32" t="s">
        <v>58</v>
      </c>
      <c r="C32" s="35"/>
      <c r="D32" s="35"/>
      <c r="E32" s="35"/>
      <c r="F32" s="35"/>
      <c r="G32" s="35"/>
      <c r="H32" s="35"/>
      <c r="I32" s="35"/>
      <c r="J32" s="35"/>
      <c r="K32" s="35"/>
      <c r="L32" s="35"/>
      <c r="M32" s="33" t="s">
        <v>48</v>
      </c>
      <c r="N32" s="35"/>
      <c r="O32" s="35"/>
      <c r="P32" s="35"/>
      <c r="Q32" s="35"/>
      <c r="R32" s="35"/>
      <c r="S32" s="33" t="s">
        <v>48</v>
      </c>
      <c r="T32" s="35"/>
      <c r="U32" s="35"/>
      <c r="V32" s="34"/>
    </row>
    <row r="33" spans="1:22" ht="15.6">
      <c r="A33" s="370"/>
      <c r="B33" s="31">
        <v>5.0999999999999996</v>
      </c>
      <c r="C33" s="35"/>
      <c r="D33" s="35"/>
      <c r="E33" s="35"/>
      <c r="F33" s="35"/>
      <c r="G33" s="35"/>
      <c r="H33" s="35"/>
      <c r="I33" s="35"/>
      <c r="J33" s="35"/>
      <c r="K33" s="35"/>
      <c r="L33" s="35"/>
      <c r="M33" s="35" t="s">
        <v>50</v>
      </c>
      <c r="N33" s="35"/>
      <c r="O33" s="35"/>
      <c r="P33" s="35"/>
      <c r="Q33" s="35"/>
      <c r="R33" s="35"/>
      <c r="S33" s="35" t="s">
        <v>50</v>
      </c>
      <c r="T33" s="35"/>
      <c r="U33" s="35"/>
      <c r="V33" s="34"/>
    </row>
    <row r="34" spans="1:22" ht="15.6">
      <c r="A34" s="370"/>
      <c r="B34" s="31">
        <v>5.2</v>
      </c>
      <c r="C34" s="35"/>
      <c r="D34" s="35"/>
      <c r="E34" s="35"/>
      <c r="F34" s="35"/>
      <c r="G34" s="35"/>
      <c r="H34" s="35"/>
      <c r="I34" s="35"/>
      <c r="J34" s="35"/>
      <c r="K34" s="35"/>
      <c r="L34" s="35"/>
      <c r="M34" s="35" t="s">
        <v>50</v>
      </c>
      <c r="N34" s="35"/>
      <c r="O34" s="35"/>
      <c r="P34" s="35"/>
      <c r="Q34" s="35"/>
      <c r="R34" s="35"/>
      <c r="S34" s="35"/>
      <c r="T34" s="35"/>
      <c r="U34" s="35"/>
      <c r="V34" s="34"/>
    </row>
    <row r="35" spans="1:22" ht="15.6">
      <c r="A35" s="370"/>
      <c r="B35" s="31">
        <v>5.3</v>
      </c>
      <c r="C35" s="35"/>
      <c r="D35" s="35"/>
      <c r="E35" s="35"/>
      <c r="F35" s="35"/>
      <c r="G35" s="35"/>
      <c r="H35" s="35"/>
      <c r="I35" s="35"/>
      <c r="J35" s="35"/>
      <c r="K35" s="35"/>
      <c r="L35" s="35"/>
      <c r="M35" s="35" t="s">
        <v>50</v>
      </c>
      <c r="N35" s="35"/>
      <c r="O35" s="35"/>
      <c r="P35" s="35"/>
      <c r="Q35" s="35"/>
      <c r="R35" s="35"/>
      <c r="S35" s="35"/>
      <c r="T35" s="35"/>
      <c r="U35" s="35"/>
      <c r="V35" s="34"/>
    </row>
  </sheetData>
  <mergeCells count="13">
    <mergeCell ref="A32:A35"/>
    <mergeCell ref="P2:R2"/>
    <mergeCell ref="S2:U2"/>
    <mergeCell ref="A4:A8"/>
    <mergeCell ref="A9:A17"/>
    <mergeCell ref="A18:A25"/>
    <mergeCell ref="A26:A31"/>
    <mergeCell ref="A2:A3"/>
    <mergeCell ref="B2:B3"/>
    <mergeCell ref="C2:D2"/>
    <mergeCell ref="E2:F2"/>
    <mergeCell ref="G2:J2"/>
    <mergeCell ref="K2:M2"/>
  </mergeCells>
  <phoneticPr fontId="72" type="noConversion"/>
  <conditionalFormatting sqref="V4:V35">
    <cfRule type="cellIs" dxfId="294" priority="31" operator="equal">
      <formula>"S"</formula>
    </cfRule>
    <cfRule type="cellIs" dxfId="293" priority="32" stopIfTrue="1" operator="equal">
      <formula>"FM"</formula>
    </cfRule>
    <cfRule type="cellIs" dxfId="292" priority="33" stopIfTrue="1" operator="equal">
      <formula>"LM"</formula>
    </cfRule>
    <cfRule type="cellIs" dxfId="291" priority="34" stopIfTrue="1" operator="equal">
      <formula>"PM"</formula>
    </cfRule>
    <cfRule type="cellIs" dxfId="290" priority="35" stopIfTrue="1" operator="equal">
      <formula>"DM"</formula>
    </cfRule>
  </conditionalFormatting>
  <conditionalFormatting sqref="B4">
    <cfRule type="cellIs" dxfId="289" priority="26" operator="equal">
      <formula>"S"</formula>
    </cfRule>
    <cfRule type="cellIs" dxfId="288" priority="27" stopIfTrue="1" operator="equal">
      <formula>"FM"</formula>
    </cfRule>
    <cfRule type="cellIs" dxfId="287" priority="28" stopIfTrue="1" operator="equal">
      <formula>"LM"</formula>
    </cfRule>
    <cfRule type="cellIs" dxfId="286" priority="29" stopIfTrue="1" operator="equal">
      <formula>"PM"</formula>
    </cfRule>
    <cfRule type="cellIs" dxfId="285" priority="30" stopIfTrue="1" operator="equal">
      <formula>"DM"</formula>
    </cfRule>
  </conditionalFormatting>
  <conditionalFormatting sqref="B9">
    <cfRule type="cellIs" dxfId="284" priority="21" operator="equal">
      <formula>"S"</formula>
    </cfRule>
    <cfRule type="cellIs" dxfId="283" priority="22" stopIfTrue="1" operator="equal">
      <formula>"FM"</formula>
    </cfRule>
    <cfRule type="cellIs" dxfId="282" priority="23" stopIfTrue="1" operator="equal">
      <formula>"LM"</formula>
    </cfRule>
    <cfRule type="cellIs" dxfId="281" priority="24" stopIfTrue="1" operator="equal">
      <formula>"PM"</formula>
    </cfRule>
    <cfRule type="cellIs" dxfId="280" priority="25" stopIfTrue="1" operator="equal">
      <formula>"DM"</formula>
    </cfRule>
  </conditionalFormatting>
  <conditionalFormatting sqref="B18">
    <cfRule type="cellIs" dxfId="279" priority="16" operator="equal">
      <formula>"S"</formula>
    </cfRule>
    <cfRule type="cellIs" dxfId="278" priority="17" stopIfTrue="1" operator="equal">
      <formula>"FM"</formula>
    </cfRule>
    <cfRule type="cellIs" dxfId="277" priority="18" stopIfTrue="1" operator="equal">
      <formula>"LM"</formula>
    </cfRule>
    <cfRule type="cellIs" dxfId="276" priority="19" stopIfTrue="1" operator="equal">
      <formula>"PM"</formula>
    </cfRule>
    <cfRule type="cellIs" dxfId="275" priority="20" stopIfTrue="1" operator="equal">
      <formula>"DM"</formula>
    </cfRule>
  </conditionalFormatting>
  <conditionalFormatting sqref="B26">
    <cfRule type="cellIs" dxfId="274" priority="11" operator="equal">
      <formula>"S"</formula>
    </cfRule>
    <cfRule type="cellIs" dxfId="273" priority="12" stopIfTrue="1" operator="equal">
      <formula>"FM"</formula>
    </cfRule>
    <cfRule type="cellIs" dxfId="272" priority="13" stopIfTrue="1" operator="equal">
      <formula>"LM"</formula>
    </cfRule>
    <cfRule type="cellIs" dxfId="271" priority="14" stopIfTrue="1" operator="equal">
      <formula>"PM"</formula>
    </cfRule>
    <cfRule type="cellIs" dxfId="270" priority="15" stopIfTrue="1" operator="equal">
      <formula>"DM"</formula>
    </cfRule>
  </conditionalFormatting>
  <conditionalFormatting sqref="B32">
    <cfRule type="cellIs" dxfId="269" priority="6" operator="equal">
      <formula>"S"</formula>
    </cfRule>
    <cfRule type="cellIs" dxfId="268" priority="7" stopIfTrue="1" operator="equal">
      <formula>"FM"</formula>
    </cfRule>
    <cfRule type="cellIs" dxfId="267" priority="8" stopIfTrue="1" operator="equal">
      <formula>"LM"</formula>
    </cfRule>
    <cfRule type="cellIs" dxfId="266" priority="9" stopIfTrue="1" operator="equal">
      <formula>"PM"</formula>
    </cfRule>
    <cfRule type="cellIs" dxfId="265" priority="10" stopIfTrue="1" operator="equal">
      <formula>"DM"</formula>
    </cfRule>
  </conditionalFormatting>
  <conditionalFormatting sqref="C4:U35">
    <cfRule type="cellIs" dxfId="264" priority="1" operator="equal">
      <formula>"S"</formula>
    </cfRule>
    <cfRule type="cellIs" dxfId="263" priority="2" stopIfTrue="1" operator="equal">
      <formula>"FM"</formula>
    </cfRule>
    <cfRule type="cellIs" dxfId="262" priority="3" stopIfTrue="1" operator="equal">
      <formula>"LM"</formula>
    </cfRule>
    <cfRule type="cellIs" dxfId="261" priority="4" stopIfTrue="1" operator="equal">
      <formula>"PM"</formula>
    </cfRule>
    <cfRule type="cellIs" dxfId="260" priority="5" stopIfTrue="1" operator="equal">
      <formula>"DM"</formula>
    </cfRule>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92F1-5891-41F7-97C4-B9C1A9D2F1B1}">
  <sheetPr codeName="Sheet4">
    <pageSetUpPr fitToPage="1"/>
  </sheetPr>
  <dimension ref="A1:V76"/>
  <sheetViews>
    <sheetView zoomScale="70" zoomScaleNormal="70" workbookViewId="0">
      <selection activeCell="F14" sqref="F14"/>
    </sheetView>
  </sheetViews>
  <sheetFormatPr defaultColWidth="8.6640625" defaultRowHeight="14.4"/>
  <cols>
    <col min="1" max="21" width="8.6640625" style="29"/>
    <col min="22" max="22" width="8.6640625" style="29" hidden="1" customWidth="1"/>
    <col min="23" max="16384" width="8.6640625" style="29"/>
  </cols>
  <sheetData>
    <row r="1" spans="1:22" s="36" customFormat="1" ht="18">
      <c r="A1" s="36" t="s">
        <v>59</v>
      </c>
    </row>
    <row r="2" spans="1:22" ht="93.6">
      <c r="A2" s="373" t="s">
        <v>16</v>
      </c>
      <c r="B2" s="373" t="s">
        <v>17</v>
      </c>
      <c r="C2" s="371" t="s">
        <v>18</v>
      </c>
      <c r="D2" s="371"/>
      <c r="E2" s="372" t="s">
        <v>19</v>
      </c>
      <c r="F2" s="372"/>
      <c r="G2" s="371" t="s">
        <v>20</v>
      </c>
      <c r="H2" s="371"/>
      <c r="I2" s="371"/>
      <c r="J2" s="371"/>
      <c r="K2" s="372" t="s">
        <v>21</v>
      </c>
      <c r="L2" s="372"/>
      <c r="M2" s="372"/>
      <c r="N2" s="26" t="s">
        <v>22</v>
      </c>
      <c r="O2" s="27" t="s">
        <v>23</v>
      </c>
      <c r="P2" s="371" t="s">
        <v>24</v>
      </c>
      <c r="Q2" s="371"/>
      <c r="R2" s="371"/>
      <c r="S2" s="372" t="s">
        <v>25</v>
      </c>
      <c r="T2" s="372"/>
      <c r="U2" s="372"/>
      <c r="V2" s="28" t="s">
        <v>26</v>
      </c>
    </row>
    <row r="3" spans="1:22" ht="15.6">
      <c r="A3" s="373"/>
      <c r="B3" s="373"/>
      <c r="C3" s="30" t="s">
        <v>27</v>
      </c>
      <c r="D3" s="30" t="s">
        <v>28</v>
      </c>
      <c r="E3" s="31" t="s">
        <v>29</v>
      </c>
      <c r="F3" s="31" t="s">
        <v>30</v>
      </c>
      <c r="G3" s="30" t="s">
        <v>31</v>
      </c>
      <c r="H3" s="30" t="s">
        <v>32</v>
      </c>
      <c r="I3" s="30" t="s">
        <v>33</v>
      </c>
      <c r="J3" s="30" t="s">
        <v>34</v>
      </c>
      <c r="K3" s="31" t="s">
        <v>35</v>
      </c>
      <c r="L3" s="31" t="s">
        <v>36</v>
      </c>
      <c r="M3" s="31" t="s">
        <v>37</v>
      </c>
      <c r="N3" s="30" t="s">
        <v>38</v>
      </c>
      <c r="O3" s="31" t="s">
        <v>39</v>
      </c>
      <c r="P3" s="30" t="s">
        <v>40</v>
      </c>
      <c r="Q3" s="30" t="s">
        <v>41</v>
      </c>
      <c r="R3" s="30" t="s">
        <v>42</v>
      </c>
      <c r="S3" s="31" t="s">
        <v>43</v>
      </c>
      <c r="T3" s="31" t="s">
        <v>44</v>
      </c>
      <c r="U3" s="31" t="s">
        <v>45</v>
      </c>
      <c r="V3" s="28" t="s">
        <v>46</v>
      </c>
    </row>
    <row r="4" spans="1:22" ht="15.6">
      <c r="A4" s="370" t="s">
        <v>400</v>
      </c>
      <c r="B4" s="32" t="s">
        <v>47</v>
      </c>
      <c r="C4" s="33" t="str">
        <f>'ou-gov&amp;ii'!C4</f>
        <v>S</v>
      </c>
      <c r="D4" s="33" t="str">
        <f>'ou-gov&amp;ii'!K4</f>
        <v>S</v>
      </c>
      <c r="E4" s="33"/>
      <c r="F4" s="33"/>
      <c r="G4" s="33"/>
      <c r="H4" s="33"/>
      <c r="I4" s="33"/>
      <c r="J4" s="33"/>
      <c r="K4" s="33"/>
      <c r="L4" s="33"/>
      <c r="M4" s="33"/>
      <c r="N4" s="33"/>
      <c r="O4" s="33"/>
      <c r="P4" s="33"/>
      <c r="Q4" s="33"/>
      <c r="R4" s="33"/>
      <c r="S4" s="33"/>
      <c r="T4" s="33"/>
      <c r="U4" s="33"/>
      <c r="V4" s="34" t="s">
        <v>49</v>
      </c>
    </row>
    <row r="5" spans="1:22" ht="15.6">
      <c r="A5" s="370"/>
      <c r="B5" s="31">
        <v>1.1000000000000001</v>
      </c>
      <c r="C5" s="33" t="str">
        <f>'ou-gov&amp;ii'!C5</f>
        <v>FM</v>
      </c>
      <c r="D5" s="33" t="str">
        <f>'ou-gov&amp;ii'!K5</f>
        <v>FM</v>
      </c>
      <c r="E5" s="35"/>
      <c r="F5" s="35"/>
      <c r="G5" s="35"/>
      <c r="H5" s="35"/>
      <c r="I5" s="35"/>
      <c r="J5" s="35"/>
      <c r="K5" s="35"/>
      <c r="L5" s="35"/>
      <c r="M5" s="35"/>
      <c r="N5" s="35"/>
      <c r="O5" s="35"/>
      <c r="P5" s="35"/>
      <c r="Q5" s="35"/>
      <c r="R5" s="35"/>
      <c r="S5" s="35"/>
      <c r="T5" s="35"/>
      <c r="U5" s="35"/>
      <c r="V5" s="34" t="s">
        <v>51</v>
      </c>
    </row>
    <row r="6" spans="1:22" ht="15.6">
      <c r="A6" s="370"/>
      <c r="B6" s="31">
        <v>1.2</v>
      </c>
      <c r="C6" s="33"/>
      <c r="D6" s="33"/>
      <c r="E6" s="35"/>
      <c r="F6" s="35"/>
      <c r="G6" s="35"/>
      <c r="H6" s="35"/>
      <c r="I6" s="35"/>
      <c r="J6" s="35"/>
      <c r="K6" s="35"/>
      <c r="L6" s="35"/>
      <c r="M6" s="35"/>
      <c r="N6" s="35"/>
      <c r="O6" s="35"/>
      <c r="P6" s="35"/>
      <c r="Q6" s="35"/>
      <c r="R6" s="35"/>
      <c r="S6" s="35"/>
      <c r="T6" s="35"/>
      <c r="U6" s="35"/>
      <c r="V6" s="34" t="s">
        <v>52</v>
      </c>
    </row>
    <row r="7" spans="1:22" ht="15.6">
      <c r="A7" s="370"/>
      <c r="B7" s="31">
        <v>1.3</v>
      </c>
      <c r="C7" s="33"/>
      <c r="D7" s="33"/>
      <c r="E7" s="35"/>
      <c r="F7" s="35"/>
      <c r="G7" s="35"/>
      <c r="H7" s="35"/>
      <c r="I7" s="35"/>
      <c r="J7" s="35"/>
      <c r="K7" s="35"/>
      <c r="L7" s="35"/>
      <c r="M7" s="35"/>
      <c r="N7" s="35"/>
      <c r="O7" s="35"/>
      <c r="P7" s="35"/>
      <c r="Q7" s="35"/>
      <c r="R7" s="35"/>
      <c r="S7" s="35"/>
      <c r="T7" s="35"/>
      <c r="U7" s="35"/>
      <c r="V7" s="34" t="s">
        <v>53</v>
      </c>
    </row>
    <row r="8" spans="1:22" ht="15.6" hidden="1">
      <c r="A8" s="370"/>
      <c r="B8" s="31">
        <v>1.4</v>
      </c>
      <c r="C8" s="33">
        <f>'ou-gov&amp;ii'!C8</f>
        <v>0</v>
      </c>
      <c r="D8" s="33">
        <f>'ou-gov&amp;ii'!K8</f>
        <v>0</v>
      </c>
      <c r="E8" s="35"/>
      <c r="F8" s="35"/>
      <c r="G8" s="35"/>
      <c r="H8" s="35"/>
      <c r="I8" s="35"/>
      <c r="J8" s="35"/>
      <c r="K8" s="35"/>
      <c r="L8" s="35"/>
      <c r="M8" s="35"/>
      <c r="N8" s="35"/>
      <c r="O8" s="35"/>
      <c r="P8" s="35"/>
      <c r="Q8" s="35"/>
      <c r="R8" s="35"/>
      <c r="S8" s="35"/>
      <c r="T8" s="35"/>
      <c r="U8" s="35"/>
      <c r="V8" s="34" t="s">
        <v>53</v>
      </c>
    </row>
    <row r="9" spans="1:22" ht="15.6">
      <c r="A9" s="370" t="s">
        <v>54</v>
      </c>
      <c r="B9" s="32" t="s">
        <v>54</v>
      </c>
      <c r="C9" s="33" t="str">
        <f>'ou-gov&amp;ii'!C9</f>
        <v>S</v>
      </c>
      <c r="D9" s="33" t="str">
        <f>'ou-gov&amp;ii'!K9</f>
        <v>S</v>
      </c>
      <c r="E9" s="33"/>
      <c r="F9" s="33"/>
      <c r="G9" s="33"/>
      <c r="H9" s="33"/>
      <c r="I9" s="33"/>
      <c r="J9" s="33"/>
      <c r="K9" s="33"/>
      <c r="L9" s="33"/>
      <c r="M9" s="33"/>
      <c r="N9" s="33"/>
      <c r="O9" s="33"/>
      <c r="P9" s="33"/>
      <c r="Q9" s="33"/>
      <c r="R9" s="33"/>
      <c r="S9" s="33"/>
      <c r="T9" s="33"/>
      <c r="U9" s="33"/>
      <c r="V9" s="34"/>
    </row>
    <row r="10" spans="1:22" ht="15.6">
      <c r="A10" s="370"/>
      <c r="B10" s="31">
        <v>2.1</v>
      </c>
      <c r="C10" s="33" t="str">
        <f>'ou-gov&amp;ii'!C10</f>
        <v>FM</v>
      </c>
      <c r="D10" s="33" t="str">
        <f>'ou-gov&amp;ii'!K10</f>
        <v>FM</v>
      </c>
      <c r="E10" s="35"/>
      <c r="F10" s="35"/>
      <c r="G10" s="35"/>
      <c r="H10" s="35"/>
      <c r="I10" s="35"/>
      <c r="J10" s="35"/>
      <c r="K10" s="35"/>
      <c r="L10" s="35"/>
      <c r="M10" s="35"/>
      <c r="N10" s="35"/>
      <c r="O10" s="35"/>
      <c r="P10" s="35"/>
      <c r="Q10" s="35"/>
      <c r="R10" s="35"/>
      <c r="S10" s="35"/>
      <c r="T10" s="35"/>
      <c r="U10" s="35"/>
      <c r="V10" s="34" t="s">
        <v>51</v>
      </c>
    </row>
    <row r="11" spans="1:22" ht="15.6">
      <c r="A11" s="370"/>
      <c r="B11" s="31">
        <v>2.2000000000000002</v>
      </c>
      <c r="C11" s="33" t="str">
        <f>'ou-gov&amp;ii'!C11</f>
        <v>FM</v>
      </c>
      <c r="D11" s="33" t="str">
        <f>'ou-gov&amp;ii'!K11</f>
        <v>FM</v>
      </c>
      <c r="E11" s="35"/>
      <c r="F11" s="35"/>
      <c r="G11" s="35"/>
      <c r="H11" s="35"/>
      <c r="I11" s="35"/>
      <c r="J11" s="35"/>
      <c r="K11" s="35"/>
      <c r="L11" s="35"/>
      <c r="M11" s="35"/>
      <c r="N11" s="35"/>
      <c r="O11" s="35"/>
      <c r="P11" s="35"/>
      <c r="Q11" s="35"/>
      <c r="R11" s="35"/>
      <c r="S11" s="35"/>
      <c r="T11" s="35"/>
      <c r="U11" s="35"/>
      <c r="V11" s="34" t="s">
        <v>51</v>
      </c>
    </row>
    <row r="12" spans="1:22" ht="15.6">
      <c r="A12" s="370"/>
      <c r="B12" s="31">
        <v>2.2999999999999998</v>
      </c>
      <c r="C12" s="33" t="str">
        <f>'ou-gov&amp;ii'!C12</f>
        <v>FM</v>
      </c>
      <c r="D12" s="33"/>
      <c r="E12" s="35"/>
      <c r="F12" s="35"/>
      <c r="G12" s="35"/>
      <c r="H12" s="35"/>
      <c r="I12" s="35"/>
      <c r="J12" s="35"/>
      <c r="K12" s="35"/>
      <c r="L12" s="35"/>
      <c r="M12" s="35"/>
      <c r="N12" s="35"/>
      <c r="O12" s="35"/>
      <c r="P12" s="35"/>
      <c r="Q12" s="35"/>
      <c r="R12" s="35"/>
      <c r="S12" s="35"/>
      <c r="T12" s="35"/>
      <c r="U12" s="35"/>
      <c r="V12" s="34" t="s">
        <v>55</v>
      </c>
    </row>
    <row r="13" spans="1:22" ht="15.6">
      <c r="A13" s="370"/>
      <c r="B13" s="31">
        <v>2.4</v>
      </c>
      <c r="C13" s="33" t="str">
        <f>'ou-gov&amp;ii'!C13</f>
        <v>FM</v>
      </c>
      <c r="D13" s="33"/>
      <c r="E13" s="35"/>
      <c r="F13" s="35"/>
      <c r="G13" s="35"/>
      <c r="H13" s="35"/>
      <c r="I13" s="35"/>
      <c r="J13" s="35"/>
      <c r="K13" s="35"/>
      <c r="L13" s="35"/>
      <c r="M13" s="35"/>
      <c r="N13" s="35"/>
      <c r="O13" s="35"/>
      <c r="P13" s="35"/>
      <c r="Q13" s="35"/>
      <c r="R13" s="35"/>
      <c r="S13" s="35"/>
      <c r="T13" s="35"/>
      <c r="U13" s="35"/>
      <c r="V13" s="34" t="s">
        <v>53</v>
      </c>
    </row>
    <row r="14" spans="1:22" ht="15.6">
      <c r="A14" s="370"/>
      <c r="B14" s="31">
        <v>2.5</v>
      </c>
      <c r="C14" s="33"/>
      <c r="D14" s="33"/>
      <c r="E14" s="35"/>
      <c r="F14" s="35"/>
      <c r="G14" s="35"/>
      <c r="H14" s="35"/>
      <c r="I14" s="35"/>
      <c r="J14" s="35"/>
      <c r="K14" s="35"/>
      <c r="L14" s="35"/>
      <c r="M14" s="35"/>
      <c r="N14" s="35"/>
      <c r="O14" s="35"/>
      <c r="P14" s="35"/>
      <c r="Q14" s="35"/>
      <c r="R14" s="35"/>
      <c r="S14" s="35"/>
      <c r="T14" s="35"/>
      <c r="U14" s="35"/>
      <c r="V14" s="34"/>
    </row>
    <row r="15" spans="1:22" ht="15.6">
      <c r="A15" s="370"/>
      <c r="B15" s="31">
        <v>2.6</v>
      </c>
      <c r="C15" s="33"/>
      <c r="D15" s="33"/>
      <c r="E15" s="35"/>
      <c r="F15" s="35"/>
      <c r="G15" s="35"/>
      <c r="H15" s="35"/>
      <c r="I15" s="35"/>
      <c r="J15" s="35"/>
      <c r="K15" s="35"/>
      <c r="L15" s="35"/>
      <c r="M15" s="35"/>
      <c r="N15" s="35"/>
      <c r="O15" s="35"/>
      <c r="P15" s="35"/>
      <c r="Q15" s="35"/>
      <c r="R15" s="35"/>
      <c r="S15" s="35"/>
      <c r="T15" s="35"/>
      <c r="U15" s="35"/>
      <c r="V15" s="34"/>
    </row>
    <row r="16" spans="1:22" ht="15.6">
      <c r="A16" s="370"/>
      <c r="B16" s="31">
        <v>2.7</v>
      </c>
      <c r="C16" s="33"/>
      <c r="D16" s="33"/>
      <c r="E16" s="35"/>
      <c r="F16" s="35"/>
      <c r="G16" s="35"/>
      <c r="H16" s="35"/>
      <c r="I16" s="35"/>
      <c r="J16" s="35"/>
      <c r="K16" s="35"/>
      <c r="L16" s="35"/>
      <c r="M16" s="35"/>
      <c r="N16" s="35"/>
      <c r="O16" s="35"/>
      <c r="P16" s="35"/>
      <c r="Q16" s="35"/>
      <c r="R16" s="35"/>
      <c r="S16" s="35"/>
      <c r="T16" s="35"/>
      <c r="U16" s="35"/>
      <c r="V16" s="34"/>
    </row>
    <row r="17" spans="1:22" ht="15.6">
      <c r="A17" s="370"/>
      <c r="B17" s="31">
        <v>2.8</v>
      </c>
      <c r="C17" s="33"/>
      <c r="D17" s="33"/>
      <c r="E17" s="35"/>
      <c r="F17" s="35"/>
      <c r="G17" s="35"/>
      <c r="H17" s="35"/>
      <c r="I17" s="35"/>
      <c r="J17" s="35"/>
      <c r="K17" s="35"/>
      <c r="L17" s="35"/>
      <c r="M17" s="35"/>
      <c r="N17" s="35"/>
      <c r="O17" s="35"/>
      <c r="P17" s="35"/>
      <c r="Q17" s="35"/>
      <c r="R17" s="35"/>
      <c r="S17" s="35"/>
      <c r="T17" s="35"/>
      <c r="U17" s="35"/>
      <c r="V17" s="34"/>
    </row>
    <row r="18" spans="1:22" ht="15.6">
      <c r="A18" s="370" t="s">
        <v>56</v>
      </c>
      <c r="B18" s="32" t="s">
        <v>56</v>
      </c>
      <c r="C18" s="33" t="str">
        <f>'ou-gov&amp;ii'!C18</f>
        <v>S</v>
      </c>
      <c r="D18" s="33" t="str">
        <f>'ou-gov&amp;ii'!K18</f>
        <v>S</v>
      </c>
      <c r="E18" s="33"/>
      <c r="F18" s="33"/>
      <c r="G18" s="33"/>
      <c r="H18" s="33"/>
      <c r="I18" s="33"/>
      <c r="J18" s="33"/>
      <c r="K18" s="33"/>
      <c r="L18" s="33"/>
      <c r="M18" s="33"/>
      <c r="N18" s="33"/>
      <c r="O18" s="33"/>
      <c r="P18" s="33"/>
      <c r="Q18" s="33"/>
      <c r="R18" s="33"/>
      <c r="S18" s="33"/>
      <c r="T18" s="33"/>
      <c r="U18" s="35"/>
      <c r="V18" s="34"/>
    </row>
    <row r="19" spans="1:22" ht="15.6">
      <c r="A19" s="370"/>
      <c r="B19" s="31">
        <v>3.1</v>
      </c>
      <c r="C19" s="33" t="str">
        <f>'ou-gov&amp;ii'!C19</f>
        <v>FM</v>
      </c>
      <c r="D19" s="33" t="str">
        <f>'ou-gov&amp;ii'!K19</f>
        <v>FM</v>
      </c>
      <c r="E19" s="35"/>
      <c r="F19" s="35"/>
      <c r="G19" s="35"/>
      <c r="H19" s="35"/>
      <c r="I19" s="35"/>
      <c r="J19" s="35"/>
      <c r="K19" s="35"/>
      <c r="L19" s="35"/>
      <c r="M19" s="35"/>
      <c r="N19" s="35"/>
      <c r="O19" s="35"/>
      <c r="P19" s="35"/>
      <c r="Q19" s="35"/>
      <c r="R19" s="35"/>
      <c r="S19" s="35"/>
      <c r="T19" s="35"/>
      <c r="U19" s="35"/>
      <c r="V19" s="34" t="s">
        <v>51</v>
      </c>
    </row>
    <row r="20" spans="1:22" ht="15.6">
      <c r="A20" s="370"/>
      <c r="B20" s="31">
        <v>3.2</v>
      </c>
      <c r="C20" s="33" t="str">
        <f>'ou-gov&amp;ii'!C20</f>
        <v>FM</v>
      </c>
      <c r="D20" s="33" t="str">
        <f>'ou-gov&amp;ii'!K20</f>
        <v>FM</v>
      </c>
      <c r="E20" s="35"/>
      <c r="F20" s="35"/>
      <c r="G20" s="35"/>
      <c r="H20" s="35"/>
      <c r="I20" s="35"/>
      <c r="J20" s="35"/>
      <c r="K20" s="35"/>
      <c r="L20" s="35"/>
      <c r="M20" s="35"/>
      <c r="N20" s="35"/>
      <c r="O20" s="35"/>
      <c r="P20" s="35"/>
      <c r="Q20" s="35"/>
      <c r="R20" s="35"/>
      <c r="S20" s="35"/>
      <c r="T20" s="35"/>
      <c r="U20" s="35"/>
      <c r="V20" s="34" t="s">
        <v>51</v>
      </c>
    </row>
    <row r="21" spans="1:22" ht="15.6">
      <c r="A21" s="370"/>
      <c r="B21" s="31">
        <v>3.3</v>
      </c>
      <c r="C21" s="33"/>
      <c r="D21" s="33" t="str">
        <f>'ou-gov&amp;ii'!K21</f>
        <v>FM</v>
      </c>
      <c r="E21" s="35"/>
      <c r="F21" s="35"/>
      <c r="G21" s="35"/>
      <c r="H21" s="35"/>
      <c r="I21" s="35"/>
      <c r="J21" s="35"/>
      <c r="K21" s="35"/>
      <c r="L21" s="35"/>
      <c r="M21" s="35"/>
      <c r="N21" s="35"/>
      <c r="O21" s="35"/>
      <c r="P21" s="35"/>
      <c r="Q21" s="35"/>
      <c r="R21" s="35"/>
      <c r="S21" s="35"/>
      <c r="T21" s="35"/>
      <c r="U21" s="35"/>
      <c r="V21" s="34"/>
    </row>
    <row r="22" spans="1:22" ht="15.6">
      <c r="A22" s="370"/>
      <c r="B22" s="31">
        <v>3.4</v>
      </c>
      <c r="C22" s="33"/>
      <c r="D22" s="33"/>
      <c r="E22" s="35"/>
      <c r="F22" s="35"/>
      <c r="G22" s="35"/>
      <c r="H22" s="35"/>
      <c r="I22" s="35"/>
      <c r="J22" s="35"/>
      <c r="K22" s="35"/>
      <c r="L22" s="35"/>
      <c r="M22" s="35"/>
      <c r="N22" s="35"/>
      <c r="O22" s="35"/>
      <c r="P22" s="35"/>
      <c r="Q22" s="35"/>
      <c r="R22" s="35"/>
      <c r="S22" s="35"/>
      <c r="T22" s="35"/>
      <c r="U22" s="35"/>
      <c r="V22" s="34"/>
    </row>
    <row r="23" spans="1:22" ht="15.6">
      <c r="A23" s="370"/>
      <c r="B23" s="31">
        <v>3.5</v>
      </c>
      <c r="C23" s="33"/>
      <c r="D23" s="33"/>
      <c r="E23" s="35"/>
      <c r="F23" s="35"/>
      <c r="G23" s="35"/>
      <c r="H23" s="35"/>
      <c r="I23" s="35"/>
      <c r="J23" s="35"/>
      <c r="K23" s="35"/>
      <c r="L23" s="35"/>
      <c r="M23" s="35"/>
      <c r="N23" s="35"/>
      <c r="O23" s="35"/>
      <c r="P23" s="35"/>
      <c r="Q23" s="35"/>
      <c r="R23" s="35"/>
      <c r="S23" s="35"/>
      <c r="T23" s="35"/>
      <c r="U23" s="35"/>
      <c r="V23" s="34"/>
    </row>
    <row r="24" spans="1:22" ht="15.6">
      <c r="A24" s="370"/>
      <c r="B24" s="31">
        <v>3.6</v>
      </c>
      <c r="C24" s="33"/>
      <c r="D24" s="33"/>
      <c r="E24" s="35"/>
      <c r="F24" s="35"/>
      <c r="G24" s="35"/>
      <c r="H24" s="35"/>
      <c r="I24" s="35"/>
      <c r="J24" s="35"/>
      <c r="K24" s="35"/>
      <c r="L24" s="35"/>
      <c r="M24" s="35"/>
      <c r="N24" s="35"/>
      <c r="O24" s="35"/>
      <c r="P24" s="35"/>
      <c r="Q24" s="35"/>
      <c r="R24" s="35"/>
      <c r="S24" s="35"/>
      <c r="T24" s="35"/>
      <c r="U24" s="35"/>
      <c r="V24" s="34"/>
    </row>
    <row r="25" spans="1:22" ht="15.6">
      <c r="A25" s="370"/>
      <c r="B25" s="31">
        <v>3.7</v>
      </c>
      <c r="C25" s="33"/>
      <c r="D25" s="33"/>
      <c r="E25" s="35"/>
      <c r="F25" s="35"/>
      <c r="G25" s="35"/>
      <c r="H25" s="35"/>
      <c r="I25" s="35"/>
      <c r="J25" s="35"/>
      <c r="K25" s="35"/>
      <c r="L25" s="35"/>
      <c r="M25" s="35"/>
      <c r="N25" s="35"/>
      <c r="O25" s="35"/>
      <c r="P25" s="35"/>
      <c r="Q25" s="35"/>
      <c r="R25" s="35"/>
      <c r="S25" s="35"/>
      <c r="T25" s="35"/>
      <c r="U25" s="35"/>
      <c r="V25" s="34"/>
    </row>
    <row r="26" spans="1:22" ht="15.6">
      <c r="A26" s="370" t="s">
        <v>401</v>
      </c>
      <c r="B26" s="32" t="s">
        <v>57</v>
      </c>
      <c r="C26" s="33" t="str">
        <f>'ou-gov&amp;ii'!C26</f>
        <v>S</v>
      </c>
      <c r="D26" s="33"/>
      <c r="E26" s="35"/>
      <c r="F26" s="35"/>
      <c r="G26" s="35"/>
      <c r="H26" s="35"/>
      <c r="I26" s="35"/>
      <c r="J26" s="35"/>
      <c r="K26" s="33"/>
      <c r="L26" s="35"/>
      <c r="M26" s="33"/>
      <c r="N26" s="35"/>
      <c r="O26" s="35"/>
      <c r="P26" s="35"/>
      <c r="Q26" s="33"/>
      <c r="R26" s="35"/>
      <c r="S26" s="33"/>
      <c r="T26" s="35"/>
      <c r="U26" s="35"/>
      <c r="V26" s="34"/>
    </row>
    <row r="27" spans="1:22" ht="15.6">
      <c r="A27" s="370"/>
      <c r="B27" s="31">
        <v>4.0999999999999996</v>
      </c>
      <c r="C27" s="33" t="str">
        <f>'ou-gov&amp;ii'!C27</f>
        <v>FM</v>
      </c>
      <c r="D27" s="33"/>
      <c r="E27" s="35"/>
      <c r="F27" s="35"/>
      <c r="G27" s="35"/>
      <c r="H27" s="35"/>
      <c r="I27" s="35"/>
      <c r="J27" s="35"/>
      <c r="K27" s="35"/>
      <c r="L27" s="35"/>
      <c r="M27" s="35"/>
      <c r="N27" s="35"/>
      <c r="O27" s="35"/>
      <c r="P27" s="35"/>
      <c r="Q27" s="35"/>
      <c r="R27" s="35"/>
      <c r="S27" s="35"/>
      <c r="T27" s="35"/>
      <c r="U27" s="35"/>
      <c r="V27" s="34" t="s">
        <v>51</v>
      </c>
    </row>
    <row r="28" spans="1:22" ht="15.6">
      <c r="A28" s="370"/>
      <c r="B28" s="31">
        <v>4.2</v>
      </c>
      <c r="C28" s="33"/>
      <c r="D28" s="33"/>
      <c r="E28" s="35"/>
      <c r="F28" s="35"/>
      <c r="G28" s="35"/>
      <c r="H28" s="35"/>
      <c r="I28" s="35"/>
      <c r="J28" s="35"/>
      <c r="K28" s="35"/>
      <c r="L28" s="35"/>
      <c r="M28" s="35"/>
      <c r="N28" s="35"/>
      <c r="O28" s="35"/>
      <c r="P28" s="35"/>
      <c r="Q28" s="35"/>
      <c r="R28" s="35"/>
      <c r="S28" s="35"/>
      <c r="T28" s="35"/>
      <c r="U28" s="35"/>
      <c r="V28" s="34"/>
    </row>
    <row r="29" spans="1:22" ht="15.6">
      <c r="A29" s="370"/>
      <c r="B29" s="31">
        <v>4.3</v>
      </c>
      <c r="C29" s="33"/>
      <c r="D29" s="33"/>
      <c r="E29" s="35"/>
      <c r="F29" s="35"/>
      <c r="G29" s="35"/>
      <c r="H29" s="35"/>
      <c r="I29" s="35"/>
      <c r="J29" s="35"/>
      <c r="K29" s="35"/>
      <c r="L29" s="35"/>
      <c r="M29" s="35"/>
      <c r="N29" s="35"/>
      <c r="O29" s="35"/>
      <c r="P29" s="35"/>
      <c r="Q29" s="35"/>
      <c r="R29" s="35"/>
      <c r="S29" s="35"/>
      <c r="T29" s="35"/>
      <c r="U29" s="35"/>
      <c r="V29" s="34"/>
    </row>
    <row r="30" spans="1:22" ht="15.6">
      <c r="A30" s="370"/>
      <c r="B30" s="31">
        <v>4.4000000000000004</v>
      </c>
      <c r="C30" s="33"/>
      <c r="D30" s="33"/>
      <c r="E30" s="35"/>
      <c r="F30" s="35"/>
      <c r="G30" s="35"/>
      <c r="H30" s="35"/>
      <c r="I30" s="35"/>
      <c r="J30" s="35"/>
      <c r="K30" s="35"/>
      <c r="L30" s="35"/>
      <c r="M30" s="35"/>
      <c r="N30" s="35"/>
      <c r="O30" s="35"/>
      <c r="P30" s="35"/>
      <c r="Q30" s="35"/>
      <c r="R30" s="35"/>
      <c r="S30" s="35"/>
      <c r="T30" s="35"/>
      <c r="U30" s="35"/>
      <c r="V30" s="34"/>
    </row>
    <row r="31" spans="1:22" ht="15.6">
      <c r="A31" s="370"/>
      <c r="B31" s="31">
        <v>4.5</v>
      </c>
      <c r="C31" s="33"/>
      <c r="D31" s="33"/>
      <c r="E31" s="35"/>
      <c r="F31" s="35"/>
      <c r="G31" s="35"/>
      <c r="H31" s="35"/>
      <c r="I31" s="35"/>
      <c r="J31" s="35"/>
      <c r="K31" s="35"/>
      <c r="L31" s="35"/>
      <c r="M31" s="35"/>
      <c r="N31" s="35"/>
      <c r="O31" s="35"/>
      <c r="P31" s="35"/>
      <c r="Q31" s="35"/>
      <c r="R31" s="35"/>
      <c r="S31" s="35"/>
      <c r="T31" s="35"/>
      <c r="U31" s="35"/>
      <c r="V31" s="34"/>
    </row>
    <row r="32" spans="1:22" ht="15.6">
      <c r="A32" s="370" t="s">
        <v>58</v>
      </c>
      <c r="B32" s="32" t="s">
        <v>58</v>
      </c>
      <c r="C32" s="33"/>
      <c r="D32" s="33"/>
      <c r="E32" s="35"/>
      <c r="F32" s="35"/>
      <c r="G32" s="35"/>
      <c r="H32" s="35"/>
      <c r="I32" s="35"/>
      <c r="J32" s="35"/>
      <c r="K32" s="35"/>
      <c r="L32" s="35"/>
      <c r="M32" s="33"/>
      <c r="N32" s="35"/>
      <c r="O32" s="35"/>
      <c r="P32" s="35"/>
      <c r="Q32" s="35"/>
      <c r="R32" s="35"/>
      <c r="S32" s="33"/>
      <c r="T32" s="35"/>
      <c r="U32" s="35"/>
      <c r="V32" s="34"/>
    </row>
    <row r="33" spans="1:22" ht="15.6">
      <c r="A33" s="370"/>
      <c r="B33" s="31">
        <v>5.0999999999999996</v>
      </c>
      <c r="C33" s="33"/>
      <c r="D33" s="33"/>
      <c r="E33" s="35"/>
      <c r="F33" s="35"/>
      <c r="G33" s="35"/>
      <c r="H33" s="35"/>
      <c r="I33" s="35"/>
      <c r="J33" s="35"/>
      <c r="K33" s="35"/>
      <c r="L33" s="35"/>
      <c r="M33" s="35"/>
      <c r="N33" s="35"/>
      <c r="O33" s="35"/>
      <c r="P33" s="35"/>
      <c r="Q33" s="35"/>
      <c r="R33" s="35"/>
      <c r="S33" s="35"/>
      <c r="T33" s="35"/>
      <c r="U33" s="35"/>
      <c r="V33" s="34"/>
    </row>
    <row r="34" spans="1:22" ht="15.6">
      <c r="A34" s="370"/>
      <c r="B34" s="31">
        <v>5.2</v>
      </c>
      <c r="C34" s="33"/>
      <c r="D34" s="33"/>
      <c r="E34" s="35"/>
      <c r="F34" s="35"/>
      <c r="G34" s="35"/>
      <c r="H34" s="35"/>
      <c r="I34" s="35"/>
      <c r="J34" s="35"/>
      <c r="K34" s="35"/>
      <c r="L34" s="35"/>
      <c r="M34" s="35"/>
      <c r="N34" s="35"/>
      <c r="O34" s="35"/>
      <c r="P34" s="35"/>
      <c r="Q34" s="35"/>
      <c r="R34" s="35"/>
      <c r="S34" s="35"/>
      <c r="T34" s="35"/>
      <c r="U34" s="35"/>
      <c r="V34" s="34"/>
    </row>
    <row r="35" spans="1:22" ht="15.6">
      <c r="A35" s="370"/>
      <c r="B35" s="31">
        <v>5.3</v>
      </c>
      <c r="C35" s="35"/>
      <c r="D35" s="35"/>
      <c r="E35" s="35"/>
      <c r="F35" s="35"/>
      <c r="G35" s="35"/>
      <c r="H35" s="35"/>
      <c r="I35" s="35"/>
      <c r="J35" s="35"/>
      <c r="K35" s="35"/>
      <c r="L35" s="35"/>
      <c r="M35" s="35"/>
      <c r="N35" s="35"/>
      <c r="O35" s="35"/>
      <c r="P35" s="35"/>
      <c r="Q35" s="35"/>
      <c r="R35" s="35"/>
      <c r="S35" s="35"/>
      <c r="T35" s="35"/>
      <c r="U35" s="35"/>
      <c r="V35" s="34"/>
    </row>
    <row r="37" spans="1:22" s="37" customFormat="1" ht="21">
      <c r="C37" s="38" t="s">
        <v>27</v>
      </c>
      <c r="D37" s="38" t="s">
        <v>28</v>
      </c>
      <c r="E37" s="39" t="s">
        <v>29</v>
      </c>
      <c r="F37" s="39" t="s">
        <v>30</v>
      </c>
      <c r="G37" s="38" t="s">
        <v>31</v>
      </c>
      <c r="H37" s="38" t="s">
        <v>32</v>
      </c>
      <c r="I37" s="38" t="s">
        <v>33</v>
      </c>
      <c r="J37" s="38" t="s">
        <v>34</v>
      </c>
      <c r="K37" s="39" t="s">
        <v>35</v>
      </c>
      <c r="L37" s="39" t="s">
        <v>36</v>
      </c>
      <c r="M37" s="39" t="s">
        <v>37</v>
      </c>
      <c r="N37" s="38" t="s">
        <v>38</v>
      </c>
      <c r="O37" s="39" t="s">
        <v>39</v>
      </c>
      <c r="P37" s="38" t="s">
        <v>40</v>
      </c>
      <c r="Q37" s="38" t="s">
        <v>41</v>
      </c>
      <c r="R37" s="38" t="s">
        <v>42</v>
      </c>
      <c r="S37" s="39" t="s">
        <v>43</v>
      </c>
      <c r="T37" s="39" t="s">
        <v>44</v>
      </c>
      <c r="U37" s="39" t="s">
        <v>45</v>
      </c>
      <c r="V37" s="40" t="s">
        <v>46</v>
      </c>
    </row>
    <row r="38" spans="1:22" s="41" customFormat="1" ht="23.4">
      <c r="A38" s="41" t="s">
        <v>60</v>
      </c>
      <c r="C38" s="42">
        <v>4</v>
      </c>
      <c r="D38" s="42">
        <v>3</v>
      </c>
      <c r="E38" s="42">
        <v>3</v>
      </c>
      <c r="F38" s="42">
        <v>3</v>
      </c>
      <c r="G38" s="42">
        <v>3</v>
      </c>
      <c r="H38" s="42">
        <v>3</v>
      </c>
      <c r="I38" s="42">
        <v>3</v>
      </c>
      <c r="J38" s="42">
        <v>3</v>
      </c>
      <c r="K38" s="42">
        <v>4</v>
      </c>
      <c r="L38" s="42">
        <v>3</v>
      </c>
      <c r="M38" s="42">
        <v>5</v>
      </c>
      <c r="N38" s="42">
        <v>3</v>
      </c>
      <c r="O38" s="42">
        <v>3</v>
      </c>
      <c r="P38" s="42">
        <v>3</v>
      </c>
      <c r="Q38" s="42">
        <v>4</v>
      </c>
      <c r="R38" s="42">
        <v>3</v>
      </c>
      <c r="S38" s="42">
        <v>5</v>
      </c>
      <c r="T38" s="42">
        <v>3</v>
      </c>
      <c r="U38" s="42">
        <v>2</v>
      </c>
      <c r="V38" s="42">
        <v>4</v>
      </c>
    </row>
    <row r="43" spans="1:22" ht="18">
      <c r="A43" s="43" t="s">
        <v>61</v>
      </c>
      <c r="C43" s="44"/>
      <c r="D43" s="44"/>
      <c r="E43" s="44"/>
      <c r="F43" s="44"/>
      <c r="G43" s="44"/>
      <c r="H43" s="44"/>
      <c r="I43" s="44"/>
      <c r="K43" s="44"/>
      <c r="L43" s="44"/>
      <c r="M43" s="44"/>
      <c r="N43" s="44"/>
      <c r="O43" s="44"/>
      <c r="P43" s="44"/>
      <c r="Q43" s="44"/>
      <c r="R43" s="44"/>
    </row>
    <row r="45" spans="1:22" ht="15.6">
      <c r="C45" s="45" t="s">
        <v>43</v>
      </c>
      <c r="D45" s="45" t="s">
        <v>45</v>
      </c>
      <c r="E45" s="46" t="s">
        <v>44</v>
      </c>
      <c r="F45" s="46" t="s">
        <v>42</v>
      </c>
      <c r="G45" s="45" t="s">
        <v>27</v>
      </c>
      <c r="H45" s="45" t="s">
        <v>28</v>
      </c>
      <c r="I45" s="45" t="s">
        <v>40</v>
      </c>
      <c r="J45" s="45" t="s">
        <v>37</v>
      </c>
      <c r="K45" s="46" t="s">
        <v>39</v>
      </c>
      <c r="L45" s="46" t="s">
        <v>36</v>
      </c>
      <c r="M45" s="46" t="s">
        <v>35</v>
      </c>
      <c r="N45" s="45" t="s">
        <v>30</v>
      </c>
      <c r="O45" s="46" t="s">
        <v>41</v>
      </c>
      <c r="P45" s="45" t="s">
        <v>33</v>
      </c>
      <c r="Q45" s="45" t="s">
        <v>31</v>
      </c>
      <c r="R45" s="45" t="s">
        <v>34</v>
      </c>
      <c r="S45" s="46" t="s">
        <v>38</v>
      </c>
      <c r="T45" s="46" t="s">
        <v>29</v>
      </c>
      <c r="U45" s="46" t="s">
        <v>32</v>
      </c>
      <c r="V45" s="28" t="s">
        <v>46</v>
      </c>
    </row>
    <row r="46" spans="1:22">
      <c r="A46" s="370" t="s">
        <v>400</v>
      </c>
      <c r="B46" s="32" t="s">
        <v>47</v>
      </c>
      <c r="C46" s="33">
        <f>S4</f>
        <v>0</v>
      </c>
      <c r="D46" s="33">
        <f>U4</f>
        <v>0</v>
      </c>
      <c r="E46" s="33">
        <f>T4</f>
        <v>0</v>
      </c>
      <c r="F46" s="33">
        <f>R4</f>
        <v>0</v>
      </c>
      <c r="G46" s="33" t="str">
        <f>C4</f>
        <v>S</v>
      </c>
      <c r="H46" s="33" t="str">
        <f>D4</f>
        <v>S</v>
      </c>
      <c r="I46" s="33">
        <f>P4</f>
        <v>0</v>
      </c>
      <c r="J46" s="33">
        <f>M4</f>
        <v>0</v>
      </c>
      <c r="K46" s="33">
        <f>O4</f>
        <v>0</v>
      </c>
      <c r="L46" s="33">
        <f>L4</f>
        <v>0</v>
      </c>
      <c r="M46" s="33">
        <f>K4</f>
        <v>0</v>
      </c>
      <c r="N46" s="33">
        <f>F4</f>
        <v>0</v>
      </c>
      <c r="O46" s="33">
        <f>Q4</f>
        <v>0</v>
      </c>
      <c r="P46" s="33">
        <f>I4</f>
        <v>0</v>
      </c>
      <c r="Q46" s="33">
        <f>G4</f>
        <v>0</v>
      </c>
      <c r="R46" s="33">
        <f>J4</f>
        <v>0</v>
      </c>
      <c r="S46" s="33">
        <f>N4</f>
        <v>0</v>
      </c>
      <c r="T46" s="33">
        <f>E4</f>
        <v>0</v>
      </c>
      <c r="U46" s="33">
        <f>H4</f>
        <v>0</v>
      </c>
      <c r="V46" s="33" t="str">
        <f>V4</f>
        <v>U</v>
      </c>
    </row>
    <row r="47" spans="1:22">
      <c r="A47" s="370"/>
      <c r="B47" s="31">
        <v>1.1000000000000001</v>
      </c>
      <c r="C47" s="33">
        <f>S5</f>
        <v>0</v>
      </c>
      <c r="D47" s="33">
        <f>U5</f>
        <v>0</v>
      </c>
      <c r="E47" s="33">
        <f>T5</f>
        <v>0</v>
      </c>
      <c r="F47" s="33">
        <f>R5</f>
        <v>0</v>
      </c>
      <c r="G47" s="33" t="str">
        <f>C5</f>
        <v>FM</v>
      </c>
      <c r="H47" s="33" t="str">
        <f>D5</f>
        <v>FM</v>
      </c>
      <c r="I47" s="33">
        <f>P5</f>
        <v>0</v>
      </c>
      <c r="J47" s="33">
        <f>M5</f>
        <v>0</v>
      </c>
      <c r="K47" s="33">
        <f>O5</f>
        <v>0</v>
      </c>
      <c r="L47" s="33">
        <f>L5</f>
        <v>0</v>
      </c>
      <c r="M47" s="33">
        <f>K5</f>
        <v>0</v>
      </c>
      <c r="N47" s="33">
        <f>F5</f>
        <v>0</v>
      </c>
      <c r="O47" s="33">
        <f>Q5</f>
        <v>0</v>
      </c>
      <c r="P47" s="33">
        <f>I5</f>
        <v>0</v>
      </c>
      <c r="Q47" s="33">
        <f>G5</f>
        <v>0</v>
      </c>
      <c r="R47" s="33">
        <f>J5</f>
        <v>0</v>
      </c>
      <c r="S47" s="33">
        <f>N5</f>
        <v>0</v>
      </c>
      <c r="T47" s="33">
        <f>E5</f>
        <v>0</v>
      </c>
      <c r="U47" s="33">
        <f>H5</f>
        <v>0</v>
      </c>
      <c r="V47" s="33" t="str">
        <f>V5</f>
        <v>DM</v>
      </c>
    </row>
    <row r="48" spans="1:22">
      <c r="A48" s="370"/>
      <c r="B48" s="31">
        <v>1.2</v>
      </c>
      <c r="C48" s="33"/>
      <c r="D48" s="33"/>
      <c r="E48" s="33">
        <f>T6</f>
        <v>0</v>
      </c>
      <c r="F48" s="33"/>
      <c r="G48" s="33"/>
      <c r="H48" s="33"/>
      <c r="I48" s="33">
        <f>P6</f>
        <v>0</v>
      </c>
      <c r="J48" s="33">
        <f>M6</f>
        <v>0</v>
      </c>
      <c r="K48" s="33"/>
      <c r="L48" s="33"/>
      <c r="M48" s="33">
        <f>K6</f>
        <v>0</v>
      </c>
      <c r="N48" s="33"/>
      <c r="O48" s="33">
        <f>Q6</f>
        <v>0</v>
      </c>
      <c r="P48" s="33"/>
      <c r="Q48" s="33"/>
      <c r="R48" s="33"/>
      <c r="S48" s="33"/>
      <c r="T48" s="33"/>
      <c r="U48" s="33">
        <f>H6</f>
        <v>0</v>
      </c>
      <c r="V48" s="33" t="str">
        <f>V6</f>
        <v>PM</v>
      </c>
    </row>
    <row r="49" spans="1:22">
      <c r="A49" s="370"/>
      <c r="B49" s="31">
        <v>1.3</v>
      </c>
      <c r="C49" s="33"/>
      <c r="D49" s="33"/>
      <c r="E49" s="33"/>
      <c r="F49" s="33"/>
      <c r="G49" s="33"/>
      <c r="H49" s="33"/>
      <c r="I49" s="33"/>
      <c r="J49" s="33"/>
      <c r="K49" s="33"/>
      <c r="L49" s="33"/>
      <c r="M49" s="33">
        <f t="shared" ref="M49:M68" si="0">K8</f>
        <v>0</v>
      </c>
      <c r="N49" s="33"/>
      <c r="O49" s="33"/>
      <c r="P49" s="33"/>
      <c r="Q49" s="33"/>
      <c r="R49" s="33"/>
      <c r="S49" s="33"/>
      <c r="T49" s="33"/>
      <c r="U49" s="33"/>
      <c r="V49" s="33" t="str">
        <f t="shared" ref="V49:V68" si="1">V8</f>
        <v>LM</v>
      </c>
    </row>
    <row r="50" spans="1:22">
      <c r="A50" s="370" t="s">
        <v>54</v>
      </c>
      <c r="B50" s="32" t="s">
        <v>54</v>
      </c>
      <c r="C50" s="33">
        <f t="shared" ref="C50:C74" si="2">S9</f>
        <v>0</v>
      </c>
      <c r="D50" s="33">
        <f t="shared" ref="D50:D56" si="3">U9</f>
        <v>0</v>
      </c>
      <c r="E50" s="33">
        <f t="shared" ref="E50:E60" si="4">T9</f>
        <v>0</v>
      </c>
      <c r="F50" s="33">
        <f t="shared" ref="F50:F61" si="5">R9</f>
        <v>0</v>
      </c>
      <c r="G50" s="33" t="str">
        <f t="shared" ref="G50:H68" si="6">C9</f>
        <v>S</v>
      </c>
      <c r="H50" s="33" t="str">
        <f t="shared" si="6"/>
        <v>S</v>
      </c>
      <c r="I50" s="33">
        <f t="shared" ref="I50:I63" si="7">P9</f>
        <v>0</v>
      </c>
      <c r="J50" s="33">
        <f t="shared" ref="J50:J76" si="8">M9</f>
        <v>0</v>
      </c>
      <c r="K50" s="33">
        <f t="shared" ref="K50:K65" si="9">O9</f>
        <v>0</v>
      </c>
      <c r="L50" s="33">
        <f t="shared" ref="L50:L66" si="10">L9</f>
        <v>0</v>
      </c>
      <c r="M50" s="33">
        <f t="shared" si="0"/>
        <v>0</v>
      </c>
      <c r="N50" s="33">
        <f t="shared" ref="N50:N62" si="11">F9</f>
        <v>0</v>
      </c>
      <c r="O50" s="33">
        <f t="shared" ref="O50:O68" si="12">Q9</f>
        <v>0</v>
      </c>
      <c r="P50" s="33">
        <f t="shared" ref="P50:P60" si="13">I9</f>
        <v>0</v>
      </c>
      <c r="Q50" s="33">
        <f t="shared" ref="Q50:Q60" si="14">G9</f>
        <v>0</v>
      </c>
      <c r="R50" s="33">
        <f t="shared" ref="R50:R66" si="15">J9</f>
        <v>0</v>
      </c>
      <c r="S50" s="33">
        <f t="shared" ref="S50:S64" si="16">N9</f>
        <v>0</v>
      </c>
      <c r="T50" s="33">
        <f t="shared" ref="T50:T65" si="17">E9</f>
        <v>0</v>
      </c>
      <c r="U50" s="33">
        <f t="shared" ref="U50:U61" si="18">H9</f>
        <v>0</v>
      </c>
      <c r="V50" s="33"/>
    </row>
    <row r="51" spans="1:22">
      <c r="A51" s="370"/>
      <c r="B51" s="31">
        <v>2.1</v>
      </c>
      <c r="C51" s="33">
        <f t="shared" si="2"/>
        <v>0</v>
      </c>
      <c r="D51" s="33">
        <f t="shared" si="3"/>
        <v>0</v>
      </c>
      <c r="E51" s="33">
        <f t="shared" si="4"/>
        <v>0</v>
      </c>
      <c r="F51" s="33">
        <f t="shared" si="5"/>
        <v>0</v>
      </c>
      <c r="G51" s="33" t="str">
        <f t="shared" si="6"/>
        <v>FM</v>
      </c>
      <c r="H51" s="33" t="str">
        <f t="shared" si="6"/>
        <v>FM</v>
      </c>
      <c r="I51" s="33">
        <f t="shared" si="7"/>
        <v>0</v>
      </c>
      <c r="J51" s="33">
        <f t="shared" si="8"/>
        <v>0</v>
      </c>
      <c r="K51" s="33">
        <f t="shared" si="9"/>
        <v>0</v>
      </c>
      <c r="L51" s="33">
        <f t="shared" si="10"/>
        <v>0</v>
      </c>
      <c r="M51" s="33">
        <f t="shared" si="0"/>
        <v>0</v>
      </c>
      <c r="N51" s="33">
        <f t="shared" si="11"/>
        <v>0</v>
      </c>
      <c r="O51" s="33">
        <f t="shared" si="12"/>
        <v>0</v>
      </c>
      <c r="P51" s="33">
        <f t="shared" si="13"/>
        <v>0</v>
      </c>
      <c r="Q51" s="33">
        <f t="shared" si="14"/>
        <v>0</v>
      </c>
      <c r="R51" s="33">
        <f t="shared" si="15"/>
        <v>0</v>
      </c>
      <c r="S51" s="33">
        <f t="shared" si="16"/>
        <v>0</v>
      </c>
      <c r="T51" s="33">
        <f t="shared" si="17"/>
        <v>0</v>
      </c>
      <c r="U51" s="33">
        <f t="shared" si="18"/>
        <v>0</v>
      </c>
      <c r="V51" s="33" t="str">
        <f t="shared" si="1"/>
        <v>DM</v>
      </c>
    </row>
    <row r="52" spans="1:22">
      <c r="A52" s="370"/>
      <c r="B52" s="31">
        <v>2.2000000000000002</v>
      </c>
      <c r="C52" s="33">
        <f t="shared" si="2"/>
        <v>0</v>
      </c>
      <c r="D52" s="33">
        <f t="shared" si="3"/>
        <v>0</v>
      </c>
      <c r="E52" s="33">
        <f t="shared" si="4"/>
        <v>0</v>
      </c>
      <c r="F52" s="33">
        <f t="shared" si="5"/>
        <v>0</v>
      </c>
      <c r="G52" s="33" t="str">
        <f t="shared" si="6"/>
        <v>FM</v>
      </c>
      <c r="H52" s="33" t="str">
        <f t="shared" si="6"/>
        <v>FM</v>
      </c>
      <c r="I52" s="33">
        <f t="shared" si="7"/>
        <v>0</v>
      </c>
      <c r="J52" s="33">
        <f t="shared" si="8"/>
        <v>0</v>
      </c>
      <c r="K52" s="33">
        <f t="shared" si="9"/>
        <v>0</v>
      </c>
      <c r="L52" s="33">
        <f t="shared" si="10"/>
        <v>0</v>
      </c>
      <c r="M52" s="33">
        <f t="shared" si="0"/>
        <v>0</v>
      </c>
      <c r="N52" s="33">
        <f t="shared" si="11"/>
        <v>0</v>
      </c>
      <c r="O52" s="33">
        <f t="shared" si="12"/>
        <v>0</v>
      </c>
      <c r="P52" s="33">
        <f t="shared" si="13"/>
        <v>0</v>
      </c>
      <c r="Q52" s="33">
        <f t="shared" si="14"/>
        <v>0</v>
      </c>
      <c r="R52" s="33">
        <f t="shared" si="15"/>
        <v>0</v>
      </c>
      <c r="S52" s="33">
        <f t="shared" si="16"/>
        <v>0</v>
      </c>
      <c r="T52" s="33">
        <f t="shared" si="17"/>
        <v>0</v>
      </c>
      <c r="U52" s="33">
        <f t="shared" si="18"/>
        <v>0</v>
      </c>
      <c r="V52" s="33" t="str">
        <f t="shared" si="1"/>
        <v>DM</v>
      </c>
    </row>
    <row r="53" spans="1:22">
      <c r="A53" s="370"/>
      <c r="B53" s="31">
        <v>2.2999999999999998</v>
      </c>
      <c r="C53" s="33"/>
      <c r="D53" s="33">
        <f t="shared" si="3"/>
        <v>0</v>
      </c>
      <c r="E53" s="33">
        <f t="shared" si="4"/>
        <v>0</v>
      </c>
      <c r="F53" s="33">
        <f t="shared" si="5"/>
        <v>0</v>
      </c>
      <c r="G53" s="33" t="str">
        <f t="shared" si="6"/>
        <v>FM</v>
      </c>
      <c r="H53" s="33"/>
      <c r="I53" s="33">
        <f t="shared" si="7"/>
        <v>0</v>
      </c>
      <c r="J53" s="33">
        <f t="shared" si="8"/>
        <v>0</v>
      </c>
      <c r="K53" s="33"/>
      <c r="L53" s="33">
        <f t="shared" si="10"/>
        <v>0</v>
      </c>
      <c r="M53" s="33"/>
      <c r="N53" s="33">
        <f t="shared" si="11"/>
        <v>0</v>
      </c>
      <c r="O53" s="33">
        <f t="shared" si="12"/>
        <v>0</v>
      </c>
      <c r="P53" s="33">
        <f t="shared" si="13"/>
        <v>0</v>
      </c>
      <c r="Q53" s="33">
        <f t="shared" si="14"/>
        <v>0</v>
      </c>
      <c r="R53" s="33">
        <f t="shared" si="15"/>
        <v>0</v>
      </c>
      <c r="S53" s="33"/>
      <c r="T53" s="33">
        <f t="shared" si="17"/>
        <v>0</v>
      </c>
      <c r="U53" s="33">
        <f t="shared" si="18"/>
        <v>0</v>
      </c>
      <c r="V53" s="33" t="str">
        <f t="shared" si="1"/>
        <v>FM</v>
      </c>
    </row>
    <row r="54" spans="1:22">
      <c r="A54" s="370"/>
      <c r="B54" s="31">
        <v>2.4</v>
      </c>
      <c r="C54" s="33"/>
      <c r="D54" s="33">
        <f t="shared" si="3"/>
        <v>0</v>
      </c>
      <c r="E54" s="33">
        <f t="shared" si="4"/>
        <v>0</v>
      </c>
      <c r="F54" s="33"/>
      <c r="G54" s="33" t="str">
        <f t="shared" si="6"/>
        <v>FM</v>
      </c>
      <c r="H54" s="33"/>
      <c r="I54" s="33">
        <f t="shared" si="7"/>
        <v>0</v>
      </c>
      <c r="J54" s="33">
        <f t="shared" si="8"/>
        <v>0</v>
      </c>
      <c r="K54" s="33"/>
      <c r="L54" s="33"/>
      <c r="M54" s="33"/>
      <c r="N54" s="33">
        <f t="shared" si="11"/>
        <v>0</v>
      </c>
      <c r="O54" s="33">
        <f t="shared" si="12"/>
        <v>0</v>
      </c>
      <c r="P54" s="33">
        <f t="shared" si="13"/>
        <v>0</v>
      </c>
      <c r="Q54" s="33">
        <f t="shared" si="14"/>
        <v>0</v>
      </c>
      <c r="R54" s="33">
        <f t="shared" si="15"/>
        <v>0</v>
      </c>
      <c r="S54" s="33"/>
      <c r="T54" s="33"/>
      <c r="U54" s="33"/>
      <c r="V54" s="33" t="str">
        <f t="shared" si="1"/>
        <v>LM</v>
      </c>
    </row>
    <row r="55" spans="1:22">
      <c r="A55" s="370"/>
      <c r="B55" s="31">
        <v>2.5</v>
      </c>
      <c r="C55" s="33"/>
      <c r="D55" s="33">
        <f t="shared" si="3"/>
        <v>0</v>
      </c>
      <c r="E55" s="33">
        <f t="shared" si="4"/>
        <v>0</v>
      </c>
      <c r="F55" s="33"/>
      <c r="G55" s="33"/>
      <c r="H55" s="33"/>
      <c r="I55" s="33"/>
      <c r="J55" s="33">
        <f t="shared" si="8"/>
        <v>0</v>
      </c>
      <c r="K55" s="33"/>
      <c r="L55" s="33"/>
      <c r="M55" s="33"/>
      <c r="N55" s="33">
        <f t="shared" si="11"/>
        <v>0</v>
      </c>
      <c r="O55" s="33">
        <f t="shared" si="12"/>
        <v>0</v>
      </c>
      <c r="P55" s="33"/>
      <c r="Q55" s="33"/>
      <c r="R55" s="33">
        <f t="shared" si="15"/>
        <v>0</v>
      </c>
      <c r="S55" s="33"/>
      <c r="T55" s="33"/>
      <c r="U55" s="33"/>
      <c r="V55" s="33"/>
    </row>
    <row r="56" spans="1:22">
      <c r="A56" s="370"/>
      <c r="B56" s="31">
        <v>2.6</v>
      </c>
      <c r="C56" s="33"/>
      <c r="D56" s="33">
        <f t="shared" si="3"/>
        <v>0</v>
      </c>
      <c r="E56" s="33"/>
      <c r="F56" s="33"/>
      <c r="G56" s="33"/>
      <c r="H56" s="33"/>
      <c r="I56" s="33"/>
      <c r="J56" s="33">
        <f t="shared" si="8"/>
        <v>0</v>
      </c>
      <c r="K56" s="33"/>
      <c r="L56" s="33"/>
      <c r="M56" s="33"/>
      <c r="N56" s="33">
        <f t="shared" si="11"/>
        <v>0</v>
      </c>
      <c r="O56" s="33">
        <f t="shared" si="12"/>
        <v>0</v>
      </c>
      <c r="P56" s="33"/>
      <c r="Q56" s="33"/>
      <c r="R56" s="33">
        <f t="shared" si="15"/>
        <v>0</v>
      </c>
      <c r="S56" s="33"/>
      <c r="T56" s="33"/>
      <c r="U56" s="33"/>
      <c r="V56" s="33"/>
    </row>
    <row r="57" spans="1:22">
      <c r="A57" s="370"/>
      <c r="B57" s="31">
        <v>2.7</v>
      </c>
      <c r="C57" s="33"/>
      <c r="D57" s="33"/>
      <c r="E57" s="33"/>
      <c r="F57" s="33"/>
      <c r="G57" s="33"/>
      <c r="H57" s="33"/>
      <c r="I57" s="33"/>
      <c r="J57" s="33"/>
      <c r="K57" s="33"/>
      <c r="L57" s="33"/>
      <c r="M57" s="33"/>
      <c r="N57" s="33"/>
      <c r="O57" s="33">
        <f t="shared" si="12"/>
        <v>0</v>
      </c>
      <c r="P57" s="33"/>
      <c r="Q57" s="33"/>
      <c r="R57" s="33"/>
      <c r="S57" s="33"/>
      <c r="T57" s="33"/>
      <c r="U57" s="33"/>
      <c r="V57" s="33"/>
    </row>
    <row r="58" spans="1:22">
      <c r="A58" s="370"/>
      <c r="B58" s="31">
        <v>2.8</v>
      </c>
      <c r="C58" s="33"/>
      <c r="D58" s="33"/>
      <c r="E58" s="33"/>
      <c r="F58" s="33"/>
      <c r="G58" s="33"/>
      <c r="H58" s="33"/>
      <c r="I58" s="33"/>
      <c r="J58" s="33"/>
      <c r="K58" s="33"/>
      <c r="L58" s="33"/>
      <c r="M58" s="33"/>
      <c r="N58" s="33"/>
      <c r="O58" s="33">
        <f t="shared" si="12"/>
        <v>0</v>
      </c>
      <c r="P58" s="33"/>
      <c r="Q58" s="33"/>
      <c r="R58" s="33"/>
      <c r="S58" s="33"/>
      <c r="T58" s="33"/>
      <c r="U58" s="33"/>
      <c r="V58" s="33"/>
    </row>
    <row r="59" spans="1:22">
      <c r="A59" s="370" t="s">
        <v>56</v>
      </c>
      <c r="B59" s="32" t="s">
        <v>56</v>
      </c>
      <c r="C59" s="33">
        <f t="shared" si="2"/>
        <v>0</v>
      </c>
      <c r="D59" s="33"/>
      <c r="E59" s="33">
        <f t="shared" si="4"/>
        <v>0</v>
      </c>
      <c r="F59" s="33">
        <f t="shared" si="5"/>
        <v>0</v>
      </c>
      <c r="G59" s="33" t="str">
        <f t="shared" si="6"/>
        <v>S</v>
      </c>
      <c r="H59" s="33" t="str">
        <f t="shared" si="6"/>
        <v>S</v>
      </c>
      <c r="I59" s="33">
        <f t="shared" si="7"/>
        <v>0</v>
      </c>
      <c r="J59" s="33">
        <f t="shared" si="8"/>
        <v>0</v>
      </c>
      <c r="K59" s="33">
        <f t="shared" si="9"/>
        <v>0</v>
      </c>
      <c r="L59" s="33">
        <f t="shared" si="10"/>
        <v>0</v>
      </c>
      <c r="M59" s="33">
        <f t="shared" si="0"/>
        <v>0</v>
      </c>
      <c r="N59" s="33">
        <f t="shared" si="11"/>
        <v>0</v>
      </c>
      <c r="O59" s="33">
        <f t="shared" si="12"/>
        <v>0</v>
      </c>
      <c r="P59" s="33">
        <f t="shared" si="13"/>
        <v>0</v>
      </c>
      <c r="Q59" s="33">
        <f t="shared" si="14"/>
        <v>0</v>
      </c>
      <c r="R59" s="33">
        <f t="shared" si="15"/>
        <v>0</v>
      </c>
      <c r="S59" s="33">
        <f t="shared" si="16"/>
        <v>0</v>
      </c>
      <c r="T59" s="33">
        <f t="shared" si="17"/>
        <v>0</v>
      </c>
      <c r="U59" s="33">
        <f t="shared" si="18"/>
        <v>0</v>
      </c>
      <c r="V59" s="33">
        <f t="shared" si="1"/>
        <v>0</v>
      </c>
    </row>
    <row r="60" spans="1:22">
      <c r="A60" s="370"/>
      <c r="B60" s="31">
        <v>3.1</v>
      </c>
      <c r="C60" s="33">
        <f t="shared" si="2"/>
        <v>0</v>
      </c>
      <c r="D60" s="33"/>
      <c r="E60" s="33">
        <f t="shared" si="4"/>
        <v>0</v>
      </c>
      <c r="F60" s="33">
        <f t="shared" si="5"/>
        <v>0</v>
      </c>
      <c r="G60" s="33" t="str">
        <f t="shared" si="6"/>
        <v>FM</v>
      </c>
      <c r="H60" s="33" t="str">
        <f t="shared" si="6"/>
        <v>FM</v>
      </c>
      <c r="I60" s="33">
        <f t="shared" si="7"/>
        <v>0</v>
      </c>
      <c r="J60" s="33">
        <f t="shared" si="8"/>
        <v>0</v>
      </c>
      <c r="K60" s="33">
        <f t="shared" si="9"/>
        <v>0</v>
      </c>
      <c r="L60" s="33">
        <f t="shared" si="10"/>
        <v>0</v>
      </c>
      <c r="M60" s="33">
        <f t="shared" si="0"/>
        <v>0</v>
      </c>
      <c r="N60" s="33">
        <f t="shared" si="11"/>
        <v>0</v>
      </c>
      <c r="O60" s="33">
        <f t="shared" si="12"/>
        <v>0</v>
      </c>
      <c r="P60" s="33">
        <f t="shared" si="13"/>
        <v>0</v>
      </c>
      <c r="Q60" s="33">
        <f t="shared" si="14"/>
        <v>0</v>
      </c>
      <c r="R60" s="33">
        <f t="shared" si="15"/>
        <v>0</v>
      </c>
      <c r="S60" s="33">
        <f t="shared" si="16"/>
        <v>0</v>
      </c>
      <c r="T60" s="33">
        <f t="shared" si="17"/>
        <v>0</v>
      </c>
      <c r="U60" s="33">
        <f t="shared" si="18"/>
        <v>0</v>
      </c>
      <c r="V60" s="33" t="str">
        <f t="shared" si="1"/>
        <v>DM</v>
      </c>
    </row>
    <row r="61" spans="1:22">
      <c r="A61" s="370"/>
      <c r="B61" s="31">
        <v>3.2</v>
      </c>
      <c r="C61" s="33">
        <f t="shared" si="2"/>
        <v>0</v>
      </c>
      <c r="D61" s="33"/>
      <c r="E61" s="33"/>
      <c r="F61" s="33">
        <f t="shared" si="5"/>
        <v>0</v>
      </c>
      <c r="G61" s="33" t="str">
        <f t="shared" si="6"/>
        <v>FM</v>
      </c>
      <c r="H61" s="33" t="str">
        <f t="shared" si="6"/>
        <v>FM</v>
      </c>
      <c r="I61" s="33">
        <f t="shared" si="7"/>
        <v>0</v>
      </c>
      <c r="J61" s="33">
        <f t="shared" si="8"/>
        <v>0</v>
      </c>
      <c r="K61" s="33">
        <f t="shared" si="9"/>
        <v>0</v>
      </c>
      <c r="L61" s="33">
        <f t="shared" si="10"/>
        <v>0</v>
      </c>
      <c r="M61" s="33">
        <f t="shared" si="0"/>
        <v>0</v>
      </c>
      <c r="N61" s="33">
        <f t="shared" si="11"/>
        <v>0</v>
      </c>
      <c r="O61" s="33">
        <f t="shared" si="12"/>
        <v>0</v>
      </c>
      <c r="P61" s="33"/>
      <c r="Q61" s="33"/>
      <c r="R61" s="33">
        <f t="shared" si="15"/>
        <v>0</v>
      </c>
      <c r="S61" s="33">
        <f t="shared" si="16"/>
        <v>0</v>
      </c>
      <c r="T61" s="33">
        <f t="shared" si="17"/>
        <v>0</v>
      </c>
      <c r="U61" s="33">
        <f t="shared" si="18"/>
        <v>0</v>
      </c>
      <c r="V61" s="33" t="str">
        <f t="shared" si="1"/>
        <v>DM</v>
      </c>
    </row>
    <row r="62" spans="1:22">
      <c r="A62" s="370"/>
      <c r="B62" s="31">
        <v>3.3</v>
      </c>
      <c r="C62" s="33">
        <f t="shared" si="2"/>
        <v>0</v>
      </c>
      <c r="D62" s="33"/>
      <c r="E62" s="33"/>
      <c r="F62" s="33"/>
      <c r="G62" s="33"/>
      <c r="H62" s="33" t="str">
        <f t="shared" si="6"/>
        <v>FM</v>
      </c>
      <c r="I62" s="33">
        <f t="shared" si="7"/>
        <v>0</v>
      </c>
      <c r="J62" s="33">
        <f t="shared" si="8"/>
        <v>0</v>
      </c>
      <c r="K62" s="33">
        <f t="shared" si="9"/>
        <v>0</v>
      </c>
      <c r="L62" s="33">
        <f t="shared" si="10"/>
        <v>0</v>
      </c>
      <c r="M62" s="33">
        <f t="shared" si="0"/>
        <v>0</v>
      </c>
      <c r="N62" s="33">
        <f t="shared" si="11"/>
        <v>0</v>
      </c>
      <c r="O62" s="33">
        <f t="shared" si="12"/>
        <v>0</v>
      </c>
      <c r="P62" s="33"/>
      <c r="Q62" s="33"/>
      <c r="R62" s="33">
        <f t="shared" si="15"/>
        <v>0</v>
      </c>
      <c r="S62" s="33">
        <f t="shared" si="16"/>
        <v>0</v>
      </c>
      <c r="T62" s="33">
        <f t="shared" si="17"/>
        <v>0</v>
      </c>
      <c r="U62" s="33"/>
      <c r="V62" s="33"/>
    </row>
    <row r="63" spans="1:22">
      <c r="A63" s="370"/>
      <c r="B63" s="31">
        <v>3.4</v>
      </c>
      <c r="C63" s="33">
        <f t="shared" si="2"/>
        <v>0</v>
      </c>
      <c r="D63" s="33"/>
      <c r="E63" s="33"/>
      <c r="F63" s="33"/>
      <c r="G63" s="33"/>
      <c r="H63" s="33"/>
      <c r="I63" s="33">
        <f t="shared" si="7"/>
        <v>0</v>
      </c>
      <c r="J63" s="33">
        <f t="shared" si="8"/>
        <v>0</v>
      </c>
      <c r="K63" s="33">
        <f t="shared" si="9"/>
        <v>0</v>
      </c>
      <c r="L63" s="33">
        <f t="shared" si="10"/>
        <v>0</v>
      </c>
      <c r="M63" s="33">
        <f t="shared" si="0"/>
        <v>0</v>
      </c>
      <c r="N63" s="33"/>
      <c r="O63" s="33">
        <f t="shared" si="12"/>
        <v>0</v>
      </c>
      <c r="P63" s="33"/>
      <c r="Q63" s="33"/>
      <c r="R63" s="33">
        <f t="shared" si="15"/>
        <v>0</v>
      </c>
      <c r="S63" s="33">
        <f t="shared" si="16"/>
        <v>0</v>
      </c>
      <c r="T63" s="33">
        <f t="shared" si="17"/>
        <v>0</v>
      </c>
      <c r="U63" s="33"/>
      <c r="V63" s="33"/>
    </row>
    <row r="64" spans="1:22">
      <c r="A64" s="370"/>
      <c r="B64" s="31">
        <v>3.5</v>
      </c>
      <c r="C64" s="33">
        <f t="shared" si="2"/>
        <v>0</v>
      </c>
      <c r="D64" s="33"/>
      <c r="E64" s="33"/>
      <c r="F64" s="33"/>
      <c r="G64" s="33"/>
      <c r="H64" s="33"/>
      <c r="I64" s="33"/>
      <c r="J64" s="33">
        <f t="shared" si="8"/>
        <v>0</v>
      </c>
      <c r="K64" s="33">
        <f t="shared" si="9"/>
        <v>0</v>
      </c>
      <c r="L64" s="33">
        <f t="shared" si="10"/>
        <v>0</v>
      </c>
      <c r="M64" s="33">
        <f t="shared" si="0"/>
        <v>0</v>
      </c>
      <c r="N64" s="33"/>
      <c r="O64" s="33"/>
      <c r="P64" s="33"/>
      <c r="Q64" s="33"/>
      <c r="R64" s="33">
        <f t="shared" si="15"/>
        <v>0</v>
      </c>
      <c r="S64" s="33">
        <f t="shared" si="16"/>
        <v>0</v>
      </c>
      <c r="T64" s="33">
        <f t="shared" si="17"/>
        <v>0</v>
      </c>
      <c r="U64" s="33"/>
      <c r="V64" s="33"/>
    </row>
    <row r="65" spans="1:22">
      <c r="A65" s="370"/>
      <c r="B65" s="31">
        <v>3.6</v>
      </c>
      <c r="C65" s="33"/>
      <c r="D65" s="33"/>
      <c r="E65" s="33"/>
      <c r="F65" s="33"/>
      <c r="G65" s="33"/>
      <c r="H65" s="33"/>
      <c r="I65" s="33"/>
      <c r="J65" s="33">
        <f t="shared" si="8"/>
        <v>0</v>
      </c>
      <c r="K65" s="33">
        <f t="shared" si="9"/>
        <v>0</v>
      </c>
      <c r="L65" s="33">
        <f t="shared" si="10"/>
        <v>0</v>
      </c>
      <c r="M65" s="33">
        <f t="shared" si="0"/>
        <v>0</v>
      </c>
      <c r="N65" s="33"/>
      <c r="O65" s="33"/>
      <c r="P65" s="33"/>
      <c r="Q65" s="33"/>
      <c r="R65" s="33">
        <f t="shared" si="15"/>
        <v>0</v>
      </c>
      <c r="S65" s="33"/>
      <c r="T65" s="33">
        <f t="shared" si="17"/>
        <v>0</v>
      </c>
      <c r="U65" s="33"/>
      <c r="V65" s="33"/>
    </row>
    <row r="66" spans="1:22">
      <c r="A66" s="370"/>
      <c r="B66" s="31">
        <v>3.7</v>
      </c>
      <c r="C66" s="33"/>
      <c r="D66" s="33"/>
      <c r="E66" s="33"/>
      <c r="F66" s="33"/>
      <c r="G66" s="33"/>
      <c r="H66" s="33"/>
      <c r="I66" s="33"/>
      <c r="J66" s="33"/>
      <c r="K66" s="33"/>
      <c r="L66" s="33">
        <f t="shared" si="10"/>
        <v>0</v>
      </c>
      <c r="M66" s="33"/>
      <c r="N66" s="33"/>
      <c r="O66" s="33"/>
      <c r="P66" s="33"/>
      <c r="Q66" s="33"/>
      <c r="R66" s="33">
        <f t="shared" si="15"/>
        <v>0</v>
      </c>
      <c r="S66" s="33"/>
      <c r="T66" s="33"/>
      <c r="U66" s="33"/>
      <c r="V66" s="33"/>
    </row>
    <row r="67" spans="1:22">
      <c r="A67" s="370" t="s">
        <v>401</v>
      </c>
      <c r="B67" s="32" t="s">
        <v>57</v>
      </c>
      <c r="C67" s="33">
        <f t="shared" si="2"/>
        <v>0</v>
      </c>
      <c r="D67" s="33"/>
      <c r="E67" s="33"/>
      <c r="F67" s="33"/>
      <c r="G67" s="33" t="str">
        <f t="shared" si="6"/>
        <v>S</v>
      </c>
      <c r="H67" s="33"/>
      <c r="I67" s="33"/>
      <c r="J67" s="33">
        <f t="shared" si="8"/>
        <v>0</v>
      </c>
      <c r="K67" s="33"/>
      <c r="L67" s="33"/>
      <c r="M67" s="33">
        <f t="shared" si="0"/>
        <v>0</v>
      </c>
      <c r="N67" s="33"/>
      <c r="O67" s="33">
        <f t="shared" si="12"/>
        <v>0</v>
      </c>
      <c r="P67" s="33"/>
      <c r="Q67" s="33"/>
      <c r="R67" s="33"/>
      <c r="S67" s="33"/>
      <c r="T67" s="33"/>
      <c r="U67" s="33"/>
      <c r="V67" s="33"/>
    </row>
    <row r="68" spans="1:22">
      <c r="A68" s="370"/>
      <c r="B68" s="31">
        <v>4.0999999999999996</v>
      </c>
      <c r="C68" s="33">
        <f t="shared" si="2"/>
        <v>0</v>
      </c>
      <c r="D68" s="33"/>
      <c r="E68" s="33"/>
      <c r="F68" s="33"/>
      <c r="G68" s="33" t="str">
        <f t="shared" si="6"/>
        <v>FM</v>
      </c>
      <c r="H68" s="33"/>
      <c r="I68" s="33"/>
      <c r="J68" s="33">
        <f t="shared" si="8"/>
        <v>0</v>
      </c>
      <c r="K68" s="33"/>
      <c r="L68" s="33"/>
      <c r="M68" s="33">
        <f t="shared" si="0"/>
        <v>0</v>
      </c>
      <c r="N68" s="33"/>
      <c r="O68" s="33">
        <f t="shared" si="12"/>
        <v>0</v>
      </c>
      <c r="P68" s="33"/>
      <c r="Q68" s="33"/>
      <c r="R68" s="33"/>
      <c r="S68" s="33"/>
      <c r="T68" s="33"/>
      <c r="U68" s="33"/>
      <c r="V68" s="33" t="str">
        <f t="shared" si="1"/>
        <v>DM</v>
      </c>
    </row>
    <row r="69" spans="1:22">
      <c r="A69" s="370"/>
      <c r="B69" s="31">
        <v>4.2</v>
      </c>
      <c r="C69" s="33">
        <f t="shared" si="2"/>
        <v>0</v>
      </c>
      <c r="D69" s="33"/>
      <c r="E69" s="33"/>
      <c r="F69" s="33"/>
      <c r="G69" s="33"/>
      <c r="H69" s="33"/>
      <c r="I69" s="33"/>
      <c r="J69" s="33">
        <f t="shared" si="8"/>
        <v>0</v>
      </c>
      <c r="K69" s="33"/>
      <c r="L69" s="33"/>
      <c r="M69" s="33"/>
      <c r="N69" s="33"/>
      <c r="O69" s="33"/>
      <c r="P69" s="33"/>
      <c r="Q69" s="33"/>
      <c r="R69" s="33"/>
      <c r="S69" s="33"/>
      <c r="T69" s="33"/>
      <c r="U69" s="33"/>
      <c r="V69" s="33"/>
    </row>
    <row r="70" spans="1:22">
      <c r="A70" s="370"/>
      <c r="B70" s="31">
        <v>4.3</v>
      </c>
      <c r="C70" s="33"/>
      <c r="D70" s="33"/>
      <c r="E70" s="33"/>
      <c r="F70" s="33"/>
      <c r="G70" s="33"/>
      <c r="H70" s="33"/>
      <c r="I70" s="33"/>
      <c r="J70" s="33">
        <f t="shared" si="8"/>
        <v>0</v>
      </c>
      <c r="K70" s="33"/>
      <c r="L70" s="33"/>
      <c r="M70" s="33"/>
      <c r="N70" s="33"/>
      <c r="O70" s="33"/>
      <c r="P70" s="33"/>
      <c r="Q70" s="33"/>
      <c r="R70" s="33"/>
      <c r="S70" s="33"/>
      <c r="T70" s="33"/>
      <c r="U70" s="33"/>
      <c r="V70" s="33"/>
    </row>
    <row r="71" spans="1:22">
      <c r="A71" s="370"/>
      <c r="B71" s="31">
        <v>4.4000000000000004</v>
      </c>
      <c r="C71" s="33"/>
      <c r="D71" s="33"/>
      <c r="E71" s="33"/>
      <c r="F71" s="33"/>
      <c r="G71" s="33"/>
      <c r="H71" s="33"/>
      <c r="I71" s="33"/>
      <c r="J71" s="33">
        <f t="shared" si="8"/>
        <v>0</v>
      </c>
      <c r="K71" s="33"/>
      <c r="L71" s="33"/>
      <c r="M71" s="33"/>
      <c r="N71" s="33"/>
      <c r="O71" s="33"/>
      <c r="P71" s="33"/>
      <c r="Q71" s="33"/>
      <c r="R71" s="33"/>
      <c r="S71" s="33"/>
      <c r="T71" s="33"/>
      <c r="U71" s="33"/>
      <c r="V71" s="33"/>
    </row>
    <row r="72" spans="1:22">
      <c r="A72" s="370"/>
      <c r="B72" s="31">
        <v>4.5</v>
      </c>
      <c r="C72" s="33"/>
      <c r="D72" s="33"/>
      <c r="E72" s="33"/>
      <c r="F72" s="33"/>
      <c r="G72" s="33"/>
      <c r="H72" s="33"/>
      <c r="I72" s="33"/>
      <c r="J72" s="33">
        <f t="shared" si="8"/>
        <v>0</v>
      </c>
      <c r="K72" s="33"/>
      <c r="L72" s="33"/>
      <c r="M72" s="33"/>
      <c r="N72" s="33"/>
      <c r="O72" s="33"/>
      <c r="P72" s="33"/>
      <c r="Q72" s="33"/>
      <c r="R72" s="33"/>
      <c r="S72" s="33"/>
      <c r="T72" s="33"/>
      <c r="U72" s="33"/>
      <c r="V72" s="33"/>
    </row>
    <row r="73" spans="1:22">
      <c r="A73" s="370" t="s">
        <v>58</v>
      </c>
      <c r="B73" s="32" t="s">
        <v>58</v>
      </c>
      <c r="C73" s="33">
        <f t="shared" si="2"/>
        <v>0</v>
      </c>
      <c r="D73" s="33"/>
      <c r="E73" s="33"/>
      <c r="F73" s="33"/>
      <c r="G73" s="33"/>
      <c r="H73" s="33"/>
      <c r="I73" s="33"/>
      <c r="J73" s="33">
        <f t="shared" si="8"/>
        <v>0</v>
      </c>
      <c r="K73" s="33"/>
      <c r="L73" s="33"/>
      <c r="M73" s="33"/>
      <c r="N73" s="33"/>
      <c r="O73" s="33"/>
      <c r="P73" s="33"/>
      <c r="Q73" s="33"/>
      <c r="R73" s="33"/>
      <c r="S73" s="33"/>
      <c r="T73" s="33"/>
      <c r="U73" s="33"/>
      <c r="V73" s="33"/>
    </row>
    <row r="74" spans="1:22">
      <c r="A74" s="370"/>
      <c r="B74" s="31">
        <v>5.0999999999999996</v>
      </c>
      <c r="C74" s="33">
        <f t="shared" si="2"/>
        <v>0</v>
      </c>
      <c r="D74" s="33"/>
      <c r="E74" s="33"/>
      <c r="F74" s="33"/>
      <c r="G74" s="33"/>
      <c r="H74" s="33"/>
      <c r="I74" s="33"/>
      <c r="J74" s="33">
        <f t="shared" si="8"/>
        <v>0</v>
      </c>
      <c r="K74" s="33"/>
      <c r="L74" s="33"/>
      <c r="M74" s="33"/>
      <c r="N74" s="33"/>
      <c r="O74" s="33"/>
      <c r="P74" s="33"/>
      <c r="Q74" s="33"/>
      <c r="R74" s="33"/>
      <c r="S74" s="33"/>
      <c r="T74" s="33"/>
      <c r="U74" s="33"/>
      <c r="V74" s="33"/>
    </row>
    <row r="75" spans="1:22">
      <c r="A75" s="370"/>
      <c r="B75" s="31">
        <v>5.2</v>
      </c>
      <c r="C75" s="33"/>
      <c r="D75" s="33"/>
      <c r="E75" s="33"/>
      <c r="F75" s="33"/>
      <c r="G75" s="33"/>
      <c r="H75" s="33"/>
      <c r="I75" s="33"/>
      <c r="J75" s="33">
        <f t="shared" si="8"/>
        <v>0</v>
      </c>
      <c r="K75" s="33"/>
      <c r="L75" s="33"/>
      <c r="M75" s="33"/>
      <c r="N75" s="33"/>
      <c r="O75" s="33"/>
      <c r="P75" s="33"/>
      <c r="Q75" s="33"/>
      <c r="R75" s="33"/>
      <c r="S75" s="33"/>
      <c r="T75" s="33"/>
      <c r="U75" s="33"/>
      <c r="V75" s="33"/>
    </row>
    <row r="76" spans="1:22">
      <c r="A76" s="370"/>
      <c r="B76" s="31">
        <v>5.3</v>
      </c>
      <c r="C76" s="33"/>
      <c r="D76" s="33"/>
      <c r="E76" s="33"/>
      <c r="F76" s="33"/>
      <c r="G76" s="33"/>
      <c r="H76" s="33"/>
      <c r="I76" s="33"/>
      <c r="J76" s="33">
        <f t="shared" si="8"/>
        <v>0</v>
      </c>
      <c r="K76" s="33"/>
      <c r="L76" s="33"/>
      <c r="M76" s="33"/>
      <c r="N76" s="33"/>
      <c r="O76" s="33"/>
      <c r="P76" s="33"/>
      <c r="Q76" s="33"/>
      <c r="R76" s="33"/>
      <c r="S76" s="33"/>
      <c r="T76" s="33"/>
      <c r="U76" s="33"/>
      <c r="V76" s="33"/>
    </row>
  </sheetData>
  <mergeCells count="18">
    <mergeCell ref="A32:A35"/>
    <mergeCell ref="A26:A31"/>
    <mergeCell ref="A2:A3"/>
    <mergeCell ref="B2:B3"/>
    <mergeCell ref="C2:D2"/>
    <mergeCell ref="A18:A25"/>
    <mergeCell ref="E2:F2"/>
    <mergeCell ref="P2:R2"/>
    <mergeCell ref="S2:U2"/>
    <mergeCell ref="A4:A8"/>
    <mergeCell ref="A9:A17"/>
    <mergeCell ref="G2:J2"/>
    <mergeCell ref="K2:M2"/>
    <mergeCell ref="A46:A49"/>
    <mergeCell ref="A50:A58"/>
    <mergeCell ref="A59:A66"/>
    <mergeCell ref="A67:A72"/>
    <mergeCell ref="A73:A76"/>
  </mergeCells>
  <phoneticPr fontId="72" type="noConversion"/>
  <conditionalFormatting sqref="C4:V35">
    <cfRule type="cellIs" dxfId="259" priority="151" operator="equal">
      <formula>"S"</formula>
    </cfRule>
    <cfRule type="cellIs" dxfId="258" priority="152" stopIfTrue="1" operator="equal">
      <formula>"FM"</formula>
    </cfRule>
    <cfRule type="cellIs" dxfId="257" priority="153" stopIfTrue="1" operator="equal">
      <formula>"LM"</formula>
    </cfRule>
    <cfRule type="cellIs" dxfId="256" priority="154" stopIfTrue="1" operator="equal">
      <formula>"PM"</formula>
    </cfRule>
    <cfRule type="cellIs" dxfId="255" priority="155" stopIfTrue="1" operator="equal">
      <formula>"DM"</formula>
    </cfRule>
  </conditionalFormatting>
  <conditionalFormatting sqref="B4">
    <cfRule type="cellIs" dxfId="254" priority="146" operator="equal">
      <formula>"S"</formula>
    </cfRule>
    <cfRule type="cellIs" dxfId="253" priority="147" stopIfTrue="1" operator="equal">
      <formula>"FM"</formula>
    </cfRule>
    <cfRule type="cellIs" dxfId="252" priority="148" stopIfTrue="1" operator="equal">
      <formula>"LM"</formula>
    </cfRule>
    <cfRule type="cellIs" dxfId="251" priority="149" stopIfTrue="1" operator="equal">
      <formula>"PM"</formula>
    </cfRule>
    <cfRule type="cellIs" dxfId="250" priority="150" stopIfTrue="1" operator="equal">
      <formula>"DM"</formula>
    </cfRule>
  </conditionalFormatting>
  <conditionalFormatting sqref="B9">
    <cfRule type="cellIs" dxfId="249" priority="141" operator="equal">
      <formula>"S"</formula>
    </cfRule>
    <cfRule type="cellIs" dxfId="248" priority="142" stopIfTrue="1" operator="equal">
      <formula>"FM"</formula>
    </cfRule>
    <cfRule type="cellIs" dxfId="247" priority="143" stopIfTrue="1" operator="equal">
      <formula>"LM"</formula>
    </cfRule>
    <cfRule type="cellIs" dxfId="246" priority="144" stopIfTrue="1" operator="equal">
      <formula>"PM"</formula>
    </cfRule>
    <cfRule type="cellIs" dxfId="245" priority="145" stopIfTrue="1" operator="equal">
      <formula>"DM"</formula>
    </cfRule>
  </conditionalFormatting>
  <conditionalFormatting sqref="B18">
    <cfRule type="cellIs" dxfId="244" priority="136" operator="equal">
      <formula>"S"</formula>
    </cfRule>
    <cfRule type="cellIs" dxfId="243" priority="137" stopIfTrue="1" operator="equal">
      <formula>"FM"</formula>
    </cfRule>
    <cfRule type="cellIs" dxfId="242" priority="138" stopIfTrue="1" operator="equal">
      <formula>"LM"</formula>
    </cfRule>
    <cfRule type="cellIs" dxfId="241" priority="139" stopIfTrue="1" operator="equal">
      <formula>"PM"</formula>
    </cfRule>
    <cfRule type="cellIs" dxfId="240" priority="140" stopIfTrue="1" operator="equal">
      <formula>"DM"</formula>
    </cfRule>
  </conditionalFormatting>
  <conditionalFormatting sqref="B26">
    <cfRule type="cellIs" dxfId="239" priority="131" operator="equal">
      <formula>"S"</formula>
    </cfRule>
    <cfRule type="cellIs" dxfId="238" priority="132" stopIfTrue="1" operator="equal">
      <formula>"FM"</formula>
    </cfRule>
    <cfRule type="cellIs" dxfId="237" priority="133" stopIfTrue="1" operator="equal">
      <formula>"LM"</formula>
    </cfRule>
    <cfRule type="cellIs" dxfId="236" priority="134" stopIfTrue="1" operator="equal">
      <formula>"PM"</formula>
    </cfRule>
    <cfRule type="cellIs" dxfId="235" priority="135" stopIfTrue="1" operator="equal">
      <formula>"DM"</formula>
    </cfRule>
  </conditionalFormatting>
  <conditionalFormatting sqref="B32">
    <cfRule type="cellIs" dxfId="234" priority="126" operator="equal">
      <formula>"S"</formula>
    </cfRule>
    <cfRule type="cellIs" dxfId="233" priority="127" stopIfTrue="1" operator="equal">
      <formula>"FM"</formula>
    </cfRule>
    <cfRule type="cellIs" dxfId="232" priority="128" stopIfTrue="1" operator="equal">
      <formula>"LM"</formula>
    </cfRule>
    <cfRule type="cellIs" dxfId="231" priority="129" stopIfTrue="1" operator="equal">
      <formula>"PM"</formula>
    </cfRule>
    <cfRule type="cellIs" dxfId="230" priority="130" stopIfTrue="1" operator="equal">
      <formula>"DM"</formula>
    </cfRule>
  </conditionalFormatting>
  <conditionalFormatting sqref="C46:C76">
    <cfRule type="cellIs" dxfId="229" priority="121" operator="equal">
      <formula>"S"</formula>
    </cfRule>
    <cfRule type="cellIs" dxfId="228" priority="122" stopIfTrue="1" operator="equal">
      <formula>"FM"</formula>
    </cfRule>
    <cfRule type="cellIs" dxfId="227" priority="123" stopIfTrue="1" operator="equal">
      <formula>"LM"</formula>
    </cfRule>
    <cfRule type="cellIs" dxfId="226" priority="124" stopIfTrue="1" operator="equal">
      <formula>"PM"</formula>
    </cfRule>
    <cfRule type="cellIs" dxfId="225" priority="125" stopIfTrue="1" operator="equal">
      <formula>"DM"</formula>
    </cfRule>
  </conditionalFormatting>
  <conditionalFormatting sqref="B46">
    <cfRule type="cellIs" dxfId="224" priority="116" operator="equal">
      <formula>"S"</formula>
    </cfRule>
    <cfRule type="cellIs" dxfId="223" priority="117" stopIfTrue="1" operator="equal">
      <formula>"FM"</formula>
    </cfRule>
    <cfRule type="cellIs" dxfId="222" priority="118" stopIfTrue="1" operator="equal">
      <formula>"LM"</formula>
    </cfRule>
    <cfRule type="cellIs" dxfId="221" priority="119" stopIfTrue="1" operator="equal">
      <formula>"PM"</formula>
    </cfRule>
    <cfRule type="cellIs" dxfId="220" priority="120" stopIfTrue="1" operator="equal">
      <formula>"DM"</formula>
    </cfRule>
  </conditionalFormatting>
  <conditionalFormatting sqref="B50">
    <cfRule type="cellIs" dxfId="219" priority="111" operator="equal">
      <formula>"S"</formula>
    </cfRule>
    <cfRule type="cellIs" dxfId="218" priority="112" stopIfTrue="1" operator="equal">
      <formula>"FM"</formula>
    </cfRule>
    <cfRule type="cellIs" dxfId="217" priority="113" stopIfTrue="1" operator="equal">
      <formula>"LM"</formula>
    </cfRule>
    <cfRule type="cellIs" dxfId="216" priority="114" stopIfTrue="1" operator="equal">
      <formula>"PM"</formula>
    </cfRule>
    <cfRule type="cellIs" dxfId="215" priority="115" stopIfTrue="1" operator="equal">
      <formula>"DM"</formula>
    </cfRule>
  </conditionalFormatting>
  <conditionalFormatting sqref="B59">
    <cfRule type="cellIs" dxfId="214" priority="106" operator="equal">
      <formula>"S"</formula>
    </cfRule>
    <cfRule type="cellIs" dxfId="213" priority="107" stopIfTrue="1" operator="equal">
      <formula>"FM"</formula>
    </cfRule>
    <cfRule type="cellIs" dxfId="212" priority="108" stopIfTrue="1" operator="equal">
      <formula>"LM"</formula>
    </cfRule>
    <cfRule type="cellIs" dxfId="211" priority="109" stopIfTrue="1" operator="equal">
      <formula>"PM"</formula>
    </cfRule>
    <cfRule type="cellIs" dxfId="210" priority="110" stopIfTrue="1" operator="equal">
      <formula>"DM"</formula>
    </cfRule>
  </conditionalFormatting>
  <conditionalFormatting sqref="B67">
    <cfRule type="cellIs" dxfId="209" priority="101" operator="equal">
      <formula>"S"</formula>
    </cfRule>
    <cfRule type="cellIs" dxfId="208" priority="102" stopIfTrue="1" operator="equal">
      <formula>"FM"</formula>
    </cfRule>
    <cfRule type="cellIs" dxfId="207" priority="103" stopIfTrue="1" operator="equal">
      <formula>"LM"</formula>
    </cfRule>
    <cfRule type="cellIs" dxfId="206" priority="104" stopIfTrue="1" operator="equal">
      <formula>"PM"</formula>
    </cfRule>
    <cfRule type="cellIs" dxfId="205" priority="105" stopIfTrue="1" operator="equal">
      <formula>"DM"</formula>
    </cfRule>
  </conditionalFormatting>
  <conditionalFormatting sqref="B73">
    <cfRule type="cellIs" dxfId="204" priority="96" operator="equal">
      <formula>"S"</formula>
    </cfRule>
    <cfRule type="cellIs" dxfId="203" priority="97" stopIfTrue="1" operator="equal">
      <formula>"FM"</formula>
    </cfRule>
    <cfRule type="cellIs" dxfId="202" priority="98" stopIfTrue="1" operator="equal">
      <formula>"LM"</formula>
    </cfRule>
    <cfRule type="cellIs" dxfId="201" priority="99" stopIfTrue="1" operator="equal">
      <formula>"PM"</formula>
    </cfRule>
    <cfRule type="cellIs" dxfId="200" priority="100" stopIfTrue="1" operator="equal">
      <formula>"DM"</formula>
    </cfRule>
  </conditionalFormatting>
  <conditionalFormatting sqref="D46:D76">
    <cfRule type="cellIs" dxfId="199" priority="91" operator="equal">
      <formula>"S"</formula>
    </cfRule>
    <cfRule type="cellIs" dxfId="198" priority="92" stopIfTrue="1" operator="equal">
      <formula>"FM"</formula>
    </cfRule>
    <cfRule type="cellIs" dxfId="197" priority="93" stopIfTrue="1" operator="equal">
      <formula>"LM"</formula>
    </cfRule>
    <cfRule type="cellIs" dxfId="196" priority="94" stopIfTrue="1" operator="equal">
      <formula>"PM"</formula>
    </cfRule>
    <cfRule type="cellIs" dxfId="195" priority="95" stopIfTrue="1" operator="equal">
      <formula>"DM"</formula>
    </cfRule>
  </conditionalFormatting>
  <conditionalFormatting sqref="E46:E76">
    <cfRule type="cellIs" dxfId="194" priority="86" operator="equal">
      <formula>"S"</formula>
    </cfRule>
    <cfRule type="cellIs" dxfId="193" priority="87" stopIfTrue="1" operator="equal">
      <formula>"FM"</formula>
    </cfRule>
    <cfRule type="cellIs" dxfId="192" priority="88" stopIfTrue="1" operator="equal">
      <formula>"LM"</formula>
    </cfRule>
    <cfRule type="cellIs" dxfId="191" priority="89" stopIfTrue="1" operator="equal">
      <formula>"PM"</formula>
    </cfRule>
    <cfRule type="cellIs" dxfId="190" priority="90" stopIfTrue="1" operator="equal">
      <formula>"DM"</formula>
    </cfRule>
  </conditionalFormatting>
  <conditionalFormatting sqref="F46:F76">
    <cfRule type="cellIs" dxfId="189" priority="81" operator="equal">
      <formula>"S"</formula>
    </cfRule>
    <cfRule type="cellIs" dxfId="188" priority="82" stopIfTrue="1" operator="equal">
      <formula>"FM"</formula>
    </cfRule>
    <cfRule type="cellIs" dxfId="187" priority="83" stopIfTrue="1" operator="equal">
      <formula>"LM"</formula>
    </cfRule>
    <cfRule type="cellIs" dxfId="186" priority="84" stopIfTrue="1" operator="equal">
      <formula>"PM"</formula>
    </cfRule>
    <cfRule type="cellIs" dxfId="185" priority="85" stopIfTrue="1" operator="equal">
      <formula>"DM"</formula>
    </cfRule>
  </conditionalFormatting>
  <conditionalFormatting sqref="G46:G76">
    <cfRule type="cellIs" dxfId="184" priority="76" operator="equal">
      <formula>"S"</formula>
    </cfRule>
    <cfRule type="cellIs" dxfId="183" priority="77" stopIfTrue="1" operator="equal">
      <formula>"FM"</formula>
    </cfRule>
    <cfRule type="cellIs" dxfId="182" priority="78" stopIfTrue="1" operator="equal">
      <formula>"LM"</formula>
    </cfRule>
    <cfRule type="cellIs" dxfId="181" priority="79" stopIfTrue="1" operator="equal">
      <formula>"PM"</formula>
    </cfRule>
    <cfRule type="cellIs" dxfId="180" priority="80" stopIfTrue="1" operator="equal">
      <formula>"DM"</formula>
    </cfRule>
  </conditionalFormatting>
  <conditionalFormatting sqref="H46:H76">
    <cfRule type="cellIs" dxfId="179" priority="71" operator="equal">
      <formula>"S"</formula>
    </cfRule>
    <cfRule type="cellIs" dxfId="178" priority="72" stopIfTrue="1" operator="equal">
      <formula>"FM"</formula>
    </cfRule>
    <cfRule type="cellIs" dxfId="177" priority="73" stopIfTrue="1" operator="equal">
      <formula>"LM"</formula>
    </cfRule>
    <cfRule type="cellIs" dxfId="176" priority="74" stopIfTrue="1" operator="equal">
      <formula>"PM"</formula>
    </cfRule>
    <cfRule type="cellIs" dxfId="175" priority="75" stopIfTrue="1" operator="equal">
      <formula>"DM"</formula>
    </cfRule>
  </conditionalFormatting>
  <conditionalFormatting sqref="I46:I76">
    <cfRule type="cellIs" dxfId="174" priority="66" operator="equal">
      <formula>"S"</formula>
    </cfRule>
    <cfRule type="cellIs" dxfId="173" priority="67" stopIfTrue="1" operator="equal">
      <formula>"FM"</formula>
    </cfRule>
    <cfRule type="cellIs" dxfId="172" priority="68" stopIfTrue="1" operator="equal">
      <formula>"LM"</formula>
    </cfRule>
    <cfRule type="cellIs" dxfId="171" priority="69" stopIfTrue="1" operator="equal">
      <formula>"PM"</formula>
    </cfRule>
    <cfRule type="cellIs" dxfId="170" priority="70" stopIfTrue="1" operator="equal">
      <formula>"DM"</formula>
    </cfRule>
  </conditionalFormatting>
  <conditionalFormatting sqref="J46:J76">
    <cfRule type="cellIs" dxfId="169" priority="61" operator="equal">
      <formula>"S"</formula>
    </cfRule>
    <cfRule type="cellIs" dxfId="168" priority="62" stopIfTrue="1" operator="equal">
      <formula>"FM"</formula>
    </cfRule>
    <cfRule type="cellIs" dxfId="167" priority="63" stopIfTrue="1" operator="equal">
      <formula>"LM"</formula>
    </cfRule>
    <cfRule type="cellIs" dxfId="166" priority="64" stopIfTrue="1" operator="equal">
      <formula>"PM"</formula>
    </cfRule>
    <cfRule type="cellIs" dxfId="165" priority="65" stopIfTrue="1" operator="equal">
      <formula>"DM"</formula>
    </cfRule>
  </conditionalFormatting>
  <conditionalFormatting sqref="K46:K76">
    <cfRule type="cellIs" dxfId="164" priority="56" operator="equal">
      <formula>"S"</formula>
    </cfRule>
    <cfRule type="cellIs" dxfId="163" priority="57" stopIfTrue="1" operator="equal">
      <formula>"FM"</formula>
    </cfRule>
    <cfRule type="cellIs" dxfId="162" priority="58" stopIfTrue="1" operator="equal">
      <formula>"LM"</formula>
    </cfRule>
    <cfRule type="cellIs" dxfId="161" priority="59" stopIfTrue="1" operator="equal">
      <formula>"PM"</formula>
    </cfRule>
    <cfRule type="cellIs" dxfId="160" priority="60" stopIfTrue="1" operator="equal">
      <formula>"DM"</formula>
    </cfRule>
  </conditionalFormatting>
  <conditionalFormatting sqref="L46:L76">
    <cfRule type="cellIs" dxfId="159" priority="51" operator="equal">
      <formula>"S"</formula>
    </cfRule>
    <cfRule type="cellIs" dxfId="158" priority="52" stopIfTrue="1" operator="equal">
      <formula>"FM"</formula>
    </cfRule>
    <cfRule type="cellIs" dxfId="157" priority="53" stopIfTrue="1" operator="equal">
      <formula>"LM"</formula>
    </cfRule>
    <cfRule type="cellIs" dxfId="156" priority="54" stopIfTrue="1" operator="equal">
      <formula>"PM"</formula>
    </cfRule>
    <cfRule type="cellIs" dxfId="155" priority="55" stopIfTrue="1" operator="equal">
      <formula>"DM"</formula>
    </cfRule>
  </conditionalFormatting>
  <conditionalFormatting sqref="M46:M76">
    <cfRule type="cellIs" dxfId="154" priority="46" operator="equal">
      <formula>"S"</formula>
    </cfRule>
    <cfRule type="cellIs" dxfId="153" priority="47" stopIfTrue="1" operator="equal">
      <formula>"FM"</formula>
    </cfRule>
    <cfRule type="cellIs" dxfId="152" priority="48" stopIfTrue="1" operator="equal">
      <formula>"LM"</formula>
    </cfRule>
    <cfRule type="cellIs" dxfId="151" priority="49" stopIfTrue="1" operator="equal">
      <formula>"PM"</formula>
    </cfRule>
    <cfRule type="cellIs" dxfId="150" priority="50" stopIfTrue="1" operator="equal">
      <formula>"DM"</formula>
    </cfRule>
  </conditionalFormatting>
  <conditionalFormatting sqref="N46:N76">
    <cfRule type="cellIs" dxfId="149" priority="41" operator="equal">
      <formula>"S"</formula>
    </cfRule>
    <cfRule type="cellIs" dxfId="148" priority="42" stopIfTrue="1" operator="equal">
      <formula>"FM"</formula>
    </cfRule>
    <cfRule type="cellIs" dxfId="147" priority="43" stopIfTrue="1" operator="equal">
      <formula>"LM"</formula>
    </cfRule>
    <cfRule type="cellIs" dxfId="146" priority="44" stopIfTrue="1" operator="equal">
      <formula>"PM"</formula>
    </cfRule>
    <cfRule type="cellIs" dxfId="145" priority="45" stopIfTrue="1" operator="equal">
      <formula>"DM"</formula>
    </cfRule>
  </conditionalFormatting>
  <conditionalFormatting sqref="O46:O76">
    <cfRule type="cellIs" dxfId="144" priority="36" operator="equal">
      <formula>"S"</formula>
    </cfRule>
    <cfRule type="cellIs" dxfId="143" priority="37" stopIfTrue="1" operator="equal">
      <formula>"FM"</formula>
    </cfRule>
    <cfRule type="cellIs" dxfId="142" priority="38" stopIfTrue="1" operator="equal">
      <formula>"LM"</formula>
    </cfRule>
    <cfRule type="cellIs" dxfId="141" priority="39" stopIfTrue="1" operator="equal">
      <formula>"PM"</formula>
    </cfRule>
    <cfRule type="cellIs" dxfId="140" priority="40" stopIfTrue="1" operator="equal">
      <formula>"DM"</formula>
    </cfRule>
  </conditionalFormatting>
  <conditionalFormatting sqref="P46:P76">
    <cfRule type="cellIs" dxfId="139" priority="31" operator="equal">
      <formula>"S"</formula>
    </cfRule>
    <cfRule type="cellIs" dxfId="138" priority="32" stopIfTrue="1" operator="equal">
      <formula>"FM"</formula>
    </cfRule>
    <cfRule type="cellIs" dxfId="137" priority="33" stopIfTrue="1" operator="equal">
      <formula>"LM"</formula>
    </cfRule>
    <cfRule type="cellIs" dxfId="136" priority="34" stopIfTrue="1" operator="equal">
      <formula>"PM"</formula>
    </cfRule>
    <cfRule type="cellIs" dxfId="135" priority="35" stopIfTrue="1" operator="equal">
      <formula>"DM"</formula>
    </cfRule>
  </conditionalFormatting>
  <conditionalFormatting sqref="Q46:Q76">
    <cfRule type="cellIs" dxfId="134" priority="26" operator="equal">
      <formula>"S"</formula>
    </cfRule>
    <cfRule type="cellIs" dxfId="133" priority="27" stopIfTrue="1" operator="equal">
      <formula>"FM"</formula>
    </cfRule>
    <cfRule type="cellIs" dxfId="132" priority="28" stopIfTrue="1" operator="equal">
      <formula>"LM"</formula>
    </cfRule>
    <cfRule type="cellIs" dxfId="131" priority="29" stopIfTrue="1" operator="equal">
      <formula>"PM"</formula>
    </cfRule>
    <cfRule type="cellIs" dxfId="130" priority="30" stopIfTrue="1" operator="equal">
      <formula>"DM"</formula>
    </cfRule>
  </conditionalFormatting>
  <conditionalFormatting sqref="R46:R76">
    <cfRule type="cellIs" dxfId="129" priority="21" operator="equal">
      <formula>"S"</formula>
    </cfRule>
    <cfRule type="cellIs" dxfId="128" priority="22" stopIfTrue="1" operator="equal">
      <formula>"FM"</formula>
    </cfRule>
    <cfRule type="cellIs" dxfId="127" priority="23" stopIfTrue="1" operator="equal">
      <formula>"LM"</formula>
    </cfRule>
    <cfRule type="cellIs" dxfId="126" priority="24" stopIfTrue="1" operator="equal">
      <formula>"PM"</formula>
    </cfRule>
    <cfRule type="cellIs" dxfId="125" priority="25" stopIfTrue="1" operator="equal">
      <formula>"DM"</formula>
    </cfRule>
  </conditionalFormatting>
  <conditionalFormatting sqref="S46:S76">
    <cfRule type="cellIs" dxfId="124" priority="16" operator="equal">
      <formula>"S"</formula>
    </cfRule>
    <cfRule type="cellIs" dxfId="123" priority="17" stopIfTrue="1" operator="equal">
      <formula>"FM"</formula>
    </cfRule>
    <cfRule type="cellIs" dxfId="122" priority="18" stopIfTrue="1" operator="equal">
      <formula>"LM"</formula>
    </cfRule>
    <cfRule type="cellIs" dxfId="121" priority="19" stopIfTrue="1" operator="equal">
      <formula>"PM"</formula>
    </cfRule>
    <cfRule type="cellIs" dxfId="120" priority="20" stopIfTrue="1" operator="equal">
      <formula>"DM"</formula>
    </cfRule>
  </conditionalFormatting>
  <conditionalFormatting sqref="T46:T76">
    <cfRule type="cellIs" dxfId="119" priority="11" operator="equal">
      <formula>"S"</formula>
    </cfRule>
    <cfRule type="cellIs" dxfId="118" priority="12" stopIfTrue="1" operator="equal">
      <formula>"FM"</formula>
    </cfRule>
    <cfRule type="cellIs" dxfId="117" priority="13" stopIfTrue="1" operator="equal">
      <formula>"LM"</formula>
    </cfRule>
    <cfRule type="cellIs" dxfId="116" priority="14" stopIfTrue="1" operator="equal">
      <formula>"PM"</formula>
    </cfRule>
    <cfRule type="cellIs" dxfId="115" priority="15" stopIfTrue="1" operator="equal">
      <formula>"DM"</formula>
    </cfRule>
  </conditionalFormatting>
  <conditionalFormatting sqref="U46:U76">
    <cfRule type="cellIs" dxfId="114" priority="6" operator="equal">
      <formula>"S"</formula>
    </cfRule>
    <cfRule type="cellIs" dxfId="113" priority="7" stopIfTrue="1" operator="equal">
      <formula>"FM"</formula>
    </cfRule>
    <cfRule type="cellIs" dxfId="112" priority="8" stopIfTrue="1" operator="equal">
      <formula>"LM"</formula>
    </cfRule>
    <cfRule type="cellIs" dxfId="111" priority="9" stopIfTrue="1" operator="equal">
      <formula>"PM"</formula>
    </cfRule>
    <cfRule type="cellIs" dxfId="110" priority="10" stopIfTrue="1" operator="equal">
      <formula>"DM"</formula>
    </cfRule>
  </conditionalFormatting>
  <conditionalFormatting sqref="V46:V76">
    <cfRule type="cellIs" dxfId="109" priority="1" operator="equal">
      <formula>"S"</formula>
    </cfRule>
    <cfRule type="cellIs" dxfId="108" priority="2" stopIfTrue="1" operator="equal">
      <formula>"FM"</formula>
    </cfRule>
    <cfRule type="cellIs" dxfId="107" priority="3" stopIfTrue="1" operator="equal">
      <formula>"LM"</formula>
    </cfRule>
    <cfRule type="cellIs" dxfId="106" priority="4" stopIfTrue="1" operator="equal">
      <formula>"PM"</formula>
    </cfRule>
    <cfRule type="cellIs" dxfId="105" priority="5" stopIfTrue="1" operator="equal">
      <formula>"DM"</formula>
    </cfRule>
  </conditionalFormatting>
  <pageMargins left="0.7" right="0.7" top="0.75" bottom="0.75" header="0.3" footer="0.3"/>
  <pageSetup scale="63" fitToHeight="0" orientation="landscape"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CF856-325E-44CF-899E-E9AB74EE6DAD}">
  <sheetPr codeName="Sheet5">
    <pageSetUpPr fitToPage="1"/>
  </sheetPr>
  <dimension ref="A1:R40"/>
  <sheetViews>
    <sheetView workbookViewId="0">
      <selection activeCell="O9" sqref="O9"/>
    </sheetView>
  </sheetViews>
  <sheetFormatPr defaultColWidth="8.6640625" defaultRowHeight="14.4"/>
  <cols>
    <col min="1" max="2" width="8.6640625" style="29"/>
    <col min="3" max="9" width="7.6640625" style="44" customWidth="1"/>
    <col min="10" max="10" width="3.44140625" style="29" customWidth="1"/>
    <col min="11" max="18" width="7.6640625" style="44" customWidth="1"/>
    <col min="19" max="16384" width="8.6640625" style="29"/>
  </cols>
  <sheetData>
    <row r="1" spans="1:18" s="47" customFormat="1" ht="18">
      <c r="A1" s="47" t="s">
        <v>62</v>
      </c>
      <c r="C1" s="48"/>
      <c r="D1" s="48"/>
      <c r="E1" s="48"/>
      <c r="F1" s="48"/>
      <c r="G1" s="48"/>
      <c r="H1" s="48"/>
      <c r="I1" s="48"/>
      <c r="K1" s="48"/>
      <c r="L1" s="48"/>
      <c r="M1" s="48"/>
      <c r="N1" s="48"/>
      <c r="O1" s="48"/>
      <c r="P1" s="48"/>
      <c r="Q1" s="48"/>
      <c r="R1" s="48"/>
    </row>
    <row r="2" spans="1:18" ht="68.099999999999994" customHeight="1">
      <c r="A2" s="373" t="s">
        <v>16</v>
      </c>
      <c r="B2" s="373" t="s">
        <v>17</v>
      </c>
      <c r="C2" s="30" t="s">
        <v>63</v>
      </c>
      <c r="D2" s="49" t="s">
        <v>64</v>
      </c>
      <c r="E2" s="49" t="s">
        <v>65</v>
      </c>
      <c r="F2" s="49" t="s">
        <v>66</v>
      </c>
      <c r="G2" s="49" t="s">
        <v>67</v>
      </c>
      <c r="H2" s="49" t="s">
        <v>68</v>
      </c>
      <c r="I2" s="49" t="s">
        <v>69</v>
      </c>
      <c r="J2" s="31"/>
      <c r="K2" s="30" t="s">
        <v>63</v>
      </c>
      <c r="L2" s="49" t="s">
        <v>64</v>
      </c>
      <c r="M2" s="49" t="s">
        <v>65</v>
      </c>
      <c r="N2" s="49" t="s">
        <v>66</v>
      </c>
      <c r="O2" s="49" t="s">
        <v>67</v>
      </c>
      <c r="P2" s="49" t="s">
        <v>70</v>
      </c>
      <c r="Q2" s="49" t="s">
        <v>68</v>
      </c>
      <c r="R2" s="49" t="s">
        <v>69</v>
      </c>
    </row>
    <row r="3" spans="1:18">
      <c r="A3" s="373"/>
      <c r="B3" s="373"/>
      <c r="C3" s="30" t="s">
        <v>27</v>
      </c>
      <c r="D3" s="30" t="s">
        <v>27</v>
      </c>
      <c r="E3" s="30" t="s">
        <v>27</v>
      </c>
      <c r="F3" s="30" t="s">
        <v>27</v>
      </c>
      <c r="G3" s="30" t="s">
        <v>27</v>
      </c>
      <c r="H3" s="30" t="s">
        <v>27</v>
      </c>
      <c r="I3" s="30" t="s">
        <v>27</v>
      </c>
      <c r="J3" s="31"/>
      <c r="K3" s="30" t="s">
        <v>28</v>
      </c>
      <c r="L3" s="30" t="s">
        <v>28</v>
      </c>
      <c r="M3" s="30" t="s">
        <v>28</v>
      </c>
      <c r="N3" s="30" t="s">
        <v>28</v>
      </c>
      <c r="O3" s="30" t="s">
        <v>28</v>
      </c>
      <c r="P3" s="30" t="s">
        <v>28</v>
      </c>
      <c r="Q3" s="30" t="s">
        <v>28</v>
      </c>
      <c r="R3" s="30" t="s">
        <v>28</v>
      </c>
    </row>
    <row r="4" spans="1:18">
      <c r="A4" s="370" t="s">
        <v>400</v>
      </c>
      <c r="B4" s="32" t="s">
        <v>47</v>
      </c>
      <c r="C4" s="50" t="s">
        <v>1995</v>
      </c>
      <c r="D4" s="50"/>
      <c r="E4" s="50"/>
      <c r="F4" s="50"/>
      <c r="G4" s="50"/>
      <c r="H4" s="50"/>
      <c r="I4" s="50"/>
      <c r="J4" s="31"/>
      <c r="K4" s="50" t="s">
        <v>1995</v>
      </c>
      <c r="L4" s="50"/>
      <c r="M4" s="50"/>
      <c r="N4" s="50"/>
      <c r="O4" s="50"/>
      <c r="P4" s="50"/>
      <c r="Q4" s="50"/>
      <c r="R4" s="50"/>
    </row>
    <row r="5" spans="1:18">
      <c r="A5" s="370"/>
      <c r="B5" s="31">
        <v>1.1000000000000001</v>
      </c>
      <c r="C5" s="50" t="s">
        <v>55</v>
      </c>
      <c r="D5" s="50" t="s">
        <v>55</v>
      </c>
      <c r="E5" s="50" t="s">
        <v>55</v>
      </c>
      <c r="F5" s="50" t="s">
        <v>55</v>
      </c>
      <c r="G5" s="50" t="s">
        <v>55</v>
      </c>
      <c r="H5" s="50" t="s">
        <v>55</v>
      </c>
      <c r="I5" s="50" t="s">
        <v>55</v>
      </c>
      <c r="J5" s="31"/>
      <c r="K5" s="50" t="s">
        <v>55</v>
      </c>
      <c r="L5" s="50" t="s">
        <v>55</v>
      </c>
      <c r="M5" s="50" t="s">
        <v>55</v>
      </c>
      <c r="N5" s="50" t="s">
        <v>55</v>
      </c>
      <c r="O5" s="50" t="s">
        <v>55</v>
      </c>
      <c r="P5" s="50" t="s">
        <v>55</v>
      </c>
      <c r="Q5" s="50" t="s">
        <v>55</v>
      </c>
      <c r="R5" s="50" t="s">
        <v>55</v>
      </c>
    </row>
    <row r="6" spans="1:18">
      <c r="A6" s="370"/>
      <c r="B6" s="31">
        <v>1.2</v>
      </c>
      <c r="C6" s="32"/>
      <c r="D6" s="32"/>
      <c r="E6" s="32"/>
      <c r="F6" s="32"/>
      <c r="G6" s="32"/>
      <c r="H6" s="32"/>
      <c r="I6" s="32"/>
      <c r="J6" s="31"/>
      <c r="K6" s="32"/>
      <c r="L6" s="32"/>
      <c r="M6" s="32"/>
      <c r="N6" s="32"/>
      <c r="O6" s="32"/>
      <c r="P6" s="32"/>
      <c r="Q6" s="32"/>
      <c r="R6" s="32"/>
    </row>
    <row r="7" spans="1:18">
      <c r="A7" s="370"/>
      <c r="B7" s="31">
        <v>1.3</v>
      </c>
      <c r="C7" s="32"/>
      <c r="D7" s="32"/>
      <c r="E7" s="32"/>
      <c r="F7" s="32"/>
      <c r="G7" s="32"/>
      <c r="H7" s="32"/>
      <c r="I7" s="32"/>
      <c r="J7" s="31"/>
      <c r="K7" s="32"/>
      <c r="L7" s="32"/>
      <c r="M7" s="32"/>
      <c r="N7" s="32"/>
      <c r="O7" s="32"/>
      <c r="P7" s="32"/>
      <c r="Q7" s="32"/>
      <c r="R7" s="32"/>
    </row>
    <row r="8" spans="1:18" hidden="1">
      <c r="A8" s="370"/>
      <c r="B8" s="31">
        <v>1.4</v>
      </c>
      <c r="C8" s="32"/>
      <c r="D8" s="32"/>
      <c r="E8" s="32"/>
      <c r="F8" s="32"/>
      <c r="G8" s="32"/>
      <c r="H8" s="32"/>
      <c r="I8" s="32"/>
      <c r="J8" s="31"/>
      <c r="K8" s="32">
        <v>0</v>
      </c>
      <c r="L8" s="32"/>
      <c r="M8" s="32"/>
      <c r="N8" s="32"/>
      <c r="O8" s="32"/>
      <c r="P8" s="32"/>
      <c r="Q8" s="32"/>
      <c r="R8" s="32"/>
    </row>
    <row r="9" spans="1:18">
      <c r="A9" s="370" t="s">
        <v>54</v>
      </c>
      <c r="B9" s="32" t="s">
        <v>54</v>
      </c>
      <c r="C9" s="50" t="s">
        <v>1995</v>
      </c>
      <c r="D9" s="50"/>
      <c r="E9" s="50"/>
      <c r="F9" s="50"/>
      <c r="G9" s="50"/>
      <c r="H9" s="50"/>
      <c r="I9" s="50"/>
      <c r="J9" s="31"/>
      <c r="K9" s="50" t="s">
        <v>1995</v>
      </c>
      <c r="L9" s="50"/>
      <c r="M9" s="50"/>
      <c r="N9" s="50"/>
      <c r="O9" s="50"/>
      <c r="P9" s="50"/>
      <c r="Q9" s="50"/>
      <c r="R9" s="50"/>
    </row>
    <row r="10" spans="1:18">
      <c r="A10" s="370"/>
      <c r="B10" s="31">
        <v>2.1</v>
      </c>
      <c r="C10" s="50" t="s">
        <v>55</v>
      </c>
      <c r="D10" s="50" t="s">
        <v>55</v>
      </c>
      <c r="E10" s="50" t="s">
        <v>55</v>
      </c>
      <c r="F10" s="50" t="s">
        <v>55</v>
      </c>
      <c r="G10" s="50" t="s">
        <v>55</v>
      </c>
      <c r="H10" s="50" t="s">
        <v>55</v>
      </c>
      <c r="I10" s="50" t="s">
        <v>55</v>
      </c>
      <c r="J10" s="31"/>
      <c r="K10" s="50" t="s">
        <v>55</v>
      </c>
      <c r="L10" s="50" t="s">
        <v>55</v>
      </c>
      <c r="M10" s="50" t="s">
        <v>55</v>
      </c>
      <c r="N10" s="50" t="s">
        <v>55</v>
      </c>
      <c r="O10" s="50" t="s">
        <v>55</v>
      </c>
      <c r="P10" s="50" t="s">
        <v>55</v>
      </c>
      <c r="Q10" s="50" t="s">
        <v>55</v>
      </c>
      <c r="R10" s="50" t="s">
        <v>55</v>
      </c>
    </row>
    <row r="11" spans="1:18">
      <c r="A11" s="370"/>
      <c r="B11" s="31">
        <v>2.2000000000000002</v>
      </c>
      <c r="C11" s="50" t="s">
        <v>55</v>
      </c>
      <c r="D11" s="50" t="s">
        <v>55</v>
      </c>
      <c r="E11" s="50" t="s">
        <v>55</v>
      </c>
      <c r="F11" s="50" t="s">
        <v>55</v>
      </c>
      <c r="G11" s="50" t="s">
        <v>55</v>
      </c>
      <c r="H11" s="50" t="s">
        <v>55</v>
      </c>
      <c r="I11" s="50" t="s">
        <v>55</v>
      </c>
      <c r="J11" s="31"/>
      <c r="K11" s="50" t="s">
        <v>55</v>
      </c>
      <c r="L11" s="50"/>
      <c r="M11" s="50"/>
      <c r="N11" s="50"/>
      <c r="O11" s="50"/>
      <c r="P11" s="50"/>
      <c r="Q11" s="50"/>
      <c r="R11" s="50"/>
    </row>
    <row r="12" spans="1:18">
      <c r="A12" s="370"/>
      <c r="B12" s="31">
        <v>2.2999999999999998</v>
      </c>
      <c r="C12" s="50" t="s">
        <v>55</v>
      </c>
      <c r="D12" s="50" t="s">
        <v>55</v>
      </c>
      <c r="E12" s="50" t="s">
        <v>55</v>
      </c>
      <c r="F12" s="50" t="s">
        <v>55</v>
      </c>
      <c r="G12" s="50" t="s">
        <v>55</v>
      </c>
      <c r="H12" s="50" t="s">
        <v>55</v>
      </c>
      <c r="I12" s="50" t="s">
        <v>55</v>
      </c>
      <c r="J12" s="31"/>
      <c r="K12" s="32"/>
      <c r="L12" s="32"/>
      <c r="M12" s="32"/>
      <c r="N12" s="32"/>
      <c r="O12" s="32"/>
      <c r="P12" s="32"/>
      <c r="Q12" s="32"/>
      <c r="R12" s="32"/>
    </row>
    <row r="13" spans="1:18">
      <c r="A13" s="370"/>
      <c r="B13" s="31">
        <v>2.4</v>
      </c>
      <c r="C13" s="50" t="s">
        <v>55</v>
      </c>
      <c r="D13" s="50" t="s">
        <v>55</v>
      </c>
      <c r="E13" s="50" t="s">
        <v>55</v>
      </c>
      <c r="F13" s="50" t="s">
        <v>55</v>
      </c>
      <c r="G13" s="50" t="s">
        <v>55</v>
      </c>
      <c r="H13" s="50" t="s">
        <v>55</v>
      </c>
      <c r="I13" s="50" t="s">
        <v>55</v>
      </c>
      <c r="J13" s="31"/>
      <c r="K13" s="32"/>
      <c r="L13" s="32"/>
      <c r="M13" s="32"/>
      <c r="N13" s="32"/>
      <c r="O13" s="32"/>
      <c r="P13" s="32"/>
      <c r="Q13" s="32"/>
      <c r="R13" s="32"/>
    </row>
    <row r="14" spans="1:18">
      <c r="A14" s="370"/>
      <c r="B14" s="31">
        <v>2.5</v>
      </c>
      <c r="C14" s="32"/>
      <c r="D14" s="32"/>
      <c r="E14" s="32"/>
      <c r="F14" s="32"/>
      <c r="G14" s="32"/>
      <c r="H14" s="32"/>
      <c r="I14" s="32"/>
      <c r="J14" s="31"/>
      <c r="K14" s="32"/>
      <c r="L14" s="32"/>
      <c r="M14" s="32"/>
      <c r="N14" s="32"/>
      <c r="O14" s="32"/>
      <c r="P14" s="32"/>
      <c r="Q14" s="32"/>
      <c r="R14" s="32"/>
    </row>
    <row r="15" spans="1:18">
      <c r="A15" s="370"/>
      <c r="B15" s="31">
        <v>2.6</v>
      </c>
      <c r="C15" s="32"/>
      <c r="D15" s="32"/>
      <c r="E15" s="32"/>
      <c r="F15" s="32"/>
      <c r="G15" s="32"/>
      <c r="H15" s="32"/>
      <c r="I15" s="32"/>
      <c r="J15" s="31"/>
      <c r="K15" s="32"/>
      <c r="L15" s="32"/>
      <c r="M15" s="32"/>
      <c r="N15" s="32"/>
      <c r="O15" s="32"/>
      <c r="P15" s="32"/>
      <c r="Q15" s="32"/>
      <c r="R15" s="32"/>
    </row>
    <row r="16" spans="1:18">
      <c r="A16" s="370"/>
      <c r="B16" s="31">
        <v>2.7</v>
      </c>
      <c r="C16" s="32"/>
      <c r="D16" s="32"/>
      <c r="E16" s="32"/>
      <c r="F16" s="32"/>
      <c r="G16" s="32"/>
      <c r="H16" s="32"/>
      <c r="I16" s="32"/>
      <c r="J16" s="31"/>
      <c r="K16" s="32"/>
      <c r="L16" s="32"/>
      <c r="M16" s="32"/>
      <c r="N16" s="32"/>
      <c r="O16" s="32"/>
      <c r="P16" s="32"/>
      <c r="Q16" s="32"/>
      <c r="R16" s="32"/>
    </row>
    <row r="17" spans="1:18">
      <c r="A17" s="370"/>
      <c r="B17" s="31">
        <v>2.8</v>
      </c>
      <c r="C17" s="32"/>
      <c r="D17" s="32"/>
      <c r="E17" s="32"/>
      <c r="F17" s="32"/>
      <c r="G17" s="32"/>
      <c r="H17" s="32"/>
      <c r="I17" s="32"/>
      <c r="J17" s="31"/>
      <c r="K17" s="32"/>
      <c r="L17" s="32"/>
      <c r="M17" s="32"/>
      <c r="N17" s="32"/>
      <c r="O17" s="32"/>
      <c r="P17" s="32"/>
      <c r="Q17" s="32"/>
      <c r="R17" s="32"/>
    </row>
    <row r="18" spans="1:18">
      <c r="A18" s="370" t="s">
        <v>56</v>
      </c>
      <c r="B18" s="32" t="s">
        <v>56</v>
      </c>
      <c r="C18" s="50" t="s">
        <v>1995</v>
      </c>
      <c r="D18" s="50"/>
      <c r="E18" s="50"/>
      <c r="F18" s="50"/>
      <c r="G18" s="50"/>
      <c r="H18" s="50"/>
      <c r="I18" s="50"/>
      <c r="J18" s="31"/>
      <c r="K18" s="50" t="s">
        <v>1995</v>
      </c>
      <c r="L18" s="50"/>
      <c r="M18" s="50"/>
      <c r="N18" s="50"/>
      <c r="O18" s="50"/>
      <c r="P18" s="50"/>
      <c r="Q18" s="50"/>
      <c r="R18" s="50"/>
    </row>
    <row r="19" spans="1:18">
      <c r="A19" s="370"/>
      <c r="B19" s="31">
        <v>3.1</v>
      </c>
      <c r="C19" s="50" t="s">
        <v>55</v>
      </c>
      <c r="D19" s="50" t="s">
        <v>55</v>
      </c>
      <c r="E19" s="50" t="s">
        <v>55</v>
      </c>
      <c r="F19" s="50" t="s">
        <v>55</v>
      </c>
      <c r="G19" s="50" t="s">
        <v>55</v>
      </c>
      <c r="H19" s="50" t="s">
        <v>55</v>
      </c>
      <c r="I19" s="50" t="s">
        <v>55</v>
      </c>
      <c r="J19" s="31"/>
      <c r="K19" s="50" t="s">
        <v>55</v>
      </c>
      <c r="L19" s="50" t="s">
        <v>55</v>
      </c>
      <c r="M19" s="50" t="s">
        <v>55</v>
      </c>
      <c r="N19" s="50" t="s">
        <v>55</v>
      </c>
      <c r="O19" s="50" t="s">
        <v>55</v>
      </c>
      <c r="P19" s="50" t="s">
        <v>55</v>
      </c>
      <c r="Q19" s="50" t="s">
        <v>55</v>
      </c>
      <c r="R19" s="50" t="s">
        <v>55</v>
      </c>
    </row>
    <row r="20" spans="1:18">
      <c r="A20" s="370"/>
      <c r="B20" s="31">
        <v>3.2</v>
      </c>
      <c r="C20" s="50" t="s">
        <v>55</v>
      </c>
      <c r="D20" s="50" t="s">
        <v>55</v>
      </c>
      <c r="E20" s="50" t="s">
        <v>55</v>
      </c>
      <c r="F20" s="50" t="s">
        <v>55</v>
      </c>
      <c r="G20" s="50" t="s">
        <v>55</v>
      </c>
      <c r="H20" s="50" t="s">
        <v>55</v>
      </c>
      <c r="I20" s="50" t="s">
        <v>55</v>
      </c>
      <c r="J20" s="31"/>
      <c r="K20" s="50" t="s">
        <v>55</v>
      </c>
      <c r="L20" s="50" t="s">
        <v>55</v>
      </c>
      <c r="M20" s="50" t="s">
        <v>55</v>
      </c>
      <c r="N20" s="50" t="s">
        <v>55</v>
      </c>
      <c r="O20" s="50" t="s">
        <v>55</v>
      </c>
      <c r="P20" s="50" t="s">
        <v>55</v>
      </c>
      <c r="Q20" s="50" t="s">
        <v>55</v>
      </c>
      <c r="R20" s="50" t="s">
        <v>55</v>
      </c>
    </row>
    <row r="21" spans="1:18">
      <c r="A21" s="370"/>
      <c r="B21" s="31">
        <v>3.3</v>
      </c>
      <c r="C21" s="32"/>
      <c r="D21" s="32"/>
      <c r="E21" s="32"/>
      <c r="F21" s="32"/>
      <c r="G21" s="32"/>
      <c r="H21" s="32"/>
      <c r="I21" s="32"/>
      <c r="J21" s="31"/>
      <c r="K21" s="50" t="s">
        <v>55</v>
      </c>
      <c r="L21" s="50" t="s">
        <v>55</v>
      </c>
      <c r="M21" s="50" t="s">
        <v>55</v>
      </c>
      <c r="N21" s="50" t="s">
        <v>55</v>
      </c>
      <c r="O21" s="50" t="s">
        <v>55</v>
      </c>
      <c r="P21" s="50" t="s">
        <v>55</v>
      </c>
      <c r="Q21" s="50" t="s">
        <v>55</v>
      </c>
      <c r="R21" s="50" t="s">
        <v>55</v>
      </c>
    </row>
    <row r="22" spans="1:18">
      <c r="A22" s="370"/>
      <c r="B22" s="31">
        <v>3.4</v>
      </c>
      <c r="C22" s="32"/>
      <c r="D22" s="32"/>
      <c r="E22" s="32"/>
      <c r="F22" s="32"/>
      <c r="G22" s="32"/>
      <c r="H22" s="32"/>
      <c r="I22" s="32"/>
      <c r="J22" s="31"/>
      <c r="K22" s="32"/>
      <c r="L22" s="32"/>
      <c r="M22" s="32"/>
      <c r="N22" s="32"/>
      <c r="O22" s="32"/>
      <c r="P22" s="32"/>
      <c r="Q22" s="32"/>
      <c r="R22" s="32"/>
    </row>
    <row r="23" spans="1:18">
      <c r="A23" s="370"/>
      <c r="B23" s="31">
        <v>3.5</v>
      </c>
      <c r="C23" s="32"/>
      <c r="D23" s="32"/>
      <c r="E23" s="32"/>
      <c r="F23" s="32"/>
      <c r="G23" s="32"/>
      <c r="H23" s="32"/>
      <c r="I23" s="32"/>
      <c r="J23" s="31"/>
      <c r="K23" s="32"/>
      <c r="L23" s="32"/>
      <c r="M23" s="32"/>
      <c r="N23" s="32"/>
      <c r="O23" s="32"/>
      <c r="P23" s="32"/>
      <c r="Q23" s="32"/>
      <c r="R23" s="32"/>
    </row>
    <row r="24" spans="1:18">
      <c r="A24" s="370"/>
      <c r="B24" s="31">
        <v>3.6</v>
      </c>
      <c r="C24" s="32"/>
      <c r="D24" s="32"/>
      <c r="E24" s="32"/>
      <c r="F24" s="32"/>
      <c r="G24" s="32"/>
      <c r="H24" s="32"/>
      <c r="I24" s="32"/>
      <c r="J24" s="31"/>
      <c r="K24" s="32"/>
      <c r="L24" s="32"/>
      <c r="M24" s="32"/>
      <c r="N24" s="32"/>
      <c r="O24" s="32"/>
      <c r="P24" s="32"/>
      <c r="Q24" s="32"/>
      <c r="R24" s="32"/>
    </row>
    <row r="25" spans="1:18">
      <c r="A25" s="370"/>
      <c r="B25" s="31">
        <v>3.7</v>
      </c>
      <c r="C25" s="32"/>
      <c r="D25" s="32"/>
      <c r="E25" s="32"/>
      <c r="F25" s="32"/>
      <c r="G25" s="32"/>
      <c r="H25" s="32"/>
      <c r="I25" s="32"/>
      <c r="J25" s="31"/>
      <c r="K25" s="32"/>
      <c r="L25" s="32"/>
      <c r="M25" s="32"/>
      <c r="N25" s="32"/>
      <c r="O25" s="32"/>
      <c r="P25" s="32"/>
      <c r="Q25" s="32"/>
      <c r="R25" s="32"/>
    </row>
    <row r="26" spans="1:18">
      <c r="A26" s="370" t="s">
        <v>401</v>
      </c>
      <c r="B26" s="32" t="s">
        <v>57</v>
      </c>
      <c r="C26" s="50" t="s">
        <v>1995</v>
      </c>
      <c r="D26" s="50"/>
      <c r="E26" s="50"/>
      <c r="F26" s="50"/>
      <c r="G26" s="50"/>
      <c r="H26" s="50"/>
      <c r="I26" s="50"/>
      <c r="J26" s="31"/>
      <c r="K26" s="50"/>
      <c r="L26" s="50"/>
      <c r="M26" s="50"/>
      <c r="N26" s="50"/>
      <c r="O26" s="50"/>
      <c r="P26" s="50"/>
      <c r="Q26" s="50"/>
      <c r="R26" s="50"/>
    </row>
    <row r="27" spans="1:18">
      <c r="A27" s="370"/>
      <c r="B27" s="31">
        <v>4.0999999999999996</v>
      </c>
      <c r="C27" s="50" t="s">
        <v>55</v>
      </c>
      <c r="D27" s="50" t="s">
        <v>55</v>
      </c>
      <c r="E27" s="50" t="s">
        <v>55</v>
      </c>
      <c r="F27" s="50" t="s">
        <v>55</v>
      </c>
      <c r="G27" s="50" t="s">
        <v>55</v>
      </c>
      <c r="H27" s="50" t="s">
        <v>55</v>
      </c>
      <c r="I27" s="50" t="s">
        <v>55</v>
      </c>
      <c r="J27" s="31"/>
      <c r="K27" s="32"/>
      <c r="L27" s="32"/>
      <c r="M27" s="32"/>
      <c r="N27" s="32"/>
      <c r="O27" s="32"/>
      <c r="P27" s="32"/>
      <c r="Q27" s="32"/>
      <c r="R27" s="32"/>
    </row>
    <row r="28" spans="1:18">
      <c r="A28" s="370"/>
      <c r="B28" s="31">
        <v>4.2</v>
      </c>
      <c r="C28" s="32"/>
      <c r="D28" s="32"/>
      <c r="E28" s="32"/>
      <c r="F28" s="32"/>
      <c r="G28" s="32"/>
      <c r="H28" s="32"/>
      <c r="I28" s="32"/>
      <c r="J28" s="31"/>
      <c r="K28" s="32"/>
      <c r="L28" s="32"/>
      <c r="M28" s="32"/>
      <c r="N28" s="32"/>
      <c r="O28" s="32"/>
      <c r="P28" s="32"/>
      <c r="Q28" s="32"/>
      <c r="R28" s="32"/>
    </row>
    <row r="29" spans="1:18">
      <c r="A29" s="370"/>
      <c r="B29" s="31">
        <v>4.3</v>
      </c>
      <c r="C29" s="32"/>
      <c r="D29" s="32"/>
      <c r="E29" s="32"/>
      <c r="F29" s="32"/>
      <c r="G29" s="32"/>
      <c r="H29" s="32"/>
      <c r="I29" s="32"/>
      <c r="J29" s="31"/>
      <c r="K29" s="32"/>
      <c r="L29" s="32"/>
      <c r="M29" s="32"/>
      <c r="N29" s="32"/>
      <c r="O29" s="32"/>
      <c r="P29" s="32"/>
      <c r="Q29" s="32"/>
      <c r="R29" s="32"/>
    </row>
    <row r="30" spans="1:18">
      <c r="A30" s="370"/>
      <c r="B30" s="31">
        <v>4.4000000000000004</v>
      </c>
      <c r="C30" s="32"/>
      <c r="D30" s="32"/>
      <c r="E30" s="32"/>
      <c r="F30" s="32"/>
      <c r="G30" s="32"/>
      <c r="H30" s="32"/>
      <c r="I30" s="32"/>
      <c r="J30" s="31"/>
      <c r="K30" s="32"/>
      <c r="L30" s="32"/>
      <c r="M30" s="32"/>
      <c r="N30" s="32"/>
      <c r="O30" s="32"/>
      <c r="P30" s="32"/>
      <c r="Q30" s="32"/>
      <c r="R30" s="32"/>
    </row>
    <row r="31" spans="1:18">
      <c r="A31" s="370"/>
      <c r="B31" s="31">
        <v>4.5</v>
      </c>
      <c r="C31" s="32"/>
      <c r="D31" s="32"/>
      <c r="E31" s="32"/>
      <c r="F31" s="32"/>
      <c r="G31" s="32"/>
      <c r="H31" s="32"/>
      <c r="I31" s="32"/>
      <c r="J31" s="31"/>
      <c r="K31" s="32"/>
      <c r="L31" s="32"/>
      <c r="M31" s="32"/>
      <c r="N31" s="32"/>
      <c r="O31" s="32"/>
      <c r="P31" s="32"/>
      <c r="Q31" s="32"/>
      <c r="R31" s="32"/>
    </row>
    <row r="32" spans="1:18">
      <c r="A32" s="370" t="s">
        <v>58</v>
      </c>
      <c r="B32" s="32" t="s">
        <v>58</v>
      </c>
      <c r="C32" s="32"/>
      <c r="D32" s="32"/>
      <c r="E32" s="32"/>
      <c r="F32" s="32"/>
      <c r="G32" s="32"/>
      <c r="H32" s="32"/>
      <c r="I32" s="32"/>
      <c r="J32" s="31"/>
      <c r="K32" s="32"/>
      <c r="L32" s="32"/>
      <c r="M32" s="32"/>
      <c r="N32" s="32"/>
      <c r="O32" s="32"/>
      <c r="P32" s="32"/>
      <c r="Q32" s="32"/>
      <c r="R32" s="32"/>
    </row>
    <row r="33" spans="1:18">
      <c r="A33" s="370"/>
      <c r="B33" s="31">
        <v>5.0999999999999996</v>
      </c>
      <c r="C33" s="32"/>
      <c r="D33" s="32"/>
      <c r="E33" s="32"/>
      <c r="F33" s="32"/>
      <c r="G33" s="32"/>
      <c r="H33" s="32"/>
      <c r="I33" s="32"/>
      <c r="J33" s="31"/>
      <c r="K33" s="32"/>
      <c r="L33" s="32"/>
      <c r="M33" s="32"/>
      <c r="N33" s="32"/>
      <c r="O33" s="32"/>
      <c r="P33" s="32"/>
      <c r="Q33" s="32"/>
      <c r="R33" s="32"/>
    </row>
    <row r="34" spans="1:18">
      <c r="A34" s="370"/>
      <c r="B34" s="31">
        <v>5.2</v>
      </c>
      <c r="C34" s="32"/>
      <c r="D34" s="32"/>
      <c r="E34" s="32"/>
      <c r="F34" s="32"/>
      <c r="G34" s="32"/>
      <c r="H34" s="32"/>
      <c r="I34" s="32"/>
      <c r="J34" s="31"/>
      <c r="K34" s="32"/>
      <c r="L34" s="32"/>
      <c r="M34" s="32"/>
      <c r="N34" s="32"/>
      <c r="O34" s="32"/>
      <c r="P34" s="32"/>
      <c r="Q34" s="32"/>
      <c r="R34" s="32"/>
    </row>
    <row r="35" spans="1:18">
      <c r="A35" s="370"/>
      <c r="B35" s="31">
        <v>5.3</v>
      </c>
      <c r="C35" s="32"/>
      <c r="D35" s="32"/>
      <c r="E35" s="32"/>
      <c r="F35" s="32"/>
      <c r="G35" s="32"/>
      <c r="H35" s="32"/>
      <c r="I35" s="32"/>
      <c r="J35" s="31"/>
      <c r="K35" s="32"/>
      <c r="L35" s="32"/>
      <c r="M35" s="32"/>
      <c r="N35" s="32"/>
      <c r="O35" s="32"/>
      <c r="P35" s="32"/>
      <c r="Q35" s="32"/>
      <c r="R35" s="32"/>
    </row>
    <row r="39" spans="1:18" ht="15.6">
      <c r="A39" s="51" t="s">
        <v>71</v>
      </c>
    </row>
    <row r="40" spans="1:18" ht="15.6">
      <c r="A40" s="51" t="s">
        <v>72</v>
      </c>
    </row>
  </sheetData>
  <mergeCells count="7">
    <mergeCell ref="A32:A35"/>
    <mergeCell ref="A2:A3"/>
    <mergeCell ref="B2:B3"/>
    <mergeCell ref="A4:A8"/>
    <mergeCell ref="A9:A17"/>
    <mergeCell ref="A18:A25"/>
    <mergeCell ref="A26:A31"/>
  </mergeCells>
  <phoneticPr fontId="72" type="noConversion"/>
  <conditionalFormatting sqref="C4:D4 C28:D35 C14:I18 C21:D26 C27:I27 C5:I9 K6:R9">
    <cfRule type="cellIs" dxfId="104" priority="86" operator="equal">
      <formula>"S"</formula>
    </cfRule>
    <cfRule type="cellIs" dxfId="103" priority="87" stopIfTrue="1" operator="equal">
      <formula>"FM"</formula>
    </cfRule>
    <cfRule type="cellIs" dxfId="102" priority="88" stopIfTrue="1" operator="equal">
      <formula>"LM"</formula>
    </cfRule>
    <cfRule type="cellIs" dxfId="101" priority="89" stopIfTrue="1" operator="equal">
      <formula>"PM"</formula>
    </cfRule>
    <cfRule type="cellIs" dxfId="100" priority="90" stopIfTrue="1" operator="equal">
      <formula>"DM"</formula>
    </cfRule>
  </conditionalFormatting>
  <conditionalFormatting sqref="B4">
    <cfRule type="cellIs" dxfId="99" priority="81" operator="equal">
      <formula>"S"</formula>
    </cfRule>
    <cfRule type="cellIs" dxfId="98" priority="82" stopIfTrue="1" operator="equal">
      <formula>"FM"</formula>
    </cfRule>
    <cfRule type="cellIs" dxfId="97" priority="83" stopIfTrue="1" operator="equal">
      <formula>"LM"</formula>
    </cfRule>
    <cfRule type="cellIs" dxfId="96" priority="84" stopIfTrue="1" operator="equal">
      <formula>"PM"</formula>
    </cfRule>
    <cfRule type="cellIs" dxfId="95" priority="85" stopIfTrue="1" operator="equal">
      <formula>"DM"</formula>
    </cfRule>
  </conditionalFormatting>
  <conditionalFormatting sqref="B9">
    <cfRule type="cellIs" dxfId="94" priority="76" operator="equal">
      <formula>"S"</formula>
    </cfRule>
    <cfRule type="cellIs" dxfId="93" priority="77" stopIfTrue="1" operator="equal">
      <formula>"FM"</formula>
    </cfRule>
    <cfRule type="cellIs" dxfId="92" priority="78" stopIfTrue="1" operator="equal">
      <formula>"LM"</formula>
    </cfRule>
    <cfRule type="cellIs" dxfId="91" priority="79" stopIfTrue="1" operator="equal">
      <formula>"PM"</formula>
    </cfRule>
    <cfRule type="cellIs" dxfId="90" priority="80" stopIfTrue="1" operator="equal">
      <formula>"DM"</formula>
    </cfRule>
  </conditionalFormatting>
  <conditionalFormatting sqref="B18">
    <cfRule type="cellIs" dxfId="89" priority="71" operator="equal">
      <formula>"S"</formula>
    </cfRule>
    <cfRule type="cellIs" dxfId="88" priority="72" stopIfTrue="1" operator="equal">
      <formula>"FM"</formula>
    </cfRule>
    <cfRule type="cellIs" dxfId="87" priority="73" stopIfTrue="1" operator="equal">
      <formula>"LM"</formula>
    </cfRule>
    <cfRule type="cellIs" dxfId="86" priority="74" stopIfTrue="1" operator="equal">
      <formula>"PM"</formula>
    </cfRule>
    <cfRule type="cellIs" dxfId="85" priority="75" stopIfTrue="1" operator="equal">
      <formula>"DM"</formula>
    </cfRule>
  </conditionalFormatting>
  <conditionalFormatting sqref="B26">
    <cfRule type="cellIs" dxfId="84" priority="66" operator="equal">
      <formula>"S"</formula>
    </cfRule>
    <cfRule type="cellIs" dxfId="83" priority="67" stopIfTrue="1" operator="equal">
      <formula>"FM"</formula>
    </cfRule>
    <cfRule type="cellIs" dxfId="82" priority="68" stopIfTrue="1" operator="equal">
      <formula>"LM"</formula>
    </cfRule>
    <cfRule type="cellIs" dxfId="81" priority="69" stopIfTrue="1" operator="equal">
      <formula>"PM"</formula>
    </cfRule>
    <cfRule type="cellIs" dxfId="80" priority="70" stopIfTrue="1" operator="equal">
      <formula>"DM"</formula>
    </cfRule>
  </conditionalFormatting>
  <conditionalFormatting sqref="B32">
    <cfRule type="cellIs" dxfId="79" priority="61" operator="equal">
      <formula>"S"</formula>
    </cfRule>
    <cfRule type="cellIs" dxfId="78" priority="62" stopIfTrue="1" operator="equal">
      <formula>"FM"</formula>
    </cfRule>
    <cfRule type="cellIs" dxfId="77" priority="63" stopIfTrue="1" operator="equal">
      <formula>"LM"</formula>
    </cfRule>
    <cfRule type="cellIs" dxfId="76" priority="64" stopIfTrue="1" operator="equal">
      <formula>"PM"</formula>
    </cfRule>
    <cfRule type="cellIs" dxfId="75" priority="65" stopIfTrue="1" operator="equal">
      <formula>"DM"</formula>
    </cfRule>
  </conditionalFormatting>
  <conditionalFormatting sqref="E4:I4 E21:I26 E28:I35">
    <cfRule type="cellIs" dxfId="74" priority="56" operator="equal">
      <formula>"S"</formula>
    </cfRule>
    <cfRule type="cellIs" dxfId="73" priority="57" stopIfTrue="1" operator="equal">
      <formula>"FM"</formula>
    </cfRule>
    <cfRule type="cellIs" dxfId="72" priority="58" stopIfTrue="1" operator="equal">
      <formula>"LM"</formula>
    </cfRule>
    <cfRule type="cellIs" dxfId="71" priority="59" stopIfTrue="1" operator="equal">
      <formula>"PM"</formula>
    </cfRule>
    <cfRule type="cellIs" dxfId="70" priority="60" stopIfTrue="1" operator="equal">
      <formula>"DM"</formula>
    </cfRule>
  </conditionalFormatting>
  <conditionalFormatting sqref="K4:L4 K12:L18 K22:L35">
    <cfRule type="cellIs" dxfId="69" priority="51" operator="equal">
      <formula>"S"</formula>
    </cfRule>
    <cfRule type="cellIs" dxfId="68" priority="52" stopIfTrue="1" operator="equal">
      <formula>"FM"</formula>
    </cfRule>
    <cfRule type="cellIs" dxfId="67" priority="53" stopIfTrue="1" operator="equal">
      <formula>"LM"</formula>
    </cfRule>
    <cfRule type="cellIs" dxfId="66" priority="54" stopIfTrue="1" operator="equal">
      <formula>"PM"</formula>
    </cfRule>
    <cfRule type="cellIs" dxfId="65" priority="55" stopIfTrue="1" operator="equal">
      <formula>"DM"</formula>
    </cfRule>
  </conditionalFormatting>
  <conditionalFormatting sqref="M4:O4 M12:O18 M22:O35 Q22:R35 Q12:R18 Q4:R4">
    <cfRule type="cellIs" dxfId="64" priority="46" operator="equal">
      <formula>"S"</formula>
    </cfRule>
    <cfRule type="cellIs" dxfId="63" priority="47" stopIfTrue="1" operator="equal">
      <formula>"FM"</formula>
    </cfRule>
    <cfRule type="cellIs" dxfId="62" priority="48" stopIfTrue="1" operator="equal">
      <formula>"LM"</formula>
    </cfRule>
    <cfRule type="cellIs" dxfId="61" priority="49" stopIfTrue="1" operator="equal">
      <formula>"PM"</formula>
    </cfRule>
    <cfRule type="cellIs" dxfId="60" priority="50" stopIfTrue="1" operator="equal">
      <formula>"DM"</formula>
    </cfRule>
  </conditionalFormatting>
  <conditionalFormatting sqref="C10:I13">
    <cfRule type="cellIs" dxfId="59" priority="41" operator="equal">
      <formula>"S"</formula>
    </cfRule>
    <cfRule type="cellIs" dxfId="58" priority="42" stopIfTrue="1" operator="equal">
      <formula>"FM"</formula>
    </cfRule>
    <cfRule type="cellIs" dxfId="57" priority="43" stopIfTrue="1" operator="equal">
      <formula>"LM"</formula>
    </cfRule>
    <cfRule type="cellIs" dxfId="56" priority="44" stopIfTrue="1" operator="equal">
      <formula>"PM"</formula>
    </cfRule>
    <cfRule type="cellIs" dxfId="55" priority="45" stopIfTrue="1" operator="equal">
      <formula>"DM"</formula>
    </cfRule>
  </conditionalFormatting>
  <conditionalFormatting sqref="C19:I20">
    <cfRule type="cellIs" dxfId="54" priority="36" operator="equal">
      <formula>"S"</formula>
    </cfRule>
    <cfRule type="cellIs" dxfId="53" priority="37" stopIfTrue="1" operator="equal">
      <formula>"FM"</formula>
    </cfRule>
    <cfRule type="cellIs" dxfId="52" priority="38" stopIfTrue="1" operator="equal">
      <formula>"LM"</formula>
    </cfRule>
    <cfRule type="cellIs" dxfId="51" priority="39" stopIfTrue="1" operator="equal">
      <formula>"PM"</formula>
    </cfRule>
    <cfRule type="cellIs" dxfId="50" priority="40" stopIfTrue="1" operator="equal">
      <formula>"DM"</formula>
    </cfRule>
  </conditionalFormatting>
  <conditionalFormatting sqref="K5:O5 Q5:R5">
    <cfRule type="cellIs" dxfId="49" priority="31" operator="equal">
      <formula>"S"</formula>
    </cfRule>
    <cfRule type="cellIs" dxfId="48" priority="32" stopIfTrue="1" operator="equal">
      <formula>"FM"</formula>
    </cfRule>
    <cfRule type="cellIs" dxfId="47" priority="33" stopIfTrue="1" operator="equal">
      <formula>"LM"</formula>
    </cfRule>
    <cfRule type="cellIs" dxfId="46" priority="34" stopIfTrue="1" operator="equal">
      <formula>"PM"</formula>
    </cfRule>
    <cfRule type="cellIs" dxfId="45" priority="35" stopIfTrue="1" operator="equal">
      <formula>"DM"</formula>
    </cfRule>
  </conditionalFormatting>
  <conditionalFormatting sqref="Q10:R11 K10:O11">
    <cfRule type="cellIs" dxfId="44" priority="26" operator="equal">
      <formula>"S"</formula>
    </cfRule>
    <cfRule type="cellIs" dxfId="43" priority="27" stopIfTrue="1" operator="equal">
      <formula>"FM"</formula>
    </cfRule>
    <cfRule type="cellIs" dxfId="42" priority="28" stopIfTrue="1" operator="equal">
      <formula>"LM"</formula>
    </cfRule>
    <cfRule type="cellIs" dxfId="41" priority="29" stopIfTrue="1" operator="equal">
      <formula>"PM"</formula>
    </cfRule>
    <cfRule type="cellIs" dxfId="40" priority="30" stopIfTrue="1" operator="equal">
      <formula>"DM"</formula>
    </cfRule>
  </conditionalFormatting>
  <conditionalFormatting sqref="K19:O21 Q19:R21">
    <cfRule type="cellIs" dxfId="39" priority="21" operator="equal">
      <formula>"S"</formula>
    </cfRule>
    <cfRule type="cellIs" dxfId="38" priority="22" stopIfTrue="1" operator="equal">
      <formula>"FM"</formula>
    </cfRule>
    <cfRule type="cellIs" dxfId="37" priority="23" stopIfTrue="1" operator="equal">
      <formula>"LM"</formula>
    </cfRule>
    <cfRule type="cellIs" dxfId="36" priority="24" stopIfTrue="1" operator="equal">
      <formula>"PM"</formula>
    </cfRule>
    <cfRule type="cellIs" dxfId="35" priority="25" stopIfTrue="1" operator="equal">
      <formula>"DM"</formula>
    </cfRule>
  </conditionalFormatting>
  <conditionalFormatting sqref="P4 P12:P18 P22:P35">
    <cfRule type="cellIs" dxfId="34" priority="16" operator="equal">
      <formula>"S"</formula>
    </cfRule>
    <cfRule type="cellIs" dxfId="33" priority="17" stopIfTrue="1" operator="equal">
      <formula>"FM"</formula>
    </cfRule>
    <cfRule type="cellIs" dxfId="32" priority="18" stopIfTrue="1" operator="equal">
      <formula>"LM"</formula>
    </cfRule>
    <cfRule type="cellIs" dxfId="31" priority="19" stopIfTrue="1" operator="equal">
      <formula>"PM"</formula>
    </cfRule>
    <cfRule type="cellIs" dxfId="30" priority="20" stopIfTrue="1" operator="equal">
      <formula>"DM"</formula>
    </cfRule>
  </conditionalFormatting>
  <conditionalFormatting sqref="P5">
    <cfRule type="cellIs" dxfId="29" priority="11" operator="equal">
      <formula>"S"</formula>
    </cfRule>
    <cfRule type="cellIs" dxfId="28" priority="12" stopIfTrue="1" operator="equal">
      <formula>"FM"</formula>
    </cfRule>
    <cfRule type="cellIs" dxfId="27" priority="13" stopIfTrue="1" operator="equal">
      <formula>"LM"</formula>
    </cfRule>
    <cfRule type="cellIs" dxfId="26" priority="14" stopIfTrue="1" operator="equal">
      <formula>"PM"</formula>
    </cfRule>
    <cfRule type="cellIs" dxfId="25" priority="15" stopIfTrue="1" operator="equal">
      <formula>"DM"</formula>
    </cfRule>
  </conditionalFormatting>
  <conditionalFormatting sqref="P10:P11">
    <cfRule type="cellIs" dxfId="24" priority="6" operator="equal">
      <formula>"S"</formula>
    </cfRule>
    <cfRule type="cellIs" dxfId="23" priority="7" stopIfTrue="1" operator="equal">
      <formula>"FM"</formula>
    </cfRule>
    <cfRule type="cellIs" dxfId="22" priority="8" stopIfTrue="1" operator="equal">
      <formula>"LM"</formula>
    </cfRule>
    <cfRule type="cellIs" dxfId="21" priority="9" stopIfTrue="1" operator="equal">
      <formula>"PM"</formula>
    </cfRule>
    <cfRule type="cellIs" dxfId="20" priority="10" stopIfTrue="1" operator="equal">
      <formula>"DM"</formula>
    </cfRule>
  </conditionalFormatting>
  <conditionalFormatting sqref="P19:P21">
    <cfRule type="cellIs" dxfId="19" priority="1" operator="equal">
      <formula>"S"</formula>
    </cfRule>
    <cfRule type="cellIs" dxfId="18" priority="2" stopIfTrue="1" operator="equal">
      <formula>"FM"</formula>
    </cfRule>
    <cfRule type="cellIs" dxfId="17" priority="3" stopIfTrue="1" operator="equal">
      <formula>"LM"</formula>
    </cfRule>
    <cfRule type="cellIs" dxfId="16" priority="4" stopIfTrue="1" operator="equal">
      <formula>"PM"</formula>
    </cfRule>
    <cfRule type="cellIs" dxfId="15" priority="5" stopIfTrue="1" operator="equal">
      <formula>"DM"</formula>
    </cfRule>
  </conditionalFormatting>
  <pageMargins left="0.7" right="0.7" top="0.75" bottom="0.75" header="0.3" footer="0.3"/>
  <pageSetup scale="78" fitToHeight="0" orientation="landscape"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EC6B5-E076-4518-A4F9-6D3FCBFC4686}">
  <sheetPr codeName="Sheet6"/>
  <dimension ref="A1:C26"/>
  <sheetViews>
    <sheetView workbookViewId="0">
      <selection activeCell="B11" sqref="B11"/>
    </sheetView>
  </sheetViews>
  <sheetFormatPr defaultColWidth="8.6640625" defaultRowHeight="14.4"/>
  <cols>
    <col min="2" max="2" width="16" customWidth="1"/>
    <col min="3" max="3" width="131.6640625" customWidth="1"/>
    <col min="4" max="16384" width="8.6640625" style="52"/>
  </cols>
  <sheetData>
    <row r="1" spans="1:3">
      <c r="A1" t="s">
        <v>73</v>
      </c>
      <c r="B1" t="s">
        <v>74</v>
      </c>
      <c r="C1" t="s">
        <v>75</v>
      </c>
    </row>
    <row r="2" spans="1:3">
      <c r="C2" s="311"/>
    </row>
    <row r="3" spans="1:3">
      <c r="C3" s="311"/>
    </row>
    <row r="4" spans="1:3">
      <c r="C4" s="311"/>
    </row>
    <row r="5" spans="1:3">
      <c r="C5" s="311"/>
    </row>
    <row r="6" spans="1:3">
      <c r="C6" s="311"/>
    </row>
    <row r="9" spans="1:3">
      <c r="C9" s="311"/>
    </row>
    <row r="10" spans="1:3">
      <c r="C10" s="310"/>
    </row>
    <row r="12" spans="1:3">
      <c r="C12" s="311"/>
    </row>
    <row r="13" spans="1:3">
      <c r="C13" s="311"/>
    </row>
    <row r="14" spans="1:3">
      <c r="C14" s="310"/>
    </row>
    <row r="16" spans="1:3">
      <c r="C16" s="311"/>
    </row>
    <row r="18" spans="3:3">
      <c r="C18" s="311"/>
    </row>
    <row r="19" spans="3:3">
      <c r="C19" s="311"/>
    </row>
    <row r="20" spans="3:3">
      <c r="C20" s="311"/>
    </row>
    <row r="21" spans="3:3">
      <c r="C21" s="311"/>
    </row>
    <row r="24" spans="3:3">
      <c r="C24" s="311"/>
    </row>
    <row r="26" spans="3:3">
      <c r="C26" s="311"/>
    </row>
  </sheetData>
  <phoneticPr fontId="72"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D2151-59E2-4337-AED3-A158DA65010E}">
  <sheetPr codeName="Sheet7"/>
  <dimension ref="A2:Q19"/>
  <sheetViews>
    <sheetView workbookViewId="0"/>
  </sheetViews>
  <sheetFormatPr defaultColWidth="8.6640625" defaultRowHeight="14.4"/>
  <cols>
    <col min="1" max="1" width="12.44140625" style="29" customWidth="1"/>
    <col min="2" max="2" width="16.44140625" style="29" customWidth="1"/>
    <col min="3" max="3" width="28.33203125" style="29" customWidth="1"/>
    <col min="4" max="7" width="8.6640625" style="29"/>
    <col min="8" max="8" width="23.6640625" style="29" customWidth="1"/>
    <col min="9" max="10" width="19.88671875" style="29" customWidth="1"/>
    <col min="11" max="11" width="22.33203125" style="29" customWidth="1"/>
    <col min="12" max="14" width="18.5546875" style="29" customWidth="1"/>
    <col min="15" max="15" width="7.33203125" style="44" customWidth="1"/>
    <col min="16" max="16" width="24.6640625" style="29" customWidth="1"/>
    <col min="17" max="17" width="7.33203125" style="29" customWidth="1"/>
    <col min="18" max="16384" width="8.6640625" style="29"/>
  </cols>
  <sheetData>
    <row r="2" spans="1:17" ht="55.2">
      <c r="A2" s="1" t="s">
        <v>76</v>
      </c>
      <c r="B2" s="53" t="s">
        <v>77</v>
      </c>
      <c r="C2" s="53" t="s">
        <v>78</v>
      </c>
      <c r="D2" s="54" t="s">
        <v>79</v>
      </c>
      <c r="E2" s="54" t="s">
        <v>80</v>
      </c>
      <c r="F2" s="54" t="s">
        <v>81</v>
      </c>
      <c r="G2" s="54" t="s">
        <v>82</v>
      </c>
      <c r="H2" s="2" t="s">
        <v>83</v>
      </c>
      <c r="I2" s="53" t="s">
        <v>402</v>
      </c>
      <c r="J2" s="53" t="s">
        <v>84</v>
      </c>
      <c r="K2" s="2" t="s">
        <v>85</v>
      </c>
      <c r="L2" s="53" t="s">
        <v>86</v>
      </c>
      <c r="M2" s="53" t="s">
        <v>87</v>
      </c>
      <c r="N2" s="2" t="s">
        <v>88</v>
      </c>
      <c r="O2" s="55" t="s">
        <v>89</v>
      </c>
      <c r="P2" s="2" t="s">
        <v>90</v>
      </c>
      <c r="Q2" s="13" t="s">
        <v>91</v>
      </c>
    </row>
    <row r="3" spans="1:17" s="57" customFormat="1" ht="13.8">
      <c r="A3" s="56" t="s">
        <v>92</v>
      </c>
      <c r="B3" s="19" t="s">
        <v>47</v>
      </c>
      <c r="C3" s="20"/>
      <c r="D3" s="20"/>
      <c r="E3" s="20"/>
      <c r="F3" s="20"/>
      <c r="G3" s="20"/>
      <c r="H3" s="20"/>
      <c r="I3" s="20"/>
      <c r="J3" s="20"/>
      <c r="K3" s="20"/>
      <c r="L3" s="8"/>
      <c r="M3" s="8"/>
      <c r="N3" s="8"/>
      <c r="O3" s="9"/>
      <c r="P3" s="10"/>
      <c r="Q3" s="9"/>
    </row>
    <row r="4" spans="1:17" s="59" customFormat="1" ht="51.6" customHeight="1">
      <c r="A4" s="58" t="s">
        <v>93</v>
      </c>
      <c r="B4" s="3" t="s">
        <v>94</v>
      </c>
      <c r="C4" s="374" t="s">
        <v>403</v>
      </c>
      <c r="D4" s="374"/>
      <c r="E4" s="374"/>
      <c r="F4" s="374"/>
      <c r="G4" s="374"/>
      <c r="H4" s="374"/>
      <c r="I4" s="22" t="s">
        <v>95</v>
      </c>
      <c r="J4" s="22" t="s">
        <v>96</v>
      </c>
      <c r="K4" s="11" t="s">
        <v>85</v>
      </c>
      <c r="L4" s="11"/>
      <c r="M4" s="11"/>
      <c r="N4" s="11"/>
      <c r="O4" s="9"/>
      <c r="P4" s="10"/>
      <c r="Q4" s="9"/>
    </row>
    <row r="5" spans="1:17" s="60" customFormat="1" ht="13.8">
      <c r="A5" s="56" t="s">
        <v>97</v>
      </c>
      <c r="B5" s="22" t="s">
        <v>94</v>
      </c>
      <c r="C5" s="375" t="s">
        <v>98</v>
      </c>
      <c r="D5" s="376"/>
      <c r="E5" s="376"/>
      <c r="F5" s="376"/>
      <c r="G5" s="376"/>
      <c r="H5" s="376"/>
      <c r="I5" s="376"/>
      <c r="J5" s="376"/>
      <c r="K5" s="377"/>
      <c r="L5" s="9"/>
      <c r="M5" s="9"/>
      <c r="N5" s="9"/>
      <c r="O5" s="9"/>
      <c r="P5" s="9"/>
      <c r="Q5" s="9"/>
    </row>
    <row r="6" spans="1:17" s="60" customFormat="1" ht="13.8">
      <c r="A6" s="56" t="s">
        <v>99</v>
      </c>
      <c r="B6" s="21" t="s">
        <v>94</v>
      </c>
      <c r="C6" s="378" t="s">
        <v>100</v>
      </c>
      <c r="D6" s="379"/>
      <c r="E6" s="379"/>
      <c r="F6" s="379"/>
      <c r="G6" s="380"/>
      <c r="H6" s="4" t="s">
        <v>101</v>
      </c>
      <c r="I6" s="9"/>
      <c r="J6" s="9"/>
      <c r="K6" s="9"/>
      <c r="L6" s="9"/>
      <c r="M6" s="9"/>
      <c r="N6" s="9"/>
      <c r="O6" s="9"/>
      <c r="P6" s="9"/>
      <c r="Q6" s="9"/>
    </row>
    <row r="7" spans="1:17" s="60" customFormat="1" ht="13.8">
      <c r="A7" s="5" t="s">
        <v>102</v>
      </c>
      <c r="B7" s="5" t="s">
        <v>100</v>
      </c>
      <c r="C7" s="61" t="s">
        <v>103</v>
      </c>
      <c r="D7" s="6" t="s">
        <v>104</v>
      </c>
      <c r="E7" s="6" t="s">
        <v>105</v>
      </c>
      <c r="F7" s="6" t="s">
        <v>106</v>
      </c>
      <c r="G7" s="6" t="s">
        <v>107</v>
      </c>
      <c r="H7" s="7"/>
      <c r="I7" s="9"/>
      <c r="J7" s="7"/>
      <c r="K7" s="12"/>
      <c r="L7" s="6"/>
      <c r="M7" s="6"/>
      <c r="N7" s="12"/>
      <c r="O7" s="7"/>
      <c r="P7" s="9"/>
      <c r="Q7" s="9"/>
    </row>
    <row r="8" spans="1:17" s="57" customFormat="1" ht="13.8">
      <c r="O8" s="60"/>
    </row>
    <row r="9" spans="1:17" s="57" customFormat="1" ht="13.8">
      <c r="O9" s="60"/>
    </row>
    <row r="19" spans="1:17" ht="54.6" customHeight="1">
      <c r="A19" s="58" t="s">
        <v>108</v>
      </c>
      <c r="B19" s="3" t="s">
        <v>94</v>
      </c>
      <c r="C19" s="374" t="s">
        <v>403</v>
      </c>
      <c r="D19" s="374"/>
      <c r="E19" s="374"/>
      <c r="F19" s="374"/>
      <c r="G19" s="374"/>
      <c r="H19" s="374"/>
      <c r="I19" s="22" t="s">
        <v>95</v>
      </c>
      <c r="J19" s="22" t="s">
        <v>96</v>
      </c>
      <c r="K19" s="11" t="s">
        <v>85</v>
      </c>
      <c r="L19" s="11"/>
      <c r="M19" s="11"/>
      <c r="N19" s="11"/>
      <c r="O19" s="381"/>
      <c r="P19" s="382"/>
      <c r="Q19" s="383"/>
    </row>
  </sheetData>
  <mergeCells count="5">
    <mergeCell ref="C4:H4"/>
    <mergeCell ref="C5:K5"/>
    <mergeCell ref="C6:G6"/>
    <mergeCell ref="C19:H19"/>
    <mergeCell ref="O19:Q19"/>
  </mergeCells>
  <phoneticPr fontId="72" type="noConversion"/>
  <conditionalFormatting sqref="O3">
    <cfRule type="cellIs" dxfId="14" priority="14" operator="equal">
      <formula>"U"</formula>
    </cfRule>
    <cfRule type="cellIs" dxfId="13" priority="15" operator="equal">
      <formula>"S"</formula>
    </cfRule>
  </conditionalFormatting>
  <conditionalFormatting sqref="O4">
    <cfRule type="cellIs" dxfId="12" priority="9" operator="equal">
      <formula>"NY"</formula>
    </cfRule>
    <cfRule type="cellIs" dxfId="11" priority="10" operator="equal">
      <formula>"DM"</formula>
    </cfRule>
    <cfRule type="cellIs" dxfId="10" priority="11" operator="equal">
      <formula>"PM"</formula>
    </cfRule>
    <cfRule type="cellIs" dxfId="9" priority="12" operator="equal">
      <formula>"LM"</formula>
    </cfRule>
    <cfRule type="cellIs" dxfId="8" priority="13" operator="equal">
      <formula>"FM"</formula>
    </cfRule>
  </conditionalFormatting>
  <conditionalFormatting sqref="O5:O6">
    <cfRule type="cellIs" dxfId="7" priority="4" operator="equal">
      <formula>"NY"</formula>
    </cfRule>
    <cfRule type="cellIs" dxfId="6" priority="5" operator="equal">
      <formula>"DM"</formula>
    </cfRule>
    <cfRule type="cellIs" dxfId="5" priority="6" operator="equal">
      <formula>"PM"</formula>
    </cfRule>
    <cfRule type="cellIs" dxfId="4" priority="7" operator="equal">
      <formula>"LM"</formula>
    </cfRule>
    <cfRule type="cellIs" dxfId="3" priority="8" operator="equal">
      <formula>"FM"</formula>
    </cfRule>
  </conditionalFormatting>
  <conditionalFormatting sqref="I6:I7 J6">
    <cfRule type="cellIs" dxfId="2" priority="2" operator="equal">
      <formula>"No"</formula>
    </cfRule>
    <cfRule type="cellIs" dxfId="1" priority="3" operator="equal">
      <formula>"Yes"</formula>
    </cfRule>
  </conditionalFormatting>
  <conditionalFormatting sqref="Q3:Q7">
    <cfRule type="cellIs" dxfId="0" priority="1" operator="equal">
      <formula>"Y"</formula>
    </cfRule>
  </conditionalFormatting>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DCFD5-AD21-4566-86C6-3C9A482103AD}">
  <sheetPr codeName="Sheet36">
    <tabColor rgb="FF007DC4"/>
  </sheetPr>
  <dimension ref="A1:G49"/>
  <sheetViews>
    <sheetView topLeftCell="A15" zoomScale="70" zoomScaleNormal="70" workbookViewId="0">
      <selection activeCell="B25" sqref="B25"/>
    </sheetView>
  </sheetViews>
  <sheetFormatPr defaultColWidth="8.77734375" defaultRowHeight="13.8"/>
  <cols>
    <col min="1" max="1" width="10.21875" style="329" customWidth="1"/>
    <col min="2" max="2" width="67.21875" style="329" customWidth="1"/>
    <col min="3" max="4" width="21.44140625" style="329" customWidth="1"/>
    <col min="5" max="6" width="80.44140625" style="329" customWidth="1"/>
    <col min="7" max="7" width="21.44140625" style="324" customWidth="1"/>
    <col min="8" max="16384" width="8.77734375" style="329"/>
  </cols>
  <sheetData>
    <row r="1" spans="1:7" s="322" customFormat="1" ht="25.8">
      <c r="A1" s="321" t="s">
        <v>335</v>
      </c>
      <c r="C1" s="323"/>
      <c r="G1" s="324"/>
    </row>
    <row r="2" spans="1:7" s="322" customFormat="1" ht="25.8">
      <c r="A2" s="321" t="s">
        <v>1723</v>
      </c>
      <c r="C2" s="323"/>
      <c r="G2" s="324"/>
    </row>
    <row r="3" spans="1:7" s="322" customFormat="1">
      <c r="A3" s="325" t="s">
        <v>1670</v>
      </c>
      <c r="B3" s="322" t="s">
        <v>1724</v>
      </c>
      <c r="G3" s="324"/>
    </row>
    <row r="4" spans="1:7" s="322" customFormat="1">
      <c r="A4" s="325" t="s">
        <v>408</v>
      </c>
      <c r="B4" s="322" t="s">
        <v>1725</v>
      </c>
      <c r="G4" s="324"/>
    </row>
    <row r="5" spans="1:7" s="322" customFormat="1">
      <c r="A5" s="322" t="s">
        <v>1672</v>
      </c>
      <c r="B5" s="322" t="s">
        <v>1726</v>
      </c>
      <c r="G5" s="324"/>
    </row>
    <row r="6" spans="1:7" s="322" customFormat="1">
      <c r="A6" s="322" t="s">
        <v>412</v>
      </c>
      <c r="B6" s="322" t="s">
        <v>1727</v>
      </c>
      <c r="G6" s="324"/>
    </row>
    <row r="8" spans="1:7" s="322" customFormat="1">
      <c r="A8" s="350"/>
      <c r="B8" s="350"/>
      <c r="C8" s="350" t="s">
        <v>96</v>
      </c>
      <c r="D8" s="350" t="s">
        <v>553</v>
      </c>
      <c r="E8" s="350" t="s">
        <v>85</v>
      </c>
      <c r="F8" s="350"/>
      <c r="G8" s="350" t="s">
        <v>1674</v>
      </c>
    </row>
    <row r="9" spans="1:7" s="325" customFormat="1">
      <c r="A9" s="330" t="s">
        <v>47</v>
      </c>
      <c r="B9" s="330"/>
      <c r="C9" s="331"/>
      <c r="D9" s="331"/>
      <c r="E9" s="331"/>
      <c r="F9" s="331"/>
      <c r="G9" s="331"/>
    </row>
    <row r="10" spans="1:7" s="325" customFormat="1" ht="41.4">
      <c r="A10" s="3" t="s">
        <v>336</v>
      </c>
      <c r="B10" s="3" t="s">
        <v>1996</v>
      </c>
      <c r="C10" s="3"/>
      <c r="D10" s="336" t="s">
        <v>1728</v>
      </c>
      <c r="E10" s="336" t="s">
        <v>1729</v>
      </c>
      <c r="F10" s="336"/>
      <c r="G10" s="3"/>
    </row>
    <row r="11" spans="1:7" s="148" customFormat="1">
      <c r="A11" s="330" t="s">
        <v>54</v>
      </c>
      <c r="B11" s="330"/>
      <c r="C11" s="331"/>
      <c r="D11" s="331"/>
      <c r="E11" s="331"/>
      <c r="F11" s="331"/>
      <c r="G11" s="331"/>
    </row>
    <row r="12" spans="1:7" s="148" customFormat="1" ht="82.8">
      <c r="A12" s="3" t="s">
        <v>337</v>
      </c>
      <c r="B12" s="3" t="s">
        <v>1997</v>
      </c>
      <c r="C12" s="336" t="s">
        <v>1730</v>
      </c>
      <c r="D12" s="336" t="s">
        <v>1731</v>
      </c>
      <c r="E12" s="336" t="s">
        <v>1732</v>
      </c>
      <c r="F12" s="336"/>
      <c r="G12" s="3"/>
    </row>
    <row r="13" spans="1:7" s="148" customFormat="1" ht="110.4">
      <c r="A13" s="3" t="s">
        <v>338</v>
      </c>
      <c r="B13" s="3" t="s">
        <v>1998</v>
      </c>
      <c r="C13" s="336" t="s">
        <v>1733</v>
      </c>
      <c r="D13" s="336" t="s">
        <v>1734</v>
      </c>
      <c r="E13" s="336" t="s">
        <v>1735</v>
      </c>
      <c r="F13" s="336"/>
      <c r="G13" s="3"/>
    </row>
    <row r="14" spans="1:7" s="325" customFormat="1">
      <c r="A14" s="330" t="s">
        <v>56</v>
      </c>
      <c r="B14" s="330"/>
      <c r="C14" s="331"/>
      <c r="D14" s="331"/>
      <c r="E14" s="331"/>
      <c r="F14" s="331"/>
      <c r="G14" s="331"/>
    </row>
    <row r="15" spans="1:7" s="148" customFormat="1" ht="138">
      <c r="A15" s="3" t="s">
        <v>339</v>
      </c>
      <c r="B15" s="3" t="s">
        <v>1999</v>
      </c>
      <c r="C15" s="336" t="s">
        <v>1972</v>
      </c>
      <c r="D15" s="336" t="s">
        <v>1736</v>
      </c>
      <c r="E15" s="336" t="s">
        <v>1737</v>
      </c>
      <c r="F15" s="336"/>
      <c r="G15" s="3"/>
    </row>
    <row r="16" spans="1:7" s="148" customFormat="1" ht="41.4">
      <c r="A16" s="3" t="s">
        <v>340</v>
      </c>
      <c r="B16" s="3" t="s">
        <v>2000</v>
      </c>
      <c r="C16" s="336" t="s">
        <v>510</v>
      </c>
      <c r="D16" s="336" t="s">
        <v>509</v>
      </c>
      <c r="E16" s="336" t="s">
        <v>1738</v>
      </c>
      <c r="F16" s="336"/>
      <c r="G16" s="3"/>
    </row>
    <row r="17" spans="1:7" s="148" customFormat="1" ht="69">
      <c r="A17" s="3" t="s">
        <v>341</v>
      </c>
      <c r="B17" s="3" t="s">
        <v>2001</v>
      </c>
      <c r="C17" s="336" t="s">
        <v>511</v>
      </c>
      <c r="D17" s="336" t="s">
        <v>1739</v>
      </c>
      <c r="E17" s="336" t="s">
        <v>1740</v>
      </c>
      <c r="F17" s="336"/>
      <c r="G17" s="3"/>
    </row>
    <row r="18" spans="1:7" s="148" customFormat="1" ht="55.2">
      <c r="A18" s="3" t="s">
        <v>342</v>
      </c>
      <c r="B18" s="3" t="s">
        <v>2002</v>
      </c>
      <c r="C18" s="336" t="s">
        <v>514</v>
      </c>
      <c r="D18" s="336" t="s">
        <v>513</v>
      </c>
      <c r="E18" s="336" t="s">
        <v>1741</v>
      </c>
      <c r="F18" s="336"/>
      <c r="G18" s="3"/>
    </row>
    <row r="19" spans="1:7" s="148" customFormat="1" ht="82.8">
      <c r="A19" s="3" t="s">
        <v>343</v>
      </c>
      <c r="B19" s="3" t="s">
        <v>2003</v>
      </c>
      <c r="C19" s="336" t="s">
        <v>1742</v>
      </c>
      <c r="D19" s="336" t="s">
        <v>1743</v>
      </c>
      <c r="E19" s="336" t="s">
        <v>1744</v>
      </c>
      <c r="F19" s="336"/>
      <c r="G19" s="3"/>
    </row>
    <row r="20" spans="1:7" s="148" customFormat="1">
      <c r="A20" s="330" t="s">
        <v>57</v>
      </c>
      <c r="B20" s="330"/>
      <c r="C20" s="331"/>
      <c r="D20" s="331"/>
      <c r="E20" s="331"/>
      <c r="F20" s="331"/>
      <c r="G20" s="331"/>
    </row>
    <row r="21" spans="1:7" s="148" customFormat="1" ht="55.2">
      <c r="A21" s="3" t="s">
        <v>344</v>
      </c>
      <c r="B21" s="3" t="s">
        <v>2004</v>
      </c>
      <c r="C21" s="336" t="s">
        <v>516</v>
      </c>
      <c r="D21" s="336" t="s">
        <v>515</v>
      </c>
      <c r="E21" s="336" t="s">
        <v>1745</v>
      </c>
      <c r="F21" s="336"/>
      <c r="G21" s="3"/>
    </row>
    <row r="22" spans="1:7" s="325" customFormat="1" ht="96.6">
      <c r="A22" s="354" t="s">
        <v>345</v>
      </c>
      <c r="B22" s="355" t="s">
        <v>2005</v>
      </c>
      <c r="C22" s="356" t="s">
        <v>1746</v>
      </c>
      <c r="D22" s="356" t="s">
        <v>517</v>
      </c>
      <c r="E22" s="356" t="s">
        <v>1747</v>
      </c>
      <c r="F22" s="356"/>
      <c r="G22" s="3"/>
    </row>
    <row r="23" spans="1:7" s="325" customFormat="1">
      <c r="A23" s="330" t="s">
        <v>58</v>
      </c>
      <c r="B23" s="330"/>
      <c r="C23" s="331"/>
      <c r="D23" s="331"/>
      <c r="E23" s="331"/>
      <c r="F23" s="331"/>
      <c r="G23" s="331"/>
    </row>
    <row r="24" spans="1:7" s="148" customFormat="1" ht="96.6">
      <c r="A24" s="3" t="s">
        <v>346</v>
      </c>
      <c r="B24" s="3" t="s">
        <v>2006</v>
      </c>
      <c r="C24" s="336" t="s">
        <v>1973</v>
      </c>
      <c r="D24" s="336" t="s">
        <v>518</v>
      </c>
      <c r="E24" s="336" t="s">
        <v>1974</v>
      </c>
      <c r="F24" s="336"/>
      <c r="G24" s="3"/>
    </row>
    <row r="25" spans="1:7" s="339" customFormat="1">
      <c r="G25" s="324"/>
    </row>
    <row r="26" spans="1:7" s="339" customFormat="1">
      <c r="G26" s="324"/>
    </row>
    <row r="27" spans="1:7" s="339" customFormat="1">
      <c r="G27" s="324"/>
    </row>
    <row r="28" spans="1:7" s="339" customFormat="1">
      <c r="G28" s="324"/>
    </row>
    <row r="29" spans="1:7" s="340" customFormat="1">
      <c r="G29" s="324"/>
    </row>
    <row r="30" spans="1:7" s="340" customFormat="1">
      <c r="G30" s="324"/>
    </row>
    <row r="31" spans="1:7" s="340" customFormat="1">
      <c r="G31" s="324"/>
    </row>
    <row r="32" spans="1:7" s="340" customFormat="1">
      <c r="G32" s="324"/>
    </row>
    <row r="33" spans="7:7" s="340" customFormat="1">
      <c r="G33" s="324"/>
    </row>
    <row r="34" spans="7:7" s="340" customFormat="1">
      <c r="G34" s="324"/>
    </row>
    <row r="35" spans="7:7" s="340" customFormat="1">
      <c r="G35" s="324"/>
    </row>
    <row r="36" spans="7:7" s="340" customFormat="1">
      <c r="G36" s="324"/>
    </row>
    <row r="37" spans="7:7" s="340" customFormat="1">
      <c r="G37" s="324"/>
    </row>
    <row r="38" spans="7:7" s="340" customFormat="1">
      <c r="G38" s="324"/>
    </row>
    <row r="39" spans="7:7" s="340" customFormat="1">
      <c r="G39" s="324"/>
    </row>
    <row r="40" spans="7:7" s="340" customFormat="1">
      <c r="G40" s="324"/>
    </row>
    <row r="41" spans="7:7" s="340" customFormat="1">
      <c r="G41" s="324"/>
    </row>
    <row r="42" spans="7:7" s="340" customFormat="1">
      <c r="G42" s="324"/>
    </row>
    <row r="43" spans="7:7" s="340" customFormat="1">
      <c r="G43" s="324"/>
    </row>
    <row r="44" spans="7:7" s="340" customFormat="1">
      <c r="G44" s="324"/>
    </row>
    <row r="45" spans="7:7" s="340" customFormat="1">
      <c r="G45" s="324"/>
    </row>
    <row r="46" spans="7:7" s="340" customFormat="1">
      <c r="G46" s="324"/>
    </row>
    <row r="47" spans="7:7" s="340" customFormat="1">
      <c r="G47" s="324"/>
    </row>
    <row r="48" spans="7:7" s="340" customFormat="1">
      <c r="G48" s="324"/>
    </row>
    <row r="49" spans="7:7" s="340" customFormat="1">
      <c r="G49" s="324"/>
    </row>
  </sheetData>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68B10-C7B9-4B29-9480-6C462C7024C0}">
  <sheetPr codeName="Sheet32">
    <tabColor rgb="FF007DC4"/>
  </sheetPr>
  <dimension ref="A1:V58"/>
  <sheetViews>
    <sheetView zoomScale="55" zoomScaleNormal="55" workbookViewId="0">
      <selection activeCell="B18" sqref="B18"/>
    </sheetView>
  </sheetViews>
  <sheetFormatPr defaultColWidth="8.77734375" defaultRowHeight="13.8"/>
  <cols>
    <col min="1" max="1" width="10.21875" style="329" customWidth="1"/>
    <col min="2" max="2" width="87.21875" style="329" customWidth="1"/>
    <col min="3" max="4" width="22" style="329" customWidth="1"/>
    <col min="5" max="6" width="82.77734375" style="329" customWidth="1"/>
    <col min="7" max="7" width="24.21875" style="324" customWidth="1"/>
    <col min="8" max="8" width="8.77734375" style="324"/>
    <col min="9" max="9" width="8.77734375" style="322"/>
    <col min="10" max="22" width="8.77734375" style="324"/>
    <col min="23" max="16384" width="8.77734375" style="329"/>
  </cols>
  <sheetData>
    <row r="1" spans="1:22" s="322" customFormat="1" ht="25.8">
      <c r="A1" s="321" t="s">
        <v>347</v>
      </c>
      <c r="C1" s="323"/>
      <c r="G1" s="324"/>
      <c r="H1" s="324"/>
      <c r="J1" s="324"/>
      <c r="K1" s="324"/>
      <c r="L1" s="324"/>
      <c r="M1" s="324"/>
      <c r="N1" s="324"/>
      <c r="O1" s="324"/>
      <c r="P1" s="324"/>
      <c r="Q1" s="324"/>
      <c r="R1" s="324"/>
      <c r="S1" s="324"/>
      <c r="T1" s="324"/>
      <c r="U1" s="324"/>
      <c r="V1" s="324"/>
    </row>
    <row r="2" spans="1:22" s="322" customFormat="1" ht="25.8">
      <c r="A2" s="321" t="s">
        <v>1682</v>
      </c>
      <c r="C2" s="323"/>
      <c r="G2" s="324"/>
      <c r="H2" s="324"/>
      <c r="J2" s="324"/>
      <c r="K2" s="324"/>
      <c r="L2" s="324"/>
      <c r="M2" s="324"/>
      <c r="N2" s="324"/>
      <c r="O2" s="324"/>
      <c r="P2" s="324"/>
      <c r="Q2" s="324"/>
      <c r="R2" s="324"/>
      <c r="S2" s="324"/>
      <c r="T2" s="324"/>
      <c r="U2" s="324"/>
      <c r="V2" s="324"/>
    </row>
    <row r="3" spans="1:22" s="322" customFormat="1">
      <c r="A3" s="325" t="s">
        <v>1670</v>
      </c>
      <c r="B3" s="322" t="s">
        <v>1683</v>
      </c>
      <c r="G3" s="324"/>
      <c r="H3" s="324"/>
      <c r="J3" s="324"/>
      <c r="K3" s="324"/>
      <c r="L3" s="324"/>
      <c r="M3" s="324"/>
      <c r="N3" s="324"/>
      <c r="O3" s="324"/>
      <c r="P3" s="324"/>
      <c r="Q3" s="324"/>
      <c r="R3" s="324"/>
      <c r="S3" s="324"/>
      <c r="T3" s="324"/>
      <c r="U3" s="324"/>
      <c r="V3" s="324"/>
    </row>
    <row r="4" spans="1:22" s="322" customFormat="1">
      <c r="A4" s="325" t="s">
        <v>408</v>
      </c>
      <c r="B4" s="322" t="s">
        <v>1684</v>
      </c>
      <c r="G4" s="324"/>
      <c r="H4" s="324"/>
      <c r="J4" s="324"/>
      <c r="K4" s="324"/>
      <c r="L4" s="324"/>
      <c r="M4" s="324"/>
      <c r="N4" s="324"/>
      <c r="O4" s="324"/>
      <c r="P4" s="324"/>
      <c r="Q4" s="324"/>
      <c r="R4" s="324"/>
      <c r="S4" s="324"/>
      <c r="T4" s="324"/>
      <c r="U4" s="324"/>
      <c r="V4" s="324"/>
    </row>
    <row r="5" spans="1:22" s="322" customFormat="1">
      <c r="A5" s="322" t="s">
        <v>1672</v>
      </c>
      <c r="B5" s="322" t="s">
        <v>1685</v>
      </c>
      <c r="G5" s="324"/>
      <c r="H5" s="324"/>
      <c r="J5" s="324"/>
      <c r="K5" s="324"/>
      <c r="L5" s="324"/>
      <c r="M5" s="324"/>
      <c r="N5" s="324"/>
      <c r="O5" s="324"/>
      <c r="P5" s="324"/>
      <c r="Q5" s="324"/>
      <c r="R5" s="324"/>
      <c r="S5" s="324"/>
      <c r="T5" s="324"/>
      <c r="U5" s="324"/>
      <c r="V5" s="324"/>
    </row>
    <row r="6" spans="1:22" s="322" customFormat="1">
      <c r="A6" s="322" t="s">
        <v>412</v>
      </c>
      <c r="B6" s="322" t="s">
        <v>1686</v>
      </c>
      <c r="G6" s="324"/>
      <c r="H6" s="324"/>
      <c r="J6" s="324"/>
      <c r="K6" s="324"/>
      <c r="L6" s="324"/>
      <c r="M6" s="324"/>
      <c r="N6" s="324"/>
      <c r="O6" s="324"/>
      <c r="P6" s="324"/>
      <c r="Q6" s="324"/>
      <c r="R6" s="324"/>
      <c r="S6" s="324"/>
      <c r="T6" s="324"/>
      <c r="U6" s="324"/>
      <c r="V6" s="324"/>
    </row>
    <row r="8" spans="1:22" s="322" customFormat="1">
      <c r="A8" s="350"/>
      <c r="B8" s="350"/>
      <c r="C8" s="350" t="s">
        <v>96</v>
      </c>
      <c r="D8" s="350" t="s">
        <v>553</v>
      </c>
      <c r="E8" s="350" t="s">
        <v>85</v>
      </c>
      <c r="F8" s="350"/>
      <c r="G8" s="350" t="s">
        <v>1674</v>
      </c>
    </row>
    <row r="9" spans="1:22" s="325" customFormat="1">
      <c r="A9" s="351" t="s">
        <v>47</v>
      </c>
      <c r="B9" s="352"/>
      <c r="C9" s="353"/>
      <c r="D9" s="353"/>
      <c r="E9" s="353"/>
      <c r="F9" s="353"/>
      <c r="G9" s="353"/>
      <c r="I9" s="322"/>
    </row>
    <row r="10" spans="1:22" s="325" customFormat="1" ht="82.8">
      <c r="A10" s="3" t="s">
        <v>348</v>
      </c>
      <c r="B10" s="3" t="s">
        <v>2007</v>
      </c>
      <c r="C10" s="336" t="s">
        <v>1687</v>
      </c>
      <c r="D10" s="336" t="s">
        <v>519</v>
      </c>
      <c r="E10" s="336" t="s">
        <v>349</v>
      </c>
      <c r="F10" s="336"/>
      <c r="G10" s="3"/>
      <c r="I10" s="322"/>
    </row>
    <row r="11" spans="1:22" s="148" customFormat="1">
      <c r="A11" s="330" t="s">
        <v>54</v>
      </c>
      <c r="B11" s="330"/>
      <c r="C11" s="331"/>
      <c r="D11" s="331"/>
      <c r="E11" s="331"/>
      <c r="F11" s="331"/>
      <c r="G11" s="331"/>
      <c r="H11" s="325"/>
      <c r="I11" s="322"/>
      <c r="J11" s="325"/>
      <c r="K11" s="325"/>
      <c r="L11" s="325"/>
      <c r="M11" s="325"/>
      <c r="N11" s="325"/>
      <c r="O11" s="325"/>
      <c r="P11" s="325"/>
      <c r="Q11" s="325"/>
      <c r="R11" s="325"/>
      <c r="S11" s="325"/>
      <c r="T11" s="325"/>
      <c r="U11" s="325"/>
      <c r="V11" s="325"/>
    </row>
    <row r="12" spans="1:22" s="148" customFormat="1" ht="41.4">
      <c r="A12" s="3" t="s">
        <v>350</v>
      </c>
      <c r="B12" s="3" t="s">
        <v>2008</v>
      </c>
      <c r="C12" s="336" t="s">
        <v>521</v>
      </c>
      <c r="D12" s="336" t="s">
        <v>520</v>
      </c>
      <c r="E12" s="336" t="s">
        <v>1636</v>
      </c>
      <c r="F12" s="336"/>
      <c r="G12" s="3"/>
      <c r="H12" s="325"/>
      <c r="I12" s="322"/>
      <c r="J12" s="325"/>
      <c r="K12" s="325"/>
      <c r="L12" s="325"/>
      <c r="M12" s="325"/>
      <c r="N12" s="325"/>
      <c r="O12" s="325"/>
      <c r="P12" s="325"/>
      <c r="Q12" s="325"/>
      <c r="R12" s="325"/>
      <c r="S12" s="325"/>
      <c r="T12" s="325"/>
      <c r="U12" s="325"/>
      <c r="V12" s="325"/>
    </row>
    <row r="13" spans="1:22" s="93" customFormat="1" ht="55.2">
      <c r="A13" s="3" t="s">
        <v>351</v>
      </c>
      <c r="B13" s="3" t="s">
        <v>2009</v>
      </c>
      <c r="C13" s="336" t="s">
        <v>523</v>
      </c>
      <c r="D13" s="336" t="s">
        <v>522</v>
      </c>
      <c r="E13" s="336" t="s">
        <v>1637</v>
      </c>
      <c r="F13" s="336"/>
      <c r="G13" s="3"/>
      <c r="H13" s="325"/>
      <c r="I13" s="322"/>
      <c r="J13" s="325"/>
      <c r="K13" s="325"/>
      <c r="L13" s="325"/>
      <c r="M13" s="325"/>
      <c r="N13" s="325"/>
      <c r="O13" s="325"/>
      <c r="P13" s="325"/>
      <c r="Q13" s="325"/>
      <c r="R13" s="325"/>
      <c r="S13" s="325"/>
      <c r="T13" s="325"/>
      <c r="U13" s="325"/>
      <c r="V13" s="325"/>
    </row>
    <row r="14" spans="1:22" s="325" customFormat="1" ht="69">
      <c r="A14" s="354" t="s">
        <v>352</v>
      </c>
      <c r="B14" s="355" t="s">
        <v>2010</v>
      </c>
      <c r="C14" s="336" t="s">
        <v>1688</v>
      </c>
      <c r="D14" s="336" t="s">
        <v>1689</v>
      </c>
      <c r="E14" s="336" t="s">
        <v>1690</v>
      </c>
      <c r="F14" s="336" t="s">
        <v>1691</v>
      </c>
      <c r="G14" s="3"/>
      <c r="I14" s="322"/>
    </row>
    <row r="15" spans="1:22" s="325" customFormat="1" ht="124.2">
      <c r="A15" s="3" t="s">
        <v>353</v>
      </c>
      <c r="B15" s="3" t="s">
        <v>2011</v>
      </c>
      <c r="C15" s="336" t="s">
        <v>1692</v>
      </c>
      <c r="D15" s="336" t="s">
        <v>524</v>
      </c>
      <c r="E15" s="336" t="s">
        <v>1638</v>
      </c>
      <c r="F15" s="336"/>
      <c r="G15" s="3"/>
      <c r="I15" s="322"/>
    </row>
    <row r="16" spans="1:22" s="148" customFormat="1" ht="55.2">
      <c r="A16" s="3" t="s">
        <v>354</v>
      </c>
      <c r="B16" s="3" t="s">
        <v>2012</v>
      </c>
      <c r="C16" s="336" t="s">
        <v>525</v>
      </c>
      <c r="D16" s="336" t="s">
        <v>1693</v>
      </c>
      <c r="E16" s="336" t="s">
        <v>1639</v>
      </c>
      <c r="F16" s="336"/>
      <c r="G16" s="3"/>
      <c r="H16" s="325"/>
      <c r="I16" s="322"/>
      <c r="J16" s="325"/>
      <c r="K16" s="325"/>
      <c r="L16" s="325"/>
      <c r="M16" s="325"/>
      <c r="N16" s="325"/>
      <c r="O16" s="325"/>
      <c r="P16" s="325"/>
      <c r="Q16" s="325"/>
      <c r="R16" s="325"/>
      <c r="S16" s="325"/>
      <c r="T16" s="325"/>
      <c r="U16" s="325"/>
      <c r="V16" s="325"/>
    </row>
    <row r="17" spans="1:22" s="148" customFormat="1" ht="69">
      <c r="A17" s="3" t="s">
        <v>355</v>
      </c>
      <c r="B17" s="3" t="s">
        <v>2013</v>
      </c>
      <c r="C17" s="336" t="s">
        <v>527</v>
      </c>
      <c r="D17" s="336" t="s">
        <v>526</v>
      </c>
      <c r="E17" s="336" t="s">
        <v>1640</v>
      </c>
      <c r="F17" s="336"/>
      <c r="G17" s="3"/>
      <c r="H17" s="325"/>
      <c r="I17" s="322"/>
      <c r="J17" s="325"/>
      <c r="K17" s="325"/>
      <c r="L17" s="325"/>
      <c r="M17" s="325"/>
      <c r="N17" s="325"/>
      <c r="O17" s="325"/>
      <c r="P17" s="325"/>
      <c r="Q17" s="325"/>
      <c r="R17" s="325"/>
      <c r="S17" s="325"/>
      <c r="T17" s="325"/>
      <c r="U17" s="325"/>
      <c r="V17" s="325"/>
    </row>
    <row r="18" spans="1:22" s="322" customFormat="1"/>
    <row r="19" spans="1:22" s="339" customFormat="1">
      <c r="G19" s="324"/>
      <c r="H19" s="324"/>
      <c r="I19" s="322"/>
      <c r="J19" s="324"/>
      <c r="K19" s="324"/>
      <c r="L19" s="324"/>
      <c r="M19" s="324"/>
      <c r="N19" s="324"/>
      <c r="O19" s="324"/>
      <c r="P19" s="324"/>
      <c r="Q19" s="324"/>
      <c r="R19" s="324"/>
      <c r="S19" s="324"/>
      <c r="T19" s="324"/>
      <c r="U19" s="324"/>
      <c r="V19" s="324"/>
    </row>
    <row r="20" spans="1:22" s="339" customFormat="1">
      <c r="G20" s="324"/>
      <c r="H20" s="324"/>
      <c r="I20" s="322"/>
      <c r="J20" s="324"/>
      <c r="K20" s="324"/>
      <c r="L20" s="324"/>
      <c r="M20" s="324"/>
      <c r="N20" s="324"/>
      <c r="O20" s="324"/>
      <c r="P20" s="324"/>
      <c r="Q20" s="324"/>
      <c r="R20" s="324"/>
      <c r="S20" s="324"/>
      <c r="T20" s="324"/>
      <c r="U20" s="324"/>
      <c r="V20" s="324"/>
    </row>
    <row r="21" spans="1:22" s="339" customFormat="1">
      <c r="G21" s="324"/>
      <c r="H21" s="324"/>
      <c r="I21" s="322"/>
      <c r="J21" s="324"/>
      <c r="K21" s="324"/>
      <c r="L21" s="324"/>
      <c r="M21" s="324"/>
      <c r="N21" s="324"/>
      <c r="O21" s="324"/>
      <c r="P21" s="324"/>
      <c r="Q21" s="324"/>
      <c r="R21" s="324"/>
      <c r="S21" s="324"/>
      <c r="T21" s="324"/>
      <c r="U21" s="324"/>
      <c r="V21" s="324"/>
    </row>
    <row r="22" spans="1:22" s="339" customFormat="1">
      <c r="G22" s="324"/>
      <c r="H22" s="324"/>
      <c r="I22" s="322"/>
      <c r="J22" s="324"/>
      <c r="K22" s="324"/>
      <c r="L22" s="324"/>
      <c r="M22" s="324"/>
      <c r="N22" s="324"/>
      <c r="O22" s="324"/>
      <c r="P22" s="324"/>
      <c r="Q22" s="324"/>
      <c r="R22" s="324"/>
      <c r="S22" s="324"/>
      <c r="T22" s="324"/>
      <c r="U22" s="324"/>
      <c r="V22" s="324"/>
    </row>
    <row r="23" spans="1:22" s="339" customFormat="1">
      <c r="G23" s="324"/>
      <c r="H23" s="324"/>
      <c r="I23" s="322"/>
      <c r="J23" s="324"/>
      <c r="K23" s="324"/>
      <c r="L23" s="324"/>
      <c r="M23" s="324"/>
      <c r="N23" s="324"/>
      <c r="O23" s="324"/>
      <c r="P23" s="324"/>
      <c r="Q23" s="324"/>
      <c r="R23" s="324"/>
      <c r="S23" s="324"/>
      <c r="T23" s="324"/>
      <c r="U23" s="324"/>
      <c r="V23" s="324"/>
    </row>
    <row r="24" spans="1:22" s="339" customFormat="1">
      <c r="G24" s="324"/>
      <c r="H24" s="324"/>
      <c r="I24" s="322"/>
      <c r="J24" s="324"/>
      <c r="K24" s="324"/>
      <c r="L24" s="324"/>
      <c r="M24" s="324"/>
      <c r="N24" s="324"/>
      <c r="O24" s="324"/>
      <c r="P24" s="324"/>
      <c r="Q24" s="324"/>
      <c r="R24" s="324"/>
      <c r="S24" s="324"/>
      <c r="T24" s="324"/>
      <c r="U24" s="324"/>
      <c r="V24" s="324"/>
    </row>
    <row r="25" spans="1:22" s="339" customFormat="1">
      <c r="G25" s="324"/>
      <c r="H25" s="324"/>
      <c r="I25" s="322"/>
      <c r="J25" s="324"/>
      <c r="K25" s="324"/>
      <c r="L25" s="324"/>
      <c r="M25" s="324"/>
      <c r="N25" s="324"/>
      <c r="O25" s="324"/>
      <c r="P25" s="324"/>
      <c r="Q25" s="324"/>
      <c r="R25" s="324"/>
      <c r="S25" s="324"/>
      <c r="T25" s="324"/>
      <c r="U25" s="324"/>
      <c r="V25" s="324"/>
    </row>
    <row r="26" spans="1:22" s="339" customFormat="1">
      <c r="G26" s="324"/>
      <c r="H26" s="324"/>
      <c r="I26" s="322"/>
      <c r="J26" s="324"/>
      <c r="K26" s="324"/>
      <c r="L26" s="324"/>
      <c r="M26" s="324"/>
      <c r="N26" s="324"/>
      <c r="O26" s="324"/>
      <c r="P26" s="324"/>
      <c r="Q26" s="324"/>
      <c r="R26" s="324"/>
      <c r="S26" s="324"/>
      <c r="T26" s="324"/>
      <c r="U26" s="324"/>
      <c r="V26" s="324"/>
    </row>
    <row r="27" spans="1:22" s="339" customFormat="1">
      <c r="G27" s="324"/>
      <c r="H27" s="324"/>
      <c r="I27" s="322"/>
      <c r="J27" s="324"/>
      <c r="K27" s="324"/>
      <c r="L27" s="324"/>
      <c r="M27" s="324"/>
      <c r="N27" s="324"/>
      <c r="O27" s="324"/>
      <c r="P27" s="324"/>
      <c r="Q27" s="324"/>
      <c r="R27" s="324"/>
      <c r="S27" s="324"/>
      <c r="T27" s="324"/>
      <c r="U27" s="324"/>
      <c r="V27" s="324"/>
    </row>
    <row r="28" spans="1:22" s="339" customFormat="1">
      <c r="G28" s="324"/>
      <c r="H28" s="324"/>
      <c r="I28" s="322"/>
      <c r="J28" s="324"/>
      <c r="K28" s="324"/>
      <c r="L28" s="324"/>
      <c r="M28" s="324"/>
      <c r="N28" s="324"/>
      <c r="O28" s="324"/>
      <c r="P28" s="324"/>
      <c r="Q28" s="324"/>
      <c r="R28" s="324"/>
      <c r="S28" s="324"/>
      <c r="T28" s="324"/>
      <c r="U28" s="324"/>
      <c r="V28" s="324"/>
    </row>
    <row r="29" spans="1:22" s="339" customFormat="1">
      <c r="G29" s="324"/>
      <c r="H29" s="324"/>
      <c r="I29" s="322"/>
      <c r="J29" s="324"/>
      <c r="K29" s="324"/>
      <c r="L29" s="324"/>
      <c r="M29" s="324"/>
      <c r="N29" s="324"/>
      <c r="O29" s="324"/>
      <c r="P29" s="324"/>
      <c r="Q29" s="324"/>
      <c r="R29" s="324"/>
      <c r="S29" s="324"/>
      <c r="T29" s="324"/>
      <c r="U29" s="324"/>
      <c r="V29" s="324"/>
    </row>
    <row r="30" spans="1:22" s="339" customFormat="1">
      <c r="G30" s="324"/>
      <c r="H30" s="324"/>
      <c r="I30" s="322"/>
      <c r="J30" s="324"/>
      <c r="K30" s="324"/>
      <c r="L30" s="324"/>
      <c r="M30" s="324"/>
      <c r="N30" s="324"/>
      <c r="O30" s="324"/>
      <c r="P30" s="324"/>
      <c r="Q30" s="324"/>
      <c r="R30" s="324"/>
      <c r="S30" s="324"/>
      <c r="T30" s="324"/>
      <c r="U30" s="324"/>
      <c r="V30" s="324"/>
    </row>
    <row r="31" spans="1:22" s="339" customFormat="1">
      <c r="G31" s="324"/>
      <c r="H31" s="324"/>
      <c r="I31" s="322"/>
      <c r="J31" s="324"/>
      <c r="K31" s="324"/>
      <c r="L31" s="324"/>
      <c r="M31" s="324"/>
      <c r="N31" s="324"/>
      <c r="O31" s="324"/>
      <c r="P31" s="324"/>
      <c r="Q31" s="324"/>
      <c r="R31" s="324"/>
      <c r="S31" s="324"/>
      <c r="T31" s="324"/>
      <c r="U31" s="324"/>
      <c r="V31" s="324"/>
    </row>
    <row r="32" spans="1:22" s="339" customFormat="1">
      <c r="G32" s="324"/>
      <c r="H32" s="324"/>
      <c r="I32" s="322"/>
      <c r="J32" s="324"/>
      <c r="K32" s="324"/>
      <c r="L32" s="324"/>
      <c r="M32" s="324"/>
      <c r="N32" s="324"/>
      <c r="O32" s="324"/>
      <c r="P32" s="324"/>
      <c r="Q32" s="324"/>
      <c r="R32" s="324"/>
      <c r="S32" s="324"/>
      <c r="T32" s="324"/>
      <c r="U32" s="324"/>
      <c r="V32" s="324"/>
    </row>
    <row r="33" spans="7:22" s="339" customFormat="1">
      <c r="G33" s="324"/>
      <c r="H33" s="324"/>
      <c r="I33" s="322"/>
      <c r="J33" s="324"/>
      <c r="K33" s="324"/>
      <c r="L33" s="324"/>
      <c r="M33" s="324"/>
      <c r="N33" s="324"/>
      <c r="O33" s="324"/>
      <c r="P33" s="324"/>
      <c r="Q33" s="324"/>
      <c r="R33" s="324"/>
      <c r="S33" s="324"/>
      <c r="T33" s="324"/>
      <c r="U33" s="324"/>
      <c r="V33" s="324"/>
    </row>
    <row r="34" spans="7:22" s="339" customFormat="1">
      <c r="G34" s="324"/>
      <c r="H34" s="324"/>
      <c r="I34" s="322"/>
      <c r="J34" s="324"/>
      <c r="K34" s="324"/>
      <c r="L34" s="324"/>
      <c r="M34" s="324"/>
      <c r="N34" s="324"/>
      <c r="O34" s="324"/>
      <c r="P34" s="324"/>
      <c r="Q34" s="324"/>
      <c r="R34" s="324"/>
      <c r="S34" s="324"/>
      <c r="T34" s="324"/>
      <c r="U34" s="324"/>
      <c r="V34" s="324"/>
    </row>
    <row r="35" spans="7:22" s="339" customFormat="1">
      <c r="G35" s="324"/>
      <c r="H35" s="324"/>
      <c r="I35" s="322"/>
      <c r="J35" s="324"/>
      <c r="K35" s="324"/>
      <c r="L35" s="324"/>
      <c r="M35" s="324"/>
      <c r="N35" s="324"/>
      <c r="O35" s="324"/>
      <c r="P35" s="324"/>
      <c r="Q35" s="324"/>
      <c r="R35" s="324"/>
      <c r="S35" s="324"/>
      <c r="T35" s="324"/>
      <c r="U35" s="324"/>
      <c r="V35" s="324"/>
    </row>
    <row r="36" spans="7:22" s="339" customFormat="1">
      <c r="G36" s="324"/>
      <c r="H36" s="324"/>
      <c r="I36" s="322"/>
      <c r="J36" s="324"/>
      <c r="K36" s="324"/>
      <c r="L36" s="324"/>
      <c r="M36" s="324"/>
      <c r="N36" s="324"/>
      <c r="O36" s="324"/>
      <c r="P36" s="324"/>
      <c r="Q36" s="324"/>
      <c r="R36" s="324"/>
      <c r="S36" s="324"/>
      <c r="T36" s="324"/>
      <c r="U36" s="324"/>
      <c r="V36" s="324"/>
    </row>
    <row r="37" spans="7:22" s="339" customFormat="1">
      <c r="G37" s="324"/>
      <c r="H37" s="324"/>
      <c r="I37" s="322"/>
      <c r="J37" s="324"/>
      <c r="K37" s="324"/>
      <c r="L37" s="324"/>
      <c r="M37" s="324"/>
      <c r="N37" s="324"/>
      <c r="O37" s="324"/>
      <c r="P37" s="324"/>
      <c r="Q37" s="324"/>
      <c r="R37" s="324"/>
      <c r="S37" s="324"/>
      <c r="T37" s="324"/>
      <c r="U37" s="324"/>
      <c r="V37" s="324"/>
    </row>
    <row r="38" spans="7:22" s="340" customFormat="1">
      <c r="G38" s="324"/>
      <c r="H38" s="324"/>
      <c r="I38" s="322"/>
      <c r="J38" s="324"/>
      <c r="K38" s="324"/>
      <c r="L38" s="324"/>
      <c r="M38" s="324"/>
      <c r="N38" s="324"/>
      <c r="O38" s="324"/>
      <c r="P38" s="324"/>
      <c r="Q38" s="324"/>
      <c r="R38" s="324"/>
      <c r="S38" s="324"/>
      <c r="T38" s="324"/>
      <c r="U38" s="324"/>
      <c r="V38" s="324"/>
    </row>
    <row r="39" spans="7:22" s="340" customFormat="1">
      <c r="G39" s="324"/>
      <c r="H39" s="324"/>
      <c r="I39" s="322"/>
      <c r="J39" s="324"/>
      <c r="K39" s="324"/>
      <c r="L39" s="324"/>
      <c r="M39" s="324"/>
      <c r="N39" s="324"/>
      <c r="O39" s="324"/>
      <c r="P39" s="324"/>
      <c r="Q39" s="324"/>
      <c r="R39" s="324"/>
      <c r="S39" s="324"/>
      <c r="T39" s="324"/>
      <c r="U39" s="324"/>
      <c r="V39" s="324"/>
    </row>
    <row r="40" spans="7:22" s="340" customFormat="1">
      <c r="G40" s="324"/>
      <c r="H40" s="324"/>
      <c r="I40" s="322"/>
      <c r="J40" s="324"/>
      <c r="K40" s="324"/>
      <c r="L40" s="324"/>
      <c r="M40" s="324"/>
      <c r="N40" s="324"/>
      <c r="O40" s="324"/>
      <c r="P40" s="324"/>
      <c r="Q40" s="324"/>
      <c r="R40" s="324"/>
      <c r="S40" s="324"/>
      <c r="T40" s="324"/>
      <c r="U40" s="324"/>
      <c r="V40" s="324"/>
    </row>
    <row r="41" spans="7:22" s="340" customFormat="1">
      <c r="G41" s="324"/>
      <c r="H41" s="324"/>
      <c r="I41" s="322"/>
      <c r="J41" s="324"/>
      <c r="K41" s="324"/>
      <c r="L41" s="324"/>
      <c r="M41" s="324"/>
      <c r="N41" s="324"/>
      <c r="O41" s="324"/>
      <c r="P41" s="324"/>
      <c r="Q41" s="324"/>
      <c r="R41" s="324"/>
      <c r="S41" s="324"/>
      <c r="T41" s="324"/>
      <c r="U41" s="324"/>
      <c r="V41" s="324"/>
    </row>
    <row r="42" spans="7:22" s="340" customFormat="1">
      <c r="G42" s="324"/>
      <c r="H42" s="324"/>
      <c r="I42" s="322"/>
      <c r="J42" s="324"/>
      <c r="K42" s="324"/>
      <c r="L42" s="324"/>
      <c r="M42" s="324"/>
      <c r="N42" s="324"/>
      <c r="O42" s="324"/>
      <c r="P42" s="324"/>
      <c r="Q42" s="324"/>
      <c r="R42" s="324"/>
      <c r="S42" s="324"/>
      <c r="T42" s="324"/>
      <c r="U42" s="324"/>
      <c r="V42" s="324"/>
    </row>
    <row r="43" spans="7:22" s="340" customFormat="1">
      <c r="G43" s="324"/>
      <c r="H43" s="324"/>
      <c r="I43" s="322"/>
      <c r="J43" s="324"/>
      <c r="K43" s="324"/>
      <c r="L43" s="324"/>
      <c r="M43" s="324"/>
      <c r="N43" s="324"/>
      <c r="O43" s="324"/>
      <c r="P43" s="324"/>
      <c r="Q43" s="324"/>
      <c r="R43" s="324"/>
      <c r="S43" s="324"/>
      <c r="T43" s="324"/>
      <c r="U43" s="324"/>
      <c r="V43" s="324"/>
    </row>
    <row r="44" spans="7:22" s="340" customFormat="1">
      <c r="G44" s="324"/>
      <c r="H44" s="324"/>
      <c r="I44" s="322"/>
      <c r="J44" s="324"/>
      <c r="K44" s="324"/>
      <c r="L44" s="324"/>
      <c r="M44" s="324"/>
      <c r="N44" s="324"/>
      <c r="O44" s="324"/>
      <c r="P44" s="324"/>
      <c r="Q44" s="324"/>
      <c r="R44" s="324"/>
      <c r="S44" s="324"/>
      <c r="T44" s="324"/>
      <c r="U44" s="324"/>
      <c r="V44" s="324"/>
    </row>
    <row r="45" spans="7:22" s="340" customFormat="1">
      <c r="G45" s="324"/>
      <c r="H45" s="324"/>
      <c r="I45" s="322"/>
      <c r="J45" s="324"/>
      <c r="K45" s="324"/>
      <c r="L45" s="324"/>
      <c r="M45" s="324"/>
      <c r="N45" s="324"/>
      <c r="O45" s="324"/>
      <c r="P45" s="324"/>
      <c r="Q45" s="324"/>
      <c r="R45" s="324"/>
      <c r="S45" s="324"/>
      <c r="T45" s="324"/>
      <c r="U45" s="324"/>
      <c r="V45" s="324"/>
    </row>
    <row r="46" spans="7:22" s="340" customFormat="1">
      <c r="G46" s="324"/>
      <c r="H46" s="324"/>
      <c r="I46" s="322"/>
      <c r="J46" s="324"/>
      <c r="K46" s="324"/>
      <c r="L46" s="324"/>
      <c r="M46" s="324"/>
      <c r="N46" s="324"/>
      <c r="O46" s="324"/>
      <c r="P46" s="324"/>
      <c r="Q46" s="324"/>
      <c r="R46" s="324"/>
      <c r="S46" s="324"/>
      <c r="T46" s="324"/>
      <c r="U46" s="324"/>
      <c r="V46" s="324"/>
    </row>
    <row r="47" spans="7:22" s="340" customFormat="1">
      <c r="G47" s="324"/>
      <c r="H47" s="324"/>
      <c r="I47" s="322"/>
      <c r="J47" s="324"/>
      <c r="K47" s="324"/>
      <c r="L47" s="324"/>
      <c r="M47" s="324"/>
      <c r="N47" s="324"/>
      <c r="O47" s="324"/>
      <c r="P47" s="324"/>
      <c r="Q47" s="324"/>
      <c r="R47" s="324"/>
      <c r="S47" s="324"/>
      <c r="T47" s="324"/>
      <c r="U47" s="324"/>
      <c r="V47" s="324"/>
    </row>
    <row r="48" spans="7:22" s="340" customFormat="1">
      <c r="G48" s="324"/>
      <c r="H48" s="324"/>
      <c r="I48" s="322"/>
      <c r="J48" s="324"/>
      <c r="K48" s="324"/>
      <c r="L48" s="324"/>
      <c r="M48" s="324"/>
      <c r="N48" s="324"/>
      <c r="O48" s="324"/>
      <c r="P48" s="324"/>
      <c r="Q48" s="324"/>
      <c r="R48" s="324"/>
      <c r="S48" s="324"/>
      <c r="T48" s="324"/>
      <c r="U48" s="324"/>
      <c r="V48" s="324"/>
    </row>
    <row r="49" spans="7:22" s="340" customFormat="1">
      <c r="G49" s="324"/>
      <c r="H49" s="324"/>
      <c r="I49" s="322"/>
      <c r="J49" s="324"/>
      <c r="K49" s="324"/>
      <c r="L49" s="324"/>
      <c r="M49" s="324"/>
      <c r="N49" s="324"/>
      <c r="O49" s="324"/>
      <c r="P49" s="324"/>
      <c r="Q49" s="324"/>
      <c r="R49" s="324"/>
      <c r="S49" s="324"/>
      <c r="T49" s="324"/>
      <c r="U49" s="324"/>
      <c r="V49" s="324"/>
    </row>
    <row r="50" spans="7:22" s="340" customFormat="1">
      <c r="G50" s="324"/>
      <c r="H50" s="324"/>
      <c r="I50" s="322"/>
      <c r="J50" s="324"/>
      <c r="K50" s="324"/>
      <c r="L50" s="324"/>
      <c r="M50" s="324"/>
      <c r="N50" s="324"/>
      <c r="O50" s="324"/>
      <c r="P50" s="324"/>
      <c r="Q50" s="324"/>
      <c r="R50" s="324"/>
      <c r="S50" s="324"/>
      <c r="T50" s="324"/>
      <c r="U50" s="324"/>
      <c r="V50" s="324"/>
    </row>
    <row r="51" spans="7:22" s="340" customFormat="1">
      <c r="G51" s="324"/>
      <c r="H51" s="324"/>
      <c r="I51" s="322"/>
      <c r="J51" s="324"/>
      <c r="K51" s="324"/>
      <c r="L51" s="324"/>
      <c r="M51" s="324"/>
      <c r="N51" s="324"/>
      <c r="O51" s="324"/>
      <c r="P51" s="324"/>
      <c r="Q51" s="324"/>
      <c r="R51" s="324"/>
      <c r="S51" s="324"/>
      <c r="T51" s="324"/>
      <c r="U51" s="324"/>
      <c r="V51" s="324"/>
    </row>
    <row r="52" spans="7:22" s="340" customFormat="1">
      <c r="G52" s="324"/>
      <c r="H52" s="324"/>
      <c r="I52" s="322"/>
      <c r="J52" s="324"/>
      <c r="K52" s="324"/>
      <c r="L52" s="324"/>
      <c r="M52" s="324"/>
      <c r="N52" s="324"/>
      <c r="O52" s="324"/>
      <c r="P52" s="324"/>
      <c r="Q52" s="324"/>
      <c r="R52" s="324"/>
      <c r="S52" s="324"/>
      <c r="T52" s="324"/>
      <c r="U52" s="324"/>
      <c r="V52" s="324"/>
    </row>
    <row r="53" spans="7:22" s="340" customFormat="1">
      <c r="G53" s="324"/>
      <c r="H53" s="324"/>
      <c r="I53" s="322"/>
      <c r="J53" s="324"/>
      <c r="K53" s="324"/>
      <c r="L53" s="324"/>
      <c r="M53" s="324"/>
      <c r="N53" s="324"/>
      <c r="O53" s="324"/>
      <c r="P53" s="324"/>
      <c r="Q53" s="324"/>
      <c r="R53" s="324"/>
      <c r="S53" s="324"/>
      <c r="T53" s="324"/>
      <c r="U53" s="324"/>
      <c r="V53" s="324"/>
    </row>
    <row r="54" spans="7:22" s="340" customFormat="1">
      <c r="G54" s="324"/>
      <c r="H54" s="324"/>
      <c r="I54" s="322"/>
      <c r="J54" s="324"/>
      <c r="K54" s="324"/>
      <c r="L54" s="324"/>
      <c r="M54" s="324"/>
      <c r="N54" s="324"/>
      <c r="O54" s="324"/>
      <c r="P54" s="324"/>
      <c r="Q54" s="324"/>
      <c r="R54" s="324"/>
      <c r="S54" s="324"/>
      <c r="T54" s="324"/>
      <c r="U54" s="324"/>
      <c r="V54" s="324"/>
    </row>
    <row r="55" spans="7:22" s="340" customFormat="1">
      <c r="G55" s="324"/>
      <c r="H55" s="324"/>
      <c r="I55" s="322"/>
      <c r="J55" s="324"/>
      <c r="K55" s="324"/>
      <c r="L55" s="324"/>
      <c r="M55" s="324"/>
      <c r="N55" s="324"/>
      <c r="O55" s="324"/>
      <c r="P55" s="324"/>
      <c r="Q55" s="324"/>
      <c r="R55" s="324"/>
      <c r="S55" s="324"/>
      <c r="T55" s="324"/>
      <c r="U55" s="324"/>
      <c r="V55" s="324"/>
    </row>
    <row r="56" spans="7:22" s="340" customFormat="1">
      <c r="G56" s="324"/>
      <c r="H56" s="324"/>
      <c r="I56" s="322"/>
      <c r="J56" s="324"/>
      <c r="K56" s="324"/>
      <c r="L56" s="324"/>
      <c r="M56" s="324"/>
      <c r="N56" s="324"/>
      <c r="O56" s="324"/>
      <c r="P56" s="324"/>
      <c r="Q56" s="324"/>
      <c r="R56" s="324"/>
      <c r="S56" s="324"/>
      <c r="T56" s="324"/>
      <c r="U56" s="324"/>
      <c r="V56" s="324"/>
    </row>
    <row r="57" spans="7:22" s="340" customFormat="1">
      <c r="G57" s="324"/>
      <c r="H57" s="324"/>
      <c r="I57" s="322"/>
      <c r="J57" s="324"/>
      <c r="K57" s="324"/>
      <c r="L57" s="324"/>
      <c r="M57" s="324"/>
      <c r="N57" s="324"/>
      <c r="O57" s="324"/>
      <c r="P57" s="324"/>
      <c r="Q57" s="324"/>
      <c r="R57" s="324"/>
      <c r="S57" s="324"/>
      <c r="T57" s="324"/>
      <c r="U57" s="324"/>
      <c r="V57" s="324"/>
    </row>
    <row r="58" spans="7:22" s="340" customFormat="1">
      <c r="G58" s="324"/>
      <c r="H58" s="324"/>
      <c r="I58" s="322"/>
      <c r="J58" s="324"/>
      <c r="K58" s="324"/>
      <c r="L58" s="324"/>
      <c r="M58" s="324"/>
      <c r="N58" s="324"/>
      <c r="O58" s="324"/>
      <c r="P58" s="324"/>
      <c r="Q58" s="324"/>
      <c r="R58" s="324"/>
      <c r="S58" s="324"/>
      <c r="T58" s="324"/>
      <c r="U58" s="324"/>
      <c r="V58" s="324"/>
    </row>
  </sheetData>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335B1-4AFC-4211-A8A9-818DB7970BFF}">
  <sheetPr codeName="Sheet41">
    <tabColor rgb="FF007DC4"/>
  </sheetPr>
  <dimension ref="A1:R58"/>
  <sheetViews>
    <sheetView topLeftCell="A4" workbookViewId="0">
      <pane xSplit="2" ySplit="5" topLeftCell="C14" activePane="bottomRight" state="frozen"/>
      <selection activeCell="I11" sqref="I11:J14"/>
      <selection pane="topRight" activeCell="I11" sqref="I11:J14"/>
      <selection pane="bottomLeft" activeCell="I11" sqref="I11:J14"/>
      <selection pane="bottomRight" activeCell="B20" sqref="B20"/>
    </sheetView>
  </sheetViews>
  <sheetFormatPr defaultColWidth="8.77734375" defaultRowHeight="13.8"/>
  <cols>
    <col min="1" max="1" width="10.21875" style="329" customWidth="1"/>
    <col min="2" max="2" width="57.44140625" style="329" customWidth="1"/>
    <col min="3" max="4" width="21.44140625" style="329" customWidth="1"/>
    <col min="5" max="5" width="60.21875" style="329" customWidth="1"/>
    <col min="6" max="6" width="41.77734375" style="329" customWidth="1"/>
    <col min="7" max="7" width="21.44140625" style="324" customWidth="1"/>
    <col min="8" max="10" width="8.77734375" style="322"/>
    <col min="11" max="18" width="8.77734375" style="324"/>
    <col min="19" max="16384" width="8.77734375" style="329"/>
  </cols>
  <sheetData>
    <row r="1" spans="1:18" s="137" customFormat="1" ht="25.8">
      <c r="A1" s="321" t="s">
        <v>356</v>
      </c>
      <c r="B1" s="322"/>
      <c r="C1" s="323"/>
      <c r="D1" s="322"/>
      <c r="E1" s="322"/>
      <c r="F1" s="322"/>
      <c r="G1" s="324"/>
      <c r="H1" s="322"/>
      <c r="I1" s="322"/>
      <c r="J1" s="322"/>
      <c r="K1" s="324"/>
      <c r="L1" s="324"/>
      <c r="M1" s="324"/>
      <c r="N1" s="324"/>
      <c r="O1" s="324"/>
      <c r="P1" s="324"/>
      <c r="Q1" s="324"/>
      <c r="R1" s="324"/>
    </row>
    <row r="2" spans="1:18" s="346" customFormat="1" ht="25.8">
      <c r="A2" s="321" t="s">
        <v>1800</v>
      </c>
      <c r="B2" s="322"/>
      <c r="C2" s="323"/>
      <c r="D2" s="322"/>
      <c r="E2" s="322"/>
      <c r="F2" s="322"/>
      <c r="G2" s="324"/>
      <c r="H2" s="322"/>
      <c r="I2" s="322"/>
      <c r="J2" s="322"/>
      <c r="K2" s="324"/>
      <c r="L2" s="324"/>
      <c r="M2" s="324"/>
      <c r="N2" s="324"/>
      <c r="O2" s="324"/>
      <c r="P2" s="324"/>
      <c r="Q2" s="324"/>
      <c r="R2" s="324"/>
    </row>
    <row r="3" spans="1:18" s="346" customFormat="1">
      <c r="A3" s="325" t="s">
        <v>1670</v>
      </c>
      <c r="B3" s="322" t="s">
        <v>1801</v>
      </c>
      <c r="C3" s="322"/>
      <c r="D3" s="322"/>
      <c r="E3" s="322"/>
      <c r="F3" s="322"/>
      <c r="G3" s="324"/>
      <c r="H3" s="322"/>
      <c r="I3" s="322"/>
      <c r="J3" s="322"/>
      <c r="K3" s="324"/>
      <c r="L3" s="324"/>
      <c r="M3" s="324"/>
      <c r="N3" s="324"/>
      <c r="O3" s="324"/>
      <c r="P3" s="324"/>
      <c r="Q3" s="324"/>
      <c r="R3" s="324"/>
    </row>
    <row r="4" spans="1:18" s="139" customFormat="1">
      <c r="A4" s="325" t="s">
        <v>408</v>
      </c>
      <c r="B4" s="322" t="s">
        <v>1802</v>
      </c>
      <c r="C4" s="322"/>
      <c r="D4" s="322"/>
      <c r="E4" s="322"/>
      <c r="F4" s="322"/>
      <c r="G4" s="324"/>
      <c r="H4" s="322"/>
      <c r="I4" s="322"/>
      <c r="J4" s="322"/>
      <c r="K4" s="324"/>
      <c r="L4" s="324"/>
      <c r="M4" s="324"/>
      <c r="N4" s="324"/>
      <c r="O4" s="324"/>
      <c r="P4" s="324"/>
      <c r="Q4" s="324"/>
      <c r="R4" s="324"/>
    </row>
    <row r="5" spans="1:18" s="139" customFormat="1">
      <c r="A5" s="322" t="s">
        <v>1672</v>
      </c>
      <c r="B5" s="322" t="s">
        <v>1803</v>
      </c>
      <c r="C5" s="322"/>
      <c r="D5" s="322"/>
      <c r="E5" s="322"/>
      <c r="F5" s="322"/>
      <c r="G5" s="324"/>
      <c r="H5" s="322"/>
      <c r="I5" s="322"/>
      <c r="J5" s="322"/>
      <c r="K5" s="324"/>
      <c r="L5" s="324"/>
      <c r="M5" s="324"/>
      <c r="N5" s="324"/>
      <c r="O5" s="324"/>
      <c r="P5" s="324"/>
      <c r="Q5" s="324"/>
      <c r="R5" s="324"/>
    </row>
    <row r="6" spans="1:18" s="137" customFormat="1">
      <c r="A6" s="322" t="s">
        <v>412</v>
      </c>
      <c r="B6" s="322" t="s">
        <v>1804</v>
      </c>
      <c r="C6" s="322"/>
      <c r="D6" s="322"/>
      <c r="E6" s="322"/>
      <c r="F6" s="322"/>
      <c r="G6" s="324"/>
      <c r="H6" s="322"/>
      <c r="I6" s="322"/>
      <c r="J6" s="322"/>
      <c r="K6" s="324"/>
      <c r="L6" s="324"/>
      <c r="M6" s="324"/>
      <c r="N6" s="324"/>
      <c r="O6" s="324"/>
      <c r="P6" s="324"/>
      <c r="Q6" s="324"/>
      <c r="R6" s="324"/>
    </row>
    <row r="7" spans="1:18" s="346" customFormat="1">
      <c r="A7" s="329"/>
      <c r="B7" s="329"/>
      <c r="C7" s="329"/>
      <c r="D7" s="329"/>
      <c r="E7" s="322"/>
      <c r="F7" s="322"/>
      <c r="G7" s="359"/>
      <c r="H7" s="322"/>
      <c r="I7" s="322"/>
      <c r="J7" s="322"/>
      <c r="K7" s="324"/>
      <c r="L7" s="324"/>
      <c r="M7" s="324"/>
      <c r="N7" s="324"/>
      <c r="O7" s="324"/>
      <c r="P7" s="324"/>
      <c r="Q7" s="324"/>
      <c r="R7" s="324"/>
    </row>
    <row r="8" spans="1:18" s="148" customFormat="1">
      <c r="A8" s="350"/>
      <c r="B8" s="350"/>
      <c r="C8" s="350" t="s">
        <v>96</v>
      </c>
      <c r="D8" s="350" t="s">
        <v>553</v>
      </c>
      <c r="E8" s="350" t="s">
        <v>85</v>
      </c>
      <c r="F8" s="350" t="s">
        <v>1653</v>
      </c>
      <c r="G8" s="350" t="s">
        <v>1674</v>
      </c>
      <c r="H8" s="322"/>
      <c r="I8" s="322"/>
      <c r="J8" s="322"/>
      <c r="K8" s="322"/>
      <c r="L8" s="322"/>
      <c r="M8" s="322"/>
      <c r="N8" s="322"/>
      <c r="O8" s="322"/>
      <c r="P8" s="322"/>
      <c r="Q8" s="322"/>
      <c r="R8" s="322"/>
    </row>
    <row r="9" spans="1:18" s="148" customFormat="1">
      <c r="A9" s="330" t="s">
        <v>47</v>
      </c>
      <c r="B9" s="330"/>
      <c r="C9" s="331"/>
      <c r="D9" s="331"/>
      <c r="E9" s="331"/>
      <c r="F9" s="331"/>
      <c r="G9" s="331"/>
      <c r="H9" s="322"/>
      <c r="I9" s="322"/>
      <c r="J9" s="322"/>
      <c r="K9" s="325"/>
      <c r="L9" s="325"/>
      <c r="M9" s="325"/>
      <c r="N9" s="325"/>
      <c r="O9" s="325"/>
      <c r="P9" s="325"/>
      <c r="Q9" s="325"/>
      <c r="R9" s="325"/>
    </row>
    <row r="10" spans="1:18" s="93" customFormat="1" ht="69">
      <c r="A10" s="3" t="s">
        <v>357</v>
      </c>
      <c r="B10" s="3" t="s">
        <v>2014</v>
      </c>
      <c r="C10" s="3"/>
      <c r="D10" s="3"/>
      <c r="E10" s="336" t="s">
        <v>1805</v>
      </c>
      <c r="F10" s="336"/>
      <c r="G10" s="3"/>
      <c r="H10" s="322"/>
      <c r="I10" s="322"/>
      <c r="J10" s="322"/>
      <c r="K10" s="325"/>
      <c r="L10" s="325"/>
      <c r="M10" s="325"/>
      <c r="N10" s="325"/>
      <c r="O10" s="325"/>
      <c r="P10" s="325"/>
      <c r="Q10" s="325"/>
      <c r="R10" s="325"/>
    </row>
    <row r="11" spans="1:18" s="325" customFormat="1" ht="69">
      <c r="A11" s="3" t="s">
        <v>358</v>
      </c>
      <c r="B11" s="3" t="s">
        <v>2015</v>
      </c>
      <c r="C11" s="3"/>
      <c r="D11" s="3"/>
      <c r="E11" s="336" t="s">
        <v>1806</v>
      </c>
      <c r="F11" s="336"/>
      <c r="G11" s="3"/>
      <c r="H11" s="322"/>
      <c r="I11" s="322"/>
      <c r="J11" s="322"/>
    </row>
    <row r="12" spans="1:18" s="148" customFormat="1">
      <c r="A12" s="330" t="s">
        <v>54</v>
      </c>
      <c r="B12" s="330"/>
      <c r="C12" s="331"/>
      <c r="D12" s="331"/>
      <c r="E12" s="331" t="s">
        <v>1772</v>
      </c>
      <c r="F12" s="331"/>
      <c r="G12" s="331"/>
      <c r="H12" s="322"/>
      <c r="I12" s="322"/>
      <c r="J12" s="322"/>
      <c r="K12" s="325"/>
      <c r="L12" s="325"/>
      <c r="M12" s="325"/>
      <c r="N12" s="325"/>
      <c r="O12" s="325"/>
      <c r="P12" s="325"/>
      <c r="Q12" s="325"/>
      <c r="R12" s="325"/>
    </row>
    <row r="13" spans="1:18" s="148" customFormat="1" ht="82.8">
      <c r="A13" s="3" t="s">
        <v>359</v>
      </c>
      <c r="B13" s="3" t="s">
        <v>2016</v>
      </c>
      <c r="C13" s="3"/>
      <c r="D13" s="336" t="s">
        <v>1807</v>
      </c>
      <c r="E13" s="336" t="s">
        <v>1808</v>
      </c>
      <c r="F13" s="336"/>
      <c r="G13" s="3"/>
      <c r="H13" s="322"/>
      <c r="I13" s="322"/>
      <c r="J13" s="322"/>
      <c r="K13" s="325"/>
      <c r="L13" s="325"/>
      <c r="M13" s="325"/>
      <c r="N13" s="325"/>
      <c r="O13" s="325"/>
      <c r="P13" s="325"/>
      <c r="Q13" s="325"/>
      <c r="R13" s="325"/>
    </row>
    <row r="14" spans="1:18" s="93" customFormat="1" ht="82.8">
      <c r="A14" s="3" t="s">
        <v>360</v>
      </c>
      <c r="B14" s="3" t="s">
        <v>2017</v>
      </c>
      <c r="C14" s="3"/>
      <c r="D14" s="3"/>
      <c r="E14" s="336" t="s">
        <v>1809</v>
      </c>
      <c r="F14" s="336"/>
      <c r="G14" s="3"/>
      <c r="H14" s="322"/>
      <c r="I14" s="322"/>
      <c r="J14" s="322"/>
      <c r="K14" s="325"/>
      <c r="L14" s="325"/>
      <c r="M14" s="325"/>
      <c r="N14" s="325"/>
      <c r="O14" s="325"/>
      <c r="P14" s="325"/>
      <c r="Q14" s="325"/>
      <c r="R14" s="325"/>
    </row>
    <row r="15" spans="1:18" s="325" customFormat="1" ht="55.2">
      <c r="A15" s="3" t="s">
        <v>361</v>
      </c>
      <c r="B15" s="3" t="s">
        <v>2018</v>
      </c>
      <c r="C15" s="3"/>
      <c r="D15" s="3"/>
      <c r="E15" s="336" t="s">
        <v>1810</v>
      </c>
      <c r="F15" s="336"/>
      <c r="G15" s="3"/>
      <c r="H15" s="322"/>
      <c r="I15" s="322"/>
      <c r="J15" s="322"/>
    </row>
    <row r="16" spans="1:18" s="325" customFormat="1" ht="69">
      <c r="A16" s="3" t="s">
        <v>362</v>
      </c>
      <c r="B16" s="3" t="s">
        <v>2019</v>
      </c>
      <c r="C16" s="3"/>
      <c r="D16" s="3"/>
      <c r="E16" s="336" t="s">
        <v>1811</v>
      </c>
      <c r="F16" s="336"/>
      <c r="G16" s="3"/>
      <c r="H16" s="322"/>
      <c r="I16" s="322"/>
      <c r="J16" s="322"/>
    </row>
    <row r="17" spans="1:18" s="148" customFormat="1" ht="96.6">
      <c r="A17" s="3" t="s">
        <v>363</v>
      </c>
      <c r="B17" s="3" t="s">
        <v>2020</v>
      </c>
      <c r="C17" s="3"/>
      <c r="D17" s="3"/>
      <c r="E17" s="336" t="s">
        <v>1812</v>
      </c>
      <c r="F17" s="336"/>
      <c r="G17" s="3"/>
      <c r="H17" s="322"/>
      <c r="I17" s="322"/>
      <c r="J17" s="322"/>
      <c r="K17" s="325"/>
      <c r="L17" s="325"/>
      <c r="M17" s="325"/>
      <c r="N17" s="325"/>
      <c r="O17" s="325"/>
      <c r="P17" s="325"/>
      <c r="Q17" s="325"/>
      <c r="R17" s="325"/>
    </row>
    <row r="18" spans="1:18" s="148" customFormat="1">
      <c r="A18" s="330" t="s">
        <v>56</v>
      </c>
      <c r="B18" s="330"/>
      <c r="C18" s="331"/>
      <c r="D18" s="331"/>
      <c r="E18" s="331"/>
      <c r="F18" s="331"/>
      <c r="G18" s="331"/>
      <c r="H18" s="322"/>
      <c r="I18" s="322"/>
      <c r="J18" s="322"/>
      <c r="K18" s="325"/>
      <c r="L18" s="325"/>
      <c r="M18" s="325"/>
      <c r="N18" s="325"/>
      <c r="O18" s="325"/>
      <c r="P18" s="325"/>
      <c r="Q18" s="325"/>
      <c r="R18" s="325"/>
    </row>
    <row r="19" spans="1:18" s="93" customFormat="1" ht="55.2">
      <c r="A19" s="3" t="s">
        <v>364</v>
      </c>
      <c r="B19" s="3" t="s">
        <v>2021</v>
      </c>
      <c r="C19" s="3"/>
      <c r="D19" s="336" t="s">
        <v>528</v>
      </c>
      <c r="E19" s="336" t="s">
        <v>1988</v>
      </c>
      <c r="F19" s="336"/>
      <c r="G19" s="3"/>
      <c r="H19" s="322"/>
      <c r="I19" s="322"/>
      <c r="J19" s="322"/>
      <c r="K19" s="325"/>
      <c r="L19" s="325"/>
      <c r="M19" s="325"/>
      <c r="N19" s="325"/>
      <c r="O19" s="325"/>
      <c r="P19" s="325"/>
      <c r="Q19" s="325"/>
      <c r="R19" s="325"/>
    </row>
    <row r="20" spans="1:18" s="339" customFormat="1">
      <c r="G20" s="324"/>
      <c r="H20" s="322"/>
      <c r="I20" s="322"/>
      <c r="J20" s="322"/>
      <c r="K20" s="324"/>
      <c r="L20" s="324"/>
      <c r="M20" s="324"/>
      <c r="N20" s="324"/>
      <c r="O20" s="324"/>
      <c r="P20" s="324"/>
      <c r="Q20" s="324"/>
      <c r="R20" s="324"/>
    </row>
    <row r="21" spans="1:18" s="339" customFormat="1">
      <c r="G21" s="324"/>
      <c r="H21" s="322"/>
      <c r="I21" s="322"/>
      <c r="J21" s="322"/>
      <c r="K21" s="324"/>
      <c r="L21" s="324"/>
      <c r="M21" s="324"/>
      <c r="N21" s="324"/>
      <c r="O21" s="324"/>
      <c r="P21" s="324"/>
      <c r="Q21" s="324"/>
      <c r="R21" s="324"/>
    </row>
    <row r="22" spans="1:18" s="339" customFormat="1">
      <c r="G22" s="324"/>
      <c r="H22" s="322"/>
      <c r="I22" s="322"/>
      <c r="J22" s="322"/>
      <c r="K22" s="324"/>
      <c r="L22" s="324"/>
      <c r="M22" s="324"/>
      <c r="N22" s="324"/>
      <c r="O22" s="324"/>
      <c r="P22" s="324"/>
      <c r="Q22" s="324"/>
      <c r="R22" s="324"/>
    </row>
    <row r="23" spans="1:18" s="339" customFormat="1">
      <c r="G23" s="324"/>
      <c r="H23" s="322"/>
      <c r="I23" s="322"/>
      <c r="J23" s="322"/>
      <c r="K23" s="324"/>
      <c r="L23" s="324"/>
      <c r="M23" s="324"/>
      <c r="N23" s="324"/>
      <c r="O23" s="324"/>
      <c r="P23" s="324"/>
      <c r="Q23" s="324"/>
      <c r="R23" s="324"/>
    </row>
    <row r="24" spans="1:18" s="339" customFormat="1">
      <c r="G24" s="324"/>
      <c r="H24" s="322"/>
      <c r="I24" s="322"/>
      <c r="J24" s="322"/>
      <c r="K24" s="324"/>
      <c r="L24" s="324"/>
      <c r="M24" s="324"/>
      <c r="N24" s="324"/>
      <c r="O24" s="324"/>
      <c r="P24" s="324"/>
      <c r="Q24" s="324"/>
      <c r="R24" s="324"/>
    </row>
    <row r="25" spans="1:18" s="339" customFormat="1">
      <c r="G25" s="324"/>
      <c r="H25" s="322"/>
      <c r="I25" s="322"/>
      <c r="J25" s="322"/>
      <c r="K25" s="324"/>
      <c r="L25" s="324"/>
      <c r="M25" s="324"/>
      <c r="N25" s="324"/>
      <c r="O25" s="324"/>
      <c r="P25" s="324"/>
      <c r="Q25" s="324"/>
      <c r="R25" s="324"/>
    </row>
    <row r="26" spans="1:18" s="339" customFormat="1">
      <c r="G26" s="324"/>
      <c r="H26" s="322"/>
      <c r="I26" s="322"/>
      <c r="J26" s="322"/>
      <c r="K26" s="324"/>
      <c r="L26" s="324"/>
      <c r="M26" s="324"/>
      <c r="N26" s="324"/>
      <c r="O26" s="324"/>
      <c r="P26" s="324"/>
      <c r="Q26" s="324"/>
      <c r="R26" s="324"/>
    </row>
    <row r="27" spans="1:18" s="339" customFormat="1">
      <c r="G27" s="324"/>
      <c r="H27" s="322"/>
      <c r="I27" s="322"/>
      <c r="J27" s="322"/>
      <c r="K27" s="324"/>
      <c r="L27" s="324"/>
      <c r="M27" s="324"/>
      <c r="N27" s="324"/>
      <c r="O27" s="324"/>
      <c r="P27" s="324"/>
      <c r="Q27" s="324"/>
      <c r="R27" s="324"/>
    </row>
    <row r="28" spans="1:18" s="339" customFormat="1">
      <c r="G28" s="324"/>
      <c r="H28" s="322"/>
      <c r="I28" s="322"/>
      <c r="J28" s="322"/>
      <c r="K28" s="324"/>
      <c r="L28" s="324"/>
      <c r="M28" s="324"/>
      <c r="N28" s="324"/>
      <c r="O28" s="324"/>
      <c r="P28" s="324"/>
      <c r="Q28" s="324"/>
      <c r="R28" s="324"/>
    </row>
    <row r="29" spans="1:18" s="339" customFormat="1">
      <c r="G29" s="324"/>
      <c r="H29" s="322"/>
      <c r="I29" s="322"/>
      <c r="J29" s="322"/>
      <c r="K29" s="324"/>
      <c r="L29" s="324"/>
      <c r="M29" s="324"/>
      <c r="N29" s="324"/>
      <c r="O29" s="324"/>
      <c r="P29" s="324"/>
      <c r="Q29" s="324"/>
      <c r="R29" s="324"/>
    </row>
    <row r="30" spans="1:18" s="339" customFormat="1">
      <c r="G30" s="324"/>
      <c r="H30" s="322"/>
      <c r="I30" s="322"/>
      <c r="J30" s="322"/>
      <c r="K30" s="324"/>
      <c r="L30" s="324"/>
      <c r="M30" s="324"/>
      <c r="N30" s="324"/>
      <c r="O30" s="324"/>
      <c r="P30" s="324"/>
      <c r="Q30" s="324"/>
      <c r="R30" s="324"/>
    </row>
    <row r="31" spans="1:18" s="339" customFormat="1">
      <c r="G31" s="324"/>
      <c r="H31" s="322"/>
      <c r="I31" s="322"/>
      <c r="J31" s="322"/>
      <c r="K31" s="324"/>
      <c r="L31" s="324"/>
      <c r="M31" s="324"/>
      <c r="N31" s="324"/>
      <c r="O31" s="324"/>
      <c r="P31" s="324"/>
      <c r="Q31" s="324"/>
      <c r="R31" s="324"/>
    </row>
    <row r="32" spans="1:18" s="339" customFormat="1">
      <c r="G32" s="324"/>
      <c r="H32" s="322"/>
      <c r="I32" s="322"/>
      <c r="J32" s="322"/>
      <c r="K32" s="324"/>
      <c r="L32" s="324"/>
      <c r="M32" s="324"/>
      <c r="N32" s="324"/>
      <c r="O32" s="324"/>
      <c r="P32" s="324"/>
      <c r="Q32" s="324"/>
      <c r="R32" s="324"/>
    </row>
    <row r="33" spans="7:18" s="339" customFormat="1">
      <c r="G33" s="324"/>
      <c r="H33" s="322"/>
      <c r="I33" s="322"/>
      <c r="J33" s="322"/>
      <c r="K33" s="324"/>
      <c r="L33" s="324"/>
      <c r="M33" s="324"/>
      <c r="N33" s="324"/>
      <c r="O33" s="324"/>
      <c r="P33" s="324"/>
      <c r="Q33" s="324"/>
      <c r="R33" s="324"/>
    </row>
    <row r="34" spans="7:18" s="339" customFormat="1">
      <c r="G34" s="324"/>
      <c r="H34" s="322"/>
      <c r="I34" s="322"/>
      <c r="J34" s="322"/>
      <c r="K34" s="324"/>
      <c r="L34" s="324"/>
      <c r="M34" s="324"/>
      <c r="N34" s="324"/>
      <c r="O34" s="324"/>
      <c r="P34" s="324"/>
      <c r="Q34" s="324"/>
      <c r="R34" s="324"/>
    </row>
    <row r="35" spans="7:18" s="339" customFormat="1">
      <c r="G35" s="324"/>
      <c r="H35" s="322"/>
      <c r="I35" s="322"/>
      <c r="J35" s="322"/>
      <c r="K35" s="324"/>
      <c r="L35" s="324"/>
      <c r="M35" s="324"/>
      <c r="N35" s="324"/>
      <c r="O35" s="324"/>
      <c r="P35" s="324"/>
      <c r="Q35" s="324"/>
      <c r="R35" s="324"/>
    </row>
    <row r="36" spans="7:18" s="339" customFormat="1">
      <c r="G36" s="324"/>
      <c r="H36" s="322"/>
      <c r="I36" s="322"/>
      <c r="J36" s="322"/>
      <c r="K36" s="324"/>
      <c r="L36" s="324"/>
      <c r="M36" s="324"/>
      <c r="N36" s="324"/>
      <c r="O36" s="324"/>
      <c r="P36" s="324"/>
      <c r="Q36" s="324"/>
      <c r="R36" s="324"/>
    </row>
    <row r="37" spans="7:18" s="339" customFormat="1">
      <c r="G37" s="324"/>
      <c r="H37" s="322"/>
      <c r="I37" s="322"/>
      <c r="J37" s="322"/>
      <c r="K37" s="324"/>
      <c r="L37" s="324"/>
      <c r="M37" s="324"/>
      <c r="N37" s="324"/>
      <c r="O37" s="324"/>
      <c r="P37" s="324"/>
      <c r="Q37" s="324"/>
      <c r="R37" s="324"/>
    </row>
    <row r="38" spans="7:18" s="340" customFormat="1">
      <c r="G38" s="324"/>
      <c r="H38" s="322"/>
      <c r="I38" s="322"/>
      <c r="J38" s="322"/>
      <c r="K38" s="324"/>
      <c r="L38" s="324"/>
      <c r="M38" s="324"/>
      <c r="N38" s="324"/>
      <c r="O38" s="324"/>
      <c r="P38" s="324"/>
      <c r="Q38" s="324"/>
      <c r="R38" s="324"/>
    </row>
    <row r="39" spans="7:18" s="340" customFormat="1">
      <c r="G39" s="324"/>
      <c r="H39" s="322"/>
      <c r="I39" s="322"/>
      <c r="J39" s="322"/>
      <c r="K39" s="324"/>
      <c r="L39" s="324"/>
      <c r="M39" s="324"/>
      <c r="N39" s="324"/>
      <c r="O39" s="324"/>
      <c r="P39" s="324"/>
      <c r="Q39" s="324"/>
      <c r="R39" s="324"/>
    </row>
    <row r="40" spans="7:18" s="340" customFormat="1">
      <c r="G40" s="324"/>
      <c r="H40" s="322"/>
      <c r="I40" s="322"/>
      <c r="J40" s="322"/>
      <c r="K40" s="324"/>
      <c r="L40" s="324"/>
      <c r="M40" s="324"/>
      <c r="N40" s="324"/>
      <c r="O40" s="324"/>
      <c r="P40" s="324"/>
      <c r="Q40" s="324"/>
      <c r="R40" s="324"/>
    </row>
    <row r="41" spans="7:18" s="340" customFormat="1">
      <c r="G41" s="324"/>
      <c r="H41" s="322"/>
      <c r="I41" s="322"/>
      <c r="J41" s="322"/>
      <c r="K41" s="324"/>
      <c r="L41" s="324"/>
      <c r="M41" s="324"/>
      <c r="N41" s="324"/>
      <c r="O41" s="324"/>
      <c r="P41" s="324"/>
      <c r="Q41" s="324"/>
      <c r="R41" s="324"/>
    </row>
    <row r="42" spans="7:18" s="340" customFormat="1">
      <c r="G42" s="324"/>
      <c r="H42" s="322"/>
      <c r="I42" s="322"/>
      <c r="J42" s="322"/>
      <c r="K42" s="324"/>
      <c r="L42" s="324"/>
      <c r="M42" s="324"/>
      <c r="N42" s="324"/>
      <c r="O42" s="324"/>
      <c r="P42" s="324"/>
      <c r="Q42" s="324"/>
      <c r="R42" s="324"/>
    </row>
    <row r="43" spans="7:18" s="340" customFormat="1">
      <c r="G43" s="324"/>
      <c r="H43" s="322"/>
      <c r="I43" s="322"/>
      <c r="J43" s="322"/>
      <c r="K43" s="324"/>
      <c r="L43" s="324"/>
      <c r="M43" s="324"/>
      <c r="N43" s="324"/>
      <c r="O43" s="324"/>
      <c r="P43" s="324"/>
      <c r="Q43" s="324"/>
      <c r="R43" s="324"/>
    </row>
    <row r="44" spans="7:18" s="340" customFormat="1">
      <c r="G44" s="324"/>
      <c r="H44" s="322"/>
      <c r="I44" s="322"/>
      <c r="J44" s="322"/>
      <c r="K44" s="324"/>
      <c r="L44" s="324"/>
      <c r="M44" s="324"/>
      <c r="N44" s="324"/>
      <c r="O44" s="324"/>
      <c r="P44" s="324"/>
      <c r="Q44" s="324"/>
      <c r="R44" s="324"/>
    </row>
    <row r="45" spans="7:18" s="340" customFormat="1">
      <c r="G45" s="324"/>
      <c r="H45" s="322"/>
      <c r="I45" s="322"/>
      <c r="J45" s="322"/>
      <c r="K45" s="324"/>
      <c r="L45" s="324"/>
      <c r="M45" s="324"/>
      <c r="N45" s="324"/>
      <c r="O45" s="324"/>
      <c r="P45" s="324"/>
      <c r="Q45" s="324"/>
      <c r="R45" s="324"/>
    </row>
    <row r="46" spans="7:18" s="340" customFormat="1">
      <c r="G46" s="324"/>
      <c r="H46" s="322"/>
      <c r="I46" s="322"/>
      <c r="J46" s="322"/>
      <c r="K46" s="324"/>
      <c r="L46" s="324"/>
      <c r="M46" s="324"/>
      <c r="N46" s="324"/>
      <c r="O46" s="324"/>
      <c r="P46" s="324"/>
      <c r="Q46" s="324"/>
      <c r="R46" s="324"/>
    </row>
    <row r="47" spans="7:18" s="340" customFormat="1">
      <c r="G47" s="324"/>
      <c r="H47" s="322"/>
      <c r="I47" s="322"/>
      <c r="J47" s="322"/>
      <c r="K47" s="324"/>
      <c r="L47" s="324"/>
      <c r="M47" s="324"/>
      <c r="N47" s="324"/>
      <c r="O47" s="324"/>
      <c r="P47" s="324"/>
      <c r="Q47" s="324"/>
      <c r="R47" s="324"/>
    </row>
    <row r="48" spans="7:18" s="340" customFormat="1">
      <c r="G48" s="324"/>
      <c r="H48" s="322"/>
      <c r="I48" s="322"/>
      <c r="J48" s="322"/>
      <c r="K48" s="324"/>
      <c r="L48" s="324"/>
      <c r="M48" s="324"/>
      <c r="N48" s="324"/>
      <c r="O48" s="324"/>
      <c r="P48" s="324"/>
      <c r="Q48" s="324"/>
      <c r="R48" s="324"/>
    </row>
    <row r="49" spans="7:18" s="340" customFormat="1">
      <c r="G49" s="324"/>
      <c r="H49" s="322"/>
      <c r="I49" s="322"/>
      <c r="J49" s="322"/>
      <c r="K49" s="324"/>
      <c r="L49" s="324"/>
      <c r="M49" s="324"/>
      <c r="N49" s="324"/>
      <c r="O49" s="324"/>
      <c r="P49" s="324"/>
      <c r="Q49" s="324"/>
      <c r="R49" s="324"/>
    </row>
    <row r="50" spans="7:18" s="340" customFormat="1">
      <c r="G50" s="324"/>
      <c r="H50" s="322"/>
      <c r="I50" s="322"/>
      <c r="J50" s="322"/>
      <c r="K50" s="324"/>
      <c r="L50" s="324"/>
      <c r="M50" s="324"/>
      <c r="N50" s="324"/>
      <c r="O50" s="324"/>
      <c r="P50" s="324"/>
      <c r="Q50" s="324"/>
      <c r="R50" s="324"/>
    </row>
    <row r="51" spans="7:18" s="340" customFormat="1">
      <c r="G51" s="324"/>
      <c r="H51" s="322"/>
      <c r="I51" s="322"/>
      <c r="J51" s="322"/>
      <c r="K51" s="324"/>
      <c r="L51" s="324"/>
      <c r="M51" s="324"/>
      <c r="N51" s="324"/>
      <c r="O51" s="324"/>
      <c r="P51" s="324"/>
      <c r="Q51" s="324"/>
      <c r="R51" s="324"/>
    </row>
    <row r="52" spans="7:18" s="340" customFormat="1">
      <c r="G52" s="324"/>
      <c r="H52" s="322"/>
      <c r="I52" s="322"/>
      <c r="J52" s="322"/>
      <c r="K52" s="324"/>
      <c r="L52" s="324"/>
      <c r="M52" s="324"/>
      <c r="N52" s="324"/>
      <c r="O52" s="324"/>
      <c r="P52" s="324"/>
      <c r="Q52" s="324"/>
      <c r="R52" s="324"/>
    </row>
    <row r="53" spans="7:18" s="340" customFormat="1">
      <c r="G53" s="324"/>
      <c r="H53" s="322"/>
      <c r="I53" s="322"/>
      <c r="J53" s="322"/>
      <c r="K53" s="324"/>
      <c r="L53" s="324"/>
      <c r="M53" s="324"/>
      <c r="N53" s="324"/>
      <c r="O53" s="324"/>
      <c r="P53" s="324"/>
      <c r="Q53" s="324"/>
      <c r="R53" s="324"/>
    </row>
    <row r="54" spans="7:18" s="340" customFormat="1">
      <c r="G54" s="324"/>
      <c r="H54" s="322"/>
      <c r="I54" s="322"/>
      <c r="J54" s="322"/>
      <c r="K54" s="324"/>
      <c r="L54" s="324"/>
      <c r="M54" s="324"/>
      <c r="N54" s="324"/>
      <c r="O54" s="324"/>
      <c r="P54" s="324"/>
      <c r="Q54" s="324"/>
      <c r="R54" s="324"/>
    </row>
    <row r="55" spans="7:18" s="340" customFormat="1">
      <c r="G55" s="324"/>
      <c r="H55" s="322"/>
      <c r="I55" s="322"/>
      <c r="J55" s="322"/>
      <c r="K55" s="324"/>
      <c r="L55" s="324"/>
      <c r="M55" s="324"/>
      <c r="N55" s="324"/>
      <c r="O55" s="324"/>
      <c r="P55" s="324"/>
      <c r="Q55" s="324"/>
      <c r="R55" s="324"/>
    </row>
    <row r="56" spans="7:18" s="340" customFormat="1">
      <c r="G56" s="324"/>
      <c r="H56" s="322"/>
      <c r="I56" s="322"/>
      <c r="J56" s="322"/>
      <c r="K56" s="324"/>
      <c r="L56" s="324"/>
      <c r="M56" s="324"/>
      <c r="N56" s="324"/>
      <c r="O56" s="324"/>
      <c r="P56" s="324"/>
      <c r="Q56" s="324"/>
      <c r="R56" s="324"/>
    </row>
    <row r="57" spans="7:18" s="340" customFormat="1">
      <c r="G57" s="324"/>
      <c r="H57" s="322"/>
      <c r="I57" s="322"/>
      <c r="J57" s="322"/>
      <c r="K57" s="324"/>
      <c r="L57" s="324"/>
      <c r="M57" s="324"/>
      <c r="N57" s="324"/>
      <c r="O57" s="324"/>
      <c r="P57" s="324"/>
      <c r="Q57" s="324"/>
      <c r="R57" s="324"/>
    </row>
    <row r="58" spans="7:18" s="340" customFormat="1">
      <c r="G58" s="324"/>
      <c r="H58" s="322"/>
      <c r="I58" s="322"/>
      <c r="J58" s="322"/>
      <c r="K58" s="324"/>
      <c r="L58" s="324"/>
      <c r="M58" s="324"/>
      <c r="N58" s="324"/>
      <c r="O58" s="324"/>
      <c r="P58" s="324"/>
      <c r="Q58" s="324"/>
      <c r="R58" s="324"/>
    </row>
  </sheetData>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D7EF4-EAE0-4F26-AFE4-1B574B3E4249}">
  <sheetPr codeName="Sheet38">
    <tabColor rgb="FF008050"/>
  </sheetPr>
  <dimension ref="A1:R64"/>
  <sheetViews>
    <sheetView workbookViewId="0">
      <pane xSplit="2" ySplit="8" topLeftCell="C14" activePane="bottomRight" state="frozen"/>
      <selection activeCell="I11" sqref="I11:J14"/>
      <selection pane="topRight" activeCell="I11" sqref="I11:J14"/>
      <selection pane="bottomLeft" activeCell="I11" sqref="I11:J14"/>
      <selection pane="bottomRight" activeCell="B18" sqref="B18"/>
    </sheetView>
  </sheetViews>
  <sheetFormatPr defaultColWidth="8.77734375" defaultRowHeight="13.8"/>
  <cols>
    <col min="1" max="1" width="10.21875" style="329" customWidth="1"/>
    <col min="2" max="2" width="46.77734375" style="329" customWidth="1"/>
    <col min="3" max="4" width="21.44140625" style="329" customWidth="1"/>
    <col min="5" max="5" width="43.77734375" style="329" customWidth="1"/>
    <col min="6" max="6" width="56.44140625" style="329" customWidth="1"/>
    <col min="7" max="7" width="21.44140625" style="324" customWidth="1"/>
    <col min="8" max="9" width="8.77734375" style="322" customWidth="1"/>
    <col min="10" max="10" width="8.77734375" style="324" customWidth="1"/>
    <col min="11" max="11" width="8.77734375" style="324"/>
    <col min="12" max="12" width="8.77734375" style="322"/>
    <col min="13" max="18" width="8.77734375" style="324"/>
    <col min="19" max="16384" width="8.77734375" style="329"/>
  </cols>
  <sheetData>
    <row r="1" spans="1:18" s="137" customFormat="1" ht="25.8">
      <c r="A1" s="321" t="s">
        <v>293</v>
      </c>
      <c r="B1" s="322"/>
      <c r="C1" s="323"/>
      <c r="D1" s="322"/>
      <c r="E1" s="322"/>
      <c r="F1" s="322"/>
      <c r="G1" s="324"/>
      <c r="H1" s="322"/>
      <c r="I1" s="322"/>
      <c r="J1" s="324"/>
      <c r="K1" s="324"/>
      <c r="L1" s="322"/>
      <c r="M1" s="324"/>
      <c r="N1" s="324"/>
      <c r="O1" s="324"/>
      <c r="P1" s="324"/>
      <c r="Q1" s="324"/>
      <c r="R1" s="324"/>
    </row>
    <row r="2" spans="1:18" s="346" customFormat="1" ht="25.8">
      <c r="A2" s="321" t="s">
        <v>1766</v>
      </c>
      <c r="B2" s="322"/>
      <c r="C2" s="323"/>
      <c r="D2" s="322"/>
      <c r="E2" s="322"/>
      <c r="F2" s="322"/>
      <c r="G2" s="324"/>
      <c r="H2" s="322"/>
      <c r="I2" s="322"/>
      <c r="J2" s="324"/>
      <c r="K2" s="324"/>
      <c r="L2" s="322"/>
      <c r="M2" s="324"/>
      <c r="N2" s="324"/>
      <c r="O2" s="324"/>
      <c r="P2" s="324"/>
      <c r="Q2" s="324"/>
      <c r="R2" s="324"/>
    </row>
    <row r="3" spans="1:18" s="346" customFormat="1">
      <c r="A3" s="325" t="s">
        <v>1651</v>
      </c>
      <c r="B3" s="322" t="s">
        <v>1767</v>
      </c>
      <c r="C3" s="322"/>
      <c r="D3" s="322"/>
      <c r="E3" s="322"/>
      <c r="F3" s="322"/>
      <c r="G3" s="324"/>
      <c r="H3" s="322"/>
      <c r="I3" s="322"/>
      <c r="J3" s="324"/>
      <c r="K3" s="324"/>
      <c r="L3" s="322"/>
      <c r="M3" s="324"/>
      <c r="N3" s="324"/>
      <c r="O3" s="324"/>
      <c r="P3" s="324"/>
      <c r="Q3" s="324"/>
      <c r="R3" s="324"/>
    </row>
    <row r="4" spans="1:18" s="139" customFormat="1">
      <c r="A4" s="325" t="s">
        <v>408</v>
      </c>
      <c r="B4" s="322" t="s">
        <v>1768</v>
      </c>
      <c r="C4" s="322"/>
      <c r="D4" s="322"/>
      <c r="E4" s="322"/>
      <c r="F4" s="322"/>
      <c r="G4" s="324"/>
      <c r="H4" s="322"/>
      <c r="I4" s="322"/>
      <c r="J4" s="324"/>
      <c r="K4" s="324"/>
      <c r="L4" s="322"/>
      <c r="M4" s="324"/>
      <c r="N4" s="324"/>
      <c r="O4" s="324"/>
      <c r="P4" s="324"/>
      <c r="Q4" s="324"/>
      <c r="R4" s="324"/>
    </row>
    <row r="5" spans="1:18" s="139" customFormat="1">
      <c r="A5" s="322" t="s">
        <v>1652</v>
      </c>
      <c r="B5" s="322" t="s">
        <v>1769</v>
      </c>
      <c r="C5" s="322"/>
      <c r="D5" s="322"/>
      <c r="E5" s="322"/>
      <c r="F5" s="322"/>
      <c r="G5" s="324"/>
      <c r="H5" s="322"/>
      <c r="I5" s="322"/>
      <c r="J5" s="324"/>
      <c r="K5" s="324"/>
      <c r="L5" s="322"/>
      <c r="M5" s="324"/>
      <c r="N5" s="324"/>
      <c r="O5" s="324"/>
      <c r="P5" s="324"/>
      <c r="Q5" s="324"/>
      <c r="R5" s="324"/>
    </row>
    <row r="6" spans="1:18" s="137" customFormat="1">
      <c r="A6" s="322" t="s">
        <v>412</v>
      </c>
      <c r="B6" s="322" t="s">
        <v>1770</v>
      </c>
      <c r="C6" s="322"/>
      <c r="D6" s="322"/>
      <c r="E6" s="322"/>
      <c r="F6" s="322"/>
      <c r="G6" s="324"/>
      <c r="H6" s="322"/>
      <c r="I6" s="322"/>
      <c r="J6" s="324"/>
      <c r="K6" s="324"/>
      <c r="L6" s="322"/>
      <c r="M6" s="324"/>
      <c r="N6" s="324"/>
      <c r="O6" s="324"/>
      <c r="P6" s="324"/>
      <c r="Q6" s="324"/>
      <c r="R6" s="324"/>
    </row>
    <row r="7" spans="1:18" s="346" customFormat="1">
      <c r="A7" s="329"/>
      <c r="B7" s="329"/>
      <c r="C7" s="329"/>
      <c r="D7" s="329"/>
      <c r="E7" s="322"/>
      <c r="F7" s="322"/>
      <c r="G7" s="359" t="e">
        <f>#REF!</f>
        <v>#REF!</v>
      </c>
      <c r="H7" s="322"/>
      <c r="I7" s="322"/>
      <c r="J7" s="324"/>
      <c r="K7" s="324"/>
      <c r="L7" s="322"/>
      <c r="M7" s="324"/>
      <c r="N7" s="324"/>
      <c r="O7" s="324"/>
      <c r="P7" s="324"/>
      <c r="Q7" s="324"/>
      <c r="R7" s="324"/>
    </row>
    <row r="8" spans="1:18" s="139" customFormat="1">
      <c r="A8" s="350"/>
      <c r="B8" s="350"/>
      <c r="C8" s="350" t="s">
        <v>96</v>
      </c>
      <c r="D8" s="350" t="s">
        <v>553</v>
      </c>
      <c r="E8" s="350" t="s">
        <v>85</v>
      </c>
      <c r="F8" s="350"/>
      <c r="G8" s="350" t="s">
        <v>1674</v>
      </c>
      <c r="H8" s="322"/>
      <c r="I8" s="322"/>
      <c r="J8" s="322"/>
      <c r="K8" s="322"/>
      <c r="L8" s="322"/>
      <c r="M8" s="322"/>
      <c r="N8" s="322"/>
      <c r="O8" s="322"/>
      <c r="P8" s="322"/>
      <c r="Q8" s="322"/>
      <c r="R8" s="322"/>
    </row>
    <row r="9" spans="1:18" s="139" customFormat="1">
      <c r="A9" s="342" t="s">
        <v>47</v>
      </c>
      <c r="B9" s="342"/>
      <c r="C9" s="343"/>
      <c r="D9" s="343"/>
      <c r="E9" s="343"/>
      <c r="F9" s="343"/>
      <c r="G9" s="344"/>
      <c r="H9" s="322"/>
      <c r="I9" s="322"/>
      <c r="J9" s="345"/>
      <c r="K9" s="345"/>
      <c r="L9" s="322"/>
      <c r="M9" s="345"/>
      <c r="N9" s="345"/>
      <c r="O9" s="345"/>
      <c r="P9" s="345"/>
      <c r="Q9" s="345"/>
      <c r="R9" s="345"/>
    </row>
    <row r="10" spans="1:18" s="137" customFormat="1" ht="69">
      <c r="A10" s="22" t="s">
        <v>294</v>
      </c>
      <c r="B10" s="22" t="s">
        <v>2022</v>
      </c>
      <c r="C10" s="347" t="s">
        <v>494</v>
      </c>
      <c r="D10" s="347" t="s">
        <v>1771</v>
      </c>
      <c r="E10" s="347" t="s">
        <v>1617</v>
      </c>
      <c r="F10" s="347"/>
      <c r="G10" s="348"/>
      <c r="H10" s="335"/>
      <c r="I10" s="322"/>
      <c r="J10" s="345"/>
      <c r="K10" s="345"/>
      <c r="L10" s="322"/>
      <c r="M10" s="345"/>
      <c r="N10" s="345"/>
      <c r="O10" s="345"/>
      <c r="P10" s="345"/>
      <c r="Q10" s="345"/>
      <c r="R10" s="345"/>
    </row>
    <row r="11" spans="1:18" s="346" customFormat="1">
      <c r="A11" s="342" t="s">
        <v>54</v>
      </c>
      <c r="B11" s="342"/>
      <c r="C11" s="343"/>
      <c r="D11" s="343"/>
      <c r="E11" s="343" t="s">
        <v>1772</v>
      </c>
      <c r="F11" s="343"/>
      <c r="G11" s="344"/>
      <c r="H11" s="322"/>
      <c r="I11" s="322"/>
      <c r="J11" s="345"/>
      <c r="K11" s="345"/>
      <c r="L11" s="322"/>
      <c r="M11" s="345"/>
      <c r="N11" s="345"/>
      <c r="O11" s="345"/>
      <c r="P11" s="345"/>
      <c r="Q11" s="345"/>
      <c r="R11" s="345"/>
    </row>
    <row r="12" spans="1:18" s="139" customFormat="1" ht="69">
      <c r="A12" s="22" t="s">
        <v>295</v>
      </c>
      <c r="B12" s="22" t="s">
        <v>2023</v>
      </c>
      <c r="C12" s="347" t="s">
        <v>495</v>
      </c>
      <c r="D12" s="347" t="s">
        <v>1773</v>
      </c>
      <c r="E12" s="347" t="s">
        <v>1618</v>
      </c>
      <c r="F12" s="347"/>
      <c r="G12" s="348"/>
      <c r="H12" s="322"/>
      <c r="I12" s="322"/>
      <c r="J12" s="345"/>
      <c r="K12" s="345"/>
      <c r="L12" s="322"/>
      <c r="M12" s="345"/>
      <c r="N12" s="345"/>
      <c r="O12" s="345"/>
      <c r="P12" s="345"/>
      <c r="Q12" s="345"/>
      <c r="R12" s="345"/>
    </row>
    <row r="13" spans="1:18" s="137" customFormat="1" ht="69">
      <c r="A13" s="22" t="s">
        <v>296</v>
      </c>
      <c r="B13" s="22" t="s">
        <v>2024</v>
      </c>
      <c r="C13" s="347" t="s">
        <v>497</v>
      </c>
      <c r="D13" s="347" t="s">
        <v>496</v>
      </c>
      <c r="E13" s="347" t="s">
        <v>1619</v>
      </c>
      <c r="F13" s="347"/>
      <c r="G13" s="348"/>
      <c r="H13" s="322"/>
      <c r="I13" s="360"/>
      <c r="J13" s="345"/>
      <c r="K13" s="345"/>
      <c r="L13" s="322"/>
      <c r="M13" s="345"/>
      <c r="N13" s="345"/>
      <c r="O13" s="345"/>
      <c r="P13" s="345"/>
      <c r="Q13" s="345"/>
      <c r="R13" s="345"/>
    </row>
    <row r="14" spans="1:18" s="346" customFormat="1" ht="96.6">
      <c r="A14" s="22" t="s">
        <v>297</v>
      </c>
      <c r="B14" s="22" t="s">
        <v>2025</v>
      </c>
      <c r="C14" s="347" t="s">
        <v>498</v>
      </c>
      <c r="D14" s="347" t="s">
        <v>1774</v>
      </c>
      <c r="E14" s="347" t="s">
        <v>1620</v>
      </c>
      <c r="F14" s="347"/>
      <c r="G14" s="348"/>
      <c r="H14" s="322"/>
      <c r="I14" s="322"/>
      <c r="J14" s="345"/>
      <c r="K14" s="345"/>
      <c r="L14" s="322"/>
      <c r="M14" s="345"/>
      <c r="N14" s="345"/>
      <c r="O14" s="345"/>
      <c r="P14" s="345"/>
      <c r="Q14" s="345"/>
      <c r="R14" s="345"/>
    </row>
    <row r="15" spans="1:18" s="139" customFormat="1">
      <c r="A15" s="342" t="s">
        <v>56</v>
      </c>
      <c r="B15" s="342"/>
      <c r="C15" s="343"/>
      <c r="D15" s="343"/>
      <c r="E15" s="343" t="s">
        <v>1772</v>
      </c>
      <c r="F15" s="343"/>
      <c r="G15" s="344"/>
      <c r="H15" s="322"/>
      <c r="I15" s="322"/>
      <c r="J15" s="345"/>
      <c r="K15" s="345"/>
      <c r="L15" s="322"/>
      <c r="M15" s="345"/>
      <c r="N15" s="345"/>
      <c r="O15" s="345"/>
      <c r="P15" s="345"/>
      <c r="Q15" s="345"/>
      <c r="R15" s="345"/>
    </row>
    <row r="16" spans="1:18" s="139" customFormat="1" ht="69">
      <c r="A16" s="22" t="s">
        <v>298</v>
      </c>
      <c r="B16" s="22" t="s">
        <v>2026</v>
      </c>
      <c r="C16" s="22"/>
      <c r="D16" s="347" t="s">
        <v>499</v>
      </c>
      <c r="E16" s="347" t="s">
        <v>299</v>
      </c>
      <c r="F16" s="347"/>
      <c r="G16" s="348"/>
      <c r="H16" s="322"/>
      <c r="I16" s="322"/>
      <c r="J16" s="345"/>
      <c r="K16" s="345"/>
      <c r="L16" s="322"/>
      <c r="M16" s="345"/>
      <c r="N16" s="345"/>
      <c r="O16" s="345"/>
      <c r="P16" s="345"/>
      <c r="Q16" s="345"/>
      <c r="R16" s="345"/>
    </row>
    <row r="17" spans="1:18" s="137" customFormat="1" ht="96.6">
      <c r="A17" s="22" t="s">
        <v>300</v>
      </c>
      <c r="B17" s="22" t="s">
        <v>2027</v>
      </c>
      <c r="C17" s="347" t="s">
        <v>1980</v>
      </c>
      <c r="D17" s="347" t="s">
        <v>1981</v>
      </c>
      <c r="E17" s="347" t="s">
        <v>1982</v>
      </c>
      <c r="F17" s="347"/>
      <c r="G17" s="348"/>
      <c r="H17" s="322"/>
      <c r="I17" s="322"/>
      <c r="J17" s="345"/>
      <c r="K17" s="345"/>
      <c r="L17" s="322"/>
      <c r="M17" s="345"/>
      <c r="N17" s="345"/>
      <c r="O17" s="345"/>
      <c r="P17" s="345"/>
      <c r="Q17" s="345"/>
      <c r="R17" s="345"/>
    </row>
    <row r="18" spans="1:18" s="339" customFormat="1">
      <c r="G18" s="324"/>
      <c r="H18" s="322"/>
      <c r="I18" s="322"/>
      <c r="J18" s="324"/>
      <c r="K18" s="324"/>
      <c r="L18" s="322"/>
      <c r="M18" s="324"/>
      <c r="N18" s="324"/>
      <c r="O18" s="324"/>
      <c r="P18" s="324"/>
      <c r="Q18" s="324"/>
      <c r="R18" s="324"/>
    </row>
    <row r="19" spans="1:18" s="339" customFormat="1">
      <c r="G19" s="324"/>
      <c r="H19" s="322"/>
      <c r="I19" s="322"/>
      <c r="J19" s="324"/>
      <c r="K19" s="324"/>
      <c r="L19" s="322"/>
      <c r="M19" s="324"/>
      <c r="N19" s="324"/>
      <c r="O19" s="324"/>
      <c r="P19" s="324"/>
      <c r="Q19" s="324"/>
      <c r="R19" s="324"/>
    </row>
    <row r="20" spans="1:18" s="339" customFormat="1">
      <c r="G20" s="324"/>
      <c r="H20" s="322"/>
      <c r="I20" s="322"/>
      <c r="J20" s="324"/>
      <c r="K20" s="324"/>
      <c r="L20" s="322"/>
      <c r="M20" s="324"/>
      <c r="N20" s="324"/>
      <c r="O20" s="324"/>
      <c r="P20" s="324"/>
      <c r="Q20" s="324"/>
      <c r="R20" s="324"/>
    </row>
    <row r="21" spans="1:18" s="339" customFormat="1">
      <c r="G21" s="324"/>
      <c r="H21" s="322"/>
      <c r="I21" s="322"/>
      <c r="J21" s="324"/>
      <c r="K21" s="324"/>
      <c r="L21" s="322"/>
      <c r="M21" s="324"/>
      <c r="N21" s="324"/>
      <c r="O21" s="324"/>
      <c r="P21" s="324"/>
      <c r="Q21" s="324"/>
      <c r="R21" s="324"/>
    </row>
    <row r="22" spans="1:18" s="339" customFormat="1">
      <c r="G22" s="324"/>
      <c r="H22" s="322"/>
      <c r="I22" s="322"/>
      <c r="J22" s="324"/>
      <c r="K22" s="324"/>
      <c r="L22" s="322"/>
      <c r="M22" s="324"/>
      <c r="N22" s="324"/>
      <c r="O22" s="324"/>
      <c r="P22" s="324"/>
      <c r="Q22" s="324"/>
      <c r="R22" s="324"/>
    </row>
    <row r="23" spans="1:18" s="339" customFormat="1">
      <c r="G23" s="324"/>
      <c r="H23" s="322"/>
      <c r="I23" s="322"/>
      <c r="J23" s="324"/>
      <c r="K23" s="324"/>
      <c r="L23" s="322"/>
      <c r="M23" s="324"/>
      <c r="N23" s="324"/>
      <c r="O23" s="324"/>
      <c r="P23" s="324"/>
      <c r="Q23" s="324"/>
      <c r="R23" s="324"/>
    </row>
    <row r="24" spans="1:18" s="339" customFormat="1">
      <c r="G24" s="324"/>
      <c r="H24" s="322"/>
      <c r="I24" s="322"/>
      <c r="J24" s="324"/>
      <c r="K24" s="324"/>
      <c r="L24" s="322"/>
      <c r="M24" s="324"/>
      <c r="N24" s="324"/>
      <c r="O24" s="324"/>
      <c r="P24" s="324"/>
      <c r="Q24" s="324"/>
      <c r="R24" s="324"/>
    </row>
    <row r="25" spans="1:18" s="339" customFormat="1">
      <c r="G25" s="324"/>
      <c r="H25" s="322"/>
      <c r="I25" s="322"/>
      <c r="J25" s="324"/>
      <c r="K25" s="324"/>
      <c r="L25" s="322"/>
      <c r="M25" s="324"/>
      <c r="N25" s="324"/>
      <c r="O25" s="324"/>
      <c r="P25" s="324"/>
      <c r="Q25" s="324"/>
      <c r="R25" s="324"/>
    </row>
    <row r="26" spans="1:18" s="339" customFormat="1">
      <c r="G26" s="324"/>
      <c r="H26" s="322"/>
      <c r="I26" s="322"/>
      <c r="J26" s="324"/>
      <c r="K26" s="324"/>
      <c r="L26" s="322"/>
      <c r="M26" s="324"/>
      <c r="N26" s="324"/>
      <c r="O26" s="324"/>
      <c r="P26" s="324"/>
      <c r="Q26" s="324"/>
      <c r="R26" s="324"/>
    </row>
    <row r="27" spans="1:18" s="339" customFormat="1">
      <c r="G27" s="324"/>
      <c r="H27" s="322"/>
      <c r="I27" s="322"/>
      <c r="J27" s="324"/>
      <c r="K27" s="324"/>
      <c r="L27" s="322"/>
      <c r="M27" s="324"/>
      <c r="N27" s="324"/>
      <c r="O27" s="324"/>
      <c r="P27" s="324"/>
      <c r="Q27" s="324"/>
      <c r="R27" s="324"/>
    </row>
    <row r="28" spans="1:18" s="339" customFormat="1">
      <c r="G28" s="324"/>
      <c r="H28" s="322"/>
      <c r="I28" s="322"/>
      <c r="J28" s="324"/>
      <c r="K28" s="324"/>
      <c r="L28" s="322"/>
      <c r="M28" s="324"/>
      <c r="N28" s="324"/>
      <c r="O28" s="324"/>
      <c r="P28" s="324"/>
      <c r="Q28" s="324"/>
      <c r="R28" s="324"/>
    </row>
    <row r="29" spans="1:18" s="339" customFormat="1">
      <c r="G29" s="324"/>
      <c r="H29" s="322"/>
      <c r="I29" s="322"/>
      <c r="J29" s="324"/>
      <c r="K29" s="324"/>
      <c r="L29" s="322"/>
      <c r="M29" s="324"/>
      <c r="N29" s="324"/>
      <c r="O29" s="324"/>
      <c r="P29" s="324"/>
      <c r="Q29" s="324"/>
      <c r="R29" s="324"/>
    </row>
    <row r="30" spans="1:18" s="339" customFormat="1">
      <c r="G30" s="324"/>
      <c r="H30" s="322"/>
      <c r="I30" s="322"/>
      <c r="J30" s="324"/>
      <c r="K30" s="324"/>
      <c r="L30" s="322"/>
      <c r="M30" s="324"/>
      <c r="N30" s="324"/>
      <c r="O30" s="324"/>
      <c r="P30" s="324"/>
      <c r="Q30" s="324"/>
      <c r="R30" s="324"/>
    </row>
    <row r="31" spans="1:18" s="339" customFormat="1">
      <c r="G31" s="324"/>
      <c r="H31" s="322"/>
      <c r="I31" s="322"/>
      <c r="J31" s="324"/>
      <c r="K31" s="324"/>
      <c r="L31" s="322"/>
      <c r="M31" s="324"/>
      <c r="N31" s="324"/>
      <c r="O31" s="324"/>
      <c r="P31" s="324"/>
      <c r="Q31" s="324"/>
      <c r="R31" s="324"/>
    </row>
    <row r="32" spans="1:18" s="339" customFormat="1">
      <c r="G32" s="324"/>
      <c r="H32" s="322"/>
      <c r="I32" s="322"/>
      <c r="J32" s="324"/>
      <c r="K32" s="324"/>
      <c r="L32" s="322"/>
      <c r="M32" s="324"/>
      <c r="N32" s="324"/>
      <c r="O32" s="324"/>
      <c r="P32" s="324"/>
      <c r="Q32" s="324"/>
      <c r="R32" s="324"/>
    </row>
    <row r="33" spans="7:18" s="339" customFormat="1">
      <c r="G33" s="324"/>
      <c r="H33" s="322"/>
      <c r="I33" s="322"/>
      <c r="J33" s="324"/>
      <c r="K33" s="324"/>
      <c r="L33" s="322"/>
      <c r="M33" s="324"/>
      <c r="N33" s="324"/>
      <c r="O33" s="324"/>
      <c r="P33" s="324"/>
      <c r="Q33" s="324"/>
      <c r="R33" s="324"/>
    </row>
    <row r="34" spans="7:18" s="339" customFormat="1">
      <c r="G34" s="324"/>
      <c r="H34" s="322"/>
      <c r="I34" s="322"/>
      <c r="J34" s="324"/>
      <c r="K34" s="324"/>
      <c r="L34" s="322"/>
      <c r="M34" s="324"/>
      <c r="N34" s="324"/>
      <c r="O34" s="324"/>
      <c r="P34" s="324"/>
      <c r="Q34" s="324"/>
      <c r="R34" s="324"/>
    </row>
    <row r="35" spans="7:18" s="339" customFormat="1">
      <c r="G35" s="324"/>
      <c r="H35" s="322"/>
      <c r="I35" s="322"/>
      <c r="J35" s="324"/>
      <c r="K35" s="324"/>
      <c r="L35" s="322"/>
      <c r="M35" s="324"/>
      <c r="N35" s="324"/>
      <c r="O35" s="324"/>
      <c r="P35" s="324"/>
      <c r="Q35" s="324"/>
      <c r="R35" s="324"/>
    </row>
    <row r="36" spans="7:18" s="339" customFormat="1">
      <c r="G36" s="324"/>
      <c r="H36" s="322"/>
      <c r="I36" s="322"/>
      <c r="J36" s="324"/>
      <c r="K36" s="324"/>
      <c r="L36" s="322"/>
      <c r="M36" s="324"/>
      <c r="N36" s="324"/>
      <c r="O36" s="324"/>
      <c r="P36" s="324"/>
      <c r="Q36" s="324"/>
      <c r="R36" s="324"/>
    </row>
    <row r="37" spans="7:18" s="339" customFormat="1">
      <c r="G37" s="324"/>
      <c r="H37" s="322"/>
      <c r="I37" s="322"/>
      <c r="J37" s="324"/>
      <c r="K37" s="324"/>
      <c r="L37" s="322"/>
      <c r="M37" s="324"/>
      <c r="N37" s="324"/>
      <c r="O37" s="324"/>
      <c r="P37" s="324"/>
      <c r="Q37" s="324"/>
      <c r="R37" s="324"/>
    </row>
    <row r="38" spans="7:18" s="339" customFormat="1">
      <c r="G38" s="324"/>
      <c r="H38" s="322"/>
      <c r="I38" s="322"/>
      <c r="J38" s="324"/>
      <c r="K38" s="324"/>
      <c r="L38" s="322"/>
      <c r="M38" s="324"/>
      <c r="N38" s="324"/>
      <c r="O38" s="324"/>
      <c r="P38" s="324"/>
      <c r="Q38" s="324"/>
      <c r="R38" s="324"/>
    </row>
    <row r="39" spans="7:18" s="339" customFormat="1">
      <c r="G39" s="324"/>
      <c r="H39" s="322"/>
      <c r="I39" s="322"/>
      <c r="J39" s="324"/>
      <c r="K39" s="324"/>
      <c r="L39" s="322"/>
      <c r="M39" s="324"/>
      <c r="N39" s="324"/>
      <c r="O39" s="324"/>
      <c r="P39" s="324"/>
      <c r="Q39" s="324"/>
      <c r="R39" s="324"/>
    </row>
    <row r="40" spans="7:18" s="339" customFormat="1">
      <c r="G40" s="324"/>
      <c r="H40" s="322"/>
      <c r="I40" s="322"/>
      <c r="J40" s="324"/>
      <c r="K40" s="324"/>
      <c r="L40" s="322"/>
      <c r="M40" s="324"/>
      <c r="N40" s="324"/>
      <c r="O40" s="324"/>
      <c r="P40" s="324"/>
      <c r="Q40" s="324"/>
      <c r="R40" s="324"/>
    </row>
    <row r="41" spans="7:18" s="339" customFormat="1">
      <c r="G41" s="324"/>
      <c r="H41" s="322"/>
      <c r="I41" s="322"/>
      <c r="J41" s="324"/>
      <c r="K41" s="324"/>
      <c r="L41" s="322"/>
      <c r="M41" s="324"/>
      <c r="N41" s="324"/>
      <c r="O41" s="324"/>
      <c r="P41" s="324"/>
      <c r="Q41" s="324"/>
      <c r="R41" s="324"/>
    </row>
    <row r="42" spans="7:18" s="339" customFormat="1">
      <c r="G42" s="324"/>
      <c r="H42" s="322"/>
      <c r="I42" s="322"/>
      <c r="J42" s="324"/>
      <c r="K42" s="324"/>
      <c r="L42" s="322"/>
      <c r="M42" s="324"/>
      <c r="N42" s="324"/>
      <c r="O42" s="324"/>
      <c r="P42" s="324"/>
      <c r="Q42" s="324"/>
      <c r="R42" s="324"/>
    </row>
    <row r="43" spans="7:18" s="339" customFormat="1">
      <c r="G43" s="324"/>
      <c r="H43" s="322"/>
      <c r="I43" s="322"/>
      <c r="J43" s="324"/>
      <c r="K43" s="324"/>
      <c r="L43" s="322"/>
      <c r="M43" s="324"/>
      <c r="N43" s="324"/>
      <c r="O43" s="324"/>
      <c r="P43" s="324"/>
      <c r="Q43" s="324"/>
      <c r="R43" s="324"/>
    </row>
    <row r="44" spans="7:18" s="340" customFormat="1">
      <c r="G44" s="324"/>
      <c r="H44" s="322"/>
      <c r="I44" s="322"/>
      <c r="J44" s="324"/>
      <c r="K44" s="324"/>
      <c r="L44" s="322"/>
      <c r="M44" s="324"/>
      <c r="N44" s="324"/>
      <c r="O44" s="324"/>
      <c r="P44" s="324"/>
      <c r="Q44" s="324"/>
      <c r="R44" s="324"/>
    </row>
    <row r="45" spans="7:18" s="340" customFormat="1">
      <c r="G45" s="324"/>
      <c r="H45" s="322"/>
      <c r="I45" s="322"/>
      <c r="J45" s="324"/>
      <c r="K45" s="324"/>
      <c r="L45" s="322"/>
      <c r="M45" s="324"/>
      <c r="N45" s="324"/>
      <c r="O45" s="324"/>
      <c r="P45" s="324"/>
      <c r="Q45" s="324"/>
      <c r="R45" s="324"/>
    </row>
    <row r="46" spans="7:18" s="340" customFormat="1">
      <c r="G46" s="324"/>
      <c r="H46" s="322"/>
      <c r="I46" s="322"/>
      <c r="J46" s="324"/>
      <c r="K46" s="324"/>
      <c r="L46" s="322"/>
      <c r="M46" s="324"/>
      <c r="N46" s="324"/>
      <c r="O46" s="324"/>
      <c r="P46" s="324"/>
      <c r="Q46" s="324"/>
      <c r="R46" s="324"/>
    </row>
    <row r="47" spans="7:18" s="340" customFormat="1">
      <c r="G47" s="324"/>
      <c r="H47" s="322"/>
      <c r="I47" s="322"/>
      <c r="J47" s="324"/>
      <c r="K47" s="324"/>
      <c r="L47" s="322"/>
      <c r="M47" s="324"/>
      <c r="N47" s="324"/>
      <c r="O47" s="324"/>
      <c r="P47" s="324"/>
      <c r="Q47" s="324"/>
      <c r="R47" s="324"/>
    </row>
    <row r="48" spans="7:18" s="340" customFormat="1">
      <c r="G48" s="324"/>
      <c r="H48" s="322"/>
      <c r="I48" s="322"/>
      <c r="J48" s="324"/>
      <c r="K48" s="324"/>
      <c r="L48" s="322"/>
      <c r="M48" s="324"/>
      <c r="N48" s="324"/>
      <c r="O48" s="324"/>
      <c r="P48" s="324"/>
      <c r="Q48" s="324"/>
      <c r="R48" s="324"/>
    </row>
    <row r="49" spans="7:18" s="340" customFormat="1">
      <c r="G49" s="324"/>
      <c r="H49" s="322"/>
      <c r="I49" s="322"/>
      <c r="J49" s="324"/>
      <c r="K49" s="324"/>
      <c r="L49" s="322"/>
      <c r="M49" s="324"/>
      <c r="N49" s="324"/>
      <c r="O49" s="324"/>
      <c r="P49" s="324"/>
      <c r="Q49" s="324"/>
      <c r="R49" s="324"/>
    </row>
    <row r="50" spans="7:18" s="340" customFormat="1">
      <c r="G50" s="324"/>
      <c r="H50" s="322"/>
      <c r="I50" s="322"/>
      <c r="J50" s="324"/>
      <c r="K50" s="324"/>
      <c r="L50" s="322"/>
      <c r="M50" s="324"/>
      <c r="N50" s="324"/>
      <c r="O50" s="324"/>
      <c r="P50" s="324"/>
      <c r="Q50" s="324"/>
      <c r="R50" s="324"/>
    </row>
    <row r="51" spans="7:18" s="340" customFormat="1">
      <c r="G51" s="324"/>
      <c r="H51" s="322"/>
      <c r="I51" s="322"/>
      <c r="J51" s="324"/>
      <c r="K51" s="324"/>
      <c r="L51" s="322"/>
      <c r="M51" s="324"/>
      <c r="N51" s="324"/>
      <c r="O51" s="324"/>
      <c r="P51" s="324"/>
      <c r="Q51" s="324"/>
      <c r="R51" s="324"/>
    </row>
    <row r="52" spans="7:18" s="340" customFormat="1">
      <c r="G52" s="324"/>
      <c r="H52" s="322"/>
      <c r="I52" s="322"/>
      <c r="J52" s="324"/>
      <c r="K52" s="324"/>
      <c r="L52" s="322"/>
      <c r="M52" s="324"/>
      <c r="N52" s="324"/>
      <c r="O52" s="324"/>
      <c r="P52" s="324"/>
      <c r="Q52" s="324"/>
      <c r="R52" s="324"/>
    </row>
    <row r="53" spans="7:18" s="340" customFormat="1">
      <c r="G53" s="324"/>
      <c r="H53" s="322"/>
      <c r="I53" s="322"/>
      <c r="J53" s="324"/>
      <c r="K53" s="324"/>
      <c r="L53" s="322"/>
      <c r="M53" s="324"/>
      <c r="N53" s="324"/>
      <c r="O53" s="324"/>
      <c r="P53" s="324"/>
      <c r="Q53" s="324"/>
      <c r="R53" s="324"/>
    </row>
    <row r="54" spans="7:18" s="340" customFormat="1">
      <c r="G54" s="324"/>
      <c r="H54" s="322"/>
      <c r="I54" s="322"/>
      <c r="J54" s="324"/>
      <c r="K54" s="324"/>
      <c r="L54" s="322"/>
      <c r="M54" s="324"/>
      <c r="N54" s="324"/>
      <c r="O54" s="324"/>
      <c r="P54" s="324"/>
      <c r="Q54" s="324"/>
      <c r="R54" s="324"/>
    </row>
    <row r="55" spans="7:18" s="340" customFormat="1">
      <c r="G55" s="324"/>
      <c r="H55" s="322"/>
      <c r="I55" s="322"/>
      <c r="J55" s="324"/>
      <c r="K55" s="324"/>
      <c r="L55" s="322"/>
      <c r="M55" s="324"/>
      <c r="N55" s="324"/>
      <c r="O55" s="324"/>
      <c r="P55" s="324"/>
      <c r="Q55" s="324"/>
      <c r="R55" s="324"/>
    </row>
    <row r="56" spans="7:18" s="340" customFormat="1">
      <c r="G56" s="324"/>
      <c r="H56" s="322"/>
      <c r="I56" s="322"/>
      <c r="J56" s="324"/>
      <c r="K56" s="324"/>
      <c r="L56" s="322"/>
      <c r="M56" s="324"/>
      <c r="N56" s="324"/>
      <c r="O56" s="324"/>
      <c r="P56" s="324"/>
      <c r="Q56" s="324"/>
      <c r="R56" s="324"/>
    </row>
    <row r="57" spans="7:18" s="340" customFormat="1">
      <c r="G57" s="324"/>
      <c r="H57" s="322"/>
      <c r="I57" s="322"/>
      <c r="J57" s="324"/>
      <c r="K57" s="324"/>
      <c r="L57" s="322"/>
      <c r="M57" s="324"/>
      <c r="N57" s="324"/>
      <c r="O57" s="324"/>
      <c r="P57" s="324"/>
      <c r="Q57" s="324"/>
      <c r="R57" s="324"/>
    </row>
    <row r="58" spans="7:18" s="340" customFormat="1">
      <c r="G58" s="324"/>
      <c r="H58" s="322"/>
      <c r="I58" s="322"/>
      <c r="J58" s="324"/>
      <c r="K58" s="324"/>
      <c r="L58" s="322"/>
      <c r="M58" s="324"/>
      <c r="N58" s="324"/>
      <c r="O58" s="324"/>
      <c r="P58" s="324"/>
      <c r="Q58" s="324"/>
      <c r="R58" s="324"/>
    </row>
    <row r="59" spans="7:18" s="340" customFormat="1">
      <c r="G59" s="324"/>
      <c r="H59" s="322"/>
      <c r="I59" s="322"/>
      <c r="J59" s="324"/>
      <c r="K59" s="324"/>
      <c r="L59" s="322"/>
      <c r="M59" s="324"/>
      <c r="N59" s="324"/>
      <c r="O59" s="324"/>
      <c r="P59" s="324"/>
      <c r="Q59" s="324"/>
      <c r="R59" s="324"/>
    </row>
    <row r="60" spans="7:18" s="340" customFormat="1">
      <c r="G60" s="324"/>
      <c r="H60" s="322"/>
      <c r="I60" s="322"/>
      <c r="J60" s="324"/>
      <c r="K60" s="324"/>
      <c r="L60" s="322"/>
      <c r="M60" s="324"/>
      <c r="N60" s="324"/>
      <c r="O60" s="324"/>
      <c r="P60" s="324"/>
      <c r="Q60" s="324"/>
      <c r="R60" s="324"/>
    </row>
    <row r="61" spans="7:18" s="340" customFormat="1">
      <c r="G61" s="324"/>
      <c r="H61" s="322"/>
      <c r="I61" s="322"/>
      <c r="J61" s="324"/>
      <c r="K61" s="324"/>
      <c r="L61" s="322"/>
      <c r="M61" s="324"/>
      <c r="N61" s="324"/>
      <c r="O61" s="324"/>
      <c r="P61" s="324"/>
      <c r="Q61" s="324"/>
      <c r="R61" s="324"/>
    </row>
    <row r="62" spans="7:18" s="340" customFormat="1">
      <c r="G62" s="324"/>
      <c r="H62" s="322"/>
      <c r="I62" s="322"/>
      <c r="J62" s="324"/>
      <c r="K62" s="324"/>
      <c r="L62" s="322"/>
      <c r="M62" s="324"/>
      <c r="N62" s="324"/>
      <c r="O62" s="324"/>
      <c r="P62" s="324"/>
      <c r="Q62" s="324"/>
      <c r="R62" s="324"/>
    </row>
    <row r="63" spans="7:18" s="340" customFormat="1">
      <c r="G63" s="324"/>
      <c r="H63" s="322"/>
      <c r="I63" s="322"/>
      <c r="J63" s="324"/>
      <c r="K63" s="324"/>
      <c r="L63" s="322"/>
      <c r="M63" s="324"/>
      <c r="N63" s="324"/>
      <c r="O63" s="324"/>
      <c r="P63" s="324"/>
      <c r="Q63" s="324"/>
      <c r="R63" s="324"/>
    </row>
    <row r="64" spans="7:18" s="340" customFormat="1">
      <c r="G64" s="324"/>
      <c r="H64" s="322"/>
      <c r="I64" s="322"/>
      <c r="J64" s="324"/>
      <c r="K64" s="324"/>
      <c r="L64" s="322"/>
      <c r="M64" s="324"/>
      <c r="N64" s="324"/>
      <c r="O64" s="324"/>
      <c r="P64" s="324"/>
      <c r="Q64" s="324"/>
      <c r="R64" s="324"/>
    </row>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255DF1-65D7-44BE-BDD6-3FBD4E6FFE77}">
  <sheetPr codeName="Sheet28">
    <tabColor rgb="FF6B2B88"/>
  </sheetPr>
  <dimension ref="A1:R58"/>
  <sheetViews>
    <sheetView zoomScale="85" zoomScaleNormal="85" workbookViewId="0">
      <pane xSplit="2" ySplit="9" topLeftCell="C15" activePane="bottomRight" state="frozen"/>
      <selection activeCell="I11" sqref="I11:J14"/>
      <selection pane="topRight" activeCell="I11" sqref="I11:J14"/>
      <selection pane="bottomLeft" activeCell="I11" sqref="I11:J14"/>
      <selection pane="bottomRight" activeCell="B21" sqref="B21"/>
    </sheetView>
  </sheetViews>
  <sheetFormatPr defaultColWidth="8.77734375" defaultRowHeight="13.8"/>
  <cols>
    <col min="1" max="1" width="10.21875" style="329" customWidth="1"/>
    <col min="2" max="2" width="88.77734375" style="329" customWidth="1"/>
    <col min="3" max="4" width="22" style="329" customWidth="1"/>
    <col min="5" max="5" width="84.21875" style="329" bestFit="1" customWidth="1"/>
    <col min="6" max="6" width="84.21875" style="329" customWidth="1"/>
    <col min="7" max="7" width="20.77734375" style="324" customWidth="1"/>
    <col min="8" max="11" width="8.77734375" style="324" customWidth="1"/>
    <col min="12" max="12" width="8.77734375" style="324"/>
    <col min="13" max="13" width="38.77734375" style="324" customWidth="1"/>
    <col min="14" max="18" width="8.77734375" style="324"/>
    <col min="19" max="16384" width="8.77734375" style="329"/>
  </cols>
  <sheetData>
    <row r="1" spans="1:18" s="322" customFormat="1" ht="25.8">
      <c r="A1" s="321" t="s">
        <v>374</v>
      </c>
      <c r="C1" s="323"/>
      <c r="G1" s="324"/>
      <c r="H1" s="324"/>
      <c r="I1" s="324"/>
      <c r="J1" s="324"/>
      <c r="K1" s="324"/>
      <c r="L1" s="324"/>
      <c r="M1" s="324"/>
      <c r="N1" s="324"/>
      <c r="O1" s="324"/>
      <c r="P1" s="324"/>
      <c r="Q1" s="324"/>
      <c r="R1" s="324"/>
    </row>
    <row r="2" spans="1:18" s="322" customFormat="1" ht="25.8">
      <c r="A2" s="321" t="s">
        <v>405</v>
      </c>
      <c r="C2" s="323"/>
      <c r="G2" s="324"/>
      <c r="H2" s="324"/>
      <c r="I2" s="324"/>
      <c r="J2" s="324"/>
      <c r="K2" s="324"/>
      <c r="L2" s="324"/>
      <c r="M2" s="324"/>
      <c r="N2" s="324"/>
      <c r="O2" s="324"/>
      <c r="P2" s="324"/>
      <c r="Q2" s="324"/>
      <c r="R2" s="324"/>
    </row>
    <row r="3" spans="1:18" s="322" customFormat="1">
      <c r="A3" s="325" t="s">
        <v>1651</v>
      </c>
      <c r="B3" s="322" t="s">
        <v>2028</v>
      </c>
      <c r="G3" s="324"/>
      <c r="H3" s="324"/>
      <c r="I3" s="324"/>
      <c r="J3" s="324"/>
      <c r="K3" s="324"/>
      <c r="L3" s="324"/>
      <c r="M3" s="324"/>
      <c r="N3" s="324"/>
      <c r="O3" s="324"/>
      <c r="P3" s="324"/>
      <c r="Q3" s="324"/>
      <c r="R3" s="324"/>
    </row>
    <row r="4" spans="1:18" s="322" customFormat="1">
      <c r="A4" s="325" t="s">
        <v>408</v>
      </c>
      <c r="B4" s="322" t="s">
        <v>409</v>
      </c>
      <c r="G4" s="324"/>
      <c r="H4" s="324"/>
      <c r="I4" s="324"/>
      <c r="J4" s="324"/>
      <c r="K4" s="324"/>
      <c r="L4" s="324"/>
      <c r="M4" s="324"/>
      <c r="N4" s="324"/>
      <c r="O4" s="324"/>
      <c r="P4" s="324"/>
      <c r="Q4" s="324"/>
      <c r="R4" s="324"/>
    </row>
    <row r="5" spans="1:18" s="322" customFormat="1">
      <c r="A5" s="322" t="s">
        <v>1652</v>
      </c>
      <c r="B5" s="322" t="s">
        <v>2029</v>
      </c>
      <c r="G5" s="324"/>
      <c r="H5" s="324"/>
      <c r="I5" s="324"/>
      <c r="J5" s="324"/>
      <c r="K5" s="324"/>
      <c r="L5" s="324"/>
      <c r="M5" s="324"/>
      <c r="N5" s="324"/>
      <c r="O5" s="324"/>
      <c r="P5" s="324"/>
      <c r="Q5" s="324"/>
      <c r="R5" s="324"/>
    </row>
    <row r="6" spans="1:18" s="322" customFormat="1">
      <c r="A6" s="322" t="s">
        <v>412</v>
      </c>
      <c r="B6" s="322" t="s">
        <v>413</v>
      </c>
      <c r="G6" s="324"/>
      <c r="H6" s="324"/>
      <c r="I6" s="324"/>
      <c r="J6" s="324"/>
      <c r="K6" s="324"/>
      <c r="L6" s="324"/>
      <c r="M6" s="324"/>
      <c r="N6" s="324"/>
      <c r="O6" s="324"/>
      <c r="P6" s="324"/>
      <c r="Q6" s="324"/>
      <c r="R6" s="324"/>
    </row>
    <row r="7" spans="1:18" s="322" customFormat="1">
      <c r="G7" s="324"/>
      <c r="H7" s="324"/>
      <c r="I7" s="324"/>
      <c r="J7" s="324"/>
      <c r="K7" s="324"/>
      <c r="L7" s="324"/>
      <c r="M7" s="324"/>
      <c r="N7" s="324"/>
      <c r="O7" s="324"/>
      <c r="P7" s="324"/>
      <c r="Q7" s="324"/>
      <c r="R7" s="324"/>
    </row>
    <row r="8" spans="1:18">
      <c r="A8" s="326"/>
      <c r="B8" s="326"/>
      <c r="C8" s="326" t="s">
        <v>96</v>
      </c>
      <c r="D8" s="326" t="s">
        <v>553</v>
      </c>
      <c r="E8" s="326" t="s">
        <v>85</v>
      </c>
      <c r="F8" s="327" t="s">
        <v>1653</v>
      </c>
      <c r="G8" s="328"/>
    </row>
    <row r="9" spans="1:18" s="335" customFormat="1">
      <c r="A9" s="330" t="s">
        <v>47</v>
      </c>
      <c r="B9" s="330"/>
      <c r="C9" s="331"/>
      <c r="D9" s="331"/>
      <c r="E9" s="331"/>
      <c r="F9" s="332"/>
      <c r="G9" s="333"/>
      <c r="H9" s="334"/>
      <c r="I9" s="334"/>
      <c r="J9" s="334"/>
      <c r="K9" s="334"/>
      <c r="L9" s="333"/>
      <c r="M9" s="333"/>
      <c r="N9" s="333"/>
      <c r="O9" s="333"/>
      <c r="P9" s="333"/>
      <c r="Q9" s="333"/>
      <c r="R9" s="333"/>
    </row>
    <row r="10" spans="1:18" s="325" customFormat="1" ht="124.2">
      <c r="A10" s="3" t="s">
        <v>94</v>
      </c>
      <c r="B10" s="3" t="s">
        <v>2030</v>
      </c>
      <c r="C10" s="336" t="s">
        <v>1960</v>
      </c>
      <c r="D10" s="336" t="s">
        <v>1654</v>
      </c>
      <c r="E10" s="336" t="s">
        <v>1958</v>
      </c>
      <c r="F10" s="337" t="s">
        <v>1655</v>
      </c>
      <c r="G10" s="333"/>
      <c r="H10" s="334"/>
      <c r="I10" s="334"/>
      <c r="J10" s="334"/>
      <c r="K10" s="334"/>
      <c r="L10" s="333"/>
      <c r="M10" s="333"/>
      <c r="N10" s="333"/>
      <c r="O10" s="333"/>
      <c r="P10" s="333"/>
      <c r="Q10" s="333"/>
      <c r="R10" s="333"/>
    </row>
    <row r="11" spans="1:18" s="325" customFormat="1">
      <c r="A11" s="330" t="s">
        <v>54</v>
      </c>
      <c r="B11" s="330"/>
      <c r="C11" s="331"/>
      <c r="D11" s="331"/>
      <c r="E11" s="331"/>
      <c r="F11" s="332"/>
      <c r="G11" s="333"/>
      <c r="H11" s="334"/>
      <c r="I11" s="334"/>
      <c r="J11" s="334"/>
      <c r="K11" s="334"/>
      <c r="L11" s="333"/>
      <c r="M11" s="333"/>
      <c r="N11" s="333"/>
      <c r="O11" s="333"/>
      <c r="P11" s="333"/>
      <c r="Q11" s="333"/>
      <c r="R11" s="333"/>
    </row>
    <row r="12" spans="1:18" s="325" customFormat="1" ht="82.8">
      <c r="A12" s="3" t="s">
        <v>375</v>
      </c>
      <c r="B12" s="3" t="s">
        <v>2031</v>
      </c>
      <c r="C12" s="336" t="s">
        <v>1656</v>
      </c>
      <c r="D12" s="336" t="s">
        <v>1961</v>
      </c>
      <c r="E12" s="336" t="s">
        <v>1959</v>
      </c>
      <c r="F12" s="337" t="s">
        <v>1657</v>
      </c>
      <c r="G12" s="333"/>
      <c r="H12" s="334"/>
      <c r="I12" s="334"/>
      <c r="J12" s="334"/>
      <c r="K12" s="334"/>
      <c r="L12" s="333"/>
      <c r="M12" s="333"/>
      <c r="N12" s="333"/>
      <c r="O12" s="333"/>
      <c r="P12" s="333"/>
      <c r="Q12" s="333"/>
      <c r="R12" s="333"/>
    </row>
    <row r="13" spans="1:18" s="325" customFormat="1" ht="69">
      <c r="A13" s="3" t="s">
        <v>376</v>
      </c>
      <c r="B13" s="3" t="s">
        <v>2032</v>
      </c>
      <c r="C13" s="336" t="s">
        <v>531</v>
      </c>
      <c r="D13" s="336" t="s">
        <v>1962</v>
      </c>
      <c r="E13" s="336" t="s">
        <v>1658</v>
      </c>
      <c r="F13" s="337" t="s">
        <v>1659</v>
      </c>
      <c r="G13" s="333"/>
      <c r="H13" s="334"/>
      <c r="I13" s="334"/>
      <c r="J13" s="334"/>
      <c r="K13" s="334"/>
      <c r="L13" s="333"/>
      <c r="M13" s="333"/>
      <c r="N13" s="333"/>
      <c r="O13" s="333"/>
      <c r="P13" s="333"/>
      <c r="Q13" s="333"/>
      <c r="R13" s="333"/>
    </row>
    <row r="14" spans="1:18" s="148" customFormat="1" ht="96.6">
      <c r="A14" s="3" t="s">
        <v>377</v>
      </c>
      <c r="B14" s="3" t="s">
        <v>2033</v>
      </c>
      <c r="C14" s="336" t="s">
        <v>1660</v>
      </c>
      <c r="D14" s="336" t="s">
        <v>1661</v>
      </c>
      <c r="E14" s="336" t="s">
        <v>532</v>
      </c>
      <c r="F14" s="337" t="s">
        <v>1662</v>
      </c>
      <c r="G14" s="333"/>
      <c r="H14" s="334"/>
      <c r="I14" s="334"/>
      <c r="J14" s="334"/>
      <c r="K14" s="334"/>
      <c r="L14" s="333"/>
      <c r="M14" s="333"/>
      <c r="N14" s="333"/>
      <c r="O14" s="333"/>
      <c r="P14" s="333"/>
      <c r="Q14" s="333"/>
      <c r="R14" s="333"/>
    </row>
    <row r="15" spans="1:18" s="148" customFormat="1" ht="82.8">
      <c r="A15" s="3" t="s">
        <v>378</v>
      </c>
      <c r="B15" s="3" t="s">
        <v>2034</v>
      </c>
      <c r="C15" s="336" t="s">
        <v>1663</v>
      </c>
      <c r="D15" s="336" t="s">
        <v>533</v>
      </c>
      <c r="E15" s="336" t="s">
        <v>1957</v>
      </c>
      <c r="F15" s="337" t="s">
        <v>1662</v>
      </c>
      <c r="G15" s="333"/>
      <c r="H15" s="334"/>
      <c r="I15" s="334"/>
      <c r="J15" s="334"/>
      <c r="K15" s="334"/>
      <c r="L15" s="333"/>
      <c r="M15" s="333"/>
      <c r="N15" s="333"/>
      <c r="O15" s="333"/>
      <c r="P15" s="333"/>
      <c r="Q15" s="333"/>
      <c r="R15" s="333"/>
    </row>
    <row r="16" spans="1:18" s="93" customFormat="1">
      <c r="A16" s="330" t="s">
        <v>56</v>
      </c>
      <c r="B16" s="330"/>
      <c r="C16" s="338"/>
      <c r="D16" s="331"/>
      <c r="E16" s="331"/>
      <c r="F16" s="332"/>
      <c r="G16" s="333"/>
      <c r="H16" s="334"/>
      <c r="I16" s="334"/>
      <c r="J16" s="334"/>
      <c r="K16" s="334"/>
      <c r="L16" s="333"/>
      <c r="M16" s="333"/>
      <c r="N16" s="333"/>
      <c r="O16" s="333"/>
      <c r="P16" s="333"/>
      <c r="Q16" s="333"/>
      <c r="R16" s="333"/>
    </row>
    <row r="17" spans="1:18" s="325" customFormat="1" ht="110.4">
      <c r="A17" s="3" t="s">
        <v>379</v>
      </c>
      <c r="B17" s="3" t="s">
        <v>2035</v>
      </c>
      <c r="C17" s="336" t="s">
        <v>534</v>
      </c>
      <c r="D17" s="336" t="s">
        <v>1963</v>
      </c>
      <c r="E17" s="336" t="s">
        <v>1964</v>
      </c>
      <c r="F17" s="337" t="s">
        <v>1664</v>
      </c>
      <c r="G17" s="333"/>
      <c r="H17" s="334"/>
      <c r="I17" s="334"/>
      <c r="J17" s="334"/>
      <c r="K17" s="334"/>
      <c r="L17" s="333"/>
      <c r="M17" s="333"/>
      <c r="N17" s="333"/>
      <c r="O17" s="333"/>
      <c r="P17" s="333"/>
      <c r="Q17" s="333"/>
      <c r="R17" s="333"/>
    </row>
    <row r="18" spans="1:18" s="148" customFormat="1" ht="41.4">
      <c r="A18" s="3" t="s">
        <v>380</v>
      </c>
      <c r="B18" s="3" t="s">
        <v>2036</v>
      </c>
      <c r="C18" s="336" t="s">
        <v>535</v>
      </c>
      <c r="D18" s="3"/>
      <c r="E18" s="336" t="s">
        <v>1965</v>
      </c>
      <c r="F18" s="337" t="s">
        <v>1665</v>
      </c>
      <c r="G18" s="333"/>
      <c r="H18" s="334"/>
      <c r="I18" s="334"/>
      <c r="J18" s="334"/>
      <c r="K18" s="334"/>
      <c r="L18" s="333"/>
      <c r="M18" s="333"/>
      <c r="N18" s="333"/>
      <c r="O18" s="333"/>
      <c r="P18" s="333"/>
      <c r="Q18" s="333"/>
      <c r="R18" s="333"/>
    </row>
    <row r="19" spans="1:18" s="148" customFormat="1">
      <c r="A19" s="330" t="s">
        <v>57</v>
      </c>
      <c r="B19" s="330"/>
      <c r="C19" s="331"/>
      <c r="D19" s="331"/>
      <c r="E19" s="331"/>
      <c r="F19" s="332"/>
      <c r="G19" s="333"/>
      <c r="H19" s="334"/>
      <c r="I19" s="334"/>
      <c r="J19" s="334"/>
      <c r="K19" s="334"/>
      <c r="L19" s="333"/>
      <c r="M19" s="333"/>
      <c r="N19" s="333"/>
      <c r="O19" s="333"/>
      <c r="P19" s="333"/>
      <c r="Q19" s="333"/>
      <c r="R19" s="333"/>
    </row>
    <row r="20" spans="1:18" s="93" customFormat="1" ht="110.4">
      <c r="A20" s="3" t="s">
        <v>381</v>
      </c>
      <c r="B20" s="3" t="s">
        <v>2037</v>
      </c>
      <c r="C20" s="336" t="s">
        <v>1666</v>
      </c>
      <c r="D20" s="3"/>
      <c r="E20" s="336" t="s">
        <v>1667</v>
      </c>
      <c r="F20" s="337" t="s">
        <v>1668</v>
      </c>
      <c r="G20" s="333"/>
      <c r="H20" s="334"/>
      <c r="I20" s="334"/>
      <c r="J20" s="334"/>
      <c r="K20" s="334"/>
      <c r="L20" s="333"/>
      <c r="M20" s="333"/>
      <c r="N20" s="333"/>
      <c r="O20" s="333"/>
      <c r="P20" s="333"/>
      <c r="Q20" s="333"/>
      <c r="R20" s="333"/>
    </row>
    <row r="21" spans="1:18" s="339" customFormat="1">
      <c r="G21" s="324"/>
      <c r="H21" s="324"/>
      <c r="I21" s="324"/>
      <c r="J21" s="324"/>
      <c r="K21" s="324"/>
      <c r="L21" s="324"/>
      <c r="M21" s="324"/>
      <c r="N21" s="324"/>
      <c r="O21" s="324"/>
      <c r="P21" s="324"/>
      <c r="Q21" s="324"/>
      <c r="R21" s="324"/>
    </row>
    <row r="22" spans="1:18" s="339" customFormat="1">
      <c r="G22" s="324"/>
      <c r="H22" s="324"/>
      <c r="I22" s="324"/>
      <c r="J22" s="324"/>
      <c r="K22" s="324"/>
      <c r="L22" s="324"/>
      <c r="M22" s="324"/>
      <c r="N22" s="324"/>
      <c r="O22" s="324"/>
      <c r="P22" s="324"/>
      <c r="Q22" s="324"/>
      <c r="R22" s="324"/>
    </row>
    <row r="23" spans="1:18" s="339" customFormat="1">
      <c r="G23" s="324"/>
      <c r="H23" s="324"/>
      <c r="I23" s="324"/>
      <c r="J23" s="324"/>
      <c r="K23" s="324"/>
      <c r="L23" s="324"/>
      <c r="M23" s="324"/>
      <c r="N23" s="324"/>
      <c r="O23" s="324"/>
      <c r="P23" s="324"/>
      <c r="Q23" s="324"/>
      <c r="R23" s="324"/>
    </row>
    <row r="24" spans="1:18" s="339" customFormat="1">
      <c r="G24" s="324"/>
      <c r="H24" s="324"/>
      <c r="I24" s="324"/>
      <c r="J24" s="324"/>
      <c r="K24" s="324"/>
      <c r="L24" s="324"/>
      <c r="M24" s="324"/>
      <c r="N24" s="324"/>
      <c r="O24" s="324"/>
      <c r="P24" s="324"/>
      <c r="Q24" s="324"/>
      <c r="R24" s="324"/>
    </row>
    <row r="25" spans="1:18" s="339" customFormat="1">
      <c r="G25" s="324"/>
      <c r="H25" s="324"/>
      <c r="I25" s="324"/>
      <c r="J25" s="324"/>
      <c r="K25" s="324"/>
      <c r="L25" s="324"/>
      <c r="M25" s="324"/>
      <c r="N25" s="324"/>
      <c r="O25" s="324"/>
      <c r="P25" s="324"/>
      <c r="Q25" s="324"/>
      <c r="R25" s="324"/>
    </row>
    <row r="26" spans="1:18" s="339" customFormat="1">
      <c r="G26" s="324"/>
      <c r="H26" s="324"/>
      <c r="I26" s="324"/>
      <c r="J26" s="324"/>
      <c r="K26" s="324"/>
      <c r="L26" s="324"/>
      <c r="M26" s="324"/>
      <c r="N26" s="324"/>
      <c r="O26" s="324"/>
      <c r="P26" s="324"/>
      <c r="Q26" s="324"/>
      <c r="R26" s="324"/>
    </row>
    <row r="27" spans="1:18" s="339" customFormat="1">
      <c r="G27" s="324"/>
      <c r="H27" s="324"/>
      <c r="I27" s="324"/>
      <c r="J27" s="324"/>
      <c r="K27" s="324"/>
      <c r="L27" s="324"/>
      <c r="M27" s="324"/>
      <c r="N27" s="324"/>
      <c r="O27" s="324"/>
      <c r="P27" s="324"/>
      <c r="Q27" s="324"/>
      <c r="R27" s="324"/>
    </row>
    <row r="28" spans="1:18" s="339" customFormat="1">
      <c r="G28" s="324"/>
      <c r="H28" s="324"/>
      <c r="I28" s="324"/>
      <c r="J28" s="324"/>
      <c r="K28" s="324"/>
      <c r="L28" s="324"/>
      <c r="M28" s="324"/>
      <c r="N28" s="324"/>
      <c r="O28" s="324"/>
      <c r="P28" s="324"/>
      <c r="Q28" s="324"/>
      <c r="R28" s="324"/>
    </row>
    <row r="29" spans="1:18" s="339" customFormat="1">
      <c r="G29" s="324"/>
      <c r="H29" s="324"/>
      <c r="I29" s="324"/>
      <c r="J29" s="324"/>
      <c r="K29" s="324"/>
      <c r="L29" s="324"/>
      <c r="M29" s="324"/>
      <c r="N29" s="324"/>
      <c r="O29" s="324"/>
      <c r="P29" s="324"/>
      <c r="Q29" s="324"/>
      <c r="R29" s="324"/>
    </row>
    <row r="30" spans="1:18" s="339" customFormat="1">
      <c r="G30" s="324"/>
      <c r="H30" s="324"/>
      <c r="I30" s="324"/>
      <c r="J30" s="324"/>
      <c r="K30" s="324"/>
      <c r="L30" s="324"/>
      <c r="M30" s="324"/>
      <c r="N30" s="324"/>
      <c r="O30" s="324"/>
      <c r="P30" s="324"/>
      <c r="Q30" s="324"/>
      <c r="R30" s="324"/>
    </row>
    <row r="31" spans="1:18" s="339" customFormat="1">
      <c r="G31" s="324"/>
      <c r="H31" s="324"/>
      <c r="I31" s="324"/>
      <c r="J31" s="324"/>
      <c r="K31" s="324"/>
      <c r="L31" s="324"/>
      <c r="M31" s="324"/>
      <c r="N31" s="324"/>
      <c r="O31" s="324"/>
      <c r="P31" s="324"/>
      <c r="Q31" s="324"/>
      <c r="R31" s="324"/>
    </row>
    <row r="32" spans="1:18" s="339" customFormat="1">
      <c r="G32" s="324"/>
      <c r="H32" s="324"/>
      <c r="I32" s="324"/>
      <c r="J32" s="324"/>
      <c r="K32" s="324"/>
      <c r="L32" s="324"/>
      <c r="M32" s="324"/>
      <c r="N32" s="324"/>
      <c r="O32" s="324"/>
      <c r="P32" s="324"/>
      <c r="Q32" s="324"/>
      <c r="R32" s="324"/>
    </row>
    <row r="33" spans="7:18" s="339" customFormat="1">
      <c r="G33" s="324"/>
      <c r="H33" s="324"/>
      <c r="I33" s="324"/>
      <c r="J33" s="324"/>
      <c r="K33" s="324"/>
      <c r="L33" s="324"/>
      <c r="M33" s="324"/>
      <c r="N33" s="324"/>
      <c r="O33" s="324"/>
      <c r="P33" s="324"/>
      <c r="Q33" s="324"/>
      <c r="R33" s="324"/>
    </row>
    <row r="34" spans="7:18" s="339" customFormat="1">
      <c r="G34" s="324"/>
      <c r="H34" s="324"/>
      <c r="I34" s="324"/>
      <c r="J34" s="324"/>
      <c r="K34" s="324"/>
      <c r="L34" s="324"/>
      <c r="M34" s="324"/>
      <c r="N34" s="324"/>
      <c r="O34" s="324"/>
      <c r="P34" s="324"/>
      <c r="Q34" s="324"/>
      <c r="R34" s="324"/>
    </row>
    <row r="35" spans="7:18" s="339" customFormat="1">
      <c r="G35" s="324"/>
      <c r="H35" s="324"/>
      <c r="I35" s="324"/>
      <c r="J35" s="324"/>
      <c r="K35" s="324"/>
      <c r="L35" s="324"/>
      <c r="M35" s="324"/>
      <c r="N35" s="324"/>
      <c r="O35" s="324"/>
      <c r="P35" s="324"/>
      <c r="Q35" s="324"/>
      <c r="R35" s="324"/>
    </row>
    <row r="36" spans="7:18" s="339" customFormat="1">
      <c r="G36" s="324"/>
      <c r="H36" s="324"/>
      <c r="I36" s="324"/>
      <c r="J36" s="324"/>
      <c r="K36" s="324"/>
      <c r="L36" s="324"/>
      <c r="M36" s="324"/>
      <c r="N36" s="324"/>
      <c r="O36" s="324"/>
      <c r="P36" s="324"/>
      <c r="Q36" s="324"/>
      <c r="R36" s="324"/>
    </row>
    <row r="37" spans="7:18" s="339" customFormat="1">
      <c r="G37" s="324"/>
      <c r="H37" s="324"/>
      <c r="I37" s="324"/>
      <c r="J37" s="324"/>
      <c r="K37" s="324"/>
      <c r="L37" s="324"/>
      <c r="M37" s="324"/>
      <c r="N37" s="324"/>
      <c r="O37" s="324"/>
      <c r="P37" s="324"/>
      <c r="Q37" s="324"/>
      <c r="R37" s="324"/>
    </row>
    <row r="38" spans="7:18" s="340" customFormat="1">
      <c r="G38" s="324"/>
      <c r="H38" s="324"/>
      <c r="I38" s="324"/>
      <c r="J38" s="324"/>
      <c r="K38" s="324"/>
      <c r="L38" s="324"/>
      <c r="M38" s="324"/>
      <c r="N38" s="324"/>
      <c r="O38" s="324"/>
      <c r="P38" s="324"/>
      <c r="Q38" s="324"/>
      <c r="R38" s="324"/>
    </row>
    <row r="39" spans="7:18" s="340" customFormat="1">
      <c r="G39" s="324"/>
      <c r="H39" s="324"/>
      <c r="I39" s="324"/>
      <c r="J39" s="324"/>
      <c r="K39" s="324"/>
      <c r="L39" s="324"/>
      <c r="M39" s="324"/>
      <c r="N39" s="324"/>
      <c r="O39" s="324"/>
      <c r="P39" s="324"/>
      <c r="Q39" s="324"/>
      <c r="R39" s="324"/>
    </row>
    <row r="40" spans="7:18" s="340" customFormat="1">
      <c r="G40" s="324"/>
      <c r="H40" s="324"/>
      <c r="I40" s="324"/>
      <c r="J40" s="324"/>
      <c r="K40" s="324"/>
      <c r="L40" s="324"/>
      <c r="M40" s="324"/>
      <c r="N40" s="324"/>
      <c r="O40" s="324"/>
      <c r="P40" s="324"/>
      <c r="Q40" s="324"/>
      <c r="R40" s="324"/>
    </row>
    <row r="41" spans="7:18" s="340" customFormat="1">
      <c r="G41" s="324"/>
      <c r="H41" s="324"/>
      <c r="I41" s="324"/>
      <c r="J41" s="324"/>
      <c r="K41" s="324"/>
      <c r="L41" s="324"/>
      <c r="M41" s="324"/>
      <c r="N41" s="324"/>
      <c r="O41" s="324"/>
      <c r="P41" s="324"/>
      <c r="Q41" s="324"/>
      <c r="R41" s="324"/>
    </row>
    <row r="42" spans="7:18" s="340" customFormat="1">
      <c r="G42" s="324"/>
      <c r="H42" s="324"/>
      <c r="I42" s="324"/>
      <c r="J42" s="324"/>
      <c r="K42" s="324"/>
      <c r="L42" s="324"/>
      <c r="M42" s="324"/>
      <c r="N42" s="324"/>
      <c r="O42" s="324"/>
      <c r="P42" s="324"/>
      <c r="Q42" s="324"/>
      <c r="R42" s="324"/>
    </row>
    <row r="43" spans="7:18" s="340" customFormat="1">
      <c r="G43" s="324"/>
      <c r="H43" s="324"/>
      <c r="I43" s="324"/>
      <c r="J43" s="324"/>
      <c r="K43" s="324"/>
      <c r="L43" s="324"/>
      <c r="M43" s="324"/>
      <c r="N43" s="324"/>
      <c r="O43" s="324"/>
      <c r="P43" s="324"/>
      <c r="Q43" s="324"/>
      <c r="R43" s="324"/>
    </row>
    <row r="44" spans="7:18" s="340" customFormat="1">
      <c r="G44" s="324"/>
      <c r="H44" s="324"/>
      <c r="I44" s="324"/>
      <c r="J44" s="324"/>
      <c r="K44" s="324"/>
      <c r="L44" s="324"/>
      <c r="M44" s="324"/>
      <c r="N44" s="324"/>
      <c r="O44" s="324"/>
      <c r="P44" s="324"/>
      <c r="Q44" s="324"/>
      <c r="R44" s="324"/>
    </row>
    <row r="45" spans="7:18" s="340" customFormat="1">
      <c r="G45" s="324"/>
      <c r="H45" s="324"/>
      <c r="I45" s="324"/>
      <c r="J45" s="324"/>
      <c r="K45" s="324"/>
      <c r="L45" s="324"/>
      <c r="M45" s="324"/>
      <c r="N45" s="324"/>
      <c r="O45" s="324"/>
      <c r="P45" s="324"/>
      <c r="Q45" s="324"/>
      <c r="R45" s="324"/>
    </row>
    <row r="46" spans="7:18" s="340" customFormat="1">
      <c r="G46" s="324"/>
      <c r="H46" s="324"/>
      <c r="I46" s="324"/>
      <c r="J46" s="324"/>
      <c r="K46" s="324"/>
      <c r="L46" s="324"/>
      <c r="M46" s="324"/>
      <c r="N46" s="324"/>
      <c r="O46" s="324"/>
      <c r="P46" s="324"/>
      <c r="Q46" s="324"/>
      <c r="R46" s="324"/>
    </row>
    <row r="47" spans="7:18" s="340" customFormat="1">
      <c r="G47" s="324"/>
      <c r="H47" s="324"/>
      <c r="I47" s="324"/>
      <c r="J47" s="324"/>
      <c r="K47" s="324"/>
      <c r="L47" s="324"/>
      <c r="M47" s="324"/>
      <c r="N47" s="324"/>
      <c r="O47" s="324"/>
      <c r="P47" s="324"/>
      <c r="Q47" s="324"/>
      <c r="R47" s="324"/>
    </row>
    <row r="48" spans="7:18" s="340" customFormat="1">
      <c r="G48" s="324"/>
      <c r="H48" s="324"/>
      <c r="I48" s="324"/>
      <c r="J48" s="324"/>
      <c r="K48" s="324"/>
      <c r="L48" s="324"/>
      <c r="M48" s="324"/>
      <c r="N48" s="324"/>
      <c r="O48" s="324"/>
      <c r="P48" s="324"/>
      <c r="Q48" s="324"/>
      <c r="R48" s="324"/>
    </row>
    <row r="49" spans="7:18" s="340" customFormat="1">
      <c r="G49" s="324"/>
      <c r="H49" s="324"/>
      <c r="I49" s="324"/>
      <c r="J49" s="324"/>
      <c r="K49" s="324"/>
      <c r="L49" s="324"/>
      <c r="M49" s="324"/>
      <c r="N49" s="324"/>
      <c r="O49" s="324"/>
      <c r="P49" s="324"/>
      <c r="Q49" s="324"/>
      <c r="R49" s="324"/>
    </row>
    <row r="50" spans="7:18" s="340" customFormat="1">
      <c r="G50" s="324"/>
      <c r="H50" s="324"/>
      <c r="I50" s="324"/>
      <c r="J50" s="324"/>
      <c r="K50" s="324"/>
      <c r="L50" s="324"/>
      <c r="M50" s="324"/>
      <c r="N50" s="324"/>
      <c r="O50" s="324"/>
      <c r="P50" s="324"/>
      <c r="Q50" s="324"/>
      <c r="R50" s="324"/>
    </row>
    <row r="51" spans="7:18" s="340" customFormat="1">
      <c r="G51" s="324"/>
      <c r="H51" s="324"/>
      <c r="I51" s="324"/>
      <c r="J51" s="324"/>
      <c r="K51" s="324"/>
      <c r="L51" s="324"/>
      <c r="M51" s="324"/>
      <c r="N51" s="324"/>
      <c r="O51" s="324"/>
      <c r="P51" s="324"/>
      <c r="Q51" s="324"/>
      <c r="R51" s="324"/>
    </row>
    <row r="52" spans="7:18" s="340" customFormat="1">
      <c r="G52" s="324"/>
      <c r="H52" s="324"/>
      <c r="I52" s="324"/>
      <c r="J52" s="324"/>
      <c r="K52" s="324"/>
      <c r="L52" s="324"/>
      <c r="M52" s="324"/>
      <c r="N52" s="324"/>
      <c r="O52" s="324"/>
      <c r="P52" s="324"/>
      <c r="Q52" s="324"/>
      <c r="R52" s="324"/>
    </row>
    <row r="53" spans="7:18" s="340" customFormat="1">
      <c r="G53" s="324"/>
      <c r="H53" s="324"/>
      <c r="I53" s="324"/>
      <c r="J53" s="324"/>
      <c r="K53" s="324"/>
      <c r="L53" s="324"/>
      <c r="M53" s="324"/>
      <c r="N53" s="324"/>
      <c r="O53" s="324"/>
      <c r="P53" s="324"/>
      <c r="Q53" s="324"/>
      <c r="R53" s="324"/>
    </row>
    <row r="54" spans="7:18" s="340" customFormat="1">
      <c r="G54" s="324"/>
      <c r="H54" s="324"/>
      <c r="I54" s="324"/>
      <c r="J54" s="324"/>
      <c r="K54" s="324"/>
      <c r="L54" s="324"/>
      <c r="M54" s="324"/>
      <c r="N54" s="324"/>
      <c r="O54" s="324"/>
      <c r="P54" s="324"/>
      <c r="Q54" s="324"/>
      <c r="R54" s="324"/>
    </row>
    <row r="55" spans="7:18" s="340" customFormat="1">
      <c r="G55" s="324"/>
      <c r="H55" s="324"/>
      <c r="I55" s="324"/>
      <c r="J55" s="324"/>
      <c r="K55" s="324"/>
      <c r="L55" s="324"/>
      <c r="M55" s="324"/>
      <c r="N55" s="324"/>
      <c r="O55" s="324"/>
      <c r="P55" s="324"/>
      <c r="Q55" s="324"/>
      <c r="R55" s="324"/>
    </row>
    <row r="56" spans="7:18" s="340" customFormat="1">
      <c r="G56" s="324"/>
      <c r="H56" s="324"/>
      <c r="I56" s="324"/>
      <c r="J56" s="324"/>
      <c r="K56" s="324"/>
      <c r="L56" s="324"/>
      <c r="M56" s="324"/>
      <c r="N56" s="324"/>
      <c r="O56" s="324"/>
      <c r="P56" s="324"/>
      <c r="Q56" s="324"/>
      <c r="R56" s="324"/>
    </row>
    <row r="57" spans="7:18" s="340" customFormat="1">
      <c r="G57" s="324"/>
      <c r="H57" s="324"/>
      <c r="I57" s="324"/>
      <c r="J57" s="324"/>
      <c r="K57" s="324"/>
      <c r="L57" s="324"/>
      <c r="M57" s="324"/>
      <c r="N57" s="324"/>
      <c r="O57" s="324"/>
      <c r="P57" s="324"/>
      <c r="Q57" s="324"/>
      <c r="R57" s="324"/>
    </row>
    <row r="58" spans="7:18" s="340" customFormat="1">
      <c r="G58" s="324"/>
      <c r="H58" s="324"/>
      <c r="I58" s="324"/>
      <c r="J58" s="324"/>
      <c r="K58" s="324"/>
      <c r="L58" s="324"/>
      <c r="M58" s="324"/>
      <c r="N58" s="324"/>
      <c r="O58" s="324"/>
      <c r="P58" s="324"/>
      <c r="Q58" s="324"/>
      <c r="R58" s="324"/>
    </row>
  </sheetData>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E8EB7-0B04-4E4E-9342-80FDF7BEF2B8}">
  <sheetPr codeName="Sheet30">
    <tabColor rgb="FF6B2B88"/>
  </sheetPr>
  <dimension ref="A1:W66"/>
  <sheetViews>
    <sheetView zoomScale="70" zoomScaleNormal="70" workbookViewId="0">
      <pane xSplit="2" ySplit="9" topLeftCell="C10" activePane="bottomRight" state="frozen"/>
      <selection activeCell="I11" sqref="I11:J14"/>
      <selection pane="topRight" activeCell="I11" sqref="I11:J14"/>
      <selection pane="bottomLeft" activeCell="I11" sqref="I11:J14"/>
      <selection pane="bottomRight" activeCell="B24" sqref="B24"/>
    </sheetView>
  </sheetViews>
  <sheetFormatPr defaultColWidth="8.77734375" defaultRowHeight="13.8"/>
  <cols>
    <col min="1" max="1" width="10.21875" style="329" customWidth="1"/>
    <col min="2" max="2" width="67.21875" style="329" customWidth="1"/>
    <col min="3" max="4" width="29.6640625" style="329" customWidth="1"/>
    <col min="5" max="5" width="83.44140625" style="329" customWidth="1"/>
    <col min="6" max="6" width="31.21875" style="329" customWidth="1"/>
    <col min="7" max="7" width="24.77734375" style="324" customWidth="1"/>
    <col min="8" max="11" width="8.77734375" style="322"/>
    <col min="12" max="23" width="8.77734375" style="324"/>
    <col min="24" max="16384" width="8.77734375" style="329"/>
  </cols>
  <sheetData>
    <row r="1" spans="1:23" s="322" customFormat="1" ht="25.8">
      <c r="A1" s="321" t="s">
        <v>365</v>
      </c>
      <c r="C1" s="323"/>
      <c r="G1" s="324"/>
      <c r="L1" s="324"/>
      <c r="M1" s="324"/>
      <c r="N1" s="324"/>
      <c r="O1" s="324"/>
      <c r="P1" s="324"/>
      <c r="Q1" s="324"/>
      <c r="R1" s="324"/>
      <c r="S1" s="324"/>
      <c r="T1" s="324"/>
      <c r="U1" s="324"/>
      <c r="V1" s="324"/>
      <c r="W1" s="324"/>
    </row>
    <row r="2" spans="1:23" s="322" customFormat="1" ht="25.8">
      <c r="A2" s="321" t="s">
        <v>1669</v>
      </c>
      <c r="C2" s="323"/>
      <c r="G2" s="324"/>
      <c r="L2" s="324"/>
      <c r="M2" s="324"/>
      <c r="N2" s="324"/>
      <c r="O2" s="324"/>
      <c r="P2" s="324"/>
      <c r="Q2" s="324"/>
      <c r="R2" s="324"/>
      <c r="S2" s="324"/>
      <c r="T2" s="324"/>
      <c r="U2" s="324"/>
      <c r="V2" s="324"/>
      <c r="W2" s="324"/>
    </row>
    <row r="3" spans="1:23" s="322" customFormat="1">
      <c r="A3" s="325" t="s">
        <v>1670</v>
      </c>
      <c r="B3" s="322" t="s">
        <v>2038</v>
      </c>
      <c r="G3" s="324"/>
      <c r="L3" s="324"/>
      <c r="M3" s="324"/>
      <c r="N3" s="324"/>
      <c r="O3" s="324"/>
      <c r="P3" s="324"/>
      <c r="Q3" s="324"/>
      <c r="R3" s="324"/>
      <c r="S3" s="324"/>
      <c r="T3" s="324"/>
      <c r="U3" s="324"/>
      <c r="V3" s="324"/>
      <c r="W3" s="324"/>
    </row>
    <row r="4" spans="1:23" s="322" customFormat="1">
      <c r="A4" s="325" t="s">
        <v>408</v>
      </c>
      <c r="B4" s="322" t="s">
        <v>1671</v>
      </c>
      <c r="G4" s="324"/>
      <c r="L4" s="324"/>
      <c r="M4" s="324"/>
      <c r="N4" s="324"/>
      <c r="O4" s="324"/>
      <c r="P4" s="324"/>
      <c r="Q4" s="324"/>
      <c r="R4" s="324"/>
      <c r="S4" s="324"/>
      <c r="T4" s="324"/>
      <c r="U4" s="324"/>
      <c r="V4" s="324"/>
      <c r="W4" s="324"/>
    </row>
    <row r="5" spans="1:23" s="322" customFormat="1">
      <c r="A5" s="322" t="s">
        <v>1672</v>
      </c>
      <c r="B5" s="322" t="s">
        <v>2039</v>
      </c>
      <c r="G5" s="324"/>
      <c r="L5" s="324"/>
      <c r="M5" s="324"/>
      <c r="N5" s="324"/>
      <c r="O5" s="324"/>
      <c r="P5" s="324"/>
      <c r="Q5" s="324"/>
      <c r="R5" s="324"/>
      <c r="S5" s="324"/>
      <c r="T5" s="324"/>
      <c r="U5" s="324"/>
      <c r="V5" s="324"/>
      <c r="W5" s="324"/>
    </row>
    <row r="6" spans="1:23" s="322" customFormat="1">
      <c r="A6" s="322" t="s">
        <v>412</v>
      </c>
      <c r="B6" s="322" t="s">
        <v>1673</v>
      </c>
      <c r="G6" s="324"/>
      <c r="L6" s="324"/>
      <c r="M6" s="324"/>
      <c r="N6" s="324"/>
      <c r="O6" s="324"/>
      <c r="P6" s="324"/>
      <c r="Q6" s="324"/>
      <c r="R6" s="324"/>
      <c r="S6" s="324"/>
      <c r="T6" s="324"/>
      <c r="U6" s="324"/>
      <c r="V6" s="324"/>
      <c r="W6" s="324"/>
    </row>
    <row r="8" spans="1:23">
      <c r="A8" s="326"/>
      <c r="B8" s="326"/>
      <c r="C8" s="326" t="s">
        <v>96</v>
      </c>
      <c r="D8" s="326" t="s">
        <v>553</v>
      </c>
      <c r="E8" s="326" t="s">
        <v>85</v>
      </c>
      <c r="F8" s="326" t="s">
        <v>1653</v>
      </c>
      <c r="G8" s="341" t="s">
        <v>1674</v>
      </c>
      <c r="L8" s="329"/>
      <c r="M8" s="329"/>
      <c r="N8" s="329"/>
      <c r="O8" s="329"/>
      <c r="P8" s="329"/>
      <c r="Q8" s="329"/>
      <c r="R8" s="329"/>
      <c r="S8" s="329"/>
      <c r="T8" s="329"/>
      <c r="U8" s="329"/>
      <c r="V8" s="329"/>
      <c r="W8" s="329"/>
    </row>
    <row r="9" spans="1:23" s="346" customFormat="1">
      <c r="A9" s="342" t="s">
        <v>47</v>
      </c>
      <c r="B9" s="342"/>
      <c r="C9" s="343"/>
      <c r="D9" s="343"/>
      <c r="E9" s="343"/>
      <c r="F9" s="343"/>
      <c r="G9" s="344"/>
      <c r="H9" s="322"/>
      <c r="I9" s="322"/>
      <c r="J9" s="322"/>
      <c r="K9" s="322"/>
      <c r="L9" s="345"/>
      <c r="M9" s="345"/>
      <c r="N9" s="345"/>
      <c r="O9" s="345"/>
      <c r="P9" s="345"/>
      <c r="Q9" s="345"/>
      <c r="R9" s="345"/>
      <c r="S9" s="345"/>
      <c r="T9" s="345"/>
      <c r="U9" s="345"/>
      <c r="V9" s="345"/>
      <c r="W9" s="345"/>
    </row>
    <row r="10" spans="1:23" s="346" customFormat="1" ht="41.4">
      <c r="A10" s="22" t="s">
        <v>366</v>
      </c>
      <c r="B10" s="22" t="s">
        <v>2040</v>
      </c>
      <c r="C10" s="347" t="s">
        <v>1675</v>
      </c>
      <c r="D10" s="347" t="s">
        <v>1641</v>
      </c>
      <c r="E10" s="347" t="s">
        <v>367</v>
      </c>
      <c r="F10" s="347"/>
      <c r="G10" s="348"/>
      <c r="H10" s="322"/>
      <c r="I10" s="322"/>
      <c r="J10" s="322"/>
      <c r="K10" s="322"/>
      <c r="L10" s="345"/>
      <c r="M10" s="345"/>
      <c r="N10" s="345"/>
      <c r="O10" s="345"/>
      <c r="P10" s="345"/>
      <c r="Q10" s="345"/>
      <c r="R10" s="345"/>
      <c r="S10" s="345"/>
      <c r="T10" s="345"/>
      <c r="U10" s="345"/>
      <c r="V10" s="345"/>
      <c r="W10" s="345"/>
    </row>
    <row r="11" spans="1:23" s="139" customFormat="1">
      <c r="A11" s="342" t="s">
        <v>54</v>
      </c>
      <c r="B11" s="342"/>
      <c r="C11" s="343"/>
      <c r="D11" s="343"/>
      <c r="E11" s="343"/>
      <c r="F11" s="343"/>
      <c r="G11" s="344"/>
      <c r="H11" s="322"/>
      <c r="I11" s="322"/>
      <c r="J11" s="322"/>
      <c r="K11" s="322"/>
      <c r="L11" s="345"/>
      <c r="M11" s="345"/>
      <c r="N11" s="345"/>
      <c r="O11" s="345"/>
      <c r="P11" s="345"/>
      <c r="Q11" s="345"/>
      <c r="R11" s="345"/>
      <c r="S11" s="345"/>
      <c r="T11" s="345"/>
      <c r="U11" s="345"/>
      <c r="V11" s="345"/>
      <c r="W11" s="345"/>
    </row>
    <row r="12" spans="1:23" s="139" customFormat="1" ht="82.8">
      <c r="A12" s="22" t="s">
        <v>368</v>
      </c>
      <c r="B12" s="22" t="s">
        <v>2041</v>
      </c>
      <c r="C12" s="347" t="s">
        <v>1676</v>
      </c>
      <c r="D12" s="347" t="s">
        <v>369</v>
      </c>
      <c r="E12" s="347" t="s">
        <v>1642</v>
      </c>
      <c r="F12" s="22"/>
      <c r="G12" s="348" t="s">
        <v>1677</v>
      </c>
      <c r="H12" s="322"/>
      <c r="I12" s="322"/>
      <c r="J12" s="322"/>
      <c r="K12" s="322"/>
      <c r="L12" s="345"/>
      <c r="M12" s="345"/>
      <c r="N12" s="345"/>
      <c r="O12" s="345"/>
      <c r="P12" s="345"/>
      <c r="Q12" s="345"/>
      <c r="R12" s="345"/>
      <c r="S12" s="345"/>
      <c r="T12" s="345"/>
      <c r="U12" s="345"/>
      <c r="V12" s="345"/>
      <c r="W12" s="345"/>
    </row>
    <row r="13" spans="1:23" s="137" customFormat="1" ht="55.2">
      <c r="A13" s="22" t="s">
        <v>370</v>
      </c>
      <c r="B13" s="22" t="s">
        <v>2042</v>
      </c>
      <c r="C13" s="347" t="s">
        <v>530</v>
      </c>
      <c r="D13" s="347" t="s">
        <v>529</v>
      </c>
      <c r="E13" s="347" t="s">
        <v>1643</v>
      </c>
      <c r="F13" s="347"/>
      <c r="G13" s="348"/>
      <c r="H13" s="322"/>
      <c r="I13" s="322"/>
      <c r="J13" s="322"/>
      <c r="K13" s="322"/>
      <c r="L13" s="345"/>
      <c r="M13" s="345"/>
      <c r="N13" s="345"/>
      <c r="O13" s="345"/>
      <c r="P13" s="345"/>
      <c r="Q13" s="345"/>
      <c r="R13" s="345"/>
      <c r="S13" s="345"/>
      <c r="T13" s="345"/>
      <c r="U13" s="345"/>
      <c r="V13" s="345"/>
      <c r="W13" s="345"/>
    </row>
    <row r="14" spans="1:23" s="346" customFormat="1">
      <c r="A14" s="342" t="s">
        <v>56</v>
      </c>
      <c r="B14" s="342"/>
      <c r="C14" s="343"/>
      <c r="D14" s="343"/>
      <c r="E14" s="343"/>
      <c r="F14" s="343"/>
      <c r="G14" s="344"/>
      <c r="H14" s="322"/>
      <c r="I14" s="322"/>
      <c r="J14" s="322"/>
      <c r="K14" s="322"/>
      <c r="L14" s="345"/>
      <c r="M14" s="345"/>
      <c r="N14" s="345"/>
      <c r="O14" s="345"/>
      <c r="P14" s="345"/>
      <c r="Q14" s="345"/>
      <c r="R14" s="345"/>
      <c r="S14" s="345"/>
      <c r="T14" s="345"/>
      <c r="U14" s="345"/>
      <c r="V14" s="345"/>
      <c r="W14" s="345"/>
    </row>
    <row r="15" spans="1:23" s="346" customFormat="1" ht="69">
      <c r="A15" s="22" t="s">
        <v>371</v>
      </c>
      <c r="B15" s="22" t="s">
        <v>2043</v>
      </c>
      <c r="C15" s="347" t="s">
        <v>1966</v>
      </c>
      <c r="D15" s="347" t="s">
        <v>1967</v>
      </c>
      <c r="E15" s="347" t="s">
        <v>1968</v>
      </c>
      <c r="F15" s="347" t="s">
        <v>1678</v>
      </c>
      <c r="G15" s="349" t="s">
        <v>1679</v>
      </c>
      <c r="H15" s="322"/>
      <c r="I15" s="322"/>
      <c r="J15" s="322"/>
      <c r="K15" s="322"/>
      <c r="L15" s="345"/>
      <c r="M15" s="345"/>
      <c r="N15" s="345"/>
      <c r="O15" s="345"/>
      <c r="P15" s="345"/>
      <c r="Q15" s="345"/>
      <c r="R15" s="345"/>
      <c r="S15" s="345"/>
      <c r="T15" s="345"/>
      <c r="U15" s="345"/>
      <c r="V15" s="345"/>
      <c r="W15" s="345"/>
    </row>
    <row r="16" spans="1:23" s="139" customFormat="1" ht="55.2">
      <c r="A16" s="22" t="s">
        <v>372</v>
      </c>
      <c r="B16" s="22" t="s">
        <v>2044</v>
      </c>
      <c r="C16" s="347" t="s">
        <v>1645</v>
      </c>
      <c r="D16" s="347" t="s">
        <v>1644</v>
      </c>
      <c r="E16" s="347" t="s">
        <v>1646</v>
      </c>
      <c r="F16" s="347"/>
      <c r="G16" s="349" t="s">
        <v>1680</v>
      </c>
      <c r="H16" s="322"/>
      <c r="I16" s="322"/>
      <c r="J16" s="322"/>
      <c r="K16" s="322"/>
      <c r="L16" s="345"/>
      <c r="M16" s="345"/>
      <c r="N16" s="345"/>
      <c r="O16" s="345"/>
      <c r="P16" s="345"/>
      <c r="Q16" s="345"/>
      <c r="R16" s="345"/>
      <c r="S16" s="345"/>
      <c r="T16" s="345"/>
      <c r="U16" s="345"/>
      <c r="V16" s="345"/>
      <c r="W16" s="345"/>
    </row>
    <row r="17" spans="1:23" s="139" customFormat="1" ht="55.2">
      <c r="A17" s="22" t="s">
        <v>373</v>
      </c>
      <c r="B17" s="22" t="s">
        <v>2045</v>
      </c>
      <c r="C17" s="347" t="s">
        <v>1681</v>
      </c>
      <c r="D17" s="347" t="s">
        <v>1647</v>
      </c>
      <c r="E17" s="347" t="s">
        <v>1648</v>
      </c>
      <c r="F17" s="347"/>
      <c r="G17" s="348"/>
      <c r="H17" s="322"/>
      <c r="I17" s="322"/>
      <c r="J17" s="322"/>
      <c r="K17" s="322"/>
      <c r="L17" s="345"/>
      <c r="M17" s="345"/>
      <c r="N17" s="345"/>
      <c r="O17" s="345"/>
      <c r="P17" s="345"/>
      <c r="Q17" s="345"/>
      <c r="R17" s="345"/>
      <c r="S17" s="345"/>
      <c r="T17" s="345"/>
      <c r="U17" s="345"/>
      <c r="V17" s="345"/>
      <c r="W17" s="345"/>
    </row>
    <row r="18" spans="1:23" s="346" customFormat="1">
      <c r="A18" s="342" t="s">
        <v>57</v>
      </c>
      <c r="B18" s="342"/>
      <c r="C18" s="343"/>
      <c r="D18" s="343"/>
      <c r="E18" s="343"/>
      <c r="F18" s="343"/>
      <c r="G18" s="344"/>
      <c r="H18" s="322"/>
      <c r="I18" s="322"/>
      <c r="J18" s="322"/>
      <c r="K18" s="322"/>
      <c r="L18" s="345"/>
      <c r="M18" s="345"/>
      <c r="N18" s="345"/>
      <c r="O18" s="345"/>
      <c r="P18" s="345"/>
      <c r="Q18" s="345"/>
      <c r="R18" s="345"/>
      <c r="S18" s="345"/>
      <c r="T18" s="345"/>
      <c r="U18" s="345"/>
      <c r="V18" s="345"/>
      <c r="W18" s="345"/>
    </row>
    <row r="19" spans="1:23" s="346" customFormat="1" ht="82.8">
      <c r="A19" s="22" t="s">
        <v>2046</v>
      </c>
      <c r="B19" s="22" t="s">
        <v>2047</v>
      </c>
      <c r="C19" s="347" t="s">
        <v>2048</v>
      </c>
      <c r="D19" s="347" t="s">
        <v>2049</v>
      </c>
      <c r="E19" s="347" t="s">
        <v>2050</v>
      </c>
      <c r="F19" s="347" t="s">
        <v>1678</v>
      </c>
      <c r="G19" s="349" t="s">
        <v>1679</v>
      </c>
      <c r="H19" s="322"/>
      <c r="I19" s="322"/>
      <c r="J19" s="322"/>
      <c r="K19" s="322"/>
      <c r="L19" s="345"/>
      <c r="M19" s="345"/>
      <c r="N19" s="345"/>
      <c r="O19" s="345"/>
      <c r="P19" s="345"/>
      <c r="Q19" s="345"/>
      <c r="R19" s="345"/>
      <c r="S19" s="345"/>
      <c r="T19" s="345"/>
      <c r="U19" s="345"/>
      <c r="V19" s="345"/>
      <c r="W19" s="345"/>
    </row>
    <row r="20" spans="1:23" s="339" customFormat="1">
      <c r="G20" s="324"/>
      <c r="H20" s="322"/>
      <c r="I20" s="322"/>
      <c r="J20" s="322"/>
      <c r="K20" s="322"/>
      <c r="L20" s="324"/>
      <c r="M20" s="324"/>
      <c r="N20" s="324"/>
      <c r="O20" s="324"/>
      <c r="P20" s="324"/>
      <c r="Q20" s="324"/>
      <c r="R20" s="324"/>
      <c r="S20" s="324"/>
      <c r="T20" s="324"/>
      <c r="U20" s="324"/>
      <c r="V20" s="324"/>
      <c r="W20" s="324"/>
    </row>
    <row r="21" spans="1:23" s="339" customFormat="1">
      <c r="G21" s="324"/>
      <c r="H21" s="322"/>
      <c r="I21" s="322"/>
      <c r="J21" s="322"/>
      <c r="K21" s="322"/>
      <c r="L21" s="324"/>
      <c r="M21" s="324"/>
      <c r="N21" s="324"/>
      <c r="O21" s="324"/>
      <c r="P21" s="324"/>
      <c r="Q21" s="324"/>
      <c r="R21" s="324"/>
      <c r="S21" s="324"/>
      <c r="T21" s="324"/>
      <c r="U21" s="324"/>
      <c r="V21" s="324"/>
      <c r="W21" s="324"/>
    </row>
    <row r="22" spans="1:23" s="339" customFormat="1">
      <c r="G22" s="324"/>
      <c r="H22" s="322"/>
      <c r="I22" s="322"/>
      <c r="J22" s="322"/>
      <c r="K22" s="322"/>
      <c r="L22" s="324"/>
      <c r="M22" s="324"/>
      <c r="N22" s="324"/>
      <c r="O22" s="324"/>
      <c r="P22" s="324"/>
      <c r="Q22" s="324"/>
      <c r="R22" s="324"/>
      <c r="S22" s="324"/>
      <c r="T22" s="324"/>
      <c r="U22" s="324"/>
      <c r="V22" s="324"/>
      <c r="W22" s="324"/>
    </row>
    <row r="23" spans="1:23" s="339" customFormat="1">
      <c r="G23" s="324"/>
      <c r="H23" s="322"/>
      <c r="I23" s="322"/>
      <c r="J23" s="322"/>
      <c r="K23" s="322"/>
      <c r="L23" s="324"/>
      <c r="M23" s="324"/>
      <c r="N23" s="324"/>
      <c r="O23" s="324"/>
      <c r="P23" s="324"/>
      <c r="Q23" s="324"/>
      <c r="R23" s="324"/>
      <c r="S23" s="324"/>
      <c r="T23" s="324"/>
      <c r="U23" s="324"/>
      <c r="V23" s="324"/>
      <c r="W23" s="324"/>
    </row>
    <row r="24" spans="1:23" s="339" customFormat="1">
      <c r="G24" s="324"/>
      <c r="H24" s="322"/>
      <c r="I24" s="322"/>
      <c r="J24" s="322"/>
      <c r="K24" s="322"/>
      <c r="L24" s="324"/>
      <c r="M24" s="324"/>
      <c r="N24" s="324"/>
      <c r="O24" s="324"/>
      <c r="P24" s="324"/>
      <c r="Q24" s="324"/>
      <c r="R24" s="324"/>
      <c r="S24" s="324"/>
      <c r="T24" s="324"/>
      <c r="U24" s="324"/>
      <c r="V24" s="324"/>
      <c r="W24" s="324"/>
    </row>
    <row r="25" spans="1:23" s="339" customFormat="1">
      <c r="G25" s="324"/>
      <c r="H25" s="322"/>
      <c r="I25" s="322"/>
      <c r="J25" s="322"/>
      <c r="K25" s="322"/>
      <c r="L25" s="324"/>
      <c r="M25" s="324"/>
      <c r="N25" s="324"/>
      <c r="O25" s="324"/>
      <c r="P25" s="324"/>
      <c r="Q25" s="324"/>
      <c r="R25" s="324"/>
      <c r="S25" s="324"/>
      <c r="T25" s="324"/>
      <c r="U25" s="324"/>
      <c r="V25" s="324"/>
      <c r="W25" s="324"/>
    </row>
    <row r="26" spans="1:23" s="339" customFormat="1">
      <c r="G26" s="324"/>
      <c r="H26" s="322"/>
      <c r="I26" s="322"/>
      <c r="J26" s="322"/>
      <c r="K26" s="322"/>
      <c r="L26" s="324"/>
      <c r="M26" s="324"/>
      <c r="N26" s="324"/>
      <c r="O26" s="324"/>
      <c r="P26" s="324"/>
      <c r="Q26" s="324"/>
      <c r="R26" s="324"/>
      <c r="S26" s="324"/>
      <c r="T26" s="324"/>
      <c r="U26" s="324"/>
      <c r="V26" s="324"/>
      <c r="W26" s="324"/>
    </row>
    <row r="27" spans="1:23" s="339" customFormat="1">
      <c r="G27" s="324"/>
      <c r="H27" s="322"/>
      <c r="I27" s="322"/>
      <c r="J27" s="322"/>
      <c r="K27" s="322"/>
      <c r="L27" s="324"/>
      <c r="M27" s="324"/>
      <c r="N27" s="324"/>
      <c r="O27" s="324"/>
      <c r="P27" s="324"/>
      <c r="Q27" s="324"/>
      <c r="R27" s="324"/>
      <c r="S27" s="324"/>
      <c r="T27" s="324"/>
      <c r="U27" s="324"/>
      <c r="V27" s="324"/>
      <c r="W27" s="324"/>
    </row>
    <row r="28" spans="1:23" s="339" customFormat="1">
      <c r="G28" s="324"/>
      <c r="H28" s="322"/>
      <c r="I28" s="322"/>
      <c r="J28" s="322"/>
      <c r="K28" s="322"/>
      <c r="L28" s="324"/>
      <c r="M28" s="324"/>
      <c r="N28" s="324"/>
      <c r="O28" s="324"/>
      <c r="P28" s="324"/>
      <c r="Q28" s="324"/>
      <c r="R28" s="324"/>
      <c r="S28" s="324"/>
      <c r="T28" s="324"/>
      <c r="U28" s="324"/>
      <c r="V28" s="324"/>
      <c r="W28" s="324"/>
    </row>
    <row r="29" spans="1:23" s="339" customFormat="1">
      <c r="G29" s="324"/>
      <c r="H29" s="322"/>
      <c r="I29" s="322"/>
      <c r="J29" s="322"/>
      <c r="K29" s="322"/>
      <c r="L29" s="324"/>
      <c r="M29" s="324"/>
      <c r="N29" s="324"/>
      <c r="O29" s="324"/>
      <c r="P29" s="324"/>
      <c r="Q29" s="324"/>
      <c r="R29" s="324"/>
      <c r="S29" s="324"/>
      <c r="T29" s="324"/>
      <c r="U29" s="324"/>
      <c r="V29" s="324"/>
      <c r="W29" s="324"/>
    </row>
    <row r="30" spans="1:23" s="339" customFormat="1">
      <c r="G30" s="324"/>
      <c r="H30" s="322"/>
      <c r="I30" s="322"/>
      <c r="J30" s="322"/>
      <c r="K30" s="322"/>
      <c r="L30" s="324"/>
      <c r="M30" s="324"/>
      <c r="N30" s="324"/>
      <c r="O30" s="324"/>
      <c r="P30" s="324"/>
      <c r="Q30" s="324"/>
      <c r="R30" s="324"/>
      <c r="S30" s="324"/>
      <c r="T30" s="324"/>
      <c r="U30" s="324"/>
      <c r="V30" s="324"/>
      <c r="W30" s="324"/>
    </row>
    <row r="31" spans="1:23" s="339" customFormat="1">
      <c r="G31" s="324"/>
      <c r="H31" s="322"/>
      <c r="I31" s="322"/>
      <c r="J31" s="322"/>
      <c r="K31" s="322"/>
      <c r="L31" s="324"/>
      <c r="M31" s="324"/>
      <c r="N31" s="324"/>
      <c r="O31" s="324"/>
      <c r="P31" s="324"/>
      <c r="Q31" s="324"/>
      <c r="R31" s="324"/>
      <c r="S31" s="324"/>
      <c r="T31" s="324"/>
      <c r="U31" s="324"/>
      <c r="V31" s="324"/>
      <c r="W31" s="324"/>
    </row>
    <row r="32" spans="1:23" s="339" customFormat="1">
      <c r="G32" s="324"/>
      <c r="H32" s="322"/>
      <c r="I32" s="322"/>
      <c r="J32" s="322"/>
      <c r="K32" s="322"/>
      <c r="L32" s="324"/>
      <c r="M32" s="324"/>
      <c r="N32" s="324"/>
      <c r="O32" s="324"/>
      <c r="P32" s="324"/>
      <c r="Q32" s="324"/>
      <c r="R32" s="324"/>
      <c r="S32" s="324"/>
      <c r="T32" s="324"/>
      <c r="U32" s="324"/>
      <c r="V32" s="324"/>
      <c r="W32" s="324"/>
    </row>
    <row r="33" spans="7:23" s="339" customFormat="1">
      <c r="G33" s="324"/>
      <c r="H33" s="322"/>
      <c r="I33" s="322"/>
      <c r="J33" s="322"/>
      <c r="K33" s="322"/>
      <c r="L33" s="324"/>
      <c r="M33" s="324"/>
      <c r="N33" s="324"/>
      <c r="O33" s="324"/>
      <c r="P33" s="324"/>
      <c r="Q33" s="324"/>
      <c r="R33" s="324"/>
      <c r="S33" s="324"/>
      <c r="T33" s="324"/>
      <c r="U33" s="324"/>
      <c r="V33" s="324"/>
      <c r="W33" s="324"/>
    </row>
    <row r="34" spans="7:23" s="339" customFormat="1">
      <c r="G34" s="324"/>
      <c r="H34" s="322"/>
      <c r="I34" s="322"/>
      <c r="J34" s="322"/>
      <c r="K34" s="322"/>
      <c r="L34" s="324"/>
      <c r="M34" s="324"/>
      <c r="N34" s="324"/>
      <c r="O34" s="324"/>
      <c r="P34" s="324"/>
      <c r="Q34" s="324"/>
      <c r="R34" s="324"/>
      <c r="S34" s="324"/>
      <c r="T34" s="324"/>
      <c r="U34" s="324"/>
      <c r="V34" s="324"/>
      <c r="W34" s="324"/>
    </row>
    <row r="35" spans="7:23" s="339" customFormat="1">
      <c r="G35" s="324"/>
      <c r="H35" s="322"/>
      <c r="I35" s="322"/>
      <c r="J35" s="322"/>
      <c r="K35" s="322"/>
      <c r="L35" s="324"/>
      <c r="M35" s="324"/>
      <c r="N35" s="324"/>
      <c r="O35" s="324"/>
      <c r="P35" s="324"/>
      <c r="Q35" s="324"/>
      <c r="R35" s="324"/>
      <c r="S35" s="324"/>
      <c r="T35" s="324"/>
      <c r="U35" s="324"/>
      <c r="V35" s="324"/>
      <c r="W35" s="324"/>
    </row>
    <row r="36" spans="7:23" s="339" customFormat="1">
      <c r="G36" s="324"/>
      <c r="H36" s="322"/>
      <c r="I36" s="322"/>
      <c r="J36" s="322"/>
      <c r="K36" s="322"/>
      <c r="L36" s="324"/>
      <c r="M36" s="324"/>
      <c r="N36" s="324"/>
      <c r="O36" s="324"/>
      <c r="P36" s="324"/>
      <c r="Q36" s="324"/>
      <c r="R36" s="324"/>
      <c r="S36" s="324"/>
      <c r="T36" s="324"/>
      <c r="U36" s="324"/>
      <c r="V36" s="324"/>
      <c r="W36" s="324"/>
    </row>
    <row r="37" spans="7:23" s="339" customFormat="1">
      <c r="G37" s="324"/>
      <c r="H37" s="322"/>
      <c r="I37" s="322"/>
      <c r="J37" s="322"/>
      <c r="K37" s="322"/>
      <c r="L37" s="324"/>
      <c r="M37" s="324"/>
      <c r="N37" s="324"/>
      <c r="O37" s="324"/>
      <c r="P37" s="324"/>
      <c r="Q37" s="324"/>
      <c r="R37" s="324"/>
      <c r="S37" s="324"/>
      <c r="T37" s="324"/>
      <c r="U37" s="324"/>
      <c r="V37" s="324"/>
      <c r="W37" s="324"/>
    </row>
    <row r="38" spans="7:23" s="339" customFormat="1">
      <c r="G38" s="324"/>
      <c r="H38" s="322"/>
      <c r="I38" s="322"/>
      <c r="J38" s="322"/>
      <c r="K38" s="322"/>
      <c r="L38" s="324"/>
      <c r="M38" s="324"/>
      <c r="N38" s="324"/>
      <c r="O38" s="324"/>
      <c r="P38" s="324"/>
      <c r="Q38" s="324"/>
      <c r="R38" s="324"/>
      <c r="S38" s="324"/>
      <c r="T38" s="324"/>
      <c r="U38" s="324"/>
      <c r="V38" s="324"/>
      <c r="W38" s="324"/>
    </row>
    <row r="39" spans="7:23" s="339" customFormat="1">
      <c r="G39" s="324"/>
      <c r="H39" s="322"/>
      <c r="I39" s="322"/>
      <c r="J39" s="322"/>
      <c r="K39" s="322"/>
      <c r="L39" s="324"/>
      <c r="M39" s="324"/>
      <c r="N39" s="324"/>
      <c r="O39" s="324"/>
      <c r="P39" s="324"/>
      <c r="Q39" s="324"/>
      <c r="R39" s="324"/>
      <c r="S39" s="324"/>
      <c r="T39" s="324"/>
      <c r="U39" s="324"/>
      <c r="V39" s="324"/>
      <c r="W39" s="324"/>
    </row>
    <row r="40" spans="7:23" s="339" customFormat="1">
      <c r="G40" s="324"/>
      <c r="H40" s="322"/>
      <c r="I40" s="322"/>
      <c r="J40" s="322"/>
      <c r="K40" s="322"/>
      <c r="L40" s="324"/>
      <c r="M40" s="324"/>
      <c r="N40" s="324"/>
      <c r="O40" s="324"/>
      <c r="P40" s="324"/>
      <c r="Q40" s="324"/>
      <c r="R40" s="324"/>
      <c r="S40" s="324"/>
      <c r="T40" s="324"/>
      <c r="U40" s="324"/>
      <c r="V40" s="324"/>
      <c r="W40" s="324"/>
    </row>
    <row r="41" spans="7:23" s="339" customFormat="1">
      <c r="G41" s="324"/>
      <c r="H41" s="322"/>
      <c r="I41" s="322"/>
      <c r="J41" s="322"/>
      <c r="K41" s="322"/>
      <c r="L41" s="324"/>
      <c r="M41" s="324"/>
      <c r="N41" s="324"/>
      <c r="O41" s="324"/>
      <c r="P41" s="324"/>
      <c r="Q41" s="324"/>
      <c r="R41" s="324"/>
      <c r="S41" s="324"/>
      <c r="T41" s="324"/>
      <c r="U41" s="324"/>
      <c r="V41" s="324"/>
      <c r="W41" s="324"/>
    </row>
    <row r="42" spans="7:23" s="339" customFormat="1">
      <c r="G42" s="324"/>
      <c r="H42" s="322"/>
      <c r="I42" s="322"/>
      <c r="J42" s="322"/>
      <c r="K42" s="322"/>
      <c r="L42" s="324"/>
      <c r="M42" s="324"/>
      <c r="N42" s="324"/>
      <c r="O42" s="324"/>
      <c r="P42" s="324"/>
      <c r="Q42" s="324"/>
      <c r="R42" s="324"/>
      <c r="S42" s="324"/>
      <c r="T42" s="324"/>
      <c r="U42" s="324"/>
      <c r="V42" s="324"/>
      <c r="W42" s="324"/>
    </row>
    <row r="43" spans="7:23" s="339" customFormat="1">
      <c r="G43" s="324"/>
      <c r="H43" s="322"/>
      <c r="I43" s="322"/>
      <c r="J43" s="322"/>
      <c r="K43" s="322"/>
      <c r="L43" s="324"/>
      <c r="M43" s="324"/>
      <c r="N43" s="324"/>
      <c r="O43" s="324"/>
      <c r="P43" s="324"/>
      <c r="Q43" s="324"/>
      <c r="R43" s="324"/>
      <c r="S43" s="324"/>
      <c r="T43" s="324"/>
      <c r="U43" s="324"/>
      <c r="V43" s="324"/>
      <c r="W43" s="324"/>
    </row>
    <row r="44" spans="7:23" s="339" customFormat="1">
      <c r="G44" s="324"/>
      <c r="H44" s="322"/>
      <c r="I44" s="322"/>
      <c r="J44" s="322"/>
      <c r="K44" s="322"/>
      <c r="L44" s="324"/>
      <c r="M44" s="324"/>
      <c r="N44" s="324"/>
      <c r="O44" s="324"/>
      <c r="P44" s="324"/>
      <c r="Q44" s="324"/>
      <c r="R44" s="324"/>
      <c r="S44" s="324"/>
      <c r="T44" s="324"/>
      <c r="U44" s="324"/>
      <c r="V44" s="324"/>
      <c r="W44" s="324"/>
    </row>
    <row r="45" spans="7:23" s="339" customFormat="1">
      <c r="G45" s="324"/>
      <c r="H45" s="322"/>
      <c r="I45" s="322"/>
      <c r="J45" s="322"/>
      <c r="K45" s="322"/>
      <c r="L45" s="324"/>
      <c r="M45" s="324"/>
      <c r="N45" s="324"/>
      <c r="O45" s="324"/>
      <c r="P45" s="324"/>
      <c r="Q45" s="324"/>
      <c r="R45" s="324"/>
      <c r="S45" s="324"/>
      <c r="T45" s="324"/>
      <c r="U45" s="324"/>
      <c r="V45" s="324"/>
      <c r="W45" s="324"/>
    </row>
    <row r="46" spans="7:23" s="340" customFormat="1">
      <c r="G46" s="324"/>
      <c r="H46" s="322"/>
      <c r="I46" s="322"/>
      <c r="J46" s="322"/>
      <c r="K46" s="322"/>
      <c r="L46" s="324"/>
      <c r="M46" s="324"/>
      <c r="N46" s="324"/>
      <c r="O46" s="324"/>
      <c r="P46" s="324"/>
      <c r="Q46" s="324"/>
      <c r="R46" s="324"/>
      <c r="S46" s="324"/>
      <c r="T46" s="324"/>
      <c r="U46" s="324"/>
      <c r="V46" s="324"/>
      <c r="W46" s="324"/>
    </row>
    <row r="47" spans="7:23" s="340" customFormat="1">
      <c r="G47" s="324"/>
      <c r="H47" s="322"/>
      <c r="I47" s="322"/>
      <c r="J47" s="322"/>
      <c r="K47" s="322"/>
      <c r="L47" s="324"/>
      <c r="M47" s="324"/>
      <c r="N47" s="324"/>
      <c r="O47" s="324"/>
      <c r="P47" s="324"/>
      <c r="Q47" s="324"/>
      <c r="R47" s="324"/>
      <c r="S47" s="324"/>
      <c r="T47" s="324"/>
      <c r="U47" s="324"/>
      <c r="V47" s="324"/>
      <c r="W47" s="324"/>
    </row>
    <row r="48" spans="7:23" s="340" customFormat="1">
      <c r="G48" s="324"/>
      <c r="H48" s="322"/>
      <c r="I48" s="322"/>
      <c r="J48" s="322"/>
      <c r="K48" s="322"/>
      <c r="L48" s="324"/>
      <c r="M48" s="324"/>
      <c r="N48" s="324"/>
      <c r="O48" s="324"/>
      <c r="P48" s="324"/>
      <c r="Q48" s="324"/>
      <c r="R48" s="324"/>
      <c r="S48" s="324"/>
      <c r="T48" s="324"/>
      <c r="U48" s="324"/>
      <c r="V48" s="324"/>
      <c r="W48" s="324"/>
    </row>
    <row r="49" spans="7:23" s="340" customFormat="1">
      <c r="G49" s="324"/>
      <c r="H49" s="322"/>
      <c r="I49" s="322"/>
      <c r="J49" s="322"/>
      <c r="K49" s="322"/>
      <c r="L49" s="324"/>
      <c r="M49" s="324"/>
      <c r="N49" s="324"/>
      <c r="O49" s="324"/>
      <c r="P49" s="324"/>
      <c r="Q49" s="324"/>
      <c r="R49" s="324"/>
      <c r="S49" s="324"/>
      <c r="T49" s="324"/>
      <c r="U49" s="324"/>
      <c r="V49" s="324"/>
      <c r="W49" s="324"/>
    </row>
    <row r="50" spans="7:23" s="340" customFormat="1">
      <c r="G50" s="324"/>
      <c r="H50" s="322"/>
      <c r="I50" s="322"/>
      <c r="J50" s="322"/>
      <c r="K50" s="322"/>
      <c r="L50" s="324"/>
      <c r="M50" s="324"/>
      <c r="N50" s="324"/>
      <c r="O50" s="324"/>
      <c r="P50" s="324"/>
      <c r="Q50" s="324"/>
      <c r="R50" s="324"/>
      <c r="S50" s="324"/>
      <c r="T50" s="324"/>
      <c r="U50" s="324"/>
      <c r="V50" s="324"/>
      <c r="W50" s="324"/>
    </row>
    <row r="51" spans="7:23" s="340" customFormat="1">
      <c r="G51" s="324"/>
      <c r="H51" s="322"/>
      <c r="I51" s="322"/>
      <c r="J51" s="322"/>
      <c r="K51" s="322"/>
      <c r="L51" s="324"/>
      <c r="M51" s="324"/>
      <c r="N51" s="324"/>
      <c r="O51" s="324"/>
      <c r="P51" s="324"/>
      <c r="Q51" s="324"/>
      <c r="R51" s="324"/>
      <c r="S51" s="324"/>
      <c r="T51" s="324"/>
      <c r="U51" s="324"/>
      <c r="V51" s="324"/>
      <c r="W51" s="324"/>
    </row>
    <row r="52" spans="7:23" s="340" customFormat="1">
      <c r="G52" s="324"/>
      <c r="H52" s="322"/>
      <c r="I52" s="322"/>
      <c r="J52" s="322"/>
      <c r="K52" s="322"/>
      <c r="L52" s="324"/>
      <c r="M52" s="324"/>
      <c r="N52" s="324"/>
      <c r="O52" s="324"/>
      <c r="P52" s="324"/>
      <c r="Q52" s="324"/>
      <c r="R52" s="324"/>
      <c r="S52" s="324"/>
      <c r="T52" s="324"/>
      <c r="U52" s="324"/>
      <c r="V52" s="324"/>
      <c r="W52" s="324"/>
    </row>
    <row r="53" spans="7:23" s="340" customFormat="1">
      <c r="G53" s="324"/>
      <c r="H53" s="322"/>
      <c r="I53" s="322"/>
      <c r="J53" s="322"/>
      <c r="K53" s="322"/>
      <c r="L53" s="324"/>
      <c r="M53" s="324"/>
      <c r="N53" s="324"/>
      <c r="O53" s="324"/>
      <c r="P53" s="324"/>
      <c r="Q53" s="324"/>
      <c r="R53" s="324"/>
      <c r="S53" s="324"/>
      <c r="T53" s="324"/>
      <c r="U53" s="324"/>
      <c r="V53" s="324"/>
      <c r="W53" s="324"/>
    </row>
    <row r="54" spans="7:23" s="340" customFormat="1">
      <c r="G54" s="324"/>
      <c r="H54" s="322"/>
      <c r="I54" s="322"/>
      <c r="J54" s="322"/>
      <c r="K54" s="322"/>
      <c r="L54" s="324"/>
      <c r="M54" s="324"/>
      <c r="N54" s="324"/>
      <c r="O54" s="324"/>
      <c r="P54" s="324"/>
      <c r="Q54" s="324"/>
      <c r="R54" s="324"/>
      <c r="S54" s="324"/>
      <c r="T54" s="324"/>
      <c r="U54" s="324"/>
      <c r="V54" s="324"/>
      <c r="W54" s="324"/>
    </row>
    <row r="55" spans="7:23" s="340" customFormat="1">
      <c r="G55" s="324"/>
      <c r="H55" s="322"/>
      <c r="I55" s="322"/>
      <c r="J55" s="322"/>
      <c r="K55" s="322"/>
      <c r="L55" s="324"/>
      <c r="M55" s="324"/>
      <c r="N55" s="324"/>
      <c r="O55" s="324"/>
      <c r="P55" s="324"/>
      <c r="Q55" s="324"/>
      <c r="R55" s="324"/>
      <c r="S55" s="324"/>
      <c r="T55" s="324"/>
      <c r="U55" s="324"/>
      <c r="V55" s="324"/>
      <c r="W55" s="324"/>
    </row>
    <row r="56" spans="7:23" s="340" customFormat="1">
      <c r="G56" s="324"/>
      <c r="H56" s="322"/>
      <c r="I56" s="322"/>
      <c r="J56" s="322"/>
      <c r="K56" s="322"/>
      <c r="L56" s="324"/>
      <c r="M56" s="324"/>
      <c r="N56" s="324"/>
      <c r="O56" s="324"/>
      <c r="P56" s="324"/>
      <c r="Q56" s="324"/>
      <c r="R56" s="324"/>
      <c r="S56" s="324"/>
      <c r="T56" s="324"/>
      <c r="U56" s="324"/>
      <c r="V56" s="324"/>
      <c r="W56" s="324"/>
    </row>
    <row r="57" spans="7:23" s="340" customFormat="1">
      <c r="G57" s="324"/>
      <c r="H57" s="322"/>
      <c r="I57" s="322"/>
      <c r="J57" s="322"/>
      <c r="K57" s="322"/>
      <c r="L57" s="324"/>
      <c r="M57" s="324"/>
      <c r="N57" s="324"/>
      <c r="O57" s="324"/>
      <c r="P57" s="324"/>
      <c r="Q57" s="324"/>
      <c r="R57" s="324"/>
      <c r="S57" s="324"/>
      <c r="T57" s="324"/>
      <c r="U57" s="324"/>
      <c r="V57" s="324"/>
      <c r="W57" s="324"/>
    </row>
    <row r="58" spans="7:23" s="340" customFormat="1">
      <c r="G58" s="324"/>
      <c r="H58" s="322"/>
      <c r="I58" s="322"/>
      <c r="J58" s="322"/>
      <c r="K58" s="322"/>
      <c r="L58" s="324"/>
      <c r="M58" s="324"/>
      <c r="N58" s="324"/>
      <c r="O58" s="324"/>
      <c r="P58" s="324"/>
      <c r="Q58" s="324"/>
      <c r="R58" s="324"/>
      <c r="S58" s="324"/>
      <c r="T58" s="324"/>
      <c r="U58" s="324"/>
      <c r="V58" s="324"/>
      <c r="W58" s="324"/>
    </row>
    <row r="59" spans="7:23" s="340" customFormat="1">
      <c r="G59" s="324"/>
      <c r="H59" s="322"/>
      <c r="I59" s="322"/>
      <c r="J59" s="322"/>
      <c r="K59" s="322"/>
      <c r="L59" s="324"/>
      <c r="M59" s="324"/>
      <c r="N59" s="324"/>
      <c r="O59" s="324"/>
      <c r="P59" s="324"/>
      <c r="Q59" s="324"/>
      <c r="R59" s="324"/>
      <c r="S59" s="324"/>
      <c r="T59" s="324"/>
      <c r="U59" s="324"/>
      <c r="V59" s="324"/>
      <c r="W59" s="324"/>
    </row>
    <row r="60" spans="7:23" s="340" customFormat="1">
      <c r="G60" s="324"/>
      <c r="H60" s="322"/>
      <c r="I60" s="322"/>
      <c r="J60" s="322"/>
      <c r="K60" s="322"/>
      <c r="L60" s="324"/>
      <c r="M60" s="324"/>
      <c r="N60" s="324"/>
      <c r="O60" s="324"/>
      <c r="P60" s="324"/>
      <c r="Q60" s="324"/>
      <c r="R60" s="324"/>
      <c r="S60" s="324"/>
      <c r="T60" s="324"/>
      <c r="U60" s="324"/>
      <c r="V60" s="324"/>
      <c r="W60" s="324"/>
    </row>
    <row r="61" spans="7:23" s="340" customFormat="1">
      <c r="G61" s="324"/>
      <c r="H61" s="322"/>
      <c r="I61" s="322"/>
      <c r="J61" s="322"/>
      <c r="K61" s="322"/>
      <c r="L61" s="324"/>
      <c r="M61" s="324"/>
      <c r="N61" s="324"/>
      <c r="O61" s="324"/>
      <c r="P61" s="324"/>
      <c r="Q61" s="324"/>
      <c r="R61" s="324"/>
      <c r="S61" s="324"/>
      <c r="T61" s="324"/>
      <c r="U61" s="324"/>
      <c r="V61" s="324"/>
      <c r="W61" s="324"/>
    </row>
    <row r="62" spans="7:23" s="340" customFormat="1">
      <c r="G62" s="324"/>
      <c r="H62" s="322"/>
      <c r="I62" s="322"/>
      <c r="J62" s="322"/>
      <c r="K62" s="322"/>
      <c r="L62" s="324"/>
      <c r="M62" s="324"/>
      <c r="N62" s="324"/>
      <c r="O62" s="324"/>
      <c r="P62" s="324"/>
      <c r="Q62" s="324"/>
      <c r="R62" s="324"/>
      <c r="S62" s="324"/>
      <c r="T62" s="324"/>
      <c r="U62" s="324"/>
      <c r="V62" s="324"/>
      <c r="W62" s="324"/>
    </row>
    <row r="63" spans="7:23" s="340" customFormat="1">
      <c r="G63" s="324"/>
      <c r="H63" s="322"/>
      <c r="I63" s="322"/>
      <c r="J63" s="322"/>
      <c r="K63" s="322"/>
      <c r="L63" s="324"/>
      <c r="M63" s="324"/>
      <c r="N63" s="324"/>
      <c r="O63" s="324"/>
      <c r="P63" s="324"/>
      <c r="Q63" s="324"/>
      <c r="R63" s="324"/>
      <c r="S63" s="324"/>
      <c r="T63" s="324"/>
      <c r="U63" s="324"/>
      <c r="V63" s="324"/>
      <c r="W63" s="324"/>
    </row>
    <row r="64" spans="7:23" s="340" customFormat="1">
      <c r="G64" s="324"/>
      <c r="H64" s="322"/>
      <c r="I64" s="322"/>
      <c r="J64" s="322"/>
      <c r="K64" s="322"/>
      <c r="L64" s="324"/>
      <c r="M64" s="324"/>
      <c r="N64" s="324"/>
      <c r="O64" s="324"/>
      <c r="P64" s="324"/>
      <c r="Q64" s="324"/>
      <c r="R64" s="324"/>
      <c r="S64" s="324"/>
      <c r="T64" s="324"/>
      <c r="U64" s="324"/>
      <c r="V64" s="324"/>
      <c r="W64" s="324"/>
    </row>
    <row r="65" spans="7:23" s="340" customFormat="1">
      <c r="G65" s="324"/>
      <c r="H65" s="322"/>
      <c r="I65" s="322"/>
      <c r="J65" s="322"/>
      <c r="K65" s="322"/>
      <c r="L65" s="324"/>
      <c r="M65" s="324"/>
      <c r="N65" s="324"/>
      <c r="O65" s="324"/>
      <c r="P65" s="324"/>
      <c r="Q65" s="324"/>
      <c r="R65" s="324"/>
      <c r="S65" s="324"/>
      <c r="T65" s="324"/>
      <c r="U65" s="324"/>
      <c r="V65" s="324"/>
      <c r="W65" s="324"/>
    </row>
    <row r="66" spans="7:23" s="340" customFormat="1">
      <c r="G66" s="324"/>
      <c r="H66" s="322"/>
      <c r="I66" s="322"/>
      <c r="J66" s="322"/>
      <c r="K66" s="322"/>
      <c r="L66" s="324"/>
      <c r="M66" s="324"/>
      <c r="N66" s="324"/>
      <c r="O66" s="324"/>
      <c r="P66" s="324"/>
      <c r="Q66" s="324"/>
      <c r="R66" s="324"/>
      <c r="S66" s="324"/>
      <c r="T66" s="324"/>
      <c r="U66" s="324"/>
      <c r="V66" s="324"/>
      <c r="W66" s="324"/>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E0271-08A9-4B76-A411-BDDB4FFAA7D0}">
  <sheetPr codeName="Sheet35">
    <tabColor rgb="FFB682B9"/>
  </sheetPr>
  <dimension ref="A1:V35"/>
  <sheetViews>
    <sheetView topLeftCell="A25" zoomScale="70" zoomScaleNormal="70" workbookViewId="0">
      <selection activeCell="B36" sqref="B36"/>
    </sheetView>
  </sheetViews>
  <sheetFormatPr defaultColWidth="8.77734375" defaultRowHeight="13.8"/>
  <cols>
    <col min="1" max="1" width="10.21875" style="329" customWidth="1"/>
    <col min="2" max="2" width="88.77734375" style="329" customWidth="1"/>
    <col min="3" max="4" width="21.44140625" style="329" customWidth="1"/>
    <col min="5" max="6" width="81.21875" style="329" customWidth="1"/>
    <col min="7" max="7" width="23.77734375" style="324" customWidth="1"/>
    <col min="8" max="22" width="8.77734375" style="324"/>
    <col min="23" max="16384" width="8.77734375" style="329"/>
  </cols>
  <sheetData>
    <row r="1" spans="1:22" s="322" customFormat="1" ht="25.8">
      <c r="A1" s="321" t="s">
        <v>205</v>
      </c>
      <c r="C1" s="323"/>
      <c r="G1" s="324"/>
      <c r="H1" s="324"/>
      <c r="I1" s="324"/>
      <c r="J1" s="324"/>
      <c r="K1" s="324"/>
      <c r="L1" s="324"/>
      <c r="M1" s="324"/>
      <c r="N1" s="324"/>
      <c r="O1" s="324"/>
      <c r="P1" s="324"/>
      <c r="Q1" s="324"/>
      <c r="R1" s="324"/>
      <c r="S1" s="324"/>
      <c r="T1" s="324"/>
      <c r="U1" s="324"/>
      <c r="V1" s="324"/>
    </row>
    <row r="2" spans="1:22" s="322" customFormat="1" ht="25.8">
      <c r="A2" s="321" t="s">
        <v>1714</v>
      </c>
      <c r="C2" s="323"/>
      <c r="G2" s="324"/>
      <c r="H2" s="324"/>
      <c r="I2" s="324"/>
      <c r="J2" s="324"/>
      <c r="K2" s="324"/>
      <c r="L2" s="324"/>
      <c r="M2" s="324"/>
      <c r="N2" s="324"/>
      <c r="O2" s="324"/>
      <c r="P2" s="324"/>
      <c r="Q2" s="324"/>
      <c r="R2" s="324"/>
      <c r="S2" s="324"/>
      <c r="T2" s="324"/>
      <c r="U2" s="324"/>
      <c r="V2" s="324"/>
    </row>
    <row r="3" spans="1:22" s="322" customFormat="1">
      <c r="A3" s="325" t="s">
        <v>447</v>
      </c>
      <c r="B3" s="322" t="s">
        <v>2051</v>
      </c>
      <c r="G3" s="324"/>
      <c r="H3" s="324"/>
      <c r="I3" s="324"/>
      <c r="J3" s="324"/>
      <c r="K3" s="324"/>
      <c r="L3" s="324"/>
      <c r="M3" s="324"/>
      <c r="N3" s="324"/>
      <c r="O3" s="324"/>
      <c r="P3" s="324"/>
      <c r="Q3" s="324"/>
      <c r="R3" s="324"/>
      <c r="S3" s="324"/>
      <c r="T3" s="324"/>
      <c r="U3" s="324"/>
      <c r="V3" s="324"/>
    </row>
    <row r="4" spans="1:22" s="322" customFormat="1">
      <c r="A4" s="325" t="s">
        <v>1695</v>
      </c>
      <c r="B4" s="322" t="s">
        <v>1715</v>
      </c>
      <c r="G4" s="324"/>
      <c r="H4" s="324"/>
      <c r="I4" s="324"/>
      <c r="J4" s="324"/>
      <c r="K4" s="324"/>
      <c r="L4" s="324"/>
      <c r="M4" s="324"/>
      <c r="N4" s="324"/>
      <c r="O4" s="324"/>
      <c r="P4" s="324"/>
      <c r="Q4" s="324"/>
      <c r="R4" s="324"/>
      <c r="S4" s="324"/>
      <c r="T4" s="324"/>
      <c r="U4" s="324"/>
      <c r="V4" s="324"/>
    </row>
    <row r="5" spans="1:22" s="322" customFormat="1">
      <c r="A5" s="322" t="s">
        <v>448</v>
      </c>
      <c r="B5" s="322" t="s">
        <v>207</v>
      </c>
      <c r="G5" s="324"/>
      <c r="H5" s="324"/>
      <c r="I5" s="324"/>
      <c r="J5" s="324"/>
      <c r="K5" s="324"/>
      <c r="L5" s="324"/>
      <c r="M5" s="324"/>
      <c r="N5" s="324"/>
      <c r="O5" s="324"/>
      <c r="P5" s="324"/>
      <c r="Q5" s="324"/>
      <c r="R5" s="324"/>
      <c r="S5" s="324"/>
      <c r="T5" s="324"/>
      <c r="U5" s="324"/>
      <c r="V5" s="324"/>
    </row>
    <row r="6" spans="1:22" s="322" customFormat="1">
      <c r="A6" s="322" t="s">
        <v>1697</v>
      </c>
      <c r="B6" s="322" t="s">
        <v>1716</v>
      </c>
      <c r="G6" s="324"/>
      <c r="H6" s="324"/>
      <c r="I6" s="324"/>
      <c r="J6" s="324"/>
      <c r="K6" s="324"/>
      <c r="L6" s="324"/>
      <c r="M6" s="324"/>
      <c r="N6" s="324"/>
      <c r="O6" s="324"/>
      <c r="P6" s="324"/>
      <c r="Q6" s="324"/>
      <c r="R6" s="324"/>
      <c r="S6" s="324"/>
      <c r="T6" s="324"/>
      <c r="U6" s="324"/>
      <c r="V6" s="324"/>
    </row>
    <row r="8" spans="1:22" s="322" customFormat="1">
      <c r="A8" s="350"/>
      <c r="B8" s="350"/>
      <c r="C8" s="350" t="s">
        <v>96</v>
      </c>
      <c r="D8" s="350" t="s">
        <v>553</v>
      </c>
      <c r="E8" s="350" t="s">
        <v>85</v>
      </c>
      <c r="F8" s="350" t="s">
        <v>1653</v>
      </c>
      <c r="G8" s="350" t="s">
        <v>1674</v>
      </c>
    </row>
    <row r="9" spans="1:22" s="325" customFormat="1">
      <c r="A9" s="351" t="s">
        <v>47</v>
      </c>
      <c r="B9" s="352"/>
      <c r="C9" s="353"/>
      <c r="D9" s="353"/>
      <c r="E9" s="353"/>
      <c r="F9" s="353"/>
      <c r="G9" s="353"/>
    </row>
    <row r="10" spans="1:22" s="325" customFormat="1" ht="41.4">
      <c r="A10" s="3" t="s">
        <v>208</v>
      </c>
      <c r="B10" s="3" t="s">
        <v>2052</v>
      </c>
      <c r="C10" s="336" t="s">
        <v>453</v>
      </c>
      <c r="D10" s="336" t="s">
        <v>452</v>
      </c>
      <c r="E10" s="336" t="s">
        <v>1584</v>
      </c>
      <c r="F10" s="336"/>
      <c r="G10" s="3"/>
    </row>
    <row r="11" spans="1:22" s="148" customFormat="1" ht="41.4">
      <c r="A11" s="3" t="s">
        <v>209</v>
      </c>
      <c r="B11" s="3" t="s">
        <v>2053</v>
      </c>
      <c r="C11" s="336" t="s">
        <v>455</v>
      </c>
      <c r="D11" s="336" t="s">
        <v>454</v>
      </c>
      <c r="E11" s="336" t="s">
        <v>1585</v>
      </c>
      <c r="F11" s="336"/>
      <c r="G11" s="3"/>
      <c r="H11" s="325"/>
      <c r="I11" s="325"/>
      <c r="J11" s="325"/>
      <c r="K11" s="325"/>
      <c r="L11" s="325"/>
      <c r="M11" s="325"/>
      <c r="N11" s="325"/>
      <c r="O11" s="325"/>
      <c r="P11" s="325"/>
      <c r="Q11" s="325"/>
      <c r="R11" s="325"/>
      <c r="S11" s="325"/>
      <c r="T11" s="325"/>
      <c r="U11" s="325"/>
      <c r="V11" s="325"/>
    </row>
    <row r="12" spans="1:22" s="148" customFormat="1">
      <c r="A12" s="330" t="s">
        <v>54</v>
      </c>
      <c r="B12" s="330"/>
      <c r="C12" s="331"/>
      <c r="D12" s="331"/>
      <c r="E12" s="331"/>
      <c r="F12" s="331"/>
      <c r="G12" s="331"/>
      <c r="H12" s="325"/>
      <c r="I12" s="325"/>
      <c r="J12" s="325"/>
      <c r="K12" s="325"/>
      <c r="L12" s="325"/>
      <c r="M12" s="325"/>
      <c r="N12" s="325"/>
      <c r="O12" s="325"/>
      <c r="P12" s="325"/>
      <c r="Q12" s="325"/>
      <c r="R12" s="325"/>
      <c r="S12" s="325"/>
      <c r="T12" s="325"/>
      <c r="U12" s="325"/>
      <c r="V12" s="325"/>
    </row>
    <row r="13" spans="1:22" s="325" customFormat="1" ht="55.2">
      <c r="A13" s="3" t="s">
        <v>210</v>
      </c>
      <c r="B13" s="3" t="s">
        <v>2054</v>
      </c>
      <c r="C13" s="3"/>
      <c r="D13" s="336" t="s">
        <v>1717</v>
      </c>
      <c r="E13" s="336" t="s">
        <v>211</v>
      </c>
      <c r="F13" s="336"/>
      <c r="G13" s="3"/>
    </row>
    <row r="14" spans="1:22" s="325" customFormat="1" ht="55.2">
      <c r="A14" s="3" t="s">
        <v>212</v>
      </c>
      <c r="B14" s="3" t="s">
        <v>2055</v>
      </c>
      <c r="C14" s="3"/>
      <c r="D14" s="336" t="s">
        <v>1718</v>
      </c>
      <c r="E14" s="336" t="s">
        <v>1586</v>
      </c>
      <c r="F14" s="336"/>
      <c r="G14" s="3"/>
    </row>
    <row r="15" spans="1:22" s="148" customFormat="1" ht="41.4">
      <c r="A15" s="3" t="s">
        <v>213</v>
      </c>
      <c r="B15" s="3" t="s">
        <v>2056</v>
      </c>
      <c r="C15" s="336" t="s">
        <v>457</v>
      </c>
      <c r="D15" s="336" t="s">
        <v>456</v>
      </c>
      <c r="E15" s="336" t="s">
        <v>214</v>
      </c>
      <c r="F15" s="336"/>
      <c r="G15" s="3"/>
      <c r="H15" s="325"/>
      <c r="I15" s="325"/>
      <c r="J15" s="325"/>
      <c r="K15" s="325"/>
      <c r="L15" s="325"/>
      <c r="M15" s="325"/>
      <c r="N15" s="325"/>
      <c r="O15" s="325"/>
      <c r="P15" s="325"/>
      <c r="Q15" s="325"/>
      <c r="R15" s="325"/>
      <c r="S15" s="325"/>
      <c r="T15" s="325"/>
      <c r="U15" s="325"/>
      <c r="V15" s="325"/>
    </row>
    <row r="16" spans="1:22" s="148" customFormat="1" ht="41.4">
      <c r="A16" s="3" t="s">
        <v>215</v>
      </c>
      <c r="B16" s="3" t="s">
        <v>2057</v>
      </c>
      <c r="C16" s="336" t="s">
        <v>459</v>
      </c>
      <c r="D16" s="336" t="s">
        <v>458</v>
      </c>
      <c r="E16" s="336" t="s">
        <v>216</v>
      </c>
      <c r="F16" s="336"/>
      <c r="G16" s="3"/>
      <c r="H16" s="325"/>
      <c r="I16" s="325"/>
      <c r="J16" s="325"/>
      <c r="K16" s="325"/>
      <c r="L16" s="325"/>
      <c r="M16" s="325"/>
      <c r="N16" s="325"/>
      <c r="O16" s="325"/>
      <c r="P16" s="325"/>
      <c r="Q16" s="325"/>
      <c r="R16" s="325"/>
      <c r="S16" s="325"/>
      <c r="T16" s="325"/>
      <c r="U16" s="325"/>
      <c r="V16" s="325"/>
    </row>
    <row r="17" spans="1:22" s="325" customFormat="1" ht="41.4">
      <c r="A17" s="3" t="s">
        <v>217</v>
      </c>
      <c r="B17" s="3" t="s">
        <v>2058</v>
      </c>
      <c r="C17" s="336" t="s">
        <v>461</v>
      </c>
      <c r="D17" s="336" t="s">
        <v>460</v>
      </c>
      <c r="E17" s="336" t="s">
        <v>218</v>
      </c>
      <c r="F17" s="336"/>
      <c r="G17" s="3"/>
    </row>
    <row r="18" spans="1:22" s="325" customFormat="1" ht="41.4">
      <c r="A18" s="354" t="s">
        <v>219</v>
      </c>
      <c r="B18" s="355" t="s">
        <v>2059</v>
      </c>
      <c r="C18" s="356" t="s">
        <v>463</v>
      </c>
      <c r="D18" s="356" t="s">
        <v>462</v>
      </c>
      <c r="E18" s="356" t="s">
        <v>1587</v>
      </c>
      <c r="F18" s="354"/>
      <c r="G18" s="354"/>
    </row>
    <row r="19" spans="1:22" s="325" customFormat="1">
      <c r="A19" s="330" t="s">
        <v>56</v>
      </c>
      <c r="B19" s="330"/>
      <c r="C19" s="331"/>
      <c r="D19" s="331"/>
      <c r="E19" s="331"/>
      <c r="F19" s="331"/>
      <c r="G19" s="331"/>
    </row>
    <row r="20" spans="1:22" s="148" customFormat="1" ht="69">
      <c r="A20" s="3" t="s">
        <v>220</v>
      </c>
      <c r="B20" s="3" t="s">
        <v>2060</v>
      </c>
      <c r="C20" s="3"/>
      <c r="D20" s="336" t="s">
        <v>1719</v>
      </c>
      <c r="E20" s="336" t="s">
        <v>221</v>
      </c>
      <c r="F20" s="3"/>
      <c r="G20" s="3"/>
      <c r="H20" s="325"/>
      <c r="I20" s="325"/>
      <c r="J20" s="325"/>
      <c r="K20" s="325"/>
      <c r="L20" s="325"/>
      <c r="M20" s="325"/>
      <c r="N20" s="325"/>
      <c r="O20" s="325"/>
      <c r="P20" s="325"/>
      <c r="Q20" s="325"/>
      <c r="R20" s="325"/>
      <c r="S20" s="325"/>
      <c r="T20" s="325"/>
      <c r="U20" s="325"/>
      <c r="V20" s="325"/>
    </row>
    <row r="21" spans="1:22" s="148" customFormat="1" ht="55.2">
      <c r="A21" s="3" t="s">
        <v>222</v>
      </c>
      <c r="B21" s="3" t="s">
        <v>2061</v>
      </c>
      <c r="C21" s="3"/>
      <c r="D21" s="336" t="s">
        <v>464</v>
      </c>
      <c r="E21" s="336" t="s">
        <v>1588</v>
      </c>
      <c r="F21" s="3"/>
      <c r="G21" s="3"/>
      <c r="H21" s="325"/>
      <c r="I21" s="325"/>
      <c r="J21" s="325"/>
      <c r="K21" s="325"/>
      <c r="L21" s="325"/>
      <c r="M21" s="325"/>
      <c r="N21" s="325"/>
      <c r="O21" s="325"/>
      <c r="P21" s="325"/>
      <c r="Q21" s="325"/>
      <c r="R21" s="325"/>
      <c r="S21" s="325"/>
      <c r="T21" s="325"/>
      <c r="U21" s="325"/>
      <c r="V21" s="325"/>
    </row>
    <row r="22" spans="1:22" s="325" customFormat="1" ht="41.4">
      <c r="A22" s="3" t="s">
        <v>223</v>
      </c>
      <c r="B22" s="3" t="s">
        <v>2062</v>
      </c>
      <c r="C22" s="3"/>
      <c r="D22" s="336" t="s">
        <v>465</v>
      </c>
      <c r="E22" s="336" t="s">
        <v>1589</v>
      </c>
      <c r="F22" s="3"/>
      <c r="G22" s="3"/>
    </row>
    <row r="23" spans="1:22" s="325" customFormat="1" ht="41.4">
      <c r="A23" s="3" t="s">
        <v>224</v>
      </c>
      <c r="B23" s="3" t="s">
        <v>2063</v>
      </c>
      <c r="C23" s="3"/>
      <c r="D23" s="336" t="s">
        <v>1969</v>
      </c>
      <c r="E23" s="336" t="s">
        <v>225</v>
      </c>
      <c r="F23" s="3"/>
      <c r="G23" s="3"/>
    </row>
    <row r="24" spans="1:22" s="148" customFormat="1" ht="55.2">
      <c r="A24" s="3" t="s">
        <v>226</v>
      </c>
      <c r="B24" s="3" t="s">
        <v>2064</v>
      </c>
      <c r="C24" s="3"/>
      <c r="D24" s="336" t="s">
        <v>466</v>
      </c>
      <c r="E24" s="336" t="s">
        <v>227</v>
      </c>
      <c r="F24" s="3"/>
      <c r="G24" s="3"/>
      <c r="H24" s="325"/>
      <c r="I24" s="325"/>
      <c r="J24" s="325"/>
      <c r="K24" s="325"/>
      <c r="L24" s="325"/>
      <c r="M24" s="325"/>
      <c r="N24" s="325"/>
      <c r="O24" s="325"/>
      <c r="P24" s="325"/>
      <c r="Q24" s="325"/>
      <c r="R24" s="325"/>
      <c r="S24" s="325"/>
      <c r="T24" s="325"/>
      <c r="U24" s="325"/>
      <c r="V24" s="325"/>
    </row>
    <row r="25" spans="1:22" s="148" customFormat="1" ht="55.2">
      <c r="A25" s="3" t="s">
        <v>228</v>
      </c>
      <c r="B25" s="3" t="s">
        <v>2065</v>
      </c>
      <c r="C25" s="3"/>
      <c r="D25" s="336" t="s">
        <v>1970</v>
      </c>
      <c r="E25" s="336" t="s">
        <v>1971</v>
      </c>
      <c r="F25" s="3"/>
      <c r="G25" s="3"/>
      <c r="H25" s="325"/>
      <c r="I25" s="325"/>
      <c r="J25" s="325"/>
      <c r="K25" s="325"/>
      <c r="L25" s="325"/>
      <c r="M25" s="325"/>
      <c r="N25" s="325"/>
      <c r="O25" s="325"/>
      <c r="P25" s="325"/>
      <c r="Q25" s="325"/>
      <c r="R25" s="325"/>
      <c r="S25" s="325"/>
      <c r="T25" s="325"/>
      <c r="U25" s="325"/>
      <c r="V25" s="325"/>
    </row>
    <row r="26" spans="1:22" s="325" customFormat="1">
      <c r="A26" s="330" t="s">
        <v>57</v>
      </c>
      <c r="B26" s="330"/>
      <c r="C26" s="331"/>
      <c r="D26" s="331"/>
      <c r="E26" s="331"/>
      <c r="F26" s="331"/>
      <c r="G26" s="331"/>
    </row>
    <row r="27" spans="1:22" s="325" customFormat="1" ht="69">
      <c r="A27" s="3" t="s">
        <v>229</v>
      </c>
      <c r="B27" s="3" t="s">
        <v>2066</v>
      </c>
      <c r="C27" s="3"/>
      <c r="D27" s="336" t="s">
        <v>467</v>
      </c>
      <c r="E27" s="336" t="s">
        <v>1720</v>
      </c>
      <c r="F27" s="3"/>
      <c r="G27" s="3"/>
    </row>
    <row r="28" spans="1:22" s="148" customFormat="1" ht="55.2">
      <c r="A28" s="3" t="s">
        <v>230</v>
      </c>
      <c r="B28" s="3" t="s">
        <v>2067</v>
      </c>
      <c r="C28" s="3"/>
      <c r="D28" s="336" t="s">
        <v>468</v>
      </c>
      <c r="E28" s="336" t="s">
        <v>1590</v>
      </c>
      <c r="F28" s="3"/>
      <c r="G28" s="3"/>
      <c r="H28" s="325"/>
      <c r="I28" s="325"/>
      <c r="J28" s="325"/>
      <c r="K28" s="325"/>
      <c r="L28" s="325"/>
      <c r="M28" s="325"/>
      <c r="N28" s="325"/>
      <c r="O28" s="325"/>
      <c r="P28" s="325"/>
      <c r="Q28" s="325"/>
      <c r="R28" s="325"/>
      <c r="S28" s="325"/>
      <c r="T28" s="325"/>
      <c r="U28" s="325"/>
      <c r="V28" s="325"/>
    </row>
    <row r="29" spans="1:22" s="148" customFormat="1" ht="55.2">
      <c r="A29" s="3" t="s">
        <v>231</v>
      </c>
      <c r="B29" s="3" t="s">
        <v>2068</v>
      </c>
      <c r="C29" s="3"/>
      <c r="D29" s="336" t="s">
        <v>469</v>
      </c>
      <c r="E29" s="336" t="s">
        <v>1591</v>
      </c>
      <c r="F29" s="3"/>
      <c r="G29" s="3"/>
      <c r="H29" s="325"/>
      <c r="I29" s="325"/>
      <c r="J29" s="325"/>
      <c r="K29" s="325"/>
      <c r="L29" s="325"/>
      <c r="M29" s="325"/>
      <c r="N29" s="325"/>
      <c r="O29" s="325"/>
      <c r="P29" s="325"/>
      <c r="Q29" s="325"/>
      <c r="R29" s="325"/>
      <c r="S29" s="325"/>
      <c r="T29" s="325"/>
      <c r="U29" s="325"/>
      <c r="V29" s="325"/>
    </row>
    <row r="30" spans="1:22" s="148" customFormat="1" ht="55.2">
      <c r="A30" s="3" t="s">
        <v>232</v>
      </c>
      <c r="B30" s="3" t="s">
        <v>2069</v>
      </c>
      <c r="C30" s="3"/>
      <c r="D30" s="336" t="s">
        <v>470</v>
      </c>
      <c r="E30" s="336" t="s">
        <v>1592</v>
      </c>
      <c r="F30" s="3"/>
      <c r="G30" s="3"/>
      <c r="H30" s="325"/>
      <c r="I30" s="325"/>
      <c r="J30" s="325"/>
      <c r="K30" s="325"/>
      <c r="L30" s="325"/>
      <c r="M30" s="325"/>
      <c r="N30" s="325"/>
      <c r="O30" s="325"/>
      <c r="P30" s="325"/>
      <c r="Q30" s="325"/>
      <c r="R30" s="325"/>
      <c r="S30" s="325"/>
      <c r="T30" s="325"/>
      <c r="U30" s="325"/>
      <c r="V30" s="325"/>
    </row>
    <row r="31" spans="1:22" s="325" customFormat="1" ht="110.4">
      <c r="A31" s="3" t="s">
        <v>233</v>
      </c>
      <c r="B31" s="3" t="s">
        <v>2070</v>
      </c>
      <c r="C31" s="3"/>
      <c r="D31" s="336" t="s">
        <v>1721</v>
      </c>
      <c r="E31" s="3" t="s">
        <v>1722</v>
      </c>
      <c r="F31" s="3"/>
      <c r="G31" s="3"/>
    </row>
    <row r="32" spans="1:22" s="148" customFormat="1">
      <c r="A32" s="330" t="s">
        <v>58</v>
      </c>
      <c r="B32" s="330"/>
      <c r="C32" s="331"/>
      <c r="D32" s="331"/>
      <c r="E32" s="331"/>
      <c r="F32" s="331"/>
      <c r="G32" s="331"/>
      <c r="H32" s="325"/>
      <c r="I32" s="325"/>
      <c r="J32" s="325"/>
      <c r="K32" s="325"/>
      <c r="L32" s="325"/>
      <c r="M32" s="325"/>
      <c r="N32" s="325"/>
      <c r="O32" s="325"/>
      <c r="P32" s="325"/>
      <c r="Q32" s="325"/>
      <c r="R32" s="325"/>
      <c r="S32" s="325"/>
      <c r="T32" s="325"/>
      <c r="U32" s="325"/>
      <c r="V32" s="325"/>
    </row>
    <row r="33" spans="1:22" s="148" customFormat="1" ht="55.2">
      <c r="A33" s="3" t="s">
        <v>234</v>
      </c>
      <c r="B33" s="3" t="s">
        <v>2071</v>
      </c>
      <c r="C33" s="3"/>
      <c r="D33" s="336" t="s">
        <v>471</v>
      </c>
      <c r="E33" s="336" t="s">
        <v>1593</v>
      </c>
      <c r="F33" s="3"/>
      <c r="G33" s="3"/>
      <c r="H33" s="325"/>
      <c r="I33" s="325"/>
      <c r="J33" s="325"/>
      <c r="K33" s="325"/>
      <c r="L33" s="325"/>
      <c r="M33" s="325"/>
      <c r="N33" s="325"/>
      <c r="O33" s="325"/>
      <c r="P33" s="325"/>
      <c r="Q33" s="325"/>
      <c r="R33" s="325"/>
      <c r="S33" s="325"/>
      <c r="T33" s="325"/>
      <c r="U33" s="325"/>
      <c r="V33" s="325"/>
    </row>
    <row r="34" spans="1:22" s="148" customFormat="1" ht="82.8">
      <c r="A34" s="3" t="s">
        <v>235</v>
      </c>
      <c r="B34" s="3" t="s">
        <v>2072</v>
      </c>
      <c r="C34" s="3"/>
      <c r="D34" s="336" t="s">
        <v>472</v>
      </c>
      <c r="E34" s="336" t="s">
        <v>1994</v>
      </c>
      <c r="F34" s="3"/>
      <c r="G34" s="3"/>
      <c r="H34" s="325"/>
      <c r="I34" s="325"/>
      <c r="J34" s="325"/>
      <c r="K34" s="325"/>
      <c r="L34" s="325"/>
      <c r="M34" s="325"/>
      <c r="N34" s="325"/>
      <c r="O34" s="325"/>
      <c r="P34" s="325"/>
      <c r="Q34" s="325"/>
      <c r="R34" s="325"/>
      <c r="S34" s="325"/>
      <c r="T34" s="325"/>
      <c r="U34" s="325"/>
      <c r="V34" s="325"/>
    </row>
    <row r="35" spans="1:22" s="325" customFormat="1" ht="82.8">
      <c r="A35" s="3" t="s">
        <v>236</v>
      </c>
      <c r="B35" s="3" t="s">
        <v>2073</v>
      </c>
      <c r="C35" s="3"/>
      <c r="D35" s="336" t="s">
        <v>473</v>
      </c>
      <c r="E35" s="336" t="s">
        <v>1594</v>
      </c>
      <c r="F35" s="3"/>
      <c r="G35" s="3"/>
    </row>
  </sheetData>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26222-CBD7-4354-960F-FB3AAB13AB18}">
  <sheetPr codeName="Sheet42">
    <tabColor rgb="FF008050"/>
  </sheetPr>
  <dimension ref="A1:R52"/>
  <sheetViews>
    <sheetView topLeftCell="A3" zoomScale="85" zoomScaleNormal="85" workbookViewId="0">
      <pane xSplit="2" ySplit="6" topLeftCell="C16" activePane="bottomRight" state="frozen"/>
      <selection activeCell="I11" sqref="I11:J14"/>
      <selection pane="topRight" activeCell="I11" sqref="I11:J14"/>
      <selection pane="bottomLeft" activeCell="I11" sqref="I11:J14"/>
      <selection pane="bottomRight" activeCell="B22" sqref="B22"/>
    </sheetView>
  </sheetViews>
  <sheetFormatPr defaultColWidth="8.77734375" defaultRowHeight="13.8"/>
  <cols>
    <col min="1" max="1" width="10.21875" style="329" customWidth="1"/>
    <col min="2" max="2" width="65.21875" style="362" customWidth="1"/>
    <col min="3" max="4" width="21.44140625" style="329" customWidth="1"/>
    <col min="5" max="5" width="48.77734375" style="329" customWidth="1"/>
    <col min="6" max="6" width="34.77734375" style="329" customWidth="1"/>
    <col min="7" max="7" width="21.44140625" style="324" customWidth="1"/>
    <col min="8" max="9" width="17.77734375" style="339" customWidth="1"/>
    <col min="10" max="18" width="8.77734375" style="324"/>
    <col min="19" max="16384" width="8.77734375" style="329"/>
  </cols>
  <sheetData>
    <row r="1" spans="1:18" s="139" customFormat="1" ht="25.8">
      <c r="A1" s="321" t="s">
        <v>301</v>
      </c>
      <c r="B1" s="325"/>
      <c r="C1" s="323"/>
      <c r="D1" s="322"/>
      <c r="E1" s="322"/>
      <c r="F1" s="322"/>
      <c r="G1" s="324"/>
      <c r="H1" s="339"/>
      <c r="I1" s="339"/>
      <c r="J1" s="324"/>
      <c r="K1" s="324"/>
      <c r="L1" s="324"/>
      <c r="M1" s="324"/>
      <c r="N1" s="324"/>
      <c r="O1" s="324"/>
      <c r="P1" s="324"/>
      <c r="Q1" s="324"/>
      <c r="R1" s="324"/>
    </row>
    <row r="2" spans="1:18" s="137" customFormat="1" ht="25.8">
      <c r="A2" s="321" t="s">
        <v>1813</v>
      </c>
      <c r="B2" s="325"/>
      <c r="C2" s="323"/>
      <c r="D2" s="322"/>
      <c r="E2" s="322"/>
      <c r="F2" s="322"/>
      <c r="G2" s="324"/>
      <c r="H2" s="339"/>
      <c r="I2" s="339"/>
      <c r="J2" s="324"/>
      <c r="K2" s="324"/>
      <c r="L2" s="324"/>
      <c r="M2" s="324"/>
      <c r="N2" s="324"/>
      <c r="O2" s="324"/>
      <c r="P2" s="324"/>
      <c r="Q2" s="324"/>
      <c r="R2" s="324"/>
    </row>
    <row r="3" spans="1:18" s="346" customFormat="1" ht="27.6">
      <c r="A3" s="325" t="s">
        <v>447</v>
      </c>
      <c r="B3" s="325" t="s">
        <v>2074</v>
      </c>
      <c r="C3" s="322"/>
      <c r="D3" s="322"/>
      <c r="E3" s="322"/>
      <c r="F3" s="322"/>
      <c r="G3" s="324"/>
      <c r="H3" s="339"/>
      <c r="I3" s="339"/>
      <c r="J3" s="324"/>
      <c r="K3" s="324"/>
      <c r="L3" s="324"/>
      <c r="M3" s="324"/>
      <c r="N3" s="324"/>
      <c r="O3" s="324"/>
      <c r="P3" s="324"/>
      <c r="Q3" s="324"/>
      <c r="R3" s="324"/>
    </row>
    <row r="4" spans="1:18" s="139" customFormat="1" ht="27.6">
      <c r="A4" s="325" t="s">
        <v>1695</v>
      </c>
      <c r="B4" s="325" t="s">
        <v>1814</v>
      </c>
      <c r="C4" s="322"/>
      <c r="D4" s="322"/>
      <c r="E4" s="322"/>
      <c r="F4" s="322"/>
      <c r="G4" s="324"/>
      <c r="H4" s="339"/>
      <c r="I4" s="339"/>
      <c r="J4" s="324"/>
      <c r="K4" s="324"/>
      <c r="L4" s="324"/>
      <c r="M4" s="324"/>
      <c r="N4" s="324"/>
      <c r="O4" s="324"/>
      <c r="P4" s="324"/>
      <c r="Q4" s="324"/>
      <c r="R4" s="324"/>
    </row>
    <row r="5" spans="1:18" s="139" customFormat="1" ht="27.6">
      <c r="A5" s="322" t="s">
        <v>448</v>
      </c>
      <c r="B5" s="325" t="s">
        <v>303</v>
      </c>
      <c r="C5" s="322"/>
      <c r="D5" s="322"/>
      <c r="E5" s="322"/>
      <c r="F5" s="322"/>
      <c r="G5" s="324"/>
      <c r="H5" s="339"/>
      <c r="I5" s="339"/>
      <c r="J5" s="324"/>
      <c r="K5" s="324"/>
      <c r="L5" s="324"/>
      <c r="M5" s="324"/>
      <c r="N5" s="324"/>
      <c r="O5" s="324"/>
      <c r="P5" s="324"/>
      <c r="Q5" s="324"/>
      <c r="R5" s="324"/>
    </row>
    <row r="6" spans="1:18" s="137" customFormat="1">
      <c r="A6" s="322" t="s">
        <v>1697</v>
      </c>
      <c r="B6" s="325" t="s">
        <v>1815</v>
      </c>
      <c r="C6" s="322"/>
      <c r="D6" s="322"/>
      <c r="E6" s="322"/>
      <c r="F6" s="322"/>
      <c r="G6" s="324"/>
      <c r="H6" s="339"/>
      <c r="I6" s="339"/>
      <c r="J6" s="324"/>
      <c r="K6" s="324"/>
      <c r="L6" s="324"/>
      <c r="M6" s="324"/>
      <c r="N6" s="324"/>
      <c r="O6" s="324"/>
      <c r="P6" s="324"/>
      <c r="Q6" s="324"/>
      <c r="R6" s="324"/>
    </row>
    <row r="7" spans="1:18" s="346" customFormat="1">
      <c r="A7" s="329"/>
      <c r="B7" s="362"/>
      <c r="C7" s="329"/>
      <c r="D7" s="329"/>
      <c r="E7" s="322"/>
      <c r="F7" s="322"/>
      <c r="G7" s="359" t="e">
        <f>#REF!</f>
        <v>#REF!</v>
      </c>
      <c r="H7" s="339"/>
      <c r="I7" s="339"/>
      <c r="J7" s="324"/>
      <c r="K7" s="324"/>
      <c r="L7" s="324"/>
      <c r="M7" s="324"/>
      <c r="N7" s="324"/>
      <c r="O7" s="324"/>
      <c r="P7" s="324"/>
      <c r="Q7" s="324"/>
      <c r="R7" s="324"/>
    </row>
    <row r="8" spans="1:18" s="139" customFormat="1">
      <c r="A8" s="350"/>
      <c r="B8" s="363"/>
      <c r="C8" s="350" t="s">
        <v>96</v>
      </c>
      <c r="D8" s="350" t="s">
        <v>553</v>
      </c>
      <c r="E8" s="350" t="s">
        <v>85</v>
      </c>
      <c r="F8" s="350" t="s">
        <v>1653</v>
      </c>
      <c r="G8" s="350" t="s">
        <v>1674</v>
      </c>
      <c r="H8" s="322"/>
      <c r="I8" s="322"/>
      <c r="J8" s="322"/>
      <c r="K8" s="322"/>
      <c r="L8" s="322"/>
      <c r="M8" s="322"/>
      <c r="N8" s="322"/>
      <c r="O8" s="322"/>
      <c r="P8" s="322"/>
      <c r="Q8" s="322"/>
      <c r="R8" s="322"/>
    </row>
    <row r="9" spans="1:18" s="139" customFormat="1">
      <c r="A9" s="342" t="s">
        <v>47</v>
      </c>
      <c r="B9" s="342"/>
      <c r="C9" s="343"/>
      <c r="D9" s="343"/>
      <c r="E9" s="343"/>
      <c r="F9" s="343"/>
      <c r="G9" s="344"/>
      <c r="H9" s="339"/>
      <c r="I9" s="339"/>
      <c r="J9" s="345"/>
      <c r="K9" s="345"/>
      <c r="L9" s="345"/>
      <c r="M9" s="345"/>
      <c r="N9" s="345"/>
      <c r="O9" s="345"/>
      <c r="P9" s="345"/>
      <c r="Q9" s="345"/>
      <c r="R9" s="345"/>
    </row>
    <row r="10" spans="1:18" s="137" customFormat="1" ht="55.2">
      <c r="A10" s="22" t="s">
        <v>304</v>
      </c>
      <c r="B10" s="22" t="s">
        <v>2075</v>
      </c>
      <c r="C10" s="22"/>
      <c r="D10" s="347" t="s">
        <v>1816</v>
      </c>
      <c r="E10" s="347" t="s">
        <v>1621</v>
      </c>
      <c r="F10" s="347"/>
      <c r="G10" s="348"/>
      <c r="H10" s="339"/>
      <c r="I10" s="339"/>
      <c r="J10" s="345"/>
      <c r="K10" s="345"/>
      <c r="L10" s="345"/>
      <c r="M10" s="345"/>
      <c r="N10" s="345"/>
      <c r="O10" s="345"/>
      <c r="P10" s="345"/>
      <c r="Q10" s="345"/>
      <c r="R10" s="345"/>
    </row>
    <row r="11" spans="1:18" s="346" customFormat="1" ht="41.4">
      <c r="A11" s="22" t="s">
        <v>305</v>
      </c>
      <c r="B11" s="22" t="s">
        <v>2076</v>
      </c>
      <c r="C11" s="22"/>
      <c r="D11" s="347" t="s">
        <v>500</v>
      </c>
      <c r="E11" s="347" t="s">
        <v>1622</v>
      </c>
      <c r="F11" s="347"/>
      <c r="G11" s="348"/>
      <c r="H11" s="339"/>
      <c r="I11" s="339"/>
      <c r="J11" s="345"/>
      <c r="K11" s="345"/>
      <c r="L11" s="345"/>
      <c r="M11" s="345"/>
      <c r="N11" s="345"/>
      <c r="O11" s="345"/>
      <c r="P11" s="345"/>
      <c r="Q11" s="345"/>
      <c r="R11" s="345"/>
    </row>
    <row r="12" spans="1:18" s="139" customFormat="1">
      <c r="A12" s="342" t="s">
        <v>54</v>
      </c>
      <c r="B12" s="342"/>
      <c r="C12" s="343"/>
      <c r="D12" s="343"/>
      <c r="E12" s="343" t="s">
        <v>1772</v>
      </c>
      <c r="F12" s="343"/>
      <c r="G12" s="344"/>
      <c r="H12" s="339"/>
      <c r="I12" s="339"/>
      <c r="J12" s="345"/>
      <c r="K12" s="345"/>
      <c r="L12" s="345"/>
      <c r="M12" s="345"/>
      <c r="N12" s="345"/>
      <c r="O12" s="345"/>
      <c r="P12" s="345"/>
      <c r="Q12" s="345"/>
      <c r="R12" s="345"/>
    </row>
    <row r="13" spans="1:18" s="139" customFormat="1" ht="82.8">
      <c r="A13" s="22" t="s">
        <v>306</v>
      </c>
      <c r="B13" s="22" t="s">
        <v>2077</v>
      </c>
      <c r="C13" s="22"/>
      <c r="D13" s="22"/>
      <c r="E13" s="347" t="s">
        <v>1623</v>
      </c>
      <c r="F13" s="347"/>
      <c r="G13" s="348"/>
      <c r="H13" s="339"/>
      <c r="I13" s="339"/>
      <c r="J13" s="345"/>
      <c r="K13" s="345"/>
      <c r="L13" s="345"/>
      <c r="M13" s="345"/>
      <c r="N13" s="345"/>
      <c r="O13" s="345"/>
      <c r="P13" s="345"/>
      <c r="Q13" s="345"/>
      <c r="R13" s="345"/>
    </row>
    <row r="14" spans="1:18" s="137" customFormat="1" ht="69">
      <c r="A14" s="22" t="s">
        <v>307</v>
      </c>
      <c r="B14" s="22" t="s">
        <v>2078</v>
      </c>
      <c r="C14" s="22"/>
      <c r="D14" s="347" t="s">
        <v>501</v>
      </c>
      <c r="E14" s="347" t="s">
        <v>1817</v>
      </c>
      <c r="F14" s="347"/>
      <c r="G14" s="348"/>
      <c r="H14" s="339"/>
      <c r="I14" s="339"/>
      <c r="J14" s="345"/>
      <c r="K14" s="345"/>
      <c r="L14" s="345"/>
      <c r="M14" s="345"/>
      <c r="N14" s="345"/>
      <c r="O14" s="345"/>
      <c r="P14" s="345"/>
      <c r="Q14" s="345"/>
      <c r="R14" s="345"/>
    </row>
    <row r="15" spans="1:18" s="346" customFormat="1" ht="124.2">
      <c r="A15" s="22" t="s">
        <v>308</v>
      </c>
      <c r="B15" s="22" t="s">
        <v>2079</v>
      </c>
      <c r="C15" s="347" t="s">
        <v>1818</v>
      </c>
      <c r="D15" s="347" t="s">
        <v>1819</v>
      </c>
      <c r="E15" s="347" t="s">
        <v>1624</v>
      </c>
      <c r="F15" s="347"/>
      <c r="G15" s="348"/>
      <c r="H15" s="339"/>
      <c r="I15" s="339"/>
      <c r="J15" s="345"/>
      <c r="K15" s="345"/>
      <c r="L15" s="345"/>
      <c r="M15" s="345"/>
      <c r="N15" s="345"/>
      <c r="O15" s="345"/>
      <c r="P15" s="345"/>
      <c r="Q15" s="345"/>
      <c r="R15" s="345"/>
    </row>
    <row r="16" spans="1:18" s="139" customFormat="1" ht="69">
      <c r="A16" s="22" t="s">
        <v>309</v>
      </c>
      <c r="B16" s="22" t="s">
        <v>2080</v>
      </c>
      <c r="C16" s="347" t="s">
        <v>503</v>
      </c>
      <c r="D16" s="347" t="s">
        <v>502</v>
      </c>
      <c r="E16" s="347" t="s">
        <v>1625</v>
      </c>
      <c r="F16" s="347"/>
      <c r="G16" s="348"/>
      <c r="H16" s="339"/>
      <c r="I16" s="339"/>
      <c r="J16" s="345"/>
      <c r="K16" s="345"/>
      <c r="L16" s="345"/>
      <c r="M16" s="345"/>
      <c r="N16" s="345"/>
      <c r="O16" s="345"/>
      <c r="P16" s="345"/>
      <c r="Q16" s="345"/>
      <c r="R16" s="345"/>
    </row>
    <row r="17" spans="1:18" s="137" customFormat="1">
      <c r="A17" s="342" t="s">
        <v>56</v>
      </c>
      <c r="B17" s="342"/>
      <c r="C17" s="343"/>
      <c r="D17" s="343"/>
      <c r="E17" s="343" t="s">
        <v>1772</v>
      </c>
      <c r="F17" s="343"/>
      <c r="G17" s="344"/>
      <c r="H17" s="339"/>
      <c r="I17" s="339"/>
      <c r="J17" s="345"/>
      <c r="K17" s="345"/>
      <c r="L17" s="345"/>
      <c r="M17" s="345"/>
      <c r="N17" s="345"/>
      <c r="O17" s="345"/>
      <c r="P17" s="345"/>
      <c r="Q17" s="345"/>
      <c r="R17" s="345"/>
    </row>
    <row r="18" spans="1:18" s="346" customFormat="1" ht="82.8">
      <c r="A18" s="22" t="s">
        <v>310</v>
      </c>
      <c r="B18" s="22" t="s">
        <v>2081</v>
      </c>
      <c r="C18" s="347" t="s">
        <v>504</v>
      </c>
      <c r="D18" s="347" t="s">
        <v>1820</v>
      </c>
      <c r="E18" s="347" t="s">
        <v>505</v>
      </c>
      <c r="F18" s="347"/>
      <c r="G18" s="348"/>
      <c r="H18" s="365"/>
      <c r="I18" s="365"/>
      <c r="J18" s="345"/>
      <c r="K18" s="345"/>
      <c r="L18" s="345"/>
      <c r="M18" s="345"/>
      <c r="N18" s="345"/>
      <c r="O18" s="345"/>
      <c r="P18" s="345"/>
      <c r="Q18" s="345"/>
      <c r="R18" s="345"/>
    </row>
    <row r="19" spans="1:18" s="139" customFormat="1" ht="41.4">
      <c r="A19" s="22" t="s">
        <v>311</v>
      </c>
      <c r="B19" s="22" t="s">
        <v>2082</v>
      </c>
      <c r="C19" s="22"/>
      <c r="D19" s="347" t="s">
        <v>506</v>
      </c>
      <c r="E19" s="347" t="s">
        <v>1626</v>
      </c>
      <c r="F19" s="347"/>
      <c r="G19" s="348"/>
      <c r="H19" s="339"/>
      <c r="I19" s="339"/>
      <c r="J19" s="345"/>
      <c r="K19" s="345"/>
      <c r="L19" s="345"/>
      <c r="M19" s="345"/>
      <c r="N19" s="345"/>
      <c r="O19" s="345"/>
      <c r="P19" s="345"/>
      <c r="Q19" s="345"/>
      <c r="R19" s="345"/>
    </row>
    <row r="20" spans="1:18" s="139" customFormat="1" ht="41.4">
      <c r="A20" s="22" t="s">
        <v>312</v>
      </c>
      <c r="B20" s="22" t="s">
        <v>2083</v>
      </c>
      <c r="C20" s="22"/>
      <c r="D20" s="347" t="s">
        <v>507</v>
      </c>
      <c r="E20" s="347" t="s">
        <v>1627</v>
      </c>
      <c r="F20" s="347"/>
      <c r="G20" s="348"/>
      <c r="H20" s="339"/>
      <c r="I20" s="339"/>
      <c r="J20" s="345"/>
      <c r="K20" s="345"/>
      <c r="L20" s="345"/>
      <c r="M20" s="345"/>
      <c r="N20" s="345"/>
      <c r="O20" s="345"/>
      <c r="P20" s="345"/>
      <c r="Q20" s="345"/>
      <c r="R20" s="345"/>
    </row>
    <row r="21" spans="1:18" s="137" customFormat="1" ht="96.6">
      <c r="A21" s="22" t="s">
        <v>313</v>
      </c>
      <c r="B21" s="22" t="s">
        <v>2084</v>
      </c>
      <c r="C21" s="22"/>
      <c r="D21" s="347" t="s">
        <v>508</v>
      </c>
      <c r="E21" s="347" t="s">
        <v>1821</v>
      </c>
      <c r="F21" s="347"/>
      <c r="G21" s="348"/>
      <c r="H21" s="365"/>
      <c r="I21" s="339"/>
      <c r="J21" s="345"/>
      <c r="K21" s="345"/>
      <c r="L21" s="345"/>
      <c r="M21" s="345"/>
      <c r="N21" s="345"/>
      <c r="O21" s="345"/>
      <c r="P21" s="345"/>
      <c r="Q21" s="345"/>
      <c r="R21" s="345"/>
    </row>
    <row r="22" spans="1:18" s="339" customFormat="1">
      <c r="B22" s="346"/>
      <c r="G22" s="324"/>
      <c r="H22" s="365"/>
      <c r="I22" s="365"/>
      <c r="J22" s="324"/>
      <c r="K22" s="324"/>
      <c r="L22" s="324"/>
      <c r="M22" s="324"/>
      <c r="N22" s="324"/>
      <c r="O22" s="324"/>
      <c r="P22" s="324"/>
      <c r="Q22" s="324"/>
      <c r="R22" s="324"/>
    </row>
    <row r="23" spans="1:18" s="339" customFormat="1">
      <c r="B23" s="346"/>
      <c r="G23" s="324"/>
      <c r="J23" s="324"/>
      <c r="K23" s="324"/>
      <c r="L23" s="324"/>
      <c r="M23" s="324"/>
      <c r="N23" s="324"/>
      <c r="O23" s="324"/>
      <c r="P23" s="324"/>
      <c r="Q23" s="324"/>
      <c r="R23" s="324"/>
    </row>
    <row r="24" spans="1:18" s="339" customFormat="1">
      <c r="B24" s="346"/>
      <c r="G24" s="324"/>
      <c r="J24" s="324"/>
      <c r="K24" s="324"/>
      <c r="L24" s="324"/>
      <c r="M24" s="324"/>
      <c r="N24" s="324"/>
      <c r="O24" s="324"/>
      <c r="P24" s="324"/>
      <c r="Q24" s="324"/>
      <c r="R24" s="324"/>
    </row>
    <row r="25" spans="1:18" s="339" customFormat="1">
      <c r="B25" s="346"/>
      <c r="G25" s="324"/>
      <c r="J25" s="324"/>
      <c r="K25" s="324"/>
      <c r="L25" s="324"/>
      <c r="M25" s="324"/>
      <c r="N25" s="324"/>
      <c r="O25" s="324"/>
      <c r="P25" s="324"/>
      <c r="Q25" s="324"/>
      <c r="R25" s="324"/>
    </row>
    <row r="26" spans="1:18" s="339" customFormat="1">
      <c r="B26" s="346"/>
      <c r="G26" s="324"/>
      <c r="J26" s="324"/>
      <c r="K26" s="324"/>
      <c r="L26" s="324"/>
      <c r="M26" s="324"/>
      <c r="N26" s="324"/>
      <c r="O26" s="324"/>
      <c r="P26" s="324"/>
      <c r="Q26" s="324"/>
      <c r="R26" s="324"/>
    </row>
    <row r="27" spans="1:18" s="339" customFormat="1">
      <c r="B27" s="346"/>
      <c r="G27" s="324"/>
      <c r="J27" s="324"/>
      <c r="K27" s="324"/>
      <c r="L27" s="324"/>
      <c r="M27" s="324"/>
      <c r="N27" s="324"/>
      <c r="O27" s="324"/>
      <c r="P27" s="324"/>
      <c r="Q27" s="324"/>
      <c r="R27" s="324"/>
    </row>
    <row r="28" spans="1:18" s="339" customFormat="1">
      <c r="B28" s="346"/>
      <c r="G28" s="324"/>
      <c r="J28" s="324"/>
      <c r="K28" s="324"/>
      <c r="L28" s="324"/>
      <c r="M28" s="324"/>
      <c r="N28" s="324"/>
      <c r="O28" s="324"/>
      <c r="P28" s="324"/>
      <c r="Q28" s="324"/>
      <c r="R28" s="324"/>
    </row>
    <row r="29" spans="1:18" s="339" customFormat="1">
      <c r="B29" s="346"/>
      <c r="G29" s="324"/>
      <c r="J29" s="324"/>
      <c r="K29" s="324"/>
      <c r="L29" s="324"/>
      <c r="M29" s="324"/>
      <c r="N29" s="324"/>
      <c r="O29" s="324"/>
      <c r="P29" s="324"/>
      <c r="Q29" s="324"/>
      <c r="R29" s="324"/>
    </row>
    <row r="30" spans="1:18" s="339" customFormat="1">
      <c r="B30" s="346"/>
      <c r="G30" s="324"/>
      <c r="J30" s="324"/>
      <c r="K30" s="324"/>
      <c r="L30" s="324"/>
      <c r="M30" s="324"/>
      <c r="N30" s="324"/>
      <c r="O30" s="324"/>
      <c r="P30" s="324"/>
      <c r="Q30" s="324"/>
      <c r="R30" s="324"/>
    </row>
    <row r="31" spans="1:18" s="339" customFormat="1">
      <c r="B31" s="346"/>
      <c r="G31" s="324"/>
      <c r="J31" s="324"/>
      <c r="K31" s="324"/>
      <c r="L31" s="324"/>
      <c r="M31" s="324"/>
      <c r="N31" s="324"/>
      <c r="O31" s="324"/>
      <c r="P31" s="324"/>
      <c r="Q31" s="324"/>
      <c r="R31" s="324"/>
    </row>
    <row r="32" spans="1:18" s="340" customFormat="1">
      <c r="B32" s="364"/>
      <c r="G32" s="324"/>
      <c r="H32" s="339"/>
      <c r="I32" s="339"/>
      <c r="J32" s="324"/>
      <c r="K32" s="324"/>
      <c r="L32" s="324"/>
      <c r="M32" s="324"/>
      <c r="N32" s="324"/>
      <c r="O32" s="324"/>
      <c r="P32" s="324"/>
      <c r="Q32" s="324"/>
      <c r="R32" s="324"/>
    </row>
    <row r="33" spans="2:18" s="340" customFormat="1">
      <c r="B33" s="364"/>
      <c r="G33" s="324"/>
      <c r="H33" s="339"/>
      <c r="I33" s="339"/>
      <c r="J33" s="324"/>
      <c r="K33" s="324"/>
      <c r="L33" s="324"/>
      <c r="M33" s="324"/>
      <c r="N33" s="324"/>
      <c r="O33" s="324"/>
      <c r="P33" s="324"/>
      <c r="Q33" s="324"/>
      <c r="R33" s="324"/>
    </row>
    <row r="34" spans="2:18" s="340" customFormat="1">
      <c r="B34" s="364"/>
      <c r="G34" s="324"/>
      <c r="H34" s="339"/>
      <c r="I34" s="339"/>
      <c r="J34" s="324"/>
      <c r="K34" s="324"/>
      <c r="L34" s="324"/>
      <c r="M34" s="324"/>
      <c r="N34" s="324"/>
      <c r="O34" s="324"/>
      <c r="P34" s="324"/>
      <c r="Q34" s="324"/>
      <c r="R34" s="324"/>
    </row>
    <row r="35" spans="2:18" s="340" customFormat="1">
      <c r="B35" s="364"/>
      <c r="G35" s="324"/>
      <c r="H35" s="339"/>
      <c r="I35" s="339"/>
      <c r="J35" s="324"/>
      <c r="K35" s="324"/>
      <c r="L35" s="324"/>
      <c r="M35" s="324"/>
      <c r="N35" s="324"/>
      <c r="O35" s="324"/>
      <c r="P35" s="324"/>
      <c r="Q35" s="324"/>
      <c r="R35" s="324"/>
    </row>
    <row r="36" spans="2:18" s="340" customFormat="1">
      <c r="B36" s="364"/>
      <c r="G36" s="324"/>
      <c r="H36" s="339"/>
      <c r="I36" s="339"/>
      <c r="J36" s="324"/>
      <c r="K36" s="324"/>
      <c r="L36" s="324"/>
      <c r="M36" s="324"/>
      <c r="N36" s="324"/>
      <c r="O36" s="324"/>
      <c r="P36" s="324"/>
      <c r="Q36" s="324"/>
      <c r="R36" s="324"/>
    </row>
    <row r="37" spans="2:18" s="340" customFormat="1">
      <c r="B37" s="364"/>
      <c r="G37" s="324"/>
      <c r="H37" s="339"/>
      <c r="I37" s="339"/>
      <c r="J37" s="324"/>
      <c r="K37" s="324"/>
      <c r="L37" s="324"/>
      <c r="M37" s="324"/>
      <c r="N37" s="324"/>
      <c r="O37" s="324"/>
      <c r="P37" s="324"/>
      <c r="Q37" s="324"/>
      <c r="R37" s="324"/>
    </row>
    <row r="38" spans="2:18" s="340" customFormat="1">
      <c r="B38" s="364"/>
      <c r="G38" s="324"/>
      <c r="H38" s="339"/>
      <c r="I38" s="339"/>
      <c r="J38" s="324"/>
      <c r="K38" s="324"/>
      <c r="L38" s="324"/>
      <c r="M38" s="324"/>
      <c r="N38" s="324"/>
      <c r="O38" s="324"/>
      <c r="P38" s="324"/>
      <c r="Q38" s="324"/>
      <c r="R38" s="324"/>
    </row>
    <row r="39" spans="2:18" s="340" customFormat="1">
      <c r="B39" s="364"/>
      <c r="G39" s="324"/>
      <c r="H39" s="339"/>
      <c r="I39" s="339"/>
      <c r="J39" s="324"/>
      <c r="K39" s="324"/>
      <c r="L39" s="324"/>
      <c r="M39" s="324"/>
      <c r="N39" s="324"/>
      <c r="O39" s="324"/>
      <c r="P39" s="324"/>
      <c r="Q39" s="324"/>
      <c r="R39" s="324"/>
    </row>
    <row r="40" spans="2:18" s="340" customFormat="1">
      <c r="B40" s="364"/>
      <c r="G40" s="324"/>
      <c r="H40" s="339"/>
      <c r="I40" s="339"/>
      <c r="J40" s="324"/>
      <c r="K40" s="324"/>
      <c r="L40" s="324"/>
      <c r="M40" s="324"/>
      <c r="N40" s="324"/>
      <c r="O40" s="324"/>
      <c r="P40" s="324"/>
      <c r="Q40" s="324"/>
      <c r="R40" s="324"/>
    </row>
    <row r="41" spans="2:18" s="340" customFormat="1">
      <c r="B41" s="364"/>
      <c r="G41" s="324"/>
      <c r="H41" s="339"/>
      <c r="I41" s="339"/>
      <c r="J41" s="324"/>
      <c r="K41" s="324"/>
      <c r="L41" s="324"/>
      <c r="M41" s="324"/>
      <c r="N41" s="324"/>
      <c r="O41" s="324"/>
      <c r="P41" s="324"/>
      <c r="Q41" s="324"/>
      <c r="R41" s="324"/>
    </row>
    <row r="42" spans="2:18" s="340" customFormat="1">
      <c r="B42" s="364"/>
      <c r="G42" s="324"/>
      <c r="H42" s="339"/>
      <c r="I42" s="339"/>
      <c r="J42" s="324"/>
      <c r="K42" s="324"/>
      <c r="L42" s="324"/>
      <c r="M42" s="324"/>
      <c r="N42" s="324"/>
      <c r="O42" s="324"/>
      <c r="P42" s="324"/>
      <c r="Q42" s="324"/>
      <c r="R42" s="324"/>
    </row>
    <row r="43" spans="2:18" s="340" customFormat="1">
      <c r="B43" s="364"/>
      <c r="G43" s="324"/>
      <c r="H43" s="339"/>
      <c r="I43" s="339"/>
      <c r="J43" s="324"/>
      <c r="K43" s="324"/>
      <c r="L43" s="324"/>
      <c r="M43" s="324"/>
      <c r="N43" s="324"/>
      <c r="O43" s="324"/>
      <c r="P43" s="324"/>
      <c r="Q43" s="324"/>
      <c r="R43" s="324"/>
    </row>
    <row r="44" spans="2:18" s="340" customFormat="1">
      <c r="B44" s="364"/>
      <c r="G44" s="324"/>
      <c r="H44" s="339"/>
      <c r="I44" s="339"/>
      <c r="J44" s="324"/>
      <c r="K44" s="324"/>
      <c r="L44" s="324"/>
      <c r="M44" s="324"/>
      <c r="N44" s="324"/>
      <c r="O44" s="324"/>
      <c r="P44" s="324"/>
      <c r="Q44" s="324"/>
      <c r="R44" s="324"/>
    </row>
    <row r="45" spans="2:18" s="340" customFormat="1">
      <c r="B45" s="364"/>
      <c r="G45" s="324"/>
      <c r="H45" s="339"/>
      <c r="I45" s="339"/>
      <c r="J45" s="324"/>
      <c r="K45" s="324"/>
      <c r="L45" s="324"/>
      <c r="M45" s="324"/>
      <c r="N45" s="324"/>
      <c r="O45" s="324"/>
      <c r="P45" s="324"/>
      <c r="Q45" s="324"/>
      <c r="R45" s="324"/>
    </row>
    <row r="46" spans="2:18" s="340" customFormat="1">
      <c r="B46" s="364"/>
      <c r="G46" s="324"/>
      <c r="H46" s="339"/>
      <c r="I46" s="339"/>
      <c r="J46" s="324"/>
      <c r="K46" s="324"/>
      <c r="L46" s="324"/>
      <c r="M46" s="324"/>
      <c r="N46" s="324"/>
      <c r="O46" s="324"/>
      <c r="P46" s="324"/>
      <c r="Q46" s="324"/>
      <c r="R46" s="324"/>
    </row>
    <row r="47" spans="2:18" s="340" customFormat="1">
      <c r="B47" s="364"/>
      <c r="G47" s="324"/>
      <c r="H47" s="339"/>
      <c r="I47" s="339"/>
      <c r="J47" s="324"/>
      <c r="K47" s="324"/>
      <c r="L47" s="324"/>
      <c r="M47" s="324"/>
      <c r="N47" s="324"/>
      <c r="O47" s="324"/>
      <c r="P47" s="324"/>
      <c r="Q47" s="324"/>
      <c r="R47" s="324"/>
    </row>
    <row r="48" spans="2:18" s="340" customFormat="1">
      <c r="B48" s="364"/>
      <c r="G48" s="324"/>
      <c r="H48" s="339"/>
      <c r="I48" s="339"/>
      <c r="J48" s="324"/>
      <c r="K48" s="324"/>
      <c r="L48" s="324"/>
      <c r="M48" s="324"/>
      <c r="N48" s="324"/>
      <c r="O48" s="324"/>
      <c r="P48" s="324"/>
      <c r="Q48" s="324"/>
      <c r="R48" s="324"/>
    </row>
    <row r="49" spans="2:18" s="340" customFormat="1">
      <c r="B49" s="364"/>
      <c r="G49" s="324"/>
      <c r="H49" s="339"/>
      <c r="I49" s="339"/>
      <c r="J49" s="324"/>
      <c r="K49" s="324"/>
      <c r="L49" s="324"/>
      <c r="M49" s="324"/>
      <c r="N49" s="324"/>
      <c r="O49" s="324"/>
      <c r="P49" s="324"/>
      <c r="Q49" s="324"/>
      <c r="R49" s="324"/>
    </row>
    <row r="50" spans="2:18" s="340" customFormat="1">
      <c r="B50" s="364"/>
      <c r="G50" s="324"/>
      <c r="H50" s="339"/>
      <c r="I50" s="339"/>
      <c r="J50" s="324"/>
      <c r="K50" s="324"/>
      <c r="L50" s="324"/>
      <c r="M50" s="324"/>
      <c r="N50" s="324"/>
      <c r="O50" s="324"/>
      <c r="P50" s="324"/>
      <c r="Q50" s="324"/>
      <c r="R50" s="324"/>
    </row>
    <row r="51" spans="2:18" s="340" customFormat="1">
      <c r="B51" s="364"/>
      <c r="G51" s="324"/>
      <c r="H51" s="339"/>
      <c r="I51" s="339"/>
      <c r="J51" s="324"/>
      <c r="K51" s="324"/>
      <c r="L51" s="324"/>
      <c r="M51" s="324"/>
      <c r="N51" s="324"/>
      <c r="O51" s="324"/>
      <c r="P51" s="324"/>
      <c r="Q51" s="324"/>
      <c r="R51" s="324"/>
    </row>
    <row r="52" spans="2:18" s="340" customFormat="1">
      <c r="B52" s="364"/>
      <c r="G52" s="324"/>
      <c r="H52" s="339"/>
      <c r="I52" s="339"/>
      <c r="J52" s="324"/>
      <c r="K52" s="324"/>
      <c r="L52" s="324"/>
      <c r="M52" s="324"/>
      <c r="N52" s="324"/>
      <c r="O52" s="324"/>
      <c r="P52" s="324"/>
      <c r="Q52" s="324"/>
      <c r="R52" s="324"/>
    </row>
  </sheetData>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4EA21-4991-4A3A-8CE5-0EE62AD715B3}">
  <sheetPr codeName="Sheet40">
    <tabColor rgb="FF70BF65"/>
  </sheetPr>
  <dimension ref="A1:I55"/>
  <sheetViews>
    <sheetView topLeftCell="A7" workbookViewId="0">
      <selection activeCell="B21" sqref="B21"/>
    </sheetView>
  </sheetViews>
  <sheetFormatPr defaultColWidth="8.77734375" defaultRowHeight="13.8"/>
  <cols>
    <col min="1" max="1" width="10.21875" style="329" customWidth="1"/>
    <col min="2" max="2" width="88.77734375" style="329" customWidth="1"/>
    <col min="3" max="4" width="21.44140625" style="329" customWidth="1"/>
    <col min="5" max="5" width="57.21875" style="362" customWidth="1"/>
    <col min="6" max="6" width="80.44140625" style="329" customWidth="1"/>
    <col min="7" max="7" width="21.44140625" style="324" customWidth="1"/>
    <col min="8" max="9" width="8.77734375" style="324"/>
    <col min="10" max="16384" width="8.77734375" style="329"/>
  </cols>
  <sheetData>
    <row r="1" spans="1:9" s="346" customFormat="1" ht="25.8">
      <c r="A1" s="321" t="s">
        <v>280</v>
      </c>
      <c r="B1" s="322"/>
      <c r="C1" s="323"/>
      <c r="D1" s="322"/>
      <c r="E1" s="325"/>
      <c r="F1" s="322"/>
      <c r="G1" s="324"/>
      <c r="H1" s="324"/>
      <c r="I1" s="324"/>
    </row>
    <row r="2" spans="1:9" s="139" customFormat="1" ht="25.8">
      <c r="A2" s="321" t="s">
        <v>1795</v>
      </c>
      <c r="B2" s="322"/>
      <c r="C2" s="323"/>
      <c r="D2" s="322"/>
      <c r="E2" s="325"/>
      <c r="F2" s="322"/>
      <c r="G2" s="324"/>
      <c r="H2" s="324"/>
      <c r="I2" s="324"/>
    </row>
    <row r="3" spans="1:9" s="139" customFormat="1">
      <c r="A3" s="325" t="s">
        <v>447</v>
      </c>
      <c r="B3" s="322" t="s">
        <v>2085</v>
      </c>
      <c r="C3" s="322"/>
      <c r="D3" s="322"/>
      <c r="E3" s="325"/>
      <c r="F3" s="322"/>
      <c r="G3" s="324"/>
      <c r="H3" s="324"/>
      <c r="I3" s="324"/>
    </row>
    <row r="4" spans="1:9" s="137" customFormat="1">
      <c r="A4" s="325" t="s">
        <v>1695</v>
      </c>
      <c r="B4" s="322" t="s">
        <v>1796</v>
      </c>
      <c r="C4" s="322"/>
      <c r="D4" s="322"/>
      <c r="E4" s="325"/>
      <c r="F4" s="322"/>
      <c r="G4" s="324"/>
      <c r="H4" s="324"/>
      <c r="I4" s="324"/>
    </row>
    <row r="5" spans="1:9" s="346" customFormat="1">
      <c r="A5" s="322" t="s">
        <v>448</v>
      </c>
      <c r="B5" s="322" t="s">
        <v>282</v>
      </c>
      <c r="C5" s="322"/>
      <c r="D5" s="322"/>
      <c r="E5" s="325"/>
      <c r="F5" s="322"/>
      <c r="G5" s="324"/>
      <c r="H5" s="324"/>
      <c r="I5" s="324"/>
    </row>
    <row r="6" spans="1:9" s="346" customFormat="1">
      <c r="A6" s="322" t="s">
        <v>1697</v>
      </c>
      <c r="B6" s="322" t="s">
        <v>1797</v>
      </c>
      <c r="C6" s="322"/>
      <c r="D6" s="322"/>
      <c r="E6" s="325"/>
      <c r="F6" s="322"/>
      <c r="G6" s="324"/>
      <c r="H6" s="324"/>
      <c r="I6" s="324"/>
    </row>
    <row r="7" spans="1:9" s="139" customFormat="1">
      <c r="A7" s="329"/>
      <c r="B7" s="329"/>
      <c r="C7" s="329"/>
      <c r="D7" s="329"/>
      <c r="E7" s="362"/>
      <c r="F7" s="329"/>
      <c r="G7" s="324"/>
      <c r="H7" s="324"/>
      <c r="I7" s="324"/>
    </row>
    <row r="8" spans="1:9" s="139" customFormat="1">
      <c r="A8" s="350"/>
      <c r="B8" s="350"/>
      <c r="C8" s="350" t="s">
        <v>96</v>
      </c>
      <c r="D8" s="350" t="s">
        <v>553</v>
      </c>
      <c r="E8" s="363" t="s">
        <v>85</v>
      </c>
      <c r="F8" s="350" t="s">
        <v>1653</v>
      </c>
      <c r="G8" s="350" t="s">
        <v>1674</v>
      </c>
      <c r="H8" s="322"/>
      <c r="I8" s="322"/>
    </row>
    <row r="9" spans="1:9" s="137" customFormat="1">
      <c r="A9" s="342" t="s">
        <v>47</v>
      </c>
      <c r="B9" s="342"/>
      <c r="C9" s="343"/>
      <c r="D9" s="343"/>
      <c r="E9" s="343"/>
      <c r="F9" s="343"/>
      <c r="G9" s="344"/>
      <c r="H9" s="345"/>
      <c r="I9" s="345"/>
    </row>
    <row r="10" spans="1:9" s="346" customFormat="1" ht="41.4">
      <c r="A10" s="22" t="s">
        <v>283</v>
      </c>
      <c r="B10" s="22" t="s">
        <v>2086</v>
      </c>
      <c r="C10" s="22"/>
      <c r="D10" s="22"/>
      <c r="E10" s="347" t="s">
        <v>284</v>
      </c>
      <c r="F10" s="347"/>
      <c r="G10" s="348"/>
      <c r="H10" s="345"/>
      <c r="I10" s="345"/>
    </row>
    <row r="11" spans="1:9" s="139" customFormat="1">
      <c r="A11" s="342" t="s">
        <v>54</v>
      </c>
      <c r="B11" s="342"/>
      <c r="C11" s="343"/>
      <c r="D11" s="343"/>
      <c r="E11" s="343"/>
      <c r="F11" s="343"/>
      <c r="G11" s="344"/>
      <c r="H11" s="345"/>
      <c r="I11" s="345"/>
    </row>
    <row r="12" spans="1:9" s="139" customFormat="1" ht="27.6">
      <c r="A12" s="22" t="s">
        <v>285</v>
      </c>
      <c r="B12" s="22" t="s">
        <v>2087</v>
      </c>
      <c r="C12" s="22"/>
      <c r="D12" s="22"/>
      <c r="E12" s="347" t="s">
        <v>1613</v>
      </c>
      <c r="F12" s="347"/>
      <c r="G12" s="348"/>
      <c r="H12" s="345"/>
      <c r="I12" s="345"/>
    </row>
    <row r="13" spans="1:9" s="137" customFormat="1" ht="41.4">
      <c r="A13" s="22" t="s">
        <v>286</v>
      </c>
      <c r="B13" s="22" t="s">
        <v>2088</v>
      </c>
      <c r="C13" s="22"/>
      <c r="D13" s="22"/>
      <c r="E13" s="347" t="s">
        <v>1614</v>
      </c>
      <c r="F13" s="347"/>
      <c r="G13" s="348"/>
      <c r="H13" s="345"/>
      <c r="I13" s="345"/>
    </row>
    <row r="14" spans="1:9" s="346" customFormat="1">
      <c r="A14" s="342" t="s">
        <v>56</v>
      </c>
      <c r="B14" s="342"/>
      <c r="C14" s="343"/>
      <c r="D14" s="343"/>
      <c r="E14" s="343" t="s">
        <v>1772</v>
      </c>
      <c r="F14" s="343"/>
      <c r="G14" s="344"/>
      <c r="H14" s="345"/>
      <c r="I14" s="345"/>
    </row>
    <row r="15" spans="1:9" s="139" customFormat="1" ht="55.2">
      <c r="A15" s="22" t="s">
        <v>287</v>
      </c>
      <c r="B15" s="22" t="s">
        <v>2089</v>
      </c>
      <c r="C15" s="22"/>
      <c r="D15" s="22"/>
      <c r="E15" s="347" t="s">
        <v>1798</v>
      </c>
      <c r="F15" s="347"/>
      <c r="G15" s="348"/>
      <c r="H15" s="345"/>
      <c r="I15" s="345"/>
    </row>
    <row r="16" spans="1:9" s="137" customFormat="1" ht="55.2">
      <c r="A16" s="22" t="s">
        <v>288</v>
      </c>
      <c r="B16" s="22" t="s">
        <v>2090</v>
      </c>
      <c r="C16" s="22"/>
      <c r="D16" s="22"/>
      <c r="E16" s="347" t="s">
        <v>1985</v>
      </c>
      <c r="F16" s="347"/>
      <c r="G16" s="348"/>
      <c r="H16" s="345"/>
      <c r="I16" s="345"/>
    </row>
    <row r="17" spans="1:9" s="346" customFormat="1" ht="41.4">
      <c r="A17" s="22" t="s">
        <v>289</v>
      </c>
      <c r="B17" s="22" t="s">
        <v>2091</v>
      </c>
      <c r="C17" s="22"/>
      <c r="D17" s="22"/>
      <c r="E17" s="347" t="s">
        <v>1615</v>
      </c>
      <c r="F17" s="347"/>
      <c r="G17" s="348"/>
      <c r="H17" s="345"/>
      <c r="I17" s="345"/>
    </row>
    <row r="18" spans="1:9" s="139" customFormat="1" ht="55.2">
      <c r="A18" s="22" t="s">
        <v>290</v>
      </c>
      <c r="B18" s="22" t="s">
        <v>2092</v>
      </c>
      <c r="C18" s="22"/>
      <c r="D18" s="347" t="s">
        <v>1799</v>
      </c>
      <c r="E18" s="347" t="s">
        <v>1986</v>
      </c>
      <c r="F18" s="347"/>
      <c r="G18" s="348"/>
      <c r="H18" s="345"/>
      <c r="I18" s="345"/>
    </row>
    <row r="19" spans="1:9" s="139" customFormat="1" ht="41.4">
      <c r="A19" s="22" t="s">
        <v>291</v>
      </c>
      <c r="B19" s="22" t="s">
        <v>2093</v>
      </c>
      <c r="C19" s="22"/>
      <c r="D19" s="22"/>
      <c r="E19" s="347" t="s">
        <v>1987</v>
      </c>
      <c r="F19" s="347"/>
      <c r="G19" s="348"/>
      <c r="H19" s="345"/>
      <c r="I19" s="345"/>
    </row>
    <row r="20" spans="1:9" s="137" customFormat="1" ht="41.4">
      <c r="A20" s="22" t="s">
        <v>292</v>
      </c>
      <c r="B20" s="22" t="s">
        <v>2094</v>
      </c>
      <c r="C20" s="22"/>
      <c r="D20" s="22"/>
      <c r="E20" s="347" t="s">
        <v>1616</v>
      </c>
      <c r="F20" s="347"/>
      <c r="G20" s="348"/>
      <c r="H20" s="345"/>
      <c r="I20" s="345"/>
    </row>
    <row r="21" spans="1:9" s="339" customFormat="1">
      <c r="E21" s="346"/>
      <c r="G21" s="324"/>
      <c r="H21" s="324"/>
      <c r="I21" s="324"/>
    </row>
    <row r="22" spans="1:9" s="339" customFormat="1">
      <c r="E22" s="346"/>
      <c r="G22" s="324"/>
      <c r="H22" s="324"/>
      <c r="I22" s="324"/>
    </row>
    <row r="23" spans="1:9" s="339" customFormat="1">
      <c r="E23" s="346"/>
      <c r="G23" s="324"/>
      <c r="H23" s="324"/>
      <c r="I23" s="324"/>
    </row>
    <row r="24" spans="1:9" s="339" customFormat="1">
      <c r="E24" s="346"/>
      <c r="G24" s="324"/>
      <c r="H24" s="324"/>
      <c r="I24" s="324"/>
    </row>
    <row r="25" spans="1:9" s="339" customFormat="1">
      <c r="E25" s="346"/>
      <c r="G25" s="324"/>
      <c r="H25" s="324"/>
      <c r="I25" s="324"/>
    </row>
    <row r="26" spans="1:9" s="339" customFormat="1">
      <c r="E26" s="346"/>
      <c r="G26" s="324"/>
      <c r="H26" s="324"/>
      <c r="I26" s="324"/>
    </row>
    <row r="27" spans="1:9" s="339" customFormat="1">
      <c r="E27" s="346"/>
      <c r="G27" s="324"/>
      <c r="H27" s="324"/>
      <c r="I27" s="324"/>
    </row>
    <row r="28" spans="1:9" s="339" customFormat="1">
      <c r="E28" s="346"/>
      <c r="G28" s="324"/>
      <c r="H28" s="324"/>
      <c r="I28" s="324"/>
    </row>
    <row r="29" spans="1:9" s="339" customFormat="1">
      <c r="E29" s="346"/>
      <c r="G29" s="324"/>
      <c r="H29" s="324"/>
      <c r="I29" s="324"/>
    </row>
    <row r="30" spans="1:9" s="339" customFormat="1">
      <c r="E30" s="346"/>
      <c r="G30" s="324"/>
      <c r="H30" s="324"/>
      <c r="I30" s="324"/>
    </row>
    <row r="31" spans="1:9" s="339" customFormat="1">
      <c r="E31" s="346"/>
      <c r="G31" s="324"/>
      <c r="H31" s="324"/>
      <c r="I31" s="324"/>
    </row>
    <row r="32" spans="1:9" s="339" customFormat="1">
      <c r="E32" s="346"/>
      <c r="G32" s="324"/>
      <c r="H32" s="324"/>
      <c r="I32" s="324"/>
    </row>
    <row r="33" spans="5:9" s="339" customFormat="1">
      <c r="E33" s="346"/>
      <c r="G33" s="324"/>
      <c r="H33" s="324"/>
      <c r="I33" s="324"/>
    </row>
    <row r="34" spans="5:9" s="339" customFormat="1">
      <c r="E34" s="346"/>
      <c r="G34" s="324"/>
      <c r="H34" s="324"/>
      <c r="I34" s="324"/>
    </row>
    <row r="35" spans="5:9" s="340" customFormat="1">
      <c r="E35" s="364"/>
      <c r="G35" s="324"/>
      <c r="H35" s="324"/>
      <c r="I35" s="324"/>
    </row>
    <row r="36" spans="5:9" s="340" customFormat="1">
      <c r="E36" s="364"/>
      <c r="G36" s="324"/>
      <c r="H36" s="324"/>
      <c r="I36" s="324"/>
    </row>
    <row r="37" spans="5:9" s="340" customFormat="1">
      <c r="E37" s="364"/>
      <c r="G37" s="324"/>
      <c r="H37" s="324"/>
      <c r="I37" s="324"/>
    </row>
    <row r="38" spans="5:9" s="340" customFormat="1">
      <c r="E38" s="364"/>
      <c r="G38" s="324"/>
      <c r="H38" s="324"/>
      <c r="I38" s="324"/>
    </row>
    <row r="39" spans="5:9" s="340" customFormat="1">
      <c r="E39" s="364"/>
      <c r="G39" s="324"/>
      <c r="H39" s="324"/>
      <c r="I39" s="324"/>
    </row>
    <row r="40" spans="5:9" s="340" customFormat="1">
      <c r="E40" s="364"/>
      <c r="G40" s="324"/>
      <c r="H40" s="324"/>
      <c r="I40" s="324"/>
    </row>
    <row r="41" spans="5:9" s="340" customFormat="1">
      <c r="E41" s="364"/>
      <c r="G41" s="324"/>
      <c r="H41" s="324"/>
      <c r="I41" s="324"/>
    </row>
    <row r="42" spans="5:9" s="340" customFormat="1">
      <c r="E42" s="364"/>
      <c r="G42" s="324"/>
      <c r="H42" s="324"/>
      <c r="I42" s="324"/>
    </row>
    <row r="43" spans="5:9" s="340" customFormat="1">
      <c r="E43" s="364"/>
      <c r="G43" s="324"/>
      <c r="H43" s="324"/>
      <c r="I43" s="324"/>
    </row>
    <row r="44" spans="5:9" s="340" customFormat="1">
      <c r="E44" s="364"/>
      <c r="G44" s="324"/>
      <c r="H44" s="324"/>
      <c r="I44" s="324"/>
    </row>
    <row r="45" spans="5:9" s="340" customFormat="1">
      <c r="E45" s="364"/>
      <c r="G45" s="324"/>
      <c r="H45" s="324"/>
      <c r="I45" s="324"/>
    </row>
    <row r="46" spans="5:9" s="340" customFormat="1">
      <c r="E46" s="364"/>
      <c r="G46" s="324"/>
      <c r="H46" s="324"/>
      <c r="I46" s="324"/>
    </row>
    <row r="47" spans="5:9" s="340" customFormat="1">
      <c r="E47" s="364"/>
      <c r="G47" s="324"/>
      <c r="H47" s="324"/>
      <c r="I47" s="324"/>
    </row>
    <row r="48" spans="5:9" s="340" customFormat="1">
      <c r="E48" s="364"/>
      <c r="G48" s="324"/>
      <c r="H48" s="324"/>
      <c r="I48" s="324"/>
    </row>
    <row r="49" spans="5:9" s="340" customFormat="1">
      <c r="E49" s="364"/>
      <c r="G49" s="324"/>
      <c r="H49" s="324"/>
      <c r="I49" s="324"/>
    </row>
    <row r="50" spans="5:9" s="340" customFormat="1">
      <c r="E50" s="364"/>
      <c r="G50" s="324"/>
      <c r="H50" s="324"/>
      <c r="I50" s="324"/>
    </row>
    <row r="51" spans="5:9" s="340" customFormat="1">
      <c r="E51" s="364"/>
      <c r="G51" s="324"/>
      <c r="H51" s="324"/>
      <c r="I51" s="324"/>
    </row>
    <row r="52" spans="5:9" s="340" customFormat="1">
      <c r="E52" s="364"/>
      <c r="G52" s="324"/>
      <c r="H52" s="324"/>
      <c r="I52" s="324"/>
    </row>
    <row r="53" spans="5:9" s="340" customFormat="1">
      <c r="E53" s="364"/>
      <c r="G53" s="324"/>
      <c r="H53" s="324"/>
      <c r="I53" s="324"/>
    </row>
    <row r="54" spans="5:9" s="340" customFormat="1">
      <c r="E54" s="364"/>
      <c r="G54" s="324"/>
      <c r="H54" s="324"/>
      <c r="I54" s="324"/>
    </row>
    <row r="55" spans="5:9" s="340" customFormat="1">
      <c r="E55" s="364"/>
      <c r="G55" s="324"/>
      <c r="H55" s="324"/>
      <c r="I55" s="324"/>
    </row>
  </sheetData>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01683-04DC-4FA4-A54A-F14CEDB8CF6F}">
  <sheetPr codeName="Sheet43">
    <tabColor rgb="FF802C19"/>
  </sheetPr>
  <dimension ref="A1:R64"/>
  <sheetViews>
    <sheetView tabSelected="1" topLeftCell="A11" workbookViewId="0">
      <selection activeCell="B28" sqref="B28"/>
    </sheetView>
  </sheetViews>
  <sheetFormatPr defaultColWidth="8.77734375" defaultRowHeight="13.8"/>
  <cols>
    <col min="1" max="1" width="10.21875" style="329" customWidth="1"/>
    <col min="2" max="2" width="58.21875" style="329" customWidth="1"/>
    <col min="3" max="4" width="21.44140625" style="329" customWidth="1"/>
    <col min="5" max="6" width="37.5546875" style="329" customWidth="1"/>
    <col min="7" max="7" width="21.44140625" style="324" customWidth="1"/>
    <col min="8" max="18" width="8.77734375" style="324"/>
    <col min="19" max="16384" width="8.77734375" style="329"/>
  </cols>
  <sheetData>
    <row r="1" spans="1:18" s="137" customFormat="1" ht="25.8">
      <c r="A1" s="321" t="s">
        <v>165</v>
      </c>
      <c r="B1" s="322"/>
      <c r="C1" s="323"/>
      <c r="D1" s="322"/>
      <c r="E1" s="322"/>
      <c r="F1" s="322"/>
      <c r="G1" s="324"/>
      <c r="H1" s="324"/>
      <c r="I1" s="324"/>
      <c r="J1" s="324"/>
      <c r="K1" s="324"/>
      <c r="L1" s="324"/>
      <c r="M1" s="324"/>
      <c r="N1" s="324"/>
      <c r="O1" s="324"/>
      <c r="P1" s="324"/>
      <c r="Q1" s="324"/>
      <c r="R1" s="324"/>
    </row>
    <row r="2" spans="1:18" s="346" customFormat="1" ht="25.8">
      <c r="A2" s="321" t="s">
        <v>1822</v>
      </c>
      <c r="B2" s="322"/>
      <c r="C2" s="323"/>
      <c r="D2" s="322"/>
      <c r="E2" s="322"/>
      <c r="F2" s="322"/>
      <c r="G2" s="324"/>
      <c r="H2" s="324"/>
      <c r="I2" s="324"/>
      <c r="J2" s="324"/>
      <c r="K2" s="324"/>
      <c r="L2" s="324"/>
      <c r="M2" s="324"/>
      <c r="N2" s="324"/>
      <c r="O2" s="324"/>
      <c r="P2" s="324"/>
      <c r="Q2" s="324"/>
      <c r="R2" s="324"/>
    </row>
    <row r="3" spans="1:18" s="346" customFormat="1">
      <c r="A3" s="325" t="s">
        <v>447</v>
      </c>
      <c r="B3" s="322" t="s">
        <v>166</v>
      </c>
      <c r="C3" s="322"/>
      <c r="D3" s="322"/>
      <c r="E3" s="322"/>
      <c r="F3" s="322"/>
      <c r="G3" s="324"/>
      <c r="H3" s="324"/>
      <c r="I3" s="324"/>
      <c r="J3" s="324"/>
      <c r="K3" s="324"/>
      <c r="L3" s="324"/>
      <c r="M3" s="324"/>
      <c r="N3" s="324"/>
      <c r="O3" s="324"/>
      <c r="P3" s="324"/>
      <c r="Q3" s="324"/>
      <c r="R3" s="324"/>
    </row>
    <row r="4" spans="1:18" s="139" customFormat="1">
      <c r="A4" s="325" t="s">
        <v>1695</v>
      </c>
      <c r="B4" s="322" t="s">
        <v>1823</v>
      </c>
      <c r="C4" s="322"/>
      <c r="D4" s="322"/>
      <c r="E4" s="322"/>
      <c r="F4" s="322"/>
      <c r="G4" s="324"/>
      <c r="H4" s="324"/>
      <c r="I4" s="324"/>
      <c r="J4" s="324"/>
      <c r="K4" s="324"/>
      <c r="L4" s="324"/>
      <c r="M4" s="324"/>
      <c r="N4" s="324"/>
      <c r="O4" s="324"/>
      <c r="P4" s="324"/>
      <c r="Q4" s="324"/>
      <c r="R4" s="324"/>
    </row>
    <row r="5" spans="1:18" s="346" customFormat="1">
      <c r="A5" s="322" t="s">
        <v>448</v>
      </c>
      <c r="B5" s="322" t="s">
        <v>167</v>
      </c>
      <c r="C5" s="322"/>
      <c r="D5" s="322"/>
      <c r="E5" s="322"/>
      <c r="F5" s="322"/>
      <c r="G5" s="324"/>
      <c r="H5" s="324"/>
      <c r="I5" s="324"/>
      <c r="J5" s="324"/>
      <c r="K5" s="324"/>
      <c r="L5" s="324"/>
      <c r="M5" s="324"/>
      <c r="N5" s="324"/>
      <c r="O5" s="324"/>
      <c r="P5" s="324"/>
      <c r="Q5" s="324"/>
      <c r="R5" s="324"/>
    </row>
    <row r="6" spans="1:18" s="139" customFormat="1">
      <c r="A6" s="322" t="s">
        <v>1697</v>
      </c>
      <c r="B6" s="322" t="s">
        <v>1824</v>
      </c>
      <c r="C6" s="322"/>
      <c r="D6" s="322"/>
      <c r="E6" s="322"/>
      <c r="F6" s="322"/>
      <c r="G6" s="324"/>
      <c r="H6" s="324"/>
      <c r="I6" s="324"/>
      <c r="J6" s="324"/>
      <c r="K6" s="324"/>
      <c r="L6" s="324"/>
      <c r="M6" s="324"/>
      <c r="N6" s="324"/>
      <c r="O6" s="324"/>
      <c r="P6" s="324"/>
      <c r="Q6" s="324"/>
      <c r="R6" s="324"/>
    </row>
    <row r="7" spans="1:18" s="139" customFormat="1">
      <c r="A7" s="329"/>
      <c r="B7" s="329"/>
      <c r="C7" s="329"/>
      <c r="D7" s="329"/>
      <c r="E7" s="322"/>
      <c r="F7" s="322"/>
      <c r="G7" s="359" t="e">
        <f>CONCATENATE(#REF!," | ",#REF!," | ",#REF!)</f>
        <v>#REF!</v>
      </c>
      <c r="H7" s="324"/>
      <c r="I7" s="324"/>
      <c r="J7" s="324"/>
      <c r="K7" s="324"/>
      <c r="L7" s="324"/>
      <c r="M7" s="324"/>
      <c r="N7" s="324"/>
      <c r="O7" s="324"/>
      <c r="P7" s="324"/>
      <c r="Q7" s="324"/>
      <c r="R7" s="324"/>
    </row>
    <row r="8" spans="1:18" s="93" customFormat="1">
      <c r="A8" s="350"/>
      <c r="B8" s="350"/>
      <c r="C8" s="350" t="s">
        <v>96</v>
      </c>
      <c r="D8" s="350" t="s">
        <v>553</v>
      </c>
      <c r="E8" s="350" t="s">
        <v>85</v>
      </c>
      <c r="F8" s="350" t="s">
        <v>1653</v>
      </c>
      <c r="G8" s="350" t="s">
        <v>1674</v>
      </c>
      <c r="H8" s="322"/>
      <c r="I8" s="322"/>
      <c r="J8" s="322"/>
      <c r="K8" s="322"/>
      <c r="L8" s="322"/>
      <c r="M8" s="322"/>
      <c r="N8" s="322"/>
      <c r="O8" s="322"/>
      <c r="P8" s="322"/>
      <c r="Q8" s="322"/>
      <c r="R8" s="322"/>
    </row>
    <row r="9" spans="1:18" s="325" customFormat="1">
      <c r="A9" s="330" t="s">
        <v>47</v>
      </c>
      <c r="B9" s="330"/>
      <c r="C9" s="331"/>
      <c r="D9" s="331"/>
      <c r="E9" s="331"/>
      <c r="F9" s="331"/>
      <c r="G9" s="331"/>
    </row>
    <row r="10" spans="1:18" s="148" customFormat="1" ht="55.2">
      <c r="A10" s="3" t="s">
        <v>168</v>
      </c>
      <c r="B10" s="3" t="s">
        <v>1825</v>
      </c>
      <c r="C10" s="3"/>
      <c r="D10" s="3"/>
      <c r="E10" s="336" t="s">
        <v>1568</v>
      </c>
      <c r="F10" s="336"/>
      <c r="G10" s="3"/>
      <c r="H10" s="325"/>
      <c r="I10" s="325"/>
      <c r="J10" s="325"/>
      <c r="K10" s="325"/>
      <c r="L10" s="325"/>
      <c r="M10" s="325"/>
      <c r="N10" s="325"/>
      <c r="O10" s="325"/>
      <c r="P10" s="325"/>
      <c r="Q10" s="325"/>
      <c r="R10" s="325"/>
    </row>
    <row r="11" spans="1:18" s="148" customFormat="1">
      <c r="A11" s="330" t="s">
        <v>54</v>
      </c>
      <c r="B11" s="330"/>
      <c r="C11" s="331"/>
      <c r="D11" s="331"/>
      <c r="E11" s="331"/>
      <c r="F11" s="331"/>
      <c r="G11" s="331"/>
      <c r="H11" s="325"/>
      <c r="I11" s="325"/>
      <c r="J11" s="325"/>
      <c r="K11" s="325"/>
      <c r="L11" s="325"/>
      <c r="M11" s="325"/>
      <c r="N11" s="325"/>
      <c r="O11" s="325"/>
      <c r="P11" s="325"/>
      <c r="Q11" s="325"/>
      <c r="R11" s="325"/>
    </row>
    <row r="12" spans="1:18" s="93" customFormat="1" ht="41.4">
      <c r="A12" s="3" t="s">
        <v>169</v>
      </c>
      <c r="B12" s="3" t="s">
        <v>1826</v>
      </c>
      <c r="C12" s="3"/>
      <c r="D12" s="3"/>
      <c r="E12" s="336" t="s">
        <v>1569</v>
      </c>
      <c r="F12" s="336"/>
      <c r="G12" s="3"/>
      <c r="H12" s="325"/>
      <c r="I12" s="325"/>
      <c r="J12" s="325"/>
      <c r="K12" s="325"/>
      <c r="L12" s="325"/>
      <c r="M12" s="325"/>
      <c r="N12" s="325"/>
      <c r="O12" s="325"/>
      <c r="P12" s="325"/>
      <c r="Q12" s="325"/>
      <c r="R12" s="325"/>
    </row>
    <row r="13" spans="1:18" s="325" customFormat="1" ht="41.4">
      <c r="A13" s="3" t="s">
        <v>170</v>
      </c>
      <c r="B13" s="3" t="s">
        <v>1827</v>
      </c>
      <c r="C13" s="3"/>
      <c r="D13" s="3"/>
      <c r="E13" s="336" t="s">
        <v>1570</v>
      </c>
      <c r="F13" s="336"/>
      <c r="G13" s="3"/>
    </row>
    <row r="14" spans="1:18" s="325" customFormat="1" ht="69">
      <c r="A14" s="3" t="s">
        <v>171</v>
      </c>
      <c r="B14" s="3" t="s">
        <v>1828</v>
      </c>
      <c r="C14" s="336" t="s">
        <v>1829</v>
      </c>
      <c r="D14" s="3"/>
      <c r="E14" s="336" t="s">
        <v>172</v>
      </c>
      <c r="F14" s="336"/>
      <c r="G14" s="3"/>
    </row>
    <row r="15" spans="1:18" s="148" customFormat="1" ht="41.4">
      <c r="A15" s="3" t="s">
        <v>173</v>
      </c>
      <c r="B15" s="3" t="s">
        <v>1830</v>
      </c>
      <c r="C15" s="3"/>
      <c r="D15" s="3"/>
      <c r="E15" s="336" t="s">
        <v>1571</v>
      </c>
      <c r="F15" s="336"/>
      <c r="G15" s="3"/>
      <c r="H15" s="325"/>
      <c r="I15" s="325"/>
      <c r="J15" s="325"/>
      <c r="K15" s="325"/>
      <c r="L15" s="325"/>
      <c r="M15" s="325"/>
      <c r="N15" s="325"/>
      <c r="O15" s="325"/>
      <c r="P15" s="325"/>
      <c r="Q15" s="325"/>
      <c r="R15" s="325"/>
    </row>
    <row r="16" spans="1:18" s="148" customFormat="1">
      <c r="A16" s="330" t="s">
        <v>56</v>
      </c>
      <c r="B16" s="330"/>
      <c r="C16" s="331"/>
      <c r="D16" s="331"/>
      <c r="E16" s="331"/>
      <c r="F16" s="331"/>
      <c r="G16" s="331"/>
      <c r="H16" s="325"/>
      <c r="I16" s="325"/>
      <c r="J16" s="325"/>
      <c r="K16" s="325"/>
      <c r="L16" s="325"/>
      <c r="M16" s="325"/>
      <c r="N16" s="325"/>
      <c r="O16" s="325"/>
      <c r="P16" s="325"/>
      <c r="Q16" s="325"/>
      <c r="R16" s="325"/>
    </row>
    <row r="17" spans="1:18" s="93" customFormat="1" ht="38.549999999999997" customHeight="1">
      <c r="A17" s="3" t="s">
        <v>174</v>
      </c>
      <c r="B17" s="3" t="s">
        <v>1831</v>
      </c>
      <c r="C17" s="336" t="s">
        <v>1832</v>
      </c>
      <c r="D17" s="3"/>
      <c r="E17" s="336" t="s">
        <v>1572</v>
      </c>
      <c r="F17" s="336"/>
      <c r="G17" s="3"/>
      <c r="H17" s="325"/>
      <c r="I17" s="325"/>
      <c r="J17" s="325"/>
      <c r="K17" s="325"/>
      <c r="L17" s="325"/>
      <c r="M17" s="325"/>
      <c r="N17" s="325"/>
      <c r="O17" s="325"/>
      <c r="P17" s="325"/>
      <c r="Q17" s="325"/>
      <c r="R17" s="325"/>
    </row>
    <row r="18" spans="1:18" s="339" customFormat="1">
      <c r="G18" s="324"/>
      <c r="H18" s="324"/>
      <c r="I18" s="324"/>
      <c r="J18" s="324"/>
      <c r="K18" s="324"/>
      <c r="L18" s="324"/>
      <c r="M18" s="324"/>
      <c r="N18" s="324"/>
      <c r="O18" s="324"/>
      <c r="P18" s="324"/>
      <c r="Q18" s="324"/>
      <c r="R18" s="324"/>
    </row>
    <row r="19" spans="1:18" s="339" customFormat="1">
      <c r="G19" s="324"/>
      <c r="H19" s="324"/>
      <c r="I19" s="324"/>
      <c r="J19" s="324"/>
      <c r="K19" s="324"/>
      <c r="L19" s="324"/>
      <c r="M19" s="324"/>
      <c r="N19" s="324"/>
      <c r="O19" s="324"/>
      <c r="P19" s="324"/>
      <c r="Q19" s="324"/>
      <c r="R19" s="324"/>
    </row>
    <row r="20" spans="1:18" s="339" customFormat="1">
      <c r="G20" s="324"/>
      <c r="H20" s="324"/>
      <c r="I20" s="324"/>
      <c r="J20" s="324"/>
      <c r="K20" s="324"/>
      <c r="L20" s="324"/>
      <c r="M20" s="324"/>
      <c r="N20" s="324"/>
      <c r="O20" s="324"/>
      <c r="P20" s="324"/>
      <c r="Q20" s="324"/>
      <c r="R20" s="324"/>
    </row>
    <row r="21" spans="1:18" s="339" customFormat="1">
      <c r="G21" s="324"/>
      <c r="H21" s="324"/>
      <c r="I21" s="324"/>
      <c r="J21" s="324"/>
      <c r="K21" s="324"/>
      <c r="L21" s="324"/>
      <c r="M21" s="324"/>
      <c r="N21" s="324"/>
      <c r="O21" s="324"/>
      <c r="P21" s="324"/>
      <c r="Q21" s="324"/>
      <c r="R21" s="324"/>
    </row>
    <row r="22" spans="1:18" s="339" customFormat="1">
      <c r="G22" s="324"/>
      <c r="H22" s="324"/>
      <c r="I22" s="324"/>
      <c r="J22" s="324"/>
      <c r="K22" s="324"/>
      <c r="L22" s="324"/>
      <c r="M22" s="324"/>
      <c r="N22" s="324"/>
      <c r="O22" s="324"/>
      <c r="P22" s="324"/>
      <c r="Q22" s="324"/>
      <c r="R22" s="324"/>
    </row>
    <row r="23" spans="1:18" s="339" customFormat="1">
      <c r="G23" s="324"/>
      <c r="H23" s="324"/>
      <c r="I23" s="324"/>
      <c r="J23" s="324"/>
      <c r="K23" s="324"/>
      <c r="L23" s="324"/>
      <c r="M23" s="324"/>
      <c r="N23" s="324"/>
      <c r="O23" s="324"/>
      <c r="P23" s="324"/>
      <c r="Q23" s="324"/>
      <c r="R23" s="324"/>
    </row>
    <row r="24" spans="1:18" s="339" customFormat="1">
      <c r="G24" s="324"/>
      <c r="H24" s="324"/>
      <c r="I24" s="324"/>
      <c r="J24" s="324"/>
      <c r="K24" s="324"/>
      <c r="L24" s="324"/>
      <c r="M24" s="324"/>
      <c r="N24" s="324"/>
      <c r="O24" s="324"/>
      <c r="P24" s="324"/>
      <c r="Q24" s="324"/>
      <c r="R24" s="324"/>
    </row>
    <row r="25" spans="1:18" s="339" customFormat="1">
      <c r="G25" s="324"/>
      <c r="H25" s="324"/>
      <c r="I25" s="324"/>
      <c r="J25" s="324"/>
      <c r="K25" s="324"/>
      <c r="L25" s="324"/>
      <c r="M25" s="324"/>
      <c r="N25" s="324"/>
      <c r="O25" s="324"/>
      <c r="P25" s="324"/>
      <c r="Q25" s="324"/>
      <c r="R25" s="324"/>
    </row>
    <row r="26" spans="1:18" s="339" customFormat="1">
      <c r="G26" s="324"/>
      <c r="H26" s="324"/>
      <c r="I26" s="324"/>
      <c r="J26" s="324"/>
      <c r="K26" s="324"/>
      <c r="L26" s="324"/>
      <c r="M26" s="324"/>
      <c r="N26" s="324"/>
      <c r="O26" s="324"/>
      <c r="P26" s="324"/>
      <c r="Q26" s="324"/>
      <c r="R26" s="324"/>
    </row>
    <row r="27" spans="1:18" s="339" customFormat="1">
      <c r="G27" s="324"/>
      <c r="H27" s="324"/>
      <c r="I27" s="324"/>
      <c r="J27" s="324"/>
      <c r="K27" s="324"/>
      <c r="L27" s="324"/>
      <c r="M27" s="324"/>
      <c r="N27" s="324"/>
      <c r="O27" s="324"/>
      <c r="P27" s="324"/>
      <c r="Q27" s="324"/>
      <c r="R27" s="324"/>
    </row>
    <row r="28" spans="1:18" s="339" customFormat="1">
      <c r="G28" s="324"/>
      <c r="H28" s="324"/>
      <c r="I28" s="324"/>
      <c r="J28" s="324"/>
      <c r="K28" s="324"/>
      <c r="L28" s="324"/>
      <c r="M28" s="324"/>
      <c r="N28" s="324"/>
      <c r="O28" s="324"/>
      <c r="P28" s="324"/>
      <c r="Q28" s="324"/>
      <c r="R28" s="324"/>
    </row>
    <row r="29" spans="1:18" s="339" customFormat="1">
      <c r="G29" s="324"/>
      <c r="H29" s="324"/>
      <c r="I29" s="324"/>
      <c r="J29" s="324"/>
      <c r="K29" s="324"/>
      <c r="L29" s="324"/>
      <c r="M29" s="324"/>
      <c r="N29" s="324"/>
      <c r="O29" s="324"/>
      <c r="P29" s="324"/>
      <c r="Q29" s="324"/>
      <c r="R29" s="324"/>
    </row>
    <row r="30" spans="1:18" s="339" customFormat="1">
      <c r="G30" s="324"/>
      <c r="H30" s="324"/>
      <c r="I30" s="324"/>
      <c r="J30" s="324"/>
      <c r="K30" s="324"/>
      <c r="L30" s="324"/>
      <c r="M30" s="324"/>
      <c r="N30" s="324"/>
      <c r="O30" s="324"/>
      <c r="P30" s="324"/>
      <c r="Q30" s="324"/>
      <c r="R30" s="324"/>
    </row>
    <row r="31" spans="1:18" s="339" customFormat="1">
      <c r="G31" s="324"/>
      <c r="H31" s="324"/>
      <c r="I31" s="324"/>
      <c r="J31" s="324"/>
      <c r="K31" s="324"/>
      <c r="L31" s="324"/>
      <c r="M31" s="324"/>
      <c r="N31" s="324"/>
      <c r="O31" s="324"/>
      <c r="P31" s="324"/>
      <c r="Q31" s="324"/>
      <c r="R31" s="324"/>
    </row>
    <row r="32" spans="1:18" s="339" customFormat="1">
      <c r="G32" s="324"/>
      <c r="H32" s="324"/>
      <c r="I32" s="324"/>
      <c r="J32" s="324"/>
      <c r="K32" s="324"/>
      <c r="L32" s="324"/>
      <c r="M32" s="324"/>
      <c r="N32" s="324"/>
      <c r="O32" s="324"/>
      <c r="P32" s="324"/>
      <c r="Q32" s="324"/>
      <c r="R32" s="324"/>
    </row>
    <row r="33" spans="7:18" s="339" customFormat="1">
      <c r="G33" s="324"/>
      <c r="H33" s="324"/>
      <c r="I33" s="324"/>
      <c r="J33" s="324"/>
      <c r="K33" s="324"/>
      <c r="L33" s="324"/>
      <c r="M33" s="324"/>
      <c r="N33" s="324"/>
      <c r="O33" s="324"/>
      <c r="P33" s="324"/>
      <c r="Q33" s="324"/>
      <c r="R33" s="324"/>
    </row>
    <row r="34" spans="7:18" s="339" customFormat="1">
      <c r="G34" s="324"/>
      <c r="H34" s="324"/>
      <c r="I34" s="324"/>
      <c r="J34" s="324"/>
      <c r="K34" s="324"/>
      <c r="L34" s="324"/>
      <c r="M34" s="324"/>
      <c r="N34" s="324"/>
      <c r="O34" s="324"/>
      <c r="P34" s="324"/>
      <c r="Q34" s="324"/>
      <c r="R34" s="324"/>
    </row>
    <row r="35" spans="7:18" s="339" customFormat="1">
      <c r="G35" s="324"/>
      <c r="H35" s="324"/>
      <c r="I35" s="324"/>
      <c r="J35" s="324"/>
      <c r="K35" s="324"/>
      <c r="L35" s="324"/>
      <c r="M35" s="324"/>
      <c r="N35" s="324"/>
      <c r="O35" s="324"/>
      <c r="P35" s="324"/>
      <c r="Q35" s="324"/>
      <c r="R35" s="324"/>
    </row>
    <row r="36" spans="7:18" s="339" customFormat="1">
      <c r="G36" s="324"/>
      <c r="H36" s="324"/>
      <c r="I36" s="324"/>
      <c r="J36" s="324"/>
      <c r="K36" s="324"/>
      <c r="L36" s="324"/>
      <c r="M36" s="324"/>
      <c r="N36" s="324"/>
      <c r="O36" s="324"/>
      <c r="P36" s="324"/>
      <c r="Q36" s="324"/>
      <c r="R36" s="324"/>
    </row>
    <row r="37" spans="7:18" s="339" customFormat="1">
      <c r="G37" s="324"/>
      <c r="H37" s="324"/>
      <c r="I37" s="324"/>
      <c r="J37" s="324"/>
      <c r="K37" s="324"/>
      <c r="L37" s="324"/>
      <c r="M37" s="324"/>
      <c r="N37" s="324"/>
      <c r="O37" s="324"/>
      <c r="P37" s="324"/>
      <c r="Q37" s="324"/>
      <c r="R37" s="324"/>
    </row>
    <row r="38" spans="7:18" s="339" customFormat="1">
      <c r="G38" s="324"/>
      <c r="H38" s="324"/>
      <c r="I38" s="324"/>
      <c r="J38" s="324"/>
      <c r="K38" s="324"/>
      <c r="L38" s="324"/>
      <c r="M38" s="324"/>
      <c r="N38" s="324"/>
      <c r="O38" s="324"/>
      <c r="P38" s="324"/>
      <c r="Q38" s="324"/>
      <c r="R38" s="324"/>
    </row>
    <row r="39" spans="7:18" s="339" customFormat="1">
      <c r="G39" s="324"/>
      <c r="H39" s="324"/>
      <c r="I39" s="324"/>
      <c r="J39" s="324"/>
      <c r="K39" s="324"/>
      <c r="L39" s="324"/>
      <c r="M39" s="324"/>
      <c r="N39" s="324"/>
      <c r="O39" s="324"/>
      <c r="P39" s="324"/>
      <c r="Q39" s="324"/>
      <c r="R39" s="324"/>
    </row>
    <row r="40" spans="7:18" s="339" customFormat="1">
      <c r="G40" s="324"/>
      <c r="H40" s="324"/>
      <c r="I40" s="324"/>
      <c r="J40" s="324"/>
      <c r="K40" s="324"/>
      <c r="L40" s="324"/>
      <c r="M40" s="324"/>
      <c r="N40" s="324"/>
      <c r="O40" s="324"/>
      <c r="P40" s="324"/>
      <c r="Q40" s="324"/>
      <c r="R40" s="324"/>
    </row>
    <row r="41" spans="7:18" s="339" customFormat="1">
      <c r="G41" s="324"/>
      <c r="H41" s="324"/>
      <c r="I41" s="324"/>
      <c r="J41" s="324"/>
      <c r="K41" s="324"/>
      <c r="L41" s="324"/>
      <c r="M41" s="324"/>
      <c r="N41" s="324"/>
      <c r="O41" s="324"/>
      <c r="P41" s="324"/>
      <c r="Q41" s="324"/>
      <c r="R41" s="324"/>
    </row>
    <row r="42" spans="7:18" s="339" customFormat="1">
      <c r="G42" s="324"/>
      <c r="H42" s="324"/>
      <c r="I42" s="324"/>
      <c r="J42" s="324"/>
      <c r="K42" s="324"/>
      <c r="L42" s="324"/>
      <c r="M42" s="324"/>
      <c r="N42" s="324"/>
      <c r="O42" s="324"/>
      <c r="P42" s="324"/>
      <c r="Q42" s="324"/>
      <c r="R42" s="324"/>
    </row>
    <row r="43" spans="7:18" s="339" customFormat="1">
      <c r="G43" s="324"/>
      <c r="H43" s="324"/>
      <c r="I43" s="324"/>
      <c r="J43" s="324"/>
      <c r="K43" s="324"/>
      <c r="L43" s="324"/>
      <c r="M43" s="324"/>
      <c r="N43" s="324"/>
      <c r="O43" s="324"/>
      <c r="P43" s="324"/>
      <c r="Q43" s="324"/>
      <c r="R43" s="324"/>
    </row>
    <row r="44" spans="7:18" s="340" customFormat="1">
      <c r="G44" s="324"/>
      <c r="H44" s="324"/>
      <c r="I44" s="324"/>
      <c r="J44" s="324"/>
      <c r="K44" s="324"/>
      <c r="L44" s="324"/>
      <c r="M44" s="324"/>
      <c r="N44" s="324"/>
      <c r="O44" s="324"/>
      <c r="P44" s="324"/>
      <c r="Q44" s="324"/>
      <c r="R44" s="324"/>
    </row>
    <row r="45" spans="7:18" s="340" customFormat="1">
      <c r="G45" s="324"/>
      <c r="H45" s="324"/>
      <c r="I45" s="324"/>
      <c r="J45" s="324"/>
      <c r="K45" s="324"/>
      <c r="L45" s="324"/>
      <c r="M45" s="324"/>
      <c r="N45" s="324"/>
      <c r="O45" s="324"/>
      <c r="P45" s="324"/>
      <c r="Q45" s="324"/>
      <c r="R45" s="324"/>
    </row>
    <row r="46" spans="7:18" s="340" customFormat="1">
      <c r="G46" s="324"/>
      <c r="H46" s="324"/>
      <c r="I46" s="324"/>
      <c r="J46" s="324"/>
      <c r="K46" s="324"/>
      <c r="L46" s="324"/>
      <c r="M46" s="324"/>
      <c r="N46" s="324"/>
      <c r="O46" s="324"/>
      <c r="P46" s="324"/>
      <c r="Q46" s="324"/>
      <c r="R46" s="324"/>
    </row>
    <row r="47" spans="7:18" s="340" customFormat="1">
      <c r="G47" s="324"/>
      <c r="H47" s="324"/>
      <c r="I47" s="324"/>
      <c r="J47" s="324"/>
      <c r="K47" s="324"/>
      <c r="L47" s="324"/>
      <c r="M47" s="324"/>
      <c r="N47" s="324"/>
      <c r="O47" s="324"/>
      <c r="P47" s="324"/>
      <c r="Q47" s="324"/>
      <c r="R47" s="324"/>
    </row>
    <row r="48" spans="7:18" s="340" customFormat="1">
      <c r="G48" s="324"/>
      <c r="H48" s="324"/>
      <c r="I48" s="324"/>
      <c r="J48" s="324"/>
      <c r="K48" s="324"/>
      <c r="L48" s="324"/>
      <c r="M48" s="324"/>
      <c r="N48" s="324"/>
      <c r="O48" s="324"/>
      <c r="P48" s="324"/>
      <c r="Q48" s="324"/>
      <c r="R48" s="324"/>
    </row>
    <row r="49" spans="7:18" s="340" customFormat="1">
      <c r="G49" s="324"/>
      <c r="H49" s="324"/>
      <c r="I49" s="324"/>
      <c r="J49" s="324"/>
      <c r="K49" s="324"/>
      <c r="L49" s="324"/>
      <c r="M49" s="324"/>
      <c r="N49" s="324"/>
      <c r="O49" s="324"/>
      <c r="P49" s="324"/>
      <c r="Q49" s="324"/>
      <c r="R49" s="324"/>
    </row>
    <row r="50" spans="7:18" s="340" customFormat="1">
      <c r="G50" s="324"/>
      <c r="H50" s="324"/>
      <c r="I50" s="324"/>
      <c r="J50" s="324"/>
      <c r="K50" s="324"/>
      <c r="L50" s="324"/>
      <c r="M50" s="324"/>
      <c r="N50" s="324"/>
      <c r="O50" s="324"/>
      <c r="P50" s="324"/>
      <c r="Q50" s="324"/>
      <c r="R50" s="324"/>
    </row>
    <row r="51" spans="7:18" s="340" customFormat="1">
      <c r="G51" s="324"/>
      <c r="H51" s="324"/>
      <c r="I51" s="324"/>
      <c r="J51" s="324"/>
      <c r="K51" s="324"/>
      <c r="L51" s="324"/>
      <c r="M51" s="324"/>
      <c r="N51" s="324"/>
      <c r="O51" s="324"/>
      <c r="P51" s="324"/>
      <c r="Q51" s="324"/>
      <c r="R51" s="324"/>
    </row>
    <row r="52" spans="7:18" s="340" customFormat="1">
      <c r="G52" s="324"/>
      <c r="H52" s="324"/>
      <c r="I52" s="324"/>
      <c r="J52" s="324"/>
      <c r="K52" s="324"/>
      <c r="L52" s="324"/>
      <c r="M52" s="324"/>
      <c r="N52" s="324"/>
      <c r="O52" s="324"/>
      <c r="P52" s="324"/>
      <c r="Q52" s="324"/>
      <c r="R52" s="324"/>
    </row>
    <row r="53" spans="7:18" s="340" customFormat="1">
      <c r="G53" s="324"/>
      <c r="H53" s="324"/>
      <c r="I53" s="324"/>
      <c r="J53" s="324"/>
      <c r="K53" s="324"/>
      <c r="L53" s="324"/>
      <c r="M53" s="324"/>
      <c r="N53" s="324"/>
      <c r="O53" s="324"/>
      <c r="P53" s="324"/>
      <c r="Q53" s="324"/>
      <c r="R53" s="324"/>
    </row>
    <row r="54" spans="7:18" s="340" customFormat="1">
      <c r="G54" s="324"/>
      <c r="H54" s="324"/>
      <c r="I54" s="324"/>
      <c r="J54" s="324"/>
      <c r="K54" s="324"/>
      <c r="L54" s="324"/>
      <c r="M54" s="324"/>
      <c r="N54" s="324"/>
      <c r="O54" s="324"/>
      <c r="P54" s="324"/>
      <c r="Q54" s="324"/>
      <c r="R54" s="324"/>
    </row>
    <row r="55" spans="7:18" s="340" customFormat="1">
      <c r="G55" s="324"/>
      <c r="H55" s="324"/>
      <c r="I55" s="324"/>
      <c r="J55" s="324"/>
      <c r="K55" s="324"/>
      <c r="L55" s="324"/>
      <c r="M55" s="324"/>
      <c r="N55" s="324"/>
      <c r="O55" s="324"/>
      <c r="P55" s="324"/>
      <c r="Q55" s="324"/>
      <c r="R55" s="324"/>
    </row>
    <row r="56" spans="7:18" s="340" customFormat="1">
      <c r="G56" s="324"/>
      <c r="H56" s="324"/>
      <c r="I56" s="324"/>
      <c r="J56" s="324"/>
      <c r="K56" s="324"/>
      <c r="L56" s="324"/>
      <c r="M56" s="324"/>
      <c r="N56" s="324"/>
      <c r="O56" s="324"/>
      <c r="P56" s="324"/>
      <c r="Q56" s="324"/>
      <c r="R56" s="324"/>
    </row>
    <row r="57" spans="7:18" s="340" customFormat="1">
      <c r="G57" s="324"/>
      <c r="H57" s="324"/>
      <c r="I57" s="324"/>
      <c r="J57" s="324"/>
      <c r="K57" s="324"/>
      <c r="L57" s="324"/>
      <c r="M57" s="324"/>
      <c r="N57" s="324"/>
      <c r="O57" s="324"/>
      <c r="P57" s="324"/>
      <c r="Q57" s="324"/>
      <c r="R57" s="324"/>
    </row>
    <row r="58" spans="7:18" s="340" customFormat="1">
      <c r="G58" s="324"/>
      <c r="H58" s="324"/>
      <c r="I58" s="324"/>
      <c r="J58" s="324"/>
      <c r="K58" s="324"/>
      <c r="L58" s="324"/>
      <c r="M58" s="324"/>
      <c r="N58" s="324"/>
      <c r="O58" s="324"/>
      <c r="P58" s="324"/>
      <c r="Q58" s="324"/>
      <c r="R58" s="324"/>
    </row>
    <row r="59" spans="7:18" s="340" customFormat="1">
      <c r="G59" s="324"/>
      <c r="H59" s="324"/>
      <c r="I59" s="324"/>
      <c r="J59" s="324"/>
      <c r="K59" s="324"/>
      <c r="L59" s="324"/>
      <c r="M59" s="324"/>
      <c r="N59" s="324"/>
      <c r="O59" s="324"/>
      <c r="P59" s="324"/>
      <c r="Q59" s="324"/>
      <c r="R59" s="324"/>
    </row>
    <row r="60" spans="7:18" s="340" customFormat="1">
      <c r="G60" s="324"/>
      <c r="H60" s="324"/>
      <c r="I60" s="324"/>
      <c r="J60" s="324"/>
      <c r="K60" s="324"/>
      <c r="L60" s="324"/>
      <c r="M60" s="324"/>
      <c r="N60" s="324"/>
      <c r="O60" s="324"/>
      <c r="P60" s="324"/>
      <c r="Q60" s="324"/>
      <c r="R60" s="324"/>
    </row>
    <row r="61" spans="7:18" s="340" customFormat="1">
      <c r="G61" s="324"/>
      <c r="H61" s="324"/>
      <c r="I61" s="324"/>
      <c r="J61" s="324"/>
      <c r="K61" s="324"/>
      <c r="L61" s="324"/>
      <c r="M61" s="324"/>
      <c r="N61" s="324"/>
      <c r="O61" s="324"/>
      <c r="P61" s="324"/>
      <c r="Q61" s="324"/>
      <c r="R61" s="324"/>
    </row>
    <row r="62" spans="7:18" s="340" customFormat="1">
      <c r="G62" s="324"/>
      <c r="H62" s="324"/>
      <c r="I62" s="324"/>
      <c r="J62" s="324"/>
      <c r="K62" s="324"/>
      <c r="L62" s="324"/>
      <c r="M62" s="324"/>
      <c r="N62" s="324"/>
      <c r="O62" s="324"/>
      <c r="P62" s="324"/>
      <c r="Q62" s="324"/>
      <c r="R62" s="324"/>
    </row>
    <row r="63" spans="7:18" s="340" customFormat="1">
      <c r="G63" s="324"/>
      <c r="H63" s="324"/>
      <c r="I63" s="324"/>
      <c r="J63" s="324"/>
      <c r="K63" s="324"/>
      <c r="L63" s="324"/>
      <c r="M63" s="324"/>
      <c r="N63" s="324"/>
      <c r="O63" s="324"/>
      <c r="P63" s="324"/>
      <c r="Q63" s="324"/>
      <c r="R63" s="324"/>
    </row>
    <row r="64" spans="7:18" s="340" customFormat="1">
      <c r="G64" s="324"/>
      <c r="H64" s="324"/>
      <c r="I64" s="324"/>
      <c r="J64" s="324"/>
      <c r="K64" s="324"/>
      <c r="L64" s="324"/>
      <c r="M64" s="324"/>
      <c r="N64" s="324"/>
      <c r="O64" s="324"/>
      <c r="P64" s="324"/>
      <c r="Q64" s="324"/>
      <c r="R64" s="324"/>
    </row>
  </sheetData>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E444B-FAD0-450A-90BB-5A04DC12F2D0}">
  <sheetPr codeName="Sheet8"/>
  <dimension ref="A1:Q8"/>
  <sheetViews>
    <sheetView workbookViewId="0"/>
  </sheetViews>
  <sheetFormatPr defaultColWidth="8.6640625" defaultRowHeight="15.6"/>
  <cols>
    <col min="1" max="1" width="12.44140625" style="65" customWidth="1"/>
    <col min="2" max="2" width="16.44140625" style="65" customWidth="1"/>
    <col min="3" max="3" width="28.33203125" style="65" customWidth="1"/>
    <col min="4" max="7" width="8.6640625" style="65"/>
    <col min="8" max="8" width="23.6640625" style="65" customWidth="1"/>
    <col min="9" max="10" width="19.88671875" style="65" customWidth="1"/>
    <col min="11" max="11" width="22.33203125" style="65" customWidth="1"/>
    <col min="12" max="14" width="18.5546875" style="65" customWidth="1"/>
    <col min="15" max="15" width="7.33203125" style="65" customWidth="1"/>
    <col min="16" max="16" width="24.6640625" style="65" customWidth="1"/>
    <col min="17" max="17" width="7.33203125" style="65" customWidth="1"/>
    <col min="18" max="16384" width="8.6640625" style="65"/>
  </cols>
  <sheetData>
    <row r="1" spans="1:17" s="63" customFormat="1" ht="21">
      <c r="A1" s="62" t="s">
        <v>404</v>
      </c>
    </row>
    <row r="2" spans="1:17" s="63" customFormat="1" ht="21">
      <c r="A2" s="62" t="s">
        <v>405</v>
      </c>
    </row>
    <row r="3" spans="1:17">
      <c r="A3" s="64" t="s">
        <v>406</v>
      </c>
      <c r="B3" s="65" t="s">
        <v>407</v>
      </c>
    </row>
    <row r="4" spans="1:17">
      <c r="A4" s="65" t="s">
        <v>408</v>
      </c>
      <c r="B4" s="65" t="s">
        <v>409</v>
      </c>
    </row>
    <row r="5" spans="1:17">
      <c r="A5" s="64" t="s">
        <v>410</v>
      </c>
      <c r="B5" s="65" t="s">
        <v>411</v>
      </c>
    </row>
    <row r="6" spans="1:17">
      <c r="A6" s="65" t="s">
        <v>412</v>
      </c>
      <c r="B6" s="65" t="s">
        <v>413</v>
      </c>
    </row>
    <row r="8" spans="1:17" s="66" customFormat="1" ht="55.2">
      <c r="A8" s="1" t="s">
        <v>76</v>
      </c>
      <c r="B8" s="53" t="s">
        <v>77</v>
      </c>
      <c r="C8" s="53" t="s">
        <v>78</v>
      </c>
      <c r="D8" s="54" t="s">
        <v>79</v>
      </c>
      <c r="E8" s="54" t="s">
        <v>80</v>
      </c>
      <c r="F8" s="54" t="s">
        <v>81</v>
      </c>
      <c r="G8" s="54" t="s">
        <v>82</v>
      </c>
      <c r="H8" s="2" t="s">
        <v>83</v>
      </c>
      <c r="I8" s="53" t="s">
        <v>402</v>
      </c>
      <c r="J8" s="53" t="s">
        <v>84</v>
      </c>
      <c r="K8" s="2" t="s">
        <v>85</v>
      </c>
      <c r="L8" s="53" t="s">
        <v>86</v>
      </c>
      <c r="M8" s="53" t="s">
        <v>87</v>
      </c>
      <c r="N8" s="2" t="s">
        <v>88</v>
      </c>
      <c r="O8" s="55" t="s">
        <v>89</v>
      </c>
      <c r="P8" s="2" t="s">
        <v>90</v>
      </c>
      <c r="Q8" s="13" t="s">
        <v>91</v>
      </c>
    </row>
  </sheetData>
  <phoneticPr fontId="72" type="noConversion"/>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8BE9-89FE-4713-BCB6-BBB597088C51}">
  <sheetPr codeName="Sheet14">
    <tabColor theme="5" tint="0.59999389629810485"/>
  </sheetPr>
  <dimension ref="A1:X20"/>
  <sheetViews>
    <sheetView workbookViewId="0">
      <selection activeCell="N12" sqref="N12"/>
    </sheetView>
  </sheetViews>
  <sheetFormatPr defaultRowHeight="14.4"/>
  <cols>
    <col min="1" max="1" width="26.6640625" customWidth="1"/>
    <col min="2" max="2" width="19.33203125" customWidth="1"/>
    <col min="3" max="3" width="29.33203125" customWidth="1"/>
    <col min="4" max="4" width="4.44140625" style="302" customWidth="1"/>
    <col min="5" max="24" width="4.33203125" style="302" customWidth="1"/>
  </cols>
  <sheetData>
    <row r="1" spans="1:24" ht="31.8">
      <c r="A1" t="s">
        <v>420</v>
      </c>
      <c r="C1" t="s">
        <v>421</v>
      </c>
      <c r="E1" s="303" t="s">
        <v>30</v>
      </c>
      <c r="F1" s="303" t="s">
        <v>29</v>
      </c>
      <c r="G1" s="303" t="s">
        <v>33</v>
      </c>
      <c r="H1" s="303" t="s">
        <v>31</v>
      </c>
      <c r="I1" s="303" t="s">
        <v>34</v>
      </c>
      <c r="J1" s="303" t="s">
        <v>32</v>
      </c>
      <c r="K1" s="303" t="s">
        <v>37</v>
      </c>
      <c r="L1" s="303" t="s">
        <v>36</v>
      </c>
      <c r="M1" s="303" t="s">
        <v>35</v>
      </c>
      <c r="N1" s="303" t="s">
        <v>38</v>
      </c>
      <c r="O1" s="303" t="s">
        <v>39</v>
      </c>
      <c r="P1" s="303" t="s">
        <v>42</v>
      </c>
      <c r="Q1" s="303" t="s">
        <v>40</v>
      </c>
      <c r="R1" s="303" t="s">
        <v>41</v>
      </c>
      <c r="S1" s="303" t="s">
        <v>43</v>
      </c>
      <c r="T1" s="303" t="s">
        <v>45</v>
      </c>
      <c r="U1" s="303" t="s">
        <v>44</v>
      </c>
      <c r="V1" s="303" t="s">
        <v>46</v>
      </c>
      <c r="W1" s="303" t="s">
        <v>27</v>
      </c>
      <c r="X1" s="303" t="s">
        <v>28</v>
      </c>
    </row>
    <row r="2" spans="1:24">
      <c r="A2" t="s">
        <v>422</v>
      </c>
      <c r="B2" s="304"/>
      <c r="C2" s="304"/>
    </row>
    <row r="3" spans="1:24">
      <c r="A3" t="s">
        <v>423</v>
      </c>
      <c r="B3" s="304"/>
    </row>
    <row r="4" spans="1:24">
      <c r="A4" t="s">
        <v>424</v>
      </c>
      <c r="B4" s="304"/>
    </row>
    <row r="5" spans="1:24">
      <c r="B5" s="304"/>
    </row>
    <row r="6" spans="1:24">
      <c r="A6" t="s">
        <v>425</v>
      </c>
      <c r="B6" s="304"/>
      <c r="C6" s="304"/>
    </row>
    <row r="7" spans="1:24">
      <c r="B7" s="304"/>
    </row>
    <row r="8" spans="1:24">
      <c r="A8" t="s">
        <v>427</v>
      </c>
      <c r="B8" s="304"/>
      <c r="D8" s="302">
        <f>COUNTIF(E8:Y8,"x")</f>
        <v>0</v>
      </c>
    </row>
    <row r="9" spans="1:24">
      <c r="A9" t="s">
        <v>427</v>
      </c>
      <c r="B9" s="304"/>
      <c r="D9" s="302">
        <f t="shared" ref="D9:D14" si="0">COUNTIF(E9:Y9,"x")</f>
        <v>0</v>
      </c>
    </row>
    <row r="10" spans="1:24">
      <c r="A10" t="s">
        <v>427</v>
      </c>
      <c r="B10" s="304"/>
      <c r="D10" s="302">
        <f t="shared" si="0"/>
        <v>0</v>
      </c>
    </row>
    <row r="11" spans="1:24">
      <c r="A11" t="s">
        <v>427</v>
      </c>
      <c r="B11" s="304"/>
      <c r="D11" s="302">
        <f t="shared" si="0"/>
        <v>0</v>
      </c>
    </row>
    <row r="12" spans="1:24">
      <c r="A12" t="s">
        <v>427</v>
      </c>
      <c r="B12" s="304"/>
      <c r="D12" s="302">
        <f t="shared" si="0"/>
        <v>0</v>
      </c>
    </row>
    <row r="13" spans="1:24">
      <c r="A13" t="s">
        <v>427</v>
      </c>
      <c r="B13" s="304"/>
      <c r="D13" s="302">
        <f t="shared" si="0"/>
        <v>0</v>
      </c>
    </row>
    <row r="14" spans="1:24">
      <c r="A14" t="s">
        <v>427</v>
      </c>
      <c r="B14" s="304"/>
      <c r="D14" s="302">
        <f t="shared" si="0"/>
        <v>0</v>
      </c>
    </row>
    <row r="15" spans="1:24">
      <c r="B15" s="304"/>
      <c r="E15" s="302">
        <f t="shared" ref="E15:X15" si="1">COUNTIF(E6:E14,"x")</f>
        <v>0</v>
      </c>
      <c r="F15" s="302">
        <f t="shared" si="1"/>
        <v>0</v>
      </c>
      <c r="G15" s="302">
        <f t="shared" si="1"/>
        <v>0</v>
      </c>
      <c r="H15" s="302">
        <f t="shared" si="1"/>
        <v>0</v>
      </c>
      <c r="I15" s="302">
        <f t="shared" si="1"/>
        <v>0</v>
      </c>
      <c r="J15" s="302">
        <f t="shared" si="1"/>
        <v>0</v>
      </c>
      <c r="K15" s="302">
        <f t="shared" si="1"/>
        <v>0</v>
      </c>
      <c r="L15" s="302">
        <f t="shared" si="1"/>
        <v>0</v>
      </c>
      <c r="M15" s="302">
        <f t="shared" si="1"/>
        <v>0</v>
      </c>
      <c r="N15" s="302">
        <f t="shared" si="1"/>
        <v>0</v>
      </c>
      <c r="O15" s="302">
        <f t="shared" si="1"/>
        <v>0</v>
      </c>
      <c r="P15" s="302">
        <f t="shared" si="1"/>
        <v>0</v>
      </c>
      <c r="Q15" s="302">
        <f t="shared" si="1"/>
        <v>0</v>
      </c>
      <c r="R15" s="302">
        <f t="shared" si="1"/>
        <v>0</v>
      </c>
      <c r="S15" s="302">
        <f t="shared" si="1"/>
        <v>0</v>
      </c>
      <c r="T15" s="302">
        <f t="shared" si="1"/>
        <v>0</v>
      </c>
      <c r="U15" s="302">
        <f t="shared" si="1"/>
        <v>0</v>
      </c>
      <c r="V15" s="302">
        <f t="shared" si="1"/>
        <v>0</v>
      </c>
      <c r="W15" s="302">
        <f t="shared" si="1"/>
        <v>0</v>
      </c>
      <c r="X15" s="302">
        <f t="shared" si="1"/>
        <v>0</v>
      </c>
    </row>
    <row r="17" spans="3:3">
      <c r="C17" s="305" t="s">
        <v>428</v>
      </c>
    </row>
    <row r="18" spans="3:3">
      <c r="C18" s="306" t="s">
        <v>429</v>
      </c>
    </row>
    <row r="19" spans="3:3">
      <c r="C19" s="307" t="s">
        <v>430</v>
      </c>
    </row>
    <row r="20" spans="3:3">
      <c r="C20" s="308" t="s">
        <v>431</v>
      </c>
    </row>
  </sheetData>
  <phoneticPr fontId="72" type="noConversion"/>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90C879-A390-4A67-8E6D-7F131DCA2DA6}">
  <sheetPr codeName="Sheet34">
    <tabColor rgb="FF802C19"/>
  </sheetPr>
  <dimension ref="A1:W63"/>
  <sheetViews>
    <sheetView topLeftCell="C3" zoomScale="85" zoomScaleNormal="85" workbookViewId="0">
      <selection activeCell="E13" sqref="E13"/>
    </sheetView>
  </sheetViews>
  <sheetFormatPr defaultColWidth="8.77734375" defaultRowHeight="13.8"/>
  <cols>
    <col min="1" max="1" width="10.21875" style="329" customWidth="1"/>
    <col min="2" max="2" width="88.77734375" style="329" customWidth="1"/>
    <col min="3" max="4" width="22.44140625" style="329" customWidth="1"/>
    <col min="5" max="6" width="81.77734375" style="329" customWidth="1"/>
    <col min="7" max="7" width="23.21875" style="324" customWidth="1"/>
    <col min="8" max="23" width="8.77734375" style="324"/>
    <col min="24" max="16384" width="8.77734375" style="329"/>
  </cols>
  <sheetData>
    <row r="1" spans="1:23" s="322" customFormat="1" ht="25.8">
      <c r="A1" s="321" t="s">
        <v>155</v>
      </c>
      <c r="C1" s="323"/>
      <c r="G1" s="324"/>
      <c r="H1" s="324"/>
      <c r="I1" s="324"/>
      <c r="J1" s="324"/>
      <c r="K1" s="324"/>
      <c r="L1" s="324"/>
      <c r="M1" s="324"/>
      <c r="N1" s="324"/>
      <c r="O1" s="324"/>
      <c r="P1" s="324"/>
      <c r="Q1" s="324"/>
      <c r="R1" s="324"/>
      <c r="S1" s="324"/>
      <c r="T1" s="324"/>
      <c r="U1" s="324"/>
      <c r="V1" s="324"/>
      <c r="W1" s="324"/>
    </row>
    <row r="2" spans="1:23" s="322" customFormat="1" ht="25.8">
      <c r="A2" s="321" t="s">
        <v>1694</v>
      </c>
      <c r="C2" s="323"/>
      <c r="G2" s="324"/>
      <c r="H2" s="324"/>
      <c r="I2" s="324"/>
      <c r="J2" s="324"/>
      <c r="K2" s="324"/>
      <c r="L2" s="324"/>
      <c r="M2" s="324"/>
      <c r="N2" s="324"/>
      <c r="O2" s="324"/>
      <c r="P2" s="324"/>
      <c r="Q2" s="324"/>
      <c r="R2" s="324"/>
      <c r="S2" s="324"/>
      <c r="T2" s="324"/>
      <c r="U2" s="324"/>
      <c r="V2" s="324"/>
      <c r="W2" s="324"/>
    </row>
    <row r="3" spans="1:23" s="322" customFormat="1">
      <c r="A3" s="325" t="s">
        <v>447</v>
      </c>
      <c r="B3" s="322" t="s">
        <v>156</v>
      </c>
      <c r="G3" s="324"/>
      <c r="H3" s="324"/>
      <c r="I3" s="324"/>
      <c r="J3" s="324"/>
      <c r="K3" s="324"/>
      <c r="L3" s="324"/>
      <c r="M3" s="324"/>
      <c r="N3" s="324"/>
      <c r="O3" s="324"/>
      <c r="P3" s="324"/>
      <c r="Q3" s="324"/>
      <c r="R3" s="324"/>
      <c r="S3" s="324"/>
      <c r="T3" s="324"/>
      <c r="U3" s="324"/>
      <c r="V3" s="324"/>
      <c r="W3" s="324"/>
    </row>
    <row r="4" spans="1:23" s="322" customFormat="1">
      <c r="A4" s="325" t="s">
        <v>1695</v>
      </c>
      <c r="B4" s="322" t="s">
        <v>1696</v>
      </c>
      <c r="G4" s="324"/>
      <c r="H4" s="324"/>
      <c r="I4" s="324"/>
      <c r="J4" s="324"/>
      <c r="K4" s="324"/>
      <c r="L4" s="324"/>
      <c r="M4" s="324"/>
      <c r="N4" s="324"/>
      <c r="O4" s="324"/>
      <c r="P4" s="324"/>
      <c r="Q4" s="324"/>
      <c r="R4" s="324"/>
      <c r="S4" s="324"/>
      <c r="T4" s="324"/>
      <c r="U4" s="324"/>
      <c r="V4" s="324"/>
      <c r="W4" s="324"/>
    </row>
    <row r="5" spans="1:23" s="322" customFormat="1">
      <c r="A5" s="322" t="s">
        <v>448</v>
      </c>
      <c r="B5" s="322" t="s">
        <v>157</v>
      </c>
      <c r="G5" s="324"/>
      <c r="H5" s="324"/>
      <c r="I5" s="324"/>
      <c r="J5" s="324"/>
      <c r="K5" s="324"/>
      <c r="L5" s="324"/>
      <c r="M5" s="324"/>
      <c r="N5" s="324"/>
      <c r="O5" s="324"/>
      <c r="P5" s="324"/>
      <c r="Q5" s="324"/>
      <c r="R5" s="324"/>
      <c r="S5" s="324"/>
      <c r="T5" s="324"/>
      <c r="U5" s="324"/>
      <c r="V5" s="324"/>
      <c r="W5" s="324"/>
    </row>
    <row r="6" spans="1:23" s="322" customFormat="1">
      <c r="A6" s="322" t="s">
        <v>1697</v>
      </c>
      <c r="B6" s="322" t="s">
        <v>1698</v>
      </c>
      <c r="G6" s="324"/>
      <c r="H6" s="324"/>
      <c r="I6" s="324"/>
      <c r="J6" s="324"/>
      <c r="K6" s="324"/>
      <c r="L6" s="324"/>
      <c r="M6" s="324"/>
      <c r="N6" s="324"/>
      <c r="O6" s="324"/>
      <c r="P6" s="324"/>
      <c r="Q6" s="324"/>
      <c r="R6" s="324"/>
      <c r="S6" s="324"/>
      <c r="T6" s="324"/>
      <c r="U6" s="324"/>
      <c r="V6" s="324"/>
      <c r="W6" s="324"/>
    </row>
    <row r="8" spans="1:23" s="322" customFormat="1">
      <c r="A8" s="350"/>
      <c r="B8" s="350"/>
      <c r="C8" s="350" t="s">
        <v>96</v>
      </c>
      <c r="D8" s="350" t="s">
        <v>553</v>
      </c>
      <c r="E8" s="350" t="s">
        <v>85</v>
      </c>
      <c r="F8" s="350" t="s">
        <v>1653</v>
      </c>
      <c r="G8" s="350" t="s">
        <v>1674</v>
      </c>
    </row>
    <row r="9" spans="1:23" s="325" customFormat="1">
      <c r="A9" s="330" t="s">
        <v>47</v>
      </c>
      <c r="B9" s="330"/>
      <c r="C9" s="331"/>
      <c r="D9" s="331"/>
      <c r="E9" s="331"/>
      <c r="F9" s="331"/>
      <c r="G9" s="331"/>
    </row>
    <row r="10" spans="1:23" s="325" customFormat="1" ht="41.4">
      <c r="A10" s="3" t="s">
        <v>158</v>
      </c>
      <c r="B10" s="3" t="s">
        <v>1699</v>
      </c>
      <c r="C10" s="336" t="s">
        <v>1700</v>
      </c>
      <c r="D10" s="336" t="s">
        <v>1701</v>
      </c>
      <c r="E10" s="336" t="s">
        <v>1565</v>
      </c>
      <c r="F10" s="336"/>
      <c r="G10" s="3"/>
    </row>
    <row r="11" spans="1:23" s="148" customFormat="1">
      <c r="A11" s="330" t="s">
        <v>54</v>
      </c>
      <c r="B11" s="330"/>
      <c r="C11" s="331"/>
      <c r="D11" s="331"/>
      <c r="E11" s="331"/>
      <c r="F11" s="331"/>
      <c r="G11" s="331"/>
      <c r="H11" s="325"/>
      <c r="I11" s="325"/>
      <c r="J11" s="325"/>
      <c r="K11" s="325"/>
      <c r="L11" s="325"/>
      <c r="M11" s="325"/>
      <c r="N11" s="325"/>
      <c r="O11" s="325"/>
      <c r="P11" s="325"/>
      <c r="Q11" s="325"/>
      <c r="R11" s="325"/>
      <c r="S11" s="325"/>
      <c r="T11" s="325"/>
      <c r="U11" s="325"/>
      <c r="V11" s="325"/>
      <c r="W11" s="325"/>
    </row>
    <row r="12" spans="1:23" s="148" customFormat="1" ht="110.4">
      <c r="A12" s="3" t="s">
        <v>159</v>
      </c>
      <c r="B12" s="3" t="s">
        <v>160</v>
      </c>
      <c r="C12" s="336" t="s">
        <v>1702</v>
      </c>
      <c r="D12" s="336" t="s">
        <v>1703</v>
      </c>
      <c r="E12" s="336" t="s">
        <v>1704</v>
      </c>
      <c r="F12" s="336"/>
      <c r="G12" s="3"/>
      <c r="H12" s="325"/>
      <c r="I12" s="325"/>
      <c r="J12" s="325"/>
      <c r="K12" s="325"/>
      <c r="L12" s="325"/>
      <c r="M12" s="325"/>
      <c r="N12" s="325"/>
      <c r="O12" s="325"/>
      <c r="P12" s="325"/>
      <c r="Q12" s="325"/>
      <c r="R12" s="325"/>
      <c r="S12" s="325"/>
      <c r="T12" s="325"/>
      <c r="U12" s="325"/>
      <c r="V12" s="325"/>
      <c r="W12" s="325"/>
    </row>
    <row r="13" spans="1:23" s="93" customFormat="1" ht="82.8">
      <c r="A13" s="3" t="s">
        <v>161</v>
      </c>
      <c r="B13" s="3" t="s">
        <v>1705</v>
      </c>
      <c r="C13" s="336" t="s">
        <v>1706</v>
      </c>
      <c r="D13" s="336" t="s">
        <v>1707</v>
      </c>
      <c r="E13" s="336" t="s">
        <v>1993</v>
      </c>
      <c r="F13" s="336"/>
      <c r="G13" s="3"/>
      <c r="H13" s="325"/>
      <c r="I13" s="325"/>
      <c r="J13" s="325"/>
      <c r="K13" s="325"/>
      <c r="L13" s="325"/>
      <c r="M13" s="325"/>
      <c r="N13" s="325"/>
      <c r="O13" s="325"/>
      <c r="P13" s="325"/>
      <c r="Q13" s="325"/>
      <c r="R13" s="325"/>
      <c r="S13" s="325"/>
      <c r="T13" s="325"/>
      <c r="U13" s="325"/>
      <c r="V13" s="325"/>
      <c r="W13" s="325"/>
    </row>
    <row r="14" spans="1:23" s="325" customFormat="1" ht="96.6">
      <c r="A14" s="3" t="s">
        <v>162</v>
      </c>
      <c r="B14" s="3" t="s">
        <v>1708</v>
      </c>
      <c r="C14" s="336" t="s">
        <v>1709</v>
      </c>
      <c r="D14" s="336" t="s">
        <v>1710</v>
      </c>
      <c r="E14" s="336" t="s">
        <v>1992</v>
      </c>
      <c r="F14" s="336"/>
      <c r="G14" s="3"/>
    </row>
    <row r="15" spans="1:23" s="325" customFormat="1" ht="27.6">
      <c r="A15" s="3" t="s">
        <v>163</v>
      </c>
      <c r="B15" s="3" t="s">
        <v>1711</v>
      </c>
      <c r="C15" s="336" t="s">
        <v>450</v>
      </c>
      <c r="D15" s="336" t="s">
        <v>449</v>
      </c>
      <c r="E15" s="336" t="s">
        <v>1566</v>
      </c>
      <c r="F15" s="336"/>
      <c r="G15" s="3"/>
    </row>
    <row r="16" spans="1:23" s="148" customFormat="1">
      <c r="A16" s="330" t="s">
        <v>56</v>
      </c>
      <c r="B16" s="330"/>
      <c r="C16" s="331"/>
      <c r="D16" s="331"/>
      <c r="E16" s="331"/>
      <c r="F16" s="331"/>
      <c r="G16" s="331"/>
      <c r="H16" s="325"/>
      <c r="I16" s="325"/>
      <c r="J16" s="325"/>
      <c r="K16" s="325"/>
      <c r="L16" s="325"/>
      <c r="M16" s="325"/>
      <c r="N16" s="325"/>
      <c r="O16" s="325"/>
      <c r="P16" s="325"/>
      <c r="Q16" s="325"/>
      <c r="R16" s="325"/>
      <c r="S16" s="325"/>
      <c r="T16" s="325"/>
      <c r="U16" s="325"/>
      <c r="V16" s="325"/>
      <c r="W16" s="325"/>
    </row>
    <row r="17" spans="1:23" s="148" customFormat="1" ht="69">
      <c r="A17" s="3" t="s">
        <v>164</v>
      </c>
      <c r="B17" s="3" t="s">
        <v>1712</v>
      </c>
      <c r="C17" s="336" t="s">
        <v>451</v>
      </c>
      <c r="D17" s="336" t="s">
        <v>1713</v>
      </c>
      <c r="E17" s="336" t="s">
        <v>1567</v>
      </c>
      <c r="F17" s="336"/>
      <c r="G17" s="3"/>
      <c r="H17" s="325"/>
      <c r="I17" s="325"/>
      <c r="J17" s="325"/>
      <c r="K17" s="325"/>
      <c r="L17" s="325"/>
      <c r="M17" s="325"/>
      <c r="N17" s="325"/>
      <c r="O17" s="325"/>
      <c r="P17" s="325"/>
      <c r="Q17" s="325"/>
      <c r="R17" s="325"/>
      <c r="S17" s="325"/>
      <c r="T17" s="325"/>
      <c r="U17" s="325"/>
      <c r="V17" s="325"/>
      <c r="W17" s="325"/>
    </row>
    <row r="18" spans="1:23" s="339" customFormat="1">
      <c r="G18" s="324"/>
      <c r="H18" s="324"/>
      <c r="I18" s="324"/>
      <c r="J18" s="324"/>
      <c r="K18" s="324"/>
      <c r="L18" s="324"/>
      <c r="M18" s="324"/>
      <c r="N18" s="324"/>
      <c r="O18" s="324"/>
      <c r="P18" s="324"/>
      <c r="Q18" s="324"/>
      <c r="R18" s="324"/>
      <c r="S18" s="324"/>
      <c r="T18" s="324"/>
      <c r="U18" s="324"/>
      <c r="V18" s="324"/>
      <c r="W18" s="324"/>
    </row>
    <row r="19" spans="1:23" s="339" customFormat="1">
      <c r="G19" s="324"/>
      <c r="H19" s="324"/>
      <c r="I19" s="324"/>
      <c r="J19" s="324"/>
      <c r="K19" s="324"/>
      <c r="L19" s="324"/>
      <c r="M19" s="324"/>
      <c r="N19" s="324"/>
      <c r="O19" s="324"/>
      <c r="P19" s="324"/>
      <c r="Q19" s="324"/>
      <c r="R19" s="324"/>
      <c r="S19" s="324"/>
      <c r="T19" s="324"/>
      <c r="U19" s="324"/>
      <c r="V19" s="324"/>
      <c r="W19" s="324"/>
    </row>
    <row r="20" spans="1:23" s="339" customFormat="1">
      <c r="G20" s="324"/>
      <c r="H20" s="324"/>
      <c r="I20" s="324"/>
      <c r="J20" s="324"/>
      <c r="K20" s="324"/>
      <c r="L20" s="324"/>
      <c r="M20" s="324"/>
      <c r="N20" s="324"/>
      <c r="O20" s="324"/>
      <c r="P20" s="324"/>
      <c r="Q20" s="324"/>
      <c r="R20" s="324"/>
      <c r="S20" s="324"/>
      <c r="T20" s="324"/>
      <c r="U20" s="324"/>
      <c r="V20" s="324"/>
      <c r="W20" s="324"/>
    </row>
    <row r="21" spans="1:23" s="339" customFormat="1">
      <c r="G21" s="324"/>
      <c r="H21" s="324"/>
      <c r="I21" s="324"/>
      <c r="J21" s="324"/>
      <c r="K21" s="324"/>
      <c r="L21" s="324"/>
      <c r="M21" s="324"/>
      <c r="N21" s="324"/>
      <c r="O21" s="324"/>
      <c r="P21" s="324"/>
      <c r="Q21" s="324"/>
      <c r="R21" s="324"/>
      <c r="S21" s="324"/>
      <c r="T21" s="324"/>
      <c r="U21" s="324"/>
      <c r="V21" s="324"/>
      <c r="W21" s="324"/>
    </row>
    <row r="22" spans="1:23" s="339" customFormat="1">
      <c r="G22" s="324"/>
      <c r="H22" s="324"/>
      <c r="I22" s="324"/>
      <c r="J22" s="324"/>
      <c r="K22" s="324"/>
      <c r="L22" s="324"/>
      <c r="M22" s="324"/>
      <c r="N22" s="324"/>
      <c r="O22" s="324"/>
      <c r="P22" s="324"/>
      <c r="Q22" s="324"/>
      <c r="R22" s="324"/>
      <c r="S22" s="324"/>
      <c r="T22" s="324"/>
      <c r="U22" s="324"/>
      <c r="V22" s="324"/>
      <c r="W22" s="324"/>
    </row>
    <row r="23" spans="1:23" s="339" customFormat="1">
      <c r="G23" s="324"/>
      <c r="H23" s="324"/>
      <c r="I23" s="324"/>
      <c r="J23" s="324"/>
      <c r="K23" s="324"/>
      <c r="L23" s="324"/>
      <c r="M23" s="324"/>
      <c r="N23" s="324"/>
      <c r="O23" s="324"/>
      <c r="P23" s="324"/>
      <c r="Q23" s="324"/>
      <c r="R23" s="324"/>
      <c r="S23" s="324"/>
      <c r="T23" s="324"/>
      <c r="U23" s="324"/>
      <c r="V23" s="324"/>
      <c r="W23" s="324"/>
    </row>
    <row r="24" spans="1:23" s="339" customFormat="1">
      <c r="G24" s="324"/>
      <c r="H24" s="324"/>
      <c r="I24" s="324"/>
      <c r="J24" s="324"/>
      <c r="K24" s="324"/>
      <c r="L24" s="324"/>
      <c r="M24" s="324"/>
      <c r="N24" s="324"/>
      <c r="O24" s="324"/>
      <c r="P24" s="324"/>
      <c r="Q24" s="324"/>
      <c r="R24" s="324"/>
      <c r="S24" s="324"/>
      <c r="T24" s="324"/>
      <c r="U24" s="324"/>
      <c r="V24" s="324"/>
      <c r="W24" s="324"/>
    </row>
    <row r="25" spans="1:23" s="339" customFormat="1">
      <c r="G25" s="324"/>
      <c r="H25" s="324"/>
      <c r="I25" s="324"/>
      <c r="J25" s="324"/>
      <c r="K25" s="324"/>
      <c r="L25" s="324"/>
      <c r="M25" s="324"/>
      <c r="N25" s="324"/>
      <c r="O25" s="324"/>
      <c r="P25" s="324"/>
      <c r="Q25" s="324"/>
      <c r="R25" s="324"/>
      <c r="S25" s="324"/>
      <c r="T25" s="324"/>
      <c r="U25" s="324"/>
      <c r="V25" s="324"/>
      <c r="W25" s="324"/>
    </row>
    <row r="26" spans="1:23" s="339" customFormat="1">
      <c r="G26" s="324"/>
      <c r="H26" s="324"/>
      <c r="I26" s="324"/>
      <c r="J26" s="324"/>
      <c r="K26" s="324"/>
      <c r="L26" s="324"/>
      <c r="M26" s="324"/>
      <c r="N26" s="324"/>
      <c r="O26" s="324"/>
      <c r="P26" s="324"/>
      <c r="Q26" s="324"/>
      <c r="R26" s="324"/>
      <c r="S26" s="324"/>
      <c r="T26" s="324"/>
      <c r="U26" s="324"/>
      <c r="V26" s="324"/>
      <c r="W26" s="324"/>
    </row>
    <row r="27" spans="1:23" s="339" customFormat="1">
      <c r="G27" s="324"/>
      <c r="H27" s="324"/>
      <c r="I27" s="324"/>
      <c r="J27" s="324"/>
      <c r="K27" s="324"/>
      <c r="L27" s="324"/>
      <c r="M27" s="324"/>
      <c r="N27" s="324"/>
      <c r="O27" s="324"/>
      <c r="P27" s="324"/>
      <c r="Q27" s="324"/>
      <c r="R27" s="324"/>
      <c r="S27" s="324"/>
      <c r="T27" s="324"/>
      <c r="U27" s="324"/>
      <c r="V27" s="324"/>
      <c r="W27" s="324"/>
    </row>
    <row r="28" spans="1:23" s="339" customFormat="1">
      <c r="G28" s="324"/>
      <c r="H28" s="324"/>
      <c r="I28" s="324"/>
      <c r="J28" s="324"/>
      <c r="K28" s="324"/>
      <c r="L28" s="324"/>
      <c r="M28" s="324"/>
      <c r="N28" s="324"/>
      <c r="O28" s="324"/>
      <c r="P28" s="324"/>
      <c r="Q28" s="324"/>
      <c r="R28" s="324"/>
      <c r="S28" s="324"/>
      <c r="T28" s="324"/>
      <c r="U28" s="324"/>
      <c r="V28" s="324"/>
      <c r="W28" s="324"/>
    </row>
    <row r="29" spans="1:23" s="339" customFormat="1">
      <c r="G29" s="324"/>
      <c r="H29" s="324"/>
      <c r="I29" s="324"/>
      <c r="J29" s="324"/>
      <c r="K29" s="324"/>
      <c r="L29" s="324"/>
      <c r="M29" s="324"/>
      <c r="N29" s="324"/>
      <c r="O29" s="324"/>
      <c r="P29" s="324"/>
      <c r="Q29" s="324"/>
      <c r="R29" s="324"/>
      <c r="S29" s="324"/>
      <c r="T29" s="324"/>
      <c r="U29" s="324"/>
      <c r="V29" s="324"/>
      <c r="W29" s="324"/>
    </row>
    <row r="30" spans="1:23" s="339" customFormat="1">
      <c r="G30" s="324"/>
      <c r="H30" s="324"/>
      <c r="I30" s="324"/>
      <c r="J30" s="324"/>
      <c r="K30" s="324"/>
      <c r="L30" s="324"/>
      <c r="M30" s="324"/>
      <c r="N30" s="324"/>
      <c r="O30" s="324"/>
      <c r="P30" s="324"/>
      <c r="Q30" s="324"/>
      <c r="R30" s="324"/>
      <c r="S30" s="324"/>
      <c r="T30" s="324"/>
      <c r="U30" s="324"/>
      <c r="V30" s="324"/>
      <c r="W30" s="324"/>
    </row>
    <row r="31" spans="1:23" s="339" customFormat="1">
      <c r="G31" s="324"/>
      <c r="H31" s="324"/>
      <c r="I31" s="324"/>
      <c r="J31" s="324"/>
      <c r="K31" s="324"/>
      <c r="L31" s="324"/>
      <c r="M31" s="324"/>
      <c r="N31" s="324"/>
      <c r="O31" s="324"/>
      <c r="P31" s="324"/>
      <c r="Q31" s="324"/>
      <c r="R31" s="324"/>
      <c r="S31" s="324"/>
      <c r="T31" s="324"/>
      <c r="U31" s="324"/>
      <c r="V31" s="324"/>
      <c r="W31" s="324"/>
    </row>
    <row r="32" spans="1:23" s="339" customFormat="1">
      <c r="G32" s="324"/>
      <c r="H32" s="324"/>
      <c r="I32" s="324"/>
      <c r="J32" s="324"/>
      <c r="K32" s="324"/>
      <c r="L32" s="324"/>
      <c r="M32" s="324"/>
      <c r="N32" s="324"/>
      <c r="O32" s="324"/>
      <c r="P32" s="324"/>
      <c r="Q32" s="324"/>
      <c r="R32" s="324"/>
      <c r="S32" s="324"/>
      <c r="T32" s="324"/>
      <c r="U32" s="324"/>
      <c r="V32" s="324"/>
      <c r="W32" s="324"/>
    </row>
    <row r="33" spans="7:23" s="339" customFormat="1">
      <c r="G33" s="324"/>
      <c r="H33" s="324"/>
      <c r="I33" s="324"/>
      <c r="J33" s="324"/>
      <c r="K33" s="324"/>
      <c r="L33" s="324"/>
      <c r="M33" s="324"/>
      <c r="N33" s="324"/>
      <c r="O33" s="324"/>
      <c r="P33" s="324"/>
      <c r="Q33" s="324"/>
      <c r="R33" s="324"/>
      <c r="S33" s="324"/>
      <c r="T33" s="324"/>
      <c r="U33" s="324"/>
      <c r="V33" s="324"/>
      <c r="W33" s="324"/>
    </row>
    <row r="34" spans="7:23" s="339" customFormat="1">
      <c r="G34" s="324"/>
      <c r="H34" s="324"/>
      <c r="I34" s="324"/>
      <c r="J34" s="324"/>
      <c r="K34" s="324"/>
      <c r="L34" s="324"/>
      <c r="M34" s="324"/>
      <c r="N34" s="324"/>
      <c r="O34" s="324"/>
      <c r="P34" s="324"/>
      <c r="Q34" s="324"/>
      <c r="R34" s="324"/>
      <c r="S34" s="324"/>
      <c r="T34" s="324"/>
      <c r="U34" s="324"/>
      <c r="V34" s="324"/>
      <c r="W34" s="324"/>
    </row>
    <row r="35" spans="7:23" s="339" customFormat="1">
      <c r="G35" s="324"/>
      <c r="H35" s="324"/>
      <c r="I35" s="324"/>
      <c r="J35" s="324"/>
      <c r="K35" s="324"/>
      <c r="L35" s="324"/>
      <c r="M35" s="324"/>
      <c r="N35" s="324"/>
      <c r="O35" s="324"/>
      <c r="P35" s="324"/>
      <c r="Q35" s="324"/>
      <c r="R35" s="324"/>
      <c r="S35" s="324"/>
      <c r="T35" s="324"/>
      <c r="U35" s="324"/>
      <c r="V35" s="324"/>
      <c r="W35" s="324"/>
    </row>
    <row r="36" spans="7:23" s="339" customFormat="1">
      <c r="G36" s="324"/>
      <c r="H36" s="324"/>
      <c r="I36" s="324"/>
      <c r="J36" s="324"/>
      <c r="K36" s="324"/>
      <c r="L36" s="324"/>
      <c r="M36" s="324"/>
      <c r="N36" s="324"/>
      <c r="O36" s="324"/>
      <c r="P36" s="324"/>
      <c r="Q36" s="324"/>
      <c r="R36" s="324"/>
      <c r="S36" s="324"/>
      <c r="T36" s="324"/>
      <c r="U36" s="324"/>
      <c r="V36" s="324"/>
      <c r="W36" s="324"/>
    </row>
    <row r="37" spans="7:23" s="339" customFormat="1">
      <c r="G37" s="324"/>
      <c r="H37" s="324"/>
      <c r="I37" s="324"/>
      <c r="J37" s="324"/>
      <c r="K37" s="324"/>
      <c r="L37" s="324"/>
      <c r="M37" s="324"/>
      <c r="N37" s="324"/>
      <c r="O37" s="324"/>
      <c r="P37" s="324"/>
      <c r="Q37" s="324"/>
      <c r="R37" s="324"/>
      <c r="S37" s="324"/>
      <c r="T37" s="324"/>
      <c r="U37" s="324"/>
      <c r="V37" s="324"/>
      <c r="W37" s="324"/>
    </row>
    <row r="38" spans="7:23" s="339" customFormat="1">
      <c r="G38" s="324"/>
      <c r="H38" s="324"/>
      <c r="I38" s="324"/>
      <c r="J38" s="324"/>
      <c r="K38" s="324"/>
      <c r="L38" s="324"/>
      <c r="M38" s="324"/>
      <c r="N38" s="324"/>
      <c r="O38" s="324"/>
      <c r="P38" s="324"/>
      <c r="Q38" s="324"/>
      <c r="R38" s="324"/>
      <c r="S38" s="324"/>
      <c r="T38" s="324"/>
      <c r="U38" s="324"/>
      <c r="V38" s="324"/>
      <c r="W38" s="324"/>
    </row>
    <row r="39" spans="7:23" s="339" customFormat="1">
      <c r="G39" s="324"/>
      <c r="H39" s="324"/>
      <c r="I39" s="324"/>
      <c r="J39" s="324"/>
      <c r="K39" s="324"/>
      <c r="L39" s="324"/>
      <c r="M39" s="324"/>
      <c r="N39" s="324"/>
      <c r="O39" s="324"/>
      <c r="P39" s="324"/>
      <c r="Q39" s="324"/>
      <c r="R39" s="324"/>
      <c r="S39" s="324"/>
      <c r="T39" s="324"/>
      <c r="U39" s="324"/>
      <c r="V39" s="324"/>
      <c r="W39" s="324"/>
    </row>
    <row r="40" spans="7:23" s="339" customFormat="1">
      <c r="G40" s="324"/>
      <c r="H40" s="324"/>
      <c r="I40" s="324"/>
      <c r="J40" s="324"/>
      <c r="K40" s="324"/>
      <c r="L40" s="324"/>
      <c r="M40" s="324"/>
      <c r="N40" s="324"/>
      <c r="O40" s="324"/>
      <c r="P40" s="324"/>
      <c r="Q40" s="324"/>
      <c r="R40" s="324"/>
      <c r="S40" s="324"/>
      <c r="T40" s="324"/>
      <c r="U40" s="324"/>
      <c r="V40" s="324"/>
      <c r="W40" s="324"/>
    </row>
    <row r="41" spans="7:23" s="339" customFormat="1">
      <c r="G41" s="324"/>
      <c r="H41" s="324"/>
      <c r="I41" s="324"/>
      <c r="J41" s="324"/>
      <c r="K41" s="324"/>
      <c r="L41" s="324"/>
      <c r="M41" s="324"/>
      <c r="N41" s="324"/>
      <c r="O41" s="324"/>
      <c r="P41" s="324"/>
      <c r="Q41" s="324"/>
      <c r="R41" s="324"/>
      <c r="S41" s="324"/>
      <c r="T41" s="324"/>
      <c r="U41" s="324"/>
      <c r="V41" s="324"/>
      <c r="W41" s="324"/>
    </row>
    <row r="42" spans="7:23" s="339" customFormat="1">
      <c r="G42" s="324"/>
      <c r="H42" s="324"/>
      <c r="I42" s="324"/>
      <c r="J42" s="324"/>
      <c r="K42" s="324"/>
      <c r="L42" s="324"/>
      <c r="M42" s="324"/>
      <c r="N42" s="324"/>
      <c r="O42" s="324"/>
      <c r="P42" s="324"/>
      <c r="Q42" s="324"/>
      <c r="R42" s="324"/>
      <c r="S42" s="324"/>
      <c r="T42" s="324"/>
      <c r="U42" s="324"/>
      <c r="V42" s="324"/>
      <c r="W42" s="324"/>
    </row>
    <row r="43" spans="7:23" s="340" customFormat="1">
      <c r="G43" s="324"/>
      <c r="H43" s="324"/>
      <c r="I43" s="324"/>
      <c r="J43" s="324"/>
      <c r="K43" s="324"/>
      <c r="L43" s="324"/>
      <c r="M43" s="324"/>
      <c r="N43" s="324"/>
      <c r="O43" s="324"/>
      <c r="P43" s="324"/>
      <c r="Q43" s="324"/>
      <c r="R43" s="324"/>
      <c r="S43" s="324"/>
      <c r="T43" s="324"/>
      <c r="U43" s="324"/>
      <c r="V43" s="324"/>
      <c r="W43" s="324"/>
    </row>
    <row r="44" spans="7:23" s="340" customFormat="1">
      <c r="G44" s="324"/>
      <c r="H44" s="324"/>
      <c r="I44" s="324"/>
      <c r="J44" s="324"/>
      <c r="K44" s="324"/>
      <c r="L44" s="324"/>
      <c r="M44" s="324"/>
      <c r="N44" s="324"/>
      <c r="O44" s="324"/>
      <c r="P44" s="324"/>
      <c r="Q44" s="324"/>
      <c r="R44" s="324"/>
      <c r="S44" s="324"/>
      <c r="T44" s="324"/>
      <c r="U44" s="324"/>
      <c r="V44" s="324"/>
      <c r="W44" s="324"/>
    </row>
    <row r="45" spans="7:23" s="340" customFormat="1">
      <c r="G45" s="324"/>
      <c r="H45" s="324"/>
      <c r="I45" s="324"/>
      <c r="J45" s="324"/>
      <c r="K45" s="324"/>
      <c r="L45" s="324"/>
      <c r="M45" s="324"/>
      <c r="N45" s="324"/>
      <c r="O45" s="324"/>
      <c r="P45" s="324"/>
      <c r="Q45" s="324"/>
      <c r="R45" s="324"/>
      <c r="S45" s="324"/>
      <c r="T45" s="324"/>
      <c r="U45" s="324"/>
      <c r="V45" s="324"/>
      <c r="W45" s="324"/>
    </row>
    <row r="46" spans="7:23" s="340" customFormat="1">
      <c r="G46" s="324"/>
      <c r="H46" s="324"/>
      <c r="I46" s="324"/>
      <c r="J46" s="324"/>
      <c r="K46" s="324"/>
      <c r="L46" s="324"/>
      <c r="M46" s="324"/>
      <c r="N46" s="324"/>
      <c r="O46" s="324"/>
      <c r="P46" s="324"/>
      <c r="Q46" s="324"/>
      <c r="R46" s="324"/>
      <c r="S46" s="324"/>
      <c r="T46" s="324"/>
      <c r="U46" s="324"/>
      <c r="V46" s="324"/>
      <c r="W46" s="324"/>
    </row>
    <row r="47" spans="7:23" s="340" customFormat="1">
      <c r="G47" s="324"/>
      <c r="H47" s="324"/>
      <c r="I47" s="324"/>
      <c r="J47" s="324"/>
      <c r="K47" s="324"/>
      <c r="L47" s="324"/>
      <c r="M47" s="324"/>
      <c r="N47" s="324"/>
      <c r="O47" s="324"/>
      <c r="P47" s="324"/>
      <c r="Q47" s="324"/>
      <c r="R47" s="324"/>
      <c r="S47" s="324"/>
      <c r="T47" s="324"/>
      <c r="U47" s="324"/>
      <c r="V47" s="324"/>
      <c r="W47" s="324"/>
    </row>
    <row r="48" spans="7:23" s="340" customFormat="1">
      <c r="G48" s="324"/>
      <c r="H48" s="324"/>
      <c r="I48" s="324"/>
      <c r="J48" s="324"/>
      <c r="K48" s="324"/>
      <c r="L48" s="324"/>
      <c r="M48" s="324"/>
      <c r="N48" s="324"/>
      <c r="O48" s="324"/>
      <c r="P48" s="324"/>
      <c r="Q48" s="324"/>
      <c r="R48" s="324"/>
      <c r="S48" s="324"/>
      <c r="T48" s="324"/>
      <c r="U48" s="324"/>
      <c r="V48" s="324"/>
      <c r="W48" s="324"/>
    </row>
    <row r="49" spans="7:23" s="340" customFormat="1">
      <c r="G49" s="324"/>
      <c r="H49" s="324"/>
      <c r="I49" s="324"/>
      <c r="J49" s="324"/>
      <c r="K49" s="324"/>
      <c r="L49" s="324"/>
      <c r="M49" s="324"/>
      <c r="N49" s="324"/>
      <c r="O49" s="324"/>
      <c r="P49" s="324"/>
      <c r="Q49" s="324"/>
      <c r="R49" s="324"/>
      <c r="S49" s="324"/>
      <c r="T49" s="324"/>
      <c r="U49" s="324"/>
      <c r="V49" s="324"/>
      <c r="W49" s="324"/>
    </row>
    <row r="50" spans="7:23" s="340" customFormat="1">
      <c r="G50" s="324"/>
      <c r="H50" s="324"/>
      <c r="I50" s="324"/>
      <c r="J50" s="324"/>
      <c r="K50" s="324"/>
      <c r="L50" s="324"/>
      <c r="M50" s="324"/>
      <c r="N50" s="324"/>
      <c r="O50" s="324"/>
      <c r="P50" s="324"/>
      <c r="Q50" s="324"/>
      <c r="R50" s="324"/>
      <c r="S50" s="324"/>
      <c r="T50" s="324"/>
      <c r="U50" s="324"/>
      <c r="V50" s="324"/>
      <c r="W50" s="324"/>
    </row>
    <row r="51" spans="7:23" s="340" customFormat="1">
      <c r="G51" s="324"/>
      <c r="H51" s="324"/>
      <c r="I51" s="324"/>
      <c r="J51" s="324"/>
      <c r="K51" s="324"/>
      <c r="L51" s="324"/>
      <c r="M51" s="324"/>
      <c r="N51" s="324"/>
      <c r="O51" s="324"/>
      <c r="P51" s="324"/>
      <c r="Q51" s="324"/>
      <c r="R51" s="324"/>
      <c r="S51" s="324"/>
      <c r="T51" s="324"/>
      <c r="U51" s="324"/>
      <c r="V51" s="324"/>
      <c r="W51" s="324"/>
    </row>
    <row r="52" spans="7:23" s="340" customFormat="1">
      <c r="G52" s="324"/>
      <c r="H52" s="324"/>
      <c r="I52" s="324"/>
      <c r="J52" s="324"/>
      <c r="K52" s="324"/>
      <c r="L52" s="324"/>
      <c r="M52" s="324"/>
      <c r="N52" s="324"/>
      <c r="O52" s="324"/>
      <c r="P52" s="324"/>
      <c r="Q52" s="324"/>
      <c r="R52" s="324"/>
      <c r="S52" s="324"/>
      <c r="T52" s="324"/>
      <c r="U52" s="324"/>
      <c r="V52" s="324"/>
      <c r="W52" s="324"/>
    </row>
    <row r="53" spans="7:23" s="340" customFormat="1">
      <c r="G53" s="324"/>
      <c r="H53" s="324"/>
      <c r="I53" s="324"/>
      <c r="J53" s="324"/>
      <c r="K53" s="324"/>
      <c r="L53" s="324"/>
      <c r="M53" s="324"/>
      <c r="N53" s="324"/>
      <c r="O53" s="324"/>
      <c r="P53" s="324"/>
      <c r="Q53" s="324"/>
      <c r="R53" s="324"/>
      <c r="S53" s="324"/>
      <c r="T53" s="324"/>
      <c r="U53" s="324"/>
      <c r="V53" s="324"/>
      <c r="W53" s="324"/>
    </row>
    <row r="54" spans="7:23" s="340" customFormat="1">
      <c r="G54" s="324"/>
      <c r="H54" s="324"/>
      <c r="I54" s="324"/>
      <c r="J54" s="324"/>
      <c r="K54" s="324"/>
      <c r="L54" s="324"/>
      <c r="M54" s="324"/>
      <c r="N54" s="324"/>
      <c r="O54" s="324"/>
      <c r="P54" s="324"/>
      <c r="Q54" s="324"/>
      <c r="R54" s="324"/>
      <c r="S54" s="324"/>
      <c r="T54" s="324"/>
      <c r="U54" s="324"/>
      <c r="V54" s="324"/>
      <c r="W54" s="324"/>
    </row>
    <row r="55" spans="7:23" s="340" customFormat="1">
      <c r="G55" s="324"/>
      <c r="H55" s="324"/>
      <c r="I55" s="324"/>
      <c r="J55" s="324"/>
      <c r="K55" s="324"/>
      <c r="L55" s="324"/>
      <c r="M55" s="324"/>
      <c r="N55" s="324"/>
      <c r="O55" s="324"/>
      <c r="P55" s="324"/>
      <c r="Q55" s="324"/>
      <c r="R55" s="324"/>
      <c r="S55" s="324"/>
      <c r="T55" s="324"/>
      <c r="U55" s="324"/>
      <c r="V55" s="324"/>
      <c r="W55" s="324"/>
    </row>
    <row r="56" spans="7:23" s="340" customFormat="1">
      <c r="G56" s="324"/>
      <c r="H56" s="324"/>
      <c r="I56" s="324"/>
      <c r="J56" s="324"/>
      <c r="K56" s="324"/>
      <c r="L56" s="324"/>
      <c r="M56" s="324"/>
      <c r="N56" s="324"/>
      <c r="O56" s="324"/>
      <c r="P56" s="324"/>
      <c r="Q56" s="324"/>
      <c r="R56" s="324"/>
      <c r="S56" s="324"/>
      <c r="T56" s="324"/>
      <c r="U56" s="324"/>
      <c r="V56" s="324"/>
      <c r="W56" s="324"/>
    </row>
    <row r="57" spans="7:23" s="340" customFormat="1">
      <c r="G57" s="324"/>
      <c r="H57" s="324"/>
      <c r="I57" s="324"/>
      <c r="J57" s="324"/>
      <c r="K57" s="324"/>
      <c r="L57" s="324"/>
      <c r="M57" s="324"/>
      <c r="N57" s="324"/>
      <c r="O57" s="324"/>
      <c r="P57" s="324"/>
      <c r="Q57" s="324"/>
      <c r="R57" s="324"/>
      <c r="S57" s="324"/>
      <c r="T57" s="324"/>
      <c r="U57" s="324"/>
      <c r="V57" s="324"/>
      <c r="W57" s="324"/>
    </row>
    <row r="58" spans="7:23" s="340" customFormat="1">
      <c r="G58" s="324"/>
      <c r="H58" s="324"/>
      <c r="I58" s="324"/>
      <c r="J58" s="324"/>
      <c r="K58" s="324"/>
      <c r="L58" s="324"/>
      <c r="M58" s="324"/>
      <c r="N58" s="324"/>
      <c r="O58" s="324"/>
      <c r="P58" s="324"/>
      <c r="Q58" s="324"/>
      <c r="R58" s="324"/>
      <c r="S58" s="324"/>
      <c r="T58" s="324"/>
      <c r="U58" s="324"/>
      <c r="V58" s="324"/>
      <c r="W58" s="324"/>
    </row>
    <row r="59" spans="7:23" s="340" customFormat="1">
      <c r="G59" s="324"/>
      <c r="H59" s="324"/>
      <c r="I59" s="324"/>
      <c r="J59" s="324"/>
      <c r="K59" s="324"/>
      <c r="L59" s="324"/>
      <c r="M59" s="324"/>
      <c r="N59" s="324"/>
      <c r="O59" s="324"/>
      <c r="P59" s="324"/>
      <c r="Q59" s="324"/>
      <c r="R59" s="324"/>
      <c r="S59" s="324"/>
      <c r="T59" s="324"/>
      <c r="U59" s="324"/>
      <c r="V59" s="324"/>
      <c r="W59" s="324"/>
    </row>
    <row r="60" spans="7:23" s="340" customFormat="1">
      <c r="G60" s="324"/>
      <c r="H60" s="324"/>
      <c r="I60" s="324"/>
      <c r="J60" s="324"/>
      <c r="K60" s="324"/>
      <c r="L60" s="324"/>
      <c r="M60" s="324"/>
      <c r="N60" s="324"/>
      <c r="O60" s="324"/>
      <c r="P60" s="324"/>
      <c r="Q60" s="324"/>
      <c r="R60" s="324"/>
      <c r="S60" s="324"/>
      <c r="T60" s="324"/>
      <c r="U60" s="324"/>
      <c r="V60" s="324"/>
      <c r="W60" s="324"/>
    </row>
    <row r="61" spans="7:23" s="340" customFormat="1">
      <c r="G61" s="324"/>
      <c r="H61" s="324"/>
      <c r="I61" s="324"/>
      <c r="J61" s="324"/>
      <c r="K61" s="324"/>
      <c r="L61" s="324"/>
      <c r="M61" s="324"/>
      <c r="N61" s="324"/>
      <c r="O61" s="324"/>
      <c r="P61" s="324"/>
      <c r="Q61" s="324"/>
      <c r="R61" s="324"/>
      <c r="S61" s="324"/>
      <c r="T61" s="324"/>
      <c r="U61" s="324"/>
      <c r="V61" s="324"/>
      <c r="W61" s="324"/>
    </row>
    <row r="62" spans="7:23" s="340" customFormat="1">
      <c r="G62" s="324"/>
      <c r="H62" s="324"/>
      <c r="I62" s="324"/>
      <c r="J62" s="324"/>
      <c r="K62" s="324"/>
      <c r="L62" s="324"/>
      <c r="M62" s="324"/>
      <c r="N62" s="324"/>
      <c r="O62" s="324"/>
      <c r="P62" s="324"/>
      <c r="Q62" s="324"/>
      <c r="R62" s="324"/>
      <c r="S62" s="324"/>
      <c r="T62" s="324"/>
      <c r="U62" s="324"/>
      <c r="V62" s="324"/>
      <c r="W62" s="324"/>
    </row>
    <row r="63" spans="7:23" s="340" customFormat="1">
      <c r="G63" s="324"/>
      <c r="H63" s="324"/>
      <c r="I63" s="324"/>
      <c r="J63" s="324"/>
      <c r="K63" s="324"/>
      <c r="L63" s="324"/>
      <c r="M63" s="324"/>
      <c r="N63" s="324"/>
      <c r="O63" s="324"/>
      <c r="P63" s="324"/>
      <c r="Q63" s="324"/>
      <c r="R63" s="324"/>
      <c r="S63" s="324"/>
      <c r="T63" s="324"/>
      <c r="U63" s="324"/>
      <c r="V63" s="324"/>
      <c r="W63" s="324"/>
    </row>
  </sheetData>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E93C-F427-43FA-8881-1E19A0DCF35C}">
  <sheetPr codeName="Sheet37">
    <tabColor rgb="FFB682B9"/>
  </sheetPr>
  <dimension ref="A1:AG23"/>
  <sheetViews>
    <sheetView topLeftCell="A17" zoomScale="80" zoomScaleNormal="80" workbookViewId="0">
      <selection activeCell="I11" sqref="I11:J14"/>
    </sheetView>
  </sheetViews>
  <sheetFormatPr defaultColWidth="8.77734375" defaultRowHeight="13.8"/>
  <cols>
    <col min="1" max="1" width="10.21875" style="329" customWidth="1"/>
    <col min="2" max="2" width="88.77734375" style="329" customWidth="1"/>
    <col min="3" max="4" width="21.44140625" style="322" customWidth="1"/>
    <col min="5" max="5" width="67.77734375" style="322" customWidth="1"/>
    <col min="6" max="6" width="38.21875" style="329" customWidth="1"/>
    <col min="7" max="7" width="21.44140625" style="324" customWidth="1"/>
    <col min="8" max="16384" width="8.77734375" style="329"/>
  </cols>
  <sheetData>
    <row r="1" spans="1:33" s="346" customFormat="1" ht="25.8">
      <c r="A1" s="321" t="s">
        <v>445</v>
      </c>
      <c r="B1" s="322"/>
      <c r="C1" s="323"/>
      <c r="D1" s="322"/>
      <c r="E1" s="322"/>
      <c r="F1" s="322"/>
      <c r="G1" s="324"/>
      <c r="H1" s="322"/>
      <c r="I1" s="322"/>
      <c r="J1" s="322"/>
      <c r="K1" s="322"/>
      <c r="L1" s="322"/>
      <c r="M1" s="322"/>
      <c r="N1" s="322"/>
      <c r="O1" s="322"/>
      <c r="P1" s="322"/>
      <c r="Q1" s="322"/>
      <c r="R1" s="322"/>
      <c r="S1" s="322"/>
      <c r="T1" s="322"/>
      <c r="U1" s="322"/>
      <c r="V1" s="322"/>
      <c r="W1" s="322"/>
      <c r="X1" s="322"/>
      <c r="Y1" s="322"/>
      <c r="Z1" s="322"/>
      <c r="AA1" s="322"/>
      <c r="AB1" s="322"/>
      <c r="AC1" s="322"/>
      <c r="AD1" s="322"/>
      <c r="AE1" s="322"/>
      <c r="AF1" s="322"/>
      <c r="AG1" s="322"/>
    </row>
    <row r="2" spans="1:33" s="139" customFormat="1" ht="25.8">
      <c r="A2" s="321" t="s">
        <v>1748</v>
      </c>
      <c r="B2" s="322"/>
      <c r="C2" s="323"/>
      <c r="D2" s="322"/>
      <c r="E2" s="322"/>
      <c r="F2" s="322"/>
      <c r="G2" s="324"/>
      <c r="H2" s="322"/>
      <c r="I2" s="322"/>
      <c r="J2" s="322"/>
      <c r="K2" s="322"/>
      <c r="L2" s="322"/>
      <c r="M2" s="322"/>
      <c r="N2" s="322"/>
      <c r="O2" s="322"/>
      <c r="P2" s="322"/>
      <c r="Q2" s="322"/>
      <c r="R2" s="322"/>
      <c r="S2" s="322"/>
      <c r="T2" s="322"/>
      <c r="U2" s="322"/>
      <c r="V2" s="322"/>
      <c r="W2" s="322"/>
      <c r="X2" s="322"/>
      <c r="Y2" s="322"/>
      <c r="Z2" s="322"/>
      <c r="AA2" s="322"/>
      <c r="AB2" s="322"/>
      <c r="AC2" s="322"/>
      <c r="AD2" s="322"/>
      <c r="AE2" s="322"/>
      <c r="AF2" s="322"/>
      <c r="AG2" s="322"/>
    </row>
    <row r="3" spans="1:33" s="139" customFormat="1">
      <c r="A3" s="325" t="s">
        <v>447</v>
      </c>
      <c r="B3" s="322" t="s">
        <v>237</v>
      </c>
      <c r="C3" s="322"/>
      <c r="D3" s="322"/>
      <c r="E3" s="322"/>
      <c r="F3" s="322"/>
      <c r="G3" s="324"/>
      <c r="H3" s="322"/>
      <c r="I3" s="322"/>
      <c r="J3" s="322"/>
      <c r="K3" s="322"/>
      <c r="L3" s="322"/>
      <c r="M3" s="322"/>
      <c r="N3" s="322"/>
      <c r="O3" s="322"/>
      <c r="P3" s="322"/>
      <c r="Q3" s="322"/>
      <c r="R3" s="322"/>
      <c r="S3" s="322"/>
      <c r="T3" s="322"/>
      <c r="U3" s="322"/>
      <c r="V3" s="322"/>
      <c r="W3" s="322"/>
      <c r="X3" s="322"/>
      <c r="Y3" s="322"/>
      <c r="Z3" s="322"/>
      <c r="AA3" s="322"/>
      <c r="AB3" s="322"/>
      <c r="AC3" s="322"/>
      <c r="AD3" s="322"/>
      <c r="AE3" s="322"/>
      <c r="AF3" s="322"/>
      <c r="AG3" s="322"/>
    </row>
    <row r="4" spans="1:33" s="137" customFormat="1">
      <c r="A4" s="325" t="s">
        <v>1695</v>
      </c>
      <c r="B4" s="322" t="s">
        <v>1749</v>
      </c>
      <c r="C4" s="322"/>
      <c r="D4" s="322"/>
      <c r="E4" s="322"/>
      <c r="F4" s="322"/>
      <c r="G4" s="324"/>
      <c r="H4" s="322"/>
      <c r="I4" s="322"/>
      <c r="J4" s="322"/>
      <c r="K4" s="322"/>
      <c r="L4" s="322"/>
      <c r="M4" s="322"/>
      <c r="N4" s="322"/>
      <c r="O4" s="322"/>
      <c r="P4" s="322"/>
      <c r="Q4" s="322"/>
      <c r="R4" s="322"/>
      <c r="S4" s="322"/>
      <c r="T4" s="322"/>
      <c r="U4" s="322"/>
      <c r="V4" s="322"/>
      <c r="W4" s="322"/>
      <c r="X4" s="322"/>
      <c r="Y4" s="322"/>
      <c r="Z4" s="322"/>
      <c r="AA4" s="322"/>
      <c r="AB4" s="322"/>
      <c r="AC4" s="322"/>
      <c r="AD4" s="322"/>
      <c r="AE4" s="322"/>
      <c r="AF4" s="322"/>
      <c r="AG4" s="322"/>
    </row>
    <row r="5" spans="1:33" s="346" customFormat="1">
      <c r="A5" s="322" t="s">
        <v>448</v>
      </c>
      <c r="B5" s="322" t="s">
        <v>238</v>
      </c>
      <c r="C5" s="322"/>
      <c r="D5" s="322"/>
      <c r="E5" s="322"/>
      <c r="F5" s="322"/>
      <c r="G5" s="324"/>
      <c r="H5" s="322"/>
      <c r="I5" s="322"/>
      <c r="J5" s="322"/>
      <c r="K5" s="322"/>
      <c r="L5" s="322"/>
      <c r="M5" s="322"/>
      <c r="N5" s="322"/>
      <c r="O5" s="322"/>
      <c r="P5" s="322"/>
      <c r="Q5" s="322"/>
      <c r="R5" s="322"/>
      <c r="S5" s="322"/>
      <c r="T5" s="322"/>
      <c r="U5" s="322"/>
      <c r="V5" s="322"/>
      <c r="W5" s="322"/>
      <c r="X5" s="322"/>
      <c r="Y5" s="322"/>
      <c r="Z5" s="322"/>
      <c r="AA5" s="322"/>
      <c r="AB5" s="322"/>
      <c r="AC5" s="322"/>
      <c r="AD5" s="322"/>
      <c r="AE5" s="322"/>
      <c r="AF5" s="322"/>
      <c r="AG5" s="322"/>
    </row>
    <row r="6" spans="1:33" s="346" customFormat="1">
      <c r="A6" s="322" t="s">
        <v>1697</v>
      </c>
      <c r="B6" s="322" t="s">
        <v>1750</v>
      </c>
      <c r="C6" s="322"/>
      <c r="D6" s="322"/>
      <c r="E6" s="322"/>
      <c r="F6" s="322"/>
      <c r="G6" s="324"/>
      <c r="H6" s="322"/>
      <c r="I6" s="322"/>
      <c r="J6" s="322"/>
      <c r="K6" s="322"/>
      <c r="L6" s="322"/>
      <c r="M6" s="322"/>
      <c r="N6" s="322"/>
      <c r="O6" s="322"/>
      <c r="P6" s="322"/>
      <c r="Q6" s="322"/>
      <c r="R6" s="322"/>
      <c r="S6" s="322"/>
      <c r="T6" s="322"/>
      <c r="U6" s="322"/>
      <c r="V6" s="322"/>
      <c r="W6" s="322"/>
      <c r="X6" s="322"/>
      <c r="Y6" s="322"/>
      <c r="Z6" s="322"/>
      <c r="AA6" s="322"/>
      <c r="AB6" s="322"/>
      <c r="AC6" s="322"/>
      <c r="AD6" s="322"/>
      <c r="AE6" s="322"/>
      <c r="AF6" s="322"/>
      <c r="AG6" s="322"/>
    </row>
    <row r="7" spans="1:33" s="139" customFormat="1">
      <c r="A7" s="329"/>
      <c r="B7" s="329"/>
      <c r="C7" s="322"/>
      <c r="D7" s="322"/>
      <c r="E7" s="322"/>
      <c r="F7" s="329"/>
      <c r="G7" s="324"/>
      <c r="H7" s="329"/>
      <c r="I7" s="329"/>
      <c r="J7" s="329"/>
      <c r="K7" s="329"/>
      <c r="L7" s="329"/>
      <c r="M7" s="329"/>
      <c r="N7" s="329"/>
      <c r="O7" s="329"/>
      <c r="P7" s="329"/>
      <c r="Q7" s="329"/>
      <c r="R7" s="329"/>
      <c r="S7" s="329"/>
      <c r="T7" s="329"/>
      <c r="U7" s="329"/>
      <c r="V7" s="329"/>
      <c r="W7" s="329"/>
      <c r="X7" s="329"/>
      <c r="Y7" s="329"/>
      <c r="Z7" s="329"/>
      <c r="AA7" s="329"/>
      <c r="AB7" s="329"/>
      <c r="AC7" s="329"/>
      <c r="AD7" s="329"/>
      <c r="AE7" s="329"/>
      <c r="AF7" s="329"/>
      <c r="AG7" s="329"/>
    </row>
    <row r="8" spans="1:33" s="139" customFormat="1">
      <c r="A8" s="350"/>
      <c r="B8" s="350"/>
      <c r="C8" s="350" t="s">
        <v>96</v>
      </c>
      <c r="D8" s="350" t="s">
        <v>553</v>
      </c>
      <c r="E8" s="350" t="s">
        <v>85</v>
      </c>
      <c r="F8" s="350" t="s">
        <v>1653</v>
      </c>
      <c r="G8" s="350" t="s">
        <v>1674</v>
      </c>
      <c r="H8" s="322"/>
      <c r="I8" s="322"/>
      <c r="J8" s="322"/>
      <c r="K8" s="322"/>
      <c r="L8" s="322"/>
      <c r="M8" s="322"/>
      <c r="N8" s="322"/>
      <c r="O8" s="322"/>
      <c r="P8" s="322"/>
      <c r="Q8" s="322"/>
      <c r="R8" s="322"/>
      <c r="S8" s="322"/>
      <c r="T8" s="322"/>
      <c r="U8" s="322"/>
      <c r="V8" s="322"/>
      <c r="W8" s="322"/>
      <c r="X8" s="322"/>
      <c r="Y8" s="322"/>
      <c r="Z8" s="322"/>
      <c r="AA8" s="322"/>
      <c r="AB8" s="322"/>
      <c r="AC8" s="322"/>
      <c r="AD8" s="322"/>
      <c r="AE8" s="322"/>
      <c r="AF8" s="322"/>
      <c r="AG8" s="322"/>
    </row>
    <row r="9" spans="1:33" s="137" customFormat="1">
      <c r="A9" s="357" t="s">
        <v>47</v>
      </c>
      <c r="B9" s="342"/>
      <c r="C9" s="331"/>
      <c r="D9" s="331"/>
      <c r="E9" s="331"/>
      <c r="F9" s="343"/>
      <c r="G9" s="344"/>
      <c r="H9" s="346"/>
      <c r="I9" s="346"/>
      <c r="J9" s="346"/>
      <c r="K9" s="346"/>
      <c r="L9" s="346"/>
      <c r="M9" s="346"/>
      <c r="N9" s="346"/>
      <c r="O9" s="346"/>
      <c r="P9" s="346"/>
      <c r="Q9" s="346"/>
      <c r="R9" s="346"/>
      <c r="S9" s="346"/>
      <c r="T9" s="346"/>
      <c r="U9" s="346"/>
      <c r="V9" s="346"/>
      <c r="W9" s="346"/>
      <c r="X9" s="346"/>
      <c r="Y9" s="346"/>
      <c r="Z9" s="346"/>
      <c r="AA9" s="346"/>
      <c r="AB9" s="346"/>
      <c r="AC9" s="346"/>
      <c r="AD9" s="346"/>
      <c r="AE9" s="346"/>
      <c r="AF9" s="346"/>
      <c r="AG9" s="346"/>
    </row>
    <row r="10" spans="1:33" s="346" customFormat="1" ht="27.6">
      <c r="A10" s="348" t="s">
        <v>239</v>
      </c>
      <c r="B10" s="22" t="s">
        <v>1751</v>
      </c>
      <c r="C10" s="336" t="s">
        <v>475</v>
      </c>
      <c r="D10" s="336" t="s">
        <v>474</v>
      </c>
      <c r="E10" s="336" t="s">
        <v>1975</v>
      </c>
      <c r="F10" s="347"/>
      <c r="G10" s="348"/>
    </row>
    <row r="11" spans="1:33" s="139" customFormat="1">
      <c r="A11" s="357" t="s">
        <v>54</v>
      </c>
      <c r="B11" s="342"/>
      <c r="C11" s="331"/>
      <c r="D11" s="331"/>
      <c r="E11" s="331"/>
      <c r="F11" s="343"/>
      <c r="G11" s="344"/>
      <c r="H11" s="346"/>
      <c r="I11" s="346"/>
      <c r="J11" s="346"/>
      <c r="K11" s="346"/>
      <c r="L11" s="346"/>
      <c r="M11" s="346"/>
      <c r="N11" s="346"/>
      <c r="O11" s="346"/>
      <c r="P11" s="346"/>
      <c r="Q11" s="346"/>
      <c r="R11" s="346"/>
      <c r="S11" s="346"/>
      <c r="T11" s="346"/>
      <c r="U11" s="346"/>
      <c r="V11" s="346"/>
      <c r="W11" s="346"/>
      <c r="X11" s="346"/>
      <c r="Y11" s="346"/>
      <c r="Z11" s="346"/>
      <c r="AA11" s="346"/>
      <c r="AB11" s="346"/>
      <c r="AC11" s="346"/>
      <c r="AD11" s="346"/>
      <c r="AE11" s="346"/>
      <c r="AF11" s="346"/>
      <c r="AG11" s="346"/>
    </row>
    <row r="12" spans="1:33" s="139" customFormat="1" ht="69">
      <c r="A12" s="348" t="s">
        <v>240</v>
      </c>
      <c r="B12" s="22" t="s">
        <v>1752</v>
      </c>
      <c r="C12" s="3"/>
      <c r="D12" s="336" t="s">
        <v>1753</v>
      </c>
      <c r="E12" s="336" t="s">
        <v>1595</v>
      </c>
      <c r="F12" s="347"/>
      <c r="G12" s="348"/>
      <c r="H12" s="346"/>
      <c r="I12" s="346"/>
      <c r="J12" s="346"/>
      <c r="K12" s="346"/>
      <c r="L12" s="346"/>
      <c r="M12" s="346"/>
      <c r="N12" s="346"/>
      <c r="O12" s="346"/>
      <c r="P12" s="346"/>
      <c r="Q12" s="346"/>
      <c r="R12" s="346"/>
      <c r="S12" s="346"/>
      <c r="T12" s="346"/>
      <c r="U12" s="346"/>
      <c r="V12" s="346"/>
      <c r="W12" s="346"/>
      <c r="X12" s="346"/>
      <c r="Y12" s="346"/>
      <c r="Z12" s="346"/>
      <c r="AA12" s="346"/>
      <c r="AB12" s="346"/>
      <c r="AC12" s="346"/>
      <c r="AD12" s="346"/>
      <c r="AE12" s="346"/>
      <c r="AF12" s="346"/>
      <c r="AG12" s="346"/>
    </row>
    <row r="13" spans="1:33" s="137" customFormat="1" ht="69">
      <c r="A13" s="348" t="s">
        <v>241</v>
      </c>
      <c r="B13" s="22" t="s">
        <v>1754</v>
      </c>
      <c r="C13" s="3"/>
      <c r="D13" s="336" t="s">
        <v>1755</v>
      </c>
      <c r="E13" s="336" t="s">
        <v>1596</v>
      </c>
      <c r="F13" s="347"/>
      <c r="G13" s="348"/>
      <c r="H13" s="346"/>
      <c r="I13" s="346"/>
      <c r="J13" s="346"/>
      <c r="K13" s="346"/>
      <c r="L13" s="346"/>
      <c r="M13" s="346"/>
      <c r="N13" s="346"/>
      <c r="O13" s="346"/>
      <c r="P13" s="346"/>
      <c r="Q13" s="346"/>
      <c r="R13" s="346"/>
      <c r="S13" s="346"/>
      <c r="T13" s="346"/>
      <c r="U13" s="346"/>
      <c r="V13" s="346"/>
      <c r="W13" s="346"/>
      <c r="X13" s="346"/>
      <c r="Y13" s="346"/>
      <c r="Z13" s="346"/>
      <c r="AA13" s="346"/>
      <c r="AB13" s="346"/>
      <c r="AC13" s="346"/>
      <c r="AD13" s="346"/>
      <c r="AE13" s="346"/>
      <c r="AF13" s="346"/>
      <c r="AG13" s="346"/>
    </row>
    <row r="14" spans="1:33" s="346" customFormat="1" ht="77.25" customHeight="1">
      <c r="A14" s="348" t="s">
        <v>242</v>
      </c>
      <c r="B14" s="22" t="s">
        <v>1756</v>
      </c>
      <c r="C14" s="3"/>
      <c r="D14" s="336" t="s">
        <v>476</v>
      </c>
      <c r="E14" s="336" t="s">
        <v>1976</v>
      </c>
      <c r="F14" s="347"/>
      <c r="G14" s="348"/>
    </row>
    <row r="15" spans="1:33" s="139" customFormat="1">
      <c r="A15" s="357" t="s">
        <v>56</v>
      </c>
      <c r="B15" s="342"/>
      <c r="C15" s="331"/>
      <c r="D15" s="331"/>
      <c r="E15" s="331"/>
      <c r="F15" s="343"/>
      <c r="G15" s="344"/>
      <c r="H15" s="346"/>
      <c r="I15" s="346"/>
      <c r="J15" s="346"/>
      <c r="K15" s="346"/>
      <c r="L15" s="346"/>
      <c r="M15" s="346"/>
      <c r="N15" s="346"/>
      <c r="O15" s="346"/>
      <c r="P15" s="346"/>
      <c r="Q15" s="346"/>
      <c r="R15" s="346"/>
      <c r="S15" s="346"/>
      <c r="T15" s="346"/>
      <c r="U15" s="346"/>
      <c r="V15" s="346"/>
      <c r="W15" s="346"/>
      <c r="X15" s="346"/>
      <c r="Y15" s="346"/>
      <c r="Z15" s="346"/>
      <c r="AA15" s="346"/>
      <c r="AB15" s="346"/>
      <c r="AC15" s="346"/>
      <c r="AD15" s="346"/>
      <c r="AE15" s="346"/>
      <c r="AF15" s="346"/>
      <c r="AG15" s="346"/>
    </row>
    <row r="16" spans="1:33" s="139" customFormat="1" ht="75.75" customHeight="1">
      <c r="A16" s="348" t="s">
        <v>243</v>
      </c>
      <c r="B16" s="22" t="s">
        <v>1757</v>
      </c>
      <c r="C16" s="3"/>
      <c r="D16" s="336" t="s">
        <v>1977</v>
      </c>
      <c r="E16" s="336" t="s">
        <v>1597</v>
      </c>
      <c r="F16" s="347"/>
      <c r="G16" s="348"/>
      <c r="H16" s="346"/>
      <c r="I16" s="346"/>
      <c r="J16" s="346"/>
      <c r="K16" s="346"/>
      <c r="L16" s="346"/>
      <c r="M16" s="346"/>
      <c r="N16" s="346"/>
      <c r="O16" s="346"/>
      <c r="P16" s="346"/>
      <c r="Q16" s="346"/>
      <c r="R16" s="346"/>
      <c r="S16" s="346"/>
      <c r="T16" s="346"/>
      <c r="U16" s="346"/>
      <c r="V16" s="346"/>
      <c r="W16" s="346"/>
      <c r="X16" s="346"/>
      <c r="Y16" s="346"/>
      <c r="Z16" s="346"/>
      <c r="AA16" s="346"/>
      <c r="AB16" s="346"/>
      <c r="AC16" s="346"/>
      <c r="AD16" s="346"/>
      <c r="AE16" s="346"/>
      <c r="AF16" s="346"/>
      <c r="AG16" s="346"/>
    </row>
    <row r="17" spans="1:33" s="139" customFormat="1" ht="124.2">
      <c r="A17" s="348" t="s">
        <v>244</v>
      </c>
      <c r="B17" s="22" t="s">
        <v>1758</v>
      </c>
      <c r="C17" s="3"/>
      <c r="D17" s="336" t="s">
        <v>1759</v>
      </c>
      <c r="E17" s="336" t="s">
        <v>1598</v>
      </c>
      <c r="F17" s="347"/>
      <c r="G17" s="348"/>
      <c r="H17" s="346"/>
      <c r="I17" s="346"/>
      <c r="J17" s="346"/>
      <c r="K17" s="346"/>
      <c r="L17" s="346"/>
      <c r="M17" s="346"/>
      <c r="N17" s="346"/>
      <c r="O17" s="346"/>
      <c r="P17" s="346"/>
      <c r="Q17" s="346"/>
      <c r="R17" s="346"/>
      <c r="S17" s="346"/>
      <c r="T17" s="346"/>
      <c r="U17" s="346"/>
      <c r="V17" s="346"/>
      <c r="W17" s="346"/>
      <c r="X17" s="346"/>
      <c r="Y17" s="346"/>
      <c r="Z17" s="346"/>
      <c r="AA17" s="346"/>
      <c r="AB17" s="346"/>
      <c r="AC17" s="346"/>
      <c r="AD17" s="346"/>
      <c r="AE17" s="346"/>
      <c r="AF17" s="346"/>
      <c r="AG17" s="346"/>
    </row>
    <row r="18" spans="1:33" s="137" customFormat="1" ht="82.8">
      <c r="A18" s="348" t="s">
        <v>245</v>
      </c>
      <c r="B18" s="22" t="s">
        <v>1760</v>
      </c>
      <c r="C18" s="336" t="s">
        <v>477</v>
      </c>
      <c r="D18" s="336" t="s">
        <v>1761</v>
      </c>
      <c r="E18" s="336" t="s">
        <v>1978</v>
      </c>
      <c r="F18" s="347"/>
      <c r="G18" s="348"/>
      <c r="H18" s="346"/>
      <c r="I18" s="346"/>
      <c r="J18" s="346"/>
      <c r="K18" s="346"/>
      <c r="L18" s="346"/>
      <c r="M18" s="346"/>
      <c r="N18" s="346"/>
      <c r="O18" s="346"/>
      <c r="P18" s="346"/>
      <c r="Q18" s="346"/>
      <c r="R18" s="346"/>
      <c r="S18" s="346"/>
      <c r="T18" s="346"/>
      <c r="U18" s="346"/>
      <c r="V18" s="346"/>
      <c r="W18" s="346"/>
      <c r="X18" s="346"/>
      <c r="Y18" s="346"/>
      <c r="Z18" s="346"/>
      <c r="AA18" s="346"/>
      <c r="AB18" s="346"/>
      <c r="AC18" s="346"/>
      <c r="AD18" s="346"/>
      <c r="AE18" s="346"/>
      <c r="AF18" s="346"/>
      <c r="AG18" s="346"/>
    </row>
    <row r="19" spans="1:33" s="346" customFormat="1" ht="27.6">
      <c r="A19" s="348" t="s">
        <v>246</v>
      </c>
      <c r="B19" s="22" t="s">
        <v>1762</v>
      </c>
      <c r="C19" s="3"/>
      <c r="D19" s="3"/>
      <c r="E19" s="336" t="s">
        <v>1599</v>
      </c>
      <c r="F19" s="347"/>
      <c r="G19" s="348"/>
    </row>
    <row r="20" spans="1:33" s="139" customFormat="1" ht="27.6">
      <c r="A20" s="348" t="s">
        <v>247</v>
      </c>
      <c r="B20" s="22" t="s">
        <v>1763</v>
      </c>
      <c r="C20" s="3"/>
      <c r="D20" s="3"/>
      <c r="E20" s="336" t="s">
        <v>1978</v>
      </c>
      <c r="F20" s="347"/>
      <c r="G20" s="348"/>
      <c r="H20" s="346"/>
      <c r="I20" s="346"/>
      <c r="J20" s="346"/>
      <c r="K20" s="346"/>
      <c r="L20" s="346"/>
      <c r="M20" s="346"/>
      <c r="N20" s="346"/>
      <c r="O20" s="346"/>
      <c r="P20" s="346"/>
      <c r="Q20" s="346"/>
      <c r="R20" s="346"/>
      <c r="S20" s="346"/>
      <c r="T20" s="346"/>
      <c r="U20" s="346"/>
      <c r="V20" s="346"/>
      <c r="W20" s="346"/>
      <c r="X20" s="346"/>
      <c r="Y20" s="346"/>
      <c r="Z20" s="346"/>
      <c r="AA20" s="346"/>
      <c r="AB20" s="346"/>
      <c r="AC20" s="346"/>
      <c r="AD20" s="346"/>
      <c r="AE20" s="346"/>
      <c r="AF20" s="346"/>
      <c r="AG20" s="346"/>
    </row>
    <row r="21" spans="1:33" s="139" customFormat="1" ht="27.6">
      <c r="A21" s="348" t="s">
        <v>248</v>
      </c>
      <c r="B21" s="22" t="s">
        <v>1764</v>
      </c>
      <c r="C21" s="3"/>
      <c r="D21" s="3"/>
      <c r="E21" s="336" t="s">
        <v>1600</v>
      </c>
      <c r="F21" s="347"/>
      <c r="G21" s="348"/>
      <c r="H21" s="346"/>
      <c r="I21" s="346"/>
      <c r="J21" s="346"/>
      <c r="K21" s="346"/>
      <c r="L21" s="346"/>
      <c r="M21" s="346"/>
      <c r="N21" s="346"/>
      <c r="O21" s="346"/>
      <c r="P21" s="346"/>
      <c r="Q21" s="346"/>
      <c r="R21" s="346"/>
      <c r="S21" s="346"/>
      <c r="T21" s="346"/>
      <c r="U21" s="346"/>
      <c r="V21" s="346"/>
      <c r="W21" s="346"/>
      <c r="X21" s="346"/>
      <c r="Y21" s="346"/>
      <c r="Z21" s="346"/>
      <c r="AA21" s="346"/>
      <c r="AB21" s="346"/>
      <c r="AC21" s="346"/>
      <c r="AD21" s="346"/>
      <c r="AE21" s="346"/>
      <c r="AF21" s="346"/>
      <c r="AG21" s="346"/>
    </row>
    <row r="22" spans="1:33" s="137" customFormat="1" ht="27.6">
      <c r="A22" s="348" t="s">
        <v>249</v>
      </c>
      <c r="B22" s="22" t="s">
        <v>1765</v>
      </c>
      <c r="C22" s="3"/>
      <c r="D22" s="3"/>
      <c r="E22" s="336" t="s">
        <v>1979</v>
      </c>
      <c r="F22" s="347"/>
      <c r="G22" s="348"/>
      <c r="H22" s="346"/>
      <c r="I22" s="346"/>
      <c r="J22" s="346"/>
      <c r="K22" s="346"/>
      <c r="L22" s="346"/>
      <c r="M22" s="346"/>
      <c r="N22" s="346"/>
      <c r="O22" s="346"/>
      <c r="P22" s="346"/>
      <c r="Q22" s="346"/>
      <c r="R22" s="346"/>
      <c r="S22" s="346"/>
      <c r="T22" s="346"/>
      <c r="U22" s="346"/>
      <c r="V22" s="346"/>
      <c r="W22" s="346"/>
      <c r="X22" s="346"/>
      <c r="Y22" s="346"/>
      <c r="Z22" s="346"/>
      <c r="AA22" s="346"/>
      <c r="AB22" s="346"/>
      <c r="AC22" s="346"/>
      <c r="AD22" s="346"/>
      <c r="AE22" s="346"/>
      <c r="AF22" s="346"/>
      <c r="AG22" s="346"/>
    </row>
    <row r="23" spans="1:33">
      <c r="A23" s="358"/>
    </row>
  </sheetData>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8E8B12-BBE0-4C5A-B52F-BD4E919BAB1C}">
  <sheetPr codeName="Sheet39">
    <tabColor rgb="FFB682B9"/>
  </sheetPr>
  <dimension ref="A1:I24"/>
  <sheetViews>
    <sheetView topLeftCell="A21" zoomScale="85" zoomScaleNormal="85" workbookViewId="0">
      <selection activeCell="I11" sqref="I11:J14"/>
    </sheetView>
  </sheetViews>
  <sheetFormatPr defaultColWidth="8.77734375" defaultRowHeight="13.8"/>
  <cols>
    <col min="1" max="1" width="10.21875" style="329" customWidth="1"/>
    <col min="2" max="2" width="88.77734375" style="329" customWidth="1"/>
    <col min="3" max="4" width="21.44140625" style="329" customWidth="1"/>
    <col min="5" max="5" width="54.5546875" style="329" customWidth="1"/>
    <col min="6" max="6" width="47.77734375" style="329" customWidth="1"/>
    <col min="7" max="7" width="21.44140625" style="324" customWidth="1"/>
    <col min="8" max="9" width="8.77734375" style="324"/>
    <col min="10" max="16384" width="8.77734375" style="329"/>
  </cols>
  <sheetData>
    <row r="1" spans="1:9" s="322" customFormat="1" ht="25.8">
      <c r="A1" s="321" t="s">
        <v>250</v>
      </c>
      <c r="C1" s="323"/>
      <c r="G1" s="324"/>
      <c r="H1" s="324"/>
      <c r="I1" s="324"/>
    </row>
    <row r="2" spans="1:9" s="322" customFormat="1" ht="25.8">
      <c r="A2" s="321" t="s">
        <v>1775</v>
      </c>
      <c r="C2" s="323"/>
      <c r="G2" s="324"/>
      <c r="H2" s="324"/>
      <c r="I2" s="324"/>
    </row>
    <row r="3" spans="1:9" s="322" customFormat="1" ht="55.2">
      <c r="A3" s="325" t="s">
        <v>447</v>
      </c>
      <c r="B3" s="325" t="s">
        <v>251</v>
      </c>
      <c r="G3" s="324"/>
      <c r="H3" s="324"/>
      <c r="I3" s="324"/>
    </row>
    <row r="4" spans="1:9" s="322" customFormat="1" ht="27.6">
      <c r="A4" s="325" t="s">
        <v>1695</v>
      </c>
      <c r="B4" s="325" t="s">
        <v>1776</v>
      </c>
      <c r="G4" s="324"/>
      <c r="H4" s="324"/>
      <c r="I4" s="324"/>
    </row>
    <row r="5" spans="1:9" s="322" customFormat="1">
      <c r="A5" s="322" t="s">
        <v>448</v>
      </c>
      <c r="B5" s="322" t="s">
        <v>414</v>
      </c>
      <c r="G5" s="324"/>
      <c r="H5" s="324"/>
      <c r="I5" s="324"/>
    </row>
    <row r="6" spans="1:9" s="322" customFormat="1">
      <c r="A6" s="322" t="s">
        <v>1697</v>
      </c>
      <c r="B6" s="322" t="s">
        <v>1777</v>
      </c>
      <c r="G6" s="324"/>
      <c r="H6" s="324"/>
      <c r="I6" s="324"/>
    </row>
    <row r="8" spans="1:9" s="93" customFormat="1">
      <c r="A8" s="350"/>
      <c r="B8" s="350"/>
      <c r="C8" s="350" t="s">
        <v>96</v>
      </c>
      <c r="D8" s="350" t="s">
        <v>553</v>
      </c>
      <c r="E8" s="350" t="s">
        <v>85</v>
      </c>
      <c r="F8" s="350" t="s">
        <v>1653</v>
      </c>
      <c r="G8" s="350" t="s">
        <v>1674</v>
      </c>
      <c r="H8" s="322"/>
      <c r="I8" s="322"/>
    </row>
    <row r="9" spans="1:9" s="325" customFormat="1">
      <c r="A9" s="330" t="s">
        <v>47</v>
      </c>
      <c r="B9" s="330"/>
      <c r="C9" s="331"/>
      <c r="D9" s="331"/>
      <c r="E9" s="331"/>
      <c r="F9" s="331"/>
      <c r="G9" s="331"/>
    </row>
    <row r="10" spans="1:9" s="325" customFormat="1" ht="41.4">
      <c r="A10" s="3" t="s">
        <v>252</v>
      </c>
      <c r="B10" s="3" t="s">
        <v>1778</v>
      </c>
      <c r="C10" s="336" t="s">
        <v>479</v>
      </c>
      <c r="D10" s="336" t="s">
        <v>478</v>
      </c>
      <c r="E10" s="336" t="s">
        <v>1601</v>
      </c>
      <c r="F10" s="3"/>
      <c r="G10" s="3"/>
    </row>
    <row r="11" spans="1:9" s="148" customFormat="1" ht="41.4">
      <c r="A11" s="3" t="s">
        <v>253</v>
      </c>
      <c r="B11" s="3" t="s">
        <v>1779</v>
      </c>
      <c r="C11" s="3"/>
      <c r="D11" s="336" t="s">
        <v>480</v>
      </c>
      <c r="E11" s="336" t="s">
        <v>1602</v>
      </c>
      <c r="F11" s="361"/>
      <c r="G11" s="3"/>
      <c r="H11" s="325"/>
      <c r="I11" s="325"/>
    </row>
    <row r="12" spans="1:9" s="148" customFormat="1" ht="69">
      <c r="A12" s="3" t="s">
        <v>254</v>
      </c>
      <c r="B12" s="3" t="s">
        <v>1780</v>
      </c>
      <c r="C12" s="3"/>
      <c r="D12" s="336" t="s">
        <v>481</v>
      </c>
      <c r="E12" s="336" t="s">
        <v>1983</v>
      </c>
      <c r="F12" s="361"/>
      <c r="G12" s="3"/>
      <c r="H12" s="325"/>
      <c r="I12" s="325"/>
    </row>
    <row r="13" spans="1:9" s="93" customFormat="1">
      <c r="A13" s="330" t="s">
        <v>54</v>
      </c>
      <c r="B13" s="330"/>
      <c r="C13" s="331"/>
      <c r="D13" s="331"/>
      <c r="E13" s="331" t="s">
        <v>1772</v>
      </c>
      <c r="F13" s="331"/>
      <c r="G13" s="331"/>
      <c r="H13" s="325"/>
      <c r="I13" s="325"/>
    </row>
    <row r="14" spans="1:9" s="325" customFormat="1" ht="69">
      <c r="A14" s="3" t="s">
        <v>255</v>
      </c>
      <c r="B14" s="3" t="s">
        <v>1781</v>
      </c>
      <c r="C14" s="336" t="s">
        <v>483</v>
      </c>
      <c r="D14" s="336" t="s">
        <v>482</v>
      </c>
      <c r="E14" s="336" t="s">
        <v>1782</v>
      </c>
      <c r="F14" s="361"/>
      <c r="G14" s="3"/>
    </row>
    <row r="15" spans="1:9" s="148" customFormat="1" ht="82.8">
      <c r="A15" s="3" t="s">
        <v>256</v>
      </c>
      <c r="B15" s="3" t="s">
        <v>1783</v>
      </c>
      <c r="C15" s="336" t="s">
        <v>1784</v>
      </c>
      <c r="D15" s="336" t="s">
        <v>484</v>
      </c>
      <c r="E15" s="336" t="s">
        <v>1603</v>
      </c>
      <c r="F15" s="3"/>
      <c r="G15" s="3"/>
      <c r="H15" s="325"/>
      <c r="I15" s="325"/>
    </row>
    <row r="16" spans="1:9" s="148" customFormat="1">
      <c r="A16" s="330" t="s">
        <v>56</v>
      </c>
      <c r="B16" s="330"/>
      <c r="C16" s="331"/>
      <c r="D16" s="331"/>
      <c r="E16" s="331" t="s">
        <v>1772</v>
      </c>
      <c r="F16" s="331"/>
      <c r="G16" s="331"/>
      <c r="H16" s="325"/>
      <c r="I16" s="325"/>
    </row>
    <row r="17" spans="1:9" s="93" customFormat="1" ht="69">
      <c r="A17" s="3" t="s">
        <v>257</v>
      </c>
      <c r="B17" s="3" t="s">
        <v>1785</v>
      </c>
      <c r="C17" s="336" t="s">
        <v>1786</v>
      </c>
      <c r="D17" s="336" t="s">
        <v>485</v>
      </c>
      <c r="E17" s="336" t="s">
        <v>1604</v>
      </c>
      <c r="F17" s="361"/>
      <c r="G17" s="3"/>
      <c r="H17" s="325"/>
      <c r="I17" s="325"/>
    </row>
    <row r="18" spans="1:9" s="325" customFormat="1" ht="55.2">
      <c r="A18" s="3" t="s">
        <v>258</v>
      </c>
      <c r="B18" s="3" t="s">
        <v>1787</v>
      </c>
      <c r="C18" s="336" t="s">
        <v>487</v>
      </c>
      <c r="D18" s="336" t="s">
        <v>486</v>
      </c>
      <c r="E18" s="336" t="s">
        <v>1605</v>
      </c>
      <c r="F18" s="3"/>
      <c r="G18" s="3"/>
    </row>
    <row r="19" spans="1:9" s="148" customFormat="1" ht="69">
      <c r="A19" s="3" t="s">
        <v>259</v>
      </c>
      <c r="B19" s="3" t="s">
        <v>1788</v>
      </c>
      <c r="C19" s="3"/>
      <c r="D19" s="336" t="s">
        <v>488</v>
      </c>
      <c r="E19" s="336" t="s">
        <v>1606</v>
      </c>
      <c r="F19" s="3"/>
      <c r="G19" s="3"/>
      <c r="H19" s="325"/>
      <c r="I19" s="325"/>
    </row>
    <row r="20" spans="1:9" s="148" customFormat="1" ht="69">
      <c r="A20" s="3" t="s">
        <v>260</v>
      </c>
      <c r="B20" s="3" t="s">
        <v>1789</v>
      </c>
      <c r="C20" s="336" t="s">
        <v>1790</v>
      </c>
      <c r="D20" s="336" t="s">
        <v>1791</v>
      </c>
      <c r="E20" s="336" t="s">
        <v>1607</v>
      </c>
      <c r="F20" s="3"/>
      <c r="G20" s="3"/>
      <c r="H20" s="325"/>
      <c r="I20" s="325"/>
    </row>
    <row r="21" spans="1:9" s="93" customFormat="1" ht="55.2">
      <c r="A21" s="3" t="s">
        <v>261</v>
      </c>
      <c r="B21" s="3" t="s">
        <v>1792</v>
      </c>
      <c r="C21" s="336" t="s">
        <v>490</v>
      </c>
      <c r="D21" s="336" t="s">
        <v>489</v>
      </c>
      <c r="E21" s="336" t="s">
        <v>1984</v>
      </c>
      <c r="F21" s="3"/>
      <c r="G21" s="3"/>
      <c r="H21" s="325"/>
      <c r="I21" s="325"/>
    </row>
    <row r="22" spans="1:9" s="93" customFormat="1" ht="55.2">
      <c r="A22" s="3" t="s">
        <v>262</v>
      </c>
      <c r="B22" s="3" t="s">
        <v>1793</v>
      </c>
      <c r="C22" s="3"/>
      <c r="D22" s="336" t="s">
        <v>491</v>
      </c>
      <c r="E22" s="336" t="s">
        <v>1608</v>
      </c>
      <c r="F22" s="3"/>
      <c r="G22" s="3"/>
      <c r="H22" s="325"/>
      <c r="I22" s="325"/>
    </row>
    <row r="23" spans="1:9" s="148" customFormat="1">
      <c r="A23" s="330" t="s">
        <v>57</v>
      </c>
      <c r="B23" s="330"/>
      <c r="C23" s="331"/>
      <c r="D23" s="331"/>
      <c r="E23" s="331" t="s">
        <v>1772</v>
      </c>
      <c r="F23" s="331"/>
      <c r="G23" s="331"/>
      <c r="H23" s="325"/>
      <c r="I23" s="325"/>
    </row>
    <row r="24" spans="1:9" s="93" customFormat="1" ht="165.6">
      <c r="A24" s="3" t="s">
        <v>263</v>
      </c>
      <c r="B24" s="3" t="s">
        <v>492</v>
      </c>
      <c r="C24" s="336" t="s">
        <v>1794</v>
      </c>
      <c r="D24" s="336" t="s">
        <v>493</v>
      </c>
      <c r="E24" s="336" t="s">
        <v>1609</v>
      </c>
      <c r="F24" s="3"/>
      <c r="G24" s="3"/>
      <c r="H24" s="325"/>
      <c r="I24" s="325"/>
    </row>
  </sheetData>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C093B7-360B-4BBA-A485-9F79BB359F17}">
  <sheetPr codeName="Sheet46">
    <tabColor rgb="FF00A551"/>
  </sheetPr>
  <dimension ref="A1:R47"/>
  <sheetViews>
    <sheetView workbookViewId="0">
      <pane xSplit="2" ySplit="9" topLeftCell="C10"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329" customWidth="1"/>
    <col min="2" max="2" width="59.21875" style="362" customWidth="1"/>
    <col min="3" max="4" width="21.44140625" style="329" customWidth="1"/>
    <col min="5" max="5" width="41.77734375" style="325" customWidth="1"/>
    <col min="6" max="6" width="28.44140625" style="325" customWidth="1"/>
    <col min="7" max="7" width="21.44140625" style="325" customWidth="1"/>
    <col min="8" max="9" width="22.21875" style="322" customWidth="1"/>
    <col min="10" max="10" width="8.77734375" style="322"/>
    <col min="11" max="18" width="8.77734375" style="324"/>
    <col min="19" max="16384" width="8.77734375" style="329"/>
  </cols>
  <sheetData>
    <row r="1" spans="1:18" s="139" customFormat="1" ht="25.8">
      <c r="A1" s="321" t="s">
        <v>264</v>
      </c>
      <c r="B1" s="325"/>
      <c r="C1" s="323"/>
      <c r="D1" s="322"/>
      <c r="E1" s="325"/>
      <c r="F1" s="325"/>
      <c r="G1" s="325"/>
      <c r="H1" s="322"/>
      <c r="I1" s="322"/>
      <c r="J1" s="322"/>
      <c r="K1" s="324"/>
      <c r="L1" s="324"/>
      <c r="M1" s="324"/>
      <c r="N1" s="324"/>
      <c r="O1" s="324"/>
      <c r="P1" s="324"/>
      <c r="Q1" s="324"/>
      <c r="R1" s="324"/>
    </row>
    <row r="2" spans="1:18" s="137" customFormat="1" ht="25.8">
      <c r="A2" s="321" t="s">
        <v>1833</v>
      </c>
      <c r="B2" s="325"/>
      <c r="C2" s="323"/>
      <c r="D2" s="322"/>
      <c r="E2" s="325"/>
      <c r="F2" s="325"/>
      <c r="G2" s="325"/>
      <c r="H2" s="322"/>
      <c r="I2" s="322"/>
      <c r="J2" s="322"/>
      <c r="K2" s="324"/>
      <c r="L2" s="324"/>
      <c r="M2" s="324"/>
      <c r="N2" s="324"/>
      <c r="O2" s="324"/>
      <c r="P2" s="324"/>
      <c r="Q2" s="324"/>
      <c r="R2" s="324"/>
    </row>
    <row r="3" spans="1:18" s="346" customFormat="1">
      <c r="A3" s="325" t="s">
        <v>447</v>
      </c>
      <c r="B3" s="325" t="s">
        <v>265</v>
      </c>
      <c r="C3" s="322"/>
      <c r="D3" s="322"/>
      <c r="E3" s="325"/>
      <c r="F3" s="325"/>
      <c r="G3" s="325"/>
      <c r="H3" s="322"/>
      <c r="I3" s="322"/>
      <c r="J3" s="322"/>
      <c r="K3" s="324"/>
      <c r="L3" s="324"/>
      <c r="M3" s="324"/>
      <c r="N3" s="324"/>
      <c r="O3" s="324"/>
      <c r="P3" s="324"/>
      <c r="Q3" s="324"/>
      <c r="R3" s="324"/>
    </row>
    <row r="4" spans="1:18" s="139" customFormat="1">
      <c r="A4" s="325" t="s">
        <v>1695</v>
      </c>
      <c r="B4" s="325" t="s">
        <v>1834</v>
      </c>
      <c r="C4" s="322"/>
      <c r="D4" s="322"/>
      <c r="E4" s="325"/>
      <c r="F4" s="325"/>
      <c r="G4" s="325"/>
      <c r="H4" s="322"/>
      <c r="I4" s="322"/>
      <c r="J4" s="322"/>
      <c r="K4" s="324"/>
      <c r="L4" s="324"/>
      <c r="M4" s="324"/>
      <c r="N4" s="324"/>
      <c r="O4" s="324"/>
      <c r="P4" s="324"/>
      <c r="Q4" s="324"/>
      <c r="R4" s="324"/>
    </row>
    <row r="5" spans="1:18" s="139" customFormat="1" ht="27.6">
      <c r="A5" s="322" t="s">
        <v>448</v>
      </c>
      <c r="B5" s="325" t="s">
        <v>266</v>
      </c>
      <c r="C5" s="322"/>
      <c r="D5" s="322"/>
      <c r="E5" s="325"/>
      <c r="F5" s="325"/>
      <c r="G5" s="325"/>
      <c r="H5" s="322"/>
      <c r="I5" s="322"/>
      <c r="J5" s="322"/>
      <c r="K5" s="324"/>
      <c r="L5" s="324"/>
      <c r="M5" s="324"/>
      <c r="N5" s="324"/>
      <c r="O5" s="324"/>
      <c r="P5" s="324"/>
      <c r="Q5" s="324"/>
      <c r="R5" s="324"/>
    </row>
    <row r="6" spans="1:18" s="139" customFormat="1">
      <c r="A6" s="322" t="s">
        <v>1697</v>
      </c>
      <c r="B6" s="325" t="s">
        <v>1835</v>
      </c>
      <c r="C6" s="322"/>
      <c r="D6" s="322"/>
      <c r="E6" s="325"/>
      <c r="F6" s="325"/>
      <c r="G6" s="325"/>
      <c r="H6" s="322"/>
      <c r="I6" s="322"/>
      <c r="J6" s="322"/>
      <c r="K6" s="324"/>
      <c r="L6" s="324"/>
      <c r="M6" s="324"/>
      <c r="N6" s="324"/>
      <c r="O6" s="324"/>
      <c r="P6" s="324"/>
      <c r="Q6" s="324"/>
      <c r="R6" s="324"/>
    </row>
    <row r="7" spans="1:18" s="137" customFormat="1">
      <c r="A7" s="329"/>
      <c r="B7" s="362"/>
      <c r="C7" s="329"/>
      <c r="D7" s="329"/>
      <c r="E7" s="325"/>
      <c r="F7" s="325"/>
      <c r="G7" s="325" t="e">
        <f>#REF!</f>
        <v>#REF!</v>
      </c>
      <c r="H7" s="322"/>
      <c r="I7" s="322"/>
      <c r="J7" s="322"/>
      <c r="K7" s="324"/>
      <c r="L7" s="324"/>
      <c r="M7" s="324"/>
      <c r="N7" s="324"/>
      <c r="O7" s="324"/>
      <c r="P7" s="324"/>
      <c r="Q7" s="324"/>
      <c r="R7" s="324"/>
    </row>
    <row r="8" spans="1:18" s="346" customFormat="1">
      <c r="A8" s="363"/>
      <c r="B8" s="363"/>
      <c r="C8" s="363" t="s">
        <v>96</v>
      </c>
      <c r="D8" s="363" t="s">
        <v>553</v>
      </c>
      <c r="E8" s="363" t="s">
        <v>85</v>
      </c>
      <c r="F8" s="363" t="s">
        <v>1653</v>
      </c>
      <c r="G8" s="363" t="s">
        <v>1674</v>
      </c>
      <c r="H8" s="325"/>
      <c r="I8" s="322"/>
      <c r="J8" s="322"/>
      <c r="K8" s="322"/>
      <c r="L8" s="325"/>
      <c r="M8" s="325"/>
      <c r="N8" s="325"/>
      <c r="O8" s="325"/>
      <c r="P8" s="325"/>
      <c r="Q8" s="325"/>
      <c r="R8" s="325"/>
    </row>
    <row r="9" spans="1:18" s="139" customFormat="1">
      <c r="A9" s="342" t="s">
        <v>47</v>
      </c>
      <c r="B9" s="342"/>
      <c r="C9" s="343"/>
      <c r="D9" s="343"/>
      <c r="E9" s="331"/>
      <c r="F9" s="331"/>
      <c r="G9" s="331"/>
      <c r="H9" s="325"/>
      <c r="I9" s="322"/>
      <c r="J9" s="322"/>
      <c r="K9" s="324"/>
      <c r="L9" s="345"/>
      <c r="M9" s="345"/>
      <c r="N9" s="345"/>
      <c r="O9" s="345"/>
      <c r="P9" s="345"/>
      <c r="Q9" s="345"/>
      <c r="R9" s="345"/>
    </row>
    <row r="10" spans="1:18" s="139" customFormat="1" ht="41.4">
      <c r="A10" s="22" t="s">
        <v>267</v>
      </c>
      <c r="B10" s="22" t="s">
        <v>1836</v>
      </c>
      <c r="C10" s="22"/>
      <c r="D10" s="22"/>
      <c r="E10" s="336" t="s">
        <v>1610</v>
      </c>
      <c r="F10" s="336"/>
      <c r="G10" s="3"/>
      <c r="H10" s="325"/>
      <c r="I10" s="322"/>
      <c r="J10" s="322"/>
      <c r="K10" s="324"/>
      <c r="L10" s="345"/>
      <c r="M10" s="345"/>
      <c r="N10" s="345"/>
      <c r="O10" s="345"/>
      <c r="P10" s="345"/>
      <c r="Q10" s="345"/>
      <c r="R10" s="345"/>
    </row>
    <row r="11" spans="1:18" s="137" customFormat="1">
      <c r="A11" s="342" t="s">
        <v>54</v>
      </c>
      <c r="B11" s="342"/>
      <c r="C11" s="343"/>
      <c r="D11" s="343"/>
      <c r="E11" s="331" t="s">
        <v>1772</v>
      </c>
      <c r="F11" s="331"/>
      <c r="G11" s="331"/>
      <c r="H11" s="325"/>
      <c r="I11" s="322"/>
      <c r="J11" s="322"/>
      <c r="K11" s="324"/>
      <c r="L11" s="345"/>
      <c r="M11" s="345"/>
      <c r="N11" s="345"/>
      <c r="O11" s="345"/>
      <c r="P11" s="345"/>
      <c r="Q11" s="345"/>
      <c r="R11" s="345"/>
    </row>
    <row r="12" spans="1:18" s="346" customFormat="1" ht="37.5" customHeight="1">
      <c r="A12" s="22" t="s">
        <v>268</v>
      </c>
      <c r="B12" s="22" t="s">
        <v>1837</v>
      </c>
      <c r="C12" s="22"/>
      <c r="D12" s="22"/>
      <c r="E12" s="336" t="s">
        <v>269</v>
      </c>
      <c r="F12" s="336"/>
      <c r="G12" s="3"/>
      <c r="H12" s="325"/>
      <c r="I12" s="322"/>
      <c r="J12" s="322"/>
      <c r="K12" s="324"/>
      <c r="L12" s="345"/>
      <c r="M12" s="345"/>
      <c r="N12" s="345"/>
      <c r="O12" s="345"/>
      <c r="P12" s="345"/>
      <c r="Q12" s="345"/>
      <c r="R12" s="345"/>
    </row>
    <row r="13" spans="1:18" s="139" customFormat="1" ht="58.5" customHeight="1">
      <c r="A13" s="22" t="s">
        <v>270</v>
      </c>
      <c r="B13" s="22" t="s">
        <v>1838</v>
      </c>
      <c r="C13" s="22"/>
      <c r="D13" s="22"/>
      <c r="E13" s="336" t="s">
        <v>1611</v>
      </c>
      <c r="F13" s="336"/>
      <c r="G13" s="3"/>
      <c r="H13" s="325"/>
      <c r="I13" s="322"/>
      <c r="J13" s="322"/>
      <c r="K13" s="324"/>
      <c r="L13" s="345"/>
      <c r="M13" s="345"/>
      <c r="N13" s="345"/>
      <c r="O13" s="345"/>
      <c r="P13" s="345"/>
      <c r="Q13" s="345"/>
      <c r="R13" s="345"/>
    </row>
    <row r="14" spans="1:18" s="139" customFormat="1">
      <c r="A14" s="342" t="s">
        <v>56</v>
      </c>
      <c r="B14" s="342"/>
      <c r="C14" s="343"/>
      <c r="D14" s="343"/>
      <c r="E14" s="331" t="s">
        <v>1772</v>
      </c>
      <c r="F14" s="331"/>
      <c r="G14" s="331"/>
      <c r="H14" s="325"/>
      <c r="I14" s="322"/>
      <c r="J14" s="322"/>
      <c r="K14" s="324"/>
      <c r="L14" s="345"/>
      <c r="M14" s="345"/>
      <c r="N14" s="345"/>
      <c r="O14" s="345"/>
      <c r="P14" s="345"/>
      <c r="Q14" s="345"/>
      <c r="R14" s="345"/>
    </row>
    <row r="15" spans="1:18" s="137" customFormat="1" ht="41.4">
      <c r="A15" s="22" t="s">
        <v>271</v>
      </c>
      <c r="B15" s="22" t="s">
        <v>1839</v>
      </c>
      <c r="C15" s="22"/>
      <c r="D15" s="22"/>
      <c r="E15" s="336" t="s">
        <v>272</v>
      </c>
      <c r="F15" s="336"/>
      <c r="G15" s="3"/>
      <c r="H15" s="325"/>
      <c r="I15" s="322"/>
      <c r="J15" s="322"/>
      <c r="K15" s="324"/>
      <c r="L15" s="345"/>
      <c r="M15" s="345"/>
      <c r="N15" s="345"/>
      <c r="O15" s="345"/>
      <c r="P15" s="345"/>
      <c r="Q15" s="345"/>
      <c r="R15" s="345"/>
    </row>
    <row r="16" spans="1:18" s="346" customFormat="1" ht="55.2">
      <c r="A16" s="22" t="s">
        <v>273</v>
      </c>
      <c r="B16" s="22" t="s">
        <v>1840</v>
      </c>
      <c r="C16" s="22"/>
      <c r="D16" s="22"/>
      <c r="E16" s="336" t="s">
        <v>1612</v>
      </c>
      <c r="F16" s="336"/>
      <c r="G16" s="3"/>
      <c r="H16" s="325"/>
      <c r="I16" s="322"/>
      <c r="J16" s="322"/>
      <c r="K16" s="324"/>
      <c r="L16" s="345"/>
      <c r="M16" s="345"/>
      <c r="N16" s="345"/>
      <c r="O16" s="345"/>
      <c r="P16" s="345"/>
      <c r="Q16" s="345"/>
      <c r="R16" s="345"/>
    </row>
    <row r="17" spans="1:18" s="139" customFormat="1" ht="41.4">
      <c r="A17" s="22" t="s">
        <v>274</v>
      </c>
      <c r="B17" s="22" t="s">
        <v>1841</v>
      </c>
      <c r="C17" s="22"/>
      <c r="D17" s="22"/>
      <c r="E17" s="336" t="s">
        <v>275</v>
      </c>
      <c r="F17" s="336"/>
      <c r="G17" s="3"/>
      <c r="H17" s="325"/>
      <c r="I17" s="322"/>
      <c r="J17" s="322"/>
      <c r="K17" s="324"/>
      <c r="L17" s="345"/>
      <c r="M17" s="345"/>
      <c r="N17" s="345"/>
      <c r="O17" s="345"/>
      <c r="P17" s="345"/>
      <c r="Q17" s="345"/>
      <c r="R17" s="345"/>
    </row>
    <row r="18" spans="1:18" s="139" customFormat="1" ht="41.4">
      <c r="A18" s="22" t="s">
        <v>276</v>
      </c>
      <c r="B18" s="22" t="s">
        <v>1842</v>
      </c>
      <c r="C18" s="22"/>
      <c r="D18" s="22"/>
      <c r="E18" s="336" t="s">
        <v>277</v>
      </c>
      <c r="F18" s="336"/>
      <c r="G18" s="3"/>
      <c r="H18" s="325"/>
      <c r="I18" s="322"/>
      <c r="J18" s="322"/>
      <c r="K18" s="324"/>
      <c r="L18" s="345"/>
      <c r="M18" s="345"/>
      <c r="N18" s="345"/>
      <c r="O18" s="345"/>
      <c r="P18" s="345"/>
      <c r="Q18" s="345"/>
      <c r="R18" s="345"/>
    </row>
    <row r="19" spans="1:18" s="137" customFormat="1" ht="41.4">
      <c r="A19" s="22" t="s">
        <v>278</v>
      </c>
      <c r="B19" s="22" t="s">
        <v>1843</v>
      </c>
      <c r="C19" s="22"/>
      <c r="D19" s="22"/>
      <c r="E19" s="336" t="s">
        <v>279</v>
      </c>
      <c r="F19" s="336"/>
      <c r="G19" s="3"/>
      <c r="H19" s="325"/>
      <c r="I19" s="322"/>
      <c r="J19" s="322"/>
      <c r="K19" s="324"/>
      <c r="L19" s="345"/>
      <c r="M19" s="345"/>
      <c r="N19" s="345"/>
      <c r="O19" s="345"/>
      <c r="P19" s="345"/>
      <c r="Q19" s="345"/>
      <c r="R19" s="345"/>
    </row>
    <row r="20" spans="1:18" s="346" customFormat="1">
      <c r="E20" s="325"/>
      <c r="F20" s="325"/>
      <c r="G20" s="325"/>
      <c r="H20" s="325"/>
      <c r="I20" s="322"/>
      <c r="J20" s="322"/>
      <c r="K20" s="324"/>
      <c r="L20" s="345"/>
      <c r="M20" s="345"/>
      <c r="N20" s="345"/>
      <c r="O20" s="345"/>
      <c r="P20" s="345"/>
      <c r="Q20" s="345"/>
      <c r="R20" s="345"/>
    </row>
    <row r="21" spans="1:18" s="339" customFormat="1">
      <c r="B21" s="346"/>
      <c r="E21" s="325"/>
      <c r="F21" s="325"/>
      <c r="G21" s="325"/>
      <c r="H21" s="322"/>
      <c r="I21" s="322"/>
      <c r="J21" s="322"/>
      <c r="K21" s="324"/>
      <c r="L21" s="324"/>
      <c r="M21" s="324"/>
      <c r="N21" s="324"/>
      <c r="O21" s="324"/>
      <c r="P21" s="324"/>
      <c r="Q21" s="324"/>
      <c r="R21" s="324"/>
    </row>
    <row r="22" spans="1:18" s="339" customFormat="1">
      <c r="B22" s="346"/>
      <c r="E22" s="325"/>
      <c r="F22" s="325"/>
      <c r="G22" s="325"/>
      <c r="H22" s="322"/>
      <c r="I22" s="322"/>
      <c r="J22" s="322"/>
      <c r="K22" s="324"/>
      <c r="L22" s="324"/>
      <c r="M22" s="324"/>
      <c r="N22" s="324"/>
      <c r="O22" s="324"/>
      <c r="P22" s="324"/>
      <c r="Q22" s="324"/>
      <c r="R22" s="324"/>
    </row>
    <row r="23" spans="1:18" s="339" customFormat="1">
      <c r="B23" s="346"/>
      <c r="E23" s="325"/>
      <c r="F23" s="325"/>
      <c r="G23" s="325"/>
      <c r="H23" s="322"/>
      <c r="I23" s="322"/>
      <c r="J23" s="322"/>
      <c r="K23" s="324"/>
      <c r="L23" s="324"/>
      <c r="M23" s="324"/>
      <c r="N23" s="324"/>
      <c r="O23" s="324"/>
      <c r="P23" s="324"/>
      <c r="Q23" s="324"/>
      <c r="R23" s="324"/>
    </row>
    <row r="24" spans="1:18" s="339" customFormat="1">
      <c r="B24" s="346"/>
      <c r="E24" s="325"/>
      <c r="F24" s="325"/>
      <c r="G24" s="325"/>
      <c r="H24" s="322"/>
      <c r="I24" s="322"/>
      <c r="J24" s="322"/>
      <c r="K24" s="324"/>
      <c r="L24" s="324"/>
      <c r="M24" s="324"/>
      <c r="N24" s="324"/>
      <c r="O24" s="324"/>
      <c r="P24" s="324"/>
      <c r="Q24" s="324"/>
      <c r="R24" s="324"/>
    </row>
    <row r="25" spans="1:18" s="339" customFormat="1">
      <c r="B25" s="346"/>
      <c r="E25" s="325"/>
      <c r="F25" s="325"/>
      <c r="G25" s="325"/>
      <c r="H25" s="322"/>
      <c r="I25" s="322"/>
      <c r="J25" s="322"/>
      <c r="K25" s="324"/>
      <c r="L25" s="324"/>
      <c r="M25" s="324"/>
      <c r="N25" s="324"/>
      <c r="O25" s="324"/>
      <c r="P25" s="324"/>
      <c r="Q25" s="324"/>
      <c r="R25" s="324"/>
    </row>
    <row r="26" spans="1:18" s="339" customFormat="1">
      <c r="B26" s="346"/>
      <c r="E26" s="325"/>
      <c r="F26" s="325"/>
      <c r="G26" s="325"/>
      <c r="H26" s="322"/>
      <c r="I26" s="322"/>
      <c r="J26" s="322"/>
      <c r="K26" s="324"/>
      <c r="L26" s="324"/>
      <c r="M26" s="324"/>
      <c r="N26" s="324"/>
      <c r="O26" s="324"/>
      <c r="P26" s="324"/>
      <c r="Q26" s="324"/>
      <c r="R26" s="324"/>
    </row>
    <row r="27" spans="1:18" s="340" customFormat="1">
      <c r="B27" s="364"/>
      <c r="E27" s="325"/>
      <c r="F27" s="325"/>
      <c r="G27" s="325"/>
      <c r="H27" s="322"/>
      <c r="J27" s="322"/>
      <c r="K27" s="324"/>
      <c r="L27" s="324"/>
      <c r="M27" s="324"/>
      <c r="N27" s="324"/>
      <c r="O27" s="324"/>
      <c r="P27" s="324"/>
      <c r="Q27" s="324"/>
      <c r="R27" s="324"/>
    </row>
    <row r="28" spans="1:18" s="340" customFormat="1">
      <c r="B28" s="364"/>
      <c r="E28" s="325"/>
      <c r="F28" s="325"/>
      <c r="G28" s="325"/>
      <c r="H28" s="322"/>
      <c r="I28" s="322"/>
      <c r="J28" s="322"/>
      <c r="K28" s="324"/>
      <c r="L28" s="324"/>
      <c r="M28" s="324"/>
      <c r="N28" s="324"/>
      <c r="O28" s="324"/>
      <c r="P28" s="324"/>
      <c r="Q28" s="324"/>
      <c r="R28" s="324"/>
    </row>
    <row r="29" spans="1:18" s="340" customFormat="1">
      <c r="B29" s="364"/>
      <c r="E29" s="325"/>
      <c r="F29" s="325"/>
      <c r="G29" s="325"/>
      <c r="H29" s="322"/>
      <c r="I29" s="322"/>
      <c r="J29" s="322"/>
      <c r="K29" s="324"/>
      <c r="L29" s="324"/>
      <c r="M29" s="324"/>
      <c r="N29" s="324"/>
      <c r="O29" s="324"/>
      <c r="P29" s="324"/>
      <c r="Q29" s="324"/>
      <c r="R29" s="324"/>
    </row>
    <row r="30" spans="1:18" s="340" customFormat="1">
      <c r="B30" s="364"/>
      <c r="E30" s="325"/>
      <c r="F30" s="325"/>
      <c r="G30" s="325"/>
      <c r="H30" s="322"/>
      <c r="I30" s="322"/>
      <c r="J30" s="322"/>
      <c r="K30" s="324"/>
      <c r="L30" s="324"/>
      <c r="M30" s="324"/>
      <c r="N30" s="324"/>
      <c r="O30" s="324"/>
      <c r="P30" s="324"/>
      <c r="Q30" s="324"/>
      <c r="R30" s="324"/>
    </row>
    <row r="31" spans="1:18" s="340" customFormat="1">
      <c r="B31" s="364"/>
      <c r="E31" s="325"/>
      <c r="F31" s="325"/>
      <c r="G31" s="325"/>
      <c r="H31" s="322"/>
      <c r="I31" s="322"/>
      <c r="J31" s="322"/>
      <c r="K31" s="324"/>
      <c r="L31" s="324"/>
      <c r="M31" s="324"/>
      <c r="N31" s="324"/>
      <c r="O31" s="324"/>
      <c r="P31" s="324"/>
      <c r="Q31" s="324"/>
      <c r="R31" s="324"/>
    </row>
    <row r="32" spans="1:18" s="340" customFormat="1">
      <c r="B32" s="364"/>
      <c r="E32" s="325"/>
      <c r="F32" s="325"/>
      <c r="G32" s="325"/>
      <c r="H32" s="322"/>
      <c r="I32" s="322"/>
      <c r="J32" s="322"/>
      <c r="K32" s="324"/>
      <c r="L32" s="324"/>
      <c r="M32" s="324"/>
      <c r="N32" s="324"/>
      <c r="O32" s="324"/>
      <c r="P32" s="324"/>
      <c r="Q32" s="324"/>
      <c r="R32" s="324"/>
    </row>
    <row r="33" spans="2:18" s="340" customFormat="1">
      <c r="B33" s="364"/>
      <c r="E33" s="325"/>
      <c r="F33" s="325"/>
      <c r="G33" s="325"/>
      <c r="H33" s="322"/>
      <c r="I33" s="322"/>
      <c r="J33" s="322"/>
      <c r="K33" s="324"/>
      <c r="L33" s="324"/>
      <c r="M33" s="324"/>
      <c r="N33" s="324"/>
      <c r="O33" s="324"/>
      <c r="P33" s="324"/>
      <c r="Q33" s="324"/>
      <c r="R33" s="324"/>
    </row>
    <row r="34" spans="2:18" s="340" customFormat="1">
      <c r="B34" s="364"/>
      <c r="E34" s="325"/>
      <c r="F34" s="325"/>
      <c r="G34" s="325"/>
      <c r="H34" s="322"/>
      <c r="I34" s="322"/>
      <c r="J34" s="322"/>
      <c r="K34" s="324"/>
      <c r="L34" s="324"/>
      <c r="M34" s="324"/>
      <c r="N34" s="324"/>
      <c r="O34" s="324"/>
      <c r="P34" s="324"/>
      <c r="Q34" s="324"/>
      <c r="R34" s="324"/>
    </row>
    <row r="35" spans="2:18" s="340" customFormat="1">
      <c r="B35" s="364"/>
      <c r="E35" s="325"/>
      <c r="F35" s="325"/>
      <c r="G35" s="325"/>
      <c r="H35" s="322"/>
      <c r="I35" s="322"/>
      <c r="J35" s="322"/>
      <c r="K35" s="324"/>
      <c r="L35" s="324"/>
      <c r="M35" s="324"/>
      <c r="N35" s="324"/>
      <c r="O35" s="324"/>
      <c r="P35" s="324"/>
      <c r="Q35" s="324"/>
      <c r="R35" s="324"/>
    </row>
    <row r="36" spans="2:18" s="340" customFormat="1">
      <c r="B36" s="364"/>
      <c r="E36" s="325"/>
      <c r="F36" s="325"/>
      <c r="G36" s="325"/>
      <c r="H36" s="322"/>
      <c r="I36" s="322"/>
      <c r="J36" s="322"/>
      <c r="K36" s="324"/>
      <c r="L36" s="324"/>
      <c r="M36" s="324"/>
      <c r="N36" s="324"/>
      <c r="O36" s="324"/>
      <c r="P36" s="324"/>
      <c r="Q36" s="324"/>
      <c r="R36" s="324"/>
    </row>
    <row r="37" spans="2:18" s="340" customFormat="1">
      <c r="B37" s="364"/>
      <c r="E37" s="325"/>
      <c r="F37" s="325"/>
      <c r="G37" s="325"/>
      <c r="H37" s="322"/>
      <c r="I37" s="322"/>
      <c r="J37" s="322"/>
      <c r="K37" s="324"/>
      <c r="L37" s="324"/>
      <c r="M37" s="324"/>
      <c r="N37" s="324"/>
      <c r="O37" s="324"/>
      <c r="P37" s="324"/>
      <c r="Q37" s="324"/>
      <c r="R37" s="324"/>
    </row>
    <row r="38" spans="2:18" s="340" customFormat="1">
      <c r="B38" s="364"/>
      <c r="E38" s="325"/>
      <c r="F38" s="325"/>
      <c r="G38" s="325"/>
      <c r="H38" s="322"/>
      <c r="I38" s="322"/>
      <c r="J38" s="322"/>
      <c r="K38" s="324"/>
      <c r="L38" s="324"/>
      <c r="M38" s="324"/>
      <c r="N38" s="324"/>
      <c r="O38" s="324"/>
      <c r="P38" s="324"/>
      <c r="Q38" s="324"/>
      <c r="R38" s="324"/>
    </row>
    <row r="39" spans="2:18" s="340" customFormat="1">
      <c r="B39" s="364"/>
      <c r="E39" s="325"/>
      <c r="F39" s="325"/>
      <c r="G39" s="325"/>
      <c r="H39" s="322"/>
      <c r="I39" s="322"/>
      <c r="J39" s="322"/>
      <c r="K39" s="324"/>
      <c r="L39" s="324"/>
      <c r="M39" s="324"/>
      <c r="N39" s="324"/>
      <c r="O39" s="324"/>
      <c r="P39" s="324"/>
      <c r="Q39" s="324"/>
      <c r="R39" s="324"/>
    </row>
    <row r="40" spans="2:18" s="340" customFormat="1">
      <c r="B40" s="364"/>
      <c r="E40" s="325"/>
      <c r="F40" s="325"/>
      <c r="G40" s="325"/>
      <c r="H40" s="322"/>
      <c r="I40" s="322"/>
      <c r="J40" s="322"/>
      <c r="K40" s="324"/>
      <c r="L40" s="324"/>
      <c r="M40" s="324"/>
      <c r="N40" s="324"/>
      <c r="O40" s="324"/>
      <c r="P40" s="324"/>
      <c r="Q40" s="324"/>
      <c r="R40" s="324"/>
    </row>
    <row r="41" spans="2:18" s="340" customFormat="1">
      <c r="B41" s="364"/>
      <c r="E41" s="325"/>
      <c r="F41" s="325"/>
      <c r="G41" s="325"/>
      <c r="H41" s="322"/>
      <c r="I41" s="322"/>
      <c r="J41" s="322"/>
      <c r="K41" s="324"/>
      <c r="L41" s="324"/>
      <c r="M41" s="324"/>
      <c r="N41" s="324"/>
      <c r="O41" s="324"/>
      <c r="P41" s="324"/>
      <c r="Q41" s="324"/>
      <c r="R41" s="324"/>
    </row>
    <row r="42" spans="2:18" s="340" customFormat="1">
      <c r="B42" s="364"/>
      <c r="E42" s="325"/>
      <c r="F42" s="325"/>
      <c r="G42" s="325"/>
      <c r="H42" s="322"/>
      <c r="I42" s="322"/>
      <c r="J42" s="322"/>
      <c r="K42" s="324"/>
      <c r="L42" s="324"/>
      <c r="M42" s="324"/>
      <c r="N42" s="324"/>
      <c r="O42" s="324"/>
      <c r="P42" s="324"/>
      <c r="Q42" s="324"/>
      <c r="R42" s="324"/>
    </row>
    <row r="43" spans="2:18" s="340" customFormat="1">
      <c r="B43" s="364"/>
      <c r="E43" s="325"/>
      <c r="F43" s="325"/>
      <c r="G43" s="325"/>
      <c r="H43" s="322"/>
      <c r="I43" s="322"/>
      <c r="J43" s="322"/>
      <c r="K43" s="324"/>
      <c r="L43" s="324"/>
      <c r="M43" s="324"/>
      <c r="N43" s="324"/>
      <c r="O43" s="324"/>
      <c r="P43" s="324"/>
      <c r="Q43" s="324"/>
      <c r="R43" s="324"/>
    </row>
    <row r="44" spans="2:18" s="340" customFormat="1">
      <c r="B44" s="364"/>
      <c r="E44" s="325"/>
      <c r="F44" s="325"/>
      <c r="G44" s="325"/>
      <c r="H44" s="322"/>
      <c r="I44" s="322"/>
      <c r="J44" s="322"/>
      <c r="K44" s="324"/>
      <c r="L44" s="324"/>
      <c r="M44" s="324"/>
      <c r="N44" s="324"/>
      <c r="O44" s="324"/>
      <c r="P44" s="324"/>
      <c r="Q44" s="324"/>
      <c r="R44" s="324"/>
    </row>
    <row r="45" spans="2:18" s="340" customFormat="1">
      <c r="B45" s="364"/>
      <c r="E45" s="325"/>
      <c r="F45" s="325"/>
      <c r="G45" s="325"/>
      <c r="H45" s="322"/>
      <c r="I45" s="322"/>
      <c r="J45" s="322"/>
      <c r="K45" s="324"/>
      <c r="L45" s="324"/>
      <c r="M45" s="324"/>
      <c r="N45" s="324"/>
      <c r="O45" s="324"/>
      <c r="P45" s="324"/>
      <c r="Q45" s="324"/>
      <c r="R45" s="324"/>
    </row>
    <row r="46" spans="2:18" s="340" customFormat="1">
      <c r="B46" s="364"/>
      <c r="E46" s="325"/>
      <c r="F46" s="325"/>
      <c r="G46" s="325"/>
      <c r="H46" s="322"/>
      <c r="I46" s="322"/>
      <c r="J46" s="322"/>
      <c r="K46" s="324"/>
      <c r="L46" s="324"/>
      <c r="M46" s="324"/>
      <c r="N46" s="324"/>
      <c r="O46" s="324"/>
      <c r="P46" s="324"/>
      <c r="Q46" s="324"/>
      <c r="R46" s="324"/>
    </row>
    <row r="47" spans="2:18" s="340" customFormat="1">
      <c r="B47" s="364"/>
      <c r="E47" s="325"/>
      <c r="F47" s="325"/>
      <c r="G47" s="325"/>
      <c r="H47" s="322"/>
      <c r="I47" s="322"/>
      <c r="J47" s="322"/>
      <c r="K47" s="324"/>
      <c r="L47" s="324"/>
      <c r="M47" s="324"/>
      <c r="N47" s="324"/>
      <c r="O47" s="324"/>
      <c r="P47" s="324"/>
      <c r="Q47" s="324"/>
      <c r="R47" s="324"/>
    </row>
  </sheetData>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38829-ACF7-421C-B838-AC31669A7071}">
  <sheetPr codeName="Sheet47">
    <tabColor rgb="FF008050"/>
  </sheetPr>
  <dimension ref="A1:R53"/>
  <sheetViews>
    <sheetView topLeftCell="A7" workbookViewId="0">
      <pane xSplit="11" ySplit="3" topLeftCell="L25"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322" customWidth="1"/>
    <col min="2" max="2" width="61" style="322" customWidth="1"/>
    <col min="3" max="4" width="21.44140625" style="322" customWidth="1"/>
    <col min="5" max="6" width="35.44140625" style="322" customWidth="1"/>
    <col min="7" max="7" width="21.44140625" style="324" customWidth="1"/>
    <col min="8" max="10" width="8.77734375" style="322" customWidth="1"/>
    <col min="11" max="11" width="8.77734375" style="324"/>
    <col min="12" max="12" width="8.77734375" style="322"/>
    <col min="13" max="18" width="8.77734375" style="324"/>
    <col min="19" max="16384" width="8.77734375" style="322"/>
  </cols>
  <sheetData>
    <row r="1" spans="1:18" s="346" customFormat="1" ht="25.8">
      <c r="A1" s="321" t="s">
        <v>314</v>
      </c>
      <c r="B1" s="322"/>
      <c r="C1" s="323"/>
      <c r="D1" s="322"/>
      <c r="E1" s="322"/>
      <c r="F1" s="322"/>
      <c r="G1" s="324"/>
      <c r="H1" s="322"/>
      <c r="I1" s="322"/>
      <c r="J1" s="322"/>
      <c r="K1" s="324"/>
      <c r="L1" s="322"/>
      <c r="M1" s="324"/>
      <c r="N1" s="324"/>
      <c r="O1" s="324"/>
      <c r="P1" s="324"/>
      <c r="Q1" s="324"/>
      <c r="R1" s="324"/>
    </row>
    <row r="2" spans="1:18" s="139" customFormat="1" ht="25.8">
      <c r="A2" s="321" t="s">
        <v>1844</v>
      </c>
      <c r="B2" s="322"/>
      <c r="C2" s="323"/>
      <c r="D2" s="322"/>
      <c r="E2" s="322"/>
      <c r="F2" s="322"/>
      <c r="G2" s="324"/>
      <c r="H2" s="322"/>
      <c r="I2" s="322"/>
      <c r="J2" s="322"/>
      <c r="K2" s="324"/>
      <c r="L2" s="322"/>
      <c r="M2" s="324"/>
      <c r="N2" s="324"/>
      <c r="O2" s="324"/>
      <c r="P2" s="324"/>
      <c r="Q2" s="324"/>
      <c r="R2" s="324"/>
    </row>
    <row r="3" spans="1:18" s="139" customFormat="1" ht="248.4">
      <c r="A3" s="325" t="s">
        <v>447</v>
      </c>
      <c r="B3" s="325" t="s">
        <v>1845</v>
      </c>
      <c r="C3" s="322"/>
      <c r="D3" s="322"/>
      <c r="E3" s="322"/>
      <c r="F3" s="322"/>
      <c r="G3" s="324"/>
      <c r="H3" s="322"/>
      <c r="I3" s="322"/>
      <c r="J3" s="322"/>
      <c r="K3" s="324"/>
      <c r="L3" s="322"/>
      <c r="M3" s="324"/>
      <c r="N3" s="324"/>
      <c r="O3" s="324"/>
      <c r="P3" s="324"/>
      <c r="Q3" s="324"/>
      <c r="R3" s="324"/>
    </row>
    <row r="4" spans="1:18" s="137" customFormat="1" ht="69">
      <c r="A4" s="325" t="s">
        <v>1695</v>
      </c>
      <c r="B4" s="325" t="s">
        <v>1846</v>
      </c>
      <c r="C4" s="322"/>
      <c r="D4" s="322"/>
      <c r="E4" s="322"/>
      <c r="F4" s="322"/>
      <c r="G4" s="324"/>
      <c r="H4" s="322"/>
      <c r="I4" s="322"/>
      <c r="J4" s="322"/>
      <c r="K4" s="324"/>
      <c r="L4" s="322"/>
      <c r="M4" s="324"/>
      <c r="N4" s="324"/>
      <c r="O4" s="324"/>
      <c r="P4" s="324"/>
      <c r="Q4" s="324"/>
      <c r="R4" s="324"/>
    </row>
    <row r="5" spans="1:18" s="346" customFormat="1">
      <c r="A5" s="322" t="s">
        <v>448</v>
      </c>
      <c r="B5" s="322" t="s">
        <v>315</v>
      </c>
      <c r="C5" s="322"/>
      <c r="D5" s="322"/>
      <c r="E5" s="322"/>
      <c r="F5" s="322"/>
      <c r="G5" s="324"/>
      <c r="H5" s="322"/>
      <c r="I5" s="322"/>
      <c r="J5" s="322"/>
      <c r="K5" s="324"/>
      <c r="L5" s="322"/>
      <c r="M5" s="324"/>
      <c r="N5" s="324"/>
      <c r="O5" s="324"/>
      <c r="P5" s="324"/>
      <c r="Q5" s="324"/>
      <c r="R5" s="324"/>
    </row>
    <row r="6" spans="1:18" s="346" customFormat="1">
      <c r="A6" s="322" t="s">
        <v>1697</v>
      </c>
      <c r="B6" s="322" t="s">
        <v>1847</v>
      </c>
      <c r="C6" s="322"/>
      <c r="D6" s="322"/>
      <c r="E6" s="322"/>
      <c r="F6" s="322"/>
      <c r="G6" s="324"/>
      <c r="H6" s="322"/>
      <c r="I6" s="322"/>
      <c r="J6" s="322"/>
      <c r="K6" s="324"/>
      <c r="L6" s="322"/>
      <c r="M6" s="324"/>
      <c r="N6" s="324"/>
      <c r="O6" s="324"/>
      <c r="P6" s="324"/>
      <c r="Q6" s="324"/>
      <c r="R6" s="324"/>
    </row>
    <row r="7" spans="1:18" s="346" customFormat="1">
      <c r="A7" s="322"/>
      <c r="B7" s="322"/>
      <c r="C7" s="322"/>
      <c r="D7" s="322"/>
      <c r="E7" s="322"/>
      <c r="F7" s="322"/>
      <c r="G7" s="359"/>
      <c r="H7" s="322"/>
      <c r="I7" s="322"/>
      <c r="J7" s="322"/>
      <c r="K7" s="324"/>
      <c r="L7" s="322"/>
      <c r="M7" s="324"/>
      <c r="N7" s="324"/>
      <c r="O7" s="324"/>
      <c r="P7" s="324"/>
      <c r="Q7" s="324"/>
      <c r="R7" s="324"/>
    </row>
    <row r="8" spans="1:18" s="139" customFormat="1">
      <c r="A8" s="350"/>
      <c r="B8" s="350"/>
      <c r="C8" s="350" t="s">
        <v>96</v>
      </c>
      <c r="D8" s="350" t="s">
        <v>553</v>
      </c>
      <c r="E8" s="350" t="s">
        <v>85</v>
      </c>
      <c r="F8" s="350" t="s">
        <v>1653</v>
      </c>
      <c r="G8" s="350" t="s">
        <v>1674</v>
      </c>
      <c r="H8" s="322"/>
      <c r="I8" s="322"/>
      <c r="J8" s="322"/>
      <c r="K8" s="322"/>
      <c r="L8" s="322"/>
      <c r="M8" s="322"/>
      <c r="N8" s="322"/>
      <c r="O8" s="322"/>
      <c r="P8" s="322"/>
      <c r="Q8" s="322"/>
      <c r="R8" s="322"/>
    </row>
    <row r="9" spans="1:18" s="139" customFormat="1">
      <c r="A9" s="342" t="s">
        <v>47</v>
      </c>
      <c r="B9" s="342"/>
      <c r="C9" s="343"/>
      <c r="D9" s="343"/>
      <c r="E9" s="343"/>
      <c r="F9" s="343"/>
      <c r="G9" s="344"/>
      <c r="H9" s="322"/>
      <c r="I9" s="322"/>
      <c r="J9" s="322"/>
      <c r="K9" s="345"/>
      <c r="L9" s="322"/>
      <c r="M9" s="345"/>
      <c r="N9" s="345"/>
      <c r="O9" s="345"/>
      <c r="P9" s="345"/>
      <c r="Q9" s="345"/>
      <c r="R9" s="345"/>
    </row>
    <row r="10" spans="1:18" s="137" customFormat="1" ht="41.4">
      <c r="A10" s="22" t="s">
        <v>316</v>
      </c>
      <c r="B10" s="22" t="s">
        <v>1848</v>
      </c>
      <c r="C10" s="22"/>
      <c r="D10" s="22"/>
      <c r="E10" s="347" t="s">
        <v>317</v>
      </c>
      <c r="F10" s="347"/>
      <c r="G10" s="348"/>
      <c r="H10" s="322"/>
      <c r="I10" s="322"/>
      <c r="J10" s="322"/>
      <c r="K10" s="345"/>
      <c r="L10" s="322"/>
      <c r="M10" s="345"/>
      <c r="N10" s="345"/>
      <c r="O10" s="345"/>
      <c r="P10" s="345"/>
      <c r="Q10" s="345"/>
      <c r="R10" s="345"/>
    </row>
    <row r="11" spans="1:18" s="346" customFormat="1" ht="27.6">
      <c r="A11" s="22" t="s">
        <v>318</v>
      </c>
      <c r="B11" s="22" t="s">
        <v>1849</v>
      </c>
      <c r="C11" s="22"/>
      <c r="D11" s="22"/>
      <c r="E11" s="347" t="s">
        <v>319</v>
      </c>
      <c r="F11" s="347"/>
      <c r="G11" s="348"/>
      <c r="H11" s="322"/>
      <c r="I11" s="322"/>
      <c r="J11" s="322"/>
      <c r="K11" s="345"/>
      <c r="L11" s="322"/>
      <c r="M11" s="345"/>
      <c r="N11" s="345"/>
      <c r="O11" s="345"/>
      <c r="P11" s="345"/>
      <c r="Q11" s="345"/>
      <c r="R11" s="345"/>
    </row>
    <row r="12" spans="1:18" s="139" customFormat="1">
      <c r="A12" s="342" t="s">
        <v>54</v>
      </c>
      <c r="B12" s="342"/>
      <c r="C12" s="343"/>
      <c r="D12" s="343"/>
      <c r="E12" s="343" t="s">
        <v>1772</v>
      </c>
      <c r="F12" s="343"/>
      <c r="G12" s="344"/>
      <c r="H12" s="322"/>
      <c r="I12" s="322"/>
      <c r="J12" s="322"/>
      <c r="K12" s="345"/>
      <c r="L12" s="322"/>
      <c r="M12" s="345"/>
      <c r="N12" s="345"/>
      <c r="O12" s="345"/>
      <c r="P12" s="345"/>
      <c r="Q12" s="345"/>
      <c r="R12" s="345"/>
    </row>
    <row r="13" spans="1:18" s="139" customFormat="1" ht="41.4">
      <c r="A13" s="22" t="s">
        <v>320</v>
      </c>
      <c r="B13" s="22" t="s">
        <v>1850</v>
      </c>
      <c r="C13" s="22"/>
      <c r="D13" s="22"/>
      <c r="E13" s="347" t="s">
        <v>321</v>
      </c>
      <c r="F13" s="347"/>
      <c r="G13" s="348"/>
      <c r="H13" s="322"/>
      <c r="I13" s="322"/>
      <c r="J13" s="322"/>
      <c r="K13" s="345"/>
      <c r="L13" s="322"/>
      <c r="M13" s="345"/>
      <c r="N13" s="345"/>
      <c r="O13" s="345"/>
      <c r="P13" s="345"/>
      <c r="Q13" s="345"/>
      <c r="R13" s="345"/>
    </row>
    <row r="14" spans="1:18" s="137" customFormat="1" ht="69">
      <c r="A14" s="22" t="s">
        <v>322</v>
      </c>
      <c r="B14" s="22" t="s">
        <v>1851</v>
      </c>
      <c r="C14" s="22"/>
      <c r="D14" s="22"/>
      <c r="E14" s="347" t="s">
        <v>1628</v>
      </c>
      <c r="F14" s="347"/>
      <c r="G14" s="348"/>
      <c r="H14" s="322"/>
      <c r="I14" s="322"/>
      <c r="J14" s="322"/>
      <c r="K14" s="345"/>
      <c r="L14" s="322"/>
      <c r="M14" s="345"/>
      <c r="N14" s="345"/>
      <c r="O14" s="345"/>
      <c r="P14" s="345"/>
      <c r="Q14" s="345"/>
      <c r="R14" s="345"/>
    </row>
    <row r="15" spans="1:18" s="346" customFormat="1" ht="41.4">
      <c r="A15" s="22" t="s">
        <v>323</v>
      </c>
      <c r="B15" s="22" t="s">
        <v>1852</v>
      </c>
      <c r="C15" s="22"/>
      <c r="D15" s="22"/>
      <c r="E15" s="347" t="s">
        <v>1629</v>
      </c>
      <c r="F15" s="347"/>
      <c r="G15" s="348"/>
      <c r="H15" s="322"/>
      <c r="I15" s="322"/>
      <c r="J15" s="322"/>
      <c r="K15" s="345"/>
      <c r="L15" s="322"/>
      <c r="M15" s="345"/>
      <c r="N15" s="345"/>
      <c r="O15" s="345"/>
      <c r="P15" s="345"/>
      <c r="Q15" s="345"/>
      <c r="R15" s="345"/>
    </row>
    <row r="16" spans="1:18" s="139" customFormat="1" ht="41.4">
      <c r="A16" s="22" t="s">
        <v>324</v>
      </c>
      <c r="B16" s="22" t="s">
        <v>1853</v>
      </c>
      <c r="C16" s="22"/>
      <c r="D16" s="22"/>
      <c r="E16" s="347" t="s">
        <v>1630</v>
      </c>
      <c r="F16" s="347"/>
      <c r="G16" s="348"/>
      <c r="H16" s="322"/>
      <c r="I16" s="322"/>
      <c r="J16" s="322"/>
      <c r="K16" s="345"/>
      <c r="L16" s="322"/>
      <c r="M16" s="345"/>
      <c r="N16" s="345"/>
      <c r="O16" s="345"/>
      <c r="P16" s="345"/>
      <c r="Q16" s="345"/>
      <c r="R16" s="345"/>
    </row>
    <row r="17" spans="1:18" s="139" customFormat="1" ht="55.2">
      <c r="A17" s="22" t="s">
        <v>325</v>
      </c>
      <c r="B17" s="22" t="s">
        <v>1854</v>
      </c>
      <c r="C17" s="22"/>
      <c r="D17" s="22"/>
      <c r="E17" s="347" t="s">
        <v>1631</v>
      </c>
      <c r="F17" s="347"/>
      <c r="G17" s="348"/>
      <c r="H17" s="322"/>
      <c r="I17" s="322"/>
      <c r="J17" s="322"/>
      <c r="K17" s="345"/>
      <c r="L17" s="322"/>
      <c r="M17" s="345"/>
      <c r="N17" s="345"/>
      <c r="O17" s="345"/>
      <c r="P17" s="345"/>
      <c r="Q17" s="345"/>
      <c r="R17" s="345"/>
    </row>
    <row r="18" spans="1:18" s="137" customFormat="1" ht="69">
      <c r="A18" s="22" t="s">
        <v>326</v>
      </c>
      <c r="B18" s="22" t="s">
        <v>1855</v>
      </c>
      <c r="C18" s="22"/>
      <c r="D18" s="22"/>
      <c r="E18" s="347" t="s">
        <v>1632</v>
      </c>
      <c r="F18" s="347"/>
      <c r="G18" s="348"/>
      <c r="H18" s="322"/>
      <c r="I18" s="322"/>
      <c r="J18" s="322"/>
      <c r="K18" s="345"/>
      <c r="L18" s="322"/>
      <c r="M18" s="345"/>
      <c r="N18" s="345"/>
      <c r="O18" s="345"/>
      <c r="P18" s="345"/>
      <c r="Q18" s="345"/>
      <c r="R18" s="345"/>
    </row>
    <row r="19" spans="1:18" s="346" customFormat="1" ht="41.4">
      <c r="A19" s="22" t="s">
        <v>327</v>
      </c>
      <c r="B19" s="22" t="s">
        <v>1856</v>
      </c>
      <c r="C19" s="22"/>
      <c r="D19" s="22"/>
      <c r="E19" s="347" t="s">
        <v>1633</v>
      </c>
      <c r="F19" s="347"/>
      <c r="G19" s="348"/>
      <c r="H19" s="322"/>
      <c r="I19" s="322"/>
      <c r="J19" s="322"/>
      <c r="K19" s="345"/>
      <c r="L19" s="322"/>
      <c r="M19" s="345"/>
      <c r="N19" s="345"/>
      <c r="O19" s="345"/>
      <c r="P19" s="345"/>
      <c r="Q19" s="345"/>
      <c r="R19" s="345"/>
    </row>
    <row r="20" spans="1:18" s="139" customFormat="1" ht="69">
      <c r="A20" s="22" t="s">
        <v>328</v>
      </c>
      <c r="B20" s="22" t="s">
        <v>1857</v>
      </c>
      <c r="C20" s="22"/>
      <c r="D20" s="22"/>
      <c r="E20" s="347" t="s">
        <v>1634</v>
      </c>
      <c r="F20" s="347"/>
      <c r="G20" s="348"/>
      <c r="H20" s="322"/>
      <c r="I20" s="322"/>
      <c r="J20" s="322"/>
      <c r="K20" s="345"/>
      <c r="L20" s="322"/>
      <c r="M20" s="345"/>
      <c r="N20" s="345"/>
      <c r="O20" s="345"/>
      <c r="P20" s="345"/>
      <c r="Q20" s="345"/>
      <c r="R20" s="345"/>
    </row>
    <row r="21" spans="1:18" s="139" customFormat="1">
      <c r="A21" s="342" t="s">
        <v>56</v>
      </c>
      <c r="B21" s="342"/>
      <c r="C21" s="343"/>
      <c r="D21" s="343"/>
      <c r="E21" s="343" t="s">
        <v>1772</v>
      </c>
      <c r="F21" s="343"/>
      <c r="G21" s="344"/>
      <c r="H21" s="322"/>
      <c r="I21" s="322"/>
      <c r="J21" s="322"/>
      <c r="K21" s="345"/>
      <c r="L21" s="322"/>
      <c r="M21" s="345"/>
      <c r="N21" s="345"/>
      <c r="O21" s="345"/>
      <c r="P21" s="345"/>
      <c r="Q21" s="345"/>
      <c r="R21" s="345"/>
    </row>
    <row r="22" spans="1:18" s="137" customFormat="1" ht="110.4">
      <c r="A22" s="22" t="s">
        <v>329</v>
      </c>
      <c r="B22" s="22" t="s">
        <v>1858</v>
      </c>
      <c r="C22" s="22"/>
      <c r="D22" s="22"/>
      <c r="E22" s="347" t="s">
        <v>1989</v>
      </c>
      <c r="F22" s="347"/>
      <c r="G22" s="348"/>
      <c r="H22" s="322"/>
      <c r="I22" s="322"/>
      <c r="J22" s="322"/>
      <c r="K22" s="345"/>
      <c r="L22" s="322"/>
      <c r="M22" s="345"/>
      <c r="N22" s="345"/>
      <c r="O22" s="345"/>
      <c r="P22" s="345"/>
      <c r="Q22" s="345"/>
      <c r="R22" s="345"/>
    </row>
    <row r="23" spans="1:18" s="346" customFormat="1" ht="69">
      <c r="A23" s="22" t="s">
        <v>330</v>
      </c>
      <c r="B23" s="22" t="s">
        <v>1859</v>
      </c>
      <c r="C23" s="22"/>
      <c r="D23" s="22"/>
      <c r="E23" s="347" t="s">
        <v>1635</v>
      </c>
      <c r="F23" s="347"/>
      <c r="G23" s="348"/>
      <c r="H23" s="322"/>
      <c r="I23" s="322"/>
      <c r="J23" s="322"/>
      <c r="K23" s="345"/>
      <c r="L23" s="322"/>
      <c r="M23" s="345"/>
      <c r="N23" s="345"/>
      <c r="O23" s="345"/>
      <c r="P23" s="345"/>
      <c r="Q23" s="345"/>
      <c r="R23" s="345"/>
    </row>
    <row r="24" spans="1:18" s="346" customFormat="1" ht="41.4">
      <c r="A24" s="22" t="s">
        <v>331</v>
      </c>
      <c r="B24" s="22" t="s">
        <v>1860</v>
      </c>
      <c r="C24" s="22"/>
      <c r="D24" s="22"/>
      <c r="E24" s="347" t="s">
        <v>332</v>
      </c>
      <c r="F24" s="347"/>
      <c r="G24" s="348"/>
      <c r="H24" s="322"/>
      <c r="I24" s="322"/>
      <c r="J24" s="322"/>
      <c r="K24" s="345"/>
      <c r="L24" s="322"/>
      <c r="M24" s="345"/>
      <c r="N24" s="345"/>
      <c r="O24" s="345"/>
      <c r="P24" s="345"/>
      <c r="Q24" s="345"/>
      <c r="R24" s="345"/>
    </row>
    <row r="25" spans="1:18" s="139" customFormat="1" ht="69">
      <c r="A25" s="22" t="s">
        <v>333</v>
      </c>
      <c r="B25" s="22" t="s">
        <v>1861</v>
      </c>
      <c r="C25" s="22"/>
      <c r="D25" s="22"/>
      <c r="E25" s="347" t="s">
        <v>1990</v>
      </c>
      <c r="F25" s="347"/>
      <c r="G25" s="348"/>
      <c r="H25" s="322"/>
      <c r="I25" s="322"/>
      <c r="J25" s="322"/>
      <c r="K25" s="345"/>
      <c r="L25" s="322"/>
      <c r="M25" s="345"/>
      <c r="N25" s="345"/>
      <c r="O25" s="345"/>
      <c r="P25" s="345"/>
      <c r="Q25" s="345"/>
      <c r="R25" s="345"/>
    </row>
    <row r="26" spans="1:18" s="139" customFormat="1">
      <c r="A26" s="342" t="s">
        <v>57</v>
      </c>
      <c r="B26" s="342"/>
      <c r="C26" s="343"/>
      <c r="D26" s="343"/>
      <c r="E26" s="343" t="s">
        <v>1772</v>
      </c>
      <c r="F26" s="343"/>
      <c r="G26" s="344"/>
      <c r="H26" s="322"/>
      <c r="I26" s="322"/>
      <c r="J26" s="322"/>
      <c r="K26" s="345"/>
      <c r="L26" s="322"/>
      <c r="M26" s="345"/>
      <c r="N26" s="345"/>
      <c r="O26" s="345"/>
      <c r="P26" s="345"/>
      <c r="Q26" s="345"/>
      <c r="R26" s="345"/>
    </row>
    <row r="27" spans="1:18" s="137" customFormat="1" ht="124.2">
      <c r="A27" s="22" t="s">
        <v>334</v>
      </c>
      <c r="B27" s="22" t="s">
        <v>1862</v>
      </c>
      <c r="C27" s="22"/>
      <c r="D27" s="22"/>
      <c r="E27" s="347" t="s">
        <v>1991</v>
      </c>
      <c r="F27" s="347"/>
      <c r="G27" s="348"/>
      <c r="H27" s="322"/>
      <c r="I27" s="322"/>
      <c r="J27" s="322"/>
      <c r="K27" s="345"/>
      <c r="L27" s="322"/>
      <c r="M27" s="345"/>
      <c r="N27" s="345"/>
      <c r="O27" s="345"/>
      <c r="P27" s="345"/>
      <c r="Q27" s="345"/>
      <c r="R27" s="345"/>
    </row>
    <row r="28" spans="1:18" s="339" customFormat="1">
      <c r="G28" s="324"/>
      <c r="H28" s="322"/>
      <c r="I28" s="322"/>
      <c r="J28" s="322"/>
      <c r="K28" s="324"/>
      <c r="L28" s="322"/>
      <c r="M28" s="324"/>
      <c r="N28" s="324"/>
      <c r="O28" s="324"/>
      <c r="P28" s="324"/>
      <c r="Q28" s="324"/>
      <c r="R28" s="324"/>
    </row>
    <row r="29" spans="1:18" s="339" customFormat="1">
      <c r="G29" s="324"/>
      <c r="H29" s="322"/>
      <c r="I29" s="322"/>
      <c r="J29" s="322"/>
      <c r="K29" s="324"/>
      <c r="L29" s="322"/>
      <c r="M29" s="324"/>
      <c r="N29" s="324"/>
      <c r="O29" s="324"/>
      <c r="P29" s="324"/>
      <c r="Q29" s="324"/>
      <c r="R29" s="324"/>
    </row>
    <row r="30" spans="1:18" s="339" customFormat="1">
      <c r="G30" s="324"/>
      <c r="H30" s="322"/>
      <c r="I30" s="322"/>
      <c r="J30" s="322"/>
      <c r="K30" s="324"/>
      <c r="L30" s="322"/>
      <c r="M30" s="324"/>
      <c r="N30" s="324"/>
      <c r="O30" s="324"/>
      <c r="P30" s="324"/>
      <c r="Q30" s="324"/>
      <c r="R30" s="324"/>
    </row>
    <row r="31" spans="1:18" s="339" customFormat="1">
      <c r="G31" s="324"/>
      <c r="H31" s="322"/>
      <c r="I31" s="322"/>
      <c r="J31" s="322"/>
      <c r="K31" s="324"/>
      <c r="L31" s="322"/>
      <c r="M31" s="324"/>
      <c r="N31" s="324"/>
      <c r="O31" s="324"/>
      <c r="P31" s="324"/>
      <c r="Q31" s="324"/>
      <c r="R31" s="324"/>
    </row>
    <row r="32" spans="1:18" s="339" customFormat="1">
      <c r="G32" s="324"/>
      <c r="H32" s="322"/>
      <c r="I32" s="322"/>
      <c r="J32" s="322"/>
      <c r="K32" s="324"/>
      <c r="L32" s="322"/>
      <c r="M32" s="324"/>
      <c r="N32" s="324"/>
      <c r="O32" s="324"/>
      <c r="P32" s="324"/>
      <c r="Q32" s="324"/>
      <c r="R32" s="324"/>
    </row>
    <row r="33" spans="7:18" s="339" customFormat="1">
      <c r="G33" s="324"/>
      <c r="H33" s="322"/>
      <c r="I33" s="322"/>
      <c r="J33" s="322"/>
      <c r="K33" s="324"/>
      <c r="L33" s="322"/>
      <c r="M33" s="324"/>
      <c r="N33" s="324"/>
      <c r="O33" s="324"/>
      <c r="P33" s="324"/>
      <c r="Q33" s="324"/>
      <c r="R33" s="324"/>
    </row>
    <row r="34" spans="7:18" s="339" customFormat="1">
      <c r="G34" s="324"/>
      <c r="H34" s="322"/>
      <c r="I34" s="322"/>
      <c r="J34" s="322"/>
      <c r="K34" s="324"/>
      <c r="L34" s="322"/>
      <c r="M34" s="324"/>
      <c r="N34" s="324"/>
      <c r="O34" s="324"/>
      <c r="P34" s="324"/>
      <c r="Q34" s="324"/>
      <c r="R34" s="324"/>
    </row>
    <row r="35" spans="7:18" s="339" customFormat="1">
      <c r="G35" s="324"/>
      <c r="H35" s="322"/>
      <c r="I35" s="322"/>
      <c r="J35" s="322"/>
      <c r="K35" s="324"/>
      <c r="L35" s="322"/>
      <c r="M35" s="324"/>
      <c r="N35" s="324"/>
      <c r="O35" s="324"/>
      <c r="P35" s="324"/>
      <c r="Q35" s="324"/>
      <c r="R35" s="324"/>
    </row>
    <row r="36" spans="7:18" s="339" customFormat="1">
      <c r="G36" s="324"/>
      <c r="H36" s="322"/>
      <c r="I36" s="322"/>
      <c r="J36" s="322"/>
      <c r="K36" s="324"/>
      <c r="L36" s="322"/>
      <c r="M36" s="324"/>
      <c r="N36" s="324"/>
      <c r="O36" s="324"/>
      <c r="P36" s="324"/>
      <c r="Q36" s="324"/>
      <c r="R36" s="324"/>
    </row>
    <row r="37" spans="7:18" s="339" customFormat="1">
      <c r="G37" s="324"/>
      <c r="H37" s="322"/>
      <c r="I37" s="322"/>
      <c r="J37" s="322"/>
      <c r="K37" s="324"/>
      <c r="L37" s="322"/>
      <c r="M37" s="324"/>
      <c r="N37" s="324"/>
      <c r="O37" s="324"/>
      <c r="P37" s="324"/>
      <c r="Q37" s="324"/>
      <c r="R37" s="324"/>
    </row>
    <row r="38" spans="7:18" s="339" customFormat="1">
      <c r="G38" s="324"/>
      <c r="H38" s="322"/>
      <c r="I38" s="322"/>
      <c r="J38" s="322"/>
      <c r="K38" s="324"/>
      <c r="L38" s="322"/>
      <c r="M38" s="324"/>
      <c r="N38" s="324"/>
      <c r="O38" s="324"/>
      <c r="P38" s="324"/>
      <c r="Q38" s="324"/>
      <c r="R38" s="324"/>
    </row>
    <row r="39" spans="7:18" s="339" customFormat="1">
      <c r="G39" s="324"/>
      <c r="H39" s="322"/>
      <c r="I39" s="322"/>
      <c r="J39" s="322"/>
      <c r="K39" s="324"/>
      <c r="L39" s="322"/>
      <c r="M39" s="324"/>
      <c r="N39" s="324"/>
      <c r="O39" s="324"/>
      <c r="P39" s="324"/>
      <c r="Q39" s="324"/>
      <c r="R39" s="324"/>
    </row>
    <row r="40" spans="7:18" s="339" customFormat="1">
      <c r="G40" s="324"/>
      <c r="H40" s="322"/>
      <c r="I40" s="322"/>
      <c r="J40" s="322"/>
      <c r="K40" s="324"/>
      <c r="L40" s="322"/>
      <c r="M40" s="324"/>
      <c r="N40" s="324"/>
      <c r="O40" s="324"/>
      <c r="P40" s="324"/>
      <c r="Q40" s="324"/>
      <c r="R40" s="324"/>
    </row>
    <row r="41" spans="7:18" s="339" customFormat="1">
      <c r="G41" s="324"/>
      <c r="H41" s="322"/>
      <c r="I41" s="322"/>
      <c r="J41" s="322"/>
      <c r="K41" s="324"/>
      <c r="L41" s="322"/>
      <c r="M41" s="324"/>
      <c r="N41" s="324"/>
      <c r="O41" s="324"/>
      <c r="P41" s="324"/>
      <c r="Q41" s="324"/>
      <c r="R41" s="324"/>
    </row>
    <row r="42" spans="7:18" s="339" customFormat="1">
      <c r="G42" s="324"/>
      <c r="H42" s="322"/>
      <c r="I42" s="322"/>
      <c r="J42" s="322"/>
      <c r="K42" s="324"/>
      <c r="L42" s="322"/>
      <c r="M42" s="324"/>
      <c r="N42" s="324"/>
      <c r="O42" s="324"/>
      <c r="P42" s="324"/>
      <c r="Q42" s="324"/>
      <c r="R42" s="324"/>
    </row>
    <row r="43" spans="7:18" s="339" customFormat="1">
      <c r="G43" s="324"/>
      <c r="H43" s="322"/>
      <c r="I43" s="322"/>
      <c r="J43" s="322"/>
      <c r="K43" s="324"/>
      <c r="L43" s="322"/>
      <c r="M43" s="324"/>
      <c r="N43" s="324"/>
      <c r="O43" s="324"/>
      <c r="P43" s="324"/>
      <c r="Q43" s="324"/>
      <c r="R43" s="324"/>
    </row>
    <row r="44" spans="7:18" s="339" customFormat="1">
      <c r="G44" s="324"/>
      <c r="H44" s="322"/>
      <c r="I44" s="322"/>
      <c r="J44" s="322"/>
      <c r="K44" s="324"/>
      <c r="L44" s="322"/>
      <c r="M44" s="324"/>
      <c r="N44" s="324"/>
      <c r="O44" s="324"/>
      <c r="P44" s="324"/>
      <c r="Q44" s="324"/>
      <c r="R44" s="324"/>
    </row>
    <row r="45" spans="7:18" s="339" customFormat="1">
      <c r="G45" s="324"/>
      <c r="H45" s="322"/>
      <c r="I45" s="322"/>
      <c r="J45" s="322"/>
      <c r="K45" s="324"/>
      <c r="L45" s="322"/>
      <c r="M45" s="324"/>
      <c r="N45" s="324"/>
      <c r="O45" s="324"/>
      <c r="P45" s="324"/>
      <c r="Q45" s="324"/>
      <c r="R45" s="324"/>
    </row>
    <row r="46" spans="7:18" s="339" customFormat="1">
      <c r="G46" s="324"/>
      <c r="H46" s="322"/>
      <c r="I46" s="322"/>
      <c r="J46" s="322"/>
      <c r="K46" s="324"/>
      <c r="L46" s="322"/>
      <c r="M46" s="324"/>
      <c r="N46" s="324"/>
      <c r="O46" s="324"/>
      <c r="P46" s="324"/>
      <c r="Q46" s="324"/>
      <c r="R46" s="324"/>
    </row>
    <row r="47" spans="7:18" s="339" customFormat="1">
      <c r="G47" s="324"/>
      <c r="H47" s="322"/>
      <c r="I47" s="322"/>
      <c r="J47" s="322"/>
      <c r="K47" s="324"/>
      <c r="L47" s="322"/>
      <c r="M47" s="324"/>
      <c r="N47" s="324"/>
      <c r="O47" s="324"/>
      <c r="P47" s="324"/>
      <c r="Q47" s="324"/>
      <c r="R47" s="324"/>
    </row>
    <row r="48" spans="7:18" s="339" customFormat="1">
      <c r="G48" s="324"/>
      <c r="H48" s="322"/>
      <c r="I48" s="322"/>
      <c r="J48" s="322"/>
      <c r="K48" s="324"/>
      <c r="L48" s="322"/>
      <c r="M48" s="324"/>
      <c r="N48" s="324"/>
      <c r="O48" s="324"/>
      <c r="P48" s="324"/>
      <c r="Q48" s="324"/>
      <c r="R48" s="324"/>
    </row>
    <row r="49" spans="7:18" s="339" customFormat="1">
      <c r="G49" s="324"/>
      <c r="H49" s="322"/>
      <c r="I49" s="322"/>
      <c r="J49" s="322"/>
      <c r="K49" s="324"/>
      <c r="L49" s="322"/>
      <c r="M49" s="324"/>
      <c r="N49" s="324"/>
      <c r="O49" s="324"/>
      <c r="P49" s="324"/>
      <c r="Q49" s="324"/>
      <c r="R49" s="324"/>
    </row>
    <row r="50" spans="7:18" s="339" customFormat="1">
      <c r="G50" s="324"/>
      <c r="H50" s="322"/>
      <c r="I50" s="322"/>
      <c r="J50" s="322"/>
      <c r="K50" s="324"/>
      <c r="L50" s="322"/>
      <c r="M50" s="324"/>
      <c r="N50" s="324"/>
      <c r="O50" s="324"/>
      <c r="P50" s="324"/>
      <c r="Q50" s="324"/>
      <c r="R50" s="324"/>
    </row>
    <row r="51" spans="7:18" s="339" customFormat="1">
      <c r="G51" s="324"/>
      <c r="H51" s="322"/>
      <c r="I51" s="322"/>
      <c r="J51" s="322"/>
      <c r="K51" s="324"/>
      <c r="L51" s="322"/>
      <c r="M51" s="324"/>
      <c r="N51" s="324"/>
      <c r="O51" s="324"/>
      <c r="P51" s="324"/>
      <c r="Q51" s="324"/>
      <c r="R51" s="324"/>
    </row>
    <row r="52" spans="7:18" s="339" customFormat="1">
      <c r="G52" s="324"/>
      <c r="H52" s="322"/>
      <c r="I52" s="322"/>
      <c r="J52" s="322"/>
      <c r="K52" s="324"/>
      <c r="L52" s="322"/>
      <c r="M52" s="324"/>
      <c r="N52" s="324"/>
      <c r="O52" s="324"/>
      <c r="P52" s="324"/>
      <c r="Q52" s="324"/>
      <c r="R52" s="324"/>
    </row>
    <row r="53" spans="7:18" s="339" customFormat="1">
      <c r="G53" s="324"/>
      <c r="H53" s="322"/>
      <c r="I53" s="322"/>
      <c r="J53" s="322"/>
      <c r="K53" s="324"/>
      <c r="L53" s="322"/>
      <c r="M53" s="324"/>
      <c r="N53" s="324"/>
      <c r="O53" s="324"/>
      <c r="P53" s="324"/>
      <c r="Q53" s="324"/>
      <c r="R53" s="324"/>
    </row>
  </sheetData>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44779-BF54-48B5-937E-7D305A0E2DB1}">
  <sheetPr codeName="Sheet48">
    <tabColor rgb="FF802C19"/>
  </sheetPr>
  <dimension ref="A1:R48"/>
  <sheetViews>
    <sheetView topLeftCell="A8" zoomScale="85" zoomScaleNormal="85" workbookViewId="0">
      <selection activeCell="I11" sqref="I11:J14"/>
    </sheetView>
  </sheetViews>
  <sheetFormatPr defaultColWidth="8.77734375" defaultRowHeight="13.8"/>
  <cols>
    <col min="1" max="1" width="10.21875" style="329" customWidth="1"/>
    <col min="2" max="2" width="63.77734375" style="329" customWidth="1"/>
    <col min="3" max="4" width="21.44140625" style="329" customWidth="1"/>
    <col min="5" max="5" width="48.44140625" style="329" customWidth="1"/>
    <col min="6" max="6" width="30.21875" style="329" customWidth="1"/>
    <col min="7" max="7" width="21.44140625" style="324" customWidth="1"/>
    <col min="8" max="9" width="8.77734375" style="322"/>
    <col min="10" max="18" width="8.77734375" style="324"/>
    <col min="19" max="16384" width="8.77734375" style="329"/>
  </cols>
  <sheetData>
    <row r="1" spans="1:18" s="139" customFormat="1" ht="25.8">
      <c r="A1" s="321" t="s">
        <v>175</v>
      </c>
      <c r="B1" s="322"/>
      <c r="C1" s="323"/>
      <c r="D1" s="322"/>
      <c r="E1" s="322"/>
      <c r="F1" s="322"/>
      <c r="G1" s="324"/>
      <c r="H1" s="322"/>
      <c r="I1" s="322"/>
      <c r="J1" s="324"/>
      <c r="K1" s="324"/>
      <c r="L1" s="324"/>
      <c r="M1" s="324"/>
      <c r="N1" s="324"/>
      <c r="O1" s="324"/>
      <c r="P1" s="324"/>
      <c r="Q1" s="324"/>
      <c r="R1" s="324"/>
    </row>
    <row r="2" spans="1:18" s="137" customFormat="1" ht="25.8">
      <c r="A2" s="321" t="s">
        <v>1863</v>
      </c>
      <c r="B2" s="322"/>
      <c r="C2" s="323"/>
      <c r="D2" s="322"/>
      <c r="E2" s="322"/>
      <c r="F2" s="322"/>
      <c r="G2" s="324"/>
      <c r="H2" s="322"/>
      <c r="I2" s="322"/>
      <c r="J2" s="324"/>
      <c r="K2" s="324"/>
      <c r="L2" s="324"/>
      <c r="M2" s="324"/>
      <c r="N2" s="324"/>
      <c r="O2" s="324"/>
      <c r="P2" s="324"/>
      <c r="Q2" s="324"/>
      <c r="R2" s="324"/>
    </row>
    <row r="3" spans="1:18" s="346" customFormat="1">
      <c r="A3" s="325" t="s">
        <v>447</v>
      </c>
      <c r="B3" s="322" t="s">
        <v>176</v>
      </c>
      <c r="C3" s="322"/>
      <c r="D3" s="322"/>
      <c r="E3" s="322"/>
      <c r="F3" s="322"/>
      <c r="G3" s="324"/>
      <c r="H3" s="322"/>
      <c r="I3" s="322"/>
      <c r="J3" s="324"/>
      <c r="K3" s="324"/>
      <c r="L3" s="324"/>
      <c r="M3" s="324"/>
      <c r="N3" s="324"/>
      <c r="O3" s="324"/>
      <c r="P3" s="324"/>
      <c r="Q3" s="324"/>
      <c r="R3" s="324"/>
    </row>
    <row r="4" spans="1:18" s="139" customFormat="1">
      <c r="A4" s="325" t="s">
        <v>1695</v>
      </c>
      <c r="B4" s="322" t="s">
        <v>1864</v>
      </c>
      <c r="C4" s="322"/>
      <c r="D4" s="322"/>
      <c r="E4" s="322"/>
      <c r="F4" s="322"/>
      <c r="G4" s="324"/>
      <c r="H4" s="322"/>
      <c r="I4" s="322"/>
      <c r="J4" s="324"/>
      <c r="K4" s="324"/>
      <c r="L4" s="324"/>
      <c r="M4" s="324"/>
      <c r="N4" s="324"/>
      <c r="O4" s="324"/>
      <c r="P4" s="324"/>
      <c r="Q4" s="324"/>
      <c r="R4" s="324"/>
    </row>
    <row r="5" spans="1:18" s="137" customFormat="1">
      <c r="A5" s="322" t="s">
        <v>448</v>
      </c>
      <c r="B5" s="322" t="s">
        <v>177</v>
      </c>
      <c r="C5" s="322"/>
      <c r="D5" s="322"/>
      <c r="E5" s="322"/>
      <c r="F5" s="322"/>
      <c r="G5" s="324"/>
      <c r="H5" s="322"/>
      <c r="I5" s="322"/>
      <c r="J5" s="324"/>
      <c r="K5" s="324"/>
      <c r="L5" s="324"/>
      <c r="M5" s="324"/>
      <c r="N5" s="324"/>
      <c r="O5" s="324"/>
      <c r="P5" s="324"/>
      <c r="Q5" s="324"/>
      <c r="R5" s="324"/>
    </row>
    <row r="6" spans="1:18" s="346" customFormat="1">
      <c r="A6" s="322" t="s">
        <v>1697</v>
      </c>
      <c r="B6" s="322" t="s">
        <v>1865</v>
      </c>
      <c r="C6" s="322"/>
      <c r="D6" s="322"/>
      <c r="E6" s="322"/>
      <c r="F6" s="322"/>
      <c r="G6" s="324"/>
      <c r="H6" s="322"/>
      <c r="I6" s="322"/>
      <c r="J6" s="324"/>
      <c r="K6" s="324"/>
      <c r="L6" s="324"/>
      <c r="M6" s="324"/>
      <c r="N6" s="324"/>
      <c r="O6" s="324"/>
      <c r="P6" s="324"/>
      <c r="Q6" s="324"/>
      <c r="R6" s="324"/>
    </row>
    <row r="7" spans="1:18" s="139" customFormat="1">
      <c r="A7" s="329"/>
      <c r="B7" s="329"/>
      <c r="C7" s="329"/>
      <c r="D7" s="329"/>
      <c r="E7" s="322"/>
      <c r="F7" s="322"/>
      <c r="G7" s="359"/>
      <c r="H7" s="322"/>
      <c r="I7" s="322"/>
      <c r="J7" s="324"/>
      <c r="K7" s="324"/>
      <c r="L7" s="324"/>
      <c r="M7" s="324"/>
      <c r="N7" s="324"/>
      <c r="O7" s="324"/>
      <c r="P7" s="324"/>
      <c r="Q7" s="324"/>
      <c r="R7" s="324"/>
    </row>
    <row r="8" spans="1:18" s="139" customFormat="1">
      <c r="A8" s="350"/>
      <c r="B8" s="350"/>
      <c r="C8" s="350" t="s">
        <v>96</v>
      </c>
      <c r="D8" s="350" t="s">
        <v>553</v>
      </c>
      <c r="E8" s="350" t="s">
        <v>85</v>
      </c>
      <c r="F8" s="350" t="s">
        <v>1653</v>
      </c>
      <c r="G8" s="350" t="s">
        <v>1674</v>
      </c>
      <c r="H8" s="322"/>
      <c r="I8" s="322"/>
      <c r="J8" s="322"/>
      <c r="K8" s="322"/>
      <c r="L8" s="322"/>
      <c r="M8" s="322"/>
      <c r="N8" s="322"/>
      <c r="O8" s="322"/>
      <c r="P8" s="322"/>
      <c r="Q8" s="322"/>
      <c r="R8" s="322"/>
    </row>
    <row r="9" spans="1:18" s="137" customFormat="1">
      <c r="A9" s="342" t="s">
        <v>47</v>
      </c>
      <c r="B9" s="342"/>
      <c r="C9" s="343"/>
      <c r="D9" s="343"/>
      <c r="E9" s="343"/>
      <c r="F9" s="343"/>
      <c r="G9" s="344"/>
      <c r="H9" s="322"/>
      <c r="I9" s="322"/>
      <c r="J9" s="345"/>
      <c r="K9" s="345"/>
      <c r="L9" s="345"/>
      <c r="M9" s="345"/>
      <c r="N9" s="345"/>
      <c r="O9" s="345"/>
      <c r="P9" s="345"/>
      <c r="Q9" s="345"/>
      <c r="R9" s="345"/>
    </row>
    <row r="10" spans="1:18" s="346" customFormat="1" ht="27.6">
      <c r="A10" s="22" t="s">
        <v>178</v>
      </c>
      <c r="B10" s="22" t="s">
        <v>1866</v>
      </c>
      <c r="C10" s="22"/>
      <c r="D10" s="22"/>
      <c r="E10" s="347" t="s">
        <v>1573</v>
      </c>
      <c r="F10" s="347"/>
      <c r="G10" s="348"/>
      <c r="H10" s="322"/>
      <c r="I10" s="322"/>
      <c r="J10" s="345"/>
      <c r="K10" s="345"/>
      <c r="L10" s="345"/>
      <c r="M10" s="345"/>
      <c r="N10" s="345"/>
      <c r="O10" s="345"/>
      <c r="P10" s="345"/>
      <c r="Q10" s="345"/>
      <c r="R10" s="345"/>
    </row>
    <row r="11" spans="1:18" s="139" customFormat="1">
      <c r="A11" s="342" t="s">
        <v>54</v>
      </c>
      <c r="B11" s="342"/>
      <c r="C11" s="343"/>
      <c r="D11" s="343"/>
      <c r="E11" s="343" t="s">
        <v>1772</v>
      </c>
      <c r="F11" s="343"/>
      <c r="G11" s="344"/>
      <c r="H11" s="322"/>
      <c r="I11" s="322"/>
      <c r="J11" s="345"/>
      <c r="K11" s="345"/>
      <c r="L11" s="345"/>
      <c r="M11" s="345"/>
      <c r="N11" s="345"/>
      <c r="O11" s="345"/>
      <c r="P11" s="345"/>
      <c r="Q11" s="345"/>
      <c r="R11" s="345"/>
    </row>
    <row r="12" spans="1:18" s="139" customFormat="1" ht="55.2">
      <c r="A12" s="22" t="s">
        <v>179</v>
      </c>
      <c r="B12" s="22" t="s">
        <v>1867</v>
      </c>
      <c r="C12" s="22"/>
      <c r="D12" s="22"/>
      <c r="E12" s="347" t="s">
        <v>1574</v>
      </c>
      <c r="F12" s="347"/>
      <c r="G12" s="348"/>
      <c r="H12" s="322"/>
      <c r="I12" s="322"/>
      <c r="J12" s="345"/>
      <c r="K12" s="345"/>
      <c r="L12" s="345"/>
      <c r="M12" s="345"/>
      <c r="N12" s="345"/>
      <c r="O12" s="345"/>
      <c r="P12" s="345"/>
      <c r="Q12" s="345"/>
      <c r="R12" s="345"/>
    </row>
    <row r="13" spans="1:18" s="137" customFormat="1" ht="69">
      <c r="A13" s="22" t="s">
        <v>180</v>
      </c>
      <c r="B13" s="22" t="s">
        <v>1868</v>
      </c>
      <c r="C13" s="22"/>
      <c r="D13" s="22"/>
      <c r="E13" s="347" t="s">
        <v>1575</v>
      </c>
      <c r="F13" s="347"/>
      <c r="G13" s="348"/>
      <c r="H13" s="322"/>
      <c r="I13" s="322"/>
      <c r="J13" s="345"/>
      <c r="K13" s="345"/>
      <c r="L13" s="345"/>
      <c r="M13" s="345"/>
      <c r="N13" s="345"/>
      <c r="O13" s="345"/>
      <c r="P13" s="345"/>
      <c r="Q13" s="345"/>
      <c r="R13" s="345"/>
    </row>
    <row r="14" spans="1:18" s="346" customFormat="1" ht="55.2">
      <c r="A14" s="22" t="s">
        <v>181</v>
      </c>
      <c r="B14" s="22" t="s">
        <v>1869</v>
      </c>
      <c r="C14" s="22"/>
      <c r="D14" s="22"/>
      <c r="E14" s="347" t="s">
        <v>1576</v>
      </c>
      <c r="F14" s="347"/>
      <c r="G14" s="348"/>
      <c r="H14" s="322"/>
      <c r="I14" s="322"/>
      <c r="J14" s="345"/>
      <c r="K14" s="345"/>
      <c r="L14" s="345"/>
      <c r="M14" s="345"/>
      <c r="N14" s="345"/>
      <c r="O14" s="345"/>
      <c r="P14" s="345"/>
      <c r="Q14" s="345"/>
      <c r="R14" s="345"/>
    </row>
    <row r="15" spans="1:18" s="139" customFormat="1" ht="69">
      <c r="A15" s="22" t="s">
        <v>182</v>
      </c>
      <c r="B15" s="22" t="s">
        <v>1870</v>
      </c>
      <c r="C15" s="22"/>
      <c r="D15" s="22"/>
      <c r="E15" s="347" t="s">
        <v>183</v>
      </c>
      <c r="F15" s="347"/>
      <c r="G15" s="348"/>
      <c r="H15" s="322"/>
      <c r="I15" s="322"/>
      <c r="J15" s="345"/>
      <c r="K15" s="345"/>
      <c r="L15" s="345"/>
      <c r="M15" s="345"/>
      <c r="N15" s="345"/>
      <c r="O15" s="345"/>
      <c r="P15" s="345"/>
      <c r="Q15" s="345"/>
      <c r="R15" s="345"/>
    </row>
    <row r="16" spans="1:18" s="139" customFormat="1" ht="69">
      <c r="A16" s="22" t="s">
        <v>184</v>
      </c>
      <c r="B16" s="22" t="s">
        <v>1871</v>
      </c>
      <c r="C16" s="22"/>
      <c r="D16" s="22"/>
      <c r="E16" s="22" t="s">
        <v>1872</v>
      </c>
      <c r="F16" s="22"/>
      <c r="G16" s="348"/>
      <c r="H16" s="322"/>
      <c r="I16" s="322"/>
      <c r="J16" s="345"/>
      <c r="K16" s="345"/>
      <c r="L16" s="345"/>
      <c r="M16" s="345"/>
      <c r="N16" s="345"/>
      <c r="O16" s="345"/>
      <c r="P16" s="345"/>
      <c r="Q16" s="345"/>
      <c r="R16" s="345"/>
    </row>
    <row r="17" spans="1:18" s="137" customFormat="1" ht="55.2">
      <c r="A17" s="22" t="s">
        <v>185</v>
      </c>
      <c r="B17" s="22" t="s">
        <v>1873</v>
      </c>
      <c r="C17" s="22"/>
      <c r="D17" s="22"/>
      <c r="E17" s="22" t="s">
        <v>1874</v>
      </c>
      <c r="F17" s="22"/>
      <c r="G17" s="348"/>
      <c r="H17" s="322"/>
      <c r="I17" s="322"/>
      <c r="J17" s="345"/>
      <c r="K17" s="345"/>
      <c r="L17" s="345"/>
      <c r="M17" s="345"/>
      <c r="N17" s="345"/>
      <c r="O17" s="345"/>
      <c r="P17" s="345"/>
      <c r="Q17" s="345"/>
      <c r="R17" s="345"/>
    </row>
    <row r="18" spans="1:18" s="346" customFormat="1">
      <c r="A18" s="342" t="s">
        <v>56</v>
      </c>
      <c r="B18" s="342"/>
      <c r="C18" s="343"/>
      <c r="D18" s="343"/>
      <c r="E18" s="343" t="s">
        <v>1772</v>
      </c>
      <c r="F18" s="343"/>
      <c r="G18" s="344"/>
      <c r="H18" s="322"/>
      <c r="I18" s="322"/>
      <c r="J18" s="345"/>
      <c r="K18" s="345"/>
      <c r="L18" s="345"/>
      <c r="M18" s="345"/>
      <c r="N18" s="345"/>
      <c r="O18" s="345"/>
      <c r="P18" s="345"/>
      <c r="Q18" s="345"/>
      <c r="R18" s="345"/>
    </row>
    <row r="19" spans="1:18" s="139" customFormat="1" ht="41.4">
      <c r="A19" s="22" t="s">
        <v>186</v>
      </c>
      <c r="B19" s="22" t="s">
        <v>1875</v>
      </c>
      <c r="C19" s="22"/>
      <c r="D19" s="22"/>
      <c r="E19" s="22" t="s">
        <v>1876</v>
      </c>
      <c r="F19" s="22"/>
      <c r="G19" s="348"/>
      <c r="H19" s="322"/>
      <c r="I19" s="322"/>
      <c r="J19" s="345"/>
      <c r="K19" s="345"/>
      <c r="L19" s="345"/>
      <c r="M19" s="345"/>
      <c r="N19" s="345"/>
      <c r="O19" s="345"/>
      <c r="P19" s="345"/>
      <c r="Q19" s="345"/>
      <c r="R19" s="345"/>
    </row>
    <row r="20" spans="1:18" s="139" customFormat="1" ht="41.4">
      <c r="A20" s="22" t="s">
        <v>187</v>
      </c>
      <c r="B20" s="22" t="s">
        <v>1877</v>
      </c>
      <c r="C20" s="22"/>
      <c r="D20" s="22"/>
      <c r="E20" s="347" t="s">
        <v>1577</v>
      </c>
      <c r="F20" s="347"/>
      <c r="G20" s="348"/>
      <c r="H20" s="322"/>
      <c r="I20" s="322"/>
      <c r="J20" s="345"/>
      <c r="K20" s="345"/>
      <c r="L20" s="345"/>
      <c r="M20" s="345"/>
      <c r="N20" s="345"/>
      <c r="O20" s="345"/>
      <c r="P20" s="345"/>
      <c r="Q20" s="345"/>
      <c r="R20" s="345"/>
    </row>
    <row r="21" spans="1:18" s="137" customFormat="1" ht="27.6">
      <c r="A21" s="22" t="s">
        <v>188</v>
      </c>
      <c r="B21" s="22" t="s">
        <v>1878</v>
      </c>
      <c r="C21" s="22"/>
      <c r="D21" s="22"/>
      <c r="E21" s="347" t="s">
        <v>189</v>
      </c>
      <c r="F21" s="347"/>
      <c r="G21" s="348"/>
      <c r="H21" s="322"/>
      <c r="I21" s="322"/>
      <c r="J21" s="345"/>
      <c r="K21" s="345"/>
      <c r="L21" s="345"/>
      <c r="M21" s="345"/>
      <c r="N21" s="345"/>
      <c r="O21" s="345"/>
      <c r="P21" s="345"/>
      <c r="Q21" s="345"/>
      <c r="R21" s="345"/>
    </row>
    <row r="22" spans="1:18" s="346" customFormat="1" ht="41.4">
      <c r="A22" s="22" t="s">
        <v>190</v>
      </c>
      <c r="B22" s="22" t="s">
        <v>1879</v>
      </c>
      <c r="C22" s="22"/>
      <c r="D22" s="22"/>
      <c r="E22" s="347" t="s">
        <v>1578</v>
      </c>
      <c r="F22" s="347"/>
      <c r="G22" s="348"/>
      <c r="H22" s="322"/>
      <c r="I22" s="322"/>
      <c r="J22" s="345"/>
      <c r="K22" s="345"/>
      <c r="L22" s="345"/>
      <c r="M22" s="345"/>
      <c r="N22" s="345"/>
      <c r="O22" s="345"/>
      <c r="P22" s="345"/>
      <c r="Q22" s="345"/>
      <c r="R22" s="345"/>
    </row>
    <row r="23" spans="1:18" s="139" customFormat="1" ht="41.4">
      <c r="A23" s="22" t="s">
        <v>191</v>
      </c>
      <c r="B23" s="22" t="s">
        <v>1880</v>
      </c>
      <c r="C23" s="22"/>
      <c r="D23" s="22"/>
      <c r="E23" s="347" t="s">
        <v>1579</v>
      </c>
      <c r="F23" s="347"/>
      <c r="G23" s="348"/>
      <c r="H23" s="322"/>
      <c r="I23" s="322"/>
      <c r="J23" s="345"/>
      <c r="K23" s="345"/>
      <c r="L23" s="345"/>
      <c r="M23" s="345"/>
      <c r="N23" s="345"/>
      <c r="O23" s="345"/>
      <c r="P23" s="345"/>
      <c r="Q23" s="345"/>
      <c r="R23" s="345"/>
    </row>
    <row r="24" spans="1:18" s="139" customFormat="1" ht="27.6">
      <c r="A24" s="22" t="s">
        <v>192</v>
      </c>
      <c r="B24" s="22" t="s">
        <v>1881</v>
      </c>
      <c r="C24" s="22"/>
      <c r="D24" s="22"/>
      <c r="E24" s="347" t="s">
        <v>193</v>
      </c>
      <c r="F24" s="347"/>
      <c r="G24" s="348"/>
      <c r="H24" s="322"/>
      <c r="I24" s="322"/>
      <c r="J24" s="345"/>
      <c r="K24" s="345"/>
      <c r="L24" s="345"/>
      <c r="M24" s="345"/>
      <c r="N24" s="345"/>
      <c r="O24" s="345"/>
      <c r="P24" s="345"/>
      <c r="Q24" s="345"/>
      <c r="R24" s="345"/>
    </row>
    <row r="25" spans="1:18" s="137" customFormat="1" ht="82.8">
      <c r="A25" s="22" t="s">
        <v>194</v>
      </c>
      <c r="B25" s="22" t="s">
        <v>1882</v>
      </c>
      <c r="C25" s="22"/>
      <c r="D25" s="22"/>
      <c r="E25" s="347" t="s">
        <v>1580</v>
      </c>
      <c r="F25" s="347"/>
      <c r="G25" s="348"/>
      <c r="H25" s="322"/>
      <c r="I25" s="322"/>
      <c r="J25" s="345"/>
      <c r="K25" s="345"/>
      <c r="L25" s="345"/>
      <c r="M25" s="345"/>
      <c r="N25" s="345"/>
      <c r="O25" s="345"/>
      <c r="P25" s="345"/>
      <c r="Q25" s="345"/>
      <c r="R25" s="345"/>
    </row>
    <row r="26" spans="1:18" s="339" customFormat="1">
      <c r="G26" s="324"/>
      <c r="H26" s="322"/>
      <c r="I26" s="322"/>
      <c r="J26" s="324"/>
      <c r="K26" s="324"/>
      <c r="L26" s="324"/>
      <c r="M26" s="324"/>
      <c r="N26" s="324"/>
      <c r="O26" s="324"/>
      <c r="P26" s="324"/>
      <c r="Q26" s="324"/>
      <c r="R26" s="324"/>
    </row>
    <row r="27" spans="1:18" s="339" customFormat="1">
      <c r="G27" s="324"/>
      <c r="H27" s="322"/>
      <c r="I27" s="322"/>
      <c r="J27" s="324"/>
      <c r="K27" s="324"/>
      <c r="L27" s="324"/>
      <c r="M27" s="324"/>
      <c r="N27" s="324"/>
      <c r="O27" s="324"/>
      <c r="P27" s="324"/>
      <c r="Q27" s="324"/>
      <c r="R27" s="324"/>
    </row>
    <row r="28" spans="1:18" s="340" customFormat="1">
      <c r="G28" s="324"/>
      <c r="H28" s="322"/>
      <c r="I28" s="322"/>
      <c r="J28" s="324"/>
      <c r="K28" s="324"/>
      <c r="L28" s="324"/>
      <c r="M28" s="324"/>
      <c r="N28" s="324"/>
      <c r="O28" s="324"/>
      <c r="P28" s="324"/>
      <c r="Q28" s="324"/>
      <c r="R28" s="324"/>
    </row>
    <row r="29" spans="1:18" s="340" customFormat="1">
      <c r="G29" s="324"/>
      <c r="H29" s="322"/>
      <c r="I29" s="322"/>
      <c r="J29" s="324"/>
      <c r="K29" s="324"/>
      <c r="L29" s="324"/>
      <c r="M29" s="324"/>
      <c r="N29" s="324"/>
      <c r="O29" s="324"/>
      <c r="P29" s="324"/>
      <c r="Q29" s="324"/>
      <c r="R29" s="324"/>
    </row>
    <row r="30" spans="1:18" s="340" customFormat="1">
      <c r="G30" s="324"/>
      <c r="H30" s="322"/>
      <c r="I30" s="322"/>
      <c r="J30" s="324"/>
      <c r="K30" s="324"/>
      <c r="L30" s="324"/>
      <c r="M30" s="324"/>
      <c r="N30" s="324"/>
      <c r="O30" s="324"/>
      <c r="P30" s="324"/>
      <c r="Q30" s="324"/>
      <c r="R30" s="324"/>
    </row>
    <row r="31" spans="1:18" s="340" customFormat="1">
      <c r="G31" s="324"/>
      <c r="H31" s="322"/>
      <c r="I31" s="322"/>
      <c r="J31" s="324"/>
      <c r="K31" s="324"/>
      <c r="L31" s="324"/>
      <c r="M31" s="324"/>
      <c r="N31" s="324"/>
      <c r="O31" s="324"/>
      <c r="P31" s="324"/>
      <c r="Q31" s="324"/>
      <c r="R31" s="324"/>
    </row>
    <row r="32" spans="1:18" s="340" customFormat="1">
      <c r="G32" s="324"/>
      <c r="H32" s="322"/>
      <c r="I32" s="322"/>
      <c r="J32" s="324"/>
      <c r="K32" s="324"/>
      <c r="L32" s="324"/>
      <c r="M32" s="324"/>
      <c r="N32" s="324"/>
      <c r="O32" s="324"/>
      <c r="P32" s="324"/>
      <c r="Q32" s="324"/>
      <c r="R32" s="324"/>
    </row>
    <row r="33" spans="7:18" s="340" customFormat="1">
      <c r="G33" s="324"/>
      <c r="H33" s="322"/>
      <c r="I33" s="322"/>
      <c r="J33" s="324"/>
      <c r="K33" s="324"/>
      <c r="L33" s="324"/>
      <c r="M33" s="324"/>
      <c r="N33" s="324"/>
      <c r="O33" s="324"/>
      <c r="P33" s="324"/>
      <c r="Q33" s="324"/>
      <c r="R33" s="324"/>
    </row>
    <row r="34" spans="7:18" s="340" customFormat="1">
      <c r="G34" s="324"/>
      <c r="H34" s="322"/>
      <c r="I34" s="322"/>
      <c r="J34" s="324"/>
      <c r="K34" s="324"/>
      <c r="L34" s="324"/>
      <c r="M34" s="324"/>
      <c r="N34" s="324"/>
      <c r="O34" s="324"/>
      <c r="P34" s="324"/>
      <c r="Q34" s="324"/>
      <c r="R34" s="324"/>
    </row>
    <row r="35" spans="7:18" s="340" customFormat="1">
      <c r="G35" s="324"/>
      <c r="H35" s="322"/>
      <c r="I35" s="322"/>
      <c r="J35" s="324"/>
      <c r="K35" s="324"/>
      <c r="L35" s="324"/>
      <c r="M35" s="324"/>
      <c r="N35" s="324"/>
      <c r="O35" s="324"/>
      <c r="P35" s="324"/>
      <c r="Q35" s="324"/>
      <c r="R35" s="324"/>
    </row>
    <row r="36" spans="7:18" s="340" customFormat="1">
      <c r="G36" s="324"/>
      <c r="H36" s="322"/>
      <c r="I36" s="322"/>
      <c r="J36" s="324"/>
      <c r="K36" s="324"/>
      <c r="L36" s="324"/>
      <c r="M36" s="324"/>
      <c r="N36" s="324"/>
      <c r="O36" s="324"/>
      <c r="P36" s="324"/>
      <c r="Q36" s="324"/>
      <c r="R36" s="324"/>
    </row>
    <row r="37" spans="7:18" s="340" customFormat="1">
      <c r="G37" s="324"/>
      <c r="H37" s="322"/>
      <c r="I37" s="322"/>
      <c r="J37" s="324"/>
      <c r="K37" s="324"/>
      <c r="L37" s="324"/>
      <c r="M37" s="324"/>
      <c r="N37" s="324"/>
      <c r="O37" s="324"/>
      <c r="P37" s="324"/>
      <c r="Q37" s="324"/>
      <c r="R37" s="324"/>
    </row>
    <row r="38" spans="7:18" s="340" customFormat="1">
      <c r="G38" s="324"/>
      <c r="H38" s="322"/>
      <c r="I38" s="322"/>
      <c r="J38" s="324"/>
      <c r="K38" s="324"/>
      <c r="L38" s="324"/>
      <c r="M38" s="324"/>
      <c r="N38" s="324"/>
      <c r="O38" s="324"/>
      <c r="P38" s="324"/>
      <c r="Q38" s="324"/>
      <c r="R38" s="324"/>
    </row>
    <row r="39" spans="7:18" s="340" customFormat="1">
      <c r="G39" s="324"/>
      <c r="H39" s="322"/>
      <c r="I39" s="322"/>
      <c r="J39" s="324"/>
      <c r="K39" s="324"/>
      <c r="L39" s="324"/>
      <c r="M39" s="324"/>
      <c r="N39" s="324"/>
      <c r="O39" s="324"/>
      <c r="P39" s="324"/>
      <c r="Q39" s="324"/>
      <c r="R39" s="324"/>
    </row>
    <row r="40" spans="7:18" s="340" customFormat="1">
      <c r="G40" s="324"/>
      <c r="H40" s="322"/>
      <c r="I40" s="322"/>
      <c r="J40" s="324"/>
      <c r="K40" s="324"/>
      <c r="L40" s="324"/>
      <c r="M40" s="324"/>
      <c r="N40" s="324"/>
      <c r="O40" s="324"/>
      <c r="P40" s="324"/>
      <c r="Q40" s="324"/>
      <c r="R40" s="324"/>
    </row>
    <row r="41" spans="7:18" s="340" customFormat="1">
      <c r="G41" s="324"/>
      <c r="H41" s="322"/>
      <c r="I41" s="322"/>
      <c r="J41" s="324"/>
      <c r="K41" s="324"/>
      <c r="L41" s="324"/>
      <c r="M41" s="324"/>
      <c r="N41" s="324"/>
      <c r="O41" s="324"/>
      <c r="P41" s="324"/>
      <c r="Q41" s="324"/>
      <c r="R41" s="324"/>
    </row>
    <row r="42" spans="7:18" s="340" customFormat="1">
      <c r="G42" s="324"/>
      <c r="H42" s="322"/>
      <c r="I42" s="322"/>
      <c r="J42" s="324"/>
      <c r="K42" s="324"/>
      <c r="L42" s="324"/>
      <c r="M42" s="324"/>
      <c r="N42" s="324"/>
      <c r="O42" s="324"/>
      <c r="P42" s="324"/>
      <c r="Q42" s="324"/>
      <c r="R42" s="324"/>
    </row>
    <row r="43" spans="7:18" s="340" customFormat="1">
      <c r="G43" s="324"/>
      <c r="H43" s="322"/>
      <c r="I43" s="322"/>
      <c r="J43" s="324"/>
      <c r="K43" s="324"/>
      <c r="L43" s="324"/>
      <c r="M43" s="324"/>
      <c r="N43" s="324"/>
      <c r="O43" s="324"/>
      <c r="P43" s="324"/>
      <c r="Q43" s="324"/>
      <c r="R43" s="324"/>
    </row>
    <row r="44" spans="7:18" s="340" customFormat="1">
      <c r="G44" s="324"/>
      <c r="H44" s="322"/>
      <c r="I44" s="322"/>
      <c r="J44" s="324"/>
      <c r="K44" s="324"/>
      <c r="L44" s="324"/>
      <c r="M44" s="324"/>
      <c r="N44" s="324"/>
      <c r="O44" s="324"/>
      <c r="P44" s="324"/>
      <c r="Q44" s="324"/>
      <c r="R44" s="324"/>
    </row>
    <row r="45" spans="7:18" s="340" customFormat="1">
      <c r="G45" s="324"/>
      <c r="H45" s="322"/>
      <c r="I45" s="322"/>
      <c r="J45" s="324"/>
      <c r="K45" s="324"/>
      <c r="L45" s="324"/>
      <c r="M45" s="324"/>
      <c r="N45" s="324"/>
      <c r="O45" s="324"/>
      <c r="P45" s="324"/>
      <c r="Q45" s="324"/>
      <c r="R45" s="324"/>
    </row>
    <row r="46" spans="7:18" s="340" customFormat="1">
      <c r="G46" s="324"/>
      <c r="H46" s="322"/>
      <c r="I46" s="322"/>
      <c r="J46" s="324"/>
      <c r="K46" s="324"/>
      <c r="L46" s="324"/>
      <c r="M46" s="324"/>
      <c r="N46" s="324"/>
      <c r="O46" s="324"/>
      <c r="P46" s="324"/>
      <c r="Q46" s="324"/>
      <c r="R46" s="324"/>
    </row>
    <row r="47" spans="7:18" s="340" customFormat="1">
      <c r="G47" s="324"/>
      <c r="H47" s="322"/>
      <c r="I47" s="322"/>
      <c r="J47" s="324"/>
      <c r="K47" s="324"/>
      <c r="L47" s="324"/>
      <c r="M47" s="324"/>
      <c r="N47" s="324"/>
      <c r="O47" s="324"/>
      <c r="P47" s="324"/>
      <c r="Q47" s="324"/>
      <c r="R47" s="324"/>
    </row>
    <row r="48" spans="7:18" s="340" customFormat="1">
      <c r="G48" s="324"/>
      <c r="H48" s="322"/>
      <c r="I48" s="322"/>
      <c r="J48" s="324"/>
      <c r="K48" s="324"/>
      <c r="L48" s="324"/>
      <c r="M48" s="324"/>
      <c r="N48" s="324"/>
      <c r="O48" s="324"/>
      <c r="P48" s="324"/>
      <c r="Q48" s="324"/>
      <c r="R48" s="324"/>
    </row>
  </sheetData>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C5222A-C01F-462A-BA79-7A8AE1F41018}">
  <sheetPr codeName="Sheet49">
    <tabColor rgb="FFF05A22"/>
  </sheetPr>
  <dimension ref="A1:R68"/>
  <sheetViews>
    <sheetView zoomScale="85" zoomScaleNormal="85" workbookViewId="0">
      <selection activeCell="I11" sqref="I11:J14"/>
    </sheetView>
  </sheetViews>
  <sheetFormatPr defaultColWidth="8.77734375" defaultRowHeight="13.8"/>
  <cols>
    <col min="1" max="1" width="10.21875" style="329" customWidth="1"/>
    <col min="2" max="2" width="63.77734375" style="329" customWidth="1"/>
    <col min="3" max="4" width="21.44140625" style="329" customWidth="1"/>
    <col min="5" max="5" width="45.21875" style="329" customWidth="1"/>
    <col min="6" max="6" width="31.5546875" style="329" customWidth="1"/>
    <col min="7" max="7" width="21.44140625" style="324" customWidth="1"/>
    <col min="8" max="8" width="8.77734375" style="322"/>
    <col min="9" max="10" width="8.77734375" style="322" customWidth="1"/>
    <col min="11" max="18" width="8.77734375" style="324"/>
    <col min="19" max="16384" width="8.77734375" style="329"/>
  </cols>
  <sheetData>
    <row r="1" spans="1:18" s="139" customFormat="1" ht="25.8">
      <c r="A1" s="321" t="s">
        <v>123</v>
      </c>
      <c r="B1" s="322"/>
      <c r="C1" s="323"/>
      <c r="D1" s="322"/>
      <c r="E1" s="322"/>
      <c r="F1" s="322"/>
      <c r="G1" s="324"/>
      <c r="H1" s="322"/>
      <c r="I1" s="322"/>
      <c r="J1" s="322"/>
      <c r="K1" s="324"/>
      <c r="L1" s="324"/>
      <c r="M1" s="324"/>
      <c r="N1" s="324"/>
      <c r="O1" s="324"/>
      <c r="P1" s="324"/>
      <c r="Q1" s="324"/>
      <c r="R1" s="324"/>
    </row>
    <row r="2" spans="1:18" s="137" customFormat="1" ht="25.8">
      <c r="A2" s="321" t="s">
        <v>1883</v>
      </c>
      <c r="B2" s="322"/>
      <c r="C2" s="323"/>
      <c r="D2" s="322"/>
      <c r="E2" s="322"/>
      <c r="F2" s="322"/>
      <c r="G2" s="324"/>
      <c r="H2" s="322"/>
      <c r="I2" s="322"/>
      <c r="J2" s="322"/>
      <c r="K2" s="324"/>
      <c r="L2" s="324"/>
      <c r="M2" s="324"/>
      <c r="N2" s="324"/>
      <c r="O2" s="324"/>
      <c r="P2" s="324"/>
      <c r="Q2" s="324"/>
      <c r="R2" s="324"/>
    </row>
    <row r="3" spans="1:18" s="346" customFormat="1">
      <c r="A3" s="325" t="s">
        <v>447</v>
      </c>
      <c r="B3" s="322" t="s">
        <v>124</v>
      </c>
      <c r="C3" s="322"/>
      <c r="D3" s="322"/>
      <c r="E3" s="322"/>
      <c r="F3" s="322"/>
      <c r="G3" s="324"/>
      <c r="H3" s="322"/>
      <c r="I3" s="322"/>
      <c r="J3" s="322"/>
      <c r="K3" s="324"/>
      <c r="L3" s="324"/>
      <c r="M3" s="324"/>
      <c r="N3" s="324"/>
      <c r="O3" s="324"/>
      <c r="P3" s="324"/>
      <c r="Q3" s="324"/>
      <c r="R3" s="324"/>
    </row>
    <row r="4" spans="1:18" s="139" customFormat="1">
      <c r="A4" s="325" t="s">
        <v>1695</v>
      </c>
      <c r="B4" s="322" t="s">
        <v>1884</v>
      </c>
      <c r="C4" s="322"/>
      <c r="D4" s="322"/>
      <c r="E4" s="322"/>
      <c r="F4" s="322"/>
      <c r="G4" s="324"/>
      <c r="H4" s="322"/>
      <c r="I4" s="322"/>
      <c r="J4" s="322"/>
      <c r="K4" s="324"/>
      <c r="L4" s="324"/>
      <c r="M4" s="324"/>
      <c r="N4" s="324"/>
      <c r="O4" s="324"/>
      <c r="P4" s="324"/>
      <c r="Q4" s="324"/>
      <c r="R4" s="324"/>
    </row>
    <row r="5" spans="1:18" s="346" customFormat="1">
      <c r="A5" s="322" t="s">
        <v>448</v>
      </c>
      <c r="B5" s="322" t="s">
        <v>125</v>
      </c>
      <c r="C5" s="322"/>
      <c r="D5" s="322"/>
      <c r="E5" s="322"/>
      <c r="F5" s="322"/>
      <c r="G5" s="324"/>
      <c r="H5" s="322"/>
      <c r="I5" s="322"/>
      <c r="J5" s="322"/>
      <c r="K5" s="324"/>
      <c r="L5" s="324"/>
      <c r="M5" s="324"/>
      <c r="N5" s="324"/>
      <c r="O5" s="324"/>
      <c r="P5" s="324"/>
      <c r="Q5" s="324"/>
      <c r="R5" s="324"/>
    </row>
    <row r="6" spans="1:18" s="139" customFormat="1">
      <c r="A6" s="322" t="s">
        <v>1697</v>
      </c>
      <c r="B6" s="322" t="s">
        <v>1885</v>
      </c>
      <c r="C6" s="322"/>
      <c r="D6" s="322"/>
      <c r="E6" s="322"/>
      <c r="F6" s="322"/>
      <c r="G6" s="324"/>
      <c r="H6" s="322"/>
      <c r="I6" s="322"/>
      <c r="J6" s="322"/>
      <c r="K6" s="324"/>
      <c r="L6" s="324"/>
      <c r="M6" s="324"/>
      <c r="N6" s="324"/>
      <c r="O6" s="324"/>
      <c r="P6" s="324"/>
      <c r="Q6" s="324"/>
      <c r="R6" s="324"/>
    </row>
    <row r="7" spans="1:18" s="139" customFormat="1">
      <c r="A7" s="329"/>
      <c r="B7" s="329"/>
      <c r="C7" s="329"/>
      <c r="D7" s="329"/>
      <c r="E7" s="322"/>
      <c r="F7" s="322"/>
      <c r="G7" s="359" t="e">
        <f>#REF!</f>
        <v>#REF!</v>
      </c>
      <c r="H7" s="322"/>
      <c r="I7" s="322"/>
      <c r="J7" s="322"/>
      <c r="K7" s="324"/>
      <c r="L7" s="324"/>
      <c r="M7" s="324"/>
      <c r="N7" s="324"/>
      <c r="O7" s="324"/>
      <c r="P7" s="324"/>
      <c r="Q7" s="324"/>
      <c r="R7" s="324"/>
    </row>
    <row r="8" spans="1:18" s="137" customFormat="1">
      <c r="A8" s="350"/>
      <c r="B8" s="350"/>
      <c r="C8" s="350" t="s">
        <v>96</v>
      </c>
      <c r="D8" s="350" t="s">
        <v>553</v>
      </c>
      <c r="E8" s="350" t="s">
        <v>85</v>
      </c>
      <c r="F8" s="350" t="s">
        <v>1653</v>
      </c>
      <c r="G8" s="350" t="s">
        <v>1674</v>
      </c>
      <c r="H8" s="322"/>
      <c r="I8" s="322"/>
      <c r="J8" s="322"/>
      <c r="K8" s="322"/>
      <c r="L8" s="322"/>
      <c r="M8" s="322"/>
      <c r="N8" s="322"/>
      <c r="O8" s="322"/>
      <c r="P8" s="322"/>
      <c r="Q8" s="322"/>
      <c r="R8" s="322"/>
    </row>
    <row r="9" spans="1:18" s="346" customFormat="1">
      <c r="A9" s="342" t="s">
        <v>47</v>
      </c>
      <c r="B9" s="342"/>
      <c r="C9" s="343"/>
      <c r="D9" s="343"/>
      <c r="E9" s="343"/>
      <c r="F9" s="343"/>
      <c r="G9" s="344"/>
      <c r="H9" s="322"/>
      <c r="I9" s="322"/>
      <c r="J9" s="322"/>
      <c r="K9" s="345"/>
      <c r="L9" s="345"/>
      <c r="M9" s="345"/>
      <c r="N9" s="345"/>
      <c r="O9" s="345"/>
      <c r="P9" s="345"/>
      <c r="Q9" s="345"/>
      <c r="R9" s="345"/>
    </row>
    <row r="10" spans="1:18" s="346" customFormat="1" ht="41.4">
      <c r="A10" s="22" t="s">
        <v>126</v>
      </c>
      <c r="B10" s="22" t="s">
        <v>1886</v>
      </c>
      <c r="C10" s="22"/>
      <c r="D10" s="22"/>
      <c r="E10" s="347" t="s">
        <v>127</v>
      </c>
      <c r="F10" s="347"/>
      <c r="G10" s="348"/>
      <c r="H10" s="322"/>
      <c r="I10" s="322"/>
      <c r="J10" s="322"/>
      <c r="K10" s="345"/>
      <c r="L10" s="345"/>
      <c r="M10" s="345"/>
      <c r="N10" s="345"/>
      <c r="O10" s="345"/>
      <c r="P10" s="345"/>
      <c r="Q10" s="345"/>
      <c r="R10" s="345"/>
    </row>
    <row r="11" spans="1:18" s="139" customFormat="1">
      <c r="A11" s="342" t="s">
        <v>54</v>
      </c>
      <c r="B11" s="342"/>
      <c r="C11" s="343"/>
      <c r="D11" s="343"/>
      <c r="E11" s="343"/>
      <c r="F11" s="343"/>
      <c r="G11" s="344"/>
      <c r="H11" s="322"/>
      <c r="I11" s="322"/>
      <c r="J11" s="322"/>
      <c r="K11" s="345"/>
      <c r="L11" s="345"/>
      <c r="M11" s="345"/>
      <c r="N11" s="345"/>
      <c r="O11" s="345"/>
      <c r="P11" s="345"/>
      <c r="Q11" s="345"/>
      <c r="R11" s="345"/>
    </row>
    <row r="12" spans="1:18" s="139" customFormat="1" ht="27.6">
      <c r="A12" s="22" t="s">
        <v>128</v>
      </c>
      <c r="B12" s="22" t="s">
        <v>1887</v>
      </c>
      <c r="C12" s="22"/>
      <c r="D12" s="22"/>
      <c r="E12" s="347" t="s">
        <v>129</v>
      </c>
      <c r="F12" s="347"/>
      <c r="G12" s="348"/>
      <c r="H12" s="322"/>
      <c r="I12" s="322"/>
      <c r="J12" s="322"/>
      <c r="K12" s="345"/>
      <c r="L12" s="345"/>
      <c r="M12" s="345"/>
      <c r="N12" s="345"/>
      <c r="O12" s="345"/>
      <c r="P12" s="345"/>
      <c r="Q12" s="345"/>
      <c r="R12" s="345"/>
    </row>
    <row r="13" spans="1:18" s="137" customFormat="1" ht="27.6">
      <c r="A13" s="22" t="s">
        <v>130</v>
      </c>
      <c r="B13" s="22" t="s">
        <v>1888</v>
      </c>
      <c r="C13" s="22"/>
      <c r="D13" s="22"/>
      <c r="E13" s="347" t="s">
        <v>131</v>
      </c>
      <c r="F13" s="347"/>
      <c r="G13" s="348"/>
      <c r="H13" s="322"/>
      <c r="I13" s="322"/>
      <c r="J13" s="322"/>
      <c r="K13" s="345"/>
      <c r="L13" s="345"/>
      <c r="M13" s="345"/>
      <c r="N13" s="345"/>
      <c r="O13" s="345"/>
      <c r="P13" s="345"/>
      <c r="Q13" s="345"/>
      <c r="R13" s="345"/>
    </row>
    <row r="14" spans="1:18" s="346" customFormat="1" ht="41.4">
      <c r="A14" s="22" t="s">
        <v>132</v>
      </c>
      <c r="B14" s="22" t="s">
        <v>1889</v>
      </c>
      <c r="C14" s="22"/>
      <c r="D14" s="22"/>
      <c r="E14" s="347" t="s">
        <v>133</v>
      </c>
      <c r="F14" s="347"/>
      <c r="G14" s="348"/>
      <c r="H14" s="322"/>
      <c r="I14" s="322"/>
      <c r="J14" s="322"/>
      <c r="K14" s="345"/>
      <c r="L14" s="345"/>
      <c r="M14" s="345"/>
      <c r="N14" s="345"/>
      <c r="O14" s="345"/>
      <c r="P14" s="345"/>
      <c r="Q14" s="345"/>
      <c r="R14" s="345"/>
    </row>
    <row r="15" spans="1:18" s="139" customFormat="1" ht="69">
      <c r="A15" s="22" t="s">
        <v>134</v>
      </c>
      <c r="B15" s="22" t="s">
        <v>1890</v>
      </c>
      <c r="C15" s="22"/>
      <c r="D15" s="22"/>
      <c r="E15" s="347" t="s">
        <v>1891</v>
      </c>
      <c r="F15" s="347"/>
      <c r="G15" s="348"/>
      <c r="H15" s="322"/>
      <c r="I15" s="322"/>
      <c r="J15" s="322"/>
      <c r="K15" s="345"/>
      <c r="L15" s="345"/>
      <c r="M15" s="345"/>
      <c r="N15" s="345"/>
      <c r="O15" s="345"/>
      <c r="P15" s="345"/>
      <c r="Q15" s="345"/>
      <c r="R15" s="345"/>
    </row>
    <row r="16" spans="1:18" s="139" customFormat="1" ht="69">
      <c r="A16" s="22" t="s">
        <v>135</v>
      </c>
      <c r="B16" s="22" t="s">
        <v>1892</v>
      </c>
      <c r="C16" s="22"/>
      <c r="D16" s="22"/>
      <c r="E16" s="347" t="s">
        <v>1553</v>
      </c>
      <c r="F16" s="347"/>
      <c r="G16" s="348"/>
      <c r="H16" s="322"/>
      <c r="I16" s="322"/>
      <c r="J16" s="322"/>
      <c r="K16" s="345"/>
      <c r="L16" s="345"/>
      <c r="M16" s="345"/>
      <c r="N16" s="345"/>
      <c r="O16" s="345"/>
      <c r="P16" s="345"/>
      <c r="Q16" s="345"/>
      <c r="R16" s="345"/>
    </row>
    <row r="17" spans="1:18" s="137" customFormat="1" ht="27.6">
      <c r="A17" s="22" t="s">
        <v>136</v>
      </c>
      <c r="B17" s="22" t="s">
        <v>1893</v>
      </c>
      <c r="C17" s="22"/>
      <c r="D17" s="22"/>
      <c r="E17" s="347" t="s">
        <v>1554</v>
      </c>
      <c r="F17" s="347"/>
      <c r="G17" s="348"/>
      <c r="H17" s="322"/>
      <c r="I17" s="322"/>
      <c r="J17" s="322"/>
      <c r="K17" s="345"/>
      <c r="L17" s="345"/>
      <c r="M17" s="345"/>
      <c r="N17" s="345"/>
      <c r="O17" s="345"/>
      <c r="P17" s="345"/>
      <c r="Q17" s="345"/>
      <c r="R17" s="345"/>
    </row>
    <row r="18" spans="1:18" s="346" customFormat="1">
      <c r="A18" s="342" t="s">
        <v>56</v>
      </c>
      <c r="B18" s="342"/>
      <c r="C18" s="343"/>
      <c r="D18" s="343"/>
      <c r="E18" s="343" t="s">
        <v>1772</v>
      </c>
      <c r="F18" s="343"/>
      <c r="G18" s="344"/>
      <c r="H18" s="322"/>
      <c r="I18" s="322"/>
      <c r="J18" s="322"/>
      <c r="K18" s="345"/>
      <c r="L18" s="345"/>
      <c r="M18" s="345"/>
      <c r="N18" s="345"/>
      <c r="O18" s="345"/>
      <c r="P18" s="345"/>
      <c r="Q18" s="345"/>
      <c r="R18" s="345"/>
    </row>
    <row r="19" spans="1:18" s="139" customFormat="1" ht="54" customHeight="1">
      <c r="A19" s="22" t="s">
        <v>137</v>
      </c>
      <c r="B19" s="22" t="s">
        <v>415</v>
      </c>
      <c r="C19" s="22"/>
      <c r="D19" s="22"/>
      <c r="E19" s="347" t="s">
        <v>1555</v>
      </c>
      <c r="F19" s="347"/>
      <c r="G19" s="348"/>
      <c r="H19" s="322"/>
      <c r="I19" s="322"/>
      <c r="J19" s="322"/>
      <c r="K19" s="345"/>
      <c r="L19" s="345"/>
      <c r="M19" s="345"/>
      <c r="N19" s="345"/>
      <c r="O19" s="345"/>
      <c r="P19" s="345"/>
      <c r="Q19" s="345"/>
      <c r="R19" s="345"/>
    </row>
    <row r="20" spans="1:18" s="139" customFormat="1" ht="69">
      <c r="A20" s="22" t="s">
        <v>138</v>
      </c>
      <c r="B20" s="22" t="s">
        <v>139</v>
      </c>
      <c r="C20" s="22"/>
      <c r="D20" s="22"/>
      <c r="E20" s="347" t="s">
        <v>1556</v>
      </c>
      <c r="F20" s="347"/>
      <c r="G20" s="348"/>
      <c r="H20" s="322"/>
      <c r="I20" s="322"/>
      <c r="J20" s="322"/>
      <c r="K20" s="345"/>
      <c r="L20" s="345"/>
      <c r="M20" s="345"/>
      <c r="N20" s="345"/>
      <c r="O20" s="345"/>
      <c r="P20" s="345"/>
      <c r="Q20" s="345"/>
      <c r="R20" s="345"/>
    </row>
    <row r="21" spans="1:18" s="137" customFormat="1" ht="41.4">
      <c r="A21" s="22" t="s">
        <v>140</v>
      </c>
      <c r="B21" s="22" t="s">
        <v>1894</v>
      </c>
      <c r="C21" s="22"/>
      <c r="D21" s="22"/>
      <c r="E21" s="347" t="s">
        <v>1557</v>
      </c>
      <c r="F21" s="347"/>
      <c r="G21" s="348"/>
      <c r="H21" s="322"/>
      <c r="I21" s="322"/>
      <c r="J21" s="322"/>
      <c r="K21" s="345"/>
      <c r="L21" s="345"/>
      <c r="M21" s="345"/>
      <c r="N21" s="345"/>
      <c r="O21" s="345"/>
      <c r="P21" s="345"/>
      <c r="Q21" s="345"/>
      <c r="R21" s="345"/>
    </row>
    <row r="22" spans="1:18" s="339" customFormat="1">
      <c r="G22" s="324"/>
      <c r="H22" s="322"/>
      <c r="I22" s="322"/>
      <c r="J22" s="322"/>
      <c r="K22" s="324"/>
      <c r="L22" s="324"/>
      <c r="M22" s="324"/>
      <c r="N22" s="324"/>
      <c r="O22" s="324"/>
      <c r="P22" s="324"/>
      <c r="Q22" s="324"/>
      <c r="R22" s="324"/>
    </row>
    <row r="23" spans="1:18" s="339" customFormat="1">
      <c r="G23" s="324"/>
      <c r="H23" s="322"/>
      <c r="I23" s="322"/>
      <c r="J23" s="322"/>
      <c r="K23" s="324"/>
      <c r="L23" s="324"/>
      <c r="M23" s="324"/>
      <c r="N23" s="324"/>
      <c r="O23" s="324"/>
      <c r="P23" s="324"/>
      <c r="Q23" s="324"/>
      <c r="R23" s="324"/>
    </row>
    <row r="24" spans="1:18" s="339" customFormat="1">
      <c r="G24" s="324"/>
      <c r="H24" s="322"/>
      <c r="I24" s="322"/>
      <c r="J24" s="322"/>
      <c r="K24" s="324"/>
      <c r="L24" s="324"/>
      <c r="M24" s="324"/>
      <c r="N24" s="324"/>
      <c r="O24" s="324"/>
      <c r="P24" s="324"/>
      <c r="Q24" s="324"/>
      <c r="R24" s="324"/>
    </row>
    <row r="25" spans="1:18" s="339" customFormat="1">
      <c r="G25" s="324"/>
      <c r="H25" s="322"/>
      <c r="I25" s="322"/>
      <c r="J25" s="322"/>
      <c r="K25" s="324"/>
      <c r="L25" s="324"/>
      <c r="M25" s="324"/>
      <c r="N25" s="324"/>
      <c r="O25" s="324"/>
      <c r="P25" s="324"/>
      <c r="Q25" s="324"/>
      <c r="R25" s="324"/>
    </row>
    <row r="26" spans="1:18" s="339" customFormat="1">
      <c r="G26" s="324"/>
      <c r="H26" s="322"/>
      <c r="I26" s="322"/>
      <c r="J26" s="322"/>
      <c r="K26" s="324"/>
      <c r="L26" s="324"/>
      <c r="M26" s="324"/>
      <c r="N26" s="324"/>
      <c r="O26" s="324"/>
      <c r="P26" s="324"/>
      <c r="Q26" s="324"/>
      <c r="R26" s="324"/>
    </row>
    <row r="27" spans="1:18" s="339" customFormat="1">
      <c r="G27" s="324"/>
      <c r="H27" s="322"/>
      <c r="I27" s="322"/>
      <c r="J27" s="322"/>
      <c r="K27" s="324"/>
      <c r="L27" s="324"/>
      <c r="M27" s="324"/>
      <c r="N27" s="324"/>
      <c r="O27" s="324"/>
      <c r="P27" s="324"/>
      <c r="Q27" s="324"/>
      <c r="R27" s="324"/>
    </row>
    <row r="28" spans="1:18" s="339" customFormat="1">
      <c r="G28" s="324"/>
      <c r="H28" s="322"/>
      <c r="I28" s="322"/>
      <c r="J28" s="322"/>
      <c r="K28" s="324"/>
      <c r="L28" s="324"/>
      <c r="M28" s="324"/>
      <c r="N28" s="324"/>
      <c r="O28" s="324"/>
      <c r="P28" s="324"/>
      <c r="Q28" s="324"/>
      <c r="R28" s="324"/>
    </row>
    <row r="29" spans="1:18" s="339" customFormat="1">
      <c r="G29" s="324"/>
      <c r="H29" s="322"/>
      <c r="I29" s="322"/>
      <c r="J29" s="322"/>
      <c r="K29" s="324"/>
      <c r="L29" s="324"/>
      <c r="M29" s="324"/>
      <c r="N29" s="324"/>
      <c r="O29" s="324"/>
      <c r="P29" s="324"/>
      <c r="Q29" s="324"/>
      <c r="R29" s="324"/>
    </row>
    <row r="30" spans="1:18" s="339" customFormat="1">
      <c r="G30" s="324"/>
      <c r="H30" s="322"/>
      <c r="I30" s="322"/>
      <c r="J30" s="322"/>
      <c r="K30" s="324"/>
      <c r="L30" s="324"/>
      <c r="M30" s="324"/>
      <c r="N30" s="324"/>
      <c r="O30" s="324"/>
      <c r="P30" s="324"/>
      <c r="Q30" s="324"/>
      <c r="R30" s="324"/>
    </row>
    <row r="31" spans="1:18" s="339" customFormat="1">
      <c r="G31" s="324"/>
      <c r="H31" s="322"/>
      <c r="I31" s="322"/>
      <c r="J31" s="322"/>
      <c r="K31" s="324"/>
      <c r="L31" s="324"/>
      <c r="M31" s="324"/>
      <c r="N31" s="324"/>
      <c r="O31" s="324"/>
      <c r="P31" s="324"/>
      <c r="Q31" s="324"/>
      <c r="R31" s="324"/>
    </row>
    <row r="32" spans="1:18" s="339" customFormat="1">
      <c r="G32" s="324"/>
      <c r="H32" s="322"/>
      <c r="I32" s="322"/>
      <c r="J32" s="322"/>
      <c r="K32" s="324"/>
      <c r="L32" s="324"/>
      <c r="M32" s="324"/>
      <c r="N32" s="324"/>
      <c r="O32" s="324"/>
      <c r="P32" s="324"/>
      <c r="Q32" s="324"/>
      <c r="R32" s="324"/>
    </row>
    <row r="33" spans="7:18" s="339" customFormat="1">
      <c r="G33" s="324"/>
      <c r="H33" s="322"/>
      <c r="I33" s="322"/>
      <c r="J33" s="322"/>
      <c r="K33" s="324"/>
      <c r="L33" s="324"/>
      <c r="M33" s="324"/>
      <c r="N33" s="324"/>
      <c r="O33" s="324"/>
      <c r="P33" s="324"/>
      <c r="Q33" s="324"/>
      <c r="R33" s="324"/>
    </row>
    <row r="34" spans="7:18" s="339" customFormat="1">
      <c r="G34" s="324"/>
      <c r="H34" s="322"/>
      <c r="I34" s="322"/>
      <c r="J34" s="322"/>
      <c r="K34" s="324"/>
      <c r="L34" s="324"/>
      <c r="M34" s="324"/>
      <c r="N34" s="324"/>
      <c r="O34" s="324"/>
      <c r="P34" s="324"/>
      <c r="Q34" s="324"/>
      <c r="R34" s="324"/>
    </row>
    <row r="35" spans="7:18" s="339" customFormat="1">
      <c r="G35" s="324"/>
      <c r="H35" s="322"/>
      <c r="I35" s="322"/>
      <c r="J35" s="322"/>
      <c r="K35" s="324"/>
      <c r="L35" s="324"/>
      <c r="M35" s="324"/>
      <c r="N35" s="324"/>
      <c r="O35" s="324"/>
      <c r="P35" s="324"/>
      <c r="Q35" s="324"/>
      <c r="R35" s="324"/>
    </row>
    <row r="36" spans="7:18" s="339" customFormat="1">
      <c r="G36" s="324"/>
      <c r="H36" s="322"/>
      <c r="I36" s="322"/>
      <c r="J36" s="322"/>
      <c r="K36" s="324"/>
      <c r="L36" s="324"/>
      <c r="M36" s="324"/>
      <c r="N36" s="324"/>
      <c r="O36" s="324"/>
      <c r="P36" s="324"/>
      <c r="Q36" s="324"/>
      <c r="R36" s="324"/>
    </row>
    <row r="37" spans="7:18" s="339" customFormat="1">
      <c r="G37" s="324"/>
      <c r="H37" s="322"/>
      <c r="I37" s="322"/>
      <c r="J37" s="322"/>
      <c r="K37" s="324"/>
      <c r="L37" s="324"/>
      <c r="M37" s="324"/>
      <c r="N37" s="324"/>
      <c r="O37" s="324"/>
      <c r="P37" s="324"/>
      <c r="Q37" s="324"/>
      <c r="R37" s="324"/>
    </row>
    <row r="38" spans="7:18" s="339" customFormat="1">
      <c r="G38" s="324"/>
      <c r="H38" s="322"/>
      <c r="I38" s="322"/>
      <c r="J38" s="322"/>
      <c r="K38" s="324"/>
      <c r="L38" s="324"/>
      <c r="M38" s="324"/>
      <c r="N38" s="324"/>
      <c r="O38" s="324"/>
      <c r="P38" s="324"/>
      <c r="Q38" s="324"/>
      <c r="R38" s="324"/>
    </row>
    <row r="39" spans="7:18" s="339" customFormat="1">
      <c r="G39" s="324"/>
      <c r="H39" s="322"/>
      <c r="I39" s="322"/>
      <c r="J39" s="322"/>
      <c r="K39" s="324"/>
      <c r="L39" s="324"/>
      <c r="M39" s="324"/>
      <c r="N39" s="324"/>
      <c r="O39" s="324"/>
      <c r="P39" s="324"/>
      <c r="Q39" s="324"/>
      <c r="R39" s="324"/>
    </row>
    <row r="40" spans="7:18" s="339" customFormat="1">
      <c r="G40" s="324"/>
      <c r="H40" s="322"/>
      <c r="I40" s="322"/>
      <c r="J40" s="322"/>
      <c r="K40" s="324"/>
      <c r="L40" s="324"/>
      <c r="M40" s="324"/>
      <c r="N40" s="324"/>
      <c r="O40" s="324"/>
      <c r="P40" s="324"/>
      <c r="Q40" s="324"/>
      <c r="R40" s="324"/>
    </row>
    <row r="41" spans="7:18" s="339" customFormat="1">
      <c r="G41" s="324"/>
      <c r="H41" s="322"/>
      <c r="I41" s="322"/>
      <c r="J41" s="322"/>
      <c r="K41" s="324"/>
      <c r="L41" s="324"/>
      <c r="M41" s="324"/>
      <c r="N41" s="324"/>
      <c r="O41" s="324"/>
      <c r="P41" s="324"/>
      <c r="Q41" s="324"/>
      <c r="R41" s="324"/>
    </row>
    <row r="42" spans="7:18" s="339" customFormat="1">
      <c r="G42" s="324"/>
      <c r="H42" s="322"/>
      <c r="I42" s="322"/>
      <c r="J42" s="322"/>
      <c r="K42" s="324"/>
      <c r="L42" s="324"/>
      <c r="M42" s="324"/>
      <c r="N42" s="324"/>
      <c r="O42" s="324"/>
      <c r="P42" s="324"/>
      <c r="Q42" s="324"/>
      <c r="R42" s="324"/>
    </row>
    <row r="43" spans="7:18" s="339" customFormat="1">
      <c r="G43" s="324"/>
      <c r="H43" s="322"/>
      <c r="I43" s="322"/>
      <c r="J43" s="322"/>
      <c r="K43" s="324"/>
      <c r="L43" s="324"/>
      <c r="M43" s="324"/>
      <c r="N43" s="324"/>
      <c r="O43" s="324"/>
      <c r="P43" s="324"/>
      <c r="Q43" s="324"/>
      <c r="R43" s="324"/>
    </row>
    <row r="44" spans="7:18" s="339" customFormat="1">
      <c r="G44" s="324"/>
      <c r="H44" s="322"/>
      <c r="I44" s="322"/>
      <c r="J44" s="322"/>
      <c r="K44" s="324"/>
      <c r="L44" s="324"/>
      <c r="M44" s="324"/>
      <c r="N44" s="324"/>
      <c r="O44" s="324"/>
      <c r="P44" s="324"/>
      <c r="Q44" s="324"/>
      <c r="R44" s="324"/>
    </row>
    <row r="45" spans="7:18" s="339" customFormat="1">
      <c r="G45" s="324"/>
      <c r="H45" s="322"/>
      <c r="I45" s="322"/>
      <c r="J45" s="322"/>
      <c r="K45" s="324"/>
      <c r="L45" s="324"/>
      <c r="M45" s="324"/>
      <c r="N45" s="324"/>
      <c r="O45" s="324"/>
      <c r="P45" s="324"/>
      <c r="Q45" s="324"/>
      <c r="R45" s="324"/>
    </row>
    <row r="46" spans="7:18" s="339" customFormat="1">
      <c r="G46" s="324"/>
      <c r="H46" s="322"/>
      <c r="I46" s="322"/>
      <c r="J46" s="322"/>
      <c r="K46" s="324"/>
      <c r="L46" s="324"/>
      <c r="M46" s="324"/>
      <c r="N46" s="324"/>
      <c r="O46" s="324"/>
      <c r="P46" s="324"/>
      <c r="Q46" s="324"/>
      <c r="R46" s="324"/>
    </row>
    <row r="47" spans="7:18" s="339" customFormat="1">
      <c r="G47" s="324"/>
      <c r="H47" s="322"/>
      <c r="I47" s="322"/>
      <c r="J47" s="322"/>
      <c r="K47" s="324"/>
      <c r="L47" s="324"/>
      <c r="M47" s="324"/>
      <c r="N47" s="324"/>
      <c r="O47" s="324"/>
      <c r="P47" s="324"/>
      <c r="Q47" s="324"/>
      <c r="R47" s="324"/>
    </row>
    <row r="48" spans="7:18" s="340" customFormat="1">
      <c r="G48" s="324"/>
      <c r="H48" s="322"/>
      <c r="I48" s="322"/>
      <c r="J48" s="322"/>
      <c r="K48" s="324"/>
      <c r="L48" s="324"/>
      <c r="M48" s="324"/>
      <c r="N48" s="324"/>
      <c r="O48" s="324"/>
      <c r="P48" s="324"/>
      <c r="Q48" s="324"/>
      <c r="R48" s="324"/>
    </row>
    <row r="49" spans="7:18" s="340" customFormat="1">
      <c r="G49" s="324"/>
      <c r="H49" s="322"/>
      <c r="I49" s="322"/>
      <c r="J49" s="322"/>
      <c r="K49" s="324"/>
      <c r="L49" s="324"/>
      <c r="M49" s="324"/>
      <c r="N49" s="324"/>
      <c r="O49" s="324"/>
      <c r="P49" s="324"/>
      <c r="Q49" s="324"/>
      <c r="R49" s="324"/>
    </row>
    <row r="50" spans="7:18" s="340" customFormat="1">
      <c r="G50" s="324"/>
      <c r="H50" s="322"/>
      <c r="I50" s="322"/>
      <c r="J50" s="322"/>
      <c r="K50" s="324"/>
      <c r="L50" s="324"/>
      <c r="M50" s="324"/>
      <c r="N50" s="324"/>
      <c r="O50" s="324"/>
      <c r="P50" s="324"/>
      <c r="Q50" s="324"/>
      <c r="R50" s="324"/>
    </row>
    <row r="51" spans="7:18" s="340" customFormat="1">
      <c r="G51" s="324"/>
      <c r="H51" s="322"/>
      <c r="I51" s="322"/>
      <c r="J51" s="322"/>
      <c r="K51" s="324"/>
      <c r="L51" s="324"/>
      <c r="M51" s="324"/>
      <c r="N51" s="324"/>
      <c r="O51" s="324"/>
      <c r="P51" s="324"/>
      <c r="Q51" s="324"/>
      <c r="R51" s="324"/>
    </row>
    <row r="52" spans="7:18" s="340" customFormat="1">
      <c r="G52" s="324"/>
      <c r="H52" s="322"/>
      <c r="I52" s="322"/>
      <c r="J52" s="322"/>
      <c r="K52" s="324"/>
      <c r="L52" s="324"/>
      <c r="M52" s="324"/>
      <c r="N52" s="324"/>
      <c r="O52" s="324"/>
      <c r="P52" s="324"/>
      <c r="Q52" s="324"/>
      <c r="R52" s="324"/>
    </row>
    <row r="53" spans="7:18" s="340" customFormat="1">
      <c r="G53" s="324"/>
      <c r="H53" s="322"/>
      <c r="I53" s="322"/>
      <c r="J53" s="322"/>
      <c r="K53" s="324"/>
      <c r="L53" s="324"/>
      <c r="M53" s="324"/>
      <c r="N53" s="324"/>
      <c r="O53" s="324"/>
      <c r="P53" s="324"/>
      <c r="Q53" s="324"/>
      <c r="R53" s="324"/>
    </row>
    <row r="54" spans="7:18" s="340" customFormat="1">
      <c r="G54" s="324"/>
      <c r="H54" s="322"/>
      <c r="I54" s="322"/>
      <c r="J54" s="322"/>
      <c r="K54" s="324"/>
      <c r="L54" s="324"/>
      <c r="M54" s="324"/>
      <c r="N54" s="324"/>
      <c r="O54" s="324"/>
      <c r="P54" s="324"/>
      <c r="Q54" s="324"/>
      <c r="R54" s="324"/>
    </row>
    <row r="55" spans="7:18" s="340" customFormat="1">
      <c r="G55" s="324"/>
      <c r="H55" s="322"/>
      <c r="I55" s="322"/>
      <c r="J55" s="322"/>
      <c r="K55" s="324"/>
      <c r="L55" s="324"/>
      <c r="M55" s="324"/>
      <c r="N55" s="324"/>
      <c r="O55" s="324"/>
      <c r="P55" s="324"/>
      <c r="Q55" s="324"/>
      <c r="R55" s="324"/>
    </row>
    <row r="56" spans="7:18" s="340" customFormat="1">
      <c r="G56" s="324"/>
      <c r="H56" s="322"/>
      <c r="I56" s="322"/>
      <c r="J56" s="322"/>
      <c r="K56" s="324"/>
      <c r="L56" s="324"/>
      <c r="M56" s="324"/>
      <c r="N56" s="324"/>
      <c r="O56" s="324"/>
      <c r="P56" s="324"/>
      <c r="Q56" s="324"/>
      <c r="R56" s="324"/>
    </row>
    <row r="57" spans="7:18" s="340" customFormat="1">
      <c r="G57" s="324"/>
      <c r="H57" s="322"/>
      <c r="I57" s="322"/>
      <c r="J57" s="322"/>
      <c r="K57" s="324"/>
      <c r="L57" s="324"/>
      <c r="M57" s="324"/>
      <c r="N57" s="324"/>
      <c r="O57" s="324"/>
      <c r="P57" s="324"/>
      <c r="Q57" s="324"/>
      <c r="R57" s="324"/>
    </row>
    <row r="58" spans="7:18" s="340" customFormat="1">
      <c r="G58" s="324"/>
      <c r="H58" s="322"/>
      <c r="I58" s="322"/>
      <c r="J58" s="322"/>
      <c r="K58" s="324"/>
      <c r="L58" s="324"/>
      <c r="M58" s="324"/>
      <c r="N58" s="324"/>
      <c r="O58" s="324"/>
      <c r="P58" s="324"/>
      <c r="Q58" s="324"/>
      <c r="R58" s="324"/>
    </row>
    <row r="59" spans="7:18" s="340" customFormat="1">
      <c r="G59" s="324"/>
      <c r="H59" s="322"/>
      <c r="I59" s="322"/>
      <c r="J59" s="322"/>
      <c r="K59" s="324"/>
      <c r="L59" s="324"/>
      <c r="M59" s="324"/>
      <c r="N59" s="324"/>
      <c r="O59" s="324"/>
      <c r="P59" s="324"/>
      <c r="Q59" s="324"/>
      <c r="R59" s="324"/>
    </row>
    <row r="60" spans="7:18" s="340" customFormat="1">
      <c r="G60" s="324"/>
      <c r="H60" s="322"/>
      <c r="I60" s="322"/>
      <c r="J60" s="322"/>
      <c r="K60" s="324"/>
      <c r="L60" s="324"/>
      <c r="M60" s="324"/>
      <c r="N60" s="324"/>
      <c r="O60" s="324"/>
      <c r="P60" s="324"/>
      <c r="Q60" s="324"/>
      <c r="R60" s="324"/>
    </row>
    <row r="61" spans="7:18" s="340" customFormat="1">
      <c r="G61" s="324"/>
      <c r="H61" s="322"/>
      <c r="I61" s="322"/>
      <c r="J61" s="322"/>
      <c r="K61" s="324"/>
      <c r="L61" s="324"/>
      <c r="M61" s="324"/>
      <c r="N61" s="324"/>
      <c r="O61" s="324"/>
      <c r="P61" s="324"/>
      <c r="Q61" s="324"/>
      <c r="R61" s="324"/>
    </row>
    <row r="62" spans="7:18" s="340" customFormat="1">
      <c r="G62" s="324"/>
      <c r="H62" s="322"/>
      <c r="I62" s="322"/>
      <c r="J62" s="322"/>
      <c r="K62" s="324"/>
      <c r="L62" s="324"/>
      <c r="M62" s="324"/>
      <c r="N62" s="324"/>
      <c r="O62" s="324"/>
      <c r="P62" s="324"/>
      <c r="Q62" s="324"/>
      <c r="R62" s="324"/>
    </row>
    <row r="63" spans="7:18" s="340" customFormat="1">
      <c r="G63" s="324"/>
      <c r="H63" s="322"/>
      <c r="I63" s="322"/>
      <c r="J63" s="322"/>
      <c r="K63" s="324"/>
      <c r="L63" s="324"/>
      <c r="M63" s="324"/>
      <c r="N63" s="324"/>
      <c r="O63" s="324"/>
      <c r="P63" s="324"/>
      <c r="Q63" s="324"/>
      <c r="R63" s="324"/>
    </row>
    <row r="64" spans="7:18" s="340" customFormat="1">
      <c r="G64" s="324"/>
      <c r="H64" s="322"/>
      <c r="I64" s="322"/>
      <c r="J64" s="322"/>
      <c r="K64" s="324"/>
      <c r="L64" s="324"/>
      <c r="M64" s="324"/>
      <c r="N64" s="324"/>
      <c r="O64" s="324"/>
      <c r="P64" s="324"/>
      <c r="Q64" s="324"/>
      <c r="R64" s="324"/>
    </row>
    <row r="65" spans="7:18" s="340" customFormat="1">
      <c r="G65" s="324"/>
      <c r="H65" s="322"/>
      <c r="I65" s="322"/>
      <c r="J65" s="322"/>
      <c r="K65" s="324"/>
      <c r="L65" s="324"/>
      <c r="M65" s="324"/>
      <c r="N65" s="324"/>
      <c r="O65" s="324"/>
      <c r="P65" s="324"/>
      <c r="Q65" s="324"/>
      <c r="R65" s="324"/>
    </row>
    <row r="66" spans="7:18" s="340" customFormat="1">
      <c r="G66" s="324"/>
      <c r="H66" s="322"/>
      <c r="I66" s="322"/>
      <c r="J66" s="322"/>
      <c r="K66" s="324"/>
      <c r="L66" s="324"/>
      <c r="M66" s="324"/>
      <c r="N66" s="324"/>
      <c r="O66" s="324"/>
      <c r="P66" s="324"/>
      <c r="Q66" s="324"/>
      <c r="R66" s="324"/>
    </row>
    <row r="67" spans="7:18" s="340" customFormat="1">
      <c r="G67" s="324"/>
      <c r="H67" s="322"/>
      <c r="I67" s="322"/>
      <c r="J67" s="322"/>
      <c r="K67" s="324"/>
      <c r="L67" s="324"/>
      <c r="M67" s="324"/>
      <c r="N67" s="324"/>
      <c r="O67" s="324"/>
      <c r="P67" s="324"/>
      <c r="Q67" s="324"/>
      <c r="R67" s="324"/>
    </row>
    <row r="68" spans="7:18" s="340" customFormat="1">
      <c r="G68" s="324"/>
      <c r="H68" s="322"/>
      <c r="I68" s="322"/>
      <c r="J68" s="322"/>
      <c r="K68" s="324"/>
      <c r="L68" s="324"/>
      <c r="M68" s="324"/>
      <c r="N68" s="324"/>
      <c r="O68" s="324"/>
      <c r="P68" s="324"/>
      <c r="Q68" s="324"/>
      <c r="R68" s="324"/>
    </row>
  </sheetData>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977A2A-7076-46D2-A3DE-84DC9204ACCC}">
  <sheetPr codeName="Sheet50">
    <tabColor rgb="FFF05A22"/>
  </sheetPr>
  <dimension ref="A1:R68"/>
  <sheetViews>
    <sheetView topLeftCell="A13" workbookViewId="0">
      <selection activeCell="I11" sqref="I11:J14"/>
    </sheetView>
  </sheetViews>
  <sheetFormatPr defaultColWidth="8.77734375" defaultRowHeight="13.8"/>
  <cols>
    <col min="1" max="1" width="10.21875" style="329" customWidth="1"/>
    <col min="2" max="2" width="62.44140625" style="329" customWidth="1"/>
    <col min="3" max="4" width="21.44140625" style="329" customWidth="1"/>
    <col min="5" max="6" width="28.77734375" style="329" customWidth="1"/>
    <col min="7" max="7" width="21.44140625" style="324" customWidth="1"/>
    <col min="8" max="10" width="8.77734375" style="322"/>
    <col min="11" max="18" width="8.77734375" style="324"/>
    <col min="19" max="16384" width="8.77734375" style="329"/>
  </cols>
  <sheetData>
    <row r="1" spans="1:18" s="139" customFormat="1" ht="25.8">
      <c r="A1" s="321" t="s">
        <v>141</v>
      </c>
      <c r="B1" s="322"/>
      <c r="C1" s="323"/>
      <c r="D1" s="322"/>
      <c r="E1" s="322"/>
      <c r="F1" s="322"/>
      <c r="G1" s="324"/>
      <c r="H1" s="322"/>
      <c r="I1" s="322"/>
      <c r="J1" s="322"/>
      <c r="K1" s="324"/>
      <c r="L1" s="324"/>
      <c r="M1" s="324"/>
      <c r="N1" s="324"/>
      <c r="O1" s="324"/>
      <c r="P1" s="324"/>
      <c r="Q1" s="324"/>
      <c r="R1" s="324"/>
    </row>
    <row r="2" spans="1:18" s="137" customFormat="1" ht="25.8">
      <c r="A2" s="321" t="s">
        <v>1895</v>
      </c>
      <c r="B2" s="322"/>
      <c r="C2" s="323"/>
      <c r="D2" s="322"/>
      <c r="E2" s="322"/>
      <c r="F2" s="322"/>
      <c r="G2" s="324"/>
      <c r="H2" s="322"/>
      <c r="I2" s="322"/>
      <c r="J2" s="322"/>
      <c r="K2" s="324"/>
      <c r="L2" s="324"/>
      <c r="M2" s="324"/>
      <c r="N2" s="324"/>
      <c r="O2" s="324"/>
      <c r="P2" s="324"/>
      <c r="Q2" s="324"/>
      <c r="R2" s="324"/>
    </row>
    <row r="3" spans="1:18" s="346" customFormat="1">
      <c r="A3" s="325" t="s">
        <v>447</v>
      </c>
      <c r="B3" s="322" t="s">
        <v>142</v>
      </c>
      <c r="C3" s="322"/>
      <c r="D3" s="322"/>
      <c r="E3" s="322"/>
      <c r="F3" s="322"/>
      <c r="G3" s="324"/>
      <c r="H3" s="322"/>
      <c r="I3" s="322"/>
      <c r="J3" s="322"/>
      <c r="K3" s="324"/>
      <c r="L3" s="324"/>
      <c r="M3" s="324"/>
      <c r="N3" s="324"/>
      <c r="O3" s="324"/>
      <c r="P3" s="324"/>
      <c r="Q3" s="324"/>
      <c r="R3" s="324"/>
    </row>
    <row r="4" spans="1:18" s="139" customFormat="1">
      <c r="A4" s="325" t="s">
        <v>1695</v>
      </c>
      <c r="B4" s="322" t="s">
        <v>1896</v>
      </c>
      <c r="C4" s="322"/>
      <c r="D4" s="322"/>
      <c r="E4" s="322"/>
      <c r="F4" s="322"/>
      <c r="G4" s="324"/>
      <c r="H4" s="322"/>
      <c r="I4" s="322"/>
      <c r="J4" s="322"/>
      <c r="K4" s="324"/>
      <c r="L4" s="324"/>
      <c r="M4" s="324"/>
      <c r="N4" s="324"/>
      <c r="O4" s="324"/>
      <c r="P4" s="324"/>
      <c r="Q4" s="324"/>
      <c r="R4" s="324"/>
    </row>
    <row r="5" spans="1:18" s="137" customFormat="1">
      <c r="A5" s="322" t="s">
        <v>448</v>
      </c>
      <c r="B5" s="322" t="s">
        <v>444</v>
      </c>
      <c r="C5" s="322"/>
      <c r="D5" s="322"/>
      <c r="E5" s="322"/>
      <c r="F5" s="322"/>
      <c r="G5" s="324"/>
      <c r="H5" s="322"/>
      <c r="I5" s="322"/>
      <c r="J5" s="322"/>
      <c r="K5" s="324"/>
      <c r="L5" s="324"/>
      <c r="M5" s="324"/>
      <c r="N5" s="324"/>
      <c r="O5" s="324"/>
      <c r="P5" s="324"/>
      <c r="Q5" s="324"/>
      <c r="R5" s="324"/>
    </row>
    <row r="6" spans="1:18" s="346" customFormat="1">
      <c r="A6" s="322" t="s">
        <v>1697</v>
      </c>
      <c r="B6" s="322" t="s">
        <v>1897</v>
      </c>
      <c r="C6" s="322"/>
      <c r="D6" s="322"/>
      <c r="E6" s="322"/>
      <c r="F6" s="322"/>
      <c r="G6" s="324"/>
      <c r="H6" s="322"/>
      <c r="I6" s="322"/>
      <c r="J6" s="322"/>
      <c r="K6" s="324"/>
      <c r="L6" s="324"/>
      <c r="M6" s="324"/>
      <c r="N6" s="324"/>
      <c r="O6" s="324"/>
      <c r="P6" s="324"/>
      <c r="Q6" s="324"/>
      <c r="R6" s="324"/>
    </row>
    <row r="7" spans="1:18" s="139" customFormat="1">
      <c r="A7" s="329"/>
      <c r="B7" s="329"/>
      <c r="C7" s="329"/>
      <c r="D7" s="329"/>
      <c r="E7" s="322"/>
      <c r="F7" s="322"/>
      <c r="G7" s="359" t="e">
        <f>#REF!</f>
        <v>#REF!</v>
      </c>
      <c r="H7" s="322"/>
      <c r="I7" s="322"/>
      <c r="J7" s="322"/>
      <c r="K7" s="324"/>
      <c r="L7" s="324"/>
      <c r="M7" s="324"/>
      <c r="N7" s="324"/>
      <c r="O7" s="324"/>
      <c r="P7" s="324"/>
      <c r="Q7" s="324"/>
      <c r="R7" s="324"/>
    </row>
    <row r="8" spans="1:18" s="139" customFormat="1">
      <c r="A8" s="350"/>
      <c r="B8" s="350"/>
      <c r="C8" s="350" t="s">
        <v>96</v>
      </c>
      <c r="D8" s="350" t="s">
        <v>553</v>
      </c>
      <c r="E8" s="350" t="s">
        <v>85</v>
      </c>
      <c r="F8" s="350" t="s">
        <v>1653</v>
      </c>
      <c r="G8" s="350" t="s">
        <v>1674</v>
      </c>
      <c r="H8" s="322"/>
      <c r="I8" s="322"/>
      <c r="J8" s="322"/>
      <c r="K8" s="322"/>
      <c r="L8" s="322"/>
      <c r="M8" s="322"/>
      <c r="N8" s="322"/>
      <c r="O8" s="322"/>
      <c r="P8" s="322"/>
      <c r="Q8" s="322"/>
      <c r="R8" s="322"/>
    </row>
    <row r="9" spans="1:18" s="137" customFormat="1">
      <c r="A9" s="342" t="s">
        <v>47</v>
      </c>
      <c r="B9" s="342"/>
      <c r="C9" s="343"/>
      <c r="D9" s="343"/>
      <c r="E9" s="343"/>
      <c r="F9" s="343"/>
      <c r="G9" s="344"/>
      <c r="H9" s="322"/>
      <c r="I9" s="322"/>
      <c r="J9" s="322"/>
      <c r="K9" s="345"/>
      <c r="L9" s="345"/>
      <c r="M9" s="345"/>
      <c r="N9" s="345"/>
      <c r="O9" s="345"/>
      <c r="P9" s="345"/>
      <c r="Q9" s="345"/>
      <c r="R9" s="345"/>
    </row>
    <row r="10" spans="1:18" s="346" customFormat="1" ht="55.2">
      <c r="A10" s="22" t="s">
        <v>143</v>
      </c>
      <c r="B10" s="22" t="s">
        <v>1898</v>
      </c>
      <c r="C10" s="22"/>
      <c r="D10" s="22"/>
      <c r="E10" s="347" t="s">
        <v>144</v>
      </c>
      <c r="F10" s="347"/>
      <c r="G10" s="348"/>
      <c r="H10" s="322"/>
      <c r="I10" s="322"/>
      <c r="J10" s="322"/>
      <c r="K10" s="345"/>
      <c r="L10" s="345"/>
      <c r="M10" s="345"/>
      <c r="N10" s="345"/>
      <c r="O10" s="345"/>
      <c r="P10" s="345"/>
      <c r="Q10" s="345"/>
      <c r="R10" s="345"/>
    </row>
    <row r="11" spans="1:18" s="139" customFormat="1">
      <c r="A11" s="342" t="s">
        <v>54</v>
      </c>
      <c r="B11" s="342"/>
      <c r="C11" s="343"/>
      <c r="D11" s="343"/>
      <c r="E11" s="343"/>
      <c r="F11" s="343"/>
      <c r="G11" s="344"/>
      <c r="H11" s="322"/>
      <c r="I11" s="322"/>
      <c r="J11" s="322"/>
      <c r="K11" s="345"/>
      <c r="L11" s="345"/>
      <c r="M11" s="345"/>
      <c r="N11" s="345"/>
      <c r="O11" s="345"/>
      <c r="P11" s="345"/>
      <c r="Q11" s="345"/>
      <c r="R11" s="345"/>
    </row>
    <row r="12" spans="1:18" s="139" customFormat="1" ht="69">
      <c r="A12" s="22" t="s">
        <v>145</v>
      </c>
      <c r="B12" s="22" t="s">
        <v>1899</v>
      </c>
      <c r="C12" s="22"/>
      <c r="D12" s="22"/>
      <c r="E12" s="347" t="s">
        <v>146</v>
      </c>
      <c r="F12" s="347"/>
      <c r="G12" s="348"/>
      <c r="H12" s="322"/>
      <c r="I12" s="322"/>
      <c r="J12" s="322"/>
      <c r="K12" s="345"/>
      <c r="L12" s="345"/>
      <c r="M12" s="345"/>
      <c r="N12" s="345"/>
      <c r="O12" s="345"/>
      <c r="P12" s="345"/>
      <c r="Q12" s="345"/>
      <c r="R12" s="345"/>
    </row>
    <row r="13" spans="1:18" s="137" customFormat="1" ht="69">
      <c r="A13" s="22" t="s">
        <v>147</v>
      </c>
      <c r="B13" s="22" t="s">
        <v>1900</v>
      </c>
      <c r="C13" s="22"/>
      <c r="D13" s="22"/>
      <c r="E13" s="347" t="s">
        <v>1558</v>
      </c>
      <c r="F13" s="347"/>
      <c r="G13" s="348"/>
      <c r="H13" s="322"/>
      <c r="I13" s="322"/>
      <c r="J13" s="322"/>
      <c r="K13" s="345"/>
      <c r="L13" s="345"/>
      <c r="M13" s="345"/>
      <c r="N13" s="345"/>
      <c r="O13" s="345"/>
      <c r="P13" s="345"/>
      <c r="Q13" s="345"/>
      <c r="R13" s="345"/>
    </row>
    <row r="14" spans="1:18" s="346" customFormat="1" ht="69">
      <c r="A14" s="22" t="s">
        <v>148</v>
      </c>
      <c r="B14" s="22" t="s">
        <v>1901</v>
      </c>
      <c r="C14" s="22"/>
      <c r="D14" s="22"/>
      <c r="E14" s="347" t="s">
        <v>1559</v>
      </c>
      <c r="F14" s="347"/>
      <c r="G14" s="348"/>
      <c r="H14" s="322"/>
      <c r="I14" s="322"/>
      <c r="J14" s="322"/>
      <c r="K14" s="345"/>
      <c r="L14" s="345"/>
      <c r="M14" s="345"/>
      <c r="N14" s="345"/>
      <c r="O14" s="345"/>
      <c r="P14" s="345"/>
      <c r="Q14" s="345"/>
      <c r="R14" s="345"/>
    </row>
    <row r="15" spans="1:18" s="139" customFormat="1">
      <c r="A15" s="342" t="s">
        <v>56</v>
      </c>
      <c r="B15" s="342"/>
      <c r="C15" s="343"/>
      <c r="D15" s="343"/>
      <c r="E15" s="343" t="s">
        <v>1772</v>
      </c>
      <c r="F15" s="343"/>
      <c r="G15" s="344"/>
      <c r="H15" s="322"/>
      <c r="I15" s="322"/>
      <c r="J15" s="322"/>
      <c r="K15" s="345"/>
      <c r="L15" s="345"/>
      <c r="M15" s="345"/>
      <c r="N15" s="345"/>
      <c r="O15" s="345"/>
      <c r="P15" s="345"/>
      <c r="Q15" s="345"/>
      <c r="R15" s="345"/>
    </row>
    <row r="16" spans="1:18" s="139" customFormat="1" ht="41.4">
      <c r="A16" s="22" t="s">
        <v>149</v>
      </c>
      <c r="B16" s="22" t="s">
        <v>1902</v>
      </c>
      <c r="C16" s="22"/>
      <c r="D16" s="22"/>
      <c r="E16" s="347" t="s">
        <v>1560</v>
      </c>
      <c r="F16" s="347"/>
      <c r="G16" s="348"/>
      <c r="H16" s="322"/>
      <c r="I16" s="322"/>
      <c r="J16" s="322"/>
      <c r="K16" s="345"/>
      <c r="L16" s="345"/>
      <c r="M16" s="345"/>
      <c r="N16" s="345"/>
      <c r="O16" s="345"/>
      <c r="P16" s="345"/>
      <c r="Q16" s="345"/>
      <c r="R16" s="345"/>
    </row>
    <row r="17" spans="1:18" s="137" customFormat="1" ht="69">
      <c r="A17" s="22" t="s">
        <v>150</v>
      </c>
      <c r="B17" s="22" t="s">
        <v>1903</v>
      </c>
      <c r="C17" s="22"/>
      <c r="D17" s="22"/>
      <c r="E17" s="347" t="s">
        <v>1561</v>
      </c>
      <c r="F17" s="347"/>
      <c r="G17" s="348"/>
      <c r="H17" s="322"/>
      <c r="I17" s="360"/>
      <c r="J17" s="322"/>
      <c r="K17" s="345"/>
      <c r="L17" s="345"/>
      <c r="M17" s="345"/>
      <c r="N17" s="345"/>
      <c r="O17" s="345"/>
      <c r="P17" s="345"/>
      <c r="Q17" s="345"/>
      <c r="R17" s="345"/>
    </row>
    <row r="18" spans="1:18" s="346" customFormat="1" ht="55.2">
      <c r="A18" s="22" t="s">
        <v>151</v>
      </c>
      <c r="B18" s="22" t="s">
        <v>1904</v>
      </c>
      <c r="C18" s="22"/>
      <c r="D18" s="22"/>
      <c r="E18" s="347" t="s">
        <v>1562</v>
      </c>
      <c r="F18" s="347"/>
      <c r="G18" s="348"/>
      <c r="H18" s="322"/>
      <c r="I18" s="322"/>
      <c r="J18" s="322"/>
      <c r="K18" s="345"/>
      <c r="L18" s="345"/>
      <c r="M18" s="345"/>
      <c r="N18" s="345"/>
      <c r="O18" s="345"/>
      <c r="P18" s="345"/>
      <c r="Q18" s="345"/>
      <c r="R18" s="345"/>
    </row>
    <row r="19" spans="1:18" s="139" customFormat="1" ht="55.2">
      <c r="A19" s="22" t="s">
        <v>152</v>
      </c>
      <c r="B19" s="22" t="s">
        <v>1905</v>
      </c>
      <c r="C19" s="22"/>
      <c r="D19" s="22"/>
      <c r="E19" s="347" t="s">
        <v>1563</v>
      </c>
      <c r="F19" s="347"/>
      <c r="G19" s="348"/>
      <c r="H19" s="322"/>
      <c r="I19" s="322"/>
      <c r="J19" s="322"/>
      <c r="K19" s="345"/>
      <c r="L19" s="345"/>
      <c r="M19" s="345"/>
      <c r="N19" s="345"/>
      <c r="O19" s="345"/>
      <c r="P19" s="345"/>
      <c r="Q19" s="345"/>
      <c r="R19" s="345"/>
    </row>
    <row r="20" spans="1:18" s="139" customFormat="1" ht="69">
      <c r="A20" s="22" t="s">
        <v>153</v>
      </c>
      <c r="B20" s="22" t="s">
        <v>1906</v>
      </c>
      <c r="C20" s="22"/>
      <c r="D20" s="22"/>
      <c r="E20" s="347" t="s">
        <v>1564</v>
      </c>
      <c r="F20" s="347"/>
      <c r="G20" s="348"/>
      <c r="H20" s="322"/>
      <c r="I20" s="322"/>
      <c r="J20" s="322"/>
      <c r="K20" s="345"/>
      <c r="L20" s="345"/>
      <c r="M20" s="345"/>
      <c r="N20" s="345"/>
      <c r="O20" s="345"/>
      <c r="P20" s="345"/>
      <c r="Q20" s="345"/>
      <c r="R20" s="345"/>
    </row>
    <row r="21" spans="1:18" s="137" customFormat="1" ht="69">
      <c r="A21" s="22" t="s">
        <v>154</v>
      </c>
      <c r="B21" s="22" t="s">
        <v>1907</v>
      </c>
      <c r="C21" s="22"/>
      <c r="D21" s="22"/>
      <c r="E21" s="22" t="s">
        <v>1908</v>
      </c>
      <c r="F21" s="22"/>
      <c r="G21" s="348"/>
      <c r="H21" s="322"/>
      <c r="I21" s="322"/>
      <c r="J21" s="322"/>
      <c r="K21" s="345"/>
      <c r="L21" s="345"/>
      <c r="M21" s="345"/>
      <c r="N21" s="345"/>
      <c r="O21" s="345"/>
      <c r="P21" s="345"/>
      <c r="Q21" s="345"/>
      <c r="R21" s="345"/>
    </row>
    <row r="22" spans="1:18" s="339" customFormat="1">
      <c r="G22" s="324"/>
      <c r="H22" s="322"/>
      <c r="I22" s="322"/>
      <c r="J22" s="322"/>
      <c r="K22" s="324"/>
      <c r="L22" s="324"/>
      <c r="M22" s="324"/>
      <c r="N22" s="324"/>
      <c r="O22" s="324"/>
      <c r="P22" s="324"/>
      <c r="Q22" s="324"/>
      <c r="R22" s="324"/>
    </row>
    <row r="23" spans="1:18" s="339" customFormat="1">
      <c r="G23" s="324"/>
      <c r="H23" s="322"/>
      <c r="I23" s="322"/>
      <c r="J23" s="322"/>
      <c r="K23" s="324"/>
      <c r="L23" s="324"/>
      <c r="M23" s="324"/>
      <c r="N23" s="324"/>
      <c r="O23" s="324"/>
      <c r="P23" s="324"/>
      <c r="Q23" s="324"/>
      <c r="R23" s="324"/>
    </row>
    <row r="24" spans="1:18" s="339" customFormat="1">
      <c r="G24" s="324"/>
      <c r="H24" s="322"/>
      <c r="I24" s="322"/>
      <c r="J24" s="322"/>
      <c r="K24" s="324"/>
      <c r="L24" s="324"/>
      <c r="M24" s="324"/>
      <c r="N24" s="324"/>
      <c r="O24" s="324"/>
      <c r="P24" s="324"/>
      <c r="Q24" s="324"/>
      <c r="R24" s="324"/>
    </row>
    <row r="25" spans="1:18" s="339" customFormat="1">
      <c r="G25" s="324"/>
      <c r="H25" s="322"/>
      <c r="I25" s="322"/>
      <c r="J25" s="322"/>
      <c r="K25" s="324"/>
      <c r="L25" s="324"/>
      <c r="M25" s="324"/>
      <c r="N25" s="324"/>
      <c r="O25" s="324"/>
      <c r="P25" s="324"/>
      <c r="Q25" s="324"/>
      <c r="R25" s="324"/>
    </row>
    <row r="26" spans="1:18" s="339" customFormat="1">
      <c r="G26" s="324"/>
      <c r="H26" s="322"/>
      <c r="I26" s="322"/>
      <c r="J26" s="322"/>
      <c r="K26" s="324"/>
      <c r="L26" s="324"/>
      <c r="M26" s="324"/>
      <c r="N26" s="324"/>
      <c r="O26" s="324"/>
      <c r="P26" s="324"/>
      <c r="Q26" s="324"/>
      <c r="R26" s="324"/>
    </row>
    <row r="27" spans="1:18" s="339" customFormat="1">
      <c r="G27" s="324"/>
      <c r="H27" s="322"/>
      <c r="I27" s="322"/>
      <c r="J27" s="322"/>
      <c r="K27" s="324"/>
      <c r="L27" s="324"/>
      <c r="M27" s="324"/>
      <c r="N27" s="324"/>
      <c r="O27" s="324"/>
      <c r="P27" s="324"/>
      <c r="Q27" s="324"/>
      <c r="R27" s="324"/>
    </row>
    <row r="28" spans="1:18" s="339" customFormat="1">
      <c r="G28" s="324"/>
      <c r="H28" s="322"/>
      <c r="I28" s="322"/>
      <c r="J28" s="322"/>
      <c r="K28" s="324"/>
      <c r="L28" s="324"/>
      <c r="M28" s="324"/>
      <c r="N28" s="324"/>
      <c r="O28" s="324"/>
      <c r="P28" s="324"/>
      <c r="Q28" s="324"/>
      <c r="R28" s="324"/>
    </row>
    <row r="29" spans="1:18" s="339" customFormat="1">
      <c r="G29" s="324"/>
      <c r="H29" s="322"/>
      <c r="I29" s="322"/>
      <c r="J29" s="322"/>
      <c r="K29" s="324"/>
      <c r="L29" s="324"/>
      <c r="M29" s="324"/>
      <c r="N29" s="324"/>
      <c r="O29" s="324"/>
      <c r="P29" s="324"/>
      <c r="Q29" s="324"/>
      <c r="R29" s="324"/>
    </row>
    <row r="30" spans="1:18" s="339" customFormat="1">
      <c r="G30" s="324"/>
      <c r="H30" s="322"/>
      <c r="I30" s="322"/>
      <c r="J30" s="322"/>
      <c r="K30" s="324"/>
      <c r="L30" s="324"/>
      <c r="M30" s="324"/>
      <c r="N30" s="324"/>
      <c r="O30" s="324"/>
      <c r="P30" s="324"/>
      <c r="Q30" s="324"/>
      <c r="R30" s="324"/>
    </row>
    <row r="31" spans="1:18" s="339" customFormat="1">
      <c r="G31" s="324"/>
      <c r="H31" s="322"/>
      <c r="I31" s="322"/>
      <c r="J31" s="322"/>
      <c r="K31" s="324"/>
      <c r="L31" s="324"/>
      <c r="M31" s="324"/>
      <c r="N31" s="324"/>
      <c r="O31" s="324"/>
      <c r="P31" s="324"/>
      <c r="Q31" s="324"/>
      <c r="R31" s="324"/>
    </row>
    <row r="32" spans="1:18" s="339" customFormat="1">
      <c r="G32" s="324"/>
      <c r="H32" s="322"/>
      <c r="I32" s="322"/>
      <c r="J32" s="322"/>
      <c r="K32" s="324"/>
      <c r="L32" s="324"/>
      <c r="M32" s="324"/>
      <c r="N32" s="324"/>
      <c r="O32" s="324"/>
      <c r="P32" s="324"/>
      <c r="Q32" s="324"/>
      <c r="R32" s="324"/>
    </row>
    <row r="33" spans="7:18" s="339" customFormat="1">
      <c r="G33" s="324"/>
      <c r="H33" s="322"/>
      <c r="I33" s="322"/>
      <c r="J33" s="322"/>
      <c r="K33" s="324"/>
      <c r="L33" s="324"/>
      <c r="M33" s="324"/>
      <c r="N33" s="324"/>
      <c r="O33" s="324"/>
      <c r="P33" s="324"/>
      <c r="Q33" s="324"/>
      <c r="R33" s="324"/>
    </row>
    <row r="34" spans="7:18" s="339" customFormat="1">
      <c r="G34" s="324"/>
      <c r="H34" s="322"/>
      <c r="I34" s="322"/>
      <c r="J34" s="322"/>
      <c r="K34" s="324"/>
      <c r="L34" s="324"/>
      <c r="M34" s="324"/>
      <c r="N34" s="324"/>
      <c r="O34" s="324"/>
      <c r="P34" s="324"/>
      <c r="Q34" s="324"/>
      <c r="R34" s="324"/>
    </row>
    <row r="35" spans="7:18" s="339" customFormat="1">
      <c r="G35" s="324"/>
      <c r="H35" s="322"/>
      <c r="I35" s="322"/>
      <c r="J35" s="322"/>
      <c r="K35" s="324"/>
      <c r="L35" s="324"/>
      <c r="M35" s="324"/>
      <c r="N35" s="324"/>
      <c r="O35" s="324"/>
      <c r="P35" s="324"/>
      <c r="Q35" s="324"/>
      <c r="R35" s="324"/>
    </row>
    <row r="36" spans="7:18" s="339" customFormat="1">
      <c r="G36" s="324"/>
      <c r="H36" s="322"/>
      <c r="I36" s="322"/>
      <c r="J36" s="322"/>
      <c r="K36" s="324"/>
      <c r="L36" s="324"/>
      <c r="M36" s="324"/>
      <c r="N36" s="324"/>
      <c r="O36" s="324"/>
      <c r="P36" s="324"/>
      <c r="Q36" s="324"/>
      <c r="R36" s="324"/>
    </row>
    <row r="37" spans="7:18" s="339" customFormat="1">
      <c r="G37" s="324"/>
      <c r="H37" s="322"/>
      <c r="I37" s="322"/>
      <c r="J37" s="322"/>
      <c r="K37" s="324"/>
      <c r="L37" s="324"/>
      <c r="M37" s="324"/>
      <c r="N37" s="324"/>
      <c r="O37" s="324"/>
      <c r="P37" s="324"/>
      <c r="Q37" s="324"/>
      <c r="R37" s="324"/>
    </row>
    <row r="38" spans="7:18" s="339" customFormat="1">
      <c r="G38" s="324"/>
      <c r="H38" s="322"/>
      <c r="I38" s="322"/>
      <c r="J38" s="322"/>
      <c r="K38" s="324"/>
      <c r="L38" s="324"/>
      <c r="M38" s="324"/>
      <c r="N38" s="324"/>
      <c r="O38" s="324"/>
      <c r="P38" s="324"/>
      <c r="Q38" s="324"/>
      <c r="R38" s="324"/>
    </row>
    <row r="39" spans="7:18" s="339" customFormat="1">
      <c r="G39" s="324"/>
      <c r="H39" s="322"/>
      <c r="I39" s="322"/>
      <c r="J39" s="322"/>
      <c r="K39" s="324"/>
      <c r="L39" s="324"/>
      <c r="M39" s="324"/>
      <c r="N39" s="324"/>
      <c r="O39" s="324"/>
      <c r="P39" s="324"/>
      <c r="Q39" s="324"/>
      <c r="R39" s="324"/>
    </row>
    <row r="40" spans="7:18" s="339" customFormat="1">
      <c r="G40" s="324"/>
      <c r="H40" s="322"/>
      <c r="I40" s="322"/>
      <c r="J40" s="322"/>
      <c r="K40" s="324"/>
      <c r="L40" s="324"/>
      <c r="M40" s="324"/>
      <c r="N40" s="324"/>
      <c r="O40" s="324"/>
      <c r="P40" s="324"/>
      <c r="Q40" s="324"/>
      <c r="R40" s="324"/>
    </row>
    <row r="41" spans="7:18" s="339" customFormat="1">
      <c r="G41" s="324"/>
      <c r="H41" s="322"/>
      <c r="I41" s="322"/>
      <c r="J41" s="322"/>
      <c r="K41" s="324"/>
      <c r="L41" s="324"/>
      <c r="M41" s="324"/>
      <c r="N41" s="324"/>
      <c r="O41" s="324"/>
      <c r="P41" s="324"/>
      <c r="Q41" s="324"/>
      <c r="R41" s="324"/>
    </row>
    <row r="42" spans="7:18" s="339" customFormat="1">
      <c r="G42" s="324"/>
      <c r="H42" s="322"/>
      <c r="I42" s="322"/>
      <c r="J42" s="322"/>
      <c r="K42" s="324"/>
      <c r="L42" s="324"/>
      <c r="M42" s="324"/>
      <c r="N42" s="324"/>
      <c r="O42" s="324"/>
      <c r="P42" s="324"/>
      <c r="Q42" s="324"/>
      <c r="R42" s="324"/>
    </row>
    <row r="43" spans="7:18" s="339" customFormat="1">
      <c r="G43" s="324"/>
      <c r="H43" s="322"/>
      <c r="I43" s="322"/>
      <c r="J43" s="322"/>
      <c r="K43" s="324"/>
      <c r="L43" s="324"/>
      <c r="M43" s="324"/>
      <c r="N43" s="324"/>
      <c r="O43" s="324"/>
      <c r="P43" s="324"/>
      <c r="Q43" s="324"/>
      <c r="R43" s="324"/>
    </row>
    <row r="44" spans="7:18" s="339" customFormat="1">
      <c r="G44" s="324"/>
      <c r="H44" s="322"/>
      <c r="I44" s="322"/>
      <c r="J44" s="322"/>
      <c r="K44" s="324"/>
      <c r="L44" s="324"/>
      <c r="M44" s="324"/>
      <c r="N44" s="324"/>
      <c r="O44" s="324"/>
      <c r="P44" s="324"/>
      <c r="Q44" s="324"/>
      <c r="R44" s="324"/>
    </row>
    <row r="45" spans="7:18" s="339" customFormat="1">
      <c r="G45" s="324"/>
      <c r="H45" s="322"/>
      <c r="I45" s="322"/>
      <c r="J45" s="322"/>
      <c r="K45" s="324"/>
      <c r="L45" s="324"/>
      <c r="M45" s="324"/>
      <c r="N45" s="324"/>
      <c r="O45" s="324"/>
      <c r="P45" s="324"/>
      <c r="Q45" s="324"/>
      <c r="R45" s="324"/>
    </row>
    <row r="46" spans="7:18" s="339" customFormat="1">
      <c r="G46" s="324"/>
      <c r="H46" s="322"/>
      <c r="I46" s="322"/>
      <c r="J46" s="322"/>
      <c r="K46" s="324"/>
      <c r="L46" s="324"/>
      <c r="M46" s="324"/>
      <c r="N46" s="324"/>
      <c r="O46" s="324"/>
      <c r="P46" s="324"/>
      <c r="Q46" s="324"/>
      <c r="R46" s="324"/>
    </row>
    <row r="47" spans="7:18" s="339" customFormat="1">
      <c r="G47" s="324"/>
      <c r="H47" s="322"/>
      <c r="I47" s="322"/>
      <c r="J47" s="322"/>
      <c r="K47" s="324"/>
      <c r="L47" s="324"/>
      <c r="M47" s="324"/>
      <c r="N47" s="324"/>
      <c r="O47" s="324"/>
      <c r="P47" s="324"/>
      <c r="Q47" s="324"/>
      <c r="R47" s="324"/>
    </row>
    <row r="48" spans="7:18" s="340" customFormat="1">
      <c r="G48" s="324"/>
      <c r="H48" s="322"/>
      <c r="I48" s="322"/>
      <c r="J48" s="322"/>
      <c r="K48" s="324"/>
      <c r="L48" s="324"/>
      <c r="M48" s="324"/>
      <c r="N48" s="324"/>
      <c r="O48" s="324"/>
      <c r="P48" s="324"/>
      <c r="Q48" s="324"/>
      <c r="R48" s="324"/>
    </row>
    <row r="49" spans="7:18" s="340" customFormat="1">
      <c r="G49" s="324"/>
      <c r="H49" s="322"/>
      <c r="I49" s="322"/>
      <c r="J49" s="322"/>
      <c r="K49" s="324"/>
      <c r="L49" s="324"/>
      <c r="M49" s="324"/>
      <c r="N49" s="324"/>
      <c r="O49" s="324"/>
      <c r="P49" s="324"/>
      <c r="Q49" s="324"/>
      <c r="R49" s="324"/>
    </row>
    <row r="50" spans="7:18" s="340" customFormat="1">
      <c r="G50" s="324"/>
      <c r="H50" s="322"/>
      <c r="I50" s="322"/>
      <c r="J50" s="322"/>
      <c r="K50" s="324"/>
      <c r="L50" s="324"/>
      <c r="M50" s="324"/>
      <c r="N50" s="324"/>
      <c r="O50" s="324"/>
      <c r="P50" s="324"/>
      <c r="Q50" s="324"/>
      <c r="R50" s="324"/>
    </row>
    <row r="51" spans="7:18" s="340" customFormat="1">
      <c r="G51" s="324"/>
      <c r="H51" s="322"/>
      <c r="I51" s="322"/>
      <c r="J51" s="322"/>
      <c r="K51" s="324"/>
      <c r="L51" s="324"/>
      <c r="M51" s="324"/>
      <c r="N51" s="324"/>
      <c r="O51" s="324"/>
      <c r="P51" s="324"/>
      <c r="Q51" s="324"/>
      <c r="R51" s="324"/>
    </row>
    <row r="52" spans="7:18" s="340" customFormat="1">
      <c r="G52" s="324"/>
      <c r="H52" s="322"/>
      <c r="I52" s="322"/>
      <c r="J52" s="322"/>
      <c r="K52" s="324"/>
      <c r="L52" s="324"/>
      <c r="M52" s="324"/>
      <c r="N52" s="324"/>
      <c r="O52" s="324"/>
      <c r="P52" s="324"/>
      <c r="Q52" s="324"/>
      <c r="R52" s="324"/>
    </row>
    <row r="53" spans="7:18" s="340" customFormat="1">
      <c r="G53" s="324"/>
      <c r="H53" s="322"/>
      <c r="I53" s="322"/>
      <c r="J53" s="322"/>
      <c r="K53" s="324"/>
      <c r="L53" s="324"/>
      <c r="M53" s="324"/>
      <c r="N53" s="324"/>
      <c r="O53" s="324"/>
      <c r="P53" s="324"/>
      <c r="Q53" s="324"/>
      <c r="R53" s="324"/>
    </row>
    <row r="54" spans="7:18" s="340" customFormat="1">
      <c r="G54" s="324"/>
      <c r="H54" s="322"/>
      <c r="I54" s="322"/>
      <c r="J54" s="322"/>
      <c r="K54" s="324"/>
      <c r="L54" s="324"/>
      <c r="M54" s="324"/>
      <c r="N54" s="324"/>
      <c r="O54" s="324"/>
      <c r="P54" s="324"/>
      <c r="Q54" s="324"/>
      <c r="R54" s="324"/>
    </row>
    <row r="55" spans="7:18" s="340" customFormat="1">
      <c r="G55" s="324"/>
      <c r="H55" s="322"/>
      <c r="I55" s="322"/>
      <c r="J55" s="322"/>
      <c r="K55" s="324"/>
      <c r="L55" s="324"/>
      <c r="M55" s="324"/>
      <c r="N55" s="324"/>
      <c r="O55" s="324"/>
      <c r="P55" s="324"/>
      <c r="Q55" s="324"/>
      <c r="R55" s="324"/>
    </row>
    <row r="56" spans="7:18" s="340" customFormat="1">
      <c r="G56" s="324"/>
      <c r="H56" s="322"/>
      <c r="I56" s="322"/>
      <c r="J56" s="322"/>
      <c r="K56" s="324"/>
      <c r="L56" s="324"/>
      <c r="M56" s="324"/>
      <c r="N56" s="324"/>
      <c r="O56" s="324"/>
      <c r="P56" s="324"/>
      <c r="Q56" s="324"/>
      <c r="R56" s="324"/>
    </row>
    <row r="57" spans="7:18" s="340" customFormat="1">
      <c r="G57" s="324"/>
      <c r="H57" s="322"/>
      <c r="I57" s="322"/>
      <c r="J57" s="322"/>
      <c r="K57" s="324"/>
      <c r="L57" s="324"/>
      <c r="M57" s="324"/>
      <c r="N57" s="324"/>
      <c r="O57" s="324"/>
      <c r="P57" s="324"/>
      <c r="Q57" s="324"/>
      <c r="R57" s="324"/>
    </row>
    <row r="58" spans="7:18" s="340" customFormat="1">
      <c r="G58" s="324"/>
      <c r="H58" s="322"/>
      <c r="I58" s="322"/>
      <c r="J58" s="322"/>
      <c r="K58" s="324"/>
      <c r="L58" s="324"/>
      <c r="M58" s="324"/>
      <c r="N58" s="324"/>
      <c r="O58" s="324"/>
      <c r="P58" s="324"/>
      <c r="Q58" s="324"/>
      <c r="R58" s="324"/>
    </row>
    <row r="59" spans="7:18" s="340" customFormat="1">
      <c r="G59" s="324"/>
      <c r="H59" s="322"/>
      <c r="I59" s="322"/>
      <c r="J59" s="322"/>
      <c r="K59" s="324"/>
      <c r="L59" s="324"/>
      <c r="M59" s="324"/>
      <c r="N59" s="324"/>
      <c r="O59" s="324"/>
      <c r="P59" s="324"/>
      <c r="Q59" s="324"/>
      <c r="R59" s="324"/>
    </row>
    <row r="60" spans="7:18" s="340" customFormat="1">
      <c r="G60" s="324"/>
      <c r="H60" s="322"/>
      <c r="I60" s="322"/>
      <c r="J60" s="322"/>
      <c r="K60" s="324"/>
      <c r="L60" s="324"/>
      <c r="M60" s="324"/>
      <c r="N60" s="324"/>
      <c r="O60" s="324"/>
      <c r="P60" s="324"/>
      <c r="Q60" s="324"/>
      <c r="R60" s="324"/>
    </row>
    <row r="61" spans="7:18" s="340" customFormat="1">
      <c r="G61" s="324"/>
      <c r="H61" s="322"/>
      <c r="I61" s="322"/>
      <c r="J61" s="322"/>
      <c r="K61" s="324"/>
      <c r="L61" s="324"/>
      <c r="M61" s="324"/>
      <c r="N61" s="324"/>
      <c r="O61" s="324"/>
      <c r="P61" s="324"/>
      <c r="Q61" s="324"/>
      <c r="R61" s="324"/>
    </row>
    <row r="62" spans="7:18" s="340" customFormat="1">
      <c r="G62" s="324"/>
      <c r="H62" s="322"/>
      <c r="I62" s="322"/>
      <c r="J62" s="322"/>
      <c r="K62" s="324"/>
      <c r="L62" s="324"/>
      <c r="M62" s="324"/>
      <c r="N62" s="324"/>
      <c r="O62" s="324"/>
      <c r="P62" s="324"/>
      <c r="Q62" s="324"/>
      <c r="R62" s="324"/>
    </row>
    <row r="63" spans="7:18" s="340" customFormat="1">
      <c r="G63" s="324"/>
      <c r="H63" s="322"/>
      <c r="I63" s="322"/>
      <c r="J63" s="322"/>
      <c r="K63" s="324"/>
      <c r="L63" s="324"/>
      <c r="M63" s="324"/>
      <c r="N63" s="324"/>
      <c r="O63" s="324"/>
      <c r="P63" s="324"/>
      <c r="Q63" s="324"/>
      <c r="R63" s="324"/>
    </row>
    <row r="64" spans="7:18" s="340" customFormat="1">
      <c r="G64" s="324"/>
      <c r="H64" s="322"/>
      <c r="I64" s="322"/>
      <c r="J64" s="322"/>
      <c r="K64" s="324"/>
      <c r="L64" s="324"/>
      <c r="M64" s="324"/>
      <c r="N64" s="324"/>
      <c r="O64" s="324"/>
      <c r="P64" s="324"/>
      <c r="Q64" s="324"/>
      <c r="R64" s="324"/>
    </row>
    <row r="65" spans="7:18" s="340" customFormat="1">
      <c r="G65" s="324"/>
      <c r="H65" s="322"/>
      <c r="I65" s="322"/>
      <c r="J65" s="322"/>
      <c r="K65" s="324"/>
      <c r="L65" s="324"/>
      <c r="M65" s="324"/>
      <c r="N65" s="324"/>
      <c r="O65" s="324"/>
      <c r="P65" s="324"/>
      <c r="Q65" s="324"/>
      <c r="R65" s="324"/>
    </row>
    <row r="66" spans="7:18" s="340" customFormat="1">
      <c r="G66" s="324"/>
      <c r="H66" s="322"/>
      <c r="I66" s="322"/>
      <c r="J66" s="322"/>
      <c r="K66" s="324"/>
      <c r="L66" s="324"/>
      <c r="M66" s="324"/>
      <c r="N66" s="324"/>
      <c r="O66" s="324"/>
      <c r="P66" s="324"/>
      <c r="Q66" s="324"/>
      <c r="R66" s="324"/>
    </row>
    <row r="67" spans="7:18" s="340" customFormat="1">
      <c r="G67" s="324"/>
      <c r="H67" s="322"/>
      <c r="I67" s="322"/>
      <c r="J67" s="322"/>
      <c r="K67" s="324"/>
      <c r="L67" s="324"/>
      <c r="M67" s="324"/>
      <c r="N67" s="324"/>
      <c r="O67" s="324"/>
      <c r="P67" s="324"/>
      <c r="Q67" s="324"/>
      <c r="R67" s="324"/>
    </row>
    <row r="68" spans="7:18" s="340" customFormat="1">
      <c r="G68" s="324"/>
      <c r="H68" s="322"/>
      <c r="I68" s="322"/>
      <c r="J68" s="322"/>
      <c r="K68" s="324"/>
      <c r="L68" s="324"/>
      <c r="M68" s="324"/>
      <c r="N68" s="324"/>
      <c r="O68" s="324"/>
      <c r="P68" s="324"/>
      <c r="Q68" s="324"/>
      <c r="R68" s="324"/>
    </row>
  </sheetData>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F94F64-4D4B-4642-BF30-510AC84E26FD}">
  <sheetPr codeName="Sheet51">
    <tabColor rgb="FF802C19"/>
  </sheetPr>
  <dimension ref="A1:R40"/>
  <sheetViews>
    <sheetView workbookViewId="0">
      <selection activeCell="I11" sqref="I11:J14"/>
    </sheetView>
  </sheetViews>
  <sheetFormatPr defaultColWidth="8.77734375" defaultRowHeight="13.8"/>
  <cols>
    <col min="1" max="1" width="10.21875" style="329" customWidth="1"/>
    <col min="2" max="2" width="64.21875" style="329" customWidth="1"/>
    <col min="3" max="4" width="21.44140625" style="329" customWidth="1"/>
    <col min="5" max="5" width="39" style="329" customWidth="1"/>
    <col min="6" max="6" width="36.44140625" style="329" customWidth="1"/>
    <col min="7" max="7" width="21.44140625" style="324" customWidth="1"/>
    <col min="8" max="18" width="8.77734375" style="324"/>
    <col min="19" max="16384" width="8.77734375" style="329"/>
  </cols>
  <sheetData>
    <row r="1" spans="1:18" s="139" customFormat="1" ht="25.8">
      <c r="A1" s="321" t="s">
        <v>195</v>
      </c>
      <c r="B1" s="322"/>
      <c r="C1" s="323"/>
      <c r="D1" s="322"/>
      <c r="E1" s="322"/>
      <c r="F1" s="322"/>
      <c r="G1" s="324"/>
      <c r="H1" s="324"/>
      <c r="I1" s="324"/>
      <c r="J1" s="324"/>
      <c r="K1" s="324"/>
      <c r="L1" s="324"/>
      <c r="M1" s="324"/>
      <c r="N1" s="324"/>
      <c r="O1" s="324"/>
      <c r="P1" s="324"/>
      <c r="Q1" s="324"/>
      <c r="R1" s="324"/>
    </row>
    <row r="2" spans="1:18" s="139" customFormat="1" ht="25.8">
      <c r="A2" s="321" t="s">
        <v>1909</v>
      </c>
      <c r="B2" s="322"/>
      <c r="C2" s="323"/>
      <c r="D2" s="322"/>
      <c r="E2" s="322"/>
      <c r="F2" s="322"/>
      <c r="G2" s="324"/>
      <c r="H2" s="324"/>
      <c r="I2" s="324"/>
      <c r="J2" s="324"/>
      <c r="K2" s="324"/>
      <c r="L2" s="324"/>
      <c r="M2" s="324"/>
      <c r="N2" s="324"/>
      <c r="O2" s="324"/>
      <c r="P2" s="324"/>
      <c r="Q2" s="324"/>
      <c r="R2" s="324"/>
    </row>
    <row r="3" spans="1:18" s="137" customFormat="1" ht="69">
      <c r="A3" s="325" t="s">
        <v>447</v>
      </c>
      <c r="B3" s="325" t="s">
        <v>196</v>
      </c>
      <c r="C3" s="322"/>
      <c r="D3" s="322"/>
      <c r="E3" s="322"/>
      <c r="F3" s="322"/>
      <c r="G3" s="324"/>
      <c r="H3" s="324"/>
      <c r="I3" s="324"/>
      <c r="J3" s="324"/>
      <c r="K3" s="324"/>
      <c r="L3" s="324"/>
      <c r="M3" s="324"/>
      <c r="N3" s="324"/>
      <c r="O3" s="324"/>
      <c r="P3" s="324"/>
      <c r="Q3" s="324"/>
      <c r="R3" s="324"/>
    </row>
    <row r="4" spans="1:18" s="346" customFormat="1">
      <c r="A4" s="325" t="s">
        <v>1695</v>
      </c>
      <c r="B4" s="325" t="s">
        <v>1910</v>
      </c>
      <c r="C4" s="322"/>
      <c r="D4" s="322"/>
      <c r="E4" s="322"/>
      <c r="F4" s="322"/>
      <c r="G4" s="324"/>
      <c r="H4" s="324"/>
      <c r="I4" s="324"/>
      <c r="J4" s="324"/>
      <c r="K4" s="324"/>
      <c r="L4" s="324"/>
      <c r="M4" s="324"/>
      <c r="N4" s="324"/>
      <c r="O4" s="324"/>
      <c r="P4" s="324"/>
      <c r="Q4" s="324"/>
      <c r="R4" s="324"/>
    </row>
    <row r="5" spans="1:18" s="137" customFormat="1">
      <c r="A5" s="322" t="s">
        <v>448</v>
      </c>
      <c r="B5" s="322" t="s">
        <v>197</v>
      </c>
      <c r="C5" s="322"/>
      <c r="D5" s="322"/>
      <c r="E5" s="322"/>
      <c r="F5" s="322"/>
      <c r="G5" s="324"/>
      <c r="H5" s="324"/>
      <c r="I5" s="324"/>
      <c r="J5" s="324"/>
      <c r="K5" s="324"/>
      <c r="L5" s="324"/>
      <c r="M5" s="324"/>
      <c r="N5" s="324"/>
      <c r="O5" s="324"/>
      <c r="P5" s="324"/>
      <c r="Q5" s="324"/>
      <c r="R5" s="324"/>
    </row>
    <row r="6" spans="1:18" s="346" customFormat="1">
      <c r="A6" s="329" t="s">
        <v>1697</v>
      </c>
      <c r="B6" s="329" t="s">
        <v>1911</v>
      </c>
      <c r="C6" s="329"/>
      <c r="D6" s="329"/>
      <c r="E6" s="322"/>
      <c r="F6" s="322"/>
      <c r="G6" s="324"/>
      <c r="H6" s="324"/>
      <c r="I6" s="324"/>
      <c r="J6" s="324"/>
      <c r="K6" s="324"/>
      <c r="L6" s="324"/>
      <c r="M6" s="324"/>
      <c r="N6" s="324"/>
      <c r="O6" s="324"/>
      <c r="P6" s="324"/>
      <c r="Q6" s="324"/>
      <c r="R6" s="324"/>
    </row>
    <row r="7" spans="1:18" s="139" customFormat="1">
      <c r="A7" s="329"/>
      <c r="B7" s="329"/>
      <c r="C7" s="329"/>
      <c r="D7" s="329"/>
      <c r="E7" s="322"/>
      <c r="F7" s="322"/>
      <c r="G7" s="359" t="e">
        <f>#REF!</f>
        <v>#REF!</v>
      </c>
      <c r="H7" s="324"/>
      <c r="I7" s="324"/>
      <c r="J7" s="324"/>
      <c r="K7" s="324"/>
      <c r="L7" s="324"/>
      <c r="M7" s="324"/>
      <c r="N7" s="324"/>
      <c r="O7" s="324"/>
      <c r="P7" s="324"/>
      <c r="Q7" s="324"/>
      <c r="R7" s="324"/>
    </row>
    <row r="8" spans="1:18" s="139" customFormat="1">
      <c r="A8" s="350"/>
      <c r="B8" s="350"/>
      <c r="C8" s="350" t="s">
        <v>96</v>
      </c>
      <c r="D8" s="350" t="s">
        <v>553</v>
      </c>
      <c r="E8" s="350" t="s">
        <v>85</v>
      </c>
      <c r="F8" s="350" t="s">
        <v>1653</v>
      </c>
      <c r="G8" s="350" t="s">
        <v>1674</v>
      </c>
      <c r="H8" s="322"/>
      <c r="I8" s="322"/>
      <c r="J8" s="322"/>
      <c r="K8" s="322"/>
      <c r="L8" s="322"/>
      <c r="M8" s="322"/>
      <c r="N8" s="322"/>
      <c r="O8" s="322"/>
      <c r="P8" s="322"/>
      <c r="Q8" s="322"/>
      <c r="R8" s="322"/>
    </row>
    <row r="9" spans="1:18" s="137" customFormat="1">
      <c r="A9" s="342" t="s">
        <v>47</v>
      </c>
      <c r="B9" s="342"/>
      <c r="C9" s="343"/>
      <c r="D9" s="343"/>
      <c r="E9" s="343"/>
      <c r="F9" s="343"/>
      <c r="G9" s="344"/>
      <c r="H9" s="345"/>
      <c r="I9" s="345"/>
      <c r="J9" s="345"/>
      <c r="K9" s="345"/>
      <c r="L9" s="345"/>
      <c r="M9" s="345"/>
      <c r="N9" s="345"/>
      <c r="O9" s="345"/>
      <c r="P9" s="345"/>
      <c r="Q9" s="345"/>
      <c r="R9" s="345"/>
    </row>
    <row r="10" spans="1:18" s="346" customFormat="1" ht="41.4">
      <c r="A10" s="22" t="s">
        <v>198</v>
      </c>
      <c r="B10" s="22" t="s">
        <v>1912</v>
      </c>
      <c r="C10" s="22"/>
      <c r="D10" s="22"/>
      <c r="E10" s="347" t="s">
        <v>1913</v>
      </c>
      <c r="F10" s="22"/>
      <c r="G10" s="348"/>
      <c r="H10" s="345"/>
      <c r="I10" s="345"/>
      <c r="J10" s="345"/>
      <c r="K10" s="345"/>
      <c r="L10" s="345"/>
      <c r="M10" s="345"/>
      <c r="N10" s="345"/>
      <c r="O10" s="345"/>
      <c r="P10" s="345"/>
      <c r="Q10" s="345"/>
      <c r="R10" s="345"/>
    </row>
    <row r="11" spans="1:18" s="346" customFormat="1" ht="69">
      <c r="A11" s="22" t="s">
        <v>199</v>
      </c>
      <c r="B11" s="22" t="s">
        <v>1914</v>
      </c>
      <c r="C11" s="22"/>
      <c r="D11" s="22"/>
      <c r="E11" s="347" t="s">
        <v>1581</v>
      </c>
      <c r="F11" s="347"/>
      <c r="G11" s="348"/>
      <c r="H11" s="345"/>
      <c r="I11" s="345"/>
      <c r="J11" s="345"/>
      <c r="K11" s="345"/>
      <c r="L11" s="345"/>
      <c r="M11" s="345"/>
      <c r="N11" s="345"/>
      <c r="O11" s="345"/>
      <c r="P11" s="345"/>
      <c r="Q11" s="345"/>
      <c r="R11" s="345"/>
    </row>
    <row r="12" spans="1:18" s="139" customFormat="1">
      <c r="A12" s="342" t="s">
        <v>54</v>
      </c>
      <c r="B12" s="342"/>
      <c r="C12" s="343"/>
      <c r="D12" s="343"/>
      <c r="E12" s="343" t="s">
        <v>1772</v>
      </c>
      <c r="F12" s="343"/>
      <c r="G12" s="344"/>
      <c r="H12" s="345"/>
      <c r="I12" s="345"/>
      <c r="J12" s="345"/>
      <c r="K12" s="345"/>
      <c r="L12" s="345"/>
      <c r="M12" s="345"/>
      <c r="N12" s="345"/>
      <c r="O12" s="345"/>
      <c r="P12" s="345"/>
      <c r="Q12" s="345"/>
      <c r="R12" s="345"/>
    </row>
    <row r="13" spans="1:18" s="139" customFormat="1" ht="55.2">
      <c r="A13" s="22" t="s">
        <v>200</v>
      </c>
      <c r="B13" s="22" t="s">
        <v>1915</v>
      </c>
      <c r="C13" s="22"/>
      <c r="D13" s="22"/>
      <c r="E13" s="347" t="s">
        <v>1582</v>
      </c>
      <c r="F13" s="347"/>
      <c r="G13" s="348"/>
      <c r="H13" s="345"/>
      <c r="I13" s="345"/>
      <c r="J13" s="345"/>
      <c r="K13" s="345"/>
      <c r="L13" s="345"/>
      <c r="M13" s="345"/>
      <c r="N13" s="345"/>
      <c r="O13" s="345"/>
      <c r="P13" s="345"/>
      <c r="Q13" s="345"/>
      <c r="R13" s="345"/>
    </row>
    <row r="14" spans="1:18" s="137" customFormat="1" ht="69">
      <c r="A14" s="22" t="s">
        <v>201</v>
      </c>
      <c r="B14" s="22" t="s">
        <v>1916</v>
      </c>
      <c r="C14" s="22"/>
      <c r="D14" s="22"/>
      <c r="E14" s="347" t="s">
        <v>1583</v>
      </c>
      <c r="F14" s="347"/>
      <c r="G14" s="348"/>
      <c r="H14" s="345"/>
      <c r="I14" s="345"/>
      <c r="J14" s="345"/>
      <c r="K14" s="345"/>
      <c r="L14" s="345"/>
      <c r="M14" s="345"/>
      <c r="N14" s="345"/>
      <c r="O14" s="345"/>
      <c r="P14" s="345"/>
      <c r="Q14" s="345"/>
      <c r="R14" s="345"/>
    </row>
    <row r="15" spans="1:18" s="346" customFormat="1" ht="69">
      <c r="A15" s="22" t="s">
        <v>202</v>
      </c>
      <c r="B15" s="22" t="s">
        <v>1917</v>
      </c>
      <c r="C15" s="22"/>
      <c r="D15" s="22"/>
      <c r="E15" s="347" t="s">
        <v>1918</v>
      </c>
      <c r="F15" s="347"/>
      <c r="G15" s="348"/>
      <c r="H15" s="345"/>
      <c r="I15" s="345"/>
      <c r="J15" s="345"/>
      <c r="K15" s="345"/>
      <c r="L15" s="345"/>
      <c r="M15" s="345"/>
      <c r="N15" s="345"/>
      <c r="O15" s="345"/>
      <c r="P15" s="345"/>
      <c r="Q15" s="345"/>
      <c r="R15" s="345"/>
    </row>
    <row r="16" spans="1:18" s="139" customFormat="1">
      <c r="A16" s="342" t="s">
        <v>56</v>
      </c>
      <c r="B16" s="342"/>
      <c r="C16" s="343"/>
      <c r="D16" s="343"/>
      <c r="E16" s="343" t="s">
        <v>1772</v>
      </c>
      <c r="F16" s="343"/>
      <c r="G16" s="344"/>
      <c r="H16" s="345"/>
      <c r="I16" s="345"/>
      <c r="J16" s="345"/>
      <c r="K16" s="345"/>
      <c r="L16" s="345"/>
      <c r="M16" s="345"/>
      <c r="N16" s="345"/>
      <c r="O16" s="345"/>
      <c r="P16" s="345"/>
      <c r="Q16" s="345"/>
      <c r="R16" s="345"/>
    </row>
    <row r="17" spans="1:18" s="139" customFormat="1" ht="69">
      <c r="A17" s="22" t="s">
        <v>203</v>
      </c>
      <c r="B17" s="22" t="s">
        <v>1919</v>
      </c>
      <c r="C17" s="22"/>
      <c r="D17" s="22"/>
      <c r="E17" s="347" t="s">
        <v>1920</v>
      </c>
      <c r="F17" s="347"/>
      <c r="G17" s="348"/>
      <c r="H17" s="345"/>
      <c r="I17" s="345"/>
      <c r="J17" s="345"/>
      <c r="K17" s="345"/>
      <c r="L17" s="345"/>
      <c r="M17" s="345"/>
      <c r="N17" s="345"/>
      <c r="O17" s="345"/>
      <c r="P17" s="345"/>
      <c r="Q17" s="345"/>
      <c r="R17" s="345"/>
    </row>
    <row r="18" spans="1:18" s="137" customFormat="1" ht="69">
      <c r="A18" s="22" t="s">
        <v>204</v>
      </c>
      <c r="B18" s="22" t="s">
        <v>1921</v>
      </c>
      <c r="C18" s="22"/>
      <c r="D18" s="22"/>
      <c r="E18" s="347" t="s">
        <v>1922</v>
      </c>
      <c r="F18" s="347"/>
      <c r="G18" s="348"/>
      <c r="H18" s="345"/>
      <c r="I18" s="345"/>
      <c r="J18" s="345"/>
      <c r="K18" s="345"/>
      <c r="L18" s="345"/>
      <c r="M18" s="345"/>
      <c r="N18" s="345"/>
      <c r="O18" s="345"/>
      <c r="P18" s="345"/>
      <c r="Q18" s="345"/>
      <c r="R18" s="345"/>
    </row>
    <row r="19" spans="1:18" s="339" customFormat="1">
      <c r="G19" s="324"/>
      <c r="H19" s="324"/>
      <c r="I19" s="324"/>
      <c r="J19" s="324"/>
      <c r="K19" s="324"/>
      <c r="L19" s="324"/>
      <c r="M19" s="324"/>
      <c r="N19" s="324"/>
      <c r="O19" s="324"/>
      <c r="P19" s="324"/>
      <c r="Q19" s="324"/>
      <c r="R19" s="324"/>
    </row>
    <row r="20" spans="1:18" s="340" customFormat="1">
      <c r="G20" s="324"/>
      <c r="H20" s="324"/>
      <c r="I20" s="324"/>
      <c r="J20" s="324"/>
      <c r="K20" s="324"/>
      <c r="L20" s="324"/>
      <c r="M20" s="324"/>
      <c r="N20" s="324"/>
      <c r="O20" s="324"/>
      <c r="P20" s="324"/>
      <c r="Q20" s="324"/>
      <c r="R20" s="324"/>
    </row>
    <row r="21" spans="1:18" s="340" customFormat="1">
      <c r="G21" s="324"/>
      <c r="H21" s="324"/>
      <c r="I21" s="324"/>
      <c r="J21" s="324"/>
      <c r="K21" s="324"/>
      <c r="L21" s="324"/>
      <c r="M21" s="324"/>
      <c r="N21" s="324"/>
      <c r="O21" s="324"/>
      <c r="P21" s="324"/>
      <c r="Q21" s="324"/>
      <c r="R21" s="324"/>
    </row>
    <row r="22" spans="1:18" s="340" customFormat="1">
      <c r="G22" s="324"/>
      <c r="H22" s="324"/>
      <c r="I22" s="324"/>
      <c r="J22" s="324"/>
      <c r="K22" s="324"/>
      <c r="L22" s="324"/>
      <c r="M22" s="324"/>
      <c r="N22" s="324"/>
      <c r="O22" s="324"/>
      <c r="P22" s="324"/>
      <c r="Q22" s="324"/>
      <c r="R22" s="324"/>
    </row>
    <row r="23" spans="1:18" s="340" customFormat="1">
      <c r="G23" s="324"/>
      <c r="H23" s="324"/>
      <c r="I23" s="324"/>
      <c r="J23" s="324"/>
      <c r="K23" s="324"/>
      <c r="L23" s="324"/>
      <c r="M23" s="324"/>
      <c r="N23" s="324"/>
      <c r="O23" s="324"/>
      <c r="P23" s="324"/>
      <c r="Q23" s="324"/>
      <c r="R23" s="324"/>
    </row>
    <row r="24" spans="1:18" s="340" customFormat="1">
      <c r="G24" s="324"/>
      <c r="H24" s="324"/>
      <c r="I24" s="324"/>
      <c r="J24" s="324"/>
      <c r="K24" s="324"/>
      <c r="L24" s="324"/>
      <c r="M24" s="324"/>
      <c r="N24" s="324"/>
      <c r="O24" s="324"/>
      <c r="P24" s="324"/>
      <c r="Q24" s="324"/>
      <c r="R24" s="324"/>
    </row>
    <row r="25" spans="1:18" s="340" customFormat="1">
      <c r="G25" s="324"/>
      <c r="H25" s="324"/>
      <c r="I25" s="324"/>
      <c r="J25" s="324"/>
      <c r="K25" s="324"/>
      <c r="L25" s="324"/>
      <c r="M25" s="324"/>
      <c r="N25" s="324"/>
      <c r="O25" s="324"/>
      <c r="P25" s="324"/>
      <c r="Q25" s="324"/>
      <c r="R25" s="324"/>
    </row>
    <row r="26" spans="1:18" s="340" customFormat="1">
      <c r="G26" s="324"/>
      <c r="H26" s="324"/>
      <c r="I26" s="324"/>
      <c r="J26" s="324"/>
      <c r="K26" s="324"/>
      <c r="L26" s="324"/>
      <c r="M26" s="324"/>
      <c r="N26" s="324"/>
      <c r="O26" s="324"/>
      <c r="P26" s="324"/>
      <c r="Q26" s="324"/>
      <c r="R26" s="324"/>
    </row>
    <row r="27" spans="1:18" s="340" customFormat="1">
      <c r="G27" s="324"/>
      <c r="H27" s="324"/>
      <c r="I27" s="324"/>
      <c r="J27" s="324"/>
      <c r="K27" s="324"/>
      <c r="L27" s="324"/>
      <c r="M27" s="324"/>
      <c r="N27" s="324"/>
      <c r="O27" s="324"/>
      <c r="P27" s="324"/>
      <c r="Q27" s="324"/>
      <c r="R27" s="324"/>
    </row>
    <row r="28" spans="1:18" s="340" customFormat="1">
      <c r="G28" s="324"/>
      <c r="H28" s="324"/>
      <c r="I28" s="324"/>
      <c r="J28" s="324"/>
      <c r="K28" s="324"/>
      <c r="L28" s="324"/>
      <c r="M28" s="324"/>
      <c r="N28" s="324"/>
      <c r="O28" s="324"/>
      <c r="P28" s="324"/>
      <c r="Q28" s="324"/>
      <c r="R28" s="324"/>
    </row>
    <row r="29" spans="1:18" s="340" customFormat="1">
      <c r="G29" s="324"/>
      <c r="H29" s="324"/>
      <c r="I29" s="324"/>
      <c r="J29" s="324"/>
      <c r="K29" s="324"/>
      <c r="L29" s="324"/>
      <c r="M29" s="324"/>
      <c r="N29" s="324"/>
      <c r="O29" s="324"/>
      <c r="P29" s="324"/>
      <c r="Q29" s="324"/>
      <c r="R29" s="324"/>
    </row>
    <row r="30" spans="1:18" s="340" customFormat="1">
      <c r="G30" s="324"/>
      <c r="H30" s="324"/>
      <c r="I30" s="324"/>
      <c r="J30" s="324"/>
      <c r="K30" s="324"/>
      <c r="L30" s="324"/>
      <c r="M30" s="324"/>
      <c r="N30" s="324"/>
      <c r="O30" s="324"/>
      <c r="P30" s="324"/>
      <c r="Q30" s="324"/>
      <c r="R30" s="324"/>
    </row>
    <row r="31" spans="1:18" s="340" customFormat="1">
      <c r="G31" s="324"/>
      <c r="H31" s="324"/>
      <c r="I31" s="324"/>
      <c r="J31" s="324"/>
      <c r="K31" s="324"/>
      <c r="L31" s="324"/>
      <c r="M31" s="324"/>
      <c r="N31" s="324"/>
      <c r="O31" s="324"/>
      <c r="P31" s="324"/>
      <c r="Q31" s="324"/>
      <c r="R31" s="324"/>
    </row>
    <row r="32" spans="1:18" s="340" customFormat="1">
      <c r="G32" s="324"/>
      <c r="H32" s="324"/>
      <c r="I32" s="324"/>
      <c r="J32" s="324"/>
      <c r="K32" s="324"/>
      <c r="L32" s="324"/>
      <c r="M32" s="324"/>
      <c r="N32" s="324"/>
      <c r="O32" s="324"/>
      <c r="P32" s="324"/>
      <c r="Q32" s="324"/>
      <c r="R32" s="324"/>
    </row>
    <row r="33" spans="7:18" s="340" customFormat="1">
      <c r="G33" s="324"/>
      <c r="H33" s="324"/>
      <c r="I33" s="324"/>
      <c r="J33" s="324"/>
      <c r="K33" s="324"/>
      <c r="L33" s="324"/>
      <c r="M33" s="324"/>
      <c r="N33" s="324"/>
      <c r="O33" s="324"/>
      <c r="P33" s="324"/>
      <c r="Q33" s="324"/>
      <c r="R33" s="324"/>
    </row>
    <row r="34" spans="7:18" s="340" customFormat="1">
      <c r="G34" s="324"/>
      <c r="H34" s="324"/>
      <c r="I34" s="324"/>
      <c r="J34" s="324"/>
      <c r="K34" s="324"/>
      <c r="L34" s="324"/>
      <c r="M34" s="324"/>
      <c r="N34" s="324"/>
      <c r="O34" s="324"/>
      <c r="P34" s="324"/>
      <c r="Q34" s="324"/>
      <c r="R34" s="324"/>
    </row>
    <row r="35" spans="7:18" s="340" customFormat="1">
      <c r="G35" s="324"/>
      <c r="H35" s="324"/>
      <c r="I35" s="324"/>
      <c r="J35" s="324"/>
      <c r="K35" s="324"/>
      <c r="L35" s="324"/>
      <c r="M35" s="324"/>
      <c r="N35" s="324"/>
      <c r="O35" s="324"/>
      <c r="P35" s="324"/>
      <c r="Q35" s="324"/>
      <c r="R35" s="324"/>
    </row>
    <row r="36" spans="7:18" s="340" customFormat="1">
      <c r="G36" s="324"/>
      <c r="H36" s="324"/>
      <c r="I36" s="324"/>
      <c r="J36" s="324"/>
      <c r="K36" s="324"/>
      <c r="L36" s="324"/>
      <c r="M36" s="324"/>
      <c r="N36" s="324"/>
      <c r="O36" s="324"/>
      <c r="P36" s="324"/>
      <c r="Q36" s="324"/>
      <c r="R36" s="324"/>
    </row>
    <row r="37" spans="7:18" s="340" customFormat="1">
      <c r="G37" s="324"/>
      <c r="H37" s="324"/>
      <c r="I37" s="324"/>
      <c r="J37" s="324"/>
      <c r="K37" s="324"/>
      <c r="L37" s="324"/>
      <c r="M37" s="324"/>
      <c r="N37" s="324"/>
      <c r="O37" s="324"/>
      <c r="P37" s="324"/>
      <c r="Q37" s="324"/>
      <c r="R37" s="324"/>
    </row>
    <row r="38" spans="7:18" s="340" customFormat="1">
      <c r="G38" s="324"/>
      <c r="H38" s="324"/>
      <c r="I38" s="324"/>
      <c r="J38" s="324"/>
      <c r="K38" s="324"/>
      <c r="L38" s="324"/>
      <c r="M38" s="324"/>
      <c r="N38" s="324"/>
      <c r="O38" s="324"/>
      <c r="P38" s="324"/>
      <c r="Q38" s="324"/>
      <c r="R38" s="324"/>
    </row>
    <row r="39" spans="7:18" s="340" customFormat="1">
      <c r="G39" s="324"/>
      <c r="H39" s="324"/>
      <c r="I39" s="324"/>
      <c r="J39" s="324"/>
      <c r="K39" s="324"/>
      <c r="L39" s="324"/>
      <c r="M39" s="324"/>
      <c r="N39" s="324"/>
      <c r="O39" s="324"/>
      <c r="P39" s="324"/>
      <c r="Q39" s="324"/>
      <c r="R39" s="324"/>
    </row>
    <row r="40" spans="7:18" s="340" customFormat="1">
      <c r="G40" s="324"/>
      <c r="H40" s="324"/>
      <c r="I40" s="324"/>
      <c r="J40" s="324"/>
      <c r="K40" s="324"/>
      <c r="L40" s="324"/>
      <c r="M40" s="324"/>
      <c r="N40" s="324"/>
      <c r="O40" s="324"/>
      <c r="P40" s="324"/>
      <c r="Q40" s="324"/>
      <c r="R40" s="324"/>
    </row>
  </sheetData>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1391C-5C53-4A7C-BB4E-6C297449F068}">
  <sheetPr codeName="Sheet53">
    <tabColor rgb="FFF9A51A"/>
  </sheetPr>
  <dimension ref="A1:R46"/>
  <sheetViews>
    <sheetView workbookViewId="0">
      <selection activeCell="I11" sqref="I11:J14"/>
    </sheetView>
  </sheetViews>
  <sheetFormatPr defaultColWidth="8.77734375" defaultRowHeight="13.8"/>
  <cols>
    <col min="1" max="1" width="10.21875" style="329" customWidth="1"/>
    <col min="2" max="2" width="53.21875" style="329" customWidth="1"/>
    <col min="3" max="4" width="21.44140625" style="329" customWidth="1"/>
    <col min="5" max="5" width="38.21875" style="329" customWidth="1"/>
    <col min="6" max="6" width="24.44140625" style="329" customWidth="1"/>
    <col min="7" max="7" width="21.44140625" style="324" customWidth="1"/>
    <col min="8" max="18" width="8.77734375" style="324"/>
    <col min="19" max="16384" width="8.77734375" style="329"/>
  </cols>
  <sheetData>
    <row r="1" spans="1:18" s="139" customFormat="1" ht="25.8">
      <c r="A1" s="321" t="s">
        <v>1923</v>
      </c>
      <c r="B1" s="322"/>
      <c r="C1" s="323"/>
      <c r="D1" s="322"/>
      <c r="E1" s="322"/>
      <c r="F1" s="322"/>
      <c r="G1" s="324"/>
      <c r="H1" s="324"/>
      <c r="I1" s="324"/>
      <c r="J1" s="324"/>
      <c r="K1" s="324"/>
      <c r="L1" s="324"/>
      <c r="M1" s="324"/>
      <c r="N1" s="324"/>
      <c r="O1" s="324"/>
      <c r="P1" s="324"/>
      <c r="Q1" s="324"/>
      <c r="R1" s="324"/>
    </row>
    <row r="2" spans="1:18" s="139" customFormat="1" ht="25.8">
      <c r="A2" s="321" t="s">
        <v>1924</v>
      </c>
      <c r="B2" s="322"/>
      <c r="C2" s="323"/>
      <c r="D2" s="322"/>
      <c r="E2" s="322"/>
      <c r="F2" s="322"/>
      <c r="G2" s="324"/>
      <c r="H2" s="324"/>
      <c r="I2" s="324"/>
      <c r="J2" s="324"/>
      <c r="K2" s="324"/>
      <c r="L2" s="324"/>
      <c r="M2" s="324"/>
      <c r="N2" s="324"/>
      <c r="O2" s="324"/>
      <c r="P2" s="324"/>
      <c r="Q2" s="324"/>
      <c r="R2" s="324"/>
    </row>
    <row r="3" spans="1:18" s="137" customFormat="1">
      <c r="A3" s="325" t="s">
        <v>447</v>
      </c>
      <c r="B3" s="322" t="s">
        <v>1925</v>
      </c>
      <c r="C3" s="322"/>
      <c r="D3" s="322"/>
      <c r="E3" s="322"/>
      <c r="F3" s="322"/>
      <c r="G3" s="324"/>
      <c r="H3" s="324"/>
      <c r="I3" s="324"/>
      <c r="J3" s="324"/>
      <c r="K3" s="324"/>
      <c r="L3" s="324"/>
      <c r="M3" s="324"/>
      <c r="N3" s="324"/>
      <c r="O3" s="324"/>
      <c r="P3" s="324"/>
      <c r="Q3" s="324"/>
      <c r="R3" s="324"/>
    </row>
    <row r="4" spans="1:18" s="346" customFormat="1">
      <c r="A4" s="325" t="s">
        <v>1695</v>
      </c>
      <c r="B4" s="322" t="s">
        <v>1926</v>
      </c>
      <c r="C4" s="322"/>
      <c r="D4" s="322"/>
      <c r="E4" s="322"/>
      <c r="F4" s="322"/>
      <c r="G4" s="324"/>
      <c r="H4" s="324"/>
      <c r="I4" s="324"/>
      <c r="J4" s="324"/>
      <c r="K4" s="324"/>
      <c r="L4" s="324"/>
      <c r="M4" s="324"/>
      <c r="N4" s="324"/>
      <c r="O4" s="324"/>
      <c r="P4" s="324"/>
      <c r="Q4" s="324"/>
      <c r="R4" s="324"/>
    </row>
    <row r="5" spans="1:18" s="139" customFormat="1">
      <c r="A5" s="322" t="s">
        <v>448</v>
      </c>
      <c r="B5" s="322" t="s">
        <v>1927</v>
      </c>
      <c r="C5" s="322"/>
      <c r="D5" s="322"/>
      <c r="E5" s="322"/>
      <c r="F5" s="322"/>
      <c r="G5" s="324"/>
      <c r="H5" s="324"/>
      <c r="I5" s="324"/>
      <c r="J5" s="324"/>
      <c r="K5" s="324"/>
      <c r="L5" s="324"/>
      <c r="M5" s="324"/>
      <c r="N5" s="324"/>
      <c r="O5" s="324"/>
      <c r="P5" s="324"/>
      <c r="Q5" s="324"/>
      <c r="R5" s="324"/>
    </row>
    <row r="6" spans="1:18" s="139" customFormat="1">
      <c r="A6" s="322" t="s">
        <v>1697</v>
      </c>
      <c r="B6" s="322" t="s">
        <v>1928</v>
      </c>
      <c r="C6" s="322"/>
      <c r="D6" s="322"/>
      <c r="E6" s="322"/>
      <c r="F6" s="322"/>
      <c r="G6" s="324"/>
      <c r="H6" s="324"/>
      <c r="I6" s="324"/>
      <c r="J6" s="324"/>
      <c r="K6" s="324"/>
      <c r="L6" s="324"/>
      <c r="M6" s="324"/>
      <c r="N6" s="324"/>
      <c r="O6" s="324"/>
      <c r="P6" s="324"/>
      <c r="Q6" s="324"/>
      <c r="R6" s="324"/>
    </row>
    <row r="7" spans="1:18" s="137" customFormat="1">
      <c r="A7" s="329"/>
      <c r="B7" s="329"/>
      <c r="C7" s="329"/>
      <c r="D7" s="329"/>
      <c r="E7" s="329"/>
      <c r="F7" s="329"/>
      <c r="G7" s="322" t="e">
        <f>#REF!</f>
        <v>#REF!</v>
      </c>
      <c r="H7" s="324"/>
      <c r="I7" s="324"/>
      <c r="J7" s="324"/>
      <c r="K7" s="324"/>
      <c r="L7" s="324"/>
      <c r="M7" s="324"/>
      <c r="N7" s="324"/>
      <c r="O7" s="324"/>
      <c r="P7" s="324"/>
      <c r="Q7" s="324"/>
      <c r="R7" s="324"/>
    </row>
    <row r="8" spans="1:18" s="346" customFormat="1">
      <c r="A8" s="350"/>
      <c r="B8" s="350"/>
      <c r="C8" s="350" t="s">
        <v>96</v>
      </c>
      <c r="D8" s="350" t="s">
        <v>553</v>
      </c>
      <c r="E8" s="350" t="s">
        <v>85</v>
      </c>
      <c r="F8" s="350" t="s">
        <v>1653</v>
      </c>
      <c r="G8" s="350" t="s">
        <v>1674</v>
      </c>
      <c r="H8" s="322"/>
      <c r="I8" s="322"/>
      <c r="J8" s="322"/>
      <c r="K8" s="322"/>
      <c r="L8" s="322"/>
      <c r="M8" s="322"/>
      <c r="N8" s="322"/>
      <c r="O8" s="322"/>
      <c r="P8" s="322"/>
      <c r="Q8" s="322"/>
      <c r="R8" s="322"/>
    </row>
    <row r="9" spans="1:18" s="139" customFormat="1">
      <c r="A9" s="342" t="s">
        <v>47</v>
      </c>
      <c r="B9" s="342"/>
      <c r="C9" s="343"/>
      <c r="D9" s="343"/>
      <c r="E9" s="343"/>
      <c r="F9" s="343"/>
      <c r="G9" s="344"/>
      <c r="H9" s="345"/>
      <c r="I9" s="345"/>
      <c r="J9" s="345"/>
      <c r="K9" s="345"/>
      <c r="L9" s="345"/>
      <c r="M9" s="345"/>
      <c r="N9" s="345"/>
      <c r="O9" s="345"/>
      <c r="P9" s="345"/>
      <c r="Q9" s="345"/>
      <c r="R9" s="345"/>
    </row>
    <row r="10" spans="1:18" s="139" customFormat="1" ht="27.6">
      <c r="A10" s="22" t="s">
        <v>1929</v>
      </c>
      <c r="B10" s="22" t="s">
        <v>1930</v>
      </c>
      <c r="C10" s="22"/>
      <c r="D10" s="22"/>
      <c r="E10" s="347" t="s">
        <v>1931</v>
      </c>
      <c r="F10" s="347"/>
      <c r="G10" s="348"/>
      <c r="H10" s="345"/>
      <c r="I10" s="345"/>
      <c r="J10" s="345"/>
      <c r="K10" s="345"/>
      <c r="L10" s="345"/>
      <c r="M10" s="345"/>
      <c r="N10" s="345"/>
      <c r="O10" s="345"/>
      <c r="P10" s="345"/>
      <c r="Q10" s="345"/>
      <c r="R10" s="345"/>
    </row>
    <row r="11" spans="1:18" s="137" customFormat="1" ht="41.4">
      <c r="A11" s="22" t="s">
        <v>1932</v>
      </c>
      <c r="B11" s="22" t="s">
        <v>1933</v>
      </c>
      <c r="C11" s="22"/>
      <c r="D11" s="22"/>
      <c r="E11" s="347" t="s">
        <v>1934</v>
      </c>
      <c r="F11" s="347"/>
      <c r="G11" s="348"/>
      <c r="H11" s="345"/>
      <c r="I11" s="345"/>
      <c r="J11" s="345"/>
      <c r="K11" s="345"/>
      <c r="L11" s="345"/>
      <c r="M11" s="345"/>
      <c r="N11" s="345"/>
      <c r="O11" s="345"/>
      <c r="P11" s="345"/>
      <c r="Q11" s="345"/>
      <c r="R11" s="345"/>
    </row>
    <row r="12" spans="1:18" s="346" customFormat="1" ht="27.6">
      <c r="A12" s="22" t="s">
        <v>1935</v>
      </c>
      <c r="B12" s="22" t="s">
        <v>1936</v>
      </c>
      <c r="C12" s="22"/>
      <c r="D12" s="22"/>
      <c r="E12" s="347" t="s">
        <v>1937</v>
      </c>
      <c r="F12" s="347"/>
      <c r="G12" s="348"/>
      <c r="H12" s="345"/>
      <c r="I12" s="345"/>
      <c r="J12" s="345"/>
      <c r="K12" s="345"/>
      <c r="L12" s="345"/>
      <c r="M12" s="345"/>
      <c r="N12" s="345"/>
      <c r="O12" s="345"/>
      <c r="P12" s="345"/>
      <c r="Q12" s="345"/>
      <c r="R12" s="345"/>
    </row>
    <row r="13" spans="1:18" s="346" customFormat="1">
      <c r="A13" s="342" t="s">
        <v>54</v>
      </c>
      <c r="B13" s="342"/>
      <c r="C13" s="343"/>
      <c r="D13" s="343"/>
      <c r="E13" s="343" t="s">
        <v>1772</v>
      </c>
      <c r="F13" s="343"/>
      <c r="G13" s="344"/>
      <c r="H13" s="345"/>
      <c r="I13" s="345"/>
      <c r="J13" s="345"/>
      <c r="K13" s="345"/>
      <c r="L13" s="345"/>
      <c r="M13" s="345"/>
      <c r="N13" s="345"/>
      <c r="O13" s="345"/>
      <c r="P13" s="345"/>
      <c r="Q13" s="345"/>
      <c r="R13" s="345"/>
    </row>
    <row r="14" spans="1:18" s="139" customFormat="1" ht="69">
      <c r="A14" s="22" t="s">
        <v>1938</v>
      </c>
      <c r="B14" s="22" t="s">
        <v>1939</v>
      </c>
      <c r="C14" s="22"/>
      <c r="D14" s="22"/>
      <c r="E14" s="347" t="s">
        <v>1940</v>
      </c>
      <c r="F14" s="347"/>
      <c r="G14" s="348"/>
      <c r="H14" s="345"/>
      <c r="I14" s="345"/>
      <c r="J14" s="345"/>
      <c r="K14" s="345"/>
      <c r="L14" s="345"/>
      <c r="M14" s="345"/>
      <c r="N14" s="345"/>
      <c r="O14" s="345"/>
      <c r="P14" s="345"/>
      <c r="Q14" s="345"/>
      <c r="R14" s="345"/>
    </row>
    <row r="15" spans="1:18" s="139" customFormat="1" ht="41.4">
      <c r="A15" s="22" t="s">
        <v>1941</v>
      </c>
      <c r="B15" s="22" t="s">
        <v>1942</v>
      </c>
      <c r="C15" s="22"/>
      <c r="D15" s="22"/>
      <c r="E15" s="347" t="s">
        <v>1943</v>
      </c>
      <c r="F15" s="347"/>
      <c r="G15" s="348"/>
      <c r="H15" s="345"/>
      <c r="I15" s="345"/>
      <c r="J15" s="345"/>
      <c r="K15" s="345"/>
      <c r="L15" s="345"/>
      <c r="M15" s="345"/>
      <c r="N15" s="345"/>
      <c r="O15" s="345"/>
      <c r="P15" s="345"/>
      <c r="Q15" s="345"/>
      <c r="R15" s="345"/>
    </row>
    <row r="16" spans="1:18" s="137" customFormat="1" ht="69">
      <c r="A16" s="22" t="s">
        <v>1944</v>
      </c>
      <c r="B16" s="22" t="s">
        <v>1945</v>
      </c>
      <c r="C16" s="22"/>
      <c r="D16" s="22"/>
      <c r="E16" s="347" t="s">
        <v>1946</v>
      </c>
      <c r="F16" s="347"/>
      <c r="G16" s="348"/>
      <c r="H16" s="345"/>
      <c r="I16" s="345"/>
      <c r="J16" s="345"/>
      <c r="K16" s="345"/>
      <c r="L16" s="345"/>
      <c r="M16" s="345"/>
      <c r="N16" s="345"/>
      <c r="O16" s="345"/>
      <c r="P16" s="345"/>
      <c r="Q16" s="345"/>
      <c r="R16" s="345"/>
    </row>
    <row r="17" spans="1:18" s="346" customFormat="1" ht="69">
      <c r="A17" s="22" t="s">
        <v>1947</v>
      </c>
      <c r="B17" s="22" t="s">
        <v>1948</v>
      </c>
      <c r="C17" s="22"/>
      <c r="D17" s="22"/>
      <c r="E17" s="347" t="s">
        <v>1949</v>
      </c>
      <c r="F17" s="347"/>
      <c r="G17" s="348"/>
      <c r="H17" s="345"/>
      <c r="I17" s="345"/>
      <c r="J17" s="345"/>
      <c r="K17" s="345"/>
      <c r="L17" s="345"/>
      <c r="M17" s="345"/>
      <c r="N17" s="345"/>
      <c r="O17" s="345"/>
      <c r="P17" s="345"/>
      <c r="Q17" s="345"/>
      <c r="R17" s="345"/>
    </row>
    <row r="18" spans="1:18" s="139" customFormat="1">
      <c r="A18" s="342" t="s">
        <v>56</v>
      </c>
      <c r="B18" s="342"/>
      <c r="C18" s="343"/>
      <c r="D18" s="343"/>
      <c r="E18" s="343" t="s">
        <v>1772</v>
      </c>
      <c r="F18" s="343"/>
      <c r="G18" s="344"/>
      <c r="H18" s="345"/>
      <c r="I18" s="345"/>
      <c r="J18" s="345"/>
      <c r="K18" s="345"/>
      <c r="L18" s="345"/>
      <c r="M18" s="345"/>
      <c r="N18" s="345"/>
      <c r="O18" s="345"/>
      <c r="P18" s="345"/>
      <c r="Q18" s="345"/>
      <c r="R18" s="345"/>
    </row>
    <row r="19" spans="1:18" s="139" customFormat="1" ht="96.6">
      <c r="A19" s="22" t="s">
        <v>1950</v>
      </c>
      <c r="B19" s="22" t="s">
        <v>1951</v>
      </c>
      <c r="C19" s="22"/>
      <c r="D19" s="22"/>
      <c r="E19" s="347" t="s">
        <v>1952</v>
      </c>
      <c r="F19" s="347"/>
      <c r="G19" s="348"/>
      <c r="H19" s="345"/>
      <c r="I19" s="345"/>
      <c r="J19" s="345"/>
      <c r="K19" s="345"/>
      <c r="L19" s="345"/>
      <c r="M19" s="345"/>
      <c r="N19" s="345"/>
      <c r="O19" s="345"/>
      <c r="P19" s="345"/>
      <c r="Q19" s="345"/>
      <c r="R19" s="345"/>
    </row>
    <row r="20" spans="1:18" s="137" customFormat="1" ht="69">
      <c r="A20" s="22" t="s">
        <v>1953</v>
      </c>
      <c r="B20" s="22" t="s">
        <v>1954</v>
      </c>
      <c r="C20" s="22"/>
      <c r="D20" s="22"/>
      <c r="E20" s="347" t="s">
        <v>1955</v>
      </c>
      <c r="F20" s="347"/>
      <c r="G20" s="348"/>
      <c r="H20" s="345"/>
      <c r="I20" s="345"/>
      <c r="J20" s="345"/>
      <c r="K20" s="345"/>
      <c r="L20" s="345"/>
      <c r="M20" s="345"/>
      <c r="N20" s="345"/>
      <c r="O20" s="345"/>
      <c r="P20" s="345"/>
      <c r="Q20" s="345"/>
      <c r="R20" s="345"/>
    </row>
    <row r="21" spans="1:18" s="339" customFormat="1">
      <c r="G21" s="324"/>
      <c r="H21" s="324"/>
      <c r="I21" s="324"/>
      <c r="J21" s="324"/>
      <c r="K21" s="324"/>
      <c r="L21" s="324"/>
      <c r="M21" s="324"/>
      <c r="N21" s="324"/>
      <c r="O21" s="324"/>
      <c r="P21" s="324"/>
      <c r="Q21" s="324"/>
      <c r="R21" s="324"/>
    </row>
    <row r="22" spans="1:18" s="339" customFormat="1">
      <c r="G22" s="324"/>
      <c r="H22" s="324"/>
      <c r="I22" s="324"/>
      <c r="J22" s="324"/>
      <c r="K22" s="324"/>
      <c r="L22" s="324"/>
      <c r="M22" s="324"/>
      <c r="N22" s="324"/>
      <c r="O22" s="324"/>
      <c r="P22" s="324"/>
      <c r="Q22" s="324"/>
      <c r="R22" s="324"/>
    </row>
    <row r="23" spans="1:18" s="339" customFormat="1">
      <c r="G23" s="324"/>
      <c r="H23" s="324"/>
      <c r="I23" s="324"/>
      <c r="J23" s="324"/>
      <c r="K23" s="324"/>
      <c r="L23" s="324"/>
      <c r="M23" s="324"/>
      <c r="N23" s="324"/>
      <c r="O23" s="324"/>
      <c r="P23" s="324"/>
      <c r="Q23" s="324"/>
      <c r="R23" s="324"/>
    </row>
    <row r="24" spans="1:18" s="339" customFormat="1">
      <c r="G24" s="324"/>
      <c r="H24" s="324"/>
      <c r="I24" s="324"/>
      <c r="J24" s="324"/>
      <c r="K24" s="324"/>
      <c r="L24" s="324"/>
      <c r="M24" s="324"/>
      <c r="N24" s="324"/>
      <c r="O24" s="324"/>
      <c r="P24" s="324"/>
      <c r="Q24" s="324"/>
      <c r="R24" s="324"/>
    </row>
    <row r="25" spans="1:18" s="339" customFormat="1">
      <c r="G25" s="324"/>
      <c r="H25" s="324"/>
      <c r="I25" s="324"/>
      <c r="J25" s="324"/>
      <c r="K25" s="324"/>
      <c r="L25" s="324"/>
      <c r="M25" s="324"/>
      <c r="N25" s="324"/>
      <c r="O25" s="324"/>
      <c r="P25" s="324"/>
      <c r="Q25" s="324"/>
      <c r="R25" s="324"/>
    </row>
    <row r="26" spans="1:18" s="340" customFormat="1">
      <c r="G26" s="324"/>
      <c r="H26" s="324"/>
      <c r="I26" s="324"/>
      <c r="J26" s="324"/>
      <c r="K26" s="324"/>
      <c r="L26" s="324"/>
      <c r="M26" s="324"/>
      <c r="N26" s="324"/>
      <c r="O26" s="324"/>
      <c r="P26" s="324"/>
      <c r="Q26" s="324"/>
      <c r="R26" s="324"/>
    </row>
    <row r="27" spans="1:18" s="340" customFormat="1">
      <c r="G27" s="324"/>
      <c r="H27" s="324"/>
      <c r="I27" s="324"/>
      <c r="J27" s="324"/>
      <c r="K27" s="324"/>
      <c r="L27" s="324"/>
      <c r="M27" s="324"/>
      <c r="N27" s="324"/>
      <c r="O27" s="324"/>
      <c r="P27" s="324"/>
      <c r="Q27" s="324"/>
      <c r="R27" s="324"/>
    </row>
    <row r="28" spans="1:18" s="340" customFormat="1">
      <c r="G28" s="324"/>
      <c r="H28" s="324"/>
      <c r="I28" s="324"/>
      <c r="J28" s="324"/>
      <c r="K28" s="324"/>
      <c r="L28" s="324"/>
      <c r="M28" s="324"/>
      <c r="N28" s="324"/>
      <c r="O28" s="324"/>
      <c r="P28" s="324"/>
      <c r="Q28" s="324"/>
      <c r="R28" s="324"/>
    </row>
    <row r="29" spans="1:18" s="340" customFormat="1">
      <c r="G29" s="324"/>
      <c r="H29" s="324"/>
      <c r="I29" s="324"/>
      <c r="J29" s="324"/>
      <c r="K29" s="324"/>
      <c r="L29" s="324"/>
      <c r="M29" s="324"/>
      <c r="N29" s="324"/>
      <c r="O29" s="324"/>
      <c r="P29" s="324"/>
      <c r="Q29" s="324"/>
      <c r="R29" s="324"/>
    </row>
    <row r="30" spans="1:18" s="340" customFormat="1">
      <c r="G30" s="324"/>
      <c r="H30" s="324"/>
      <c r="I30" s="324"/>
      <c r="J30" s="324"/>
      <c r="K30" s="324"/>
      <c r="L30" s="324"/>
      <c r="M30" s="324"/>
      <c r="N30" s="324"/>
      <c r="O30" s="324"/>
      <c r="P30" s="324"/>
      <c r="Q30" s="324"/>
      <c r="R30" s="324"/>
    </row>
    <row r="31" spans="1:18" s="340" customFormat="1">
      <c r="G31" s="324"/>
      <c r="H31" s="324"/>
      <c r="I31" s="324"/>
      <c r="J31" s="324"/>
      <c r="K31" s="324"/>
      <c r="L31" s="324"/>
      <c r="M31" s="324"/>
      <c r="N31" s="324"/>
      <c r="O31" s="324"/>
      <c r="P31" s="324"/>
      <c r="Q31" s="324"/>
      <c r="R31" s="324"/>
    </row>
    <row r="32" spans="1:18" s="340" customFormat="1">
      <c r="G32" s="324"/>
      <c r="H32" s="324"/>
      <c r="I32" s="324"/>
      <c r="J32" s="324"/>
      <c r="K32" s="324"/>
      <c r="L32" s="324"/>
      <c r="M32" s="324"/>
      <c r="N32" s="324"/>
      <c r="O32" s="324"/>
      <c r="P32" s="324"/>
      <c r="Q32" s="324"/>
      <c r="R32" s="324"/>
    </row>
    <row r="33" spans="7:18" s="340" customFormat="1">
      <c r="G33" s="324"/>
      <c r="H33" s="324"/>
      <c r="I33" s="324"/>
      <c r="J33" s="324"/>
      <c r="K33" s="324"/>
      <c r="L33" s="324"/>
      <c r="M33" s="324"/>
      <c r="N33" s="324"/>
      <c r="O33" s="324"/>
      <c r="P33" s="324"/>
      <c r="Q33" s="324"/>
      <c r="R33" s="324"/>
    </row>
    <row r="34" spans="7:18" s="340" customFormat="1">
      <c r="G34" s="324"/>
      <c r="H34" s="324"/>
      <c r="I34" s="324"/>
      <c r="J34" s="324"/>
      <c r="K34" s="324"/>
      <c r="L34" s="324"/>
      <c r="M34" s="324"/>
      <c r="N34" s="324"/>
      <c r="O34" s="324"/>
      <c r="P34" s="324"/>
      <c r="Q34" s="324"/>
      <c r="R34" s="324"/>
    </row>
    <row r="35" spans="7:18" s="340" customFormat="1">
      <c r="G35" s="324"/>
      <c r="H35" s="324"/>
      <c r="I35" s="324"/>
      <c r="J35" s="324"/>
      <c r="K35" s="324"/>
      <c r="L35" s="324"/>
      <c r="M35" s="324"/>
      <c r="N35" s="324"/>
      <c r="O35" s="324"/>
      <c r="P35" s="324"/>
      <c r="Q35" s="324"/>
      <c r="R35" s="324"/>
    </row>
    <row r="36" spans="7:18" s="340" customFormat="1">
      <c r="G36" s="324"/>
      <c r="H36" s="324"/>
      <c r="I36" s="324"/>
      <c r="J36" s="324"/>
      <c r="K36" s="324"/>
      <c r="L36" s="324"/>
      <c r="M36" s="324"/>
      <c r="N36" s="324"/>
      <c r="O36" s="324"/>
      <c r="P36" s="324"/>
      <c r="Q36" s="324"/>
      <c r="R36" s="324"/>
    </row>
    <row r="37" spans="7:18" s="340" customFormat="1">
      <c r="G37" s="324"/>
      <c r="H37" s="324"/>
      <c r="I37" s="324"/>
      <c r="J37" s="324"/>
      <c r="K37" s="324"/>
      <c r="L37" s="324"/>
      <c r="M37" s="324"/>
      <c r="N37" s="324"/>
      <c r="O37" s="324"/>
      <c r="P37" s="324"/>
      <c r="Q37" s="324"/>
      <c r="R37" s="324"/>
    </row>
    <row r="38" spans="7:18" s="340" customFormat="1">
      <c r="G38" s="324"/>
      <c r="H38" s="324"/>
      <c r="I38" s="324"/>
      <c r="J38" s="324"/>
      <c r="K38" s="324"/>
      <c r="L38" s="324"/>
      <c r="M38" s="324"/>
      <c r="N38" s="324"/>
      <c r="O38" s="324"/>
      <c r="P38" s="324"/>
      <c r="Q38" s="324"/>
      <c r="R38" s="324"/>
    </row>
    <row r="39" spans="7:18" s="340" customFormat="1">
      <c r="G39" s="324"/>
      <c r="H39" s="324"/>
      <c r="I39" s="324"/>
      <c r="J39" s="324"/>
      <c r="K39" s="324"/>
      <c r="L39" s="324"/>
      <c r="M39" s="324"/>
      <c r="N39" s="324"/>
      <c r="O39" s="324"/>
      <c r="P39" s="324"/>
      <c r="Q39" s="324"/>
      <c r="R39" s="324"/>
    </row>
    <row r="40" spans="7:18" s="340" customFormat="1">
      <c r="G40" s="324"/>
      <c r="H40" s="324"/>
      <c r="I40" s="324"/>
      <c r="J40" s="324"/>
      <c r="K40" s="324"/>
      <c r="L40" s="324"/>
      <c r="M40" s="324"/>
      <c r="N40" s="324"/>
      <c r="O40" s="324"/>
      <c r="P40" s="324"/>
      <c r="Q40" s="324"/>
      <c r="R40" s="324"/>
    </row>
    <row r="41" spans="7:18" s="340" customFormat="1">
      <c r="G41" s="324"/>
      <c r="H41" s="324"/>
      <c r="I41" s="324"/>
      <c r="J41" s="324"/>
      <c r="K41" s="324"/>
      <c r="L41" s="324"/>
      <c r="M41" s="324"/>
      <c r="N41" s="324"/>
      <c r="O41" s="324"/>
      <c r="P41" s="324"/>
      <c r="Q41" s="324"/>
      <c r="R41" s="324"/>
    </row>
    <row r="42" spans="7:18" s="340" customFormat="1">
      <c r="G42" s="324"/>
      <c r="H42" s="324"/>
      <c r="I42" s="324"/>
      <c r="J42" s="324"/>
      <c r="K42" s="324"/>
      <c r="L42" s="324"/>
      <c r="M42" s="324"/>
      <c r="N42" s="324"/>
      <c r="O42" s="324"/>
      <c r="P42" s="324"/>
      <c r="Q42" s="324"/>
      <c r="R42" s="324"/>
    </row>
    <row r="43" spans="7:18" s="340" customFormat="1">
      <c r="G43" s="324"/>
      <c r="H43" s="324"/>
      <c r="I43" s="324"/>
      <c r="J43" s="324"/>
      <c r="K43" s="324"/>
      <c r="L43" s="324"/>
      <c r="M43" s="324"/>
      <c r="N43" s="324"/>
      <c r="O43" s="324"/>
      <c r="P43" s="324"/>
      <c r="Q43" s="324"/>
      <c r="R43" s="324"/>
    </row>
    <row r="44" spans="7:18" s="340" customFormat="1">
      <c r="G44" s="324"/>
      <c r="H44" s="324"/>
      <c r="I44" s="324"/>
      <c r="J44" s="324"/>
      <c r="K44" s="324"/>
      <c r="L44" s="324"/>
      <c r="M44" s="324"/>
      <c r="N44" s="324"/>
      <c r="O44" s="324"/>
      <c r="P44" s="324"/>
      <c r="Q44" s="324"/>
      <c r="R44" s="324"/>
    </row>
    <row r="45" spans="7:18" s="340" customFormat="1">
      <c r="G45" s="324"/>
      <c r="H45" s="324"/>
      <c r="I45" s="324"/>
      <c r="J45" s="324"/>
      <c r="K45" s="324"/>
      <c r="L45" s="324"/>
      <c r="M45" s="324"/>
      <c r="N45" s="324"/>
      <c r="O45" s="324"/>
      <c r="P45" s="324"/>
      <c r="Q45" s="324"/>
      <c r="R45" s="324"/>
    </row>
    <row r="46" spans="7:18" s="340" customFormat="1">
      <c r="G46" s="324"/>
      <c r="H46" s="324"/>
      <c r="I46" s="324"/>
      <c r="J46" s="324"/>
      <c r="K46" s="324"/>
      <c r="L46" s="324"/>
      <c r="M46" s="324"/>
      <c r="N46" s="324"/>
      <c r="O46" s="324"/>
      <c r="P46" s="324"/>
      <c r="Q46" s="324"/>
      <c r="R46" s="324"/>
    </row>
  </sheetData>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C6136-1A3E-41B5-BB6D-1AC33167DDF7}">
  <sheetPr codeName="Sheet52">
    <tabColor rgb="FF00CC00"/>
  </sheetPr>
  <dimension ref="A1"/>
  <sheetViews>
    <sheetView workbookViewId="0">
      <selection activeCell="K13" sqref="K13"/>
    </sheetView>
  </sheetViews>
  <sheetFormatPr defaultRowHeight="14.4"/>
  <sheetData/>
  <phoneticPr fontId="72"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041F74863103D4C9C3AA0A07291BB02" ma:contentTypeVersion="18" ma:contentTypeDescription="Create a new document." ma:contentTypeScope="" ma:versionID="acfac7a7740a1b2d1a4bdbff0c117f3f">
  <xsd:schema xmlns:xsd="http://www.w3.org/2001/XMLSchema" xmlns:xs="http://www.w3.org/2001/XMLSchema" xmlns:p="http://schemas.microsoft.com/office/2006/metadata/properties" xmlns:ns2="25bcabcf-d275-4206-9fb1-2f2d419cd22b" xmlns:ns3="ec500478-62e0-46fc-87f1-cfa988e486b4" targetNamespace="http://schemas.microsoft.com/office/2006/metadata/properties" ma:root="true" ma:fieldsID="f1327b100fd5e593709bdd676db08f29" ns2:_="" ns3:_="">
    <xsd:import namespace="25bcabcf-d275-4206-9fb1-2f2d419cd22b"/>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lcf76f155ced4ddcb4097134ff3c332f" minOccurs="0"/>
                <xsd:element ref="ns3:TaxCatchAll"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bcabcf-d275-4206-9fb1-2f2d419cd2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7f35f27a-c890-4130-b78e-bbe546ff31bf"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516b899e-718a-4501-bed1-5bdbb6269459}" ma:internalName="TaxCatchAll" ma:showField="CatchAllData" ma:web="ec500478-62e0-46fc-87f1-cfa988e486b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ec500478-62e0-46fc-87f1-cfa988e486b4" xsi:nil="true"/>
    <lcf76f155ced4ddcb4097134ff3c332f xmlns="25bcabcf-d275-4206-9fb1-2f2d419cd22b">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E694CB4A-1AA2-4E86-8AFC-299393BE44B9}"/>
</file>

<file path=customXml/itemProps2.xml><?xml version="1.0" encoding="utf-8"?>
<ds:datastoreItem xmlns:ds="http://schemas.openxmlformats.org/officeDocument/2006/customXml" ds:itemID="{50C3019A-A66F-442E-9D7D-BA1B50D45000}">
  <ds:schemaRefs>
    <ds:schemaRef ds:uri="http://schemas.microsoft.com/sharepoint/v3/contenttype/forms"/>
  </ds:schemaRefs>
</ds:datastoreItem>
</file>

<file path=customXml/itemProps3.xml><?xml version="1.0" encoding="utf-8"?>
<ds:datastoreItem xmlns:ds="http://schemas.openxmlformats.org/officeDocument/2006/customXml" ds:itemID="{2E62027D-9E79-4187-A185-6768E3BCB4A8}">
  <ds:schemaRefs>
    <ds:schemaRef ds:uri="http://schemas.microsoft.com/office/2006/metadata/properties"/>
    <ds:schemaRef ds:uri="http://schemas.microsoft.com/office/infopath/2007/PartnerControls"/>
    <ds:schemaRef ds:uri="72e3a154-4955-46c3-9573-e9dec3e1f195"/>
    <ds:schemaRef ds:uri="ec500478-62e0-46fc-87f1-cfa988e486b4"/>
    <ds:schemaRef ds:uri="f280a0a6-6f35-4093-b552-b6fe7750626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12</vt:i4>
      </vt:variant>
    </vt:vector>
  </HeadingPairs>
  <TitlesOfParts>
    <vt:vector size="66" baseType="lpstr">
      <vt:lpstr>Tools</vt:lpstr>
      <vt:lpstr>TV_TS</vt:lpstr>
      <vt:lpstr>TV_PI</vt:lpstr>
      <vt:lpstr>TV_PR</vt:lpstr>
      <vt:lpstr>TV_VV</vt:lpstr>
      <vt:lpstr>TV_PQA</vt:lpstr>
      <vt:lpstr>TV_RDM</vt:lpstr>
      <vt:lpstr>TV_PCM</vt:lpstr>
      <vt:lpstr>TV_PAD</vt:lpstr>
      <vt:lpstr>TV_MPM</vt:lpstr>
      <vt:lpstr>TV_RSK</vt:lpstr>
      <vt:lpstr>TV_OT</vt:lpstr>
      <vt:lpstr>TV_MC</vt:lpstr>
      <vt:lpstr>TV_PLAN</vt:lpstr>
      <vt:lpstr>TV_EST</vt:lpstr>
      <vt:lpstr>TV_CAR</vt:lpstr>
      <vt:lpstr>TV_DAR</vt:lpstr>
      <vt:lpstr>TV_CM</vt:lpstr>
      <vt:lpstr>TV_II</vt:lpstr>
      <vt:lpstr>TV_GOV</vt:lpstr>
      <vt:lpstr>Tables</vt:lpstr>
      <vt:lpstr>Tasks</vt:lpstr>
      <vt:lpstr>FindingsDB</vt:lpstr>
      <vt:lpstr>QuestionsDB</vt:lpstr>
      <vt:lpstr>Working</vt:lpstr>
      <vt:lpstr>OpenClose</vt:lpstr>
      <vt:lpstr>tmp</vt:lpstr>
      <vt:lpstr>ou</vt:lpstr>
      <vt:lpstr>ou-gov&amp;ii</vt:lpstr>
      <vt:lpstr>Findings</vt:lpstr>
      <vt:lpstr>Template1</vt:lpstr>
      <vt:lpstr>CAR</vt:lpstr>
      <vt:lpstr>CM</vt:lpstr>
      <vt:lpstr>DAR</vt:lpstr>
      <vt:lpstr>EST</vt:lpstr>
      <vt:lpstr>GOV</vt:lpstr>
      <vt:lpstr>II</vt:lpstr>
      <vt:lpstr>MPM</vt:lpstr>
      <vt:lpstr>MC</vt:lpstr>
      <vt:lpstr>OT</vt:lpstr>
      <vt:lpstr>PR</vt:lpstr>
      <vt:lpstr>Template2</vt:lpstr>
      <vt:lpstr>ATM</vt:lpstr>
      <vt:lpstr>PQA</vt:lpstr>
      <vt:lpstr>PAD</vt:lpstr>
      <vt:lpstr>PCM</vt:lpstr>
      <vt:lpstr>RSK</vt:lpstr>
      <vt:lpstr>PLAN</vt:lpstr>
      <vt:lpstr>RDM</vt:lpstr>
      <vt:lpstr>PI</vt:lpstr>
      <vt:lpstr>TS</vt:lpstr>
      <vt:lpstr>VV</vt:lpstr>
      <vt:lpstr>SAM</vt:lpstr>
      <vt:lpstr>Processes</vt:lpstr>
      <vt:lpstr>ou!Print_Area</vt:lpstr>
      <vt:lpstr>'ou-gov&amp;ii'!Print_Area</vt:lpstr>
      <vt:lpstr>Tables!tbl_practiceCharacterization</vt:lpstr>
      <vt:lpstr>Tables!tbl_practiceGroupRated</vt:lpstr>
      <vt:lpstr>tbl_Staff</vt:lpstr>
      <vt:lpstr>tbl_StaffRole</vt:lpstr>
      <vt:lpstr>tbl_StaffRoleX</vt:lpstr>
      <vt:lpstr>tbl_StaffX</vt:lpstr>
      <vt:lpstr>tbl_TaskCodeX</vt:lpstr>
      <vt:lpstr>tbl_TaskStatusX</vt:lpstr>
      <vt:lpstr>tbl_WorkTaskCode</vt:lpstr>
      <vt:lpstr>tbl_WorkTaskStatus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Pieter van Zyl</dc:creator>
  <cp:keywords/>
  <dc:description/>
  <cp:lastModifiedBy>Pieter van Zyl</cp:lastModifiedBy>
  <cp:revision/>
  <dcterms:created xsi:type="dcterms:W3CDTF">2020-10-06T16:24:00Z</dcterms:created>
  <dcterms:modified xsi:type="dcterms:W3CDTF">2024-03-29T09:44:41Z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0x010100F041F74863103D4C9C3AA0A07291BB02</vt:lpwstr>
  </property>
  <property fmtid="{D5CDD505-2E9C-101B-9397-08002B2CF9AE}" pid="3" name="ICV">
    <vt:lpwstr>E4C5EF75FC594FDDBB27A5DFB0CE29CB</vt:lpwstr>
  </property>
  <property fmtid="{D5CDD505-2E9C-101B-9397-08002B2CF9AE}" pid="4" name="KSOProductBuildVer">
    <vt:lpwstr>2052-11.1.0.11365</vt:lpwstr>
  </property>
  <property fmtid="{D5CDD505-2E9C-101B-9397-08002B2CF9AE}" pid="5" name="MediaServiceImageTags">
    <vt:lpwstr/>
  </property>
</Properties>
</file>