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00000000-0000-0000-0000-000000000000}"/>
  <workbookPr codeName="ThisWorkbook"/>
  <mc:AlternateContent xmlns:mc="http://schemas.openxmlformats.org/markup-compatibility/2006">
    <mc:Choice Requires="x15">
      <x15ac:absPath xmlns:x15ac="http://schemas.microsoft.com/office/spreadsheetml/2010/11/ac" url="C:\Users\pwjva\Documents\GitHub\CMMITools\2024-05-04to05-10 (A5) C384400 NASA\01_BASEfiles\"/>
    </mc:Choice>
  </mc:AlternateContent>
  <xr:revisionPtr revIDLastSave="0" documentId="13_ncr:1_{BD4EC8C1-329D-4864-A00E-17ED922A4BC8}" xr6:coauthVersionLast="47" xr6:coauthVersionMax="47" xr10:uidLastSave="{00000000-0000-0000-0000-000000000000}"/>
  <bookViews>
    <workbookView xWindow="-108" yWindow="-108" windowWidth="23256" windowHeight="12456" firstSheet="45" activeTab="46"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r:id="rId27"/>
    <sheet name="ou" sheetId="99" r:id="rId28"/>
    <sheet name="ou-gov&amp;ii" sheetId="100" r:id="rId29"/>
    <sheet name="Findings" sheetId="101" r:id="rId30"/>
    <sheet name="Template1" sheetId="102" r:id="rId31"/>
    <sheet name="CAR" sheetId="262" r:id="rId32"/>
    <sheet name="CM" sheetId="259" r:id="rId33"/>
    <sheet name="DAR" sheetId="267" r:id="rId34"/>
    <sheet name="EST" sheetId="264" r:id="rId35"/>
    <sheet name="GOV" sheetId="257" r:id="rId36"/>
    <sheet name="II" sheetId="258" r:id="rId37"/>
    <sheet name="MPM" sheetId="261" r:id="rId38"/>
    <sheet name="MC" sheetId="268" r:id="rId39"/>
    <sheet name="OT" sheetId="266" r:id="rId40"/>
    <sheet name="PR" sheetId="269" r:id="rId41"/>
    <sheet name="PLAN" sheetId="271" r:id="rId42"/>
    <sheet name="PQA" sheetId="260" r:id="rId43"/>
    <sheet name="PAD" sheetId="263" r:id="rId44"/>
    <sheet name="PCM" sheetId="265" r:id="rId45"/>
    <sheet name="RSK" sheetId="270" r:id="rId46"/>
    <sheet name="RDM" sheetId="272" r:id="rId47"/>
    <sheet name="PI" sheetId="273" r:id="rId48"/>
    <sheet name="TS" sheetId="274" r:id="rId49"/>
    <sheet name="VV" sheetId="275" r:id="rId50"/>
    <sheet name="SAM" sheetId="276" r:id="rId51"/>
    <sheet name="Template2" sheetId="103" r:id="rId52"/>
    <sheet name="ATM" sheetId="127" r:id="rId53"/>
    <sheet name="Processes" sheetId="169" r:id="rId54"/>
  </sheets>
  <externalReferences>
    <externalReference r:id="rId55"/>
    <externalReference r:id="rId56"/>
    <externalReference r:id="rId57"/>
    <externalReference r:id="rId58"/>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ou!$A$1:$W$39</definedName>
    <definedName name="_xlnm.Print_Area" localSheetId="28">'ou-gov&amp;ii'!$A$1:$U$36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5" i="99" l="1"/>
  <c r="H66" i="99" s="1"/>
  <c r="D26" i="99"/>
  <c r="H67" i="99" s="1"/>
  <c r="H61" i="99"/>
  <c r="M48" i="99"/>
  <c r="D5" i="99"/>
  <c r="D8" i="99"/>
  <c r="D9" i="99"/>
  <c r="H50" i="99" s="1"/>
  <c r="D10" i="99"/>
  <c r="H51" i="99" s="1"/>
  <c r="D17" i="99"/>
  <c r="H58" i="99" s="1"/>
  <c r="D18" i="99"/>
  <c r="H59" i="99" s="1"/>
  <c r="D19" i="99"/>
  <c r="H60" i="99" s="1"/>
  <c r="D20" i="99"/>
  <c r="C5" i="99"/>
  <c r="C8" i="99"/>
  <c r="G49" i="99" s="1"/>
  <c r="C9" i="99"/>
  <c r="G50" i="99" s="1"/>
  <c r="C10" i="99"/>
  <c r="G51" i="99" s="1"/>
  <c r="C11" i="99"/>
  <c r="G52" i="99" s="1"/>
  <c r="C12" i="99"/>
  <c r="G53" i="99" s="1"/>
  <c r="C17" i="99"/>
  <c r="G58" i="99" s="1"/>
  <c r="C18" i="99"/>
  <c r="G59" i="99" s="1"/>
  <c r="C19" i="99"/>
  <c r="G60" i="99" s="1"/>
  <c r="C25" i="99"/>
  <c r="C26" i="99"/>
  <c r="G67" i="99" s="1"/>
  <c r="D4" i="99"/>
  <c r="C4" i="99"/>
  <c r="G7" i="276"/>
  <c r="G7" i="275"/>
  <c r="G7" i="274"/>
  <c r="G7" i="273"/>
  <c r="G7" i="269"/>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5" i="99"/>
  <c r="J74" i="99"/>
  <c r="J73" i="99"/>
  <c r="C73" i="99"/>
  <c r="J72" i="99"/>
  <c r="C72" i="99"/>
  <c r="J71" i="99"/>
  <c r="J70" i="99"/>
  <c r="J69" i="99"/>
  <c r="J68" i="99"/>
  <c r="C68" i="99"/>
  <c r="V67" i="99"/>
  <c r="O67" i="99"/>
  <c r="M67" i="99"/>
  <c r="J67" i="99"/>
  <c r="C67" i="99"/>
  <c r="O66" i="99"/>
  <c r="M66" i="99"/>
  <c r="J66" i="99"/>
  <c r="G66" i="99"/>
  <c r="C66" i="99"/>
  <c r="R65" i="99"/>
  <c r="T64" i="99"/>
  <c r="R64" i="99"/>
  <c r="M64" i="99"/>
  <c r="L64" i="99"/>
  <c r="K64" i="99"/>
  <c r="J64" i="99"/>
  <c r="T63" i="99"/>
  <c r="S63" i="99"/>
  <c r="R63" i="99"/>
  <c r="M63" i="99"/>
  <c r="L63" i="99"/>
  <c r="K63" i="99"/>
  <c r="J63" i="99"/>
  <c r="C63" i="99"/>
  <c r="T62" i="99"/>
  <c r="S62" i="99"/>
  <c r="R62" i="99"/>
  <c r="O62" i="99"/>
  <c r="M62" i="99"/>
  <c r="L62" i="99"/>
  <c r="K62" i="99"/>
  <c r="J62" i="99"/>
  <c r="I62" i="99"/>
  <c r="C62" i="99"/>
  <c r="T61" i="99"/>
  <c r="S61" i="99"/>
  <c r="R61" i="99"/>
  <c r="O61" i="99"/>
  <c r="N61" i="99"/>
  <c r="M61" i="99"/>
  <c r="L61" i="99"/>
  <c r="K61" i="99"/>
  <c r="J61" i="99"/>
  <c r="I61" i="99"/>
  <c r="C61" i="99"/>
  <c r="V60" i="99"/>
  <c r="U60" i="99"/>
  <c r="T60" i="99"/>
  <c r="S60" i="99"/>
  <c r="R60" i="99"/>
  <c r="O60" i="99"/>
  <c r="N60" i="99"/>
  <c r="M60" i="99"/>
  <c r="L60" i="99"/>
  <c r="K60" i="99"/>
  <c r="J60" i="99"/>
  <c r="I60" i="99"/>
  <c r="F60" i="99"/>
  <c r="C60" i="99"/>
  <c r="V59" i="99"/>
  <c r="U59" i="99"/>
  <c r="T59" i="99"/>
  <c r="S59" i="99"/>
  <c r="R59" i="99"/>
  <c r="Q59" i="99"/>
  <c r="P59" i="99"/>
  <c r="O59" i="99"/>
  <c r="N59" i="99"/>
  <c r="M59" i="99"/>
  <c r="L59" i="99"/>
  <c r="K59" i="99"/>
  <c r="J59" i="99"/>
  <c r="I59" i="99"/>
  <c r="F59" i="99"/>
  <c r="E59" i="99"/>
  <c r="C59" i="99"/>
  <c r="V58" i="99"/>
  <c r="U58" i="99"/>
  <c r="T58" i="99"/>
  <c r="S58" i="99"/>
  <c r="R58" i="99"/>
  <c r="Q58" i="99"/>
  <c r="P58" i="99"/>
  <c r="O58" i="99"/>
  <c r="N58" i="99"/>
  <c r="M58" i="99"/>
  <c r="L58" i="99"/>
  <c r="K58" i="99"/>
  <c r="J58" i="99"/>
  <c r="I58" i="99"/>
  <c r="F58" i="99"/>
  <c r="E58" i="99"/>
  <c r="C58" i="99"/>
  <c r="O57" i="99"/>
  <c r="O56" i="99"/>
  <c r="R55" i="99"/>
  <c r="O55" i="99"/>
  <c r="N55" i="99"/>
  <c r="J55" i="99"/>
  <c r="D55" i="99"/>
  <c r="R54" i="99"/>
  <c r="O54" i="99"/>
  <c r="N54" i="99"/>
  <c r="J54" i="99"/>
  <c r="E54" i="99"/>
  <c r="D54" i="99"/>
  <c r="V53" i="99"/>
  <c r="R53" i="99"/>
  <c r="Q53" i="99"/>
  <c r="P53" i="99"/>
  <c r="O53" i="99"/>
  <c r="N53" i="99"/>
  <c r="J53" i="99"/>
  <c r="I53" i="99"/>
  <c r="E53" i="99"/>
  <c r="D53" i="99"/>
  <c r="V52" i="99"/>
  <c r="U52" i="99"/>
  <c r="T52" i="99"/>
  <c r="R52" i="99"/>
  <c r="Q52" i="99"/>
  <c r="P52" i="99"/>
  <c r="O52" i="99"/>
  <c r="N52" i="99"/>
  <c r="L52" i="99"/>
  <c r="J52" i="99"/>
  <c r="I52" i="99"/>
  <c r="F52" i="99"/>
  <c r="E52" i="99"/>
  <c r="D52" i="99"/>
  <c r="V51" i="99"/>
  <c r="U51" i="99"/>
  <c r="T51" i="99"/>
  <c r="S51" i="99"/>
  <c r="R51" i="99"/>
  <c r="Q51" i="99"/>
  <c r="P51" i="99"/>
  <c r="O51" i="99"/>
  <c r="N51" i="99"/>
  <c r="M51" i="99"/>
  <c r="L51" i="99"/>
  <c r="K51" i="99"/>
  <c r="J51" i="99"/>
  <c r="I51" i="99"/>
  <c r="F51" i="99"/>
  <c r="E51" i="99"/>
  <c r="D51" i="99"/>
  <c r="C51" i="99"/>
  <c r="V50" i="99"/>
  <c r="U50" i="99"/>
  <c r="T50" i="99"/>
  <c r="S50" i="99"/>
  <c r="R50" i="99"/>
  <c r="Q50" i="99"/>
  <c r="P50" i="99"/>
  <c r="O50" i="99"/>
  <c r="N50" i="99"/>
  <c r="M50" i="99"/>
  <c r="L50" i="99"/>
  <c r="K50" i="99"/>
  <c r="J50" i="99"/>
  <c r="I50" i="99"/>
  <c r="F50" i="99"/>
  <c r="E50" i="99"/>
  <c r="D50" i="99"/>
  <c r="C50" i="99"/>
  <c r="U49" i="99"/>
  <c r="T49" i="99"/>
  <c r="S49" i="99"/>
  <c r="R49" i="99"/>
  <c r="Q49" i="99"/>
  <c r="P49" i="99"/>
  <c r="O49" i="99"/>
  <c r="N49" i="99"/>
  <c r="M49" i="99"/>
  <c r="L49" i="99"/>
  <c r="K49" i="99"/>
  <c r="J49" i="99"/>
  <c r="I49" i="99"/>
  <c r="H49" i="99"/>
  <c r="F49" i="99"/>
  <c r="E49" i="99"/>
  <c r="D49" i="99"/>
  <c r="C49" i="99"/>
  <c r="V48" i="99"/>
  <c r="V47" i="99"/>
  <c r="U47" i="99"/>
  <c r="O47" i="99"/>
  <c r="M47" i="99"/>
  <c r="J47" i="99"/>
  <c r="I47" i="99"/>
  <c r="E47" i="99"/>
  <c r="V46" i="99"/>
  <c r="U46" i="99"/>
  <c r="T46" i="99"/>
  <c r="S46" i="99"/>
  <c r="R46" i="99"/>
  <c r="Q46" i="99"/>
  <c r="P46" i="99"/>
  <c r="O46" i="99"/>
  <c r="N46" i="99"/>
  <c r="M46" i="99"/>
  <c r="L46" i="99"/>
  <c r="K46" i="99"/>
  <c r="J46" i="99"/>
  <c r="I46" i="99"/>
  <c r="H46" i="99"/>
  <c r="G46" i="99"/>
  <c r="F46" i="99"/>
  <c r="E46" i="99"/>
  <c r="D46" i="99"/>
  <c r="C46" i="99"/>
  <c r="V45" i="99"/>
  <c r="U45" i="99"/>
  <c r="T45" i="99"/>
  <c r="S45" i="99"/>
  <c r="R45" i="99"/>
  <c r="Q45" i="99"/>
  <c r="P45" i="99"/>
  <c r="O45" i="99"/>
  <c r="N45" i="99"/>
  <c r="M45" i="99"/>
  <c r="L45" i="99"/>
  <c r="K45" i="99"/>
  <c r="J45" i="99"/>
  <c r="I45" i="99"/>
  <c r="H45" i="99"/>
  <c r="G45" i="99"/>
  <c r="F45" i="99"/>
  <c r="E45" i="99"/>
  <c r="D45" i="99"/>
  <c r="C45" i="99"/>
</calcChain>
</file>

<file path=xl/sharedStrings.xml><?xml version="1.0" encoding="utf-8"?>
<sst xmlns="http://schemas.openxmlformats.org/spreadsheetml/2006/main" count="4646" uniqueCount="2345">
  <si>
    <t>https://www.whatismyip.com/</t>
  </si>
  <si>
    <t>https://www.microsoft.com/en-us/sql-server/sql-server-downloads</t>
  </si>
  <si>
    <t>Characterisation and filtering</t>
  </si>
  <si>
    <t>PAs:</t>
  </si>
  <si>
    <t>RDM, TS, PI, VV, PR, CM, EST, PLAN, MC, RSK, PCM, PAD, MPM, CAR, OT, PQA, DAR, GOV, II</t>
  </si>
  <si>
    <t>Summarise at levels</t>
  </si>
  <si>
    <t>Summarise at PA level</t>
  </si>
  <si>
    <t>Summarise at Process level</t>
  </si>
  <si>
    <t>Summarise at PA instantiation level</t>
  </si>
  <si>
    <t>Clear all filters</t>
  </si>
  <si>
    <t>Clear all Level characterisations</t>
  </si>
  <si>
    <t>Set levels = 's'</t>
  </si>
  <si>
    <t>Set levels = 'FM'</t>
  </si>
  <si>
    <t>Clear PAs</t>
  </si>
  <si>
    <t>Set PA's = 'FM'</t>
  </si>
  <si>
    <t>Clear instantiations</t>
  </si>
  <si>
    <t>NOTE: KEEP SPACE BETWEEN PA AND x.y, for example CAR 1.1 (NOT CAR1.1)</t>
  </si>
  <si>
    <t>https://docs.microsoft.com/en-us/sql/connect/oledb/download-oledb-driver-for-sql-server?view=sql-server-ver15</t>
  </si>
  <si>
    <t>https://go.microsoft.com/fwlink/?linkid=866658</t>
  </si>
  <si>
    <t>https://translate.google.com/?sl=auto&amp;tl=en&amp;op=translate</t>
  </si>
  <si>
    <t>https://www.onlinedoctranslator.com/en/translationform</t>
  </si>
  <si>
    <t>TV sheets</t>
  </si>
  <si>
    <t>TS - TECHNICAL SOLUTION (TS)</t>
  </si>
  <si>
    <t>Intent</t>
  </si>
  <si>
    <t>Design and build solutions that meet customer requirements.</t>
  </si>
  <si>
    <t>Value</t>
  </si>
  <si>
    <t>Provides a cost-effective design and solution that meets customer requirements and reduces rework.</t>
  </si>
  <si>
    <t>Level 1</t>
  </si>
  <si>
    <t>Level 2</t>
  </si>
  <si>
    <t>Level 3</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</si>
  <si>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</si>
  <si>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</si>
  <si>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</si>
  <si>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TS 1.1</t>
  </si>
  <si>
    <t>TS 2.1</t>
  </si>
  <si>
    <t>TS 2.2</t>
  </si>
  <si>
    <t>TS 2.3</t>
  </si>
  <si>
    <t>TS 3.1</t>
  </si>
  <si>
    <t>TS 3.2</t>
  </si>
  <si>
    <t>TS 3.3</t>
  </si>
  <si>
    <t>TS 3.4</t>
  </si>
  <si>
    <t>TS 3.5</t>
  </si>
  <si>
    <t>TS 3.6</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</si>
  <si>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</si>
  <si>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</si>
  <si>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</si>
  <si>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</si>
  <si>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</si>
  <si>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</si>
  <si>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</si>
  <si>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</si>
  <si>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</si>
  <si>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</si>
  <si>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</si>
  <si>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</si>
  <si>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</si>
  <si>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</si>
  <si>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</si>
  <si>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</si>
  <si>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</si>
  <si>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</si>
  <si>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</si>
  <si>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</si>
  <si>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</si>
  <si>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</si>
  <si>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Example Activities</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</si>
  <si>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</si>
  <si>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</si>
  <si>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</si>
  <si>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</si>
  <si>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</si>
  <si>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</si>
  <si>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</si>
  <si>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</si>
  <si>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</si>
  <si>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</si>
  <si>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</si>
  <si>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</si>
  <si>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</si>
  <si>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</si>
  <si>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</si>
  <si>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</si>
  <si>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</si>
  <si>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</si>
  <si>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</si>
  <si>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</si>
  <si>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Questions</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</si>
  <si>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</si>
  <si>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</si>
  <si>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</si>
  <si>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</si>
  <si>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</si>
  <si>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</si>
  <si>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</si>
  <si>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</si>
  <si>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</si>
  <si>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Name</t>
  </si>
  <si>
    <t>link</t>
  </si>
  <si>
    <t>engl</t>
  </si>
  <si>
    <t>\PAs</t>
  </si>
  <si>
    <t>atm to complete</t>
  </si>
  <si>
    <t>x</t>
  </si>
  <si>
    <t>PI - PRODUCT INTEGRATION (PI)</t>
  </si>
  <si>
    <t>Integrate and deliver the solution that addresses functionality and quality requirements.</t>
  </si>
  <si>
    <t>Increases customers' satisfaction by giving them a solution that meets or exceeds their functionality and quality requirements.</t>
  </si>
  <si>
    <t>PI 1.1</t>
  </si>
  <si>
    <t>PI 2.1</t>
  </si>
  <si>
    <t>PI 2.2</t>
  </si>
  <si>
    <t>PI 2.3</t>
  </si>
  <si>
    <t>PI 2.4</t>
  </si>
  <si>
    <t>PI 2.5</t>
  </si>
  <si>
    <t>PI 2.6</t>
  </si>
  <si>
    <t>PI 3.1</t>
  </si>
  <si>
    <t>PI 3.2</t>
  </si>
  <si>
    <t>PI 3.3</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</si>
  <si>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</si>
  <si>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</si>
  <si>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</si>
  <si>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</si>
  <si>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</si>
  <si>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</si>
  <si>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</si>
  <si>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</si>
  <si>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</si>
  <si>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</si>
  <si>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</si>
  <si>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</si>
  <si>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</si>
  <si>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</si>
  <si>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</si>
  <si>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</si>
  <si>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</si>
  <si>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</si>
  <si>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</si>
  <si>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</si>
  <si>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</si>
  <si>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</si>
  <si>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</si>
  <si>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</si>
  <si>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</si>
  <si>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</si>
  <si>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</si>
  <si>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</si>
  <si>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</si>
  <si>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</si>
  <si>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</si>
  <si>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</si>
  <si>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</si>
  <si>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</si>
  <si>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</si>
  <si>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</si>
  <si>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</si>
  <si>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</si>
  <si>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</si>
  <si>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</si>
  <si>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</si>
  <si>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</si>
  <si>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</si>
  <si>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</si>
  <si>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</si>
  <si>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</si>
  <si>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</si>
  <si>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</si>
  <si>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Product Integration Plan</t>
  </si>
  <si>
    <t>Product Integration Phase Report</t>
  </si>
  <si>
    <t>PR -PEER REVIEWS (PR)</t>
  </si>
  <si>
    <t>Identify and address work product issues through reviews by the producer's peers or Subject Matter Experts (SMEs).</t>
  </si>
  <si>
    <t>Reduce cost and rework by uncovering issues or defects early.</t>
  </si>
  <si>
    <t>PR 1.1</t>
  </si>
  <si>
    <t>PR 2.1</t>
  </si>
  <si>
    <t>PR 2.2</t>
  </si>
  <si>
    <t>PR 2.3</t>
  </si>
  <si>
    <t>PR 2.4</t>
  </si>
  <si>
    <t>PR 3.1</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</si>
  <si>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</si>
  <si>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</si>
  <si>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</si>
  <si>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</si>
  <si>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</si>
  <si>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</si>
  <si>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</si>
  <si>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</si>
  <si>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</si>
  <si>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</si>
  <si>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</si>
  <si>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</si>
  <si>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</si>
  <si>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</si>
  <si>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</si>
  <si>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</si>
  <si>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</si>
  <si>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</si>
  <si>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</si>
  <si>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</si>
  <si>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</si>
  <si>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</si>
  <si>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</si>
  <si>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</si>
  <si>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</si>
  <si>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</si>
  <si>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</si>
  <si>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</si>
  <si>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</si>
  <si>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</si>
  <si>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</si>
  <si>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</si>
  <si>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</si>
  <si>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</si>
  <si>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</si>
  <si>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</si>
  <si>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</si>
  <si>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</si>
  <si>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</si>
  <si>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</si>
  <si>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</si>
  <si>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</si>
  <si>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</si>
  <si>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</si>
  <si>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</si>
  <si>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</si>
  <si>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</si>
  <si>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</si>
  <si>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</si>
  <si>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</si>
  <si>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</si>
  <si>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</si>
  <si>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</si>
  <si>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</si>
  <si>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</si>
  <si>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</si>
  <si>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</si>
  <si>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</si>
  <si>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</si>
  <si>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</si>
  <si>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</si>
  <si>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</si>
  <si>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</si>
  <si>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</si>
  <si>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</si>
  <si>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</si>
  <si>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</si>
  <si>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</si>
  <si>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</si>
  <si>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</si>
  <si>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</si>
  <si>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t>Verify and enable improvement of the quality of the performed processes and resulting work products.</t>
  </si>
  <si>
    <t>Increases the consistent use and improvement of the processes to maximize business benefit and customer satisfaction.</t>
  </si>
  <si>
    <t>PQA 1.1</t>
  </si>
  <si>
    <t>PQA 2.1</t>
  </si>
  <si>
    <t>PQA 2.2</t>
  </si>
  <si>
    <t>PQA 2.3</t>
  </si>
  <si>
    <t>PQA 2.4</t>
  </si>
  <si>
    <t>PQA 3.1</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</si>
  <si>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</si>
  <si>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</si>
  <si>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</si>
  <si>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</si>
  <si>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</si>
  <si>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</si>
  <si>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</si>
  <si>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</si>
  <si>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</si>
  <si>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</si>
  <si>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</si>
  <si>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</si>
  <si>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</si>
  <si>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</si>
  <si>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</si>
  <si>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</si>
  <si>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</si>
  <si>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</si>
  <si>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</si>
  <si>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</si>
  <si>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</si>
  <si>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</si>
  <si>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</si>
  <si>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</si>
  <si>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</si>
  <si>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</si>
  <si>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</si>
  <si>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</si>
  <si>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</si>
  <si>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</si>
  <si>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Elicit requirements, ensure common understanding by stakeholders, and align requirements, plans, and work products.</t>
  </si>
  <si>
    <t>Ensures that customer's needs and expectations are satisfied.</t>
  </si>
  <si>
    <t>RDM 1.1</t>
  </si>
  <si>
    <t>RDM 2.1</t>
  </si>
  <si>
    <t>RDM 2.2</t>
  </si>
  <si>
    <t>RDM 2.3</t>
  </si>
  <si>
    <t>RDM 2.4</t>
  </si>
  <si>
    <t>RDM 2.5</t>
  </si>
  <si>
    <t>RDM 2.6</t>
  </si>
  <si>
    <t>RDM 3.1</t>
  </si>
  <si>
    <t>RDM 3.2</t>
  </si>
  <si>
    <t>RDM 3.3</t>
  </si>
  <si>
    <t>RDM 3.4</t>
  </si>
  <si>
    <t>RDM 3.5</t>
  </si>
  <si>
    <t>RDM 3.6</t>
  </si>
  <si>
    <t>RDM 3.7</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</si>
  <si>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</si>
  <si>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</si>
  <si>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</si>
  <si>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</si>
  <si>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</si>
  <si>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</si>
  <si>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</si>
  <si>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</si>
  <si>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</si>
  <si>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</si>
  <si>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</si>
  <si>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</si>
  <si>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</si>
  <si>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</si>
  <si>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</si>
  <si>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</si>
  <si>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</si>
  <si>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</si>
  <si>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</si>
  <si>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</si>
  <si>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</si>
  <si>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</si>
  <si>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</si>
  <si>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</si>
  <si>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</si>
  <si>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</si>
  <si>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</si>
  <si>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</si>
  <si>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</si>
  <si>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</si>
  <si>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</si>
  <si>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</si>
  <si>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</si>
  <si>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</si>
  <si>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</si>
  <si>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</si>
  <si>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</si>
  <si>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</si>
  <si>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</si>
  <si>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</si>
  <si>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</si>
  <si>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</si>
  <si>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</si>
  <si>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</si>
  <si>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</si>
  <si>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</si>
  <si>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</si>
  <si>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</si>
  <si>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</si>
  <si>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</si>
  <si>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</si>
  <si>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</si>
  <si>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</si>
  <si>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</si>
  <si>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</si>
  <si>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</si>
  <si>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</si>
  <si>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</si>
  <si>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</si>
  <si>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</si>
  <si>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</si>
  <si>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</si>
  <si>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</si>
  <si>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</si>
  <si>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</si>
  <si>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</si>
  <si>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</si>
  <si>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</si>
  <si>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</si>
  <si>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</si>
  <si>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</si>
  <si>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Ensures that processes, infrastructure, and their improvement contribute to successfully meeting business objectives.</t>
  </si>
  <si>
    <t>Level 4</t>
  </si>
  <si>
    <t>use measurement and analysis to control/ stabilise/ predict/ identify and reduce variance; set QPPOs to meet Bos</t>
  </si>
  <si>
    <t>PCM 1.1</t>
  </si>
  <si>
    <t>PCM 1.2</t>
  </si>
  <si>
    <t>PCM 1.3</t>
  </si>
  <si>
    <t>PCM 2.1</t>
  </si>
  <si>
    <t>PCM 2.2</t>
  </si>
  <si>
    <t>PCM 3.1</t>
  </si>
  <si>
    <t>PCM 3.2</t>
  </si>
  <si>
    <t>PCM 3.3</t>
  </si>
  <si>
    <t>PCM 3.4</t>
  </si>
  <si>
    <t>PCM 3.5</t>
  </si>
  <si>
    <t>PCM 3.6</t>
  </si>
  <si>
    <t>PCM 4.1</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</si>
  <si>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</si>
  <si>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</si>
  <si>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</si>
  <si>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</si>
  <si>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</si>
  <si>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</si>
  <si>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</si>
  <si>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</si>
  <si>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</si>
  <si>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</si>
  <si>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</si>
  <si>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</si>
  <si>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</si>
  <si>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</si>
  <si>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</si>
  <si>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</si>
  <si>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</si>
  <si>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</si>
  <si>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</si>
  <si>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</si>
  <si>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</si>
  <si>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</si>
  <si>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</si>
  <si>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</si>
  <si>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</si>
  <si>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</si>
  <si>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</si>
  <si>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</si>
  <si>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</si>
  <si>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</si>
  <si>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</si>
  <si>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</si>
  <si>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</si>
  <si>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</si>
  <si>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</si>
  <si>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</si>
  <si>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</si>
  <si>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</si>
  <si>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</si>
  <si>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</si>
  <si>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What process improvement actions are followed to implement identified improvements?</t>
  </si>
  <si>
    <t>Explain how you link your process improvements to business objectives?</t>
  </si>
  <si>
    <t>How do you prioritise your process improvements?</t>
  </si>
  <si>
    <t>How do you evaluate potential new improvements opportunities. 
Improvements include new processes, techniques, methods and tools?</t>
  </si>
  <si>
    <t>What support is provided for implementing and deploying new process improvements?</t>
  </si>
  <si>
    <t>How are organisational standard processes and process assets deployed?</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</si>
  <si>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</si>
  <si>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</si>
  <si>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</si>
  <si>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</si>
  <si>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</si>
  <si>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</si>
  <si>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</si>
  <si>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</si>
  <si>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</si>
  <si>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</si>
  <si>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</si>
  <si>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</si>
  <si>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</si>
  <si>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</si>
  <si>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</si>
  <si>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</si>
  <si>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</si>
  <si>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</si>
  <si>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</si>
  <si>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</si>
  <si>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</si>
  <si>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</si>
  <si>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</si>
  <si>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</si>
  <si>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</si>
  <si>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</si>
  <si>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</si>
  <si>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</si>
  <si>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</si>
  <si>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</si>
  <si>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</si>
  <si>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</si>
  <si>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</si>
  <si>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</si>
  <si>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</si>
  <si>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</si>
  <si>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</si>
  <si>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</si>
  <si>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</si>
  <si>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</si>
  <si>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</si>
  <si>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</si>
  <si>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</si>
  <si>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</si>
  <si>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</si>
  <si>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</si>
  <si>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</si>
  <si>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</si>
  <si>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</si>
  <si>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</si>
  <si>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</si>
  <si>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</si>
  <si>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</si>
  <si>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</si>
  <si>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</si>
  <si>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</si>
  <si>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</si>
  <si>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</si>
  <si>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</si>
  <si>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</si>
  <si>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</si>
  <si>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</si>
  <si>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</si>
  <si>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</si>
  <si>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</si>
  <si>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</si>
  <si>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</si>
  <si>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</si>
  <si>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</si>
  <si>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</si>
  <si>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</si>
  <si>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</si>
  <si>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</si>
  <si>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</si>
  <si>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</si>
  <si>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</si>
  <si>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</si>
  <si>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MANAGING PERFORMANCE AND MEASUREMENT</t>
  </si>
  <si>
    <t>Manage performance using measurement and analysis to achieve business objectives.</t>
  </si>
  <si>
    <t>Maximizes business return on investment by focusing management and improvement efforts on cost, schedule, and quality performance.</t>
  </si>
  <si>
    <t>Level 5</t>
  </si>
  <si>
    <t>use stat. analysis to optimise performance and improvement to achieve the QPPO's, business objectives and strategy</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</si>
  <si>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</si>
  <si>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</si>
  <si>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</si>
  <si>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</si>
  <si>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</si>
  <si>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</si>
  <si>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</si>
  <si>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</si>
  <si>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</si>
  <si>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</si>
  <si>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</si>
  <si>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</si>
  <si>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</si>
  <si>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</si>
  <si>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</si>
  <si>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</si>
  <si>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</si>
  <si>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</si>
  <si>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</si>
  <si>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</si>
  <si>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</si>
  <si>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</si>
  <si>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</si>
  <si>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</si>
  <si>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</si>
  <si>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</si>
  <si>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</si>
  <si>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</si>
  <si>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</si>
  <si>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</si>
  <si>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</si>
  <si>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</si>
  <si>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</si>
  <si>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</si>
  <si>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</si>
  <si>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</si>
  <si>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</si>
  <si>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</si>
  <si>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</si>
  <si>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</si>
  <si>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</si>
  <si>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</si>
  <si>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</si>
  <si>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</si>
  <si>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</si>
  <si>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</si>
  <si>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</si>
  <si>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</si>
  <si>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</si>
  <si>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</si>
  <si>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</si>
  <si>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</si>
  <si>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</si>
  <si>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</si>
  <si>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</si>
  <si>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</si>
  <si>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</si>
  <si>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</si>
  <si>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</si>
  <si>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</si>
  <si>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</si>
  <si>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</si>
  <si>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</si>
  <si>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</si>
  <si>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</si>
  <si>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</si>
  <si>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</si>
  <si>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</si>
  <si>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</si>
  <si>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</si>
  <si>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</si>
  <si>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</si>
  <si>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</si>
  <si>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</si>
  <si>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</si>
  <si>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</si>
  <si>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</si>
  <si>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</si>
  <si>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</si>
  <si>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</si>
  <si>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</si>
  <si>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</si>
  <si>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</si>
  <si>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</si>
  <si>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</si>
  <si>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</si>
  <si>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</si>
  <si>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</si>
  <si>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</si>
  <si>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</si>
  <si>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</si>
  <si>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</si>
  <si>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</si>
  <si>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</si>
  <si>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</si>
  <si>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</si>
  <si>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</si>
  <si>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</si>
  <si>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</si>
  <si>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</si>
  <si>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</si>
  <si>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</si>
  <si>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</si>
  <si>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</si>
  <si>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</si>
  <si>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</si>
  <si>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</si>
  <si>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</si>
  <si>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</si>
  <si>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</si>
  <si>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</si>
  <si>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</si>
  <si>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</si>
  <si>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</si>
  <si>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</si>
  <si>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</si>
  <si>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</si>
  <si>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</si>
  <si>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</si>
  <si>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</si>
  <si>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</si>
  <si>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</si>
  <si>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</si>
  <si>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</si>
  <si>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record, analyze, and manage potential risks or opportunities.</t>
  </si>
  <si>
    <t>Mitigate adverse impacts or capitalize on positive impacts to increase the likelihood of meeting objectives.</t>
  </si>
  <si>
    <t>RSK 1.1</t>
  </si>
  <si>
    <t>RSK 2.1</t>
  </si>
  <si>
    <t>RSK 2.2</t>
  </si>
  <si>
    <t>RSK 3.1</t>
  </si>
  <si>
    <t>RSK 3.2</t>
  </si>
  <si>
    <t>RSK 3.3</t>
  </si>
  <si>
    <t>RSK 3.4</t>
  </si>
  <si>
    <t>RSK 3.5</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</si>
  <si>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</si>
  <si>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</si>
  <si>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</si>
  <si>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</si>
  <si>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</si>
  <si>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</si>
  <si>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</si>
  <si>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</si>
  <si>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</si>
  <si>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</si>
  <si>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</si>
  <si>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</si>
  <si>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</si>
  <si>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</si>
  <si>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</si>
  <si>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</si>
  <si>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</si>
  <si>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</si>
  <si>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</si>
  <si>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</si>
  <si>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</si>
  <si>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</si>
  <si>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</si>
  <si>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</si>
  <si>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</si>
  <si>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</si>
  <si>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</si>
  <si>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</si>
  <si>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</si>
  <si>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</si>
  <si>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</si>
  <si>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</si>
  <si>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</si>
  <si>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</si>
  <si>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</si>
  <si>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</si>
  <si>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</si>
  <si>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</si>
  <si>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</si>
  <si>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</si>
  <si>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</si>
  <si>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Develop the skills and knowledge of personnel so they perform their roles efficiently and effectively.</t>
  </si>
  <si>
    <t>Enhances individuals' skills and knowledge to improve organizational work performance.</t>
  </si>
  <si>
    <t>OT 1.1</t>
  </si>
  <si>
    <t>OT 2.1</t>
  </si>
  <si>
    <t>OT 2.2</t>
  </si>
  <si>
    <t>OT 3.1</t>
  </si>
  <si>
    <t>OT 3.2</t>
  </si>
  <si>
    <t>OT 3.3</t>
  </si>
  <si>
    <t>OT 3.4</t>
  </si>
  <si>
    <t>OT 3.5</t>
  </si>
  <si>
    <t>OT 3.6</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</si>
  <si>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</si>
  <si>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</si>
  <si>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</si>
  <si>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</si>
  <si>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</si>
  <si>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</si>
  <si>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</si>
  <si>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</si>
  <si>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</si>
  <si>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</si>
  <si>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</si>
  <si>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</si>
  <si>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</si>
  <si>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</si>
  <si>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</si>
  <si>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</si>
  <si>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</si>
  <si>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</si>
  <si>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</si>
  <si>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</si>
  <si>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</si>
  <si>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</si>
  <si>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</si>
  <si>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</si>
  <si>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</si>
  <si>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</si>
  <si>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</si>
  <si>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</si>
  <si>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</si>
  <si>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</si>
  <si>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</si>
  <si>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</si>
  <si>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</si>
  <si>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</si>
  <si>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</si>
  <si>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</si>
  <si>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</si>
  <si>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</si>
  <si>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</si>
  <si>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</si>
  <si>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</si>
  <si>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</si>
  <si>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</si>
  <si>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</si>
  <si>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</si>
  <si>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</si>
  <si>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</si>
  <si>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</si>
  <si>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</si>
  <si>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</si>
  <si>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</si>
  <si>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</si>
  <si>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</si>
  <si>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</si>
  <si>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</si>
  <si>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MC 3.4</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</si>
  <si>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</si>
  <si>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</si>
  <si>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</si>
  <si>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</si>
  <si>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</si>
  <si>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</si>
  <si>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</si>
  <si>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</si>
  <si>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</si>
  <si>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</si>
  <si>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</si>
  <si>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</si>
  <si>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</si>
  <si>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</si>
  <si>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</si>
  <si>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</si>
  <si>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</si>
  <si>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</si>
  <si>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</si>
  <si>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</si>
  <si>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</si>
  <si>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</si>
  <si>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</si>
  <si>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</si>
  <si>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</si>
  <si>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</si>
  <si>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</si>
  <si>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</si>
  <si>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</si>
  <si>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</si>
  <si>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</si>
  <si>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</si>
  <si>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</si>
  <si>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</si>
  <si>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</si>
  <si>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</si>
  <si>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</si>
  <si>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</si>
  <si>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</si>
  <si>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</si>
  <si>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</si>
  <si>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</si>
  <si>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</si>
  <si>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</si>
  <si>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</si>
  <si>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</si>
  <si>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</si>
  <si>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</si>
  <si>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</si>
  <si>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</si>
  <si>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Optimizes cost, functionality, and quality to increase the likelihood of meeting objectives.</t>
  </si>
  <si>
    <t>PLAN 1.1</t>
  </si>
  <si>
    <t>PLAN 1.2</t>
  </si>
  <si>
    <t>PLAN 2.1</t>
  </si>
  <si>
    <t>PLAN 2.2</t>
  </si>
  <si>
    <t>PLAN 2.3</t>
  </si>
  <si>
    <t>PLAN 2.4</t>
  </si>
  <si>
    <t>PLAN 2.5</t>
  </si>
  <si>
    <t>PLAN 2.6</t>
  </si>
  <si>
    <t>PLAN 2.7</t>
  </si>
  <si>
    <t>PLAN 2.8</t>
  </si>
  <si>
    <t>PLAN 3.1</t>
  </si>
  <si>
    <t>PLAN 3.2</t>
  </si>
  <si>
    <t>PLAN 3.3</t>
  </si>
  <si>
    <t>PLAN 3.4</t>
  </si>
  <si>
    <t>PLAN 4.1</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</si>
  <si>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</si>
  <si>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</si>
  <si>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</si>
  <si>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</si>
  <si>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</si>
  <si>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</si>
  <si>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</si>
  <si>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</si>
  <si>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</si>
  <si>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</si>
  <si>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</si>
  <si>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</si>
  <si>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</si>
  <si>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</si>
  <si>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</si>
  <si>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</si>
  <si>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</si>
  <si>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</si>
  <si>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</si>
  <si>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</si>
  <si>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</si>
  <si>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</si>
  <si>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</si>
  <si>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</si>
  <si>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</si>
  <si>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</si>
  <si>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</si>
  <si>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</si>
  <si>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</si>
  <si>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</si>
  <si>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</si>
  <si>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</si>
  <si>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</si>
  <si>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</si>
  <si>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</si>
  <si>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</si>
  <si>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</si>
  <si>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</si>
  <si>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</si>
  <si>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</si>
  <si>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</si>
  <si>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</si>
  <si>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</si>
  <si>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</si>
  <si>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</si>
  <si>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</si>
  <si>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</si>
  <si>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</si>
  <si>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</si>
  <si>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</si>
  <si>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</si>
  <si>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</si>
  <si>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</si>
  <si>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</si>
  <si>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</si>
  <si>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</si>
  <si>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</si>
  <si>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</si>
  <si>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</si>
  <si>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</si>
  <si>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</si>
  <si>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</si>
  <si>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</si>
  <si>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</si>
  <si>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</si>
  <si>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</si>
  <si>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</si>
  <si>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</si>
  <si>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</si>
  <si>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</si>
  <si>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</si>
  <si>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</si>
  <si>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</si>
  <si>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</si>
  <si>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t>EST 1.1</t>
  </si>
  <si>
    <t>EST 2.1</t>
  </si>
  <si>
    <t>EST 2.2</t>
  </si>
  <si>
    <t>EST 2.3</t>
  </si>
  <si>
    <t>EST 3.1</t>
  </si>
  <si>
    <t>EST 3.2</t>
  </si>
  <si>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</si>
  <si>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</si>
  <si>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</si>
  <si>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</si>
  <si>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</si>
  <si>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</si>
  <si>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</si>
  <si>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</si>
  <si>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</si>
  <si>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</si>
  <si>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</si>
  <si>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</si>
  <si>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</si>
  <si>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</si>
  <si>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</si>
  <si>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</si>
  <si>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</si>
  <si>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</si>
  <si>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</si>
  <si>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</si>
  <si>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</si>
  <si>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</si>
  <si>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</si>
  <si>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</si>
  <si>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</si>
  <si>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</si>
  <si>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</si>
  <si>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</si>
  <si>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</si>
  <si>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</si>
  <si>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</si>
  <si>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9" type="noConversion"/>
  </si>
  <si>
    <t xml:space="preserve">Identify causes of selected outcomes and take action to either prevent recurrence of undesirable outcomes or ensure recurrence of positive outcomes. </t>
    <phoneticPr fontId="9" type="noConversion"/>
  </si>
  <si>
    <t>Value</t>
    <phoneticPr fontId="9" type="noConversion"/>
  </si>
  <si>
    <t>Addressing root cause issues eliminates rework and directly improves quality and productivity.</t>
    <phoneticPr fontId="9" type="noConversion"/>
  </si>
  <si>
    <t>CAR 1.1</t>
  </si>
  <si>
    <t>CAR 2.1</t>
  </si>
  <si>
    <t>CAR 2.2</t>
  </si>
  <si>
    <t>CAR 3.1</t>
  </si>
  <si>
    <t>CAR 3.2</t>
  </si>
  <si>
    <t>CAR 3.3</t>
  </si>
  <si>
    <t>CAR 3.4</t>
  </si>
  <si>
    <t>CAR 3.5</t>
  </si>
  <si>
    <t>CAR 4.1</t>
  </si>
  <si>
    <t>CAR 4.2</t>
  </si>
  <si>
    <t>CAR 5.1</t>
  </si>
  <si>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</si>
  <si>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</si>
  <si>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</si>
  <si>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</si>
  <si>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</si>
  <si>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</si>
  <si>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</si>
  <si>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</si>
  <si>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</si>
  <si>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</si>
  <si>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</si>
  <si>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</si>
  <si>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</si>
  <si>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</si>
  <si>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</si>
  <si>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</si>
  <si>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</si>
  <si>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</si>
  <si>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</si>
  <si>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</si>
  <si>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</si>
  <si>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</si>
  <si>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</si>
  <si>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</si>
  <si>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</si>
  <si>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</si>
  <si>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</si>
  <si>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</si>
  <si>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</si>
  <si>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</si>
  <si>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</si>
  <si>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</si>
  <si>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</si>
  <si>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</si>
  <si>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</si>
  <si>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</si>
  <si>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</si>
  <si>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</si>
  <si>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How do you select actions proposals to address identified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</si>
  <si>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</si>
  <si>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</si>
  <si>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</si>
  <si>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</si>
  <si>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</si>
  <si>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</si>
  <si>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</si>
  <si>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</si>
  <si>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</si>
  <si>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</si>
  <si>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</si>
  <si>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</si>
  <si>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</si>
  <si>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9" type="noConversion"/>
  </si>
  <si>
    <t xml:space="preserve">Make and record decisions using a recorded process that analyzes alternatives. </t>
    <phoneticPr fontId="9" type="noConversion"/>
  </si>
  <si>
    <t xml:space="preserve">Increases the objectivity of decision making and the probability of selecting the optimal solution. </t>
    <phoneticPr fontId="9" type="noConversion"/>
  </si>
  <si>
    <t>DAR 1.1</t>
  </si>
  <si>
    <t>DAR 1.2</t>
  </si>
  <si>
    <t>DAR 2.1</t>
  </si>
  <si>
    <t>DAR 2.2</t>
  </si>
  <si>
    <t>DAR 2.3</t>
  </si>
  <si>
    <t>DAR 2.4</t>
  </si>
  <si>
    <t>DAR 2.5</t>
  </si>
  <si>
    <t>DAR 3.1</t>
  </si>
  <si>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</si>
  <si>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</si>
  <si>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</si>
  <si>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</si>
  <si>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</si>
  <si>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</si>
  <si>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</si>
  <si>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</si>
  <si>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</si>
  <si>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</si>
  <si>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</si>
  <si>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</si>
  <si>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</si>
  <si>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</si>
  <si>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</si>
  <si>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</si>
  <si>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</si>
  <si>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</si>
  <si>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</si>
  <si>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</si>
  <si>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</si>
  <si>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</si>
  <si>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</si>
  <si>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</si>
  <si>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</si>
  <si>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</si>
  <si>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</si>
  <si>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</si>
  <si>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</si>
  <si>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</si>
  <si>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</si>
  <si>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</si>
  <si>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</si>
  <si>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</si>
  <si>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</si>
  <si>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</si>
  <si>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</si>
  <si>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</si>
  <si>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</si>
  <si>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</si>
  <si>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</si>
  <si>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Manage the integrity of work products using configuration identification, version control, change control, and audits.</t>
  </si>
  <si>
    <t xml:space="preserve">Reduces loss of work and increases the ability to deliver the correct version of the solution to the customer. </t>
  </si>
  <si>
    <t>CM 1.1</t>
  </si>
  <si>
    <t>CM 2.1</t>
  </si>
  <si>
    <t>CM 2.2</t>
  </si>
  <si>
    <t>CM 2.3</t>
  </si>
  <si>
    <t>CM 2.4</t>
  </si>
  <si>
    <t>CM 2.5</t>
  </si>
  <si>
    <t>CM 2.6</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</si>
  <si>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</si>
  <si>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</si>
  <si>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</si>
  <si>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</si>
  <si>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</si>
  <si>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</si>
  <si>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</si>
  <si>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</si>
  <si>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</si>
  <si>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</si>
  <si>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</si>
  <si>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</si>
  <si>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</si>
  <si>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</si>
  <si>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</si>
  <si>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</si>
  <si>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</si>
  <si>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</si>
  <si>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</si>
  <si>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</si>
  <si>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</si>
  <si>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</si>
  <si>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</si>
  <si>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</si>
  <si>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</si>
  <si>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</si>
  <si>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</si>
  <si>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</si>
  <si>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</si>
  <si>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</si>
  <si>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</si>
  <si>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</si>
  <si>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</si>
  <si>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</si>
  <si>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</si>
  <si>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9" type="noConversion"/>
  </si>
  <si>
    <t xml:space="preserve">Sustains the ability to consistently achieve goals and objectives efficiently and effectively. </t>
    <phoneticPr fontId="9" type="noConversion"/>
  </si>
  <si>
    <t>II 1.1</t>
  </si>
  <si>
    <t>II 2.1</t>
  </si>
  <si>
    <t>II 2.2</t>
  </si>
  <si>
    <t>II 3.1</t>
  </si>
  <si>
    <t>II 3.2</t>
  </si>
  <si>
    <t>II 3.3</t>
  </si>
  <si>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</si>
  <si>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</si>
  <si>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</si>
  <si>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</si>
  <si>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</si>
  <si>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</si>
  <si>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</si>
  <si>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</si>
  <si>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</si>
  <si>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</si>
  <si>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</si>
  <si>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</si>
  <si>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</si>
  <si>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</si>
  <si>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</si>
  <si>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</si>
  <si>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</si>
  <si>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</si>
  <si>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</si>
  <si>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</si>
  <si>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</si>
  <si>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</si>
  <si>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</si>
  <si>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</si>
  <si>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</si>
  <si>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</si>
  <si>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</si>
  <si>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</si>
  <si>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</si>
  <si>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</si>
  <si>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</si>
  <si>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</si>
  <si>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</si>
  <si>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GOV - GOVERNANCE (GOV)  </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</si>
  <si>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</si>
  <si>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</si>
  <si>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</si>
  <si>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</si>
  <si>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GOV 1.1</t>
  </si>
  <si>
    <t>GOV 2.1</t>
  </si>
  <si>
    <t>GOV 2.2</t>
  </si>
  <si>
    <t>GOV 2.3</t>
  </si>
  <si>
    <t>GOV 2.4</t>
  </si>
  <si>
    <t>GOV 3.1</t>
  </si>
  <si>
    <t>GOV 3.2</t>
  </si>
  <si>
    <t>GOV 4.1</t>
  </si>
  <si>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</si>
  <si>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</si>
  <si>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</si>
  <si>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</si>
  <si>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</si>
  <si>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</si>
  <si>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</si>
  <si>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</si>
  <si>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</si>
  <si>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</si>
  <si>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</si>
  <si>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</si>
  <si>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</si>
  <si>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</si>
  <si>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</si>
  <si>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</si>
  <si>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</si>
  <si>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</si>
  <si>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</si>
  <si>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</si>
  <si>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</si>
  <si>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</si>
  <si>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</si>
  <si>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</si>
  <si>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</si>
  <si>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</si>
  <si>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</si>
  <si>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</si>
  <si>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</si>
  <si>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</si>
  <si>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</si>
  <si>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</si>
  <si>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</si>
  <si>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</si>
  <si>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</si>
  <si>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</si>
  <si>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</si>
  <si>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</si>
  <si>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</si>
  <si>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</si>
  <si>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FM</t>
  </si>
  <si>
    <t>Fully Meets</t>
  </si>
  <si>
    <t xml:space="preserve">Adequate OE is judged sufficient to demonstrate that the intent and value of the practice is met, and no weaknesses are identified. </t>
  </si>
  <si>
    <t>LM</t>
  </si>
  <si>
    <t>Largely  Meets</t>
  </si>
  <si>
    <t>Adequate OE is judged sufficient to demonstrate that the intent and value of the practice is met, and one or more weaknesses are identified.</t>
  </si>
  <si>
    <t>PM</t>
  </si>
  <si>
    <t xml:space="preserve">Partially Meets </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</si>
  <si>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</si>
  <si>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DM</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</si>
  <si>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</si>
  <si>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</si>
  <si>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</si>
  <si>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</si>
  <si>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</si>
  <si>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</si>
  <si>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</si>
  <si>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</si>
  <si>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</si>
  <si>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</si>
  <si>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None</t>
  </si>
  <si>
    <t>Pieter van Zyl</t>
  </si>
  <si>
    <t>ATL</t>
  </si>
  <si>
    <t>30p</t>
  </si>
  <si>
    <t>Not started</t>
  </si>
  <si>
    <t>Joan van Zyl</t>
  </si>
  <si>
    <t>ATL Coordinator</t>
  </si>
  <si>
    <t>50p</t>
  </si>
  <si>
    <t>WIP</t>
  </si>
  <si>
    <t>Jared Twigg</t>
  </si>
  <si>
    <t>Sponsor</t>
  </si>
  <si>
    <t>90p</t>
  </si>
  <si>
    <t>Done</t>
  </si>
  <si>
    <t>Marike Matthee</t>
  </si>
  <si>
    <t>Scheduler</t>
  </si>
  <si>
    <t>100p</t>
  </si>
  <si>
    <t>Melanie van Zyl</t>
  </si>
  <si>
    <t>BPOC</t>
  </si>
  <si>
    <t>60d b4 p2</t>
  </si>
  <si>
    <t>Bianca Coetzee</t>
  </si>
  <si>
    <t>Translator</t>
  </si>
  <si>
    <t>40d b4 p2</t>
  </si>
  <si>
    <t>Francois van Niekerk</t>
  </si>
  <si>
    <t>ATM</t>
  </si>
  <si>
    <t>Scope approval</t>
  </si>
  <si>
    <t>Andries vd Walt</t>
  </si>
  <si>
    <t>IPOC</t>
  </si>
  <si>
    <t>Tech Test</t>
  </si>
  <si>
    <t>Francina Botha</t>
  </si>
  <si>
    <t>ATLC Leader</t>
  </si>
  <si>
    <t>Final RR</t>
  </si>
  <si>
    <t>Tony Gardiner</t>
  </si>
  <si>
    <t>Elmo Scheffer</t>
  </si>
  <si>
    <t>Pieter Roos</t>
  </si>
  <si>
    <t>Barry Headland</t>
  </si>
  <si>
    <t>Nigel Owen</t>
  </si>
  <si>
    <t>Ria Fouche</t>
  </si>
  <si>
    <t>Elsabie Koster</t>
  </si>
  <si>
    <t>Lizwin Jacobs</t>
  </si>
  <si>
    <t>Michael</t>
  </si>
  <si>
    <t>Alice Erasmus</t>
  </si>
  <si>
    <t>Sasha</t>
  </si>
  <si>
    <t>Tembeka</t>
  </si>
  <si>
    <t>Work Task Status</t>
  </si>
  <si>
    <t>2. 30p</t>
  </si>
  <si>
    <t>3. Not started</t>
  </si>
  <si>
    <t>3. Frans Joubert</t>
  </si>
  <si>
    <t>2. ATL</t>
  </si>
  <si>
    <t>Id</t>
  </si>
  <si>
    <t>ProjectCode</t>
  </si>
  <si>
    <t>WorkTaskCode</t>
  </si>
  <si>
    <t>Task</t>
  </si>
  <si>
    <t>WorkTaskStatus</t>
  </si>
  <si>
    <t>Staff</t>
  </si>
  <si>
    <t>StaffRole</t>
  </si>
  <si>
    <t>AssignDate</t>
  </si>
  <si>
    <t>DueDate</t>
  </si>
  <si>
    <t>CompletionDate</t>
  </si>
  <si>
    <t>cmd</t>
  </si>
  <si>
    <t>AppraisalId</t>
  </si>
  <si>
    <t>WorkTaskCodeId</t>
  </si>
  <si>
    <t>WorkTaskStatusId</t>
  </si>
  <si>
    <t>StaffId</t>
  </si>
  <si>
    <t>StafRoleId</t>
  </si>
  <si>
    <t>End</t>
  </si>
  <si>
    <t>CAS321</t>
  </si>
  <si>
    <t>Task 1</t>
  </si>
  <si>
    <t>CAS0123</t>
  </si>
  <si>
    <t>Task 2</t>
  </si>
  <si>
    <t>Task 3</t>
  </si>
  <si>
    <t>CAS01234</t>
  </si>
  <si>
    <t>Task 4</t>
  </si>
  <si>
    <t>Search string &gt;&gt;</t>
  </si>
  <si>
    <t>ID</t>
  </si>
  <si>
    <t>PAxy</t>
  </si>
  <si>
    <t>FindingType</t>
  </si>
  <si>
    <t>FindingEnglish</t>
  </si>
  <si>
    <t>FindingChinese</t>
  </si>
  <si>
    <t>ReviewedBy</t>
  </si>
  <si>
    <t>Update/Add/Delete</t>
  </si>
  <si>
    <t>FirstSort</t>
  </si>
  <si>
    <t>SecondSort</t>
  </si>
  <si>
    <t>QuestionEnglish</t>
  </si>
  <si>
    <t>QuestionChinese</t>
  </si>
  <si>
    <t>ExpectedAnswerEnglish</t>
  </si>
  <si>
    <t>Standard interview</t>
  </si>
  <si>
    <t>Introduce appraisal team</t>
  </si>
  <si>
    <t>Explain purpose of interview and appraisal</t>
  </si>
  <si>
    <t>Ask for Govement issued ID (if virtual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</si>
  <si>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</si>
  <si>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</si>
  <si>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</si>
  <si>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</si>
  <si>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</si>
  <si>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</si>
  <si>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</si>
  <si>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</si>
  <si>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 xml:space="preserve">Did we miss anything?  </t>
  </si>
  <si>
    <t xml:space="preserve">Was there something you expected us to ask you that we missed? </t>
  </si>
  <si>
    <t xml:space="preserve">Ask summary questions:  </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</si>
  <si>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</si>
  <si>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</si>
  <si>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</si>
  <si>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</si>
  <si>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</si>
  <si>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Online document translator</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</si>
  <si>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</si>
  <si>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</si>
  <si>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</si>
  <si>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</si>
  <si>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</si>
  <si>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</si>
  <si>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</si>
  <si>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</si>
  <si>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</si>
  <si>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</si>
  <si>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</si>
  <si>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</si>
  <si>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</si>
  <si>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</si>
  <si>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</si>
  <si>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</si>
  <si>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</si>
  <si>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</si>
  <si>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</si>
  <si>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</si>
  <si>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</si>
  <si>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</si>
  <si>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</si>
  <si>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</si>
  <si>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</si>
  <si>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</si>
  <si>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</si>
  <si>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</si>
  <si>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</si>
  <si>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</si>
  <si>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</si>
  <si>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 xml:space="preserve">Level 1 </t>
  </si>
  <si>
    <t>-</t>
  </si>
  <si>
    <t>U</t>
  </si>
  <si>
    <t>OoS</t>
  </si>
  <si>
    <t xml:space="preserve">Level 4 </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</si>
  <si>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</si>
  <si>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</si>
  <si>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</si>
  <si>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</si>
  <si>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</si>
  <si>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</si>
  <si>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</si>
  <si>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</si>
  <si>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</si>
  <si>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</si>
  <si>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</si>
  <si>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</si>
  <si>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S</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</si>
  <si>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</si>
  <si>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</si>
  <si>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</si>
  <si>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</si>
  <si>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</si>
  <si>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</si>
  <si>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</si>
  <si>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</si>
  <si>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</si>
  <si>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</si>
  <si>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</si>
  <si>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</si>
  <si>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</si>
  <si>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 xml:space="preserve">Suff. Artifact 
Yes | No </t>
  </si>
  <si>
    <t>Affirm.
Yes | No</t>
  </si>
  <si>
    <t>Weakness</t>
  </si>
  <si>
    <t>Strength</t>
  </si>
  <si>
    <t>Recommendations</t>
  </si>
  <si>
    <t>Rating/
Char</t>
  </si>
  <si>
    <t>Notes</t>
  </si>
  <si>
    <t>Update
Y</t>
  </si>
  <si>
    <t>1 Prac_Group</t>
  </si>
  <si>
    <t>2 Prac_OU</t>
  </si>
  <si>
    <t>Senior management identifies what is important for doing the work and defines the approach needed to accomplish the objectives of the organization.  高级管理层识别对工作执行重要地因素，并定义实现组织目标所需地方法</t>
  </si>
  <si>
    <t>Example Work products</t>
  </si>
  <si>
    <t>3 Process</t>
  </si>
  <si>
    <t>Engineering process</t>
  </si>
  <si>
    <t>4 Prac_Instan</t>
  </si>
  <si>
    <t>Project A</t>
  </si>
  <si>
    <t>[Project management] (ABC)</t>
  </si>
  <si>
    <t>5 OE</t>
  </si>
  <si>
    <t>Evidence name</t>
  </si>
  <si>
    <t>none</t>
  </si>
  <si>
    <t>OE DB</t>
  </si>
  <si>
    <t>2 Prac_OU2</t>
  </si>
  <si>
    <t>CAUSAL ANALYSIS AND RESOLUTION</t>
  </si>
  <si>
    <t>根因分析</t>
  </si>
  <si>
    <t>Intent</t>
    <phoneticPr fontId="3" type="noConversion"/>
  </si>
  <si>
    <t xml:space="preserve">Identify causes of selected outcomes and take action to either prevent recurrence of undesirable outcomes or ensure recurrence of positive outcomes. </t>
    <phoneticPr fontId="3" type="noConversion"/>
  </si>
  <si>
    <t>目的</t>
  </si>
  <si>
    <t>识别选定结果的原因并采取行动，防止不合需要的结果再次发生或确保再次出现正面结果</t>
    <phoneticPr fontId="3" type="noConversion"/>
  </si>
  <si>
    <t>Value</t>
    <phoneticPr fontId="3" type="noConversion"/>
  </si>
  <si>
    <t>Addressing root cause issues eliminates rework and directly improves quality and productivity.</t>
    <phoneticPr fontId="3" type="noConversion"/>
  </si>
  <si>
    <t>价值</t>
  </si>
  <si>
    <t>解决根源问题可以消除返工并直接提高质量和生产率</t>
  </si>
  <si>
    <t>Possible answers</t>
  </si>
  <si>
    <t>Identify and address causes of selected outcomes. (Increases likelihood of achieving business objectives.)
确定并解决选定结果的原因。 （增加实现业务目标的可能性。）</t>
  </si>
  <si>
    <t>- Root Cause Analysis Workshop
- Process Mapping and Evaluation
- Feedback Collection and Analysis</t>
  </si>
  <si>
    <t>- Root Cause Analysis Report
- Process Improvement Plan
- Feedback Analysis Summary</t>
  </si>
  <si>
    <t>- How does your company go about selecting specific outcomes for analysis? 
你们公司如何选择特定结果进行分析？</t>
  </si>
  <si>
    <t>Select outcomes for analysis. (Focuses efforts on the outcomes with the greatest impact on achieving objectives.)
选择结果进行分析。 （重点关注对实现目标影响最大的结果。）</t>
  </si>
  <si>
    <t>- Outcome Mapping Workshop
- Outcome Data Collection
- Outcome Analysis Session</t>
  </si>
  <si>
    <t>- Outcome Map Document
- Outcome Data Report
- Outcome Impact Assessment</t>
  </si>
  <si>
    <t>- How does your company determine which outcomes to analyze?
你们公司是如何确定要分析哪些结果的？</t>
  </si>
  <si>
    <t>Analyse and address causes of outcomes. (Reduces cost and time to meet objectives more efficiently.)
分析并解决结果的原因。 （降低成本和时间，更有效地实现目标。）</t>
  </si>
  <si>
    <t>- Root Cause Analysis Workshop
- Data Mining and Analysis
- Process Mapping and Optimization</t>
  </si>
  <si>
    <t>- Root Cause Analysis Report
- Data Analysis Summary
- Process Optimization Plan</t>
  </si>
  <si>
    <t xml:space="preserve">- Could you describe the process your company follows to analyze the causes behind selected outcomes and the steps taken to address them?
能描述一下你们公司分析选定结果背后原因的流程以及采取的解决步骤吗？
</t>
  </si>
  <si>
    <t>Determine causes of selected outcomes by following an organizational process. (Increases likelihood of meeting objectives by promoting successes and avoiding problems.) 
通过遵循组织流程来确定选定结果的原因。 （通过促进成功和避免问题来增加实现目标的可能性。）</t>
  </si>
  <si>
    <t>- Data Analysis and Investigation
- Root Cause Analysis (RCA)
- Process Mapping and Review</t>
  </si>
  <si>
    <t>- Data Analysis Report
- Root Cause Analysis Document
- Process Improvement Proposal</t>
  </si>
  <si>
    <t>- Can you describe the organizational process followed to determine the causes of selected outcomes?
你能描述一下用于确定选定结果原因的组织流程吗？</t>
  </si>
  <si>
    <t>Propose actions to address identified causes. (Reduces cost and time by preventing negative outcomes or producing positive outcomes.)
提出解决已确定原因的措施。 （通过防止负面结果或产生积极结果来减少成本和时间。）</t>
  </si>
  <si>
    <t>- Root Cause Analysis Meetings
- Process Mapping Workshops
- Data Analysis and Trend Identification</t>
  </si>
  <si>
    <t>- Root Cause Analysis Report
- Process Improvement Plan
- Trend Analysis Presentation</t>
  </si>
  <si>
    <t>- What actions have been proposed to address the identified causes?
对于已经确定的原因，提出了哪些行动方案？</t>
  </si>
  <si>
    <t>Implement selected action proposals. (Implements changes that have the most impact on increasing the likelihood of meeting objectives.)
实施选定的行动建议。 （实施对提高实现目标的可能性影响最大的变革。）</t>
  </si>
  <si>
    <t>- Action Plan Development
- Training and Skill Development
- Pilot Testing</t>
  </si>
  <si>
    <t>- Action Plan Document
- Training Materials
- Pilot Testing Report</t>
  </si>
  <si>
    <t>- Have the proposed action proposals been implemented? If so, could you provide details on the implementation process?
已经实施了提出的行动方案吗？如果已实施，能否提供实施过程的详细信息？</t>
  </si>
  <si>
    <t xml:space="preserve">Record causal analysis and resolution data. (Records and communicates improvement efforts across the organization, leveraging savings and increasing productivity.)
记录因果分析和解决数据。 （记录并传达整个组织的改进工作，利用节省和提高生产力。）
</t>
  </si>
  <si>
    <t>- Causal Analysis Documentation
- Data Tracking and Reporting
- Knowledge Sharing Sessions</t>
  </si>
  <si>
    <t>- Causal Analysis Reports
- Improvement Metrics Dashboard
- Best Practices Guide</t>
  </si>
  <si>
    <t>- How is causal analysis and resolution data recorded within the organization?
在组织内如何记录因果分析和解决数据？</t>
  </si>
  <si>
    <t>Submit improvement proposals for changes proven to be effective. (Reduces disruptions and rework and allows projects to learn from each other and increase productivity.)
提交经证明有效的变更改进建议。 （减少中断和返工，并允许项目相互学习并提高生产力。）</t>
  </si>
  <si>
    <t xml:space="preserve">- Improvement Proposal Generation
- Review and Evaluation Meetings
- Feedback Integration
</t>
  </si>
  <si>
    <t>- Improvement Proposal Documents
- Impact Assessment Reports
- Stakeholder Feedback Summaries</t>
  </si>
  <si>
    <t>- Can you share any improvement proposals that have been submitted for changes proven to be effective?
你能分享已经提交的改进提案，证明其有效性的变化吗？</t>
  </si>
  <si>
    <t xml:space="preserve">Perform root cause analysis of selected outcomes using statistical and other quantitative techniques. (Improves the likelihood that the project will meet its quality and process performance objectives.)
使用统计和其他定量技术对选定结果进行根本原因分析。 （提高项目实现其质量和流程绩效目标的可能性。）
</t>
  </si>
  <si>
    <t>- Data Collection and Analysis
- Root Cause Identification
- Cross-Functional Collaboration</t>
  </si>
  <si>
    <t>- Statistical Analysis Report
- Root Cause Analysis Documentation
- Action Plan for Improvement</t>
  </si>
  <si>
    <t>- Could you walk me through the process of performing root cause analysis for selected outcomes, particularly the employment of statistical and other quantitative techniques?
能否带领我了解对选定结果进行根本原因分析的过程，特别是运用统计和其他定量技术？</t>
  </si>
  <si>
    <t xml:space="preserve">Evaluate the effect of implemented actions on process performance using statistical and other quantitative techniques. (Maximizes the likelihood of meeting quality and process performance objectives.)
使用统计和其他定量技术评估已实施的措施对流程绩效的影响。 （最大限度地提高满足质量和流程绩效目标的可能性。）
</t>
  </si>
  <si>
    <t xml:space="preserve">- Data Collection and Measurement
- Statistical Analysis
- Benchmarking and Comparison
</t>
  </si>
  <si>
    <t>- Performance Metrics Report
- Statistical Analysis Summary
- Benchmarking Analysis</t>
  </si>
  <si>
    <t>- How do you assess the impact of implemented actions on process performance, utilizing statistical and other quantitative techniques?
如何评估已实施行动对流程绩效的影响，利用统计和其他定量技术？</t>
  </si>
  <si>
    <t>Use statistical and other quantitative techniques to evaluate other solutions and processes to determine if the resolution should be applied to optimize performance across the organization. (Leverages improvements across the organization to minimize cost and risk.)
使用统计和其他定量技术来评估其他解决方案和流程，以确定是否应应用该解决方案来优化整个组织的绩效。 （利用整个组织的改进来最大限度地降低成本和风险。）</t>
  </si>
  <si>
    <t>- Comparative Analysis
- Simulation Modeling
- Cost-Benefit Analysis</t>
  </si>
  <si>
    <t>- Comparative Analysis Report
- Simulation Model Outputs
- Cost-Benefit Analysis Summary</t>
  </si>
  <si>
    <t>- How do you employ statistical and other quantitative techniques to assess alternative solutions and processes, determining their potential to optimize performance across the organization?
如何运用统计和其他定量技术评估替代解决方案和流程，确定它们在整个组织中优化绩效的潜力？</t>
  </si>
  <si>
    <t>CONFIGURATION MANAGEMENT</t>
  </si>
  <si>
    <t>配置管理</t>
  </si>
  <si>
    <t>Manage the integrity of work products using configuration identification, version control, change control, and audits.</t>
    <phoneticPr fontId="3" type="noConversion"/>
  </si>
  <si>
    <t>使用配置识别、版本控制、变更控制和审计来管理工作产品的完整性。</t>
  </si>
  <si>
    <t xml:space="preserve">Reduces loss of work and increases the ability to deliver the correct version of the solution to the customer. </t>
    <phoneticPr fontId="3" type="noConversion"/>
  </si>
  <si>
    <t>减少工作损失，并增加向客户提供正确版本解决方案的能力</t>
  </si>
  <si>
    <t>Perform version control. (Increases customer satisfaction by ensuring that the correct solution is delivered.)
执行版本控制。 （通过确保提供正确的解决方案来提高客户满意度。）</t>
  </si>
  <si>
    <t>- Implementing a version control system such as Git or SVN.
- Establishing branching and merging strategies.
- Conducting regular code reviews to ensure changes are properly versioned.</t>
  </si>
  <si>
    <t>- Version-controlled source code repository.
- Branching and merging strategy documentation.
- Code review reports documenting changes made to the codebase.</t>
  </si>
  <si>
    <t>- Can you describe the process your company follows to ensure version control?
- 你能描述一下你公司确保版本控制的过程吗？</t>
  </si>
  <si>
    <t xml:space="preserve">Identify items to be placed under configuration management. (Reduces risk of rework and verifies that the right version is delivered to the customer.)
确定要置于配置管理之下的项目。 （降低返工风险并验证是否向客户交付了正确的版本。）
</t>
  </si>
  <si>
    <t>- Conducting a comprehensive inventory of project artifacts and deliverables.
- Assessing the criticality and interdependencies of each item.
- Establishing criteria for inclusion/exclusion in the configuration management system.</t>
  </si>
  <si>
    <t>- Inventory list of project artifacts and deliverables.
- Criticality assessment matrix for project items.
- Inclusion/exclusion criteria documentation for configuration management.</t>
  </si>
  <si>
    <t>- How does your company identify which project items should be placed under configuration management?
- Can you provide examples of the types of artifacts and deliverables that are typically included in your configuration management system?
- What criteria does your company use to determine the criticality of items for inclusion in the configuration management system?
- 你的公司如何确定应将哪些项目条目纳入配置管理？
- 你能提供一些通常包含在你的配置管理系统中的文档和交付成果的类型的示例吗？
- 你的公司使用什么标准来确定纳入配置管理系统的项目的关键性？</t>
  </si>
  <si>
    <t xml:space="preserve">Develop, keep updated, and use a configuration and change management system. (Reduces the cost and effort needed to control the integrity of work products and solutions.)
开发、保持更新并使用配置和变更管理系统。 （减少控制工作产品和解决方案完整性所需的成本和精力。）
</t>
  </si>
  <si>
    <t>- Selecting and implementing a suitable configuration management tool or system.
- Customizing the configuration management system to align with project requirements.
- Providing training to team members on how to use the configuration management system effectively.</t>
  </si>
  <si>
    <t>- Configured and deployed configuration management tool/system.
- System customization documentation.
- Training materials and sessions for team members on using the configuration management system.</t>
  </si>
  <si>
    <t>- How does your company develop and customize its configuration and change management system to meet project requirements?
- How do you ensure that the configuration management system remains up-to-date as the project progresses?
- Can you describe the process for training employees on the use of the configuration and change management system?
- 你的公司如何开发和定制其配置和变更管理系统以满足项目要求？
- 你如何确保配置管理系统在项目进行过程中保持最新？
- 你能描述一下培训员工使用配置和变更管理系统的过程吗？</t>
  </si>
  <si>
    <t>Develop or release baselines for internal use or for delivery to the customer. (Ensures the integrity of the work products.)
制定或发布基线供内部使用或交付给客户。 （确保工作产品的完整性。）</t>
  </si>
  <si>
    <t>- Identify the components of a software release.
- Document the specific versions of each component.
- Package the components together as a baseline.</t>
  </si>
  <si>
    <t>- Release notes documenting changes and updates.
- Baseline configuration documentation.
- Packaged software deliverables ready for deployment.</t>
  </si>
  <si>
    <t>- What is your company's process for developing and establishing baselines for project artifacts?
- How do you ensure that baselines are accurately documented and communicated to relevant stakeholders?
- Can you describe how baselines are managed and updated throughout the project lifecycle?
- 你的公司开发和建立项目文档的基线的过程是什么？
- 你如何确保基线被准确地记录并传达给相关的利益相关者？
- 你能描述基线在项目生命周期中是如何被管理和更新的吗？</t>
  </si>
  <si>
    <t xml:space="preserve">
</t>
  </si>
  <si>
    <t>Manage changes to the items under configuration management. (Reduces costs and schedule impacts by ensuring that only authorized changes are made.)
管理配置管理下项目的更改。 （通过确保仅进行授权的更改来降低成本和进度影响。）</t>
  </si>
  <si>
    <t>- Review change requests submitted by stakeholders.
- Evaluate the impact of proposed changes.
- Approve or reject change requests based on established criteria.</t>
  </si>
  <si>
    <t>- Change request forms detailing proposed modifications.
- Change impact analysis reports.
- Updated configuration management plan reflecting approved changes.</t>
  </si>
  <si>
    <t>- How does your company manage and track changes to items placed under configuration management?
- Can you describe the process for reviewing and approving changes to project artifacts?
- How do you ensure that changes are properly documented and communicated to relevant stakeholders?
- 你的公司如何管理和跟踪放置在配置管理下的项目的变更？
- 你能描述一下审查和批准项目文档变更的过程吗？
- 你如何确保变更被适当地记录并传达给相关的利益相关者？</t>
  </si>
  <si>
    <t>Develop, keep updated, and use records describing items under configuration management. (Reduces rework through accurate descriptions of the configuration items and status of changes.)
开发、保持更新和使用描述配置管理下的项目的记录。 （通过准确描述配置项和更改状态来减少返工。）</t>
  </si>
  <si>
    <t>- Maintain a centralized repository for configuration item records.
- Regularly update records to reflect changes in item status.
- Ensure accessibility and usability of configuration records for relevant stakeholders.</t>
  </si>
  <si>
    <t>- Configuration item records including version history and metadata.
- Configuration management database (CMDB) or similar system.
- Documentation outlining record management procedures and guidelines.</t>
  </si>
  <si>
    <t>- What records does your company maintain to describe items under configuration management?
- How are these records updated and maintained throughout the project lifecycle?
- How do you ensure that all relevant stakeholders have access to the necessary records?
- 你的公司维护哪些记录来描述配置管理下的项目？
- 这些记录如何在项目生命周期中更新和维护？
- 你如何确保所有相关的利益相关者都能访问必要的记录？</t>
  </si>
  <si>
    <t>Perform configuration audits to maintain the integrity of configuration baselines, changes, and content of the configuration management system. (Increases customer satisfaction and stakeholder acceptance by ensuring that the customer receives the agreed-on and correct versions of work products and solutions.)
执行配置审核以维护配置基线、更改和配置管理系统内容的完整性。 （通过确保客户收到商定的正确版本的工作产品和解决方案来提高客户满意度和利益相关者的接受度。）</t>
  </si>
  <si>
    <t>- Schedule and conduct regular audits of configuration items and baselines.
- Compare current configurations against established baselines.
- Identify and rectify inconsistencies or unauthorized changes.</t>
  </si>
  <si>
    <t>- Audit reports detailing findings and corrective actions.
- Baseline comparison documents highlighting deviations.
- Documentation of audit procedures and outcomes for compliance purposes.</t>
  </si>
  <si>
    <t>- How does your company conduct configuration audits to ensure the integrity of configuration baselines?
- Can you describe the frequency and scope of configuration audits performed?
- How are audit findings addressed and documented to maintain the integrity of the configuration management system?
- 你的公司如何进行配置审核以确保配置基线的完整性？
- 你能描述执行配置审核的频率和范围吗？
- 审核结果如何处理和记录以保持配置管理系统的完整性？</t>
  </si>
  <si>
    <t>DECISION ANALYSIS AND RESOLUTION</t>
  </si>
  <si>
    <t>决策分析和解决</t>
  </si>
  <si>
    <t xml:space="preserve">Make and record decisions using a recorded process that analyzes alternatives. </t>
    <phoneticPr fontId="3" type="noConversion"/>
  </si>
  <si>
    <t>使用分析备选方案的已记录过程做出并记录决策</t>
  </si>
  <si>
    <t xml:space="preserve">Increases the objectivity of decision making and the probability of selecting the optimal solution. </t>
    <phoneticPr fontId="3" type="noConversion"/>
  </si>
  <si>
    <t>增加决策的客观性和提高找到最佳解决方案的概率</t>
  </si>
  <si>
    <t>问题</t>
    <phoneticPr fontId="3" type="noConversion"/>
  </si>
  <si>
    <t xml:space="preserve">Define and record the alternatives. (Reduces potential rework with a clear definition and understanding of the alternatives.)
</t>
  </si>
  <si>
    <t>- Brainstorming sessions to generate alternative solutions.
- Researching existing options and alternatives in the market.
- Holding discussions with stakeholders to gather different perspectives.</t>
  </si>
  <si>
    <t>- List of potential alternatives.
- Summary report outlining the pros and cons of each alternative.
- Documentation of stakeholder input regarding alternative options.</t>
  </si>
  <si>
    <t>- How does your company define and document the various alternatives when making important decisions?
- Can you provide examples of recent decisions where alternative options were identified and documented?
- 你的公司如何定义并记录重要决策时的各种备选方案？
- 能否提供最近一次决策中识别和记录备选方案的实例？</t>
  </si>
  <si>
    <t xml:space="preserve">Make and record the decision. (Provides a clear understanding of rationale and decisions made and avoids constant revisions and rework.)
</t>
  </si>
  <si>
    <t>- Conducting meetings or workshops to reach a consensus on the decision.
- Seeking approval from decision-makers.
- Documenting the final decision-making process.</t>
  </si>
  <si>
    <t>- Decision memo or report outlining the chosen alternative.
- Meeting minutes or records of decision-making discussions.
- Official approval documentation from relevant authorities.</t>
  </si>
  <si>
    <t>- What processes does your company have in place to ensure decisions are made and documented effectively?
- Could you share an instance where a decision was made, and the process and outcome were recorded?
- 贵公司有哪些流程来确保决策得到有效做出和记录？
- 能否分享一次决策的具体过程和结果被记录的情况？</t>
  </si>
  <si>
    <t/>
  </si>
  <si>
    <t>Develop, keep updated, and use rules to determine when to follow a recorded process for criteria-based decisions. (Reduces costs by focusing on the most important decisions.)
制定、保持更新并使用规则来确定何时遵循记录的流程来进行基于标准的决策。 （通过专注于最重要的决策来降低成本。）</t>
  </si>
  <si>
    <t>- Establishing clear guidelines and protocols for decision-making processes.
- Regularly reviewing and updating decision-making rules based on feedback and changes in circumstances.
- Training employees on how to adhere to decision-making rules.</t>
  </si>
  <si>
    <t>- Decision-making framework document outlining the rules and procedures.
- Training materials and manuals for employees.
- Feedback and evaluation reports on the effectiveness of decision-making rules.</t>
  </si>
  <si>
    <t>- How does your company establish and update rules for determining when to follow a specific decision-making process?
- Can you describe how these rules are utilized in practice when making criteria-based decisions?
- 贵公司如何制定和更新规则，以确定何时遵循特定的决策流程？
- 可以描述一下这些规则在实践中如何在基于标准的决策时使用吗？</t>
  </si>
  <si>
    <t>Develop criteria for evaluating alternatives. (Enables consistent selection of optimal solutions.)
制定评估替代方案的标准。 （能够一致地选择最佳解决方案。）</t>
  </si>
  <si>
    <t>- Analyzing the requirements and objectives of the decision.
- Identifying key factors that need to be considered in evaluating alternatives.
- Consulting with subject matter experts to define relevant criteria.</t>
  </si>
  <si>
    <t>- Criteria matrix outlining the factors and their importance.
- Documentation of discussions with experts regarding criteria definition.
- Report summarizing the rationale behind selected criteria.</t>
  </si>
  <si>
    <t xml:space="preserve">- How does your company develop criteria for evaluating different alternatives when faced with important decisions?
- Could you provide examples of specific criteria used in recent decision-making processes?
- 贵公司如何制定评估不同备选方案的标准，当面临重要决策时？
- 能否提供最近决策中使用的具体标准的示例？
</t>
  </si>
  <si>
    <t xml:space="preserve">Identify alternative solutions. (Increases the quality of the solution and customer satisfaction.)
确定替代解决方案。 （提高解决方案的质量和客户满意度。）
</t>
  </si>
  <si>
    <t>- Conducting market research to identify potential solutions.
- Brainstorming sessions to generate alternative ideas.
- Analyzing past successful approaches or case studies for inspiration.</t>
  </si>
  <si>
    <t>- List of potential alternative solutions.
- Summary report comparing different options.
- Documentation of research findings and sources of alternative solutions.</t>
  </si>
  <si>
    <t>- What methods does your company employ to identify various alternative solutions when faced with a decision?
- Can you give examples of recent decisions where multiple alternative solutions were considered?
- 贵公司采用什么方法来识别在决策时的各种备选方案？
- 可以提供最近一次决策中考虑到多个备选方案的实例吗？</t>
  </si>
  <si>
    <t xml:space="preserve">Select evaluation methods. (Optimizes the cost, schedule, and performance for the decision being made.)
选择评估方法。 （优化所做出决策的成本、进度和性能。）
</t>
  </si>
  <si>
    <t>- Consulting with subject matter experts to determine appropriate evaluation methods based on the nature of the decision.
- Conducting pilot tests or simulations to assess the effectiveness of different evaluation methods.
- Reviewing best practices and industry standards to select relevant evaluation frameworks.</t>
  </si>
  <si>
    <t>- Evaluation method selection report outlining the rationale for choosing specific evaluation methods.
- Evaluation criteria matrix specifying the criteria to be used.
- Documentation of pilot test results and feedback from stakeholders.</t>
  </si>
  <si>
    <t>- How does your company determine which evaluation methods to use when assessing alternative solutions?
- Could you provide examples of evaluation methods employed in recent decision-making processes?
- 贵公司如何确定在评估备选方案时使用哪种评估方法？
- 能否提供最近决策中使用的评估方法的示例？</t>
  </si>
  <si>
    <t>Evaluate and select solutions using criteria and methods. (Ensures that the optimal solution is selected.)
使用标准和方法评估和选择解决方案。 （确保选择最佳解决方案。）</t>
  </si>
  <si>
    <t>- Applying the chosen evaluation methods to assess each alternative solution against predetermined criteria.
- Holding consensus-building meetings or workshops to discuss the strengths and weaknesses of each solution.
- Conducting cost-benefit analyses or risk assessments to inform the decision-making process.</t>
  </si>
  <si>
    <t>- Solution evaluation report summarizing the results of the assessment process for each alternative solution.
- Decision matrix illustrating the comparative analysis of solutions based on evaluation criteria.
- Recommendation memo outlining the selected solution, rationale behind the decision, and proposed implementation plan.</t>
  </si>
  <si>
    <t>- How does your company evaluate and select solutions based on predetermined criteria and methods?
- Can you walk me through a recent decision-making process where solutions were evaluated and selected using specific criteria and methods?
- 贵公司如何根据预先确定的标准和方法评估和选择方案？
- 可以通过最近一次决策的具体案例，演示如何使用特定标准和方法评估和选择方案吗？</t>
  </si>
  <si>
    <t>Develop, keep updated, and use a description of role-based decision authority. (Reduces business risk by ensuring the appropriate levels of authority are making and approving decisions.)
开发、保持更新并使用基于角色的决策权限的描述。 （通过确保适当级别的权力制定和批准决策来降低业务风险。）</t>
  </si>
  <si>
    <t>- Defining roles and responsibilities for decision-making within the organization.
- Establishing clear escalation paths for decisions that require higher authority.
- Regularly reviewing and updating role descriptions based on organizational changes.</t>
  </si>
  <si>
    <t>- Role-based decision authority matrix outlining decision-making responsibilities.
- Organizational chart depicting decision-making hierarchy.
- Documentation of role descriptions and responsibilities.</t>
  </si>
  <si>
    <t>- How does your company define and maintain descriptions of role-based decision authority within the organization?
- Can you provide examples of how role-based decision authority is utilized in practice within your company?
- 贵公司如何定义和维护组织内基于角色的决策权限描述？
- 能否提供基于角色的决策权限在贵公司内部实践中的示例？</t>
  </si>
  <si>
    <t>ESTIMATING</t>
  </si>
  <si>
    <t xml:space="preserve"> 估算</t>
  </si>
  <si>
    <t xml:space="preserve">Intent </t>
    <phoneticPr fontId="3" type="noConversion"/>
  </si>
  <si>
    <t xml:space="preserve">Estimate the size, effort, duration, and cost of the work and resources needed to develop, acquire, or deliver the solution. </t>
    <phoneticPr fontId="3" type="noConversion"/>
  </si>
  <si>
    <t>估算开发、采购或交付解决方案所需的工作和资源的规模、工作量、周期和成本。</t>
  </si>
  <si>
    <t xml:space="preserve">Value </t>
    <phoneticPr fontId="3" type="noConversion"/>
  </si>
  <si>
    <t xml:space="preserve">Estimation provides a basis for making commitments, planning, and reducing uncertainty, which allows for early corrective actions and increases the likelihood of meeting objectives. </t>
    <phoneticPr fontId="3" type="noConversion"/>
  </si>
  <si>
    <t>估算为做出承诺、策划和减少不确定性提供了依据，有助于尽早采取纠正措施并提高实现目标的可能性</t>
  </si>
  <si>
    <t xml:space="preserve">Develop high-level estimates to perform the work. (Addresses work size, cost, and schedule uncertainties to avoid pursuing work that may result in schedule or budget overruns.)
制定执行工作的高级估计。 （解决工作规模、成本和进度的不确定性，以避免从事可能导致进度或预算超支的工作。）
</t>
  </si>
  <si>
    <t>- Brainstorming session with project team members to discuss the scope of work and generate initial high-level estimates.
- Reviewing historical project data to identify similar projects and their associated high-level estimates.
- Conducting expert interviews with stakeholders or subject matter experts to gather insights for developing high-level estimates.</t>
  </si>
  <si>
    <t>- High-level estimate spreadsheet outlining estimated effort, duration, and cost for the project.
- Meeting minutes documenting discussions and decisions made during the brainstorming session.
- Comparison report summarizing historical project data and its relevance to the current project's estimation process.</t>
  </si>
  <si>
    <t>- Can you describe the process you follow to develop high-level estimates for performing the work?
- 你能描述一下你用来制定执行工作的高级估算的过程吗？</t>
  </si>
  <si>
    <t>Develop, keep updated, and use the scope of what is being estimated. (Ensures the entire solution is addressed which increases the likelihood of meeting objectives and avoiding rework.)
开发、保持更新并使用所估计的范围。 （确保解决整个解决方案，从而增加实现目标并避免返工的可能性。）</t>
  </si>
  <si>
    <t>- Collaborating with project stakeholders to define and refine the project scope document.
- Conducting regular scope review meetings to ensure alignment with project objectives and identify any scope changes.
- Documenting scope changes and their impact on the estimation process.</t>
  </si>
  <si>
    <t>- Project scope document detailing project objectives, deliverables, and constraints.
- Scope change log recording any modifications to the project scope throughout the project lifecycle.
- Scope validation report confirming the accuracy and completeness of the project scope for estimation purposes.</t>
  </si>
  <si>
    <t>- How do you ensure that the scope of what is being estimated is kept updated throughout the estimation process?
- Can you describe a situation where changes in scope affected the estimation process, and how it was managed?
- 你如何确保在估算过程中所估算的范围始终保持更新？
- 你能描述一个范围变化影响了估算过程的情况，以及如何处理？</t>
  </si>
  <si>
    <t>Develop and keep updated estimates for the size of the solution. (Enables work tracking and timely corrective actions to deliver the solution on time and within budget.)
制定并更新对解决方案规模的估计。 （支持工作跟踪和及时的纠正措施，以便在预算范围内按时交付解决方案。）</t>
  </si>
  <si>
    <t>- Analyzing project requirements to determine the size of the solution in terms of functional and technical components.
- Using software estimation techniques such as function point analysis or lines of code to quantify the size of the solution.
- Iteratively refining size estimates based on evolving project requirements and design decisions.</t>
  </si>
  <si>
    <t>- Solution size estimation document specifying the estimated size metrics used and their rationale.
- Size estimation model detailing the breakdown of the solution into measurable components.
- Size estimation log tracking changes to size estimates over time and reasons for adjustments.</t>
  </si>
  <si>
    <t>- What methods or tools do you use to develop and maintain estimates for the size of the solution?
- How do you ensure that size estimates are regularly updated as the project progresses or new information becomes available?
- 你使用什么方法或工具来开发和维护解决方案规模的估算？
- 你如何确保规模估算在项目进展或有新信息可用时定期更新？</t>
  </si>
  <si>
    <t xml:space="preserve">Based on size estimates, develop and record effort, duration, and cost estimates and their rationale for the solution. (Enables a better basis for commitments and improves accuracy of the estimates, leading to better decision-making.)
根据规模估算，制定并记录工作量、持续时间和成本估算及其解决方案的基本原理。 （为承诺提供更好的基础并提高估计的准确性，从而做出更好的决策。）
</t>
  </si>
  <si>
    <t>- Utilizing historical productivity data and industry benchmarks to translate size estimates into effort, duration, and cost estimates.
- Conducting sensitivity analysis to assess the impact of different variables on effort, duration, and cost estimates.
- Documenting the rationale behind effort, duration, and cost estimates, including any assumptions made and risks identified.</t>
  </si>
  <si>
    <t>- Effort, duration, and cost estimation report outlining the calculated estimates and the reasoning behind them.
- Sensitivity analysis spreadsheet showing the sensitivity of estimates to changes in key variables.
- Assumptions and risks register documenting the assumptions made and risks identified during the estimation process.</t>
  </si>
  <si>
    <t>- How do you determine effort, duration, and cost estimates based on size estimates, and what rationale do you use for the solution?
- 你如何根据规模估算确定工作量、持续时间和成本估算，并且你使用什么理由来解决方案？</t>
  </si>
  <si>
    <t xml:space="preserve">Develop and keep updated a recorded estimation method. (Maximizes consistency and efficiency for developing accurate estimates and increases the likelihood of meeting objectives.)
制定并保持更新记录的估算方法。 （最大限度地提高制定准确估算的一致性和效率，并增加实现目标的可能性。）
</t>
  </si>
  <si>
    <t>- Designing a standardized estimation process tailored to the organization's specific needs and project types.
- Documenting the estimation method in a comprehensive guide or manual for reference by project teams.
- Conducting regular reviews and updates to the estimation method based on lessons learned and industry best practices.</t>
  </si>
  <si>
    <t>- Estimation method documentation detailing the step-by-step process for conducting estimates.
- Estimation tool or template customized to automate and streamline the estimation process.
- Estimation method review report summarizing feedback from project teams and proposed updates to the estimation method.</t>
  </si>
  <si>
    <t>- Could you walk me through the process of recording estimations and how this method is updated over time?
- How do you ensure that the recorded estimation method remains relevant and effective in different project scenarios?
- 你能为我详细介绍一下记录估算的过程以及如何随时间更新这种方法吗？
- 你如何确保记录的估算方法在不同的项目场景中保持相关性和有效性？</t>
  </si>
  <si>
    <t>Use the organizational measurement repository and process assets for estimating work. (Increases estimation precision, accuracy, and consistency enabling better decision-making, a higher likelihood of meeting objectives, and reduced risk.)
使用组织测量存储库和流程资产来估算工作。 （提高估计精度、准确度和一致性，从而实现更好的决策、提高实现目标的可能性并降低风险。）</t>
  </si>
  <si>
    <t>- Accessing the organizational measurement repository to gather historical data on project performance metrics.
- Leveraging process assets such as templates, guidelines, and checklists to ensure consistency and quality in the estimation process.
- Collaborating with the organization's measurement team to identify and incorporate relevant data sources and tools for estimation.</t>
  </si>
  <si>
    <t>- Organizational measurement repository access log documenting who accessed which historical data and when.
- Process asset utilization report tracking the use of templates, guidelines, and other process assets during the estimation process.
- Collaboration record detailing discussions and agreements with the measurement team regarding data sources and tools for estimation.</t>
  </si>
  <si>
    <t>- How do you integrate the organizational measurement repository and process assets into the estimation process?
- Can you provide an example of how utilizing the organizational measurement repository improved the accuracy of an estimation?
- 你如何将组织的测量存储库和过程资产整合到估算过程中？
- 你能提供一个利用组织的测量存储库提高估算准确性的例子吗？</t>
  </si>
  <si>
    <t>GOVERNANCE</t>
  </si>
  <si>
    <t>治理</t>
  </si>
  <si>
    <t>Provides guidance to senior management on their role in the sponsorship and governance of performance, processes, and related activities.</t>
  </si>
  <si>
    <t>指导高级管理层履行其在过程活动的发起和治理中的职责</t>
  </si>
  <si>
    <t>Minimizes the cost of process implementation, increases the likelihood of meeting objectives, and verifies that the implemented processes support and contribute to the success of the business.</t>
  </si>
  <si>
    <t>最大限度地降低过程实施成本，提高实现目标地可能性，并确保实施地过程支持并促成业务成功</t>
  </si>
  <si>
    <t>Senior management identifies what is important for doing the work and defines the approach needed to accomplish the objectives of the organization. (Increases the likelihood that the organization implements and improves processes efficiently and effectively to meet business objectives.)
高级管理层确定工作的重要内容，并定义实现组织目标所需的方法。 （增加组织高效且有效地实施和改进流程以实现业务目标的可能性。）</t>
  </si>
  <si>
    <t>- Conducting strategic planning sessions.
- Analyzing market trends and competitive landscape.
- Holding brainstorming sessions with key stakeholders.</t>
  </si>
  <si>
    <t>- Strategic objectives document outlining key priorities.
- Strategic roadmap defining the approach for achieving objectives.
- Executive summary presenting the identified priorities and proposed approach.</t>
  </si>
  <si>
    <t>- How does senior management identify and prioritize what is crucial for accomplishing the organization's objectives?
- Can you describe the approach senior management takes to define and refine strategies for achieving organizational goals?
- 高级管理层如何确定和优先考虑完成组织目标所必须的关键事项？
- 能描述一下高级管理层制定和完善战略以实现组织目标的方法吗？</t>
  </si>
  <si>
    <t>高层如何识别工作重点？高层如何定义实现组织目标所需的方法？</t>
    <phoneticPr fontId="3" type="noConversion"/>
  </si>
  <si>
    <t>Senior management defines, keeps updated, and communicates organizational directives for process implementation and performance improvement based on organization needs and objectives. (Increases likelihood of meeting organizational needs and objectives because work is performed in accordance with senior management's expectations and priorities.)
高级管理层根据组织的需求和目标定义、不断更新并传达流程实施和绩效改进的组织指令。 （增加满足组织需求和目标的可能性，因为工作是根据高级管理层的期望和优先事项进行的。）</t>
  </si>
  <si>
    <t>- Drafting organizational policies and procedures.
- Conducting regular meetings to communicate directives.
- Reviewing and updating directives based on organizational needs.</t>
  </si>
  <si>
    <t>- Organizational policy handbook outlining process implementation guidelines.
- Meeting minutes documenting communication of directives.
- Updated directives document reflecting changes and improvements.</t>
  </si>
  <si>
    <t>- How frequently are organizational directives for process implementation and performance improvement updated and communicated by senior management?
- Can you provide examples of how senior management tailors directives to meet the specific needs and objectives of the organization?
- 高级管理层以多频率更新和传达流程实施和绩效改进的组织指令？
- 能举例说明高级管理层如何调整指令以满足组织特定的需求和目标？</t>
  </si>
  <si>
    <t>高级管理层定义并传达了哪些组织目标？这些目标会通过过程改进实现嘛？</t>
    <phoneticPr fontId="3" type="noConversion"/>
  </si>
  <si>
    <t>Senior management provides funding, resources, and training for developing, supporting, performing, improving, and evaluating adherence to processes. (Increases the likelihood that senior management's priorities for improvement will be met.)
高级管理层为开发、支持、执行、改进和评估流程的遵守情况提供资金、资源和培训。 （增加高级管理层的改进优先事项得到满足的可能性。）</t>
  </si>
  <si>
    <t>- Allocating budget for process improvement initiatives.
- Organizing training workshops on new processes.
- Providing access to tools and technologies for process support.</t>
  </si>
  <si>
    <t>- Budget allocation spreadsheet detailing resource allocation.
- Training manuals and materials for workshops.
- Inventory list of tools and technologies available for process support.</t>
  </si>
  <si>
    <t>- How does senior management allocate resources, including funding and training, to support the adherence to processes within the organization?
- Could you elaborate on the types of training and development opportunities provided by senior management to enhance process adherence and performance improvement?
- 高级管理层如何分配资源，包括资金和培训，以支持组织内的流程遵守？
- 您能详细介绍一下高级管理层提供的培训和发展机会，以增强流程遵守和绩效改进？</t>
  </si>
  <si>
    <t>（高层）为开发、支持/执行过程/改进过程/评估对期望过程的遵循情况提供了哪些资源和培训？</t>
    <phoneticPr fontId="3" type="noConversion"/>
  </si>
  <si>
    <t>Senior management identifies their information needs and uses the collected information to provide governance and oversight of effective process implementation and performance improvement. (Aligns the information senior management receives with their business needs to increase the likelihood of meeting business objectives.)
高级管理层确定他们的信息需求，并使用收集到的信息来对有效流程实施和绩效改进进行治理和监督。 （使高级管理层收到的信息与其业务需求保持一致，以增加实现业务目标的可能性。）</t>
  </si>
  <si>
    <t>- Conducting surveys and feedback sessions.
- Reviewing performance reports and metrics.
- Engaging in cross-functional meetings to gather insights.</t>
  </si>
  <si>
    <t>- Survey results summary report highlighting key findings.
- Performance dashboard tracking process implementation.
- Meeting minutes documenting information gathered for governance and oversight.</t>
  </si>
  <si>
    <t>- How does senior management determine their information needs regarding process implementation and performance improvement?
- Can you explain how senior management utilizes collected information to provide governance and oversight in ensuring effective process implementation and performance improvement?
- 高级管理层如何确定有关流程实施和绩效改进的信息需求？
- 能解释一下高级管理层如何利用收集到的信息提供监督和管理，以确保有效实施流程和绩效改进吗？</t>
  </si>
  <si>
    <t>（高层）如何对有效的过程实施和改进提供治理和监督？</t>
    <phoneticPr fontId="3" type="noConversion"/>
  </si>
  <si>
    <t>Senior management assigns authority and holds people accountable for adhering to organization directives and achieving process implementation and performance improvement objectives. (Ensures that directives drive the implementation and improvement of processes to meet business objectives.)
高级管理层分配权力并要求人员负责遵守组织指令并实现流程实施和绩效改进目标。 （确保指令推动流程的实施和改进，以实现业务目标。）</t>
  </si>
  <si>
    <t>- Designating process owners and champions.
- Establishing performance review mechanisms.
- Implementing consequence management for non-compliance.</t>
  </si>
  <si>
    <t>- RACI matrix outlining roles and responsibilities.
- Performance appraisal forms including process adherence criteria.
- Incident report log documenting consequences for non-adherence.</t>
  </si>
  <si>
    <t>- How does senior management assign authority to individuals within the organization to ensure adherence to directives and achievement of objectives?
- What mechanisms does senior management have in place to hold individuals accountable for their role in process implementation and performance improvement?
- 高级管理层如何分配权力给组织内的个人，以确保遵守指令和实现目标？
- 高级管理层有哪些机制来追究个人在流程实施和绩效改进中的责任？</t>
  </si>
  <si>
    <t>Senior management ensures that measures supporting objectives throughout the organization are collected, analyzed, and used. (Increases the organization's ability to successfully deliver its solutions.)
高级管理层确保收集、分析和使用支持整个组织目标的措施。 （提高组织成功交付解决方案的能力。）</t>
  </si>
  <si>
    <t>- Implementing data collection mechanisms.
- Conducting regular data analysis sessions.
- Reviewing performance trends and making adjustments.</t>
  </si>
  <si>
    <t>- Data collection plan specifying metrics and data sources.
- Analysis reports highlighting performance trends.
- Action plan outlining adjustments based on analysis findings.</t>
  </si>
  <si>
    <t>- How does senior management ensure that relevant measures supporting organizational objectives are collected and analyzed?
- Can you provide examples of how senior management utilizes the collected measures to inform decision-making and drive improvement initiatives? 
- 高级管理层如何确保收集和分析支持组织目标的相关措施？
- 能举例说明高级管理层如何利用收集到的措施来指导决策并推动改进计划吗？</t>
  </si>
  <si>
    <t>您如何（高级管理层）确保收集，分析和使用支持目标的度量？</t>
    <phoneticPr fontId="3" type="noConversion"/>
  </si>
  <si>
    <t>Senior management ensures that competencies and processes are aligned with the objectives of the organization. (Improves the capability of the organization to meet its objectives.)
高级管理层确保能力和流程与组织的目标保持一致。 （提高组织实现其目标的能力。）</t>
  </si>
  <si>
    <t>- Conducting skills assessment of workforce.
- Mapping competencies to process requirements.
- Providing targeted training and development programs.</t>
  </si>
  <si>
    <t>- Competency matrix mapping skills to process needs.
- Training schedule outlining development programs.
- Individual development plans for employees aligning competencies with process objectives.</t>
  </si>
  <si>
    <t>- How does senior management ensure that competencies within the organization are aligned with its objectives?
- Could you describe the process by which senior management ensures that organizational processes remain aligned with the overall objectives?
- 高级管理层如何确保组织内的能力与其目标保持一致？
- 能描述一下高级管理层确保组织流程与整体目标保持一致的流程吗？</t>
  </si>
  <si>
    <t>（高层）您如何确保能力和过程与组织目标的一致性？</t>
    <phoneticPr fontId="3" type="noConversion"/>
  </si>
  <si>
    <t>Senior management verifies that selected decisions are driven by statistical and quantitative analysis related to performance and achievement of quality and process performance objectives. (Strengthens decision-making by using statistical and quantitative analysis to optimize organizational performance.)
高级管理层验证所选决策是由与质量和流程绩效目标的绩效和实现相关的统计和定量分析驱动的。 （通过使用统计和定量分析来优化组织绩效来加强决策。）</t>
  </si>
  <si>
    <t>- Conducting statistical process control studies.
- Performing regression analysis on process variables.
- Reviewing hypothesis testing results for decision-making.</t>
  </si>
  <si>
    <t>- How does senior management incorporate statistical and quantitative analysis into decision-making processes?
- Can you provide examples of how senior management ensures that decisions are driven by data and analysis to achieve quality and process performance objectives?
- 高级管理层如何将统计和定量分析纳入决策过程中？
- 能举例说明高级管理层如何确保决策是由数据和分析驱动的，以实现质量和流程绩效目标吗？</t>
  </si>
  <si>
    <t>（高层）如何确保所选的（关键或重要的）决策由统计和量化分析所驱动？</t>
    <phoneticPr fontId="3" type="noConversion"/>
  </si>
  <si>
    <t>IMPLEMENTATION INFRASTRUCTURE</t>
  </si>
  <si>
    <t>实施基础条件</t>
  </si>
  <si>
    <t>Ensures that the processes and assets important to an organization’s performance are habitually and persistently followed, used, and improved.</t>
  </si>
  <si>
    <t>确保针对组织重要的过程能够坚持从而形成习惯并加以应用和改进</t>
  </si>
  <si>
    <t>Sustains the ability to consistently achieve goals and objectives efficiently and effectively.</t>
  </si>
  <si>
    <t>维持有效和高效的实现目标的能力</t>
  </si>
  <si>
    <t>Perform processes that address the intent of the Level 1 practices. (Improves the likelihood that solutions are complete, correct, and timely.)
执行解决 1 级实践意图的流程。 （提高解决方案完整、正确和及时的可能性。）</t>
  </si>
  <si>
    <t>- Conduct basic task management meetings.
- Follow simple project management guidelines.
- Implement basic quality control checks.</t>
  </si>
  <si>
    <t>- Meeting minutes documenting task discussions.
- Project plan outlining basic milestones and deliverables.
- Quality assurance checklist for simple tasks.</t>
  </si>
  <si>
    <t>- How do you ensure that your processes align with the intended practices at Level 1, and what measures are in place to verify this alignment?
- Can you provide examples of how your company ensures that the processes implemented effectively address the intent of the Level 1 practices?
- 您是如何确保您的流程与一级实践的意图保持一致，并且有哪些措施可以验证这种一致性？
- 能否举例说明您的公司如何确保所实施的流程有效地满足一级实践的意图？</t>
  </si>
  <si>
    <t>Provide sufficient resources, funding, and training for developing and performing processes. (Increases the likelihood of successful process improvement efforts by having sufficient resources.)
为开发和执行流程提供足够的资源、资金和培训。 （通过拥有足够的资源来增加流程改进工作成功的可能性。）</t>
  </si>
  <si>
    <t>- Allocate budget for process improvement initiatives.
- Provide training sessions on new processes.
- Assign dedicated personnel to oversee process development.</t>
  </si>
  <si>
    <t>- Budget allocation report for process improvement.
- Training materials for newly introduced processes.
- Process development team charter outlining roles and responsibilities.</t>
  </si>
  <si>
    <t>- How does your company ensure that adequate resources, funding, and training are allocated for the development and execution of processes?
- Can you elaborate on the methods used to assess whether the resources, funding, and training provided are sufficient to support the development and implementation of processes?
- 您的公司是如何确保为流程的开发和执行分配充足的资源、资金和培训的？
- 能详细描述一下用于评估所提供的资源、资金和培训是否足以支持流程开发和实施的方法吗？</t>
  </si>
  <si>
    <t>EPG</t>
  </si>
  <si>
    <t>Develop and keep processes updated, and verify they are being followed. (Minimizes waste by ensuring affected stakeholders focus on the most valuable activities that are recorded in processes.)
开发并保持流程更新，并验证它们是否得到遵循。 （通过确保受影响的利益相关者专注于流程中记录的最有价值的活动，最大限度地减少浪费。）</t>
  </si>
  <si>
    <t>- Regularly review and update existing processes.
- Conduct process audits to ensure compliance.
- Provide guidance and support to teams on process adherence.</t>
  </si>
  <si>
    <t>- Updated process documentation with revision history.
- Audit reports highlighting compliance findings.
- Training materials addressing common process adherence issues.</t>
  </si>
  <si>
    <t>- How does your company ensure that processes are regularly updated to reflect changes in requirements or best practices, and what mechanisms are in place to verify their adherence?
- Could you describe the process your company follows to verify that updated processes are effectively followed by relevant personnel?
- 您的公司是如何确保流程定期更新以反映需求或最佳实践变化的，以及验证其是否被遵循的？
- 您能描述一下您的公司是如何验证相关人员是否有效遵循更新后的流程的过程吗？</t>
  </si>
  <si>
    <t>Use organizational processes and process assets to plan, manage, and perform the work. (Leverages organizational learning and use of best practices, leading to reductions in rework and cost, and increases in efficiency and effectiveness.)
使用组织流程和流程资产来计划、管理和执行工作。 （利用组织学习和最佳实践的使用，减少返工和成本，并提高效率和效果。）</t>
  </si>
  <si>
    <t>- Utilize standardized templates for project planning.
- Incorporate lessons learned from past projects into current planning.
- Leverage organizational knowledge repositories for process guidance.</t>
  </si>
  <si>
    <t>- Project plans developed using standardized templates.
- Lessons learned documentation integrated into project plans.
- Process repository containing relevant guidelines and best practices.</t>
  </si>
  <si>
    <t>- How does your company utilize organizational processes and assets to plan, manage, and execute work tasks effectively?
- Can you provide examples of how your organization integrates organizational processes and assets into daily work activities to enhance planning, management, and performance?
- 您的公司是如何利用组织流程和资产来有效地规划、管理和执行工作任务的？
- 能否举例说明您的组织如何将组织流程和资产整合到日常工作活动中，以增强规划、管理和执行的效果？</t>
  </si>
  <si>
    <t xml:space="preserve">
-</t>
  </si>
  <si>
    <t>- Yes/No
- By tailoring it</t>
  </si>
  <si>
    <t>Evaluate the adherence to and effectiveness of the organizational processes. (Provides insight on potential cost-effective improvements to organizational processes and how they are used.)
评估组织流程的遵守情况和有效性。 （提供有关组织流程的潜在成本效益改进及其使用方式的见解。）</t>
  </si>
  <si>
    <t>- Conduct periodic process evaluations and assessments.
- Gather feedback from team members regarding process effectiveness.
- Analyze metrics to measure process adherence and performance.</t>
  </si>
  <si>
    <t>- Evaluation reports detailing findings and recommendations.
- Survey results highlighting team feedback on process effectiveness.
- Metrics dashboard illustrating process adherence and performance trends.</t>
  </si>
  <si>
    <t>- How does your company assess the adherence of personnel to organizational processes, and what measures are in place to evaluate their effectiveness?
- What strategies does your company employ to identify areas where organizational processes may need improvement, and how are these improvements implemented?
- 您的公司是如何评估人员对组织流程的遵循程度的，以及有哪些措施用于评估其有效性？
- 您的公司采取什么策略来识别组织流程可能需要改进的领域，并如何实施这些改进？</t>
  </si>
  <si>
    <t>- PQA audits</t>
  </si>
  <si>
    <t>Contribute process-related information or process assets to the organization. (Increases return on investment by improving the organizational processes and process assets.)
向组织贡献与流程相关的信息或流程资产。 （通过改进组织流程和流程资产来提高投资回报。）</t>
  </si>
  <si>
    <t>- Document and share successful process improvement initiatives.
- Collaborate with other teams to refine and enhance existing processes.
- Participate in knowledge sharing sessions to disseminate process expertise.</t>
  </si>
  <si>
    <t>- Case studies showcasing successful process implementations.
- Updated process documentation based on collaborative refinements.
- Presentation materials for knowledge sharing sessions.</t>
  </si>
  <si>
    <t>- How do individuals within your company contribute process-related information or assets to enhance organizational effectiveness?
- Can you describe a recent instance where process-related information or assets contributed by individuals within your organization resulted in improvements or efficiencies?
- 您的公司内部个人如何贡献流程相关信息或资产以增强组织的效率？
- 能否描述最近一个由您组织内部个人贡献的流程相关信息或资产如何导致改进或效率提升？</t>
  </si>
  <si>
    <t>II 4.1</t>
  </si>
  <si>
    <t>Develop the organizational capability to understand and apply statistical and other quantitative techniques to accomplish the work. (Empowers the workforce to use information to make effective changes and meet or exceed business objectives.)
培养理解和应用统计和其他定量技术来完成工作的组织能力。 （使员工能够利用信息进行有效的变革并达到或超越业务目标。）</t>
  </si>
  <si>
    <t>- Provide training on statistical analysis methods.
- Implement data-driven decision-making processes.
- Foster a culture of continuous improvement through quantitative analysis.</t>
  </si>
  <si>
    <t>- Training curriculum on statistical analysis techniques.
- Reports demonstrating the impact of data-driven decisions.
- Documentation outlining strategies for integrating quantitative techniques into processes.</t>
  </si>
  <si>
    <t>- How does your company cultivate the capability among its workforce to understand and apply statistical and quantitative techniques to tasks and projects?
- Could you provide examples of how the application of statistical and quantitative techniques has contributed to the success of recent projects or initiatives within your organization?
- 您的公司是如何培养员工理解和应用统计和定量技术来完成任务和项目的能力？
- 您能提供一些例子，说明统计和定量技术的应用如何为您组织内最近的项目或倡议的成功做出贡献吗？</t>
  </si>
  <si>
    <t>管理性能与度量</t>
    <phoneticPr fontId="3" type="noConversion"/>
  </si>
  <si>
    <t>Manages performance using measurement and analysis to achieve business objectives.</t>
  </si>
  <si>
    <t>目的</t>
    <phoneticPr fontId="3" type="noConversion"/>
  </si>
  <si>
    <t>使用度量和分析来管理性能，以实现业务目标</t>
    <phoneticPr fontId="3" type="noConversion"/>
  </si>
  <si>
    <t>价值</t>
    <phoneticPr fontId="3" type="noConversion"/>
  </si>
  <si>
    <t>将管理和改进工作集中在成本、进度表和质量性能上，最大限度地提高业务投资回报</t>
    <phoneticPr fontId="3" type="noConversion"/>
  </si>
  <si>
    <t>Collect measures and record performance. (Enables performance management to increase likelihood of meeting objectives.)
收集措施并记录绩效。 （使绩效管理能够增加实现目标的可能性。）</t>
  </si>
  <si>
    <t>- Setting up data collection systems.
- Gathering performance metrics.
- Recording data in spreadsheets or databases.</t>
  </si>
  <si>
    <t>- Performance reports.
- Data logs.
- Measurement charts.</t>
  </si>
  <si>
    <t xml:space="preserve">- How do you currently collect performance measures, and how frequently are they recorded?
- Can you provide examples of the measures you collect and how they contribute to understanding performance?
- 您目前是如何收集绩效数据的？记录频率如何？
- 能否举例说明您收集的数据以及它们对了解绩效的贡献？
</t>
  </si>
  <si>
    <t>Identify and address performance issues. (Improves the ability to achieve objectives and increases customer satisfaction.)
识别并解决性能问题。 （提高实现目标的能力并提高客户满意度。）</t>
  </si>
  <si>
    <t>- Analyzing performance data.
- Identifying deviations from desired standards.
- Investigating the root causes of performance issues.</t>
  </si>
  <si>
    <t>- Issue identification reports.
- Root cause analysis documents.
- Corrective action plans.</t>
  </si>
  <si>
    <t>- How do you identify performance issues within your organization?
- What processes do you have in place for addressing and resolving performance issues once they are identified?
- 您是如何在组织内部辨识绩效问题的？
- 一旦辨识出绩效问题，您采取怎样的流程来解决和解决它们？</t>
  </si>
  <si>
    <t>Derive and record measurement and performance objectives from selected business needs and objectives and keep them updated. (Aligns measurement and performance activities to increase the likelihood of achieving business results.)
从选定的业务需求和目标中得出并记录测量和绩效目标，并保持更新。 （调整衡量和绩效活动以增加实现业务成果的可能性。）</t>
  </si>
  <si>
    <t>- Reviewing business objectives.
- Defining measurable goals.
- Documenting performance objectives.</t>
  </si>
  <si>
    <t>- Objective documentation.
- Performance goal tracking sheets.
- Objective alignment reports.</t>
  </si>
  <si>
    <t>- How do you ensure that your measurement and performance objectives are aligned with your business needs and objectives?
- Can you describe the process you follow to update and revise these objectives over time?
- 您如何确保您的测量和绩效目标与业务需求和目标保持一致？
- 您能描述一下您如何按照流程更新和修订这些目标吗？</t>
  </si>
  <si>
    <t>Develop, keep updated, and use operational definitions for measures. (Increases the consistency of measures and the likelihood that business needs and objectives are met efficiently and effectively.)
制定、保持更新并使用措施的操作定义。 （提高措施的一致性以及高效且有效地满足业务需求和目标的可能性。）</t>
  </si>
  <si>
    <t>- Defining measurement terms.
- Documenting measurement processes.
- Updating definitions based on feedback.</t>
  </si>
  <si>
    <t>- Operational definition documents.
- Measurement procedure manuals.
- Glossaries of measurement terms.</t>
  </si>
  <si>
    <t>- How do you define and maintain operational definitions for the measures you use?
- In what ways do you ensure that these definitions remain relevant and accurate as your business evolves?
- 您是如何定义和维护您使用的测量的操作定义的？
- 您如何确保随着业务的发展，这些定义保持相关和准确？</t>
  </si>
  <si>
    <t>Obtain specified measurement data according to the operational definitions. (Improves decisions and increases the likelihood of successfully completing projects.)
根据操作定义获取指定的测量数据。 （改善决策并增加成功完成项目的可能性。）</t>
  </si>
  <si>
    <t>- Implementing data collection procedures.
- Ensuring data integrity.
- Verifying compliance with operational definitions.</t>
  </si>
  <si>
    <t>- Data collection protocols.
- Quality assurance reports.
- Data validation summaries.</t>
  </si>
  <si>
    <t>- What methods do you employ to ensure the accuracy and reliability of the measurement data you collect?
- Can you describe any challenges you face in obtaining specified measurement data, and how you address them?
- 您采取哪些方法来确保您收集的测量数据的准确性和可靠性？
- 能描述一下您在获取指定的测量数据方面面临的任何挑战，以及您是如何解决它们的吗？</t>
  </si>
  <si>
    <t>Analyze performance and measurement data according to the operational definitions. (Provides insight into performance and actions needed to meet objectives.)
根据操作定义分析性能和测量数据。 （深入了解实现目标所需的绩效和行动。）</t>
  </si>
  <si>
    <t>- Conduct statistical analysis on collected data.
- Compare current performance metrics with predefined benchmarks.
- Identify trends and patterns in measurement data.</t>
  </si>
  <si>
    <t>- Statistical analysis reports highlighting key performance indicators (KPIs).
- Graphical representations illustrating performance trends over time.
- Summary of findings detailing deviations from expected performance.</t>
  </si>
  <si>
    <t>- How do you analyze performance and measurement data to derive meaningful insights?
- What tools or methodologies do you use to ensure that your analysis aligns with the operational definitions of your measures?
- 您如何分析绩效和测量数据以得出有意义的见解？
- 您使用哪些工具或方法来确保您的分析与您的测量的操作定义保持一致？</t>
  </si>
  <si>
    <t>Store measurement data, measurement specifications, and analysis results according to the operational definitions. (Enables analysis of performance to improve the likelihood of repeating successes.)
根据操作定义存储测量数据、测量规范和分析结果。 （启用绩效分析以提高重复成功的可能性。）</t>
  </si>
  <si>
    <t>- Establish a secure data storage system.
- Regularly update measurement specifications and analysis results.
- Ensure compliance with data management policies and procedures.</t>
  </si>
  <si>
    <t>- Centralized measurement repository containing organized data sets.
- Documented measurement specifications detailing data collection methods.
- Audit reports demonstrating adherence to data storage protocols.</t>
  </si>
  <si>
    <t>- How do you organize and store measurement data, specifications, and analysis results to ensure accessibility and reliability?
- Can you discuss any protocols or systems you have in place to maintain the integrity and security of this data?
- 您如何组织和存储测量数据、规格和分析结果，以确保可访问性和可靠性？
- 您有哪些协议或系统来维护这些数据的完整性和安全性？</t>
  </si>
  <si>
    <t>Take actions to address identified issues with meeting measurement and performance objectives. (Enables the ability to meet performance objectives. )
采取行动解决已识别的问题，以实现衡量和绩效目标。 （能够实现绩效目标。）</t>
  </si>
  <si>
    <t>- Collaborate with relevant stakeholders to identify root causes of performance issues.
- Develop action plans to address identified deficiencies.
- Implement corrective measures to improve performance outcomes.</t>
  </si>
  <si>
    <t>- Action plans outlining steps to rectify performance issues.
- Progress reports tracking the implementation of corrective actions.
- Evaluation reports assessing the effectiveness of implemented measures.</t>
  </si>
  <si>
    <t>- Once performance issues are identified, how do you prioritize and decide on appropriate actions to address them?
- Can you provide examples of actions taken in response to specific performance issues, and their outcomes?
- 一旦辨识出绩效问题，您如何优先考虑并决定采取合适的行动来解决它们？
- 能否举例说明针对特定绩效问题采取的行动及其结果？</t>
  </si>
  <si>
    <t>Develop, keep updated, and use the organization’s measurement and performance objectives traceable to business objectives. (Optimizes resource usage to improve business success.)
制定、保持更新并使用可追溯到业务目标的组织衡量和绩效目标。 （优化资源使用以提高业务成功率。）</t>
  </si>
  <si>
    <t>- Aligning performance objectives with strategic goals.
- Updating objectives based on changing business priorities.
- Ensuring consistency across departments.</t>
  </si>
  <si>
    <t>- Objective alignment matrices.
- Performance objective revision logs.
- Strategic alignment assessments.</t>
  </si>
  <si>
    <t>- How are your measurement and performance objectives directly linked to your overarching business objectives?
- Can you demonstrate how changes in business objectives are reflected in updates to measurement and performance objectives?
- 您的测量和绩效目标如何直接与您的总体业务目标相关？
- 您能否演示业务目标变化如何反映在测量和绩效目标的更新中？</t>
  </si>
  <si>
    <t>Follow organizational processes and standards to develop and use operational definitions for measures and keep them updated. (Enables consistent collection, understanding, and use of organizational measurement and performance data to improve performance and increase likelihood of success.)
遵循组织流程和标准来开发和使用措施的操作定义并保持更新。 （能够一致地收集、理解和使用组织衡量和绩效数据，以提高绩效并增加成功的可能性。）</t>
  </si>
  <si>
    <t>- Adhering to standardized measurement procedures.
- Reviewing and updating measurement protocols.
- Training staff on measurement standards.</t>
  </si>
  <si>
    <t>- Standard operating procedures (SOPs).
- Measurement protocol manuals.
- Training materials.</t>
  </si>
  <si>
    <t>- What specific processes and standards do you adhere to when developing and updating operational definitions?
- How do you ensure consistency and alignment across different teams or departments in defining and using these measures?
- 在制定和更新操作定义时，您遵循哪些具体的流程和标准？
- 您如何确保在不同团队或部门之间定义和使用这些测量时保持一致性和对齐性？</t>
  </si>
  <si>
    <t>Develop, keep updated, and follow a data quality process. (Ensures that use of the measurement and performance data results in better decision-making.)
开发、保持更新并遵循数据质量流程。 （确保使用测量和性能数据可以做出更好的决策。）</t>
  </si>
  <si>
    <t>- Establishing data quality standards.
- Implementing data validation procedures.
- Continuously monitoring data quality.</t>
  </si>
  <si>
    <t>- Data quality assurance guidelines.
- Data validation checklists.
- Quality control reports.</t>
  </si>
  <si>
    <t>- What measures do you have in place to maintain the quality and integrity of your data throughout its lifecycle?
- How do you ensure compliance with data quality processes across different aspects of your organization's operations?
- 您采取哪些措施来在整个数据生命周期中保持数据的质量和完整性？
- 您如何确保在组织的运作的不同方面遵循数据质量流程的合规性？</t>
  </si>
  <si>
    <t>Develop, keep updated, and use the organization's measurement repository. (Supports informed decisions leading to more successful projects through timely access to measurement and performance data.)
开发、保持更新并使用组织的测量存储库。 （通过及时访问测量和绩效数据，支持明智的决策，从而使项目更加成功。）</t>
  </si>
  <si>
    <t>- Design and develop a structured measurement repository.
- Regularly update the repository with new measurement data and specifications.
- Train staff on how to effectively utilize the measurement repository.</t>
  </si>
  <si>
    <t>- Comprehensive documentation outlining the structure and functionality of the measurement repository.
- Updated measurement repository containing the latest performance data.
- Training materials and manuals for staff on accessing and using the measurement repository.</t>
  </si>
  <si>
    <t>- Can you describe the structure and functionality of your organization's measurement repository?
- How do you ensure that the measurement repository remains up-to-date and accessible to relevant stakeholders?
- 能描述一下您组织的测量库的结构和功能？
- 您如何确保测量库保持更新并对相关利益相关者可访问？</t>
  </si>
  <si>
    <t>Analyze organizational performance using measurement and performance data to determine and address performance improvement needs. (Contributes to business success through the analysis and improvement of performance.)
使用测量和绩效数据分析组织绩效，以确定和解决绩效改进需求。 （通过分析和改进绩效为业务成功做出贡献。）</t>
  </si>
  <si>
    <t>- Conduct in-depth analysis of organizational performance metrics.
- Identify areas for improvement based on performance data.
- Develop strategies and initiatives to address performance gaps.</t>
  </si>
  <si>
    <t>- Performance analysis reports highlighting areas of strength and weakness.
- Recommendations for performance improvement initiatives.
- Implementation plans outlining steps to address identified improvement areas.</t>
  </si>
  <si>
    <t>- How do you use measurement and performance data to identify areas for performance improvement within your organization?
- Can you provide examples of initiatives or strategies implemented based on the analysis of organizational performance data?
- 您如何利用测量和绩效数据识别组织内绩效改进的领域？
- 能否提供基于组织绩效数据分析实施的倡议或策略的例子？</t>
  </si>
  <si>
    <t>Periodically communicate performance results to the organization. (Enhances coordination and understanding of performance and improvement value to reduce waste and increase the likelihood of achieving objectives.)
定期向组织传达绩效结果。 （加强对绩效和改进价值的协调和理解，以减少浪费并增加实现目标的可能性。）</t>
  </si>
  <si>
    <t>- Prepare presentations or reports summarizing performance results.
- Schedule regular meetings or briefings to communicate performance updates.
- Solicit feedback and suggestions from stakeholders regarding performance outcomes.</t>
  </si>
  <si>
    <t>- Performance communication materials such as presentations or reports.
- Meeting agendas and minutes documenting performance discussions.
- Feedback reports summarizing stakeholder input on performance communication.</t>
  </si>
  <si>
    <t>- What methods or channels do you use to communicate performance results to different levels of the organization?
- How do you ensure that performance results are effectively understood and utilized by relevant stakeholders?
- 您使用哪些方法或渠道向组织的不同层次通报绩效结果？
- 您如何确保绩效结果能被相关利益相关者有效理解和利用？</t>
  </si>
  <si>
    <t>Use statistical and other quantitative techniques to develop, keep updated, and communicate quality and process performance objectives that are traceable to business objectives. (Establishes realistic quality and process performance objectives enabling better decision-making, increasing the likelihood of meeting business objectives.)
使用统计和其他定量技术来制定、保持更新和传达可追溯到业务目标的质量和流程绩效目标。 （建立切合实际的质量和流程绩效目标，以实现更好的决策，增加实现业务目标的可能性。）</t>
  </si>
  <si>
    <t>- Conducting statistical analyses.
- Developing performance models.
- Communicating findings to stakeholders.</t>
  </si>
  <si>
    <t>- Statistical analysis reports.
- Performance modeling documents.
- Stakeholder presentations.</t>
  </si>
  <si>
    <t>- How do you utilize statistical and quantitative techniques to establish quality and process performance objectives tied to business objectives?
- Can you provide examples of how these techniques have informed the setting or adjustment of performance objectives?
- 您如何利用统计和定量技术制定与业务目标相关的质量和流程绩效目标？
- 能否提供这些技术如何影响绩效目标设定或调整的例子？</t>
  </si>
  <si>
    <t>Select measures and analytic techniques to quantitatively manage performance to achieve quality and process performance objectives. (Focuses measurement and management activities on the data that provide the most insight into achieving the objectives.)
选择测量和分析技术来定量管理绩效，以实现质量和流程绩效目标。 （将衡量和管理活动的重点放在数据上，这些数据为实现目标提供了最深入的了解。）</t>
  </si>
  <si>
    <t>- Evaluating performance metrics.
- Identifying relevant analytics tools.
- Implementing performance management strategies.</t>
  </si>
  <si>
    <t>- Performance metric selection criteria.
- Analytic tool assessments.
- Performance management plans.</t>
  </si>
  <si>
    <t>- How do you determine which measures and analytic techniques are most effective for managing performance towards your quality and process objectives?
- Can you discuss any challenges you face in selecting appropriate measures and techniques, and how you overcome them?
- 您如何确定对管理绩效朝向质量和流程目标最有效的测量和分析技术？
- 您能否讨论在选择适当的测量和技术时面临的挑战，以及您是如何克服它们的？</t>
  </si>
  <si>
    <t>Use statistical and other quantitative techniques to develop and analyze process performance baselines and keep them updated. (Enables quantitative understanding of performance and capability to ensure that objectives can be met.)
使用统计和其他定量技术来开发和分析过程性能基线并保持更新。 （能够定量了解绩效和能力，以确保实现目标。）</t>
  </si>
  <si>
    <t>- Establishing baseline performance metrics.
- Monitoring changes over time.
- Updating baselines as processes evolve.</t>
  </si>
  <si>
    <t>- Baseline performance reports.
- Performance trend analyses.
- Baseline adjustment logs.</t>
  </si>
  <si>
    <t>- How do you establish and maintain process performance baselines using statistical and quantitative techniques?
- What factors do you consider when updating these baselines over time?
- 您如何利用统计和定量技术建立和维护流程绩效基线？
- 您在随时间更新这些基线时考虑了哪些因素？</t>
  </si>
  <si>
    <t>Use statistical and other quantitative techniques to develop and analyze process performance models and keep them updated. (Reduces cost and increases quality by predicting likelihood of meeting objectives and allowing for early corrective action.)
使用统计和其他定量技术来开发和分析过程绩效模型并保持更新。 （通过预测实现目标的可能性并允许及早采取纠正措施来降低成本并提高质量。）</t>
  </si>
  <si>
    <t>- Utilize statistical software to develop process performance models.
- Analyze model outputs to assess process efficiency and effectiveness.
- Update models regularly based on new data and evolving business needs.</t>
  </si>
  <si>
    <t>- Process performance models depicting key process variables and relationships.
- Analysis reports highlighting insights gained from model outputs.
- Documentation outlining the methodology used to develop and update process performance models.</t>
  </si>
  <si>
    <t>- Can you describe the process of developing and updating process performance models within your organization?
- How do these models contribute to understanding and optimizing process performance?
- 能描述一下在您的组织内开发和更新流程绩效模型的过程吗？
- 这些模型如何有助于理解和优化流程绩效？</t>
  </si>
  <si>
    <t>Use statistical and other quantitative techniques to determine or predict achievement of quality and process performance objectives. (Facilitates a quantitative understanding of risks to achieving objectives which maximizes likelihood of success.)
使用统计和其他定量技术来确定或预测质量和过程绩效目标的实现。 （有助于定量了解实现目标的风险，从而最大限度地提高成功的可能性。）</t>
  </si>
  <si>
    <t>- Apply statistical methods to predict future performance based on historical data.
- Conduct regression analysis to identify factors influencing quality and process performance.
- Utilize predictive modeling techniques to forecast achievement of performance objectives.</t>
  </si>
  <si>
    <t>- Predictive models estimating future quality and process performance levels.
- Regression analysis reports identifying significant predictors of performance outcomes.
- Forecasting reports projecting the likelihood of achieving performance objectives based on current trends and data.</t>
  </si>
  <si>
    <t>- How do you leverage statistical and quantitative techniques to forecast the achievement of quality and process performance objectives?
- Can you discuss any challenges or uncertainties involved in these predictions, and how you mitigate them?
- 您如何利用统计和定量技术预测质量和流程绩效目标的实现？
- 您能讨论一下这些预测中涉及的挑战或不确定性，并如何应对它们吗？</t>
  </si>
  <si>
    <t>Use statistical and other quantitative techniques to ensure that business objectives are aligned with business strategy to optimize performance. (Minimizes waste and rework through a more accurate understanding of capability which increases the likelihood of setting and meeting reasonable objectives.)
使用统计和其他定量技术确保业务目标与业务战略保持一致，以优化绩效。 （通过更准确地了解能力，最大限度地减少浪费和返工，从而增加设定和实现合理目标的可能性。）</t>
  </si>
  <si>
    <t>- Conducting strategic analyses.
- Aligning objectives with long-term goals.
- Optimizing resource allocation.</t>
  </si>
  <si>
    <t>- Strategic alignment assessments.
- Resource optimization plans.
- Business strategy impact analyses.</t>
  </si>
  <si>
    <t>- How do you ensure that your business objectives are continuously aligned with your overall business strategy using statistical and quantitative techniques?
- Can you provide examples of how this alignment has led to optimized performance within your organization?
- 您如何利用统计和定量技术确保您的业务目标不断与您的整体业务战略保持一致？
- 能否提供这种对齐如何促进组织绩效优化的例子？</t>
  </si>
  <si>
    <t>Analyze performance data using statistical and other quantitative techniques to determine the organization's ability to satisfy selected business objectives and identify potential areas for optimizing performance. (Identifies areas that pose the greatest risk to achieving business objectives or greatest opportunity for increasing business performance.)
使用统计和其他定量技术分析绩效数据，以确定组织满足选定业务目标的能力，并确定优化绩效的潜在领域。 （确定对实现业务目标构成最大风险或对提高业务绩效构成最大机会的领域。）</t>
  </si>
  <si>
    <t>- Conducting comprehensive performance analyses.
- Identifying performance gaps.
- Recommending optimization strategies.</t>
  </si>
  <si>
    <t>- Performance gap analyses.
- Optimization opportunity assessments.
- Performance improvement proposals.</t>
  </si>
  <si>
    <t>- How do you leverage statistical and quantitative analysis to assess your organization's capability in meeting specific business objectives?
- What steps do you take to identify and prioritize areas for performance optimization based on this analysis?
- 您如何利用统计和定量分析评估组织满足特定业务目标的能力？
- 您如何确定和优先考虑基于这种分析的绩效优化领域？</t>
  </si>
  <si>
    <t>Select and implement improvement proposals based on the statistical and quantitative analysis of the expected effect of proposed improvements on meeting and optimizing business, quality, and process performance objectives. (Increases likelihood that selected improvements will significantly contribute to achieving business, quality, and process performance objectives.)
根据对改进建议对满足和优化业务、质量和流程绩效目标的预期效果进行统计和定量分析，选择并实施改进建议。 （增加了所选改进显着有助于实现业务、质量和流程绩效目标的可能性。）</t>
  </si>
  <si>
    <t>- Evaluating improvement proposals.
- Prioritizing implementation efforts.
- Tracking the impact of implemented changes.</t>
  </si>
  <si>
    <t>- Improvement proposal evaluations.
- Implementation prioritization plans.
- Impact assessment reports.</t>
  </si>
  <si>
    <t>- How do you evaluate improvement proposals using statistical and quantitative analysis to ensure their potential impact on meeting business, quality, and process performance objectives?
- Can you discuss the decision-making process involved in selecting and implementing these proposals, considering their expected effects on performance optimization?
- 您如何使用统计和定量分析评估改进建议，以确保其对满足业务、质量和流程绩效目标的潜在影响？
- 您能否讨论选择和实施这些建议的决策过程，考虑到其对绩效优化的预期影响？</t>
  </si>
  <si>
    <t>MONITOR AND CONTROL</t>
  </si>
  <si>
    <t>监视与控制</t>
    <phoneticPr fontId="3" type="noConversion"/>
  </si>
  <si>
    <t>Provides an understanding of the project progress so appropriate corrective actions can be taken when performance deviates significantly from plans.</t>
  </si>
  <si>
    <t>提供对项目进度的掌握，以便在绩效显著偏离计划时采取适当的纠正措施</t>
    <phoneticPr fontId="3" type="noConversion"/>
  </si>
  <si>
    <t>通过及早采取行动调整显著绩效偏差，提高达成目标的可能性</t>
    <phoneticPr fontId="3" type="noConversion"/>
  </si>
  <si>
    <t>Record task completions. (Enables the team and senior management to make better decisions to achieve objectives.)
记录任务完成情况。 （使团队和高级管理层能够做出更好的决策以实现目标。）</t>
  </si>
  <si>
    <t>-Updating a task management system with completion status.
-Conducting regular team meetings to review completed tasks.
-Generating progress reports documenting task completions.</t>
  </si>
  <si>
    <t>-Completed task status reports.
-Task completion logs or databases.
-Visual representations such as Gantt charts showing task progress.</t>
  </si>
  <si>
    <t>- How do you record completed tasks?
如何记录任务完成情况</t>
  </si>
  <si>
    <t>Identify and resolve issues. (Supports prevention of uncontrolled cost and schedule creep.)
识别并解决问题。 （支持防止成本失控和进度缓慢。）</t>
  </si>
  <si>
    <t>-Conducting regular project reviews to identify emerging issues.
-Facilitating problem-solving sessions with relevant stakeholders.
Implementing corrective action plans to address identified issues.</t>
  </si>
  <si>
    <t>- Issue log or register documenting identified problems.
-Root cause analysis reports outlining the reasons behind issues.
-Action item tracker detailing the steps taken to resolve problems.</t>
  </si>
  <si>
    <t>- How do you identify and resolve issues?
如何识别并解决问题</t>
  </si>
  <si>
    <t>Track actual results against estimates for size, effort, schedule, resources, knowledge and skills, and budget. (Identifies significant deviations so more effective corrective actions can be taken which increases the likelihood of meeting objectives.)
根据规模、工作量、进度、资源、知识和技能以及预算的估计来跟踪实际结果。 （识别重大偏差，以便采取更有效的纠正措施，从而增加实现目标的可能性。）</t>
  </si>
  <si>
    <t>-Regularly comparing actual time spent on tasks with estimated effort.
-Analyzing budget expenditures against projected costs.
-Assessing resource allocation against initial estimates.</t>
  </si>
  <si>
    <t>-Variance analysis reports highlighting discrepancies between estimated and actual results.
-Budget variance reports showing differences between planned and actual expenditures.
-Resource utilization reports comparing estimated and actual resource usage.</t>
  </si>
  <si>
    <t>- How do you track actual results achieved (size, effort, duration, or cost) against planned values?
如何从规模、工作量、进度、资源、知识和技能以及预算等方面，对比估算跟踪实际结果？</t>
  </si>
  <si>
    <t>Track the involvement of identified stakeholders and commitments. (Manages stakeholder involvement critical to successful work completion.)
跟踪已确定的利益相关者的参与和承诺。 （管理利益相关者的参与对于成功完成工作至关重要。）</t>
  </si>
  <si>
    <t>-Holding regular meetings with stakeholders to review their level of engagement and commitments.
-Maintaining a stakeholder communication plan to track interactions and obligations.
-Conducting stakeholder surveys or interviews to assess satisfaction and commitment levels.</t>
  </si>
  <si>
    <t>- Stakeholder engagement matrix detailing the level of involvement and commitments of each stakeholder.
-Meeting minutes documenting stakeholder discussions and agreements.
-Stakeholder satisfaction reports summarizing feedback and perceptions of involvement.</t>
  </si>
  <si>
    <t>- How do you manage stakeholder invovlment to ensure successful work completion?
- How do you check that stakeholders are involve as per the plan?
如何跟踪利益相关方的参与情况</t>
  </si>
  <si>
    <t>Monitor the transition to operations and support. (Ensures expected benefits are obtained by smooth solution transitions and successful implementations.)
监控向运营和支持的过渡。 （确保通过顺利的解决方案过渡和成功实施获得预期收益。）</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</si>
  <si>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</si>
  <si>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</si>
  <si>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 How do you monitor transitioning of solutions to operations and support?
如何监控向运营和支持的迁移</t>
  </si>
  <si>
    <t>Take corrective actions when actual results differ significantly from planned results and manage to closure. (Manages corrective actions to increase the probability that objectives will be met.)
当实际结果与计划结果存在显着差异时，采取纠正措施并设法结束。 （管理纠正措施以增加实现目标的可能性。）</t>
  </si>
  <si>
    <t>- Conducting root cause analysis to determine reasons for deviations from planned results.
-Implementing corrective action plans to address identified issues and discrepancies.
-Monitoring the progress of corrective actions and adjusting strategies as needed.</t>
  </si>
  <si>
    <t>- Corrective action plans outlining steps to address deviations from planned results.
-Issue resolution reports documenting the outcomes of corrective actions taken.
-Performance improvement metrics tracking the effectiveness of implemented corrective measures.</t>
  </si>
  <si>
    <t>- When and how do you take corrective actions when actual results differ significantly from planned result?
当实际结果相较于计划结果存在显著差异时，如何采取纠正措施并管理直至关闭</t>
  </si>
  <si>
    <t>Manage the project using the project plan and the project process. (Ensures necessary activities are performed which reduces rework and improves the likelihood of achieving objectives.)
使用项目计划和项目流程来管理项目。 （确保执行必要的活动，减少返工并提高实现目标的可能性。）</t>
  </si>
  <si>
    <t>- Regularly reviewing and updating the project plan based on project progress and changes.
-Adhering to established project processes and workflows to ensure consistency and efficiency.
-Conducting project performance assessments to evaluate adherence to the project plan and processes.</t>
  </si>
  <si>
    <t>-Updated project plans reflecting changes in project scope, timeline, and resources.
-Process documentation outlining step-by-step procedures for project execution.
-Project performance reports comparing actual progress to planned milestones and activities.</t>
  </si>
  <si>
    <t>-How does the management of the project using the project plan and project processes ensure necessary activities are performed, thereby reducing rework and improving the likelihood of achieving objectives?
如何通过使用项目计划和项目流程来管理项目，确保执行必要的活动，从而减少返工并提高实现目标的可能性？</t>
  </si>
  <si>
    <t>Manage critical dependencies and activities. (Manages critical dependencies to significantly reduce risk and increase the likelihood of meeting objectives.)
管理关键的依赖关系和活动。 （管理关键依赖性以显着降低风险并增加实现目标的可能性。）</t>
  </si>
  <si>
    <t>-Identifying and documenting critical dependencies between project tasks or activities.
-Developing contingency plans to address potential disruptions to critical dependencies.
-Monitoring critical activities closely to ensure they are completed on time and within scope.</t>
  </si>
  <si>
    <t>- Dependency matrix highlighting critical interdependencies and their impact on project success.
-Contingency plans outlining strategies for mitigating risks associated with critical dependencies.
-Progress tracking reports focusing on critical activities and their status updates.</t>
  </si>
  <si>
    <t>- How do you manage critical dependencies?
如何管理关键依赖关系？</t>
  </si>
  <si>
    <t>Monitor the work environment to identify issues. (Ensures objectives are met by providing an effective, safe, and healthy work environment.)
监控工作环境以发现问题。 （通过提供有效、安全和健康的工作环境确保实现目标。）</t>
  </si>
  <si>
    <t>-Conducting regular inspections of the work environment to identify safety hazards or inefficiencies.
-Soliciting feedback from team members regarding their experiences and any challenges they encounter in the work environment.
-Implementing measures to address identified issues and improve the overall work environment.</t>
  </si>
  <si>
    <t>- Safety inspection reports documenting findings and recommendations for improvement.
-Employee feedback surveys assessing satisfaction with the work environment and highlighting areas for enhancement.
-Action plans outlining steps to address identified issues and promote a healthier and safer work environment.</t>
  </si>
  <si>
    <t>- How do you identify work environment issues?
如何识别工作环境问题</t>
  </si>
  <si>
    <t>Manage and resolve issues with affected stakeholders. (Resolves issues early, increasing the likelihood of meeting objectives.)
与受影响的利益相关者一起管理和解决问题。 （及早解决问题，增加实现目标的可能性。）</t>
  </si>
  <si>
    <t>-Holding regular meetings with stakeholders to discuss and address any issues or concerns.
-Facilitating open communication channels for stakeholders to report issues and collaborate on solutions.
-Implementing conflict resolution strategies to resolve disputes and maintain stakeholder satisfaction.</t>
  </si>
  <si>
    <t>- Stakeholder issue log documenting reported issues and resolutions.
-Meeting minutes detailing discussions and agreements reached with stakeholders regarding issue resolution.
-Stakeholder satisfaction surveys assessing the effectiveness of issue management and resolution efforts.</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</si>
  <si>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</si>
  <si>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ORGANIZATIONAL TRAINING</t>
  </si>
  <si>
    <t>组织级培训</t>
    <phoneticPr fontId="3" type="noConversion"/>
  </si>
  <si>
    <t>Develops the skills and knowledge of personnel so they perform their roles efficiently and effectively.</t>
  </si>
  <si>
    <t>培养人员的技能和知识，以便他们高效且有效地执行他们的角色</t>
    <phoneticPr fontId="3" type="noConversion"/>
  </si>
  <si>
    <t>增强个人的技能和知识，提高组织工作性能</t>
    <phoneticPr fontId="3" type="noConversion"/>
  </si>
  <si>
    <t>Train people. (Increases likelihood of meeting objectives by ensuring individuals have needed skills and knowledge.)
培养人。 （通过确保个人拥有所需的技能和知识来增加实现目标的可能性。）</t>
  </si>
  <si>
    <t>-Conducting training sessions to impart new skills and knowledge relevant to project objectives.
-Providing access to online learning resources or courses tailored to specific skill development needs.
-Offering mentorship programs or coaching sessions to support individual growth and development.</t>
  </si>
  <si>
    <t>-Training schedules outlining the timing and content of planned training sessions.
-Training evaluation forms for participants to provide feedback on the effectiveness of training programs.
-Skill assessment reports documenting the proficiency levels of individuals before and after training interventions.</t>
  </si>
  <si>
    <t>- Do you provide training to staff?
是否向员工提供培训</t>
  </si>
  <si>
    <t>Identify training needs. (Reduces costs by providing training needed to perform the work.)
确定培训需求。 （通过提供执行工作所需的培训来降低成本。）</t>
  </si>
  <si>
    <t>-Conducting skills gap analyses to identify areas where training is needed.
-Surveying employees to gather feedback on their training preferences and areas for improvement.
-Reviewing performance evaluations to pinpoint areas where additional training could enhance competency.</t>
  </si>
  <si>
    <t>-Training needs assessment reports summarizing the findings of skills gap analyses.
-Employee training request forms indicating specific training needs identified by individuals or teams.
-Training plan outlines detailing the proposed training programs and schedules to address identified needs.</t>
  </si>
  <si>
    <t>- How do you identify training needs?
如何确定培训需求？</t>
  </si>
  <si>
    <t>Train personnel and keep records. (Avoids training people who already have the needed knowledge and skills, and verifies that people get the training needed to perform their work.) 
培训人员并保存记录。 （避免培训已经具备所需知识和技能的人员，并验证人们是否获得了执行工作所需的培训。）</t>
  </si>
  <si>
    <t>-Conducting skills assessments to identify gaps and determine training needs.
-Delivering training sessions tailored to address identified knowledge and skill gaps.
-Maintaining comprehensive training records to track individuals' training history and certifications.</t>
  </si>
  <si>
    <t>-Individual training plans outlining specific training requirements for each employee.
-Training attendance sheets documenting participation in training sessions.
-Training completion certificates or transcripts verifying completion of required training courses.</t>
  </si>
  <si>
    <t>- What training records do you maintain?
有哪些培训记录？</t>
  </si>
  <si>
    <t>Develop and keep updated the organization's strategic and short-term training needs. (Maximizes the likelihood of meeting objectives by ensuring that the organization has skilled individuals now and in the future.)
制定并不断更新组织的战略和短期培训需求。 （通过确保组织现在和将来拥有熟练的人员，最大限度地提高实现目标的可能性。）</t>
  </si>
  <si>
    <t xml:space="preserve">-Conducting regular assessments of the organization's skill gaps and training requirements.
-Collaborating with department heads and team leaders to identify emerging skill needs.
-Reviewing industry trends and advancements to anticipate future training needs.
</t>
  </si>
  <si>
    <t>-Strategic training plans outlining long-term training goals and objectives.
-Training needs analysis reports summarizing current and future skill requirements.
-Training schedule calendars detailing upcoming training sessions and initiatives.</t>
  </si>
  <si>
    <t>-  How do you identify strategic and short term training needs?
如何确定战略和短期培训需求？</t>
  </si>
  <si>
    <t>Coordinate training needs and delivery between the projects and the organization. (Ensures efficient and effective allocation of training resources.)
协调项目和组织之间的培训需求和交付。 （确保培训资源的高效和有效分配。）</t>
  </si>
  <si>
    <t>-Collaborating with project managers to identify project-specific training requirements.
-Aligning organizational training initiatives with project timelines and milestones.
-Facilitating communication between project teams and training providers to ensure timely delivery of required training.</t>
  </si>
  <si>
    <t>-Training coordination schedules detailing training sessions aligned with project schedules.
-Project-specific training plans outlining training needs and delivery methods for each project.
-Training resource allocation reports summarizing the distribution of training resources across projects.</t>
  </si>
  <si>
    <t>- How is training needs between projects (and support functions) coordinated with organizational training needs?
项目（和支持职能）之间的培训需求如何与组织培训需求相协调一致？</t>
  </si>
  <si>
    <t>Develop, keep updated, and follow organizational strategic and short-term training plans. (Increases effectiveness and efficiency of task performance.)
制定、保持更新并遵循组织战略和短期培训计划。 （提高任务执行的有效性和效率。）</t>
  </si>
  <si>
    <t>-Conducting regular assessments to identify changing skill requirements and training needs.
-Collaborating with stakeholders to review and update training plans based on organizational objectives.
-Implementing training programs aligned with strategic goals and short-term objectives.</t>
  </si>
  <si>
    <t>-Strategic training plan outlining long-term training objectives and initiatives.
-Short-term training schedule detailing upcoming training sessions and activities.
-Training progress reports tracking the implementation and effectiveness of training initiatives.</t>
  </si>
  <si>
    <t>- How do you execute the strategic and short term training plans?
如何执行战略和短期培训计划？</t>
  </si>
  <si>
    <t>Develop, keep updated, and use a training capability to address organizational training needs. (Ensures personnel have the knowledge, skills, and abilities to perform their work efficiently and effectively.)
开发、保持更新并使用培训能力来满足组织培训需求。 （确保人员拥有高效且有效地开展工作的知识、技能和能力。）</t>
  </si>
  <si>
    <t>-Assessing the organization's current training capabilities and identifying areas for improvement.
-Developing training programs tailored to address specific skill gaps and organizational objectives.
-Implementing a learning management system (LMS) to streamline training delivery and tracking.</t>
  </si>
  <si>
    <t>- Class rooms
- Training facilities
- Instructors
- Outsourced courses</t>
  </si>
  <si>
    <t>- How do you establish and maintain a training capability for the organization?
如何建立和维护组织的培训能力？</t>
  </si>
  <si>
    <t>Assess and report the effectiveness of the organization's training program. (Keeps the training program relevant and valuable to the business.)
评估并报告组织培训计划的有效性。 （保持培训计划对业务的相关性和价值。）</t>
  </si>
  <si>
    <t>-Conducting surveys or interviews to gather feedback from participants on the training program.
-Analyzing performance metrics to assess the impact of training on employee productivity.
-Reviewing training evaluation forms and reports to identify areas for improvement.</t>
  </si>
  <si>
    <t>-Training effectiveness report summarizing feedback from participants and stakeholders.
-Performance improvement metrics demonstrating the outcomes of the training program.
-Recommendations for enhancements to the training program based on assessment findings.</t>
  </si>
  <si>
    <t>- How do you assess the effectiveness of the organization training program?
如何评估组织培训计划的有效性？</t>
  </si>
  <si>
    <t>Record, keep updated, and use the set of organizational training records. (Records are essential in determining how well the training program supports the achievement of business and performance goals.)
记录、保持更新并使用组织培训记录集。 （记录对于确定培训计划对实现业务和绩效目标的支持程度至关重要。）</t>
  </si>
  <si>
    <t>-Maintaining a centralized database or system to store training records.
-Regularly updating training records with information on completed training sessions and certifications.
-Analyzing training records to assess the effectiveness of the training program in meeting business and performance goals.</t>
  </si>
  <si>
    <t>-Organizational training record database containing information on employee training history.
-Training record update reports documenting recent additions or changes to training records.
-Training impact analysis reports evaluating the correlation between training outcomes and business/performance goals.</t>
  </si>
  <si>
    <t>- How do recording, keeping updated, and using the set of organizational training records contribute to determining how well the training program supports the achievement of business and performance goals?
记录、保持更新并使用组织培训记录集如何有助于确定培训计划对实现业务和绩效目标的支持程度？</t>
  </si>
  <si>
    <t>PEER REVIEWS</t>
  </si>
  <si>
    <t>同行评审</t>
    <phoneticPr fontId="3" type="noConversion"/>
  </si>
  <si>
    <t>Identifies and addresses process performance and work product issues through reviews by the producer's peers or Subject Matter Experts (SMEs).</t>
  </si>
  <si>
    <t>通过生产者同行或主体专家（SME）的评审来识别并解决工作产品的问题</t>
    <phoneticPr fontId="3" type="noConversion"/>
  </si>
  <si>
    <t>Reduces cost and rework by uncovering issues or defects early.</t>
  </si>
  <si>
    <t>及早发现问题或缺陷，降低成本和返工</t>
    <phoneticPr fontId="3" type="noConversion"/>
  </si>
  <si>
    <t>Perform reviews of work products and record issues. (Improves work product quality and reduces cost and rework by uncovering issues early.)
对工作产品进行审查并记录问题。 （通过及早发现问题来提高工作产品质量并降低成本和返工。）</t>
  </si>
  <si>
    <t>-Conducting regular peer reviews or quality assessments of work products.
-Documenting identified issues or discrepancies during the review process.
-Implementing corrective actions to address issues and improve work product quality.</t>
  </si>
  <si>
    <t>-Review reports detailing findings and recommendations from work product reviews.
-Issue logs documenting identified issues, their severity, and proposed solutions.
-Corrective action plans outlining steps to resolve issues and prevent recurrence.</t>
  </si>
  <si>
    <t>- What peer reviews do you (process actor) perform or are performed on your work products?
对哪些工作产品进行同行评审</t>
  </si>
  <si>
    <t>Develop and keep updated procedures and supporting materials used to prepare for and perform peer reviews. (Maximizes efficiency and effectiveness of finding issues in peer reviews.)
制定并保持更新的程序和支持材料，用于准备和执行同行评审。 （最大限度地提高在同行评审中发现问题的效率和效果。）</t>
  </si>
  <si>
    <t>-Establishing standardized procedures for conducting peer reviews.
-Updating review guidelines and checklists to reflect best practices and lessons learned.
-Providing training sessions to familiarize team members with review processes and tools.</t>
  </si>
  <si>
    <t>-Peer review procedures document outlining step-by-step instructions for conducting reviews.
-Review checklist template listing criteria to be evaluated during peer reviews.
-Training materials such as presentations or manuals explaining peer review processes and techniques.</t>
  </si>
  <si>
    <t>- What procedures do you use to prepare and perform peer reviews?
准备和执行同行评审的步骤有哪些</t>
  </si>
  <si>
    <t>Select work products to be peer reviewed. (Manages cost by targeting critical work products for peer review.)
选择要进行同行评审的工作产品。 （通过针对关键工作产品进行同行评审来管理成本。）</t>
  </si>
  <si>
    <t>-Identifying key criteria for selecting work products eligible for peer review.
-Collaborating with project stakeholders to prioritize critical work products for review.
-Establishing a peer review schedule to ensure timely assessment of selected work products.</t>
  </si>
  <si>
    <t>-Criteria matrix outlining factors used to determine which work products should undergo peer review.
-Peer review selection criteria document detailing the rationale for choosing specific work products.
-Peer review schedule indicating the timeline for reviewing selected work products.</t>
  </si>
  <si>
    <t>- How does choosing critical work products for peer review help manage costs effectively?
选择关键工作产品进行同行评审如何有效地管理成本？</t>
  </si>
  <si>
    <t>Prepare and perform peer reviews on selected work products using established procedures. (Reduces cost by thorough and consistent review to detect work product issues.)
使用既定程序对选定的工作产品进行准备和执行同行评审。 （通过彻底、一致的审查来检测工作产品问题，从而降低成本。）</t>
  </si>
  <si>
    <t>-Training team members on the established peer review procedures.
-Assigning reviewers to selected work products based on expertise and availability.
-Conducting thorough and consistent reviews according to the established guidelines.</t>
  </si>
  <si>
    <t>-Peer review preparation checklist outlining steps to follow before initiating the review process.
-Peer review performance log documenting the execution of peer reviews, including dates, reviewers, and findings.
-Peer review feedback report summarizing the identified issues and recommendations for improvement.</t>
  </si>
  <si>
    <t>- Can you describe the peer review process, how is it performed from preparation to end?
同行评审的既定程序有哪些？请描述
-
How does using established procedures for peer reviews on selected work products help reduce costs by ensuring thorough and consistent review to detect issues?
使用既定程序对选定的工作产品进行同行评审如何通过确保彻底、一致的审查来检测问题，从而降低成本？</t>
  </si>
  <si>
    <t>Resolve issues identified in peer reviews. (Reduces rework, costs, and increases quality.)
解决同行评审中发现的问题。 （减少返工、成本并提高质量。）</t>
  </si>
  <si>
    <t>-Holding discussions with relevant stakeholders to address identified issues.
-Implementing corrective actions to rectify the root causes of identified problems.
-Tracking the progress of issue resolution and ensuring timely closure.</t>
  </si>
  <si>
    <t>-Issue resolution action plans outlining steps to address each identified issue.
-Meeting minutes documenting discussions and decisions regarding issue resolution.
-Issue closure reports summarizing the outcomes of resolved issues and lessons learned.</t>
  </si>
  <si>
    <t>- What do you do with issues identified during peer reviews?
如何解决同行评审中发现的问题</t>
  </si>
  <si>
    <t>Analyze results and data from peer reviews. (Increases the efficiency and effectiveness of the process for performing peer reviews.)
分析同行评审的结果和数据。 （提高同行评审流程的效率和有效性。）</t>
  </si>
  <si>
    <t>- Analyse the results of peer reviews
'- Register improvements based on results
'- Take corrective action on the project based on the results of the peer reviews
'- Monitor the performance of processes for possible signals from peer review data</t>
  </si>
  <si>
    <t>-Peer review analysis report summarizing key findings and recommendations for improvement.
-Data visualization tools presenting peer review results in a clear and accessible format.
-Action plans outlining steps to implement changes based on the analysis of peer review data.</t>
  </si>
  <si>
    <t>- What do you do with the results of peer reviews?
如何分析从同行评审得到的结果和数据
-How does analyzing results and data from peer reviews contribute to increasing the efficiency and effectiveness of the peer review process?
分析同行评审的结果和数据如何提高同行评审流程的效率和有效性？</t>
  </si>
  <si>
    <t>PLANNING</t>
  </si>
  <si>
    <t>策划</t>
    <phoneticPr fontId="3"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</si>
  <si>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</si>
  <si>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3" type="noConversion"/>
  </si>
  <si>
    <t>优化成本、功能和质量以增加实现目标的可能性</t>
    <phoneticPr fontId="3" type="noConversion"/>
  </si>
  <si>
    <t>Develop a list of tasks. (Ensures that the work needed to meet customer requirements is identified to increase customer satisfaction.)
制定任务清单。 （确保确定满足客户要求所需的工作，以提高客户满意度。）</t>
  </si>
  <si>
    <t>-Collaborating with stakeholders to identify all necessary tasks.
-Prioritizing tasks based on customer requirements and project goals.
-Reviewing and refining the task list to ensure completeness and accuracy.</t>
  </si>
  <si>
    <t>-Task list document outlining all identified tasks and their descriptions.
-Task prioritization matrix highlighting the importance of each task.
-Task assignment schedule allocating responsibilities and deadlines for each task.</t>
  </si>
  <si>
    <t>- Do you have a list of tasks that needs to be performed?
有制定需要执行的任务列表嘛？</t>
  </si>
  <si>
    <t>Assign people to tasks. (Ensures that tasks will be performed to meet requirements and satisfy the customer.)
将人员分配给任务。 （确保执行任务以满足要求并让客户满意。）</t>
  </si>
  <si>
    <t>-Reviewing skills and expertise of team members to match with task requirements.
-Communicating task assignments clearly to team members.
-Monitoring progress and providing support as needed to ensure task completion.</t>
  </si>
  <si>
    <t>-Task assignment matrix detailing which team members are assigned to each task.
-Assignment confirmation emails or documents sent to team members.
-Progress tracking reports documenting task completion status and any issues encountered.</t>
  </si>
  <si>
    <t>- Do you assign people to the tasks?
如何将人员分配到任务</t>
  </si>
  <si>
    <t>Develop and keep updated the approach for accomplishing the work. (Maximizes project success by keeping the affected stakeholders focused on accomplishing their specific objectives.)
制定并不断更新完成工作的方法。 （通过让受影响的利益相关者专注于实现其特定目标，最大限度地提高项目成功率。）</t>
  </si>
  <si>
    <t>-Conducting regular reviews of project objectives and stakeholder requirements.
-Collaborating with stakeholders to refine the approach based on feedback and changing circumstances.
-Updating documentation to reflect any changes or improvements to the approach.</t>
  </si>
  <si>
    <t>-Project approach document outlining the strategy and methodology for accomplishing the work.
-Meeting minutes documenting discussions and decisions regarding the approach.
-Revised project plans reflecting updates to the approach and associated timelines.</t>
  </si>
  <si>
    <t>- What's your approach for the work (e.g., Scrum, Waterfall)? How does updating it contribute to keeping stakeholders focused on specific objectives and maximizing project success?
您的工作方法是什么（例如，Scrum、瀑布）？更新它如何有助于让利益相关者专注于特定目标，并最大化项目成功？</t>
  </si>
  <si>
    <t>Plan for the knowledge and skills needed to perform the work. (Enables efficient and effective use of personnel resources.)
规划执行工作所需的知识和技能。 （能够高效且有效地利用人力资源。）</t>
  </si>
  <si>
    <t>-Conducting a skills assessment to identify required competencies.
-Developing a training plan based on identified skill gaps.
-Establishing mentorship programs to transfer knowledge within the team.</t>
  </si>
  <si>
    <t>-Skills matrix outlining required competencies for the project.
-Training schedule detailing sessions for skill development.
-Mentorship program guidelines outlining roles and responsibilities.</t>
  </si>
  <si>
    <t>- How do you make sure you have the right knowledge and skills for the task to be performed?
如何确保具备执行工作所需的知识和技能？</t>
  </si>
  <si>
    <t>Based on recorded estimates, develop, and keep the budget and schedule updated. (Enables timely management and corrective actions needed to achieve objectives, through early detection of significant deviations from the budget and schedule.)
根据记录的估算，制定并更新预算和时间表。 （通过及早发现预算和进度的重大偏差，实现实现目标所需的及时管理和纠正措施。）</t>
  </si>
  <si>
    <t>-Analyzing recorded estimates to develop initial budgets and schedules.
-Regularly updating the budget and schedule based on project progress.
-Conducting variance analysis to identify significant deviations from the budget and schedule.</t>
  </si>
  <si>
    <t>-Initial budget and schedule documents based on recorded estimates.
-Updated budget and schedule reports reflecting current project status.
-Variance analysis reports highlighting deviations and proposed corrective actions.</t>
  </si>
  <si>
    <t>- How do you develop the budget and schedule?
如何制定预算和进度表</t>
  </si>
  <si>
    <t>Plan the involvement of identified stakeholders. (Ensures that stakeholder needs are addressed when they arise, reducing the amount and cost of rework.)
计划已确定的利益相关者的参与。 （确保利益相关者的需求在出现时得到满足，从而减少返工的数量和成本。）</t>
  </si>
  <si>
    <t>-Identifying key stakeholders and their specific needs and expectations.
-Developing a stakeholder engagement plan outlining how and when stakeholders will be involved.
-Communicating with stakeholders regularly to keep them informed and address their concerns.</t>
  </si>
  <si>
    <t>-Stakeholder register documenting key stakeholders and their requirements.
-Stakeholder engagement plan detailing the strategy for involving stakeholders.
-Meeting minutes or communication logs showing interactions with stakeholders.</t>
  </si>
  <si>
    <t>- How do you plan for stakeholder involvement?
如何对干系人的参与做相应的计划</t>
  </si>
  <si>
    <t>Plan transition to operations and support. (Minimizes surprises and rework during adoption and deployment.)
计划向运营和支持的过渡。 （最大限度地减少采用和部署过程中的意外和返工。）</t>
  </si>
  <si>
    <t>-Identifying key activities and milestones for transitioning to operations and support.
-Collaborating with operations and support teams to develop transition plans.
-Conducting readiness assessments to ensure all necessary preparations are completed.</t>
  </si>
  <si>
    <t>-Transition plan outlining steps and responsibilities for the transition process.
-Operational and support documentation prepared for the transition.
-Readiness assessment reports highlighting areas of readiness and any outstanding tasks.</t>
  </si>
  <si>
    <t>- How does planning the transition to operations and support contribute to minimizing surprises and rework during adoption and deployment?
计划向运营和支持的过渡如何有助于最大限度地减少采用和部署过程中的意外和返工？</t>
  </si>
  <si>
    <t>Ensure plans are feasible by reconciling estimates against capacity and availability of resources. (Increases likelihood that the objectives are achieved by ensuring that needed resources are available and committed to throughout the project.) 
通过根据能力和资源可用性来协调估计，确保计划可行。 （通过确保所需资源可用并致力于整个项目，增加实现目标的可能性。）</t>
  </si>
  <si>
    <t>-Reviewing resource capacity and availability against project requirements.
-Adjusting plans and timelines based on resource constraints and availability.
-Communicating with stakeholders to ensure commitment to resource allocation.</t>
  </si>
  <si>
    <t>-Resource capacity assessment report detailing available resources and their capacities.
-Revised project plans reflecting adjustments made to accommodate resource constraints.
-Stakeholder commitment documentation confirming resource allocation for the project.</t>
  </si>
  <si>
    <t>- How do you ensure your plans are feasible in terms of resource availability and work that needs to be performed?
在资源可用性和需要执行的工作方面，如何确保计划可行？</t>
  </si>
  <si>
    <t>Develop the project plan, ensure consistency among its elements, and keep it updated. (Ensures efficient and effective communication and achievement of objectives through a consistent project plan.)
制定项目计划，确保其要素之间的一致性，并保持更新。 （通过一致的项目计划确保高效、有效的沟通和目标的实现。）</t>
  </si>
  <si>
    <t>-Creating a comprehensive project plan outlining tasks, timelines, and responsibilities.
-Reviewing and aligning various elements of the project plan to ensure consistency.
-Regularly updating the project plan to reflect changes in scope, resources, or timelines.</t>
  </si>
  <si>
    <t>-Project plan document detailing tasks, milestones, and deliverables.
-Consistency checklist ensuring alignment among different sections of the project plan.
-Updated project plan reflecting any modifications or adjustments made over time.</t>
  </si>
  <si>
    <t>- How do you ensure the plan and its deliverables are consistent and aligned?
在项目计划中会记录哪些信息？</t>
  </si>
  <si>
    <t>Review plans and obtain commitments from affected stakeholders. (Reduces rework and increases the likelihood of achieving objectives through a consistent understanding and commitment to the plan.) 
审查计划并获得受影响利益相关者的承诺。 （通过对计划的一致理解和承诺，减少返工并增加实现目标的可能性。）</t>
  </si>
  <si>
    <t>-Conducting meetings with stakeholders to review project plans.
-Obtaining sign-offs or commitments from stakeholders regarding their roles and responsibilities.
-Addressing any concerns or discrepancies identified during the plan review process.</t>
  </si>
  <si>
    <t>-Stakeholder commitment log documenting agreements and commitments obtained.
-Meeting minutes summarizing discussions and decisions made during plan reviews.
-Revised project plans reflecting any adjustments or changes based on stakeholder feedback.</t>
  </si>
  <si>
    <t>- How do you review the plans with stakeholders, and how do you get commitment to the plans?
如何制定评审计划？如何获得受影响的干系人的承诺？</t>
  </si>
  <si>
    <t>Use the organization's set of standard processes and tailoring guidelines to develop, keep updated, and follow the project process. (Establishes the project process, ensuring the efficient and effective achievement of the objectives.)
使用组织的一套标准流程和定制指南来开发、保持更新并遵循项目流程。 （建立项目流程，确保高效、有效地实现目标。）</t>
  </si>
  <si>
    <t>-Reviewing the organization's standard processes and tailoring guidelines.
-Developing a project process based on the organization's standards and project requirements.
-Regularly updating the project process to reflect changes in standards or project needs.</t>
  </si>
  <si>
    <t>-Project process documentation outlining steps and procedures tailored to project requirements.
-Tailoring guidelines document detailing how standard processes are adapted for specific projects.
-Updated project process documentation reflecting any modifications made over time.</t>
  </si>
  <si>
    <t>- Explain how you derive your plan form your organizational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</si>
  <si>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(Increases the likelihood that the objectives will be met, by using proven organizational assets for planning the project.)
使用项目流程、组织的流程资产和测量存储库制定计划并保持更新。 （通过使用经过验证的组织资产来规划项目，增加实现目标的可能性。）</t>
  </si>
  <si>
    <t>-Utilizing the project process to develop a comprehensive project plan.
-Leveraging organization's process assets such as templates and best practices.
-Regularly updating the plan based on data from the measurement repository.</t>
  </si>
  <si>
    <t>-Project plan incorporating elements from the project process and organization's process assets.
-Documentation of utilized process assets and their applicability to the project.
-Updated project plan reflecting changes made using data from the measurement repository.</t>
  </si>
  <si>
    <t>- How do you keep your plan updated with the project process, the process assets and the measurement repository?
如何使用项目过程、组织的过程资产和度量库制定计划并保持更新？</t>
  </si>
  <si>
    <t>Identify and negotiate critical dependencies (Reduces risk and increases the likelihood the project will be completed on time, within budget, and meet quality objectives by paying close attention to critical dependencies.)
识别和协商关键依赖性（通过密切关注关键依赖性，降低风险并增加项目在预算范围内按时完成并满足质量目标的可能性。）</t>
  </si>
  <si>
    <t>-Conducting a thorough analysis to identify critical dependencies.
-Negotiating with stakeholders to address and mitigate critical dependencies.
-Monitoring critical dependencies throughout the project lifecycle.</t>
  </si>
  <si>
    <t>-Critical dependency matrix documenting identified dependencies and their impact.
-Negotiation agreements or contracts addressing critical dependencies.
-Dependency tracking log recording updates and resolutions related to critical dependencies.</t>
  </si>
  <si>
    <t>- Explain how you identify and negotiate critical dependencies?
如何识别和协商关键依赖关系？</t>
  </si>
  <si>
    <t>Plan for the project environment and keep it updated based on the organization's standards. (Ensures that the resources needed to complete the work are readily available to maximize productivity.)
规划项目环境并根据组织的标准进行更新。 （确保完成工作所需的资源随时可用，以最大限度地提高生产力。）</t>
  </si>
  <si>
    <t>-Assessing the project environment requirements based on organizational standards.
-Developing a plan to ensure necessary resources are available and accessible.
-Regularly updating the project environment plan to reflect changes in standards or project needs.</t>
  </si>
  <si>
    <t>-Project environment assessment report outlining requirements and standards.
-Project environment plan detailing resource allocation and accessibility measures.
-Updated project environment plan reflecting adjustments made over time.</t>
  </si>
  <si>
    <t>- Explain how you use organizational standards to plan for your project environment?
如何使用组织标准计划项目环境并保持更新？</t>
  </si>
  <si>
    <t>Use statistical and other quantitative techniques to develop and keep the project processes updated to enable achievement of the quality and process performance objectives. (Increases the likelihood that the processes of the project will enable achievement of consistent performance and quality.) 
使用统计和其他定量技术来开发和更新项目流程，以实现质量和流程绩效目标。 （增加项目流程实现一致性能和质量的可能性。）</t>
  </si>
  <si>
    <t>-Applying statistical analysis to identify areas for process improvement.
-Utilizing quantitative techniques to measure process performance metrics.
-Updating project processes based on data-driven insights and analysis.</t>
  </si>
  <si>
    <t>-Statistical analysis reports highlighting areas for process enhancement.
-Process performance metrics dashboard displaying quantitative data.
-Updated project process documentation reflecting changes made for improvement.</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</si>
  <si>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</si>
  <si>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PROCESS QUALITY ASSURANCE</t>
  </si>
  <si>
    <t>过程质量保证</t>
    <phoneticPr fontId="3" type="noConversion"/>
  </si>
  <si>
    <t>Verifies and enables improvement of the quality of the processes performed and resulting work products.</t>
  </si>
  <si>
    <t>验证并改进已执行的过程和所产生的工作产品的质量</t>
    <phoneticPr fontId="3" type="noConversion"/>
  </si>
  <si>
    <t>增强过程使用和改进的一致性，以最大限度地提高业务效益和客户满意度</t>
    <phoneticPr fontId="3" type="noConversion"/>
  </si>
  <si>
    <t>Identify and address process and work product issues. (Increases customer satisfaction through improved quality and performance.)
识别并解决流程和工作产品问题。 （通过改进质量和性能提高客户满意度。）</t>
  </si>
  <si>
    <t>- Setup PQA checklists
- Perform process or product quality assurance</t>
  </si>
  <si>
    <t>- PQA checklists
- PQA results</t>
  </si>
  <si>
    <t>- How do you identify work products and processes for process quality assurance?
'如何识别工作产品和过程以保证过程质量？</t>
  </si>
  <si>
    <t>Develop, keep updated, and follow a quality assurance approach and plan based on historical quality data. (Reduces cost and increases quality by focusing on recurring problem areas.)
根据历史质量数据制定、保持更新并遵循质量保证方法和计划。 （通过关注重复出现的问题领域来降低成本并提高质量。）</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</si>
  <si>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</si>
  <si>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</si>
  <si>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</si>
  <si>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Objectively evaluate selected performed processes and work products against the recorded process and applicable standards. (Delivers high-quality solutions by identifying and addressing issues throughout the process execution.)
根据记录的流程和适用的标准客观评估选定的执行流程和工作产品。 （通过识别和解决整个流程执行中的问题来提供高质量的解决方案。）</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</si>
  <si>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</si>
  <si>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</si>
  <si>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</si>
  <si>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Communicate quality and non-compliance issues and ensure their resolution. (Ensures quality processes, avoids the cost of rework, and improves customer satisfaction.)
沟通质量和不合规问题并确保其得到解决。 （确保质量流程，避免返工成本，并提高客户满意度。）</t>
  </si>
  <si>
    <t>- Identify noncompliance issues and trends
- Communicate and resolve noncompliance issues
- Escale noncompliance issues that cannot be resolved</t>
  </si>
  <si>
    <t>- Quality issue log documenting identified issues and their impact.
-Communication plan outlining channels and frequency for issue reporting.
-Resolution status report tracking the status of issue resolution efforts.</t>
  </si>
  <si>
    <t>- Explain how quality and noncompliance issues that cannot be resolve, are handled?
- How to you communicate and address noncompliance issues?
'您如何沟通和解决不符合项问题？</t>
  </si>
  <si>
    <t>Record and use results of quality assurance activities. (Optimizes future quality assurance activities and reduces the cost of future work.)
记录和使用质量保证活动的结果。 （优化未来的质量保证活动并降低未来工作的成本。）</t>
  </si>
  <si>
    <t>- Documenting the findings and outcomes of quality assurance activities.
-Analyzing the recorded results to identify trends and areas for improvement.
-Incorporating lessons learned into future quality assurance plans and processes.</t>
  </si>
  <si>
    <t>- Quality assurance report summarizing findings and outcomes.
-Trend analysis document highlighting patterns observed in quality assurance results.
-Updated quality assurance plan integrating insights from past activities.</t>
  </si>
  <si>
    <t>- Where do you record the results of quality assurance activities?
'将记录质量保证活动的结果记录在哪里</t>
  </si>
  <si>
    <t>Identify and record opportunities for improvement during quality assurance activities. (Improves the organization's capability to meet its goals and objectives.)
识别并记录质量保证活动期间的改进机会。 （提高组织实现其目标的能力。）</t>
  </si>
  <si>
    <t>- Actively seeking out areas for improvement during quality assurance inspections.
-Documenting identified improvement opportunities along with potential solutions.
-Sharing improvement suggestions with relevant stakeholders for consideration.</t>
  </si>
  <si>
    <t>-Improvement opportunity log detailing identified areas for enhancement.
-Improvement proposal documents outlining suggested changes and their potential benefits.
-Stakeholder feedback records capturing responses and decisions regarding improvement opportunities.</t>
  </si>
  <si>
    <t>- How do you record and use the results of quality assurance activities?
'如何记录和使用质量保证活动的结果？
How does identifying and recording opportunities for improvement during quality assurance activities contribute to improving the organization's capability to meet its goals and objectives?
在质量保证活动期间识别并记录改进机会如何有助于提高组织实现其目标的能力？</t>
  </si>
  <si>
    <t>PROCESS ASSET DEVELOPMENT</t>
  </si>
  <si>
    <t>过程资产开发</t>
    <phoneticPr fontId="3" type="noConversion"/>
  </si>
  <si>
    <t>Develops the process assets necessary to perform the work and keeps them updated.</t>
  </si>
  <si>
    <t>开发并保持更新执行工作所需的过程资产</t>
    <phoneticPr fontId="3" type="noConversion"/>
  </si>
  <si>
    <t>提供了解和重复成功性能的能力</t>
    <phoneticPr fontId="3" type="noConversion"/>
  </si>
  <si>
    <t>Develop process assets to perform the work. (Improves consistency to increase likelihood of meeting objectives.)
开发流程资产来执行工作。 （提高一致性以增加实现目标的可能性。）</t>
  </si>
  <si>
    <t>- Creating standardized templates and guidelines for project execution.
-Developing procedures and workflows tailored to specific project needs.
-Establishing a repository of best practices and lessons learned for future reference.</t>
  </si>
  <si>
    <t>- Process asset library containing templates, guidelines, and checklists.
-Documented procedures outlining step-by-step workflows for various tasks.
-Lessons learned database capturing insights and improvements from past projects.</t>
  </si>
  <si>
    <t>- What processes assets is defined for your organization?
组织定义的过程资产有哪些？</t>
  </si>
  <si>
    <t>Determine what process assets will be needed to perform the work. (Avoids waste by focusing resources only on the process assets needed to perform the work.)
确定执行工作需要哪些流程资产。 （通过将资源仅集中在执行工作所需的流程资产上来避免浪费。）</t>
  </si>
  <si>
    <t>-Assessing project requirements and objectives to identify necessary process assets.
-Consulting with stakeholders to understand their preferences and requirements.
-Prioritizing process assets based on their relevance and potential impact on project success.</t>
  </si>
  <si>
    <t>- Process asset requirement analysis report detailing identified needs.
-Stakeholder feedback documentation outlining preferences and priorities.
-Process asset prioritization matrix highlighting key assets and their importance.</t>
  </si>
  <si>
    <t>- What processes assets has been identified as needed?
多需要识别的过程资产有哪些？
How does determining what process assets will be needed to perform the work contribute to avoiding waste by focusing resources only on the process assets needed to perform the work?
确定执行工作需要哪些流程资产如何有助于通过将资源仅集中在执行工作所需的流程资产上来避免浪费？</t>
  </si>
  <si>
    <t>Develop, buy, or reuse process assets. (Minimizes costs, effort, and time needed for developing the assets.)
开发、购买或重复使用流程资产。 （最大限度地减少开发资产所需的成本、精力和时间。）</t>
  </si>
  <si>
    <t>-Developing new process assets tailored to project requirements.
-Researching and purchasing existing process assets from external sources.
-Identifying and adapting previously developed process assets for current project needs.</t>
  </si>
  <si>
    <t>- Newly created process assets customized for project-specific needs.
-Purchasing agreements or contracts for externally sourced process assets.
-Documentation outlining the reuse and adaptation of existing process assets.</t>
  </si>
  <si>
    <t>- What processes assets has been developed (reused) or purchased?
已开发（复用）或购买了哪些流程资产？</t>
  </si>
  <si>
    <t>Make processes and assets available. (Reduces cost and time needed for performing the work by using existing process assets.)
使流程和资产可用。 （通过使用现有流程资产减少执行工作所需的成本和时间。）</t>
  </si>
  <si>
    <t>-Creating a centralized repository for storing and accessing process assets.
-Implementing tools and systems for sharing and distributing process assets.
-Conducting training sessions to educate team members on available process assets and how to access them.</t>
  </si>
  <si>
    <t>- Centralized process asset repository accessible to project team members.
-User manuals or guides for utilizing the repository and accessing process assets.
-Training materials and documentation outlining the availability and usage of process assets.</t>
  </si>
  <si>
    <t>- How is process assets made available to the organization?
过程资产如何提供给组织？
How does making processes and assets available contribute to reducing cost and time needed for performing the work by using existing process assets?
使流程和资产可用如何通过使用现有流程资产减少执行工作所需的成本和时间？</t>
  </si>
  <si>
    <t>Develop, keep updated, and follow a strategy for building and updating process assets. (Provides a structure and direction for asset building that minimizes cost.)
制定、保持更新并遵循构建和更新流程资产的策略。 （提供资产建设的结构和方向，最大限度地降低成本。）</t>
  </si>
  <si>
    <t>-Establishing a framework for developing and updating process assets.
-Conducting regular reviews to assess the effectiveness of the asset building strategy.
-Iteratively improving the strategy based on feedback and lessons learned.</t>
  </si>
  <si>
    <t>- Strategy document outlining the approach for building and updating process assets.
-Review reports evaluating the performance and efficiency of the strategy.
-Revised strategy documents reflecting enhancements and adjustments over time.</t>
  </si>
  <si>
    <t>- What process is defined for developing process assets?
为开发过程资产定义了什么流程？</t>
  </si>
  <si>
    <t>Develop, record, and keep updated a process architecture that describes the structure of the organization's processes and process assets. (Ensures that processes add value by providing a robust process architecture.)
开发、记录并保持更新描述组织流程和流程资产结构的流程架构。 （通过提供强大的流程架构确保流程增加价值。）</t>
  </si>
  <si>
    <t>-Collaborating with stakeholders to understand process needs and requirements.
-Designing a detailed framework outlining the organization's processes and assets.
-Regularly reviewing and updating the process architecture based on feedback and changes in business needs.</t>
  </si>
  <si>
    <t>- Process architecture document detailing the hierarchy and relationships of organizational processes.
-Process maps illustrating the flow of activities within different processes.
-Updated process architecture repository containing the latest version of the architecture.</t>
  </si>
  <si>
    <t>- What process architecture is in place describing the structure of the organization's processes?
哪种过体系结构描述了组织过程结构？</t>
  </si>
  <si>
    <t>Develop, keep updated, and make the organization’s processes and assets available for use in a process asset library. (Reduces the time and effort needed to organize, access, and update process assets, leading to reduced cost and waste.)
开发、保持更新并使组织的流程和资产可在流程资产库中使用。 （减少组织、访问和更新流程资产所需的时间和精力，从而降低成本和浪费。）</t>
  </si>
  <si>
    <t>- Creating a centralized repository for storing organization's processes and assets.
-Implementing processes for regular updates and maintenance of the asset library.
-Providing training to team members on how to access and utilize the asset library effectively.</t>
  </si>
  <si>
    <t>Process asset library containing documented processes, templates, and guidelines.
-Schedule for routine updates and reviews of the asset library.
-Training materials and guides for navigating and utilizing the asset library.</t>
  </si>
  <si>
    <t>- How are process assets made available for use in the organization?
如何在组织中使用过程资产？</t>
  </si>
  <si>
    <t>Develop, keep updated, and use tailoring criteria and guidelines for the set of standard processes and assets. (Accommodates the unique needs of each project while avoiding unnecessary work.)
为一组标准流程和资产开发、保持更新并使用定制标准和指南。 （满足每个项目的独特需求，同时避免不必要的工作。）</t>
  </si>
  <si>
    <t>-Defining criteria for tailoring standard processes and assets based on project requirements.
-Updating tailoring guidelines regularly to reflect lessons learned and best practices.
-Applying tailored processes and assets to specific projects while ensuring alignment with organizational standards.</t>
  </si>
  <si>
    <t>-Tailoring criteria document outlining factors to consider when adapting standard processes.
-Updated tailoring guidelines incorporating feedback and improvements.
-Project-specific process documentation demonstrating the application of tailored processes and assets.</t>
  </si>
  <si>
    <t>- What tailoring guidelines do you have for your standard process assets?
对标准过程资产的裁剪准则有哪些？</t>
  </si>
  <si>
    <t>Develop, keep updated, and make work environment standards available for use. (Increases productivity and consistency across projects through a specified and established work environment.)
制定、保持更新并使工作环境标准可供使用。 （通过指定和既定的工作环境提高项目之间的生产力和一致性。）</t>
  </si>
  <si>
    <t>-Establishing and documenting standards for the work environment.
-Regularly reviewing and updating work environment standards to reflect changes and improvements.
-Distributing and making work environment standards easily accessible to all team members.</t>
  </si>
  <si>
    <t>-Work environment standards document detailing guidelines and expectations.
-Revision history log tracking updates and modifications to the standards.
-Training materials and communication channels for disseminating work environment standards.</t>
  </si>
  <si>
    <t>Develop, keep updated, and make organizational measurement and analysis standards available for use. (Supports consistent use of measurements and related analysis for better decision-making.)
制定、保持更新并使组织测量和分析标准可供使用。 （支持一致使用测量和相关分析以做出更好的决策。）</t>
  </si>
  <si>
    <t>-Defining measurement and analysis standards aligned with organizational objectives.
-Regularly reviewing and updating measurement and analysis standards to reflect industry best practices.
-Providing training and resources to ensure team members understand and can apply the standards effectively.</t>
  </si>
  <si>
    <t>-Documented organizational measurement and analysis standards.
-Revision history log tracking updates and revisions to the standards.
-Training materials and guidelines for using measurement and analysis standards.</t>
  </si>
  <si>
    <t>- What work environment standards have been established and maintained?
建立并维护了哪些工作环境标准？</t>
  </si>
  <si>
    <t>PROCESS MANAGEMENT</t>
  </si>
  <si>
    <t>过程管理</t>
    <phoneticPr fontId="3" type="noConversion"/>
  </si>
  <si>
    <t>Manages and implements the continuous performance improvement of processes and infrastructure to meet business objectives by identifying and implementing the most beneficial process improvements and making performance results visible, accessible, and sustainable.</t>
  </si>
  <si>
    <t>管理和实施过程和基础条件的持续改进来：支持业务目标的实现；确定和实施能够带来最大效益的过程改进；使过程改进结果可见、可使用和可持续</t>
    <phoneticPr fontId="3" type="noConversion"/>
  </si>
  <si>
    <t>确保过程、基础条件及其环境有助于成功实现业务目标</t>
    <phoneticPr fontId="3" type="noConversion"/>
  </si>
  <si>
    <t>Develop a support structure to provide process guidance, identify and fix process problems, and continuously improve processes. (Reduces effort, cycle time, costs, defects, and waste, and increases performance.)
开发支持结构以提供流程指导、识别和解决流程问题并持续改进流程。 （减少工作量、周期时间、成本、缺陷和浪费，并提高性能。）</t>
  </si>
  <si>
    <t>- Establishing a process guidance team responsible for providing support and answering questions related to processes.
-Implementing regular process review meetings to identify and address process problems.
-Conducting periodic evaluations and assessments to identify areas for process improvement.</t>
  </si>
  <si>
    <t>- Support structure documentation outlining roles and responsibilities of process guidance team members.
-Meeting agendas and minutes documenting discussions and resolutions of process problems.
-Improvement plan detailing actions to enhance processes based on evaluation findings.</t>
  </si>
  <si>
    <t>- What process support structure (for example an EPG) do you have in place?
您拥有什么过程支持结构（例如EPG）？</t>
  </si>
  <si>
    <t>Appraise the current process implementation and identify strengths and weaknesses. (Provides a systematic and realistic way to identify the most important opportunities for improvements.)
评估当前流程的实施并确定优点和缺点。 （提供系统且现实的方法来确定最重要的改进机会。）</t>
  </si>
  <si>
    <t>-Conducting interviews and surveys with stakeholders to gather feedback on the current process implementation.
-Analyzing process performance data to identify areas of strength and weakness.
-Facilitating workshops or meetings to discuss findings and prioritize improvement opportunities.</t>
  </si>
  <si>
    <t>- Assessment report summarizing strengths and weaknesses of the current process implementation.
-Data analysis findings highlighting performance metrics and trends.
-Prioritized list of improvement opportunities based on assessment results.</t>
  </si>
  <si>
    <t>- What appraisals (CMMI, COBIT, ISO) have you done on your current processes?
对当前过程进行了哪些评估？(update)</t>
  </si>
  <si>
    <t>Address improvement opportunities or process issues. (Reduces costs by increasing efficiency and effectiveness of projects.)
解决改进机会或流程问题。 （通过提高项目的效率和有效性来降低成本。）</t>
  </si>
  <si>
    <t>-Implementing process changes based on identified improvement opportunities.
-Conducting training sessions to address skill gaps or knowledge deficiencies.
-Establishing corrective actions plans to resolve process issues and prevent recurrence.</t>
  </si>
  <si>
    <t>- Updated process documentation reflecting implemented improvements.
-Training materials and resources used to address skill or knowledge gaps.
-Corrective action reports detailing resolutions for process issues and preventive measures.</t>
  </si>
  <si>
    <t xml:space="preserve">- How do you address process improvements identified via appraisals?
- How do you collect improvements submitted internally within the organization?
记录了哪些过程改进？ </t>
  </si>
  <si>
    <t>Identify improvements to the processes and process assets. (Maximizes return on investment by focusing resources on the most critical business needs and objectives.)
确定流程和流程资产的改进。 （通过将资源集中在最关键的业务需求和目标上来最大化投资回报。）</t>
  </si>
  <si>
    <t>- Evaluate improvements to select most promising improvements</t>
  </si>
  <si>
    <t>- Subset of proposed improvements from the full list of suggested (identified) improvements.</t>
  </si>
  <si>
    <t>- How do you identify and select the proposed improvements? 
确定了针对过程和过程资产的改进有哪些？</t>
  </si>
  <si>
    <t>Develop, keep updated, and follow plans for implementing selected process improvements. (Enables more efficient and effective improvement efforts to meet business objectives.)
制定、保持更新并遵循实施选定流程改进的计划。 （实现更高效、更有效的改进工作，以实现业务目标。）</t>
  </si>
  <si>
    <t>- Plan process updates to incorporate improvement
- Plan deployment of newly released processes
- Improvement pilots</t>
  </si>
  <si>
    <t>- Process improvement action plan (implementation plan)</t>
  </si>
  <si>
    <t>- What process improvement actions are followed to implement identified improvements?
采取了哪些过程改进措施以实现识别的改进？</t>
  </si>
  <si>
    <t>Develop, keep updated, and use process improvement objectives traceable to the business objectives. (Ensures that process improvements focus on achieving business objectives.)
制定、保持更新并使用可追溯到业务目标的流程改进目标。 （确保流程改进的重点是实现业务目标。）</t>
  </si>
  <si>
    <t>- Develop process improvement objectives
- Link process improvement objectives to business objectives</t>
  </si>
  <si>
    <t>- Business objective traced to process improvement objectives</t>
  </si>
  <si>
    <t>- How do you link your process improvement objectives to your business objectives?
如何将过程改进与业务目标联系起来？</t>
  </si>
  <si>
    <t>Identify processes that are the largest contributors to meeting business objectives. (Maximizes impact of improvement activities by focusing on and meeting the most important business needs.)
确定对实现业务目标贡献最大的流程。 （通过关注并满足最重要的业务需求，最大限度地提高改进活动的影响。）</t>
  </si>
  <si>
    <t>- Identify major process improvements and their potential contribution to business objectives</t>
  </si>
  <si>
    <t>- Process improvement value assessment</t>
  </si>
  <si>
    <t>- How do you prioritise your process improvements?
如何确定过程改进的优先级？</t>
  </si>
  <si>
    <t>Explore and evaluate potential new processes, techniques, methods, and tools to identify improvement opportunities. (Maximizes process innovation to more efficiently and effectively achieve objectives.)
探索和评估潜在的新流程、技术、方法和工具，以确定改进机会。 （最大化流程创新，以更高效、更有效地实现目标。）</t>
  </si>
  <si>
    <t>-Researching industry best practices and emerging trends in processes, techniques, and tools.
-Conducting pilot projects or experiments to evaluate the effectiveness of potential new processes or methods.
-Collaborating with stakeholders to gather feedback and insights on potential improvement opportunities.</t>
  </si>
  <si>
    <t>- Research reports summarizing findings on potential new processes, techniques, and tools.
-Pilot project documentation detailing results and lessons learned from experimental implementations.
-Stakeholder feedback summaries highlighting areas of interest and potential improvement opportunities.</t>
  </si>
  <si>
    <t>- How do you evaluate potential new improvements opportunities. Improvements include against processes, techniques, methods and tools?
您如何评估潜在的新的改进机会。改进包括针对过程，技术，方法和工具使用的改进嘛？</t>
  </si>
  <si>
    <t>Provide support for implementing, deploying, and sustaining process improvements. (Ensures process improvements provide value to the organization over time.)
为实施、部署和维持流程改进提供支持。 （确保流程改进随着时间的推移为组织提供价值。）</t>
  </si>
  <si>
    <t>- Training on new processes releases
- Coaching on new process releases</t>
  </si>
  <si>
    <t>- Process deployment support training
- Process deployment coaching and mentoring- Process deployment PQA</t>
  </si>
  <si>
    <t>- What support is provided for implementing and deploying new process improvements?
为实施和部署新过程改进提供了哪些支持？</t>
  </si>
  <si>
    <t>Deploy organizational standard processes and process assets. (Ensures efficient, effective, and coordinated process deployment to reduce potential waste from overlapping improvements.)
部署组织标准流程和流程资产。 （确保高效、有效和协调的流程部署，以减少重叠改进带来的潜在浪费。）</t>
  </si>
  <si>
    <t>- Documenting and disseminating organizational standard processes and process assets.
-Providing training and support to stakeholders on the implementation of standard processes.
-Monitoring the deployment of standard processes to ensure consistency and effectiveness.</t>
  </si>
  <si>
    <t>- Standard process documentation outlining step-by-step procedures and guidelines.
-Training materials and resources for stakeholders involved in process deployment.
-Deployment tracking reports detailing the implementation status of standard processes.</t>
  </si>
  <si>
    <t>- How are organizational standard processes and process assets deployed?
组织标准过程和过程资产如何部署？</t>
  </si>
  <si>
    <t>Evaluate and report the effectiveness of deployed improvements in achieving process improvement objectives. (Ensures deployed processes are contributing to meeting process and performance improvement objectives.)
评估并报告已部署的改进在实现流程改进目标方面的有效性。 （确保部署的流程有助于实现流程和绩效改进目标。）</t>
  </si>
  <si>
    <t>-Collecting performance data before and after implementing process improvements.
-Analyzing metrics to assess the impact of deployed improvements on process improvement objectives.
-Generating reports summarizing the effectiveness of deployed improvements and identifying areas for further enhancement.</t>
  </si>
  <si>
    <t>- Pre- and post-implementation performance comparison charts.
-Analysis reports detailing the impact of deployed improvements on process improvement objectives.
-Improvement effectiveness reports outlining successes and areas for further refinement.</t>
  </si>
  <si>
    <t>- How do you evaluate the effectiveness of improvements towards achieving business objectives?
如何评估对实现业务目标的改进效果？</t>
  </si>
  <si>
    <t>Use statistical and other quantitative techniques to validate selected performance improvements against proposed improvement expectations, business objectives, or quality and process performance objectives. (Increases the success rate for performance improvement implementation.)
使用统计和其他定量技术根据建议的改进预期、业务目标或质量和流程性能目标来验证所选的性能改进。 （提高绩效改进实施的成功率。）</t>
  </si>
  <si>
    <t>- Perform statistical or quantitative analysis that demonstrate improved performance form implementing the improvements
- Link statistical and quantitively analysis of improvements to business objectives or quality and process performance objectives</t>
  </si>
  <si>
    <t>- Mean values and UCL/LCL of previous baseline versus mean value and UCL/LCL of new process baseline</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</si>
  <si>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</si>
  <si>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</si>
  <si>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风险与机会管理</t>
    <phoneticPr fontId="3" type="noConversion"/>
  </si>
  <si>
    <t>Identifies, records, analyzes, and manages potential risks or opportunities.</t>
  </si>
  <si>
    <t>识别、记录、分析和管理潜在地风险或机会</t>
    <phoneticPr fontId="3" type="noConversion"/>
  </si>
  <si>
    <t>Mitigates adverse impacts or capitalizes on positive impacts to increase the likelihood of meeting objectives.</t>
  </si>
  <si>
    <t>缓解不利影响或充分利用积极影响来提高实现目标地可能性</t>
    <phoneticPr fontId="3" type="noConversion"/>
  </si>
  <si>
    <t>Identify and record risks or opportunities and keep them updated. (Enables organizations to avoid or minimize the impact of risks and leverage potential opportunities related to achieving objectives.)
识别并记录风险或机遇并及时更新。 （使组织能够避免或尽量减少风险的影响，并利用与实现目标相关的潜在机会。）</t>
  </si>
  <si>
    <t>- Risk Identification Workshops
- Opportunity Scanning Sessions
- Regular Review and Update Meetings</t>
  </si>
  <si>
    <t>- Risk Register
- Risk Management Plan
- SWOT Analysis</t>
  </si>
  <si>
    <t>- How does our organization assess the impact and likelihood of identified risks and opportunities?
我们的组织是如何评估已识别风险和机会的影响和可能性的？这些评估又是如何用于在我们的战略规划中优先排序和分配资源的？</t>
  </si>
  <si>
    <t>Analyze identified risks or opportunities. (Increases the likelihood of achieving objectives by reducing the impact of risks or leveraging opportunities.)
分析已识别的风险或机会。（通过减少风险的影响或利用机会，增加实现目标的可能性。）</t>
  </si>
  <si>
    <t>- Risk Assessment Workshops
- Opportunity Scouting Sessions</t>
  </si>
  <si>
    <t>- Risk register
- Opportunity Analysis Report</t>
  </si>
  <si>
    <t>- How do you analyse identified risks or opportunities?
如何分析已识别地风险或机会</t>
  </si>
  <si>
    <t>Monitor identified risks or opportunities and communicate status to affected stakeholders. (Enables timely corrective or leveraging actions to maximize the likelihood of achieving objectives.)
监控已识别的风险或机会，并向相关利益相关者通报状态。（使得及时的纠正或利用行动成为可能，以最大化实现目标的可能性。）</t>
  </si>
  <si>
    <t>-Regularly reviewing and updating the risk register to track identified risks and opportunities.
-Analyzing the impact and likelihood of each identified risk or opportunity.
-Communicating risk status and mitigation strategies to relevant stakeholders through meetings or reports.</t>
  </si>
  <si>
    <t>-Risk register documenting identified risks, their potential impact, and mitigation plans.
-Risk assessment reports outlining the likelihood and severity of each identified risk.
-Stakeholder communication logs detailing status updates and actions taken to address risks or leverage opportunities.</t>
  </si>
  <si>
    <t>- How do you monitor identified risks or opportunities and comminate this tatus to affected stakeholders?
如何监控已识别地风险或机会并与受影响地干系人沟通风险或机会地状态？</t>
  </si>
  <si>
    <t>Identify and use risk or opportunity categories. (Organizes risks or opportunities to focus attention on uncertainties that will impact the achievement of objectives.)
识别并使用风险或机会类别。 （组织风险或机会，将注意力集中在将影响目标实现的不确定性上。）</t>
  </si>
  <si>
    <t>-Conducting brainstorming sessions to identify various categories of risks and opportunities.
-Assigning identified risks and opportunities to specific categories based on their nature and impact.
-Developing templates or frameworks for consistently categorizing and managing risks and opportunities.</t>
  </si>
  <si>
    <t>-Risk and opportunity category matrix outlining different types of risks and opportunities.
-Categorized risk and opportunity registers detailing identified items within each category.
-Guidelines or procedures for stakeholders on how to categorize and manage risks and opportunities effectively.</t>
  </si>
  <si>
    <t>- Explain how you make use of risk or opportunity categories?
如何使用风险或机会类别？</t>
  </si>
  <si>
    <t>Define and use parameters for risk or opportunity analysis and handling. (Maximizes the likelihood of cost-effectively achieving objectives.)
定义并使用参数进行风险或机会分析和处理。 （最大限度地提高以成本效益方式实现目标的可能性。）</t>
  </si>
  <si>
    <t>-Establishing criteria for assessing the severity and likelihood of risks or opportunities.
-Developing procedures for handling different types of risks or opportunities based on predefined parameters.
-Training team members on how to apply risk or opportunity analysis parameters effectively.</t>
  </si>
  <si>
    <t>-Risk and opportunity analysis templates with predefined parameters for assessment.
-Standard operating procedures (SOPs) outlining the handling process for identified risks or opportunities.
-Training materials and guides on the application of risk or opportunity analysis parameters.</t>
  </si>
  <si>
    <t>- What parameters for risk or opportunity analysis is defined and what is it used for?
定义用于风险或机会分析的参数用那些，如何使用？</t>
  </si>
  <si>
    <t>Develop and keep updated a risk or opportunity management strategy. (Avoids problems and leverages opportunities to increase the likelihood of achieving objectives.)
制定并不断更新风险或机会管理策略。 （避免问题并利用机会来增加实现目标的可能性。）</t>
  </si>
  <si>
    <t>-Conducting regular reviews of the current risk or opportunity management strategy.
-Updating the strategy based on lessons learned from previous projects or new insights.
-Communicating the updated strategy to relevant stakeholders and obtaining their feedback.</t>
  </si>
  <si>
    <t>-Risk or opportunity management strategy document outlining the approach, methodologies, and responsibilities.
-Risk or opportunity management plan detailing specific actions and timelines for implementation.
-Presentation or training materials explaining the updated strategy to project teams and stakeholders.</t>
  </si>
  <si>
    <t>- Explain any risk or opportunity management strategies that you may develop and maintain?
制定和持续更新风险或机会管理策略有哪些？</t>
  </si>
  <si>
    <t>Develop and keep updated risk or opportunity management plans. (Minimizes the impact of risks and maximizes the benefits of opportunities for achieving objectives.)
制定并保持更新的风险或机会管理计划。 （最大限度地减少风险的影响并最大化实现目标的机会的好处。）</t>
  </si>
  <si>
    <t>-Identifying and assessing specific risks or opportunities relevant to the project.
-Developing mitigation or enhancement strategies for each identified risk or opportunity.
-Regularly reviewing and updating the risk or opportunity management plans as the project progresses.</t>
  </si>
  <si>
    <t>-Risk or opportunity register documenting identified risks or opportunities.
-Risk mitigation or opportunity enhancement plans outlining actions to address each item.
-Updated risk or opportunity management reports reflecting changes and progress.</t>
  </si>
  <si>
    <t>- Explain any risk or opportunity management plans that you may develop and maintain?
制定和持续更新风险或机会管理计划有哪些？</t>
  </si>
  <si>
    <t>Manage risks or opportunities by implementing planned risk or opportunity management activities. (Reduces unforeseen occurrences that impair ability to achieve objectives and increases business value by leveraging opportunities.)
通过实施计划的风险或机会管理活动来管理风险或机会。 （减少影响实现目标能力的不可预见事件，并通过利用机会增加业务价值。）</t>
  </si>
  <si>
    <t>-Executing risk response strategies as outlined in the risk management plan.
-Monitoring and controlling identified risks or opportunities throughout the project lifecycle.
-Communicating updates and changes in risk or opportunity status to stakeholders in a timely manner.</t>
  </si>
  <si>
    <t>-Risk or opportunity response logs detailing actions taken to address specific risks or opportunities.
-Risk or opportunity tracking reports showing the status of identified items and any changes over time.
-Stakeholder communication materials summarizing key risk or opportunity management updates.</t>
  </si>
  <si>
    <t>- Explain how you manage (mitigate) risk or opportunity items?
如何管理风险或机会？</t>
  </si>
  <si>
    <t>REQUIREMENTS DEVELOPMENT AND MANAGEMENT</t>
  </si>
  <si>
    <t>需求开发和管理</t>
    <phoneticPr fontId="3" type="noConversion"/>
  </si>
  <si>
    <t>Elicits requirements, confirms common understanding by stakeholders, and aligns requirements, plans, and work products.</t>
  </si>
  <si>
    <t>抽取需求，确保利益相关方取得一致理解，并调整需求、计划和工作产品</t>
    <phoneticPr fontId="3" type="noConversion"/>
  </si>
  <si>
    <t>Increases likelihood that the solution meets or exceeds customer expectations and needs.</t>
  </si>
  <si>
    <t>确保客户地需求和期望得到满足</t>
    <phoneticPr fontId="3" type="noConversion"/>
  </si>
  <si>
    <t>Record requirements. (Addresses customer needs and expectations.)
记录要求。 （满足客户的需求和期望。）</t>
  </si>
  <si>
    <t>- Conduct meetings with stakeholders to gather initial requirements.
- Create a requirements document template outlining the necessary sections.
- Document requirements using a standardized format.</t>
  </si>
  <si>
    <t>- Requirements Document Template
- Initial Requirements List
- Meeting Minutes Document</t>
  </si>
  <si>
    <t>- How do you record all necessary requirements?
- 你是否记录了所有必要的需求？</t>
  </si>
  <si>
    <t>Elicit stakeholder needs, expectations, constraints, and interfaces or connections, and confirm understanding of the requirements. (Ensures a deeper mutual understanding of the requirements and increases the likelihood that the customer will be satisfied.)
引出利益相关者的需求、期望、约束以及接口或连接，并确认对需求的理解。 （确保对需求有更深入的相互理解，并增加客户满意的可能性。）</t>
  </si>
  <si>
    <t>- Conduct interviews with stakeholders to understand their needs and expectations.
- Organize focus groups to discuss constraints and interfaces.
- Utilize surveys to gather additional input from stakeholders.</t>
  </si>
  <si>
    <t>- Stakeholder Interview Notes
- Focus Group Summary Report
- Survey Results Analysis</t>
  </si>
  <si>
    <t>- Can you describe how you elicited stakeholder needs, expectations, constraints, and interfaces or connections, and how you confirmed understanding of the requirements?
- 你能描述一下你是如何引出利益相关者的需求、期望、约束以及接口或连接的，以及你如何确认对需求的理解？</t>
  </si>
  <si>
    <t>Transform stakeholder needs, expectations, constraints, and interfaces or connections into prioritized customer requirements. (Ensures customer priorities are addressed to minimize the cost of rework during acceptance and maximize customer satisfaction.)
将利益相关者的需求、期望、约束和接口或连接转变为优先的客户需求。 （确保解决客户的优先事项，以最大限度地减少验收期间的返工成本并最大限度地提高客户满意度。）</t>
  </si>
  <si>
    <t>- Analyze stakeholder inputs and prioritize requirements based on business value.
- Create a requirements prioritization matrix.
- Present prioritized requirements to stakeholders for validation.</t>
  </si>
  <si>
    <t>- Prioritized Requirements List
- Requirements Prioritization Matrix
- Stakeholder Validation Report</t>
  </si>
  <si>
    <t>- How did you transform stakeholder needs, expectations, constraints, and interfaces or connections into prioritized customer requirements?
- 你是如何将利益相关者的需求、期望、约束以及接口或连接转化为优先级排列的客户需求的？</t>
  </si>
  <si>
    <t>Obtain commitment from project participants that they can implement the requirements. (Ensures commitments are well understood to minimize delays and rework.)
获得项目参与者的承诺，他们可以实现这些要求。 （确保充分理解承诺，以尽量减少延误和返工。）</t>
  </si>
  <si>
    <t>- Conduct meetings with project participants to review requirements.
- Clarify any ambiguities and confirm understanding.
- Obtain sign-off from relevant stakeholders on their commitment to implementing requirements.</t>
  </si>
  <si>
    <t>- Meeting Minutes Document
- Requirement Clarification Log
- Signed Commitment Forms</t>
  </si>
  <si>
    <t>- Did you obtain commitment from project participants that they can implement the requirements? If so, how?
- 你是否从项目参与者那里获得了能够实施需求的承诺？如果是的话，是如何做到的？</t>
  </si>
  <si>
    <t>Develop, record, and keep updated bidirectional traceability among requirements and activities or work products. (Ensures consistency between requirements and the solution which increases the likelihood of customer satisfaction.)
开发、记录并保持更新需求和活动或工作产品之间的双向可追溯性。 （确保需求和解决方案之间的一致性，从而提高客户满意度的可能性。）</t>
  </si>
  <si>
    <t>- Establish a traceability matrix linking requirements to design and testing activities.
- Regularly update the traceability matrix as requirements evolve.
- Conduct reviews to ensure consistency between requirements and related work products.</t>
  </si>
  <si>
    <t>- Traceability Matrix
- Requirement Change Log
- Review Meeting Minutes</t>
  </si>
  <si>
    <t>- Can you explain how you developed, recorded, and kept updated bidirectional traceability among requirements and activities or work products?
- 你能解释一下你是如何开发、记录并保持需求与活动或工作产品之间的双向可追溯性的吗？</t>
  </si>
  <si>
    <t>Ensure that plans and activities or work products remain consistent with requirements. (Minimizes rework by eliminating inconsistencies between requirements and related artifacts.)
确保计划和活动或工作产品与要求保持一致。 （通过消除需求和相关工件之间的不一致，最大限度地减少返工。）</t>
  </si>
  <si>
    <t>- Review project plans to ensure alignment with requirements.
- Conduct regular audits of work products to verify consistency.
- Address any discrepancies between plans and requirements through change management processes.</t>
  </si>
  <si>
    <t>- Plan-Requirement Consistency Checklist
- Audit Reports
- Change Management Documentation</t>
  </si>
  <si>
    <t>- How did you ensure that plans and activities or work products remained consistent with requirements?
- 你是如何确保计划和活动或工作产品与需求保持一致的？</t>
  </si>
  <si>
    <t>Develop and keep requirements updated for the solution and its components. (Ensures the built solutions meet the customers' needs and expectations in a consistent way across the organization.)
开发解决方案及其组件的需求并保持更新。 （确保构建的解决方案在整个组织中以一致的方式满足客户的需求和期望。）</t>
  </si>
  <si>
    <t>- Conduct regular reviews of evolving project scope and objectives.
- Collaborate with stakeholders to identify emerging needs and refine existing requirements.
- Document changes and updates to requirements using version control mechanisms.</t>
  </si>
  <si>
    <t>- Requirement Change Log
- Updated Requirements Documentation
- Stakeholder Communication Plan</t>
  </si>
  <si>
    <t>- How do you develop and keep requirements updated for the solution and its components?
- 你是如何为解决方案及其组件开发并保持更新的需求的？</t>
  </si>
  <si>
    <t>Develop operational concepts and scenarios. (Enables customers to understand, confirm, and commit to how their requirements will be met.)
制定运营概念和场景。 （使客户能够理解、确认并承诺如何满足他们的要求。）</t>
  </si>
  <si>
    <t>- Gather input from subject matter experts to understand operational contexts.
- Develop scenarios illustrating how the solution will be used in various contexts.
- Review and refine operational concepts and scenarios with stakeholders.</t>
  </si>
  <si>
    <t>- Operational Concept Document
- Scenario Descriptions
- Stakeholder Feedback Report</t>
  </si>
  <si>
    <t>- Can you provide examples of operational concepts and scenarios you have developed?
- 你能提供你开发的操作概念和场景的示例吗？</t>
  </si>
  <si>
    <t>Allocate the requirements to be implemented. (Increases customer satisfaction by delivering a complete solution that meets requirements.)
分配要实施的要求。 （通过提供满足要求的完整解决方案来提高客户满意度。）</t>
  </si>
  <si>
    <t>- Prioritize requirements based on project constraints and objectives.
- Assign requirements to specific development teams or individuals.
- Establish a requirements allocation matrix to track assignment and implementation progress.</t>
  </si>
  <si>
    <t>- Requirement Prioritization Matrix
- Requirements Allocation Matrix
- Assignment Tracking Dashboard</t>
  </si>
  <si>
    <t>- How do you allocate the requirements to be implemented?
- 你是如何分配要实施的需求的？</t>
  </si>
  <si>
    <t>Identify, develop, and keep updated interface or connection requirements. (Reduces rework and risk due to incompatible internal and external interfaces or connections.)
识别、开发并保持更新的接口或连接要求。 （减少由于内部和外部接口或连接不兼容而导致的返工和风险。）</t>
  </si>
  <si>
    <t>- Interface Identification
- Interface Development
- Update and Maintenance</t>
  </si>
  <si>
    <t>- Interface Matrix or Diagram
- Interface Specifications Document
- Updated Interface Requirement Log</t>
  </si>
  <si>
    <t>- How do you identify, develop, and keep updated interface or connection requirements?
- 你是如何确定、开发并保持更新接口或连接需求的？</t>
  </si>
  <si>
    <t>Ensure that requirements are necessary and sufficient. (Avoids rework by only delivering necessary solutions.)
确保要求是必要且充分的。 （仅提供必要的解决方案来避免返工。）</t>
  </si>
  <si>
    <t>- Requirement Analysis
- Requirement Validation
- Requirement Refinement</t>
  </si>
  <si>
    <t>- Prioritized Requirements List
- Requirement Traceability Matrix (RTM)
- Requirement Validation Report</t>
  </si>
  <si>
    <t>- How do you ensure that requirements are necessary and sufficient?
- 你如何确保需求是必要且充分的？</t>
  </si>
  <si>
    <t>Balance stakeholder needs and constraints. (Increases stakeholder satisfaction while addressing conflicting requirements and constraints.)
平衡利益相关者的需求和约束。 （提高利益相关者的满意度，同时解决相互冲突的要求和约束。）</t>
  </si>
  <si>
    <t>- Stakeholder Analysis
- Constraint Evaluation
- Negotiation and Compromise</t>
  </si>
  <si>
    <t>- Stakeholder Needs and Constraints Analysis Report
- Constraint Impact Assessment Matrix
- Stakeholder Negotiation Summary</t>
  </si>
  <si>
    <t>- How do you balance stakeholder needs and constraints?
- 你如何平衡利益相关者的需求和约束？</t>
  </si>
  <si>
    <t>Validate requirements to ensure the resulting solution will perform as intended in the target environment. (Avoids rework cost and increases satisfaction by delivering a solution that meets customer expectations and needs.)
验证需求以确保最终的解决方案在目标环境中按预期运行。 （通过提供满足客户期望和需求的解决方案，避免返工成本并提高满意度。）</t>
  </si>
  <si>
    <t>- Requirement Testing
- User Acceptance Testing (UAT)
- Requirement Verification</t>
  </si>
  <si>
    <t>- Test Case Suite
- User Acceptance Testing Report
- Requirement Verification Checklist</t>
  </si>
  <si>
    <t>- Can you describe the process you use to validate requirements to ensure the resulting solution will perform as intended in the target environment?
- 你能描述一下你用于验证需求以确保最终解决方案在目标环境中按预期执行的过程吗？</t>
  </si>
  <si>
    <t>PRODUCT INTEGRATION</t>
  </si>
  <si>
    <t>产品集成</t>
    <phoneticPr fontId="3" type="noConversion"/>
  </si>
  <si>
    <t>Integrates and delivers the solution that addresses functionality, performance, and quality requirements.</t>
  </si>
  <si>
    <t>集成并交付满足功能和质量需求地解决方案</t>
    <phoneticPr fontId="3" type="noConversion"/>
  </si>
  <si>
    <t>通过提供达到或超过其功能和质量要求地解决方案来提高客户地满意度</t>
    <phoneticPr fontId="3" type="noConversion"/>
  </si>
  <si>
    <t>Assemble solutions and deliver to the customer. (Enables customer satisfaction by delivering a usable solution.)
组装解决方案并交付给客户。 （通过提供可用的解决方案来提高客户满意度。）</t>
  </si>
  <si>
    <t>- Gathering required components.
- Integrating components into a cohesive solution.
- Packaging the solution for delivery.</t>
  </si>
  <si>
    <t>- Integrated solution package.
- Delivery documentation.
- Customer satisfaction feedback.</t>
  </si>
  <si>
    <t>- Can you describe how solutions are assembled and delivered to the customer?
- 你能描述一下如何组装解决方案并交付给客户吗？</t>
  </si>
  <si>
    <t>Develop, keep updated, and follow an integration strategy. (Ensures that the product will meet customer requirements given available resources.)
制定、保持更新并遵循集成策略。 （确保产品在可用资源的情况下满足客户的要求。）</t>
  </si>
  <si>
    <t xml:space="preserve">- Creating an integration strategy document.
- Regularly reviewing and updating the strategy.
- Ensuring adherence to the strategy throughout the integration process. </t>
  </si>
  <si>
    <t>- Integration strategy document.
- Updated strategy implementation guidelines.
- Reports on strategy effectiveness.</t>
  </si>
  <si>
    <t>- What is your integration strategy, and how do you ensure it stays updated and followed?
- 你们的整合策略是什么，你们如何确保它保持更新并得到遵循？</t>
  </si>
  <si>
    <t>Develop, keep updated, and use the integration environment. (Provides an effective risk mitigation technique to ensure that the solution and components are integrated correctly.)
开发、保持更新和使用集成环境。 （提供有效的风险缓解技术，以确保解决方案和组件正确集成。）</t>
  </si>
  <si>
    <t>- Setting up the integration environment infrastructure.
- Maintaining and updating the environment with necessary tools and resources.
- Conducting testing and validation within the environment.</t>
  </si>
  <si>
    <t>- Integration environment setup documentation.
- List of tools and resources within the environment.
- Test results and validation reports.</t>
  </si>
  <si>
    <t>- Can you explain how you develop and maintain your integration environment?
- 你能解释一下你们是如何开发和维护整合环境的吗？</t>
  </si>
  <si>
    <t>Develop, keep updated, and follow procedures and criteria for integrating solutions and components. (Improves the likelihood of producing a solution that works correctly and meets the customer's requirements.)
开发、保持更新并遵循集成解决方案和组件的程序和标准。 （提高生成正确工作并满足客户要求的解决方案的可能性。）</t>
  </si>
  <si>
    <t>- Creating integration procedures and criteria documents.
- Ensuring team members understand and follow the procedures.
- Reviewing and updating procedures based on feedback and lessons learned.</t>
  </si>
  <si>
    <t>- Integration procedures and criteria documentation.
- Checklist for integration process compliance.
- Records of procedure updates and revisions.</t>
  </si>
  <si>
    <t>- What procedures and criteria do you follow for integrating solutions and components, and how do you ensure they are kept updated?
- 你们是如何为整合解决方案和组件制定和更新程序和标准的，你们如何确保它们保持更新？</t>
  </si>
  <si>
    <t>Confirm, prior to integration, that each component has been properly identified and operates according to its requirements and design. (Reduces total development cost, integration cycle time, and rework.)
在集成之前，确认每个组件均已根据其要求和设计正确识别并运行。 （减少总开发成本、集成周期时间和返工。）</t>
  </si>
  <si>
    <t>- Component identification and verification.
- Reviewing component requirements and designs.
- Conducting pre-integration testing on individual components.</t>
  </si>
  <si>
    <t>- Component identification checklist.
- Requirements and design verification reports.
- Pre-integration testing results.</t>
  </si>
  <si>
    <t>- How do you confirm that each component has been properly identified and operates according to its requirements and design before integration?
- 在整合之前，你们是如何确认每个组件是否已经正确识别并根据其要求和设计进行操作的？</t>
  </si>
  <si>
    <t>Evaluate integrated components to ensure conformance to the solution's requirements and design. (Helps to ensure customer requirements are correctly implemented.)
评估集成组件以确保符合解决方案的要求和设计。 （有助于确保客户要求得到正确实施。）</t>
  </si>
  <si>
    <t>- Conducting integrated testing of components.
- Comparing results against solution requirements and design specifications.
- Identifying and resolving discrepancies or issues.</t>
  </si>
  <si>
    <t>- Integrated component evaluation report.
- Issue tracking log.
- Compliance certificate for the solution.</t>
  </si>
  <si>
    <t>- How do you evaluate integrated components to ensure they conform to the solution's requirements and design?
- 你们是如何评估整合组件以确保其符合解决方案的要求和设计的？</t>
  </si>
  <si>
    <t>Integrate solutions and components according to the integration strategy. (Ensures that the customer receives a solution that meets requirements and design.)
根据集成策略集成解决方案和组件。 （确保客户收到满足要求和设计的解决方案。）</t>
  </si>
  <si>
    <t>- Following the steps outlined in the integration strategy.
- Coordinating with team members for seamless integration.
- Monitoring progress and adjusting as necessary to meet strategy objectives.</t>
  </si>
  <si>
    <t>- Integration progress reports.
- Meeting minutes documenting coordination efforts.
- Integration completion checklist.</t>
  </si>
  <si>
    <t>- Can you walk me through how you integrate solutions and components according to your integration strategy?
- 你能向我介绍一下你们是如何根据整合策略整合解决方案和组件的吗？</t>
  </si>
  <si>
    <t>Review and keep updated interface or connection descriptions for coverage, completeness, and consistency throughout the solution's life. (Reduces rework and missed project objectives caused by incompatible or inconsistent interfaces or connections.)
检查并保持更新的接口或连接描述，以确保整个解决方案生命周期的覆盖范围、完整性和一致性。 （减少因接口或连接不兼容或不一致而导致的返工和错过项目目标。）</t>
  </si>
  <si>
    <t>- Regularly reviewing interface or connection descriptions.
- Updating descriptions based on changes in components or requirements.
- Ensuring consistency across all interfaces or connections.</t>
  </si>
  <si>
    <t>- Interface/connection description documentation.
- Revision history log.
- Compliance report on consistency.</t>
  </si>
  <si>
    <t>- How do you review and keep updated interface or connection descriptions for coverage, completeness, and consistency throughout the solution's life?
- 你们如何审查和保持接口或连接描述的覆盖范围、完整性和一致性，以确保其在整个解决方案生命周期中的更新？</t>
  </si>
  <si>
    <t>Confirm, prior to integration, that component interfaces or connections comply with interface or connection descriptions. (Reduces the amount of rework due to interface or connection incompatibility.)
在集成之前确认组件接口或连接符合接口或连接描述。 （减少因接口或连接不兼容而导致的返工量。）</t>
  </si>
  <si>
    <t>- Reviewing component interfaces or connections against descriptions.
- Conducting compatibility checks.
- Documenting any deviations and resolving them before integration.</t>
  </si>
  <si>
    <t>- Interface/connection compliance checklist.
- Deviation report.
- Verification logs.</t>
  </si>
  <si>
    <t>- Before integration, how do you confirm that component interfaces or connections comply with interface or connection descriptions?
- 在整合之前，你们如何确认组件接口或连接是否符合接口或连接描述？</t>
  </si>
  <si>
    <t>Evaluate integrated components for interface or connection compatibility. (Reduces the risk of interface or connection failure within integrated components.)
评估集成组件的接口或连接兼容性。 （降低集成组件内接口或连接故障的风险。）</t>
  </si>
  <si>
    <t>- Testing integrated components for compatibility issues.
- Analyzing compatibility test results.
- Resolving any identified compatibility issues.</t>
  </si>
  <si>
    <t>- Compatibility testing report.
- Compatibility issue resolution documentation.
- Updated interface/connection compatibility matrix.</t>
  </si>
  <si>
    <t>- How do you evaluate integrated components for interface or connection compatibility?
- 你们如何评估整合组件的接口或连接兼容性？</t>
  </si>
  <si>
    <t>TECHNICAL SOLUTION</t>
  </si>
  <si>
    <t>技术解决方案</t>
    <phoneticPr fontId="3" type="noConversion"/>
  </si>
  <si>
    <t>Designs and builds solutions that meet requirements.</t>
  </si>
  <si>
    <t>设计和构建满足客户需求的解决方案</t>
    <phoneticPr fontId="3" type="noConversion"/>
  </si>
  <si>
    <t>提供高效的设计和解决方案，以满足客户需求并且减少返工</t>
    <phoneticPr fontId="3" type="noConversion"/>
  </si>
  <si>
    <t>Build a solution to meet requirements. (Provides the customer with a solution that implements the requirements and reduces the cost of rework.) 
构建满足要求的解决方案。 （为客户提供实现需求并降低返工成本的解决方案。）</t>
  </si>
  <si>
    <t>- Gathering requirements from stakeholders.
- Developing a basic prototype or mockup based on requirements.
- Implementing the solution based on the prototype.</t>
  </si>
  <si>
    <t>- Requirements documentation.
- Prototype or mockup.
- Implemented solution.</t>
  </si>
  <si>
    <t>- How do you ensure that the solutions you build align with the stated requirements?
- 你如何确保构建的解决方案符合规定的要求？</t>
  </si>
  <si>
    <t>Design and build a solution to meet requirements. (Provides a structure to guide the implementation of a cost-effective solution that meets requirements and avoids rework.) 
设计并构建满足要求的解决方案。 （提供一个结构来指导实施符合要求并避免返工的经济高效的解决方案。）</t>
  </si>
  <si>
    <t>- Conducting detailed design sessions to refine requirements.
- Creating architecture diagrams and design specifications.
- Implementing the solution based on the design.</t>
  </si>
  <si>
    <t>- Detailed design documentation.
- Architecture diagrams.
- Implemented solution with corresponding documentation.</t>
  </si>
  <si>
    <t>- Can you describe your process for designing and building solutions to meet specific requirements?
- 你能描述一下你设计和构建解决方案以满足特定要求的过程吗？</t>
  </si>
  <si>
    <t>Evaluate the design and address identified issues. (Reduces cost by minimizing defects and ensuring that the solution meets requirements.)
评估设计并解决已发现的问题。 （通过最大限度地减少缺陷并确保解决方案满足要求来降低成本。）</t>
  </si>
  <si>
    <t>- Conducting design reviews with stakeholders.
- Testing the implemented solution for bugs and performance issues.
- Iteratively refining the design based on feedback.</t>
  </si>
  <si>
    <t>- Design review meeting minutes.
- Test reports highlighting identified issues.
- Updated design documentation reflecting changes.</t>
  </si>
  <si>
    <t>- How do you evaluate the effectiveness of your design, and how do you address any issues that arise during this process?
- 你如何评估设计的有效性，以及如何解决在此过程中出现的任何问题？</t>
  </si>
  <si>
    <t>Provide guidance on use of the solution. (Supports usability and maintainability of the solution.)
提供解决方案的使用指导。 （支持解决方案的可用性和可维护性。）</t>
  </si>
  <si>
    <t>- Creating user manuals and documentation.
- Conducting training sessions for end-users.
- Providing ongoing support and troubleshooting assistance.</t>
  </si>
  <si>
    <t>- User manuals and guides.
- Training materials (slides, videos, etc.).
- Support tickets and resolutions log.</t>
  </si>
  <si>
    <t>- What measures do you take to ensure that users are effectively guided in using the solutions you provide?
- 你采取了哪些措施来确保用户在使用你提供的解决方案时能够得到有效的指导？</t>
  </si>
  <si>
    <t>Develop criteria for design decisions. (Increases the likelihood of producing a robust design that meets customer requirements and constraints.)
制定设计决策的标准。 （增加了生产满足客户要求和约束的稳健设计的可能性。）</t>
  </si>
  <si>
    <t>- Researching best practices and industry standards.
- Collaborating with stakeholders to define design goals.
- Creating decision matrices to evaluate design options.</t>
  </si>
  <si>
    <t>- Design decision criteria document.
- Stakeholder input summaries.
- Decision matrices and analysis reports.</t>
  </si>
  <si>
    <t>- How do you establish the criteria that guide your design decisions?
- 你是如何确立指导你设计决策的标准？</t>
  </si>
  <si>
    <t>Develop alternative solutions for selected components. (Ensures that the most beneficial solution is identified and selected.)
为选定的组件开发替代解决方案。 （确保确定并选择最有益的解决方案。）</t>
  </si>
  <si>
    <t>- Brainstorming sessions to generate multiple solution ideas.
- Prototyping different approaches to key components.
- Conducting feasibility studies to assess alternative solutions.</t>
  </si>
  <si>
    <t>- List of alternative solution proposals.
- Prototypes or proof-of-concept demonstrations.
- Feasibility study reports outlining pros and cons.</t>
  </si>
  <si>
    <t>- Can you explain your approach to developing alternative solutions for specific components within your designs?
- 你如何制定针对特定组件的替代解决方案的方法？</t>
  </si>
  <si>
    <t>Perform a build, buy, or reuse analysis. (Ensures that the most effective way to implement the design has been chosen.)
执行构建、购买或重用分析。 （确保选择了最有效的方法来实现设计。）</t>
  </si>
  <si>
    <t>- Evaluating the cost and effort of building a solution in-house.
- Researching existing commercial solutions available on the market.
- Assessing the feasibility of reusing components from previous projects.</t>
  </si>
  <si>
    <t>- Build vs. buy vs. reuse analysis report.
- Cost comparison spreadsheets.
- Vendor/product evaluations.</t>
  </si>
  <si>
    <t>- When considering solutions, how do you determine whether to build, buy, or reuse certain components?
- 在考虑解决方案时，你如何确定是建立、购买还是重用某些组件？</t>
  </si>
  <si>
    <t>Select solutions based on design criteria. (Ensures the most efficient and effective solution is selected to meet the customer's requirements within cost, schedule, and performance constraints.) 
根据设计标准选择解决方案。 （确保选择最高效、最有效的解决方案，在成本、进度和性能限制内满足客户的要求。）</t>
  </si>
  <si>
    <t>- Reviewing design criteria and requirements.
- Conducting thorough evaluations of potential solutions.
- Making recommendations based on criteria alignment and stakeholder input.</t>
  </si>
  <si>
    <t>- Solution selection justification document.
- Evaluation scorecards.
- Stakeholder approval records.</t>
  </si>
  <si>
    <t>- What factors do you consider when selecting solutions based on your established design criteria?
- 当根据你建立的设计标准选择解决方案时，你考虑了哪些因素？</t>
  </si>
  <si>
    <t>Develop, keep updated, and use information needed to implement the design. (Avoids rework by ensuring that solution implementers have the information they need to develop a solution that meets the customer's requirements.)
开发、保持更新和使用实现设计所需的信息。 （通过确保解决方案实施者拥有开发满足客户要求的解决方案所需的信息来避免返工。）</t>
  </si>
  <si>
    <t>- Documenting design decisions and rationale.
- Maintaining version control for design artifacts.
- Providing access to relevant documentation for team members.</t>
  </si>
  <si>
    <t>- Design documentation repository.
- Version control logs.
- Documentation access policies and procedures.</t>
  </si>
  <si>
    <t>- How do you ensure that the information necessary to implement your designs is both kept updated and effectively utilized?
- 你如何确保实施设计所需的信息既得到更新又得到有效利用？</t>
  </si>
  <si>
    <t>Design solution interfaces or connections using established criteria. (Reduces the likelihood of failures and rework during testing and operations and maximizes performance.)
使用既定标准设计解决方案接口或连接。 （减少测试和操作期间发生故障和返工的可能性，并最大限度地提高性能。）</t>
  </si>
  <si>
    <t>- Defining interface requirements and protocols.
- Collaborating with other teams to ensure compatibility.
- Prototyping and testing interface implementations.</t>
  </si>
  <si>
    <t>- Interface design specifications.
- Compatibility test plans and reports.
- Interface documentation for integration partners.</t>
  </si>
  <si>
    <t>- Could you outline the criteria you use when designing solution interfaces or connections?
- 你在设计解决方案接口或连接时所使用的标准是什么？</t>
  </si>
  <si>
    <t>VERIFICATION AND VALIDATION</t>
  </si>
  <si>
    <t>验证和确认</t>
    <phoneticPr fontId="3" type="noConversion"/>
  </si>
  <si>
    <t>Confirms selected solutions and components meet their requirements, and demonstrates selected solutions and components fulfill their intended use in their target environment.</t>
  </si>
  <si>
    <t>验证和确认的活动包括：确认选定的解决方案和组件能够满足需求</t>
    <phoneticPr fontId="3" type="noConversion"/>
  </si>
  <si>
    <t>Increases the likelihood that the solution will satisfy the customer.</t>
  </si>
  <si>
    <t>正式选定的解决方案和组件在目标环境下能够实现其预期用途</t>
    <phoneticPr fontId="3" type="noConversion"/>
  </si>
  <si>
    <t>Perform verification to ensure the requirements are implemented and record and communicate results. (Reduces the cost of addressing requirements issues and increases customer satisfaction.)
进行验证以确保要求得到实施，并记录和传达结果。 （降低解决需求问题的成本并提高客户满意度。）</t>
  </si>
  <si>
    <t>- Conducting code reviews to check if the code meets specified requirements.</t>
  </si>
  <si>
    <t>- Verification Report: Documenting the findings of the code reviews and whether the requirements were met.
- Communication: Sending out emails or holding meetings to inform stakeholders about the results of the verification process.</t>
  </si>
  <si>
    <t>- How do you ensure that the requirements are implemented? 
- Can you describe your process for recording and communicating the results of verification?
- 你是如何确保需求已经被实现的？
- 能描述一下你们的验证结果记录和传达流程吗？</t>
  </si>
  <si>
    <t>Perform validation to ensure the solution will function as intended in its target environment and record and communicate results. (Increases the likelihood that the result provides the right solution to meet customer expectations.)
执行验证以确保解决方案在其目标环境中按预期运行，并记录和传达结果。 （增加结果提供正确解决方案以满足客户期望的可能性。）</t>
  </si>
  <si>
    <t>- Running end-to-end tests to ensure the entire system works as intended in its target environment.</t>
  </si>
  <si>
    <t>- Validation Report: Documenting the results of end-to-end testing and whether the solution functions correctly in the target environment.
- Communication: Sharing the validation report with stakeholders and discussing any issues or concerns.</t>
  </si>
  <si>
    <t>- How do you confirm that the solution functions as intended in its target environment? 
- Could you explain how you record and communicate the results of validation?
- 你是如何确认解决方案在目标环境中按预期运行的？
- 你能解释一下验证结果的记录和传达方式吗？</t>
  </si>
  <si>
    <t>Select components and methods for verification and validation. (Produces solutions that meet or exceed customer expectations and needs.)
选择用于验证和确认的组件和方法。 （提供满足或超出客户期望和需求的解决方案。）</t>
  </si>
  <si>
    <t>- Researching and selecting appropriate testing tools and techniques for verification and validation.</t>
  </si>
  <si>
    <t>- Testing Tool Evaluation Report: Documenting the evaluation of various testing tools and selecting the most suitable ones.
- Testing Methodology Document: Outlining the chosen methods and approaches for verification and validation.</t>
  </si>
  <si>
    <t>- What factors influence your selection of components and methods for verification and validation?
- 什么因素影响你们选择验证和验证的组件和方法？</t>
  </si>
  <si>
    <t>Develop, keep updated, and use the environment needed to support verification and validation. (Minimizes project delays by ensuring that verification and validation environments are ready when needed.)
开发、保持更新并使用支持验证和确认所需的环境。 （通过确保验证和确认环境在需要时准备就绪，最大限度地减少项目延迟。）</t>
  </si>
  <si>
    <t>- Setting up testing environments that mimic the production environment for accurate validation.</t>
  </si>
  <si>
    <t>- Environment Setup Documentation: Detailing the configuration and setup of testing environments.
- Environment Update Logs: Keeping a record of any changes or updates made to the testing environment.</t>
  </si>
  <si>
    <t>- How do you develop and maintain the environment necessary to support verification and validation activities? 
- Can you describe its usage?
- 你们是如何开发和维护支持验证和验证活动所需的环境的？
- 你能描述一下其使用方式吗？</t>
  </si>
  <si>
    <t>Develop, keep updated, and follow procedures for verification and validation. (Reduces costs for performing the activities and strengthens more predictable performance.)
开发、保持更新并遵循验证和确认程序。 （降低执行活动的成本并增强更可预测的绩效。）</t>
  </si>
  <si>
    <t>- Establishing standardized procedures and guidelines for conducting verification and validation activities.</t>
  </si>
  <si>
    <t>- Verification and Validation Process Manual: Documenting step-by-step procedures for verification and validation.
- Procedure Change Requests: Keeping track of any updates or revisions made to the verification and validation procedures.</t>
  </si>
  <si>
    <t>- What procedures do you have in place for conducting verification and validation? 
- How do you ensure these procedures are kept up-to-date and followed?
- 你们有哪些用于进行验证和验证的程序？
- 你们是如何确保这些程序保持更新并被执行的？</t>
  </si>
  <si>
    <t>Develop, keep updated, and use criteria for verification and validation. (Minimizes waste by ensuring the verification and validation activities focus on critical needs.)
制定、保持更新并使用验证和确认标准。 （通过确保验证和确认活动关注关键需求来最大限度地减少浪费。）</t>
  </si>
  <si>
    <t>- Defining specific criteria or metrics for evaluating the success of verification and validation activities.</t>
  </si>
  <si>
    <t>- Verification and Validation Metrics Dashboard: Displaying key metrics such as code coverage, defect density, and test pass rates.
- Criteria Documentation: Detailing the criteria used to determine whether verification and validation activities have been successful.</t>
  </si>
  <si>
    <t>- What criteria do you use for verification and validation processes? 
- How do you ensure they are kept updated and utilized?
- 你们使用哪些标准进行验证和验证流程？
- 你是如何确保这些标准保持更新并得到利用的？</t>
  </si>
  <si>
    <t>Analyze and communicate verification and validation results. (Improves verification and validation effectiveness over time.)
分析并传达验证和确认结果。 （随着时间的推移提高验证和确认的有效性。）</t>
  </si>
  <si>
    <t xml:space="preserve">- Analyzing the results of verification and validation activities to identify trends, patterns, and areas for improvement.
</t>
  </si>
  <si>
    <t>- Analysis Report: Summarizing the findings of verification and validation activities and providing insights for future improvements.
- Presentation Slides: Creating slides to visually communicate the analysis findings to stakeholders.</t>
  </si>
  <si>
    <t>- After completing verification and validation, how do you analyze the results? 
- How do you communicate these findings to relevant stakeholders?
- 在完成验证和验证后，你们是如何分析结果的？
- 你们是如何将这些发现传达给相关利益相关者的？</t>
  </si>
  <si>
    <t>SUPPLIER AGREEMENT MANAGEMENT</t>
  </si>
  <si>
    <t>供应商协议管理</t>
    <phoneticPr fontId="3" type="noConversion"/>
  </si>
  <si>
    <t>Selects qualified suppliers, establishes agreements, and manages the resulting supplier and acquirer activities over the term of the agreement.</t>
  </si>
  <si>
    <t>与选定地供应商签订协议，确保供应商和采购方在协议有效期间履行协议，并评估供应商的交付物</t>
    <phoneticPr fontId="3" type="noConversion"/>
  </si>
  <si>
    <t>Maximizes the probability of mutual success for acquirers and suppliers.</t>
  </si>
  <si>
    <t>为采购方与供应商提供明确的共识，从而最大限度的推动供应商依据协议进行交付</t>
    <phoneticPr fontId="3" type="noConversion"/>
  </si>
  <si>
    <t>SAM 1.1</t>
  </si>
  <si>
    <t>Identify, evaluate, and select suppliers. (Increases likelihood of selecting suppliers that meet the project’s parameters.)
识别、评估和选择供应商。 （增加选择满足项目参数的供应商的可能性。）</t>
  </si>
  <si>
    <t xml:space="preserve">- Research potential suppliers, gather information about their capabilities and pricing, and assess their suitability for the organization's needs.
</t>
  </si>
  <si>
    <t>- Supplier evaluation forms
- Supplier profiles with relevant information
- List of selected suppliers</t>
  </si>
  <si>
    <t>- How do you identify, evaluate, and select your suppliers?
- 您是如何识别、评估和选择供应商的？</t>
  </si>
  <si>
    <t>SAM 1.2</t>
  </si>
  <si>
    <t>Develop and record the supplier agreement. (Increases likelihood of meeting requirements when using suppliers.)
制定并记录供应商协议。 （增加使用供应商时满足要求的可能性。）</t>
  </si>
  <si>
    <t>- Draft contractual terms and conditions in collaboration with legal and procurement teams, negotiate terms with selected suppliers, and finalize agreements.</t>
  </si>
  <si>
    <t>- Supplier contracts/agreements
- Terms and conditions documents
- Signed supplier agreements</t>
  </si>
  <si>
    <t>- Can you describe the process you use to develop and record supplier agreements?
- 您能描述一下您用来制定和记录供应商协议的流程吗？</t>
  </si>
  <si>
    <t>SAM 1.3</t>
  </si>
  <si>
    <t>Accept or reject the supplier deliverables. (Increases the likelihood the supplier provides the agreed-on supplier deliverable.)
接受或拒绝供应商的交付成果。 （增加供应商提供商定的供应商可交付成果的可能性。）</t>
  </si>
  <si>
    <t>- Inspect received goods or services against predefined acceptance criteria, and make decisions on whether to accept or reject them.</t>
  </si>
  <si>
    <t>- Inspection reports
- Acceptance/rejection notifications
- Records of accepted/rejected deliverables</t>
  </si>
  <si>
    <t>- How do you determine whether to accept or reject supplier deliverables?
- 您是如何确定是否接受或拒绝供应商提供的交付物的？</t>
  </si>
  <si>
    <t>SAM 1.4</t>
  </si>
  <si>
    <t>Process supplier invoices. (Maintains a good working relationship with suppliers while meeting agreements.)
处理供应商发票。 （在遵守协议的同时与供应商保持良好的工作关系。）</t>
  </si>
  <si>
    <t>- Receive, review, and approve supplier invoices for payment, ensuring accuracy and compliance with contractual terms.</t>
  </si>
  <si>
    <t>- Invoice processing logs
- Approved invoice documents
- Payment records</t>
  </si>
  <si>
    <t>- Could you walk me through your process for processing supplier invoices?
- 您的供应商发票处理流程是怎样的？</t>
  </si>
  <si>
    <t>SAM 2.1</t>
  </si>
  <si>
    <t>Identify evaluation criteria, potential suppliers, and distribute supplier requests. (Increases likelihood that selected suppliers consistently contribute to meeting business objectives.)
确定评估标准、潜在供应商并分发供应商请求。 （增加所选供应商持续为实现业务目标做出贡献的可能性。）</t>
  </si>
  <si>
    <t>- Define criteria for supplier evaluation, identify potential suppliers based on these criteria, and distribute requests for proposals (RFPs) or quotes.</t>
  </si>
  <si>
    <t>- Evaluation criteria matrix
- List of potential suppliers
- RFP documents</t>
  </si>
  <si>
    <t>- How do you identify evaluation criteria, potential suppliers, and distribute supplier requests?
- 您是如何确定评估标准、潜在供应商，并分发供应商请求的？</t>
  </si>
  <si>
    <t>SAM 2.2</t>
  </si>
  <si>
    <t>Evaluate supplier responses according to recorded evaluation criteria and select suppliers. (Matches selection of the best solution and supplier for meeting contractual requirements.)
根据记录的评估标准评估供应商的反应并选择供应商。 （匹配最佳解决方案和供应商的选择，以满足合同要求。）</t>
  </si>
  <si>
    <t>- Review and score supplier responses against predefined evaluation criteria, conduct supplier interviews or site visits if necessary, and make supplier selection decisions.</t>
  </si>
  <si>
    <t>- Evaluation scorecards
- Meeting minutes from supplier interviews/visits
- Selected supplier list</t>
  </si>
  <si>
    <t>- Can you explain how you evaluate supplier responses and select suppliers based on recorded evaluation criteria?
- 您能解释一下您如何根据记录的评估标准评估供应商的回应，并选择供应商的吗？</t>
  </si>
  <si>
    <t>SAM 2.3</t>
  </si>
  <si>
    <t>Manage supplier activities as specified in the supplier agreement and keep agreement updated. (Maximizes the likelihood that the supplier will fulfill acquirer expectations.)
按照供应商协议中的规定管理供应商活动并及时更新协议。 （最大限度地提高供应商满足收购方期望的可能性。）</t>
  </si>
  <si>
    <t>- Monitor supplier performance against contractual obligations, communicate with suppliers regarding any necessary adjustments or updates to the agreement, and maintain accurate records of changes.</t>
  </si>
  <si>
    <t>- Supplier performance reports
- Correspondence regarding agreement updates
- Updated supplier agreements</t>
  </si>
  <si>
    <t>- How do you manage supplier activities as specified in the supplier agreement, and how do you keep the agreement updated?
- 您是如何管理供应商活动以符合供应商协议，并保持协议更新的？</t>
  </si>
  <si>
    <t>SAM 2.4</t>
  </si>
  <si>
    <t>Verify that the supplier agreement is satisfied before accepting the acquired supplier deliverable. (Decreases risk of accepting an unsatisfactory supplier deliverable and confirms the supplier agreement is satisfied before acceptance.)
在接受采购的供应商交付成果之前，验证供应商协议是否得到满足。 （降低接受不满意的供应商交付成果的风险，并在接受之前确认供应商协议得到满足。）</t>
  </si>
  <si>
    <t>- Review Supplier Deliverable
- Conduct Quality Checks
- Communicate with Supplier</t>
  </si>
  <si>
    <t>- Verification Checklist
- Quality Inspection Report
- Communication Log</t>
  </si>
  <si>
    <t>- What steps do you take to verify that supplier agreements are satisfied before accepting acquired supplier deliverables?
- 在接受所获取的供应商交付物之前，您是如何验证供应商协议是否得到满足的？</t>
  </si>
  <si>
    <t>SAM 2.5</t>
  </si>
  <si>
    <t>Manage invoices submitted by the supplier according to the supplier agreements. (Maintains a good business relationship between the acquirer and supplier.)
根据供应商协议管理供应商提交的发票。 （在收购方和供应商之间保持良好的业务关系。）</t>
  </si>
  <si>
    <t>- Invoice Validation
- Payment Processing
- Resolve Discrepancies</t>
  </si>
  <si>
    <t>- Invoice Verification Log
- Payment Authorization Documentation
- Discrepancy Resolution Records</t>
  </si>
  <si>
    <t>- How do you manage invoices submitted by suppliers according to the supplier agreements?
- 您是如何根据供应商协议管理供应商提交的发票的？</t>
  </si>
  <si>
    <t>SAM 3.1</t>
  </si>
  <si>
    <t>Conduct technical reviews of supplier performance activities and selected deliverables. (Improves the acquirer's confidence in the ability of the supplier to provide the right supplier deliverable at the right time with the right quality.)
对供应商绩效活动和选定的可交付成果进行技术审查。 （提高收购方对供应商在正确的时间以正确的质量提供正确的供应商交付成果的能力的信心。）</t>
  </si>
  <si>
    <t>- Assess the quality and technical aspects of supplier deliverables through structured reviews or audits, provide feedback to suppliers, and collaborate on improvement plans.</t>
  </si>
  <si>
    <t>- Technical review reports
- Improvement action plans
- Documentation of feedback provided</t>
  </si>
  <si>
    <t>- How do you conduct technical reviews of supplier performance activities and selected deliverables?
- 您是如何进行供应商绩效活动和选定交付物的技术审查的？</t>
  </si>
  <si>
    <t>SAM 3.2</t>
  </si>
  <si>
    <t>Manage supplier performance and processes based on criteria in the supplier agreement. (Maximizes the probability that supplier’s performance will meet acquirer’s needs, while minimizing risk.)
根据供应商协议中的标准管理供应商绩效和流程。 （最大限度地提高供应商的绩效满足收购方需求的可能性，同时最大限度地降低风险。）</t>
  </si>
  <si>
    <t>- Implement performance monitoring systems, track supplier performance metrics against agreed-upon targets, and take corrective actions as necessary to ensure compliance with the agreement.</t>
  </si>
  <si>
    <t>- Performance dashboards
- Corrective action reports
- Performance improvement initiatives</t>
  </si>
  <si>
    <t>- Can you explain how you manage supplier performance and processes based on criteria in the supplier agreement?
- 您能解释一下您如何根据供应商协议中的标准管理供应商绩效和流程的吗？</t>
  </si>
  <si>
    <t>SAM 4.1</t>
  </si>
  <si>
    <t>Select measures and apply analytical techniques to quantitatively manage suppliers against their performance targets. (Enhances supplier performance by focusing attention on the most critical areas for success.)
选择衡量标准并应用分析技术，根据供应商的绩效目标对其进行定量管理。 （通过将注意力集中在最关键的成功领域来提高供应商绩效。）</t>
  </si>
  <si>
    <t>- Define key performance indicators (KPIs) for supplier performance, collect relevant data, analyze performance trends using statistical techniques, and take strategic actions to optimize supplier relationships.</t>
  </si>
  <si>
    <t>- KPI scorecards
- Performance analysis reports
- Strategic recommendations for supplier optimization</t>
  </si>
  <si>
    <t>- How do you select measures and apply analytical techniques to quantitatively manage suppliers against their performance targets?
- 您是如何选择措施并应用分析技术以定量管理供应商达到其绩效目标的？</t>
  </si>
  <si>
    <t xml:space="preserve">Intent </t>
  </si>
  <si>
    <t xml:space="preserve">Provides guidance to senior management on their role in the sponsorship and governance of process activities. </t>
  </si>
  <si>
    <t xml:space="preserve">Value </t>
  </si>
  <si>
    <t xml:space="preserve">Minimizes the cost of process implementation, increases the likelihood of meeting objectives, and ensures that the implemented processes support and contribute to the success of the business. </t>
  </si>
  <si>
    <t>email</t>
  </si>
  <si>
    <t>Sponsor detail</t>
  </si>
  <si>
    <t>OU Coordinator</t>
  </si>
  <si>
    <t>Registered Interpreter</t>
  </si>
  <si>
    <t>Lead appraiser</t>
  </si>
  <si>
    <t>Appraisal team member</t>
  </si>
  <si>
    <t>Objective evidence done</t>
  </si>
  <si>
    <t>Affirmation done</t>
  </si>
  <si>
    <t xml:space="preserve">Characterisation  </t>
  </si>
  <si>
    <t>OU Characterisation 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</si>
</sst>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6">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11"/>
      <color theme="0"/>
      <name val="Calibri"/>
      <family val="2"/>
      <scheme val="minor"/>
    </font>
    <font>
      <sz val="9"/>
      <name val="Calibri"/>
      <family val="3"/>
      <charset val="134"/>
      <scheme val="minor"/>
    </font>
    <font>
      <b/>
      <sz val="20"/>
      <color rgb="FF505050"/>
      <name val="Calibri"/>
      <family val="2"/>
      <scheme val="minor"/>
    </font>
    <font>
      <sz val="10"/>
      <name val="Calibri"/>
      <family val="2"/>
      <charset val="134"/>
      <scheme val="minor"/>
    </font>
    <font>
      <sz val="11"/>
      <color rgb="FF000000"/>
      <name val="Calibri"/>
      <family val="2"/>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21" fillId="0" borderId="0" applyNumberFormat="0" applyFill="0" applyBorder="0" applyAlignment="0" applyProtection="0">
      <alignment vertical="top"/>
      <protection locked="0"/>
    </xf>
    <xf numFmtId="0" fontId="30" fillId="0" borderId="0"/>
    <xf numFmtId="0" fontId="31" fillId="0" borderId="0"/>
    <xf numFmtId="0" fontId="31" fillId="0" borderId="0"/>
    <xf numFmtId="0" fontId="30" fillId="0" borderId="0"/>
    <xf numFmtId="0" fontId="11" fillId="0" borderId="0"/>
    <xf numFmtId="0" fontId="10" fillId="0" borderId="0"/>
    <xf numFmtId="0" fontId="10" fillId="0" borderId="0"/>
    <xf numFmtId="0" fontId="30" fillId="0" borderId="0"/>
    <xf numFmtId="0" fontId="10" fillId="0" borderId="0"/>
    <xf numFmtId="0" fontId="8" fillId="0" borderId="0"/>
    <xf numFmtId="0" fontId="7" fillId="0" borderId="0"/>
    <xf numFmtId="0" fontId="7" fillId="0" borderId="0"/>
    <xf numFmtId="0" fontId="7" fillId="0" borderId="0"/>
    <xf numFmtId="0" fontId="33" fillId="0" borderId="0"/>
    <xf numFmtId="0" fontId="6" fillId="0" borderId="0"/>
    <xf numFmtId="0" fontId="6" fillId="0" borderId="0"/>
    <xf numFmtId="0" fontId="5" fillId="0" borderId="0"/>
    <xf numFmtId="0" fontId="4" fillId="0" borderId="0"/>
    <xf numFmtId="0" fontId="4" fillId="0" borderId="0"/>
    <xf numFmtId="0" fontId="30" fillId="0" borderId="0"/>
    <xf numFmtId="0" fontId="2" fillId="0" borderId="0"/>
    <xf numFmtId="0" fontId="1" fillId="0" borderId="0"/>
  </cellStyleXfs>
  <cellXfs count="379">
    <xf numFmtId="0" fontId="0" fillId="0" borderId="0" xfId="0"/>
    <xf numFmtId="0" fontId="17" fillId="3" borderId="1" xfId="2" applyFont="1" applyFill="1" applyBorder="1" applyAlignment="1">
      <alignment horizontal="left" vertical="center"/>
    </xf>
    <xf numFmtId="0" fontId="17" fillId="3" borderId="1" xfId="2" applyFont="1" applyFill="1" applyBorder="1" applyAlignment="1">
      <alignment horizontal="left" vertical="center" wrapText="1"/>
    </xf>
    <xf numFmtId="0" fontId="17" fillId="4" borderId="1" xfId="2" applyFont="1" applyFill="1" applyBorder="1" applyAlignment="1">
      <alignment horizontal="left" vertical="top" wrapText="1"/>
    </xf>
    <xf numFmtId="0" fontId="17" fillId="2" borderId="1" xfId="2" applyFont="1" applyFill="1" applyBorder="1" applyAlignment="1">
      <alignment horizontal="center" vertical="center"/>
    </xf>
    <xf numFmtId="0" fontId="17" fillId="0" borderId="1" xfId="5" applyFont="1" applyBorder="1" applyAlignment="1">
      <alignment horizontal="left" vertical="center" wrapText="1"/>
    </xf>
    <xf numFmtId="0" fontId="19" fillId="0" borderId="1" xfId="5" applyFont="1" applyBorder="1" applyAlignment="1">
      <alignment horizontal="center" vertical="center" wrapText="1"/>
    </xf>
    <xf numFmtId="0" fontId="17" fillId="5" borderId="1" xfId="2" applyFont="1" applyFill="1" applyBorder="1" applyAlignment="1">
      <alignment horizontal="center" vertical="center" wrapText="1"/>
    </xf>
    <xf numFmtId="0" fontId="17" fillId="2" borderId="1" xfId="2" applyFont="1" applyFill="1" applyBorder="1" applyAlignment="1">
      <alignment horizontal="left" vertical="center" wrapText="1"/>
    </xf>
    <xf numFmtId="0" fontId="17" fillId="2" borderId="1" xfId="2" applyFont="1" applyFill="1" applyBorder="1" applyAlignment="1">
      <alignment horizontal="center" vertical="center" wrapText="1"/>
    </xf>
    <xf numFmtId="0" fontId="17" fillId="5" borderId="2" xfId="2" applyFont="1" applyFill="1" applyBorder="1" applyAlignment="1">
      <alignment vertical="center" wrapText="1"/>
    </xf>
    <xf numFmtId="0" fontId="17" fillId="4" borderId="1" xfId="2" applyFont="1" applyFill="1" applyBorder="1" applyAlignment="1">
      <alignment vertical="center" wrapText="1"/>
    </xf>
    <xf numFmtId="0" fontId="20" fillId="0" borderId="1" xfId="1" applyNumberFormat="1" applyFont="1" applyFill="1" applyBorder="1" applyAlignment="1" applyProtection="1">
      <alignment horizontal="center" vertical="center" wrapText="1"/>
    </xf>
    <xf numFmtId="0" fontId="17" fillId="3" borderId="1" xfId="2" applyFont="1" applyFill="1" applyBorder="1" applyAlignment="1">
      <alignment horizontal="center" vertical="center" wrapText="1"/>
    </xf>
    <xf numFmtId="0" fontId="0" fillId="0" borderId="0" xfId="0" applyAlignment="1">
      <alignment horizontal="left" vertical="top" wrapText="1"/>
    </xf>
    <xf numFmtId="0" fontId="21" fillId="0" borderId="0" xfId="1" applyAlignment="1" applyProtection="1"/>
    <xf numFmtId="0" fontId="0" fillId="0" borderId="0" xfId="0" applyAlignment="1">
      <alignment horizontal="left" vertical="top"/>
    </xf>
    <xf numFmtId="0" fontId="18" fillId="10" borderId="2" xfId="2" applyFont="1" applyFill="1" applyBorder="1" applyAlignment="1">
      <alignment vertical="center" wrapText="1"/>
    </xf>
    <xf numFmtId="0" fontId="18" fillId="10" borderId="3" xfId="2" applyFont="1" applyFill="1" applyBorder="1" applyAlignment="1">
      <alignment vertical="center" wrapText="1"/>
    </xf>
    <xf numFmtId="0" fontId="17" fillId="9" borderId="1" xfId="2" applyFont="1" applyFill="1" applyBorder="1" applyAlignment="1">
      <alignment horizontal="left" vertical="center" wrapText="1"/>
    </xf>
    <xf numFmtId="0" fontId="17" fillId="4" borderId="1" xfId="2" applyFont="1" applyFill="1" applyBorder="1" applyAlignment="1">
      <alignment horizontal="left" vertical="center" wrapText="1"/>
    </xf>
    <xf numFmtId="0" fontId="14" fillId="0" borderId="0" xfId="13" applyFont="1"/>
    <xf numFmtId="0" fontId="14" fillId="0" borderId="0" xfId="13" applyFont="1" applyAlignment="1">
      <alignment horizontal="left" indent="1"/>
    </xf>
    <xf numFmtId="0" fontId="32" fillId="0" borderId="0" xfId="1" applyFont="1" applyAlignment="1" applyProtection="1"/>
    <xf numFmtId="0" fontId="23" fillId="12" borderId="5" xfId="13" applyFont="1" applyFill="1" applyBorder="1" applyAlignment="1">
      <alignment horizontal="center" vertical="center" textRotation="90" wrapText="1"/>
    </xf>
    <xf numFmtId="0" fontId="23" fillId="0" borderId="5" xfId="13" applyFont="1" applyBorder="1" applyAlignment="1">
      <alignment horizontal="center" vertical="center" textRotation="90" wrapText="1"/>
    </xf>
    <xf numFmtId="0" fontId="16" fillId="12" borderId="4" xfId="13" applyFont="1" applyFill="1" applyBorder="1" applyAlignment="1">
      <alignment horizontal="center" vertical="center" wrapText="1"/>
    </xf>
    <xf numFmtId="0" fontId="7" fillId="2" borderId="0" xfId="13" applyFill="1"/>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10" borderId="5" xfId="13" applyFont="1" applyFill="1" applyBorder="1" applyAlignment="1">
      <alignment horizontal="center" vertical="center" wrapText="1"/>
    </xf>
    <xf numFmtId="0" fontId="23" fillId="10" borderId="5" xfId="14" quotePrefix="1" applyFont="1" applyFill="1" applyBorder="1" applyAlignment="1">
      <alignment horizontal="center" vertical="center" wrapText="1"/>
    </xf>
    <xf numFmtId="0" fontId="16" fillId="8" borderId="4" xfId="13" applyFont="1" applyFill="1" applyBorder="1" applyAlignment="1">
      <alignment horizontal="center" vertical="center" wrapText="1"/>
    </xf>
    <xf numFmtId="0" fontId="23" fillId="10" borderId="5" xfId="14" applyFont="1" applyFill="1" applyBorder="1" applyAlignment="1">
      <alignment horizontal="center" vertical="center" wrapText="1"/>
    </xf>
    <xf numFmtId="0" fontId="25" fillId="2" borderId="0" xfId="13" applyFont="1" applyFill="1"/>
    <xf numFmtId="0" fontId="12" fillId="2" borderId="0" xfId="13" applyFont="1" applyFill="1"/>
    <xf numFmtId="0" fontId="27" fillId="12" borderId="5" xfId="13" applyFont="1" applyFill="1" applyBorder="1" applyAlignment="1">
      <alignment horizontal="center" vertical="center" wrapText="1"/>
    </xf>
    <xf numFmtId="0" fontId="27" fillId="0" borderId="5" xfId="13" applyFont="1" applyBorder="1" applyAlignment="1">
      <alignment horizontal="center" vertical="center" wrapText="1"/>
    </xf>
    <xf numFmtId="0" fontId="15" fillId="12" borderId="4" xfId="13" applyFont="1" applyFill="1" applyBorder="1" applyAlignment="1">
      <alignment horizontal="center" vertical="center" wrapText="1"/>
    </xf>
    <xf numFmtId="0" fontId="26" fillId="2" borderId="0" xfId="13" applyFont="1" applyFill="1" applyAlignment="1">
      <alignment horizontal="center" vertical="center"/>
    </xf>
    <xf numFmtId="0" fontId="26" fillId="2" borderId="5" xfId="13" applyFont="1" applyFill="1" applyBorder="1" applyAlignment="1">
      <alignment horizontal="center" vertical="center"/>
    </xf>
    <xf numFmtId="0" fontId="28" fillId="2" borderId="0" xfId="13" applyFont="1" applyFill="1"/>
    <xf numFmtId="0" fontId="7" fillId="2" borderId="0" xfId="13" applyFill="1" applyAlignment="1">
      <alignment horizontal="center" vertical="center"/>
    </xf>
    <xf numFmtId="0" fontId="29" fillId="7" borderId="5" xfId="13" applyFont="1" applyFill="1" applyBorder="1" applyAlignment="1">
      <alignment horizontal="center" vertical="center" wrapText="1"/>
    </xf>
    <xf numFmtId="0" fontId="29" fillId="0" borderId="5" xfId="13" applyFont="1" applyBorder="1" applyAlignment="1">
      <alignment horizontal="center" vertical="center" wrapText="1"/>
    </xf>
    <xf numFmtId="0" fontId="22" fillId="2" borderId="0" xfId="13" applyFont="1" applyFill="1"/>
    <xf numFmtId="0" fontId="22" fillId="2" borderId="0" xfId="13" applyFont="1" applyFill="1" applyAlignment="1">
      <alignment horizontal="center" vertical="center"/>
    </xf>
    <xf numFmtId="0" fontId="13" fillId="13" borderId="0" xfId="13" applyFont="1" applyFill="1" applyAlignment="1">
      <alignment horizontal="center" vertical="center" textRotation="90" wrapText="1"/>
    </xf>
    <xf numFmtId="0" fontId="23" fillId="10" borderId="5" xfId="13" quotePrefix="1" applyFont="1" applyFill="1" applyBorder="1" applyAlignment="1">
      <alignment horizontal="center" vertical="center" wrapText="1"/>
    </xf>
    <xf numFmtId="0" fontId="24" fillId="2" borderId="0" xfId="13" applyFont="1" applyFill="1"/>
    <xf numFmtId="0" fontId="7" fillId="0" borderId="0" xfId="13" applyAlignment="1">
      <alignment horizontal="left" vertical="top"/>
    </xf>
    <xf numFmtId="0" fontId="17" fillId="3" borderId="1" xfId="15" applyFont="1" applyFill="1" applyBorder="1" applyAlignment="1">
      <alignment horizontal="left" vertical="center" wrapText="1"/>
    </xf>
    <xf numFmtId="0" fontId="17" fillId="3" borderId="1" xfId="15" applyFont="1" applyFill="1" applyBorder="1" applyAlignment="1">
      <alignment horizontal="center" vertical="center" textRotation="90" wrapText="1"/>
    </xf>
    <xf numFmtId="0" fontId="17" fillId="3" borderId="1" xfId="15" applyFont="1" applyFill="1" applyBorder="1" applyAlignment="1">
      <alignment horizontal="center" vertical="center" wrapText="1"/>
    </xf>
    <xf numFmtId="0" fontId="13" fillId="0" borderId="1" xfId="13" applyFont="1" applyBorder="1" applyAlignment="1">
      <alignment horizontal="left" vertical="center" wrapText="1"/>
    </xf>
    <xf numFmtId="0" fontId="13" fillId="2" borderId="0" xfId="13" applyFont="1" applyFill="1"/>
    <xf numFmtId="0" fontId="13" fillId="0" borderId="1" xfId="13" applyFont="1" applyBorder="1" applyAlignment="1">
      <alignment horizontal="left" vertical="top" wrapText="1"/>
    </xf>
    <xf numFmtId="0" fontId="13" fillId="2" borderId="0" xfId="13" applyFont="1" applyFill="1" applyAlignment="1">
      <alignment horizontal="left" vertical="top" wrapText="1"/>
    </xf>
    <xf numFmtId="0" fontId="13" fillId="2" borderId="0" xfId="13" applyFont="1" applyFill="1" applyAlignment="1">
      <alignment horizontal="center" vertical="center"/>
    </xf>
    <xf numFmtId="0" fontId="13" fillId="0" borderId="1" xfId="13" applyFont="1" applyBorder="1" applyAlignment="1">
      <alignment horizontal="left" vertical="center"/>
    </xf>
    <xf numFmtId="0" fontId="15" fillId="2" borderId="0" xfId="13" applyFont="1" applyFill="1" applyAlignment="1">
      <alignment horizontal="left" vertical="top"/>
    </xf>
    <xf numFmtId="0" fontId="12" fillId="2" borderId="0" xfId="13" applyFont="1" applyFill="1" applyAlignment="1">
      <alignment horizontal="left" vertical="top"/>
    </xf>
    <xf numFmtId="0" fontId="16" fillId="2" borderId="0" xfId="13" applyFont="1" applyFill="1" applyAlignment="1">
      <alignment horizontal="left" vertical="top"/>
    </xf>
    <xf numFmtId="0" fontId="14" fillId="2" borderId="0" xfId="13" applyFont="1" applyFill="1" applyAlignment="1">
      <alignment horizontal="left" vertical="top"/>
    </xf>
    <xf numFmtId="0" fontId="13" fillId="2" borderId="0" xfId="13" applyFont="1" applyFill="1" applyAlignment="1">
      <alignment horizontal="left" vertical="top"/>
    </xf>
    <xf numFmtId="0" fontId="34" fillId="0" borderId="0" xfId="0" applyFont="1"/>
    <xf numFmtId="0" fontId="0" fillId="0" borderId="0" xfId="0" applyAlignment="1">
      <alignment horizontal="right" vertical="top" wrapText="1"/>
    </xf>
    <xf numFmtId="0" fontId="0" fillId="0" borderId="1" xfId="0" applyBorder="1" applyAlignment="1">
      <alignment horizontal="left" vertical="top" wrapText="1"/>
    </xf>
    <xf numFmtId="0" fontId="6" fillId="0" borderId="0" xfId="17"/>
    <xf numFmtId="0" fontId="35" fillId="0" borderId="0" xfId="19" applyFont="1" applyAlignment="1">
      <alignment horizontal="left" vertical="top"/>
    </xf>
    <xf numFmtId="0" fontId="4" fillId="0" borderId="0" xfId="19" applyAlignment="1">
      <alignment horizontal="left" vertical="top"/>
    </xf>
    <xf numFmtId="0" fontId="13" fillId="0" borderId="0" xfId="19" applyFont="1" applyAlignment="1">
      <alignment horizontal="left" vertical="top"/>
    </xf>
    <xf numFmtId="0" fontId="13" fillId="0" borderId="0" xfId="19" applyFont="1" applyAlignment="1">
      <alignment horizontal="center" vertical="center"/>
    </xf>
    <xf numFmtId="0" fontId="13" fillId="0" borderId="0" xfId="19" applyFont="1" applyAlignment="1">
      <alignment horizontal="center" vertical="top"/>
    </xf>
    <xf numFmtId="0" fontId="4" fillId="0" borderId="0" xfId="19"/>
    <xf numFmtId="0" fontId="13" fillId="0" borderId="0" xfId="19" applyFont="1" applyAlignment="1">
      <alignment horizontal="left" vertical="top" wrapText="1"/>
    </xf>
    <xf numFmtId="0" fontId="23" fillId="2" borderId="0" xfId="19" applyFont="1" applyFill="1" applyAlignment="1">
      <alignment horizontal="left" vertical="top"/>
    </xf>
    <xf numFmtId="0" fontId="13" fillId="14" borderId="0" xfId="19" applyFont="1" applyFill="1" applyAlignment="1">
      <alignment horizontal="left" vertical="top"/>
    </xf>
    <xf numFmtId="0" fontId="13" fillId="6" borderId="0" xfId="19" applyFont="1" applyFill="1" applyAlignment="1">
      <alignment horizontal="left" vertical="top"/>
    </xf>
    <xf numFmtId="0" fontId="13" fillId="6" borderId="0" xfId="19" applyFont="1" applyFill="1" applyAlignment="1">
      <alignment horizontal="center" vertical="center"/>
    </xf>
    <xf numFmtId="0" fontId="13" fillId="15" borderId="0" xfId="19" applyFont="1" applyFill="1" applyAlignment="1">
      <alignment horizontal="left" vertical="top"/>
    </xf>
    <xf numFmtId="0" fontId="13" fillId="15" borderId="0" xfId="19" applyFont="1" applyFill="1" applyAlignment="1">
      <alignment horizontal="left" vertical="top" wrapText="1"/>
    </xf>
    <xf numFmtId="0" fontId="13" fillId="0" borderId="0" xfId="19" applyFont="1"/>
    <xf numFmtId="0" fontId="13" fillId="14" borderId="0" xfId="19" applyFont="1" applyFill="1"/>
    <xf numFmtId="0" fontId="13" fillId="6" borderId="0" xfId="19" applyFont="1" applyFill="1"/>
    <xf numFmtId="0" fontId="13" fillId="15" borderId="0" xfId="19" applyFont="1" applyFill="1" applyAlignment="1">
      <alignment horizontal="center" vertical="top"/>
    </xf>
    <xf numFmtId="0" fontId="23" fillId="16" borderId="1" xfId="19" applyFont="1" applyFill="1" applyBorder="1" applyAlignment="1">
      <alignment horizontal="left" vertical="top"/>
    </xf>
    <xf numFmtId="0" fontId="17" fillId="6" borderId="1" xfId="2" applyFont="1" applyFill="1" applyBorder="1" applyAlignment="1">
      <alignment horizontal="left" vertical="top" wrapText="1"/>
    </xf>
    <xf numFmtId="0" fontId="17" fillId="15" borderId="1" xfId="2" applyFont="1" applyFill="1" applyBorder="1" applyAlignment="1">
      <alignment horizontal="left" vertical="top" wrapText="1"/>
    </xf>
    <xf numFmtId="0" fontId="17" fillId="15" borderId="2" xfId="2" applyFont="1" applyFill="1" applyBorder="1" applyAlignment="1">
      <alignment horizontal="left" vertical="top" wrapText="1"/>
    </xf>
    <xf numFmtId="0" fontId="17" fillId="0" borderId="0" xfId="2" applyFont="1" applyAlignment="1">
      <alignment horizontal="left" vertical="top" wrapText="1"/>
    </xf>
    <xf numFmtId="0" fontId="13" fillId="0" borderId="0" xfId="19" applyFont="1" applyAlignment="1">
      <alignment vertical="top"/>
    </xf>
    <xf numFmtId="0" fontId="4" fillId="0" borderId="0" xfId="19" applyAlignment="1">
      <alignment vertical="top"/>
    </xf>
    <xf numFmtId="0" fontId="23" fillId="3" borderId="1" xfId="19" applyFont="1" applyFill="1" applyBorder="1" applyAlignment="1">
      <alignment horizontal="left" vertical="top"/>
    </xf>
    <xf numFmtId="0" fontId="17" fillId="3" borderId="1" xfId="2" applyFont="1" applyFill="1" applyBorder="1" applyAlignment="1">
      <alignment horizontal="left" vertical="top" wrapText="1"/>
    </xf>
    <xf numFmtId="0" fontId="36" fillId="17" borderId="1" xfId="2" quotePrefix="1" applyFont="1" applyFill="1" applyBorder="1" applyAlignment="1">
      <alignment horizontal="left" vertical="top" wrapText="1"/>
    </xf>
    <xf numFmtId="0" fontId="36" fillId="0" borderId="0" xfId="2" quotePrefix="1" applyFont="1" applyAlignment="1">
      <alignment horizontal="left" vertical="top" wrapText="1"/>
    </xf>
    <xf numFmtId="0" fontId="13" fillId="0" borderId="0" xfId="20" applyFont="1" applyAlignment="1" applyProtection="1">
      <alignment horizontal="left" vertical="top" wrapText="1"/>
      <protection locked="0"/>
    </xf>
    <xf numFmtId="0" fontId="13" fillId="0" borderId="0" xfId="20" applyFont="1" applyAlignment="1" applyProtection="1">
      <alignment vertical="top"/>
      <protection locked="0"/>
    </xf>
    <xf numFmtId="0" fontId="17" fillId="17" borderId="1" xfId="2" quotePrefix="1" applyFont="1" applyFill="1" applyBorder="1" applyAlignment="1">
      <alignment horizontal="left" vertical="top" wrapText="1"/>
    </xf>
    <xf numFmtId="0" fontId="17" fillId="17" borderId="1" xfId="2" applyFont="1" applyFill="1" applyBorder="1" applyAlignment="1">
      <alignment horizontal="left" vertical="top" wrapText="1"/>
    </xf>
    <xf numFmtId="0" fontId="23" fillId="19" borderId="1" xfId="19" applyFont="1" applyFill="1" applyBorder="1" applyAlignment="1">
      <alignment horizontal="left" vertical="top"/>
    </xf>
    <xf numFmtId="0" fontId="35" fillId="0" borderId="0" xfId="20" applyFont="1" applyAlignment="1">
      <alignment horizontal="left" vertical="top"/>
    </xf>
    <xf numFmtId="0" fontId="4" fillId="0" borderId="0" xfId="20" applyAlignment="1">
      <alignment horizontal="left" vertical="top"/>
    </xf>
    <xf numFmtId="0" fontId="13" fillId="0" borderId="0" xfId="20" applyFont="1" applyAlignment="1">
      <alignment horizontal="left" vertical="top"/>
    </xf>
    <xf numFmtId="0" fontId="13" fillId="0" borderId="0" xfId="20" applyFont="1" applyAlignment="1">
      <alignment horizontal="center" vertical="top"/>
    </xf>
    <xf numFmtId="0" fontId="4" fillId="0" borderId="0" xfId="20" applyAlignment="1">
      <alignment vertical="top"/>
    </xf>
    <xf numFmtId="0" fontId="13" fillId="0" borderId="0" xfId="20" applyFont="1" applyAlignment="1">
      <alignment horizontal="left" vertical="top" wrapText="1"/>
    </xf>
    <xf numFmtId="0" fontId="23" fillId="2" borderId="0" xfId="20" applyFont="1" applyFill="1" applyAlignment="1">
      <alignment horizontal="left" vertical="top"/>
    </xf>
    <xf numFmtId="0" fontId="13" fillId="14" borderId="0" xfId="20" applyFont="1" applyFill="1" applyAlignment="1">
      <alignment horizontal="left" vertical="top"/>
    </xf>
    <xf numFmtId="0" fontId="13" fillId="6" borderId="0" xfId="20" applyFont="1" applyFill="1" applyAlignment="1">
      <alignment horizontal="left" vertical="top"/>
    </xf>
    <xf numFmtId="0" fontId="13" fillId="6" borderId="0" xfId="20" applyFont="1" applyFill="1" applyAlignment="1">
      <alignment horizontal="center" vertical="center"/>
    </xf>
    <xf numFmtId="0" fontId="13" fillId="6" borderId="0" xfId="20" applyFont="1" applyFill="1" applyAlignment="1">
      <alignment horizontal="left" vertical="top" wrapText="1"/>
    </xf>
    <xf numFmtId="0" fontId="13" fillId="15" borderId="0" xfId="20" applyFont="1" applyFill="1" applyAlignment="1">
      <alignment horizontal="left" vertical="top"/>
    </xf>
    <xf numFmtId="0" fontId="4" fillId="0" borderId="0" xfId="20"/>
    <xf numFmtId="0" fontId="13" fillId="0" borderId="0" xfId="20" applyFont="1"/>
    <xf numFmtId="0" fontId="13" fillId="14" borderId="0" xfId="20" applyFont="1" applyFill="1"/>
    <xf numFmtId="0" fontId="13" fillId="6" borderId="0" xfId="20" applyFont="1" applyFill="1"/>
    <xf numFmtId="0" fontId="13" fillId="15" borderId="0" xfId="20" applyFont="1" applyFill="1" applyAlignment="1">
      <alignment horizontal="center" vertical="top"/>
    </xf>
    <xf numFmtId="0" fontId="23" fillId="16" borderId="1" xfId="20" applyFont="1" applyFill="1" applyBorder="1" applyAlignment="1">
      <alignment horizontal="left" vertical="top"/>
    </xf>
    <xf numFmtId="0" fontId="13" fillId="0" borderId="0" xfId="20" applyFont="1" applyAlignment="1">
      <alignment vertical="top"/>
    </xf>
    <xf numFmtId="0" fontId="23" fillId="3" borderId="1" xfId="20" applyFont="1" applyFill="1" applyBorder="1" applyAlignment="1">
      <alignment horizontal="left" vertical="top"/>
    </xf>
    <xf numFmtId="0" fontId="36" fillId="17" borderId="1" xfId="2" applyFont="1" applyFill="1" applyBorder="1" applyAlignment="1">
      <alignment horizontal="left" vertical="top" wrapText="1"/>
    </xf>
    <xf numFmtId="0" fontId="36" fillId="0" borderId="1" xfId="2" applyFont="1" applyBorder="1" applyAlignment="1">
      <alignment horizontal="left" vertical="top" wrapText="1"/>
    </xf>
    <xf numFmtId="0" fontId="36" fillId="0" borderId="0" xfId="2" applyFont="1" applyAlignment="1">
      <alignment horizontal="left" vertical="top" wrapText="1"/>
    </xf>
    <xf numFmtId="0" fontId="13" fillId="0" borderId="0" xfId="20" applyFont="1" applyAlignment="1" applyProtection="1">
      <alignment horizontal="left" vertical="center"/>
      <protection locked="0"/>
    </xf>
    <xf numFmtId="0" fontId="17" fillId="0" borderId="0" xfId="2" applyFont="1" applyAlignment="1" applyProtection="1">
      <alignment horizontal="left" vertical="top" wrapText="1"/>
      <protection locked="0"/>
    </xf>
    <xf numFmtId="0" fontId="13" fillId="0" borderId="0" xfId="20" applyFont="1" applyAlignment="1">
      <alignment horizontal="left" vertical="center"/>
    </xf>
    <xf numFmtId="0" fontId="13" fillId="0" borderId="0" xfId="20" applyFont="1" applyAlignment="1" applyProtection="1">
      <alignment horizontal="center" vertical="center"/>
      <protection locked="0"/>
    </xf>
    <xf numFmtId="0" fontId="13" fillId="0" borderId="0" xfId="20" applyFont="1" applyAlignment="1" applyProtection="1">
      <alignment vertical="center"/>
      <protection locked="0"/>
    </xf>
    <xf numFmtId="0" fontId="39" fillId="17" borderId="1" xfId="2" quotePrefix="1" applyFont="1" applyFill="1" applyBorder="1" applyAlignment="1">
      <alignment horizontal="left" vertical="top" wrapText="1"/>
    </xf>
    <xf numFmtId="0" fontId="39" fillId="0" borderId="0" xfId="2" quotePrefix="1" applyFont="1" applyAlignment="1">
      <alignment horizontal="left" vertical="top" wrapText="1"/>
    </xf>
    <xf numFmtId="0" fontId="23" fillId="19" borderId="1" xfId="20" applyFont="1" applyFill="1" applyBorder="1" applyAlignment="1">
      <alignment horizontal="left" vertical="top"/>
    </xf>
    <xf numFmtId="0" fontId="13" fillId="0" borderId="0" xfId="20" applyFont="1" applyAlignment="1">
      <alignment horizontal="center" vertical="center"/>
    </xf>
    <xf numFmtId="0" fontId="17" fillId="0" borderId="0" xfId="2" applyFont="1" applyAlignment="1">
      <alignment horizontal="left" vertical="center" wrapText="1"/>
    </xf>
    <xf numFmtId="0" fontId="13" fillId="0" borderId="0" xfId="20" applyFont="1" applyAlignment="1">
      <alignment horizontal="left" vertical="center" wrapText="1"/>
    </xf>
    <xf numFmtId="0" fontId="17" fillId="0" borderId="0" xfId="5" applyFont="1" applyAlignment="1">
      <alignment horizontal="left" vertical="center" wrapText="1"/>
    </xf>
    <xf numFmtId="0" fontId="13" fillId="0" borderId="0" xfId="20" applyFont="1" applyAlignment="1">
      <alignment vertical="center"/>
    </xf>
    <xf numFmtId="0" fontId="13" fillId="17" borderId="1" xfId="20" applyFont="1" applyFill="1" applyBorder="1" applyAlignment="1" applyProtection="1">
      <alignment horizontal="left" vertical="top"/>
      <protection locked="0"/>
    </xf>
    <xf numFmtId="0" fontId="37" fillId="17" borderId="1" xfId="20" applyFont="1" applyFill="1" applyBorder="1" applyAlignment="1" applyProtection="1">
      <alignment horizontal="left" vertical="top" wrapText="1"/>
      <protection locked="0"/>
    </xf>
    <xf numFmtId="0" fontId="37" fillId="0" borderId="0" xfId="20" applyFont="1" applyAlignment="1" applyProtection="1">
      <alignment horizontal="left" vertical="top" wrapText="1"/>
      <protection locked="0"/>
    </xf>
    <xf numFmtId="0" fontId="13" fillId="12" borderId="0" xfId="20" applyFont="1" applyFill="1" applyAlignment="1">
      <alignment vertical="top"/>
    </xf>
    <xf numFmtId="0" fontId="13" fillId="12" borderId="0" xfId="20" applyFont="1" applyFill="1" applyAlignment="1">
      <alignment vertical="top" wrapText="1"/>
    </xf>
    <xf numFmtId="0" fontId="13" fillId="12" borderId="0" xfId="20" applyFont="1" applyFill="1" applyAlignment="1">
      <alignment horizontal="center" vertical="top" wrapText="1"/>
    </xf>
    <xf numFmtId="0" fontId="13" fillId="0" borderId="0" xfId="20" applyFont="1" applyAlignment="1">
      <alignment horizontal="center" vertical="top" wrapText="1"/>
    </xf>
    <xf numFmtId="0" fontId="17" fillId="0" borderId="0" xfId="5" applyFont="1" applyAlignment="1">
      <alignment horizontal="left" vertical="top" wrapText="1"/>
    </xf>
    <xf numFmtId="0" fontId="13" fillId="14" borderId="0" xfId="20" applyFont="1" applyFill="1" applyAlignment="1">
      <alignment horizontal="left" vertical="top" wrapText="1"/>
    </xf>
    <xf numFmtId="0" fontId="13" fillId="15" borderId="0" xfId="20" applyFont="1" applyFill="1" applyAlignment="1">
      <alignment horizontal="left" vertical="top" wrapText="1"/>
    </xf>
    <xf numFmtId="0" fontId="39" fillId="17" borderId="1" xfId="2" applyFont="1" applyFill="1" applyBorder="1" applyAlignment="1">
      <alignment horizontal="left" vertical="top" wrapText="1"/>
    </xf>
    <xf numFmtId="0" fontId="17" fillId="0" borderId="0" xfId="2" quotePrefix="1" applyFont="1" applyAlignment="1">
      <alignment horizontal="left" vertical="top" wrapText="1"/>
    </xf>
    <xf numFmtId="0" fontId="17" fillId="0" borderId="9" xfId="2" applyFont="1" applyBorder="1" applyAlignment="1">
      <alignment horizontal="left" vertical="top" wrapText="1"/>
    </xf>
    <xf numFmtId="0" fontId="4" fillId="0" borderId="13" xfId="20" applyBorder="1"/>
    <xf numFmtId="0" fontId="4" fillId="0" borderId="14" xfId="20" applyBorder="1"/>
    <xf numFmtId="0" fontId="13" fillId="17" borderId="1" xfId="20" applyFont="1" applyFill="1" applyBorder="1" applyAlignment="1" applyProtection="1">
      <alignment horizontal="left" vertical="top" wrapText="1"/>
      <protection locked="0"/>
    </xf>
    <xf numFmtId="0" fontId="13" fillId="12" borderId="0" xfId="20" quotePrefix="1" applyFont="1" applyFill="1" applyAlignment="1">
      <alignment vertical="top" wrapText="1"/>
    </xf>
    <xf numFmtId="0" fontId="13" fillId="0" borderId="0" xfId="20" quotePrefix="1" applyFont="1" applyAlignment="1">
      <alignment vertical="top" wrapText="1"/>
    </xf>
    <xf numFmtId="0" fontId="41" fillId="0" borderId="0" xfId="20" applyFont="1" applyAlignment="1">
      <alignment horizontal="left" vertical="top"/>
    </xf>
    <xf numFmtId="0" fontId="41" fillId="0" borderId="0" xfId="20" applyFont="1" applyAlignment="1">
      <alignment horizontal="center" vertical="center"/>
    </xf>
    <xf numFmtId="0" fontId="23" fillId="20" borderId="1" xfId="20" applyFont="1" applyFill="1" applyBorder="1" applyAlignment="1">
      <alignment horizontal="left" vertical="top"/>
    </xf>
    <xf numFmtId="0" fontId="44" fillId="17" borderId="1" xfId="2" quotePrefix="1" applyFont="1" applyFill="1" applyBorder="1" applyAlignment="1">
      <alignment horizontal="left" vertical="top" wrapText="1"/>
    </xf>
    <xf numFmtId="0" fontId="42" fillId="17" borderId="1" xfId="2" quotePrefix="1" applyFont="1" applyFill="1" applyBorder="1" applyAlignment="1">
      <alignment horizontal="left" vertical="top" wrapText="1"/>
    </xf>
    <xf numFmtId="0" fontId="45" fillId="0" borderId="0" xfId="20" applyFont="1" applyAlignment="1">
      <alignment horizontal="left" vertical="top"/>
    </xf>
    <xf numFmtId="0" fontId="14" fillId="0" borderId="0" xfId="20" applyFont="1" applyAlignment="1">
      <alignment horizontal="left" vertical="top"/>
    </xf>
    <xf numFmtId="0" fontId="14" fillId="0" borderId="0" xfId="20" applyFont="1" applyAlignment="1">
      <alignment horizontal="center" vertical="top"/>
    </xf>
    <xf numFmtId="0" fontId="46" fillId="0" borderId="0" xfId="5" applyFont="1" applyAlignment="1">
      <alignment horizontal="left" vertical="top" wrapText="1"/>
    </xf>
    <xf numFmtId="0" fontId="14" fillId="0" borderId="0" xfId="20" applyFont="1"/>
    <xf numFmtId="0" fontId="13" fillId="15" borderId="0" xfId="20" applyFont="1" applyFill="1"/>
    <xf numFmtId="0" fontId="17" fillId="0" borderId="0" xfId="2" applyFont="1" applyAlignment="1">
      <alignment horizontal="center" vertical="top" wrapText="1"/>
    </xf>
    <xf numFmtId="0" fontId="23" fillId="16" borderId="10" xfId="20" applyFont="1" applyFill="1" applyBorder="1" applyAlignment="1">
      <alignment horizontal="left" vertical="top"/>
    </xf>
    <xf numFmtId="0" fontId="17" fillId="18" borderId="1" xfId="2" applyFont="1" applyFill="1" applyBorder="1" applyAlignment="1">
      <alignment horizontal="left" vertical="top" wrapText="1"/>
    </xf>
    <xf numFmtId="0" fontId="4" fillId="21" borderId="0" xfId="20" applyFill="1"/>
    <xf numFmtId="0" fontId="13" fillId="21" borderId="0" xfId="20" applyFont="1" applyFill="1"/>
    <xf numFmtId="0" fontId="17" fillId="14" borderId="1" xfId="2" applyFont="1" applyFill="1" applyBorder="1" applyAlignment="1">
      <alignment horizontal="left" vertical="top" wrapText="1"/>
    </xf>
    <xf numFmtId="0" fontId="17" fillId="21" borderId="2" xfId="2" applyFont="1" applyFill="1" applyBorder="1" applyAlignment="1">
      <alignment horizontal="left" vertical="top" wrapText="1"/>
    </xf>
    <xf numFmtId="0" fontId="13" fillId="0" borderId="9" xfId="20" applyFont="1" applyBorder="1"/>
    <xf numFmtId="0" fontId="36" fillId="22" borderId="1" xfId="2" applyFont="1" applyFill="1" applyBorder="1" applyAlignment="1">
      <alignment horizontal="left" vertical="top" wrapText="1"/>
    </xf>
    <xf numFmtId="0" fontId="36" fillId="17" borderId="1" xfId="2" quotePrefix="1" applyFont="1" applyFill="1" applyBorder="1" applyAlignment="1">
      <alignment vertical="top" wrapText="1"/>
    </xf>
    <xf numFmtId="0" fontId="36" fillId="0" borderId="0" xfId="2" quotePrefix="1" applyFont="1" applyAlignment="1">
      <alignment vertical="top" wrapText="1"/>
    </xf>
    <xf numFmtId="0" fontId="17" fillId="4" borderId="1" xfId="2" applyFont="1" applyFill="1" applyBorder="1" applyAlignment="1">
      <alignment horizontal="center" vertical="top" wrapText="1"/>
    </xf>
    <xf numFmtId="0" fontId="17" fillId="6" borderId="1" xfId="2" applyFont="1" applyFill="1" applyBorder="1" applyAlignment="1">
      <alignment horizontal="center" vertical="top" wrapText="1"/>
    </xf>
    <xf numFmtId="0" fontId="17" fillId="15" borderId="1" xfId="2" applyFont="1" applyFill="1" applyBorder="1" applyAlignment="1">
      <alignment horizontal="center" vertical="top" wrapText="1"/>
    </xf>
    <xf numFmtId="0" fontId="17" fillId="15" borderId="2" xfId="2" applyFont="1" applyFill="1" applyBorder="1" applyAlignment="1">
      <alignment horizontal="center" vertical="top" wrapText="1"/>
    </xf>
    <xf numFmtId="0" fontId="17" fillId="22" borderId="1" xfId="2" quotePrefix="1" applyFont="1" applyFill="1" applyBorder="1" applyAlignment="1">
      <alignment horizontal="left" vertical="top" wrapText="1"/>
    </xf>
    <xf numFmtId="0" fontId="25" fillId="2" borderId="0" xfId="20" applyFont="1" applyFill="1" applyAlignment="1">
      <alignment horizontal="left" vertical="top"/>
    </xf>
    <xf numFmtId="0" fontId="12" fillId="2" borderId="0" xfId="20" applyFont="1" applyFill="1" applyAlignment="1">
      <alignment horizontal="left" vertical="top"/>
    </xf>
    <xf numFmtId="0" fontId="16" fillId="2" borderId="0" xfId="20" applyFont="1" applyFill="1" applyAlignment="1">
      <alignment horizontal="left" vertical="top"/>
    </xf>
    <xf numFmtId="0" fontId="14" fillId="2" borderId="0" xfId="20" applyFont="1" applyFill="1" applyAlignment="1">
      <alignment horizontal="left" vertical="top"/>
    </xf>
    <xf numFmtId="0" fontId="13" fillId="2" borderId="0" xfId="20" applyFont="1" applyFill="1" applyAlignment="1">
      <alignment horizontal="left" vertical="top"/>
    </xf>
    <xf numFmtId="0" fontId="14" fillId="14" borderId="0" xfId="20" applyFont="1" applyFill="1" applyAlignment="1">
      <alignment horizontal="left" vertical="top"/>
    </xf>
    <xf numFmtId="0" fontId="14" fillId="6" borderId="0" xfId="20" applyFont="1" applyFill="1" applyAlignment="1">
      <alignment horizontal="left" vertical="top"/>
    </xf>
    <xf numFmtId="0" fontId="14" fillId="15" borderId="0" xfId="20" applyFont="1" applyFill="1" applyAlignment="1">
      <alignment horizontal="left" vertical="top"/>
    </xf>
    <xf numFmtId="0" fontId="4" fillId="15" borderId="0" xfId="20" applyFill="1"/>
    <xf numFmtId="0" fontId="4" fillId="18" borderId="0" xfId="20" applyFill="1"/>
    <xf numFmtId="0" fontId="4" fillId="14" borderId="0" xfId="20" applyFill="1"/>
    <xf numFmtId="0" fontId="4" fillId="6" borderId="0" xfId="20" applyFill="1"/>
    <xf numFmtId="0" fontId="13" fillId="18" borderId="0" xfId="20" applyFont="1" applyFill="1"/>
    <xf numFmtId="0" fontId="17" fillId="6" borderId="2" xfId="2" applyFont="1" applyFill="1" applyBorder="1" applyAlignment="1">
      <alignment horizontal="left" vertical="top" wrapText="1"/>
    </xf>
    <xf numFmtId="0" fontId="17" fillId="15" borderId="4" xfId="2" applyFont="1" applyFill="1" applyBorder="1" applyAlignment="1">
      <alignment horizontal="left" vertical="top" wrapText="1"/>
    </xf>
    <xf numFmtId="0" fontId="17" fillId="21" borderId="1" xfId="2" applyFont="1" applyFill="1" applyBorder="1" applyAlignment="1">
      <alignment horizontal="left" vertical="top" wrapText="1"/>
    </xf>
    <xf numFmtId="0" fontId="17" fillId="18" borderId="2" xfId="2" applyFont="1" applyFill="1" applyBorder="1" applyAlignment="1">
      <alignment horizontal="left" vertical="top" wrapText="1"/>
    </xf>
    <xf numFmtId="0" fontId="17" fillId="3" borderId="4" xfId="2" applyFont="1" applyFill="1" applyBorder="1" applyAlignment="1">
      <alignment horizontal="left" vertical="top" wrapText="1"/>
    </xf>
    <xf numFmtId="0" fontId="17" fillId="3" borderId="2" xfId="2" applyFont="1" applyFill="1" applyBorder="1" applyAlignment="1">
      <alignment horizontal="left" vertical="top" wrapText="1"/>
    </xf>
    <xf numFmtId="0" fontId="39" fillId="17" borderId="2" xfId="2" quotePrefix="1" applyFont="1" applyFill="1" applyBorder="1" applyAlignment="1">
      <alignment horizontal="left" vertical="top" wrapText="1"/>
    </xf>
    <xf numFmtId="0" fontId="39" fillId="17" borderId="4" xfId="2" quotePrefix="1" applyFont="1" applyFill="1" applyBorder="1" applyAlignment="1">
      <alignment horizontal="left" vertical="top" wrapText="1"/>
    </xf>
    <xf numFmtId="0" fontId="36" fillId="17" borderId="2" xfId="2" quotePrefix="1" applyFont="1" applyFill="1" applyBorder="1" applyAlignment="1">
      <alignment horizontal="left" vertical="top" wrapText="1"/>
    </xf>
    <xf numFmtId="0" fontId="36" fillId="17" borderId="4" xfId="2" quotePrefix="1" applyFont="1" applyFill="1" applyBorder="1" applyAlignment="1">
      <alignment horizontal="left" vertical="top" wrapText="1"/>
    </xf>
    <xf numFmtId="0" fontId="17" fillId="17" borderId="2" xfId="2" quotePrefix="1" applyFont="1" applyFill="1" applyBorder="1" applyAlignment="1">
      <alignment horizontal="left" vertical="top" wrapText="1"/>
    </xf>
    <xf numFmtId="0" fontId="17" fillId="17" borderId="4" xfId="2" applyFont="1" applyFill="1" applyBorder="1" applyAlignment="1">
      <alignment horizontal="left" vertical="top" wrapText="1"/>
    </xf>
    <xf numFmtId="0" fontId="13" fillId="0" borderId="7" xfId="20" applyFont="1" applyBorder="1" applyAlignment="1">
      <alignment vertical="top"/>
    </xf>
    <xf numFmtId="0" fontId="36" fillId="22" borderId="6" xfId="2" quotePrefix="1" applyFont="1" applyFill="1" applyBorder="1" applyAlignment="1">
      <alignment horizontal="left" vertical="top" wrapText="1"/>
    </xf>
    <xf numFmtId="0" fontId="36" fillId="17" borderId="6" xfId="2" quotePrefix="1" applyFont="1" applyFill="1" applyBorder="1" applyAlignment="1">
      <alignment horizontal="left" vertical="top" wrapText="1"/>
    </xf>
    <xf numFmtId="0" fontId="36" fillId="22" borderId="1" xfId="2" quotePrefix="1" applyFont="1" applyFill="1" applyBorder="1" applyAlignment="1">
      <alignment horizontal="left" vertical="top" wrapText="1"/>
    </xf>
    <xf numFmtId="0" fontId="41" fillId="0" borderId="0" xfId="20" applyFont="1" applyAlignment="1">
      <alignment horizontal="center" vertical="top"/>
    </xf>
    <xf numFmtId="0" fontId="41" fillId="0" borderId="0" xfId="20" applyFont="1" applyAlignment="1">
      <alignment horizontal="left" vertical="top" wrapText="1"/>
    </xf>
    <xf numFmtId="0" fontId="36" fillId="0" borderId="1" xfId="2" quotePrefix="1" applyFont="1" applyBorder="1" applyAlignment="1">
      <alignment horizontal="left" vertical="top" wrapText="1"/>
    </xf>
    <xf numFmtId="0" fontId="36" fillId="0" borderId="9" xfId="2" quotePrefix="1" applyFont="1" applyBorder="1" applyAlignment="1">
      <alignment horizontal="left" vertical="top" wrapText="1"/>
    </xf>
    <xf numFmtId="0" fontId="13" fillId="0" borderId="9" xfId="20" applyFont="1" applyBorder="1" applyAlignment="1">
      <alignment horizontal="left" vertical="top"/>
    </xf>
    <xf numFmtId="0" fontId="13" fillId="0" borderId="0" xfId="20" applyFont="1" applyAlignment="1">
      <alignment horizontal="left"/>
    </xf>
    <xf numFmtId="0" fontId="23" fillId="16" borderId="1" xfId="20" applyFont="1" applyFill="1" applyBorder="1" applyAlignment="1">
      <alignment horizontal="left" vertical="top" wrapText="1"/>
    </xf>
    <xf numFmtId="0" fontId="17" fillId="4" borderId="1" xfId="21" applyFont="1" applyFill="1" applyBorder="1" applyAlignment="1">
      <alignment horizontal="left" vertical="top" wrapText="1"/>
    </xf>
    <xf numFmtId="0" fontId="17" fillId="6" borderId="1" xfId="21" applyFont="1" applyFill="1" applyBorder="1" applyAlignment="1">
      <alignment horizontal="left" vertical="top" wrapText="1"/>
    </xf>
    <xf numFmtId="0" fontId="17" fillId="15" borderId="1" xfId="21" applyFont="1" applyFill="1" applyBorder="1" applyAlignment="1">
      <alignment horizontal="left" vertical="top" wrapText="1"/>
    </xf>
    <xf numFmtId="0" fontId="17" fillId="15" borderId="2" xfId="21" applyFont="1" applyFill="1" applyBorder="1" applyAlignment="1">
      <alignment horizontal="left" vertical="top" wrapText="1"/>
    </xf>
    <xf numFmtId="0" fontId="17" fillId="0" borderId="0" xfId="21" applyFont="1" applyAlignment="1">
      <alignment horizontal="left" vertical="top" wrapText="1"/>
    </xf>
    <xf numFmtId="0" fontId="23" fillId="3" borderId="1" xfId="20" applyFont="1" applyFill="1" applyBorder="1" applyAlignment="1">
      <alignment horizontal="left" vertical="top" wrapText="1"/>
    </xf>
    <xf numFmtId="0" fontId="17" fillId="3" borderId="1" xfId="21" applyFont="1" applyFill="1" applyBorder="1" applyAlignment="1">
      <alignment horizontal="left" vertical="top" wrapText="1"/>
    </xf>
    <xf numFmtId="0" fontId="13" fillId="0" borderId="0" xfId="20" applyFont="1" applyAlignment="1">
      <alignment horizontal="center" vertical="center" wrapText="1"/>
    </xf>
    <xf numFmtId="0" fontId="39" fillId="17" borderId="1" xfId="21" quotePrefix="1" applyFont="1" applyFill="1" applyBorder="1" applyAlignment="1">
      <alignment horizontal="left" vertical="top" wrapText="1"/>
    </xf>
    <xf numFmtId="0" fontId="39" fillId="0" borderId="0" xfId="21" quotePrefix="1" applyFont="1" applyAlignment="1">
      <alignment horizontal="left" vertical="top" wrapText="1"/>
    </xf>
    <xf numFmtId="0" fontId="36" fillId="0" borderId="0" xfId="21" quotePrefix="1" applyFont="1" applyAlignment="1">
      <alignment horizontal="left" vertical="top" wrapText="1"/>
    </xf>
    <xf numFmtId="0" fontId="36" fillId="17" borderId="1" xfId="21" applyFont="1" applyFill="1" applyBorder="1" applyAlignment="1">
      <alignment horizontal="left" vertical="top" wrapText="1"/>
    </xf>
    <xf numFmtId="0" fontId="36" fillId="17" borderId="1" xfId="21" quotePrefix="1" applyFont="1" applyFill="1" applyBorder="1" applyAlignment="1">
      <alignment horizontal="left" vertical="top" wrapText="1"/>
    </xf>
    <xf numFmtId="0" fontId="36" fillId="0" borderId="0" xfId="21" applyFont="1" applyAlignment="1">
      <alignment horizontal="left" vertical="top" wrapText="1"/>
    </xf>
    <xf numFmtId="0" fontId="36" fillId="22" borderId="6" xfId="21" quotePrefix="1" applyFont="1" applyFill="1" applyBorder="1" applyAlignment="1">
      <alignment horizontal="left" vertical="top" wrapText="1"/>
    </xf>
    <xf numFmtId="0" fontId="36" fillId="17" borderId="6" xfId="21" quotePrefix="1" applyFont="1" applyFill="1" applyBorder="1" applyAlignment="1">
      <alignment horizontal="left" vertical="top" wrapText="1"/>
    </xf>
    <xf numFmtId="0" fontId="23" fillId="19" borderId="6" xfId="20" applyFont="1" applyFill="1" applyBorder="1" applyAlignment="1">
      <alignment horizontal="left" vertical="top" wrapText="1"/>
    </xf>
    <xf numFmtId="0" fontId="13" fillId="6" borderId="0" xfId="20" applyFont="1" applyFill="1" applyAlignment="1">
      <alignment horizontal="center" vertical="top"/>
    </xf>
    <xf numFmtId="0" fontId="17" fillId="22" borderId="11" xfId="2" quotePrefix="1" applyFont="1" applyFill="1" applyBorder="1" applyAlignment="1">
      <alignment horizontal="left" vertical="top" wrapText="1"/>
    </xf>
    <xf numFmtId="0" fontId="17" fillId="17" borderId="11" xfId="2" quotePrefix="1" applyFont="1" applyFill="1" applyBorder="1" applyAlignment="1">
      <alignment horizontal="left" vertical="top" wrapText="1"/>
    </xf>
    <xf numFmtId="0" fontId="23" fillId="19" borderId="11" xfId="20" applyFont="1" applyFill="1" applyBorder="1" applyAlignment="1">
      <alignment horizontal="left" vertical="top"/>
    </xf>
    <xf numFmtId="0" fontId="35" fillId="0" borderId="0" xfId="20" applyFont="1" applyAlignment="1" applyProtection="1">
      <alignment vertical="top"/>
      <protection locked="0"/>
    </xf>
    <xf numFmtId="0" fontId="48" fillId="0" borderId="0" xfId="20" applyFont="1" applyAlignment="1" applyProtection="1">
      <alignment vertical="top"/>
      <protection locked="0"/>
    </xf>
    <xf numFmtId="0" fontId="17" fillId="0" borderId="0" xfId="2" applyFont="1" applyAlignment="1" applyProtection="1">
      <alignment horizontal="left" vertical="center" wrapText="1"/>
      <protection locked="0"/>
    </xf>
    <xf numFmtId="0" fontId="13" fillId="0" borderId="0" xfId="20" applyFont="1" applyAlignment="1" applyProtection="1">
      <alignment horizontal="left" vertical="center" wrapText="1"/>
      <protection locked="0"/>
    </xf>
    <xf numFmtId="0" fontId="17" fillId="0" borderId="0" xfId="5" applyFont="1" applyAlignment="1" applyProtection="1">
      <alignment horizontal="left" vertical="center" wrapText="1"/>
      <protection locked="0"/>
    </xf>
    <xf numFmtId="0" fontId="23" fillId="2" borderId="0" xfId="20" applyFont="1" applyFill="1" applyAlignment="1" applyProtection="1">
      <alignment horizontal="left" vertical="top"/>
      <protection locked="0"/>
    </xf>
    <xf numFmtId="0" fontId="13" fillId="14" borderId="0" xfId="20" applyFont="1" applyFill="1" applyAlignment="1" applyProtection="1">
      <alignment horizontal="left" vertical="top"/>
      <protection locked="0"/>
    </xf>
    <xf numFmtId="0" fontId="13" fillId="6" borderId="0" xfId="20" applyFont="1" applyFill="1" applyAlignment="1" applyProtection="1">
      <alignment horizontal="left" vertical="top"/>
      <protection locked="0"/>
    </xf>
    <xf numFmtId="0" fontId="13" fillId="6" borderId="0" xfId="20" applyFont="1" applyFill="1" applyAlignment="1" applyProtection="1">
      <alignment horizontal="center" vertical="center"/>
      <protection locked="0"/>
    </xf>
    <xf numFmtId="0" fontId="13" fillId="15" borderId="0" xfId="20" applyFont="1" applyFill="1" applyAlignment="1" applyProtection="1">
      <alignment horizontal="left" vertical="top"/>
      <protection locked="0"/>
    </xf>
    <xf numFmtId="0" fontId="13" fillId="0" borderId="0" xfId="20" applyFont="1" applyAlignment="1" applyProtection="1">
      <alignment horizontal="left" vertical="top"/>
      <protection locked="0"/>
    </xf>
    <xf numFmtId="0" fontId="13" fillId="0" borderId="0" xfId="20" applyFont="1" applyProtection="1">
      <protection locked="0"/>
    </xf>
    <xf numFmtId="0" fontId="13" fillId="14" borderId="0" xfId="20" applyFont="1" applyFill="1" applyProtection="1">
      <protection locked="0"/>
    </xf>
    <xf numFmtId="0" fontId="13" fillId="6" borderId="0" xfId="20" applyFont="1" applyFill="1" applyProtection="1">
      <protection locked="0"/>
    </xf>
    <xf numFmtId="0" fontId="13" fillId="15" borderId="0" xfId="20" applyFont="1" applyFill="1" applyProtection="1">
      <protection locked="0"/>
    </xf>
    <xf numFmtId="0" fontId="23" fillId="16" borderId="1" xfId="20" applyFont="1" applyFill="1" applyBorder="1" applyAlignment="1" applyProtection="1">
      <alignment horizontal="left" vertical="top" wrapText="1"/>
      <protection locked="0"/>
    </xf>
    <xf numFmtId="0" fontId="17" fillId="4" borderId="1" xfId="2" applyFont="1" applyFill="1" applyBorder="1" applyAlignment="1" applyProtection="1">
      <alignment horizontal="left" vertical="top" wrapText="1"/>
      <protection locked="0"/>
    </xf>
    <xf numFmtId="0" fontId="17" fillId="6" borderId="1" xfId="2" applyFont="1" applyFill="1" applyBorder="1" applyAlignment="1" applyProtection="1">
      <alignment horizontal="left" vertical="top" wrapText="1"/>
      <protection locked="0"/>
    </xf>
    <xf numFmtId="0" fontId="17" fillId="15" borderId="1" xfId="2" applyFont="1" applyFill="1" applyBorder="1" applyAlignment="1" applyProtection="1">
      <alignment horizontal="left" vertical="top" wrapText="1"/>
      <protection locked="0"/>
    </xf>
    <xf numFmtId="0" fontId="23" fillId="3" borderId="1" xfId="20" applyFont="1" applyFill="1" applyBorder="1" applyAlignment="1" applyProtection="1">
      <alignment horizontal="left" vertical="top" wrapText="1"/>
      <protection locked="0"/>
    </xf>
    <xf numFmtId="0" fontId="17" fillId="3" borderId="1" xfId="2" applyFont="1" applyFill="1" applyBorder="1" applyAlignment="1" applyProtection="1">
      <alignment horizontal="left" vertical="top" wrapText="1"/>
      <protection locked="0"/>
    </xf>
    <xf numFmtId="0" fontId="36" fillId="17" borderId="1" xfId="2" quotePrefix="1" applyFont="1" applyFill="1" applyBorder="1" applyAlignment="1" applyProtection="1">
      <alignment horizontal="left" vertical="top" wrapText="1"/>
      <protection locked="0"/>
    </xf>
    <xf numFmtId="0" fontId="36" fillId="0" borderId="0" xfId="2" quotePrefix="1" applyFont="1" applyAlignment="1" applyProtection="1">
      <alignment horizontal="left" vertical="top" wrapText="1"/>
      <protection locked="0"/>
    </xf>
    <xf numFmtId="0" fontId="36" fillId="22" borderId="10" xfId="2" quotePrefix="1" applyFont="1" applyFill="1" applyBorder="1" applyAlignment="1" applyProtection="1">
      <alignment horizontal="left" vertical="top" wrapText="1"/>
      <protection locked="0"/>
    </xf>
    <xf numFmtId="0" fontId="36" fillId="17" borderId="10" xfId="2" quotePrefix="1" applyFont="1" applyFill="1" applyBorder="1" applyAlignment="1" applyProtection="1">
      <alignment horizontal="left" vertical="top" wrapText="1"/>
      <protection locked="0"/>
    </xf>
    <xf numFmtId="0" fontId="23" fillId="19" borderId="10" xfId="20" applyFont="1" applyFill="1" applyBorder="1" applyAlignment="1" applyProtection="1">
      <alignment horizontal="left" vertical="top" wrapText="1"/>
      <protection locked="0"/>
    </xf>
    <xf numFmtId="0" fontId="13" fillId="0" borderId="0" xfId="20" applyFont="1" applyAlignment="1" applyProtection="1">
      <alignment wrapText="1"/>
      <protection locked="0"/>
    </xf>
    <xf numFmtId="0" fontId="14" fillId="0" borderId="0" xfId="20" applyFont="1" applyAlignment="1">
      <alignment horizontal="center" vertical="center"/>
    </xf>
    <xf numFmtId="0" fontId="13" fillId="21" borderId="0" xfId="20" applyFont="1" applyFill="1" applyAlignment="1">
      <alignment horizontal="left" vertical="top"/>
    </xf>
    <xf numFmtId="0" fontId="13" fillId="21" borderId="0" xfId="20" applyFont="1" applyFill="1" applyAlignment="1">
      <alignment horizontal="center" vertical="top"/>
    </xf>
    <xf numFmtId="0" fontId="17" fillId="18" borderId="3" xfId="2" applyFont="1" applyFill="1" applyBorder="1" applyAlignment="1">
      <alignment horizontal="left" vertical="top" wrapText="1"/>
    </xf>
    <xf numFmtId="0" fontId="17" fillId="3" borderId="3" xfId="2" applyFont="1" applyFill="1" applyBorder="1" applyAlignment="1">
      <alignment horizontal="left" vertical="top" wrapText="1"/>
    </xf>
    <xf numFmtId="0" fontId="17" fillId="0" borderId="7" xfId="2" applyFont="1" applyBorder="1" applyAlignment="1">
      <alignment horizontal="left" vertical="top" wrapText="1"/>
    </xf>
    <xf numFmtId="0" fontId="4" fillId="0" borderId="7" xfId="20" applyBorder="1" applyAlignment="1">
      <alignment horizontal="left" vertical="top"/>
    </xf>
    <xf numFmtId="0" fontId="17" fillId="17" borderId="4" xfId="2" quotePrefix="1" applyFont="1" applyFill="1" applyBorder="1" applyAlignment="1">
      <alignment horizontal="left" vertical="top" wrapText="1"/>
    </xf>
    <xf numFmtId="0" fontId="18" fillId="0" borderId="0" xfId="2" applyFont="1" applyAlignment="1">
      <alignment horizontal="center" vertical="top" wrapText="1"/>
    </xf>
    <xf numFmtId="0" fontId="13" fillId="15" borderId="12" xfId="20" applyFont="1" applyFill="1" applyBorder="1" applyAlignment="1">
      <alignment horizontal="left" vertical="top"/>
    </xf>
    <xf numFmtId="0" fontId="50" fillId="17" borderId="1" xfId="2" quotePrefix="1" applyFont="1" applyFill="1" applyBorder="1" applyAlignment="1">
      <alignment horizontal="left" vertical="top" wrapText="1"/>
    </xf>
    <xf numFmtId="0" fontId="54" fillId="17" borderId="1" xfId="2" quotePrefix="1" applyFont="1" applyFill="1" applyBorder="1" applyAlignment="1">
      <alignment horizontal="left" vertical="top" wrapText="1"/>
    </xf>
    <xf numFmtId="0" fontId="49" fillId="17" borderId="1" xfId="2" quotePrefix="1" applyFont="1" applyFill="1" applyBorder="1" applyAlignment="1">
      <alignment horizontal="left" vertical="top" wrapText="1"/>
    </xf>
    <xf numFmtId="0" fontId="50" fillId="0" borderId="0" xfId="2" quotePrefix="1" applyFont="1" applyAlignment="1">
      <alignment horizontal="left" vertical="top" wrapText="1"/>
    </xf>
    <xf numFmtId="0" fontId="23" fillId="16" borderId="1" xfId="20" applyFont="1" applyFill="1" applyBorder="1" applyAlignment="1">
      <alignment vertical="top"/>
    </xf>
    <xf numFmtId="0" fontId="23" fillId="3" borderId="1" xfId="20" applyFont="1" applyFill="1" applyBorder="1" applyAlignment="1">
      <alignment vertical="top"/>
    </xf>
    <xf numFmtId="0" fontId="4" fillId="0" borderId="0" xfId="20" applyAlignment="1">
      <alignment vertical="top" wrapText="1"/>
    </xf>
    <xf numFmtId="0" fontId="23" fillId="19" borderId="1" xfId="20" applyFont="1" applyFill="1" applyBorder="1" applyAlignment="1">
      <alignment vertical="top"/>
    </xf>
    <xf numFmtId="0" fontId="37" fillId="0" borderId="0" xfId="20" applyFont="1" applyAlignment="1">
      <alignment vertical="top" wrapText="1"/>
    </xf>
    <xf numFmtId="0" fontId="37" fillId="0" borderId="0" xfId="20" applyFont="1" applyAlignment="1">
      <alignment vertical="top"/>
    </xf>
    <xf numFmtId="0" fontId="17" fillId="17" borderId="10" xfId="2" quotePrefix="1" applyFont="1" applyFill="1" applyBorder="1" applyAlignment="1">
      <alignment horizontal="left" vertical="top" wrapText="1"/>
    </xf>
    <xf numFmtId="0" fontId="57" fillId="17" borderId="10" xfId="2" quotePrefix="1" applyFont="1" applyFill="1" applyBorder="1" applyAlignment="1">
      <alignment horizontal="left" vertical="top" wrapText="1"/>
    </xf>
    <xf numFmtId="0" fontId="57" fillId="17" borderId="1" xfId="2" quotePrefix="1" applyFont="1" applyFill="1" applyBorder="1" applyAlignment="1">
      <alignment horizontal="left" vertical="top" wrapText="1"/>
    </xf>
    <xf numFmtId="0" fontId="57" fillId="17" borderId="0" xfId="2" quotePrefix="1" applyFont="1" applyFill="1" applyAlignment="1">
      <alignment horizontal="left" vertical="top" wrapText="1"/>
    </xf>
    <xf numFmtId="0" fontId="57" fillId="0" borderId="0" xfId="2" quotePrefix="1" applyFont="1" applyAlignment="1">
      <alignment horizontal="left" vertical="top" wrapText="1"/>
    </xf>
    <xf numFmtId="0" fontId="23" fillId="16" borderId="8" xfId="20" applyFont="1" applyFill="1" applyBorder="1" applyAlignment="1">
      <alignment horizontal="left" vertical="top"/>
    </xf>
    <xf numFmtId="0" fontId="0" fillId="9" borderId="0" xfId="0" applyFill="1"/>
    <xf numFmtId="0" fontId="61" fillId="0" borderId="0" xfId="0" applyFont="1"/>
    <xf numFmtId="0" fontId="0" fillId="0" borderId="0" xfId="0" applyAlignment="1">
      <alignment horizontal="center" vertical="center"/>
    </xf>
    <xf numFmtId="0" fontId="14"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0" fillId="0" borderId="0" xfId="0" applyAlignment="1">
      <alignment wrapText="1"/>
    </xf>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63" fillId="0" borderId="0" xfId="23" applyFont="1" applyAlignment="1">
      <alignment horizontal="left" vertical="top"/>
    </xf>
    <xf numFmtId="0" fontId="13" fillId="0" borderId="0" xfId="23" applyFont="1" applyAlignment="1">
      <alignment horizontal="left" vertical="top"/>
    </xf>
    <xf numFmtId="0" fontId="1" fillId="0" borderId="0" xfId="23" applyAlignment="1">
      <alignment horizontal="left" vertical="top"/>
    </xf>
    <xf numFmtId="0" fontId="13" fillId="0" borderId="0" xfId="23" applyFont="1" applyAlignment="1">
      <alignment horizontal="center" vertical="center"/>
    </xf>
    <xf numFmtId="0" fontId="13" fillId="0" borderId="0" xfId="23" applyFont="1" applyAlignment="1">
      <alignment horizontal="left" vertical="top" wrapText="1"/>
    </xf>
    <xf numFmtId="0" fontId="23" fillId="16" borderId="1" xfId="23" applyFont="1" applyFill="1" applyBorder="1"/>
    <xf numFmtId="0" fontId="23" fillId="16" borderId="0" xfId="23" applyFont="1" applyFill="1"/>
    <xf numFmtId="0" fontId="23" fillId="16" borderId="0" xfId="23" applyFont="1" applyFill="1" applyAlignment="1">
      <alignment horizontal="center" vertical="center"/>
    </xf>
    <xf numFmtId="0" fontId="13" fillId="0" borderId="0" xfId="23" applyFont="1"/>
    <xf numFmtId="0" fontId="17" fillId="24" borderId="1" xfId="2" applyFont="1" applyFill="1" applyBorder="1" applyAlignment="1">
      <alignment horizontal="left" vertical="top" wrapText="1"/>
    </xf>
    <xf numFmtId="0" fontId="17" fillId="24" borderId="1" xfId="2" applyFont="1" applyFill="1" applyBorder="1" applyAlignment="1">
      <alignment horizontal="left" vertical="top" textRotation="180" wrapText="1"/>
    </xf>
    <xf numFmtId="0" fontId="17" fillId="24" borderId="0" xfId="2" applyFont="1" applyFill="1" applyAlignment="1">
      <alignment horizontal="left" vertical="top" textRotation="180" wrapText="1"/>
    </xf>
    <xf numFmtId="0" fontId="13" fillId="0" borderId="0" xfId="23" applyFont="1" applyAlignment="1">
      <alignment horizontal="center" vertical="top" wrapText="1"/>
    </xf>
    <xf numFmtId="0" fontId="13" fillId="0" borderId="0" xfId="23" applyFont="1" applyAlignment="1">
      <alignment horizontal="center" vertical="top"/>
    </xf>
    <xf numFmtId="0" fontId="17" fillId="0" borderId="0" xfId="2" applyFont="1" applyAlignment="1">
      <alignment horizontal="left" vertical="top"/>
    </xf>
    <xf numFmtId="0" fontId="17" fillId="4" borderId="1" xfId="2" quotePrefix="1" applyFont="1" applyFill="1" applyBorder="1" applyAlignment="1">
      <alignment horizontal="left" vertical="top" wrapText="1"/>
    </xf>
    <xf numFmtId="0" fontId="17" fillId="4" borderId="0" xfId="2" quotePrefix="1" applyFont="1" applyFill="1" applyAlignment="1">
      <alignment horizontal="left" vertical="top" wrapText="1"/>
    </xf>
    <xf numFmtId="0" fontId="17" fillId="24" borderId="17" xfId="2" applyFont="1" applyFill="1" applyBorder="1" applyAlignment="1">
      <alignment horizontal="left" vertical="top" textRotation="180" wrapText="1"/>
    </xf>
    <xf numFmtId="0" fontId="13" fillId="0" borderId="0" xfId="23" applyFont="1" applyAlignment="1">
      <alignment horizontal="left" vertical="center"/>
    </xf>
    <xf numFmtId="0" fontId="13" fillId="0" borderId="0" xfId="23" applyFont="1" applyAlignment="1">
      <alignment vertical="center"/>
    </xf>
    <xf numFmtId="0" fontId="23" fillId="16" borderId="1" xfId="23" applyFont="1" applyFill="1" applyBorder="1" applyAlignment="1">
      <alignment horizontal="center" vertical="center"/>
    </xf>
    <xf numFmtId="0" fontId="17" fillId="24" borderId="1" xfId="2" applyFont="1" applyFill="1" applyBorder="1" applyAlignment="1">
      <alignment horizontal="left" vertical="center" wrapText="1"/>
    </xf>
    <xf numFmtId="0" fontId="17" fillId="24" borderId="1" xfId="2" applyFont="1" applyFill="1" applyBorder="1" applyAlignment="1">
      <alignment horizontal="left" vertical="center" textRotation="180" wrapText="1"/>
    </xf>
    <xf numFmtId="0" fontId="17" fillId="24" borderId="1" xfId="2" applyFont="1" applyFill="1" applyBorder="1" applyAlignment="1">
      <alignment horizontal="center" vertical="center" textRotation="180" wrapText="1"/>
    </xf>
    <xf numFmtId="0" fontId="13" fillId="0" borderId="0" xfId="23" applyFont="1" applyAlignment="1">
      <alignment horizontal="center" vertical="center" wrapText="1"/>
    </xf>
    <xf numFmtId="0" fontId="13" fillId="0" borderId="0" xfId="23" applyFont="1" applyAlignment="1">
      <alignment horizontal="left" vertical="center" wrapText="1"/>
    </xf>
    <xf numFmtId="0" fontId="17" fillId="4" borderId="1" xfId="2" quotePrefix="1" applyFont="1" applyFill="1" applyBorder="1" applyAlignment="1">
      <alignment horizontal="left" vertical="center" wrapText="1"/>
    </xf>
    <xf numFmtId="0" fontId="17" fillId="4" borderId="1" xfId="2" applyFont="1" applyFill="1" applyBorder="1" applyAlignment="1">
      <alignment horizontal="center" vertical="center" wrapText="1"/>
    </xf>
    <xf numFmtId="0" fontId="17" fillId="4" borderId="1" xfId="2" quotePrefix="1" applyFont="1" applyFill="1" applyBorder="1" applyAlignment="1">
      <alignment horizontal="center" vertical="center" wrapText="1"/>
    </xf>
    <xf numFmtId="0" fontId="23" fillId="16" borderId="1" xfId="23" applyFont="1" applyFill="1" applyBorder="1" applyAlignment="1">
      <alignment horizontal="left" vertical="top"/>
    </xf>
    <xf numFmtId="0" fontId="17" fillId="24" borderId="18" xfId="2" applyFont="1" applyFill="1" applyBorder="1" applyAlignment="1">
      <alignment horizontal="left" vertical="top" wrapText="1"/>
    </xf>
    <xf numFmtId="0" fontId="17" fillId="24" borderId="19" xfId="2" applyFont="1" applyFill="1" applyBorder="1" applyAlignment="1">
      <alignment horizontal="left" vertical="top" wrapText="1"/>
    </xf>
    <xf numFmtId="0" fontId="17" fillId="24" borderId="18" xfId="2" applyFont="1" applyFill="1" applyBorder="1" applyAlignment="1">
      <alignment horizontal="left" vertical="top" textRotation="180" wrapText="1"/>
    </xf>
    <xf numFmtId="0" fontId="17" fillId="4" borderId="18" xfId="2" applyFont="1" applyFill="1" applyBorder="1" applyAlignment="1">
      <alignment horizontal="left" vertical="top" wrapText="1"/>
    </xf>
    <xf numFmtId="0" fontId="17" fillId="4" borderId="19" xfId="2" applyFont="1" applyFill="1" applyBorder="1" applyAlignment="1">
      <alignment horizontal="left" vertical="top" wrapText="1"/>
    </xf>
    <xf numFmtId="0" fontId="17" fillId="4" borderId="18" xfId="2" quotePrefix="1" applyFont="1" applyFill="1" applyBorder="1" applyAlignment="1">
      <alignment horizontal="left" vertical="top" wrapText="1"/>
    </xf>
    <xf numFmtId="0" fontId="17" fillId="24" borderId="1" xfId="2" applyFont="1" applyFill="1" applyBorder="1" applyAlignment="1">
      <alignment horizontal="center" vertical="center" wrapText="1"/>
    </xf>
    <xf numFmtId="0" fontId="13" fillId="0" borderId="0" xfId="23" applyFont="1" applyAlignment="1">
      <alignment horizontal="center"/>
    </xf>
    <xf numFmtId="0" fontId="13" fillId="0" borderId="0" xfId="23" applyFont="1" applyAlignment="1">
      <alignment vertical="top"/>
    </xf>
    <xf numFmtId="0" fontId="17" fillId="0" borderId="0" xfId="2" applyFont="1" applyAlignment="1">
      <alignment horizontal="left" vertical="center"/>
    </xf>
    <xf numFmtId="0" fontId="57" fillId="4" borderId="1" xfId="2" applyFont="1" applyFill="1" applyBorder="1" applyAlignment="1">
      <alignment horizontal="left" vertical="top" wrapText="1"/>
    </xf>
    <xf numFmtId="0" fontId="13" fillId="0" borderId="0" xfId="23" applyFont="1" applyAlignment="1">
      <alignment wrapText="1"/>
    </xf>
    <xf numFmtId="0" fontId="23" fillId="16" borderId="1" xfId="23" applyFont="1" applyFill="1" applyBorder="1" applyAlignment="1">
      <alignment horizontal="left" vertical="top" wrapText="1"/>
    </xf>
    <xf numFmtId="0" fontId="13" fillId="0" borderId="0" xfId="23" applyFont="1" applyAlignment="1">
      <alignment vertical="center" wrapText="1"/>
    </xf>
    <xf numFmtId="0" fontId="13" fillId="0" borderId="0" xfId="23" quotePrefix="1" applyFont="1" applyAlignment="1">
      <alignment horizontal="left" vertical="center"/>
    </xf>
    <xf numFmtId="0" fontId="17" fillId="0" borderId="0" xfId="5" applyFont="1" applyAlignment="1">
      <alignment horizontal="left" vertical="top"/>
    </xf>
    <xf numFmtId="0" fontId="64" fillId="4" borderId="1" xfId="2" applyFont="1" applyFill="1" applyBorder="1" applyAlignment="1">
      <alignment horizontal="center" vertical="center" wrapText="1"/>
    </xf>
    <xf numFmtId="0" fontId="1" fillId="9" borderId="0" xfId="0" applyFont="1" applyFill="1"/>
    <xf numFmtId="0" fontId="1" fillId="0" borderId="0" xfId="0" applyFont="1"/>
    <xf numFmtId="0" fontId="1" fillId="0" borderId="1" xfId="0" applyFont="1" applyBorder="1"/>
    <xf numFmtId="0" fontId="1" fillId="0" borderId="0" xfId="17" applyFont="1"/>
    <xf numFmtId="0" fontId="1" fillId="0" borderId="0" xfId="0" applyFont="1" applyAlignment="1">
      <alignment horizontal="left" vertical="center" wrapText="1"/>
    </xf>
    <xf numFmtId="0" fontId="13" fillId="0" borderId="0" xfId="23" quotePrefix="1" applyFont="1" applyAlignment="1">
      <alignment wrapText="1"/>
    </xf>
    <xf numFmtId="0" fontId="13" fillId="0" borderId="0" xfId="20" applyFont="1" applyAlignment="1">
      <alignment horizontal="left" vertical="top" wrapText="1"/>
    </xf>
    <xf numFmtId="0" fontId="4" fillId="0" borderId="0" xfId="20" applyAlignment="1">
      <alignment horizontal="center"/>
    </xf>
    <xf numFmtId="0" fontId="23" fillId="0" borderId="0" xfId="20" applyFont="1" applyAlignment="1">
      <alignment horizontal="center" vertical="center" wrapText="1"/>
    </xf>
    <xf numFmtId="0" fontId="13" fillId="0" borderId="0" xfId="20" applyFont="1" applyAlignment="1">
      <alignment horizontal="left" vertical="top"/>
    </xf>
    <xf numFmtId="0" fontId="23" fillId="0" borderId="5" xfId="13" applyFont="1" applyBorder="1" applyAlignment="1">
      <alignment horizontal="center" vertical="top" wrapText="1"/>
    </xf>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6" borderId="5" xfId="13" applyFont="1" applyFill="1" applyBorder="1" applyAlignment="1">
      <alignment horizontal="center" vertical="center" wrapText="1"/>
    </xf>
    <xf numFmtId="0" fontId="17" fillId="4" borderId="1" xfId="2" applyFont="1" applyFill="1" applyBorder="1" applyAlignment="1">
      <alignment horizontal="left" vertical="center" wrapText="1"/>
    </xf>
    <xf numFmtId="0" fontId="17" fillId="11" borderId="2" xfId="2" applyFont="1" applyFill="1" applyBorder="1" applyAlignment="1">
      <alignment horizontal="center" vertical="center" wrapText="1"/>
    </xf>
    <xf numFmtId="0" fontId="17" fillId="11" borderId="3" xfId="2" applyFont="1" applyFill="1" applyBorder="1" applyAlignment="1">
      <alignment horizontal="center" vertical="center" wrapText="1"/>
    </xf>
    <xf numFmtId="0" fontId="17" fillId="11" borderId="4" xfId="2" applyFont="1" applyFill="1" applyBorder="1" applyAlignment="1">
      <alignment horizontal="center" vertical="center" wrapText="1"/>
    </xf>
    <xf numFmtId="0" fontId="17" fillId="9" borderId="2" xfId="2" applyFont="1" applyFill="1" applyBorder="1" applyAlignment="1">
      <alignment horizontal="left" vertical="center" wrapText="1"/>
    </xf>
    <xf numFmtId="0" fontId="17" fillId="9" borderId="3" xfId="2" applyFont="1" applyFill="1" applyBorder="1" applyAlignment="1">
      <alignment horizontal="left" vertical="center" wrapText="1"/>
    </xf>
    <xf numFmtId="0" fontId="17" fillId="9" borderId="4" xfId="2" applyFont="1" applyFill="1" applyBorder="1" applyAlignment="1">
      <alignment horizontal="left" vertical="center" wrapText="1"/>
    </xf>
    <xf numFmtId="0" fontId="17" fillId="5" borderId="2" xfId="2" applyFont="1" applyFill="1" applyBorder="1" applyAlignment="1">
      <alignment horizontal="center" vertical="center" wrapText="1"/>
    </xf>
    <xf numFmtId="0" fontId="17" fillId="5" borderId="3" xfId="2" applyFont="1" applyFill="1" applyBorder="1" applyAlignment="1">
      <alignment horizontal="center" vertical="center" wrapText="1"/>
    </xf>
    <xf numFmtId="0" fontId="17"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0">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a:t>
              </a:r>
            </a:p>
            <a:p>
              <a:pPr algn="ctr" rtl="0">
                <a:defRPr sz="1000"/>
              </a:pPr>
              <a:r>
                <a:rPr lang="en-ZA"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emix365.sharepoint.com/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AnthonyG/6_PIID/2022-08-21to08-26%20(A3)%20C61017%20Beijing%20QCUBIC%20Technologies/Beijing%20QCUBIC%20-%20appraisal%20documentation/01-&#32452;&#32455;&#32423;/01-&#32452;&#32455;&#36130;&#23500;&#24211;" TargetMode="External"/><Relationship Id="rId7" Type="http://schemas.openxmlformats.org/officeDocument/2006/relationships/hyperlink" Target="../../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M52"/>
  <sheetViews>
    <sheetView workbookViewId="0">
      <selection activeCell="D43" sqref="D43"/>
    </sheetView>
  </sheetViews>
  <sheetFormatPr defaultColWidth="11.33203125" defaultRowHeight="14.4"/>
  <cols>
    <col min="2" max="2" width="25.44140625" customWidth="1"/>
    <col min="3" max="3" width="5.33203125" customWidth="1"/>
  </cols>
  <sheetData>
    <row r="2" spans="2:13">
      <c r="B2" s="15" t="s">
        <v>0</v>
      </c>
    </row>
    <row r="3" spans="2:13">
      <c r="B3" s="15" t="s">
        <v>1</v>
      </c>
    </row>
    <row r="4" spans="2:13">
      <c r="B4" s="15"/>
    </row>
    <row r="5" spans="2:13">
      <c r="B5" s="355" t="s">
        <v>2</v>
      </c>
      <c r="C5" s="293"/>
      <c r="D5" s="293"/>
      <c r="E5" s="293"/>
      <c r="F5" s="293"/>
      <c r="G5" s="293"/>
      <c r="H5" s="293"/>
      <c r="I5" s="293"/>
      <c r="J5" s="293"/>
      <c r="K5" s="293"/>
      <c r="L5" s="293"/>
      <c r="M5" s="293"/>
    </row>
    <row r="8" spans="2:13">
      <c r="H8" s="356"/>
      <c r="J8" s="356"/>
    </row>
    <row r="10" spans="2:13">
      <c r="B10" s="356" t="s">
        <v>3</v>
      </c>
      <c r="C10" s="356" t="s">
        <v>4</v>
      </c>
    </row>
    <row r="12" spans="2:13">
      <c r="D12" s="356" t="s">
        <v>5</v>
      </c>
    </row>
    <row r="14" spans="2:13">
      <c r="D14" s="356" t="s">
        <v>6</v>
      </c>
    </row>
    <row r="16" spans="2:13">
      <c r="D16" s="356" t="s">
        <v>7</v>
      </c>
    </row>
    <row r="18" spans="4:6">
      <c r="D18" s="356" t="s">
        <v>8</v>
      </c>
    </row>
    <row r="21" spans="4:6">
      <c r="D21" s="356" t="s">
        <v>9</v>
      </c>
      <c r="F21" s="356"/>
    </row>
    <row r="23" spans="4:6">
      <c r="D23" s="356" t="s">
        <v>10</v>
      </c>
    </row>
    <row r="25" spans="4:6">
      <c r="D25" s="356" t="s">
        <v>11</v>
      </c>
    </row>
    <row r="27" spans="4:6">
      <c r="D27" s="356" t="s">
        <v>12</v>
      </c>
    </row>
    <row r="29" spans="4:6">
      <c r="D29" s="356" t="s">
        <v>13</v>
      </c>
    </row>
    <row r="30" spans="4:6">
      <c r="F30" s="356"/>
    </row>
    <row r="31" spans="4:6">
      <c r="D31" s="356" t="s">
        <v>14</v>
      </c>
    </row>
    <row r="33" spans="2:13">
      <c r="D33" s="356" t="s">
        <v>15</v>
      </c>
    </row>
    <row r="34" spans="2:13">
      <c r="G34" s="357"/>
    </row>
    <row r="36" spans="2:13">
      <c r="B36" s="65" t="s">
        <v>16</v>
      </c>
    </row>
    <row r="37" spans="2:13">
      <c r="B37" s="15" t="s">
        <v>17</v>
      </c>
    </row>
    <row r="38" spans="2:13">
      <c r="B38" s="15" t="s">
        <v>18</v>
      </c>
    </row>
    <row r="39" spans="2:13">
      <c r="B39" s="15" t="s">
        <v>19</v>
      </c>
    </row>
    <row r="40" spans="2:13">
      <c r="B40" s="15" t="s">
        <v>20</v>
      </c>
    </row>
    <row r="41" spans="2:13">
      <c r="B41" s="355" t="s">
        <v>21</v>
      </c>
      <c r="C41" s="293"/>
      <c r="D41" s="293"/>
      <c r="E41" s="293"/>
      <c r="F41" s="293"/>
      <c r="G41" s="293"/>
      <c r="H41" s="293"/>
      <c r="I41" s="293"/>
      <c r="J41" s="293"/>
      <c r="K41" s="293"/>
      <c r="L41" s="293"/>
      <c r="M41" s="293"/>
    </row>
    <row r="52" spans="4:4">
      <c r="D52" s="294"/>
    </row>
  </sheetData>
  <phoneticPr fontId="62"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4" customWidth="1"/>
    <col min="2" max="4" width="7.88671875" style="74" customWidth="1"/>
    <col min="5" max="13" width="15.6640625" style="74" customWidth="1"/>
    <col min="14" max="14" width="18" style="74" customWidth="1"/>
    <col min="15" max="15" width="82.88671875" style="74" customWidth="1"/>
    <col min="16" max="16" width="3.6640625" style="74" customWidth="1"/>
    <col min="17" max="17" width="25.6640625" style="74" customWidth="1"/>
    <col min="18" max="18" width="88.6640625" style="74" customWidth="1"/>
    <col min="19" max="20" width="20.6640625" style="74" customWidth="1"/>
    <col min="21" max="21" width="64.33203125" style="74" hidden="1" customWidth="1"/>
    <col min="22" max="16384" width="8.6640625" style="74"/>
  </cols>
  <sheetData>
    <row r="1" spans="1:27" ht="18">
      <c r="A1" s="69" t="s">
        <v>22</v>
      </c>
      <c r="B1" s="69"/>
      <c r="C1" s="69"/>
      <c r="D1" s="69"/>
      <c r="E1" s="70"/>
      <c r="F1" s="71"/>
      <c r="G1" s="72"/>
      <c r="H1" s="73"/>
      <c r="I1" s="73"/>
      <c r="J1" s="73"/>
      <c r="K1" s="73"/>
      <c r="L1" s="73"/>
      <c r="M1" s="73"/>
      <c r="N1" s="73"/>
      <c r="O1" s="73"/>
      <c r="P1" s="73"/>
      <c r="Q1" s="73"/>
    </row>
    <row r="2" spans="1:27">
      <c r="A2" s="75" t="s">
        <v>23</v>
      </c>
      <c r="B2" s="75"/>
      <c r="C2" s="75"/>
      <c r="D2" s="75"/>
      <c r="E2" s="71" t="s">
        <v>24</v>
      </c>
      <c r="F2" s="71"/>
      <c r="G2" s="72"/>
      <c r="H2" s="73"/>
      <c r="I2" s="73"/>
      <c r="J2" s="73"/>
      <c r="K2" s="73"/>
      <c r="L2" s="73"/>
      <c r="M2" s="73"/>
      <c r="N2" s="73"/>
      <c r="O2" s="73"/>
      <c r="P2" s="73"/>
      <c r="Q2" s="73"/>
    </row>
    <row r="3" spans="1:27">
      <c r="A3" s="71" t="s">
        <v>25</v>
      </c>
      <c r="B3" s="71"/>
      <c r="C3" s="71"/>
      <c r="D3" s="71"/>
      <c r="E3" s="71" t="s">
        <v>26</v>
      </c>
      <c r="F3" s="71"/>
      <c r="G3" s="72"/>
      <c r="H3" s="73"/>
      <c r="I3" s="73"/>
      <c r="J3" s="73"/>
      <c r="K3" s="73"/>
      <c r="L3" s="73"/>
      <c r="M3" s="73"/>
      <c r="N3" s="73"/>
      <c r="O3" s="73"/>
      <c r="P3" s="73"/>
      <c r="Q3" s="73"/>
    </row>
    <row r="4" spans="1:27">
      <c r="A4" s="76"/>
      <c r="B4" s="76"/>
      <c r="C4" s="76"/>
      <c r="D4" s="76"/>
      <c r="E4" s="77" t="s">
        <v>27</v>
      </c>
      <c r="F4" s="78" t="s">
        <v>28</v>
      </c>
      <c r="G4" s="78"/>
      <c r="H4" s="79"/>
      <c r="I4" s="80" t="s">
        <v>29</v>
      </c>
      <c r="J4" s="81"/>
      <c r="K4" s="81"/>
      <c r="L4" s="81"/>
      <c r="M4" s="80"/>
      <c r="N4" s="80"/>
      <c r="O4" s="71"/>
      <c r="P4" s="71"/>
      <c r="Q4" s="71"/>
      <c r="R4" s="71"/>
      <c r="S4" s="71"/>
      <c r="T4" s="75"/>
    </row>
    <row r="5" spans="1:27">
      <c r="A5" s="82"/>
      <c r="B5" s="82"/>
      <c r="C5" s="82"/>
      <c r="D5" s="82"/>
      <c r="E5" s="83" t="s">
        <v>30</v>
      </c>
      <c r="F5" s="84" t="s">
        <v>31</v>
      </c>
      <c r="G5" s="84"/>
      <c r="H5" s="79"/>
      <c r="I5" s="80" t="s">
        <v>32</v>
      </c>
      <c r="J5" s="81"/>
      <c r="K5" s="81"/>
      <c r="L5" s="81"/>
      <c r="M5" s="85"/>
      <c r="N5" s="85"/>
      <c r="O5" s="73"/>
      <c r="P5" s="73"/>
      <c r="Q5" s="73"/>
      <c r="R5" s="82"/>
      <c r="S5" s="71"/>
      <c r="T5" s="75"/>
      <c r="U5" s="82"/>
    </row>
    <row r="6" spans="1:27" s="92" customFormat="1">
      <c r="A6" s="86"/>
      <c r="B6" s="86"/>
      <c r="C6" s="86"/>
      <c r="D6" s="86"/>
      <c r="E6" s="3" t="s">
        <v>33</v>
      </c>
      <c r="F6" s="87" t="s">
        <v>34</v>
      </c>
      <c r="G6" s="87" t="s">
        <v>35</v>
      </c>
      <c r="H6" s="87" t="s">
        <v>36</v>
      </c>
      <c r="I6" s="88" t="s">
        <v>37</v>
      </c>
      <c r="J6" s="88" t="s">
        <v>38</v>
      </c>
      <c r="K6" s="88" t="s">
        <v>39</v>
      </c>
      <c r="L6" s="88" t="s">
        <v>40</v>
      </c>
      <c r="M6" s="88" t="s">
        <v>41</v>
      </c>
      <c r="N6" s="89" t="s">
        <v>42</v>
      </c>
      <c r="O6" s="90"/>
      <c r="P6" s="90"/>
      <c r="Q6" s="90"/>
      <c r="R6" s="91"/>
      <c r="S6" s="91"/>
      <c r="T6" s="91"/>
    </row>
    <row r="7" spans="1:27" s="92" customFormat="1" ht="69.900000000000006" customHeight="1">
      <c r="A7" s="93" t="s">
        <v>43</v>
      </c>
      <c r="B7" s="93"/>
      <c r="C7" s="93"/>
      <c r="D7" s="93"/>
      <c r="E7" s="94" t="s">
        <v>44</v>
      </c>
      <c r="F7" s="94" t="s">
        <v>45</v>
      </c>
      <c r="G7" s="94" t="s">
        <v>46</v>
      </c>
      <c r="H7" s="94" t="s">
        <v>47</v>
      </c>
      <c r="I7" s="94" t="s">
        <v>48</v>
      </c>
      <c r="J7" s="94" t="s">
        <v>49</v>
      </c>
      <c r="K7" s="94" t="s">
        <v>50</v>
      </c>
      <c r="L7" s="94" t="s">
        <v>51</v>
      </c>
      <c r="M7" s="94" t="s">
        <v>52</v>
      </c>
      <c r="N7" s="94" t="s">
        <v>53</v>
      </c>
      <c r="O7" s="90"/>
      <c r="P7" s="90"/>
      <c r="Q7" s="90"/>
    </row>
    <row r="8" spans="1:27" s="92" customFormat="1" ht="110.4" customHeight="1">
      <c r="A8" s="86" t="s">
        <v>54</v>
      </c>
      <c r="B8" s="86"/>
      <c r="C8" s="86"/>
      <c r="D8" s="86"/>
      <c r="E8" s="95" t="s">
        <v>55</v>
      </c>
      <c r="F8" s="95" t="s">
        <v>56</v>
      </c>
      <c r="G8" s="95" t="s">
        <v>57</v>
      </c>
      <c r="H8" s="95" t="s">
        <v>58</v>
      </c>
      <c r="I8" s="95" t="s">
        <v>59</v>
      </c>
      <c r="J8" s="95" t="s">
        <v>60</v>
      </c>
      <c r="K8" s="95" t="s">
        <v>61</v>
      </c>
      <c r="L8" s="95" t="s">
        <v>62</v>
      </c>
      <c r="M8" s="95" t="s">
        <v>63</v>
      </c>
      <c r="N8" s="95" t="s">
        <v>64</v>
      </c>
      <c r="O8" s="96"/>
      <c r="P8" s="96"/>
      <c r="Q8" s="96"/>
    </row>
    <row r="9" spans="1:27" s="92" customFormat="1" ht="228">
      <c r="A9" s="86" t="s">
        <v>65</v>
      </c>
      <c r="B9" s="86"/>
      <c r="C9" s="86"/>
      <c r="D9" s="86"/>
      <c r="E9" s="95" t="s">
        <v>66</v>
      </c>
      <c r="F9" s="95" t="s">
        <v>67</v>
      </c>
      <c r="G9" s="95" t="s">
        <v>68</v>
      </c>
      <c r="H9" s="95" t="s">
        <v>69</v>
      </c>
      <c r="I9" s="95" t="s">
        <v>70</v>
      </c>
      <c r="J9" s="95" t="s">
        <v>71</v>
      </c>
      <c r="K9" s="95" t="s">
        <v>72</v>
      </c>
      <c r="L9" s="95" t="s">
        <v>73</v>
      </c>
      <c r="M9" s="95" t="s">
        <v>74</v>
      </c>
      <c r="N9" s="95" t="s">
        <v>75</v>
      </c>
      <c r="O9" s="96"/>
      <c r="P9" s="96"/>
      <c r="Q9" s="96"/>
    </row>
    <row r="10" spans="1:27" s="92" customFormat="1" ht="110.4">
      <c r="A10" s="86" t="s">
        <v>76</v>
      </c>
      <c r="B10" s="86"/>
      <c r="C10" s="86"/>
      <c r="D10" s="86"/>
      <c r="E10" s="99"/>
      <c r="F10" s="99" t="s">
        <v>77</v>
      </c>
      <c r="G10" s="99" t="s">
        <v>78</v>
      </c>
      <c r="H10" s="99" t="s">
        <v>79</v>
      </c>
      <c r="I10" s="99" t="s">
        <v>80</v>
      </c>
      <c r="J10" s="99" t="s">
        <v>81</v>
      </c>
      <c r="K10" s="99" t="s">
        <v>82</v>
      </c>
      <c r="L10" s="99" t="s">
        <v>83</v>
      </c>
      <c r="M10" s="99" t="s">
        <v>84</v>
      </c>
      <c r="N10" s="100" t="s">
        <v>85</v>
      </c>
      <c r="O10" s="90"/>
      <c r="P10" s="90"/>
      <c r="Q10" s="90"/>
    </row>
    <row r="11" spans="1:27" s="92" customFormat="1" ht="55.2">
      <c r="A11" s="101" t="s">
        <v>86</v>
      </c>
      <c r="B11" s="101"/>
      <c r="C11" s="101"/>
      <c r="D11" s="101"/>
      <c r="E11" s="99"/>
      <c r="F11" s="99" t="s">
        <v>87</v>
      </c>
      <c r="G11" s="99" t="s">
        <v>88</v>
      </c>
      <c r="H11" s="99" t="s">
        <v>89</v>
      </c>
      <c r="I11" s="99" t="s">
        <v>90</v>
      </c>
      <c r="J11" s="99" t="s">
        <v>91</v>
      </c>
      <c r="K11" s="99" t="s">
        <v>92</v>
      </c>
      <c r="L11" s="99" t="s">
        <v>93</v>
      </c>
      <c r="M11" s="99" t="s">
        <v>94</v>
      </c>
      <c r="N11" s="100" t="s">
        <v>95</v>
      </c>
      <c r="O11" s="90"/>
      <c r="P11" s="90"/>
      <c r="Q11" s="90"/>
    </row>
    <row r="15" spans="1:27" customFormat="1">
      <c r="A15" t="s">
        <v>96</v>
      </c>
      <c r="B15" t="s">
        <v>97</v>
      </c>
      <c r="C15" t="s">
        <v>98</v>
      </c>
      <c r="D15" s="356" t="s">
        <v>99</v>
      </c>
      <c r="E15" s="14" t="s">
        <v>33</v>
      </c>
      <c r="F15" s="14" t="s">
        <v>34</v>
      </c>
      <c r="G15" s="14" t="s">
        <v>35</v>
      </c>
      <c r="H15" s="14" t="s">
        <v>36</v>
      </c>
      <c r="I15" s="14" t="s">
        <v>37</v>
      </c>
      <c r="J15" s="14" t="s">
        <v>38</v>
      </c>
      <c r="K15" s="14" t="s">
        <v>39</v>
      </c>
      <c r="L15" s="14" t="s">
        <v>40</v>
      </c>
      <c r="M15" s="14" t="s">
        <v>41</v>
      </c>
      <c r="N15" s="14" t="s">
        <v>42</v>
      </c>
    </row>
    <row r="16" spans="1:27">
      <c r="A16" t="s">
        <v>100</v>
      </c>
      <c r="B16" s="15" t="s">
        <v>97</v>
      </c>
      <c r="C16" s="15" t="str">
        <f>HYPERLINK("02-项目级\P2-Qcubic to MySQL数据同步工具 V1.0\01-生存周期\05-设计\01-概要设计书(QCUBIC-SJTB-TS-BD)V1.0-engl.docx", "engl")</f>
        <v>engl</v>
      </c>
      <c r="D16"/>
      <c r="E16" t="s">
        <v>101</v>
      </c>
      <c r="F16" t="s">
        <v>101</v>
      </c>
      <c r="G16" t="s">
        <v>101</v>
      </c>
      <c r="H16"/>
      <c r="I16" t="s">
        <v>101</v>
      </c>
      <c r="J16" t="s">
        <v>101</v>
      </c>
      <c r="K16" t="s">
        <v>101</v>
      </c>
      <c r="L16" t="s">
        <v>101</v>
      </c>
      <c r="M16" t="s">
        <v>101</v>
      </c>
      <c r="N16" t="s">
        <v>101</v>
      </c>
      <c r="O16"/>
      <c r="P16"/>
      <c r="Q16"/>
      <c r="R16"/>
      <c r="S16"/>
      <c r="T16"/>
      <c r="U16"/>
      <c r="V16"/>
      <c r="W16"/>
      <c r="X16"/>
      <c r="Y16"/>
      <c r="Z16"/>
      <c r="AA16"/>
    </row>
    <row r="17" spans="1:27">
      <c r="A17" t="s">
        <v>100</v>
      </c>
      <c r="B17" s="15" t="s">
        <v>97</v>
      </c>
      <c r="C17" s="15" t="str">
        <f>HYPERLINK("02-项目级\P2-Qcubic to MySQL数据同步工具 V1.0\01-生存周期\05-设计\03-详细设计说明书(QCUBIC-SJTB-TS-DD)V1.0-engl.docx", "engl")</f>
        <v>engl</v>
      </c>
      <c r="D17"/>
      <c r="E17" t="s">
        <v>101</v>
      </c>
      <c r="F17" t="s">
        <v>101</v>
      </c>
      <c r="G17" t="s">
        <v>101</v>
      </c>
      <c r="H17"/>
      <c r="I17" t="s">
        <v>101</v>
      </c>
      <c r="J17" t="s">
        <v>101</v>
      </c>
      <c r="K17" t="s">
        <v>101</v>
      </c>
      <c r="L17" t="s">
        <v>101</v>
      </c>
      <c r="M17" t="s">
        <v>101</v>
      </c>
      <c r="N17" t="s">
        <v>101</v>
      </c>
      <c r="O17"/>
      <c r="P17"/>
      <c r="Q17"/>
      <c r="R17"/>
      <c r="S17"/>
      <c r="T17"/>
      <c r="U17"/>
      <c r="V17"/>
      <c r="W17"/>
      <c r="X17"/>
      <c r="Y17"/>
      <c r="Z17"/>
      <c r="AA17"/>
    </row>
    <row r="18" spans="1:27">
      <c r="A18" t="s">
        <v>100</v>
      </c>
      <c r="B18" s="15" t="s">
        <v>97</v>
      </c>
      <c r="C18" s="15" t="str">
        <f>HYPERLINK("02-项目级\P2-Qcubic to MySQL数据同步工具 V1.0\02-全程管理\05-评审管理\05-设计评审\01-概要设计说明书\05-评审报告_概要设计书(QCUBIC-SJTB-PR-ReviewRpt)V1.1-engl.xlsx", "engl")</f>
        <v>engl</v>
      </c>
      <c r="D18"/>
      <c r="E18"/>
      <c r="F18"/>
      <c r="G18" t="s">
        <v>101</v>
      </c>
      <c r="H18"/>
      <c r="I18"/>
      <c r="J18"/>
      <c r="K18"/>
      <c r="L18"/>
      <c r="M18"/>
      <c r="N18"/>
      <c r="O18"/>
      <c r="P18"/>
      <c r="Q18"/>
      <c r="R18"/>
      <c r="S18"/>
      <c r="T18"/>
      <c r="U18"/>
      <c r="V18"/>
      <c r="W18"/>
      <c r="X18"/>
      <c r="Y18"/>
      <c r="Z18"/>
      <c r="AA18"/>
    </row>
    <row r="19" spans="1:27">
      <c r="A19" t="s">
        <v>100</v>
      </c>
      <c r="B19" s="15" t="s">
        <v>97</v>
      </c>
      <c r="C19" s="15" t="str">
        <f>HYPERLINK("02-项目级\P2-Qcubic to MySQL数据同步工具 V1.0\02-全程管理\05-评审管理\05-设计评审\02-详细设计说明书\05-评审报告_详细设计(QCUBIC-SJTB-PR-ReviewRpt)V1.1-engl.xlsx", "engl")</f>
        <v>engl</v>
      </c>
      <c r="D19"/>
      <c r="E19"/>
      <c r="F19"/>
      <c r="G19" t="s">
        <v>101</v>
      </c>
      <c r="H19"/>
      <c r="I19"/>
      <c r="J19"/>
      <c r="K19"/>
      <c r="L19"/>
      <c r="M19"/>
      <c r="N19"/>
      <c r="O19"/>
      <c r="P19"/>
      <c r="Q19"/>
      <c r="R19"/>
      <c r="S19"/>
      <c r="T19"/>
      <c r="U19"/>
      <c r="V19"/>
      <c r="W19"/>
      <c r="X19"/>
      <c r="Y19"/>
      <c r="Z19"/>
      <c r="AA19"/>
    </row>
    <row r="20" spans="1:27">
      <c r="A20" t="s">
        <v>100</v>
      </c>
      <c r="B20" s="15" t="s">
        <v>97</v>
      </c>
      <c r="C20" s="15" t="str">
        <f>HYPERLINK("02-项目级\P2-Qcubic to MySQL数据同步工具 V1.0\01-生存周期\05-设计\04-用户手册(QCUBIC-SJTB-TS-Tem-UserMPMnual)V1.0-engl.docx", "engl")</f>
        <v>engl</v>
      </c>
      <c r="D20"/>
      <c r="E20"/>
      <c r="F20"/>
      <c r="G20"/>
      <c r="H20" t="s">
        <v>101</v>
      </c>
      <c r="I20"/>
      <c r="J20"/>
      <c r="K20"/>
      <c r="L20"/>
      <c r="M20"/>
      <c r="N20"/>
      <c r="O20"/>
      <c r="P20"/>
      <c r="Q20"/>
      <c r="R20"/>
      <c r="S20"/>
      <c r="T20"/>
      <c r="U20"/>
      <c r="V20"/>
      <c r="W20"/>
      <c r="X20"/>
      <c r="Y20"/>
      <c r="Z20"/>
      <c r="AA20"/>
    </row>
    <row r="21" spans="1:27">
      <c r="A21" t="s">
        <v>100</v>
      </c>
      <c r="B21" s="15" t="s">
        <v>97</v>
      </c>
      <c r="C21" s="15" t="str">
        <f>HYPERLINK("01-组织级\01-组织财富库\01-标准过程文件库\02-软件工程规范\03-设计\设计过程文件(QCUBIC-SPI-TS-Proc-Design)V1.2-engl.docx", "engl")</f>
        <v>engl</v>
      </c>
      <c r="D21"/>
      <c r="E21"/>
      <c r="F21"/>
      <c r="G21"/>
      <c r="H21"/>
      <c r="I21" t="s">
        <v>101</v>
      </c>
      <c r="J21"/>
      <c r="K21"/>
      <c r="L21"/>
      <c r="M21"/>
      <c r="N21"/>
      <c r="O21"/>
      <c r="P21"/>
      <c r="Q21"/>
      <c r="R21"/>
      <c r="S21"/>
      <c r="T21"/>
      <c r="U21"/>
      <c r="V21"/>
      <c r="W21"/>
      <c r="X21"/>
      <c r="Y21"/>
      <c r="Z21"/>
      <c r="AA21"/>
    </row>
    <row r="22" spans="1:27">
      <c r="A22" t="s">
        <v>100</v>
      </c>
      <c r="B22" s="15" t="s">
        <v>97</v>
      </c>
      <c r="C22" s="15" t="str">
        <f>HYPERLINK("02-项目级\P2-Qcubic to MySQL数据同步工具 V1.0\02-全程管理\04-决策分析\01-决策分析报告（QCUBIC-SJTB-dar-evaluaterpt)V1.0-engl.xlsx", "engl")</f>
        <v>engl</v>
      </c>
      <c r="D22"/>
      <c r="E22"/>
      <c r="F22"/>
      <c r="G22"/>
      <c r="H22"/>
      <c r="I22"/>
      <c r="J22" t="s">
        <v>101</v>
      </c>
      <c r="K22"/>
      <c r="L22" t="s">
        <v>101</v>
      </c>
      <c r="M22"/>
      <c r="N22"/>
      <c r="O22"/>
      <c r="P22"/>
      <c r="Q22"/>
      <c r="R22"/>
      <c r="S22"/>
      <c r="T22"/>
      <c r="U22"/>
      <c r="V22"/>
      <c r="W22"/>
      <c r="X22"/>
      <c r="Y22"/>
      <c r="Z22"/>
      <c r="AA22"/>
    </row>
    <row r="23" spans="1:27">
      <c r="A23" t="s">
        <v>100</v>
      </c>
      <c r="B23" s="15" t="s">
        <v>97</v>
      </c>
      <c r="C23" s="15" t="str">
        <f>HYPERLINK("02-项目级\P2-Qcubic to MySQL数据同步工具 V1.0\01-生存周期\05-设计\05-购买,复用,自制评价表(QCUBIC-SJTB-TS-Purchase, reuse, self-made evaluation)V1.0-engl.xlsx", "engl")</f>
        <v>engl</v>
      </c>
      <c r="D23"/>
      <c r="E23"/>
      <c r="F23"/>
      <c r="G23"/>
      <c r="H23"/>
      <c r="I23"/>
      <c r="J23"/>
      <c r="K23" t="s">
        <v>101</v>
      </c>
      <c r="L23"/>
      <c r="M23"/>
      <c r="N23"/>
      <c r="O23"/>
      <c r="P23"/>
      <c r="Q23"/>
      <c r="R23"/>
      <c r="S23"/>
      <c r="T23"/>
      <c r="U23"/>
      <c r="V23"/>
      <c r="W23"/>
      <c r="X23"/>
      <c r="Y23"/>
      <c r="Z23"/>
      <c r="AA23"/>
    </row>
    <row r="24" spans="1:27">
      <c r="A24" t="s">
        <v>100</v>
      </c>
      <c r="B24" s="15" t="s">
        <v>97</v>
      </c>
      <c r="C24" s="15" t="str">
        <f>HYPERLINK("01-组织级\01-组织财富库\01-标准过程文件库\02-软件工程规范\03-设计\设计规范(QCUBIC-SPI-TS-Std-Design)V1.2-engl.docx", "engl")</f>
        <v>engl</v>
      </c>
      <c r="D24"/>
      <c r="E24"/>
      <c r="F24"/>
      <c r="G24"/>
      <c r="H24"/>
      <c r="I24"/>
      <c r="J24"/>
      <c r="K24"/>
      <c r="L24"/>
      <c r="M24"/>
      <c r="N24" t="s">
        <v>101</v>
      </c>
      <c r="O24"/>
      <c r="P24"/>
      <c r="Q24"/>
      <c r="R24"/>
      <c r="S24"/>
      <c r="T24"/>
      <c r="U24"/>
      <c r="V24"/>
      <c r="W24"/>
      <c r="X24"/>
      <c r="Y24"/>
      <c r="Z24"/>
      <c r="AA24"/>
    </row>
    <row r="25" spans="1:27">
      <c r="A25" t="s">
        <v>100</v>
      </c>
      <c r="B25" s="15" t="s">
        <v>97</v>
      </c>
      <c r="C25" s="15" t="str">
        <f>HYPERLINK("01-组织级\01-组织财富库\01-标准过程文件库\02-软件工程规范\03-设计\设计指南(QCUBIC-SPI-TS-Guid-Design)V1.2-engl.docx", "engl")</f>
        <v>engl</v>
      </c>
      <c r="D25"/>
      <c r="E25"/>
      <c r="F25"/>
      <c r="G25"/>
      <c r="H25"/>
      <c r="I25"/>
      <c r="J25"/>
      <c r="K25"/>
      <c r="L25"/>
      <c r="M25"/>
      <c r="N25" t="s">
        <v>101</v>
      </c>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AA100"/>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06" customWidth="1"/>
    <col min="2" max="4" width="7.88671875" style="106" customWidth="1"/>
    <col min="5" max="14" width="15.6640625" style="106" customWidth="1"/>
    <col min="15" max="15" width="70.88671875" style="106" customWidth="1"/>
    <col min="16" max="16" width="3.6640625" style="106" customWidth="1"/>
    <col min="17" max="17" width="32.33203125" style="106" customWidth="1"/>
    <col min="18" max="18" width="96.44140625" style="106" customWidth="1"/>
    <col min="19" max="19" width="8.6640625" style="106"/>
    <col min="20" max="20" width="10.33203125" style="106" bestFit="1" customWidth="1"/>
    <col min="21" max="21" width="20.44140625" style="106" bestFit="1" customWidth="1"/>
    <col min="22" max="16384" width="8.6640625" style="106"/>
  </cols>
  <sheetData>
    <row r="1" spans="1:27" ht="18">
      <c r="A1" s="102" t="s">
        <v>102</v>
      </c>
      <c r="B1" s="102"/>
      <c r="C1" s="102"/>
      <c r="D1" s="102"/>
      <c r="E1" s="103"/>
      <c r="F1" s="104"/>
      <c r="G1" s="105"/>
      <c r="H1" s="105"/>
      <c r="I1" s="105"/>
      <c r="J1" s="105"/>
      <c r="K1" s="105"/>
      <c r="L1" s="105"/>
      <c r="M1" s="105"/>
      <c r="N1" s="105"/>
      <c r="O1" s="105"/>
      <c r="P1" s="105"/>
      <c r="Q1" s="105"/>
    </row>
    <row r="2" spans="1:27">
      <c r="A2" s="107" t="s">
        <v>23</v>
      </c>
      <c r="B2" s="107"/>
      <c r="C2" s="107"/>
      <c r="D2" s="107"/>
      <c r="E2" s="104" t="s">
        <v>103</v>
      </c>
      <c r="F2" s="104"/>
      <c r="G2" s="105"/>
      <c r="H2" s="105"/>
      <c r="I2" s="105"/>
      <c r="J2" s="105"/>
      <c r="K2" s="105"/>
      <c r="L2" s="105"/>
      <c r="M2" s="105"/>
      <c r="N2" s="105"/>
      <c r="O2" s="105"/>
      <c r="P2" s="105"/>
      <c r="Q2" s="105"/>
    </row>
    <row r="3" spans="1:27">
      <c r="A3" s="104" t="s">
        <v>25</v>
      </c>
      <c r="B3" s="104"/>
      <c r="C3" s="104"/>
      <c r="D3" s="104"/>
      <c r="E3" s="104" t="s">
        <v>104</v>
      </c>
      <c r="F3" s="104"/>
      <c r="G3" s="105"/>
      <c r="H3" s="105"/>
      <c r="I3" s="105"/>
      <c r="J3" s="105"/>
      <c r="K3" s="105"/>
      <c r="L3" s="105"/>
      <c r="M3" s="105"/>
      <c r="N3" s="105"/>
      <c r="O3" s="105"/>
      <c r="P3" s="105"/>
      <c r="Q3" s="105"/>
    </row>
    <row r="4" spans="1:27">
      <c r="A4" s="108"/>
      <c r="B4" s="108"/>
      <c r="C4" s="108"/>
      <c r="D4" s="108"/>
      <c r="E4" s="109" t="s">
        <v>27</v>
      </c>
      <c r="F4" s="110" t="s">
        <v>28</v>
      </c>
      <c r="G4" s="110"/>
      <c r="H4" s="111"/>
      <c r="I4" s="110"/>
      <c r="J4" s="112"/>
      <c r="K4" s="112"/>
      <c r="L4" s="113" t="s">
        <v>29</v>
      </c>
      <c r="M4" s="113"/>
      <c r="N4" s="113"/>
      <c r="O4" s="104"/>
      <c r="P4" s="104"/>
      <c r="Q4" s="104"/>
      <c r="R4" s="104"/>
      <c r="S4" s="104"/>
      <c r="T4" s="107"/>
      <c r="U4" s="114"/>
      <c r="V4" s="114"/>
    </row>
    <row r="5" spans="1:27">
      <c r="A5" s="115"/>
      <c r="B5" s="115"/>
      <c r="C5" s="115"/>
      <c r="D5" s="115"/>
      <c r="E5" s="116" t="s">
        <v>30</v>
      </c>
      <c r="F5" s="117" t="s">
        <v>31</v>
      </c>
      <c r="G5" s="117"/>
      <c r="H5" s="111"/>
      <c r="I5" s="117"/>
      <c r="J5" s="112"/>
      <c r="K5" s="112"/>
      <c r="L5" s="113" t="s">
        <v>32</v>
      </c>
      <c r="M5" s="118"/>
      <c r="N5" s="118"/>
      <c r="O5" s="105"/>
      <c r="P5" s="105"/>
      <c r="Q5" s="105"/>
      <c r="R5" s="115"/>
      <c r="S5" s="104"/>
      <c r="T5" s="107"/>
      <c r="U5" s="115"/>
      <c r="V5" s="114"/>
    </row>
    <row r="6" spans="1:27">
      <c r="A6" s="119"/>
      <c r="B6" s="119"/>
      <c r="C6" s="119"/>
      <c r="D6" s="119"/>
      <c r="E6" s="3" t="s">
        <v>105</v>
      </c>
      <c r="F6" s="87" t="s">
        <v>106</v>
      </c>
      <c r="G6" s="87" t="s">
        <v>107</v>
      </c>
      <c r="H6" s="87" t="s">
        <v>108</v>
      </c>
      <c r="I6" s="87" t="s">
        <v>109</v>
      </c>
      <c r="J6" s="87" t="s">
        <v>110</v>
      </c>
      <c r="K6" s="87" t="s">
        <v>111</v>
      </c>
      <c r="L6" s="88" t="s">
        <v>112</v>
      </c>
      <c r="M6" s="88" t="s">
        <v>113</v>
      </c>
      <c r="N6" s="89" t="s">
        <v>114</v>
      </c>
      <c r="O6" s="90"/>
      <c r="P6" s="90"/>
      <c r="Q6" s="90"/>
      <c r="R6" s="120"/>
      <c r="S6" s="120"/>
      <c r="T6" s="120"/>
    </row>
    <row r="7" spans="1:27" ht="124.2">
      <c r="A7" s="121" t="s">
        <v>43</v>
      </c>
      <c r="B7" s="121"/>
      <c r="C7" s="121"/>
      <c r="D7" s="121"/>
      <c r="E7" s="94" t="s">
        <v>115</v>
      </c>
      <c r="F7" s="94" t="s">
        <v>116</v>
      </c>
      <c r="G7" s="94" t="s">
        <v>117</v>
      </c>
      <c r="H7" s="94" t="s">
        <v>118</v>
      </c>
      <c r="I7" s="94" t="s">
        <v>119</v>
      </c>
      <c r="J7" s="94" t="s">
        <v>120</v>
      </c>
      <c r="K7" s="94" t="s">
        <v>121</v>
      </c>
      <c r="L7" s="94" t="s">
        <v>122</v>
      </c>
      <c r="M7" s="94" t="s">
        <v>123</v>
      </c>
      <c r="N7" s="94" t="s">
        <v>124</v>
      </c>
      <c r="O7" s="90"/>
      <c r="P7" s="90"/>
      <c r="Q7" s="90"/>
    </row>
    <row r="8" spans="1:27" ht="144">
      <c r="A8" s="119" t="s">
        <v>54</v>
      </c>
      <c r="B8" s="119"/>
      <c r="C8" s="119"/>
      <c r="D8" s="119"/>
      <c r="E8" s="122" t="s">
        <v>125</v>
      </c>
      <c r="F8" s="122" t="s">
        <v>126</v>
      </c>
      <c r="G8" s="122" t="s">
        <v>127</v>
      </c>
      <c r="H8" s="122" t="s">
        <v>128</v>
      </c>
      <c r="I8" s="122" t="s">
        <v>129</v>
      </c>
      <c r="J8" s="122" t="s">
        <v>130</v>
      </c>
      <c r="K8" s="122" t="s">
        <v>131</v>
      </c>
      <c r="L8" s="122" t="s">
        <v>132</v>
      </c>
      <c r="M8" s="123" t="s">
        <v>133</v>
      </c>
      <c r="N8" s="123" t="s">
        <v>134</v>
      </c>
      <c r="O8" s="124"/>
      <c r="P8" s="124"/>
      <c r="Q8" s="124"/>
    </row>
    <row r="9" spans="1:27" ht="246" customHeight="1">
      <c r="A9" s="119" t="s">
        <v>65</v>
      </c>
      <c r="B9" s="119"/>
      <c r="C9" s="119"/>
      <c r="D9" s="119"/>
      <c r="E9" s="122" t="s">
        <v>135</v>
      </c>
      <c r="F9" s="122" t="s">
        <v>136</v>
      </c>
      <c r="G9" s="122" t="s">
        <v>137</v>
      </c>
      <c r="H9" s="122" t="s">
        <v>138</v>
      </c>
      <c r="I9" s="122" t="s">
        <v>139</v>
      </c>
      <c r="J9" s="122" t="s">
        <v>140</v>
      </c>
      <c r="K9" s="122" t="s">
        <v>141</v>
      </c>
      <c r="L9" s="122" t="s">
        <v>142</v>
      </c>
      <c r="M9" s="122" t="s">
        <v>143</v>
      </c>
      <c r="N9" s="122" t="s">
        <v>144</v>
      </c>
      <c r="O9" s="124"/>
      <c r="P9" s="124"/>
      <c r="Q9" s="124"/>
    </row>
    <row r="10" spans="1:27" ht="116.85" customHeight="1">
      <c r="A10" s="119" t="s">
        <v>76</v>
      </c>
      <c r="B10" s="119"/>
      <c r="C10" s="119"/>
      <c r="D10" s="119"/>
      <c r="E10" s="130"/>
      <c r="F10" s="130" t="s">
        <v>145</v>
      </c>
      <c r="G10" s="130" t="s">
        <v>146</v>
      </c>
      <c r="H10" s="130" t="s">
        <v>147</v>
      </c>
      <c r="I10" s="130" t="s">
        <v>148</v>
      </c>
      <c r="J10" s="130" t="s">
        <v>149</v>
      </c>
      <c r="K10" s="130" t="s">
        <v>150</v>
      </c>
      <c r="L10" s="130" t="s">
        <v>151</v>
      </c>
      <c r="M10" s="130" t="s">
        <v>152</v>
      </c>
      <c r="N10" s="130" t="s">
        <v>153</v>
      </c>
      <c r="O10" s="131"/>
      <c r="P10" s="131"/>
      <c r="Q10" s="131"/>
    </row>
    <row r="11" spans="1:27" ht="116.85" customHeight="1">
      <c r="A11" s="132" t="s">
        <v>86</v>
      </c>
      <c r="B11" s="132"/>
      <c r="C11" s="132"/>
      <c r="D11" s="132"/>
      <c r="E11" s="130"/>
      <c r="F11" s="130" t="s">
        <v>154</v>
      </c>
      <c r="G11" s="130" t="s">
        <v>155</v>
      </c>
      <c r="H11" s="130" t="s">
        <v>156</v>
      </c>
      <c r="I11" s="130" t="s">
        <v>157</v>
      </c>
      <c r="J11" s="130" t="s">
        <v>158</v>
      </c>
      <c r="K11" s="130" t="s">
        <v>159</v>
      </c>
      <c r="L11" s="130" t="s">
        <v>160</v>
      </c>
      <c r="M11" s="130" t="s">
        <v>161</v>
      </c>
      <c r="N11" s="130" t="s">
        <v>162</v>
      </c>
      <c r="O11" s="131"/>
      <c r="P11" s="131"/>
      <c r="Q11" s="131"/>
    </row>
    <row r="12" spans="1:27" s="114" customFormat="1" ht="15" customHeight="1">
      <c r="A12" s="106"/>
      <c r="B12" s="106"/>
      <c r="C12" s="106"/>
      <c r="D12" s="106"/>
      <c r="E12" s="106"/>
      <c r="F12" s="106"/>
      <c r="G12" s="106"/>
      <c r="H12" s="106"/>
      <c r="I12" s="106"/>
      <c r="J12" s="106"/>
      <c r="K12" s="106"/>
      <c r="L12" s="106"/>
      <c r="M12" s="106"/>
      <c r="N12" s="106"/>
      <c r="O12" s="106"/>
      <c r="P12" s="106"/>
      <c r="Q12" s="106"/>
      <c r="R12" s="106"/>
      <c r="S12" s="106"/>
      <c r="T12" s="106"/>
      <c r="U12" s="90"/>
    </row>
    <row r="13" spans="1:27" s="114" customFormat="1" ht="15" customHeight="1">
      <c r="A13" s="106"/>
      <c r="B13" s="106"/>
      <c r="C13" s="106"/>
      <c r="D13" s="106"/>
      <c r="E13" s="106"/>
      <c r="F13" s="106"/>
      <c r="G13" s="106"/>
      <c r="H13" s="106"/>
      <c r="I13" s="106"/>
      <c r="J13" s="106"/>
      <c r="K13" s="106"/>
      <c r="L13" s="106"/>
      <c r="M13" s="106"/>
      <c r="N13" s="106"/>
      <c r="O13" s="106"/>
      <c r="P13" s="106"/>
      <c r="Q13" s="106"/>
      <c r="R13" s="106"/>
      <c r="S13" s="106"/>
      <c r="T13" s="106"/>
    </row>
    <row r="14" spans="1:27" s="114" customFormat="1" ht="15" customHeight="1">
      <c r="A14" s="106"/>
      <c r="B14" s="106"/>
      <c r="C14" s="106"/>
      <c r="D14" s="106"/>
      <c r="E14" s="106"/>
      <c r="F14" s="106"/>
      <c r="G14" s="106"/>
      <c r="H14" s="106"/>
      <c r="I14" s="106"/>
      <c r="J14" s="106"/>
      <c r="K14" s="106"/>
      <c r="L14" s="106"/>
      <c r="M14" s="106"/>
      <c r="N14" s="106"/>
      <c r="O14" s="106"/>
      <c r="P14" s="106"/>
      <c r="Q14" s="106"/>
      <c r="R14" s="106"/>
      <c r="S14" s="106"/>
      <c r="T14" s="106"/>
    </row>
    <row r="15" spans="1:27" customFormat="1">
      <c r="A15" t="s">
        <v>96</v>
      </c>
      <c r="B15" t="s">
        <v>97</v>
      </c>
      <c r="C15" t="s">
        <v>98</v>
      </c>
      <c r="D15" s="356" t="s">
        <v>99</v>
      </c>
      <c r="E15" s="14" t="s">
        <v>105</v>
      </c>
      <c r="F15" s="14" t="s">
        <v>106</v>
      </c>
      <c r="G15" s="14" t="s">
        <v>107</v>
      </c>
      <c r="H15" s="14" t="s">
        <v>108</v>
      </c>
      <c r="I15" s="14" t="s">
        <v>109</v>
      </c>
      <c r="J15" s="14" t="s">
        <v>110</v>
      </c>
      <c r="K15" s="14" t="s">
        <v>111</v>
      </c>
      <c r="L15" s="14" t="s">
        <v>112</v>
      </c>
      <c r="M15" s="14" t="s">
        <v>113</v>
      </c>
      <c r="N15" s="14" t="s">
        <v>114</v>
      </c>
    </row>
    <row r="16" spans="1:27" s="114" customFormat="1" ht="15" customHeight="1">
      <c r="A16" s="356" t="s">
        <v>163</v>
      </c>
      <c r="B16" s="15" t="s">
        <v>97</v>
      </c>
      <c r="C16" s="15" t="str">
        <f>HYPERLINK("02-项目级\P2-Qcubic to MySQL数据同步工具 V1.0\01-生存周期\06-实现\02-产品集成\01-产品集成计划(QCUBIC-SJTB-PI-Plan)V1.0-engl.docx", "engl")</f>
        <v>engl</v>
      </c>
      <c r="D16"/>
      <c r="E16" t="s">
        <v>101</v>
      </c>
      <c r="F16" t="s">
        <v>101</v>
      </c>
      <c r="G16" t="s">
        <v>101</v>
      </c>
      <c r="H16" t="s">
        <v>101</v>
      </c>
      <c r="I16"/>
      <c r="J16"/>
      <c r="K16"/>
      <c r="L16"/>
      <c r="M16"/>
      <c r="N16"/>
      <c r="O16"/>
      <c r="P16"/>
      <c r="Q16"/>
      <c r="R16"/>
      <c r="S16"/>
      <c r="T16"/>
      <c r="U16"/>
      <c r="V16"/>
      <c r="W16"/>
      <c r="X16"/>
      <c r="Y16"/>
      <c r="Z16"/>
      <c r="AA16"/>
    </row>
    <row r="17" spans="1:27" s="114" customFormat="1">
      <c r="A17" s="356" t="s">
        <v>164</v>
      </c>
      <c r="B17" s="15" t="s">
        <v>97</v>
      </c>
      <c r="C17" s="15" t="str">
        <f>HYPERLINK("02-项目级\P2-Qcubic to MySQL数据同步工具 V1.0\01-生存周期\06-实现\02-产品集成\06-产品集成阶段报告\03-产品集成阶段报告(QCUBIC-SJTB-PI-InterimReport-3)V1.0-engl.docx", "engl")</f>
        <v>engl</v>
      </c>
      <c r="D17"/>
      <c r="E17" t="s">
        <v>101</v>
      </c>
      <c r="F17"/>
      <c r="G17"/>
      <c r="H17" t="s">
        <v>101</v>
      </c>
      <c r="I17"/>
      <c r="J17" t="s">
        <v>101</v>
      </c>
      <c r="K17" t="s">
        <v>101</v>
      </c>
      <c r="L17"/>
      <c r="M17"/>
      <c r="N17" t="s">
        <v>101</v>
      </c>
      <c r="O17"/>
      <c r="P17"/>
      <c r="Q17"/>
      <c r="R17"/>
      <c r="S17"/>
      <c r="T17"/>
      <c r="U17"/>
      <c r="V17"/>
      <c r="W17"/>
      <c r="X17"/>
      <c r="Y17"/>
      <c r="Z17"/>
      <c r="AA17"/>
    </row>
    <row r="18" spans="1:27">
      <c r="A18" t="s">
        <v>100</v>
      </c>
      <c r="B18" s="15" t="s">
        <v>97</v>
      </c>
      <c r="C18" s="15" t="str">
        <f>HYPERLINK("01-组织级\01-组织财富库\01-标准过程文件库\02-软件工程规范\04-实现\实现过程文件 (QCUBIC-SPI-DEV-Proc-Doc)V1.2-engl.docx", "engl")</f>
        <v>engl</v>
      </c>
      <c r="D18"/>
      <c r="E18"/>
      <c r="F18"/>
      <c r="G18"/>
      <c r="H18" t="s">
        <v>101</v>
      </c>
      <c r="I18"/>
      <c r="J18"/>
      <c r="K18"/>
      <c r="L18"/>
      <c r="M18"/>
      <c r="N18"/>
      <c r="O18"/>
      <c r="P18"/>
      <c r="Q18"/>
      <c r="R18"/>
      <c r="S18"/>
      <c r="T18"/>
      <c r="U18"/>
      <c r="V18"/>
      <c r="W18"/>
      <c r="X18"/>
      <c r="Y18"/>
      <c r="Z18"/>
      <c r="AA18"/>
    </row>
    <row r="19" spans="1:27">
      <c r="A19" t="s">
        <v>100</v>
      </c>
      <c r="B19" s="15" t="s">
        <v>97</v>
      </c>
      <c r="C19" s="15" t="str">
        <f>HYPERLINK("01-组织级\01-组织财富库\01-标准过程文件库\02-软件工程规范\05-测试\02-产品集成及集成测试\产品集成指南(QCUBIC-SPI-VV-Guid-PI)V1.2-engl.docx", "engl")</f>
        <v>engl</v>
      </c>
      <c r="D19"/>
      <c r="E19"/>
      <c r="F19"/>
      <c r="G19"/>
      <c r="H19" t="s">
        <v>101</v>
      </c>
      <c r="I19"/>
      <c r="J19"/>
      <c r="K19"/>
      <c r="L19"/>
      <c r="M19"/>
      <c r="N19"/>
      <c r="O19"/>
      <c r="P19"/>
      <c r="Q19"/>
      <c r="R19"/>
      <c r="S19"/>
      <c r="T19"/>
      <c r="U19"/>
      <c r="V19"/>
      <c r="W19"/>
      <c r="X19"/>
      <c r="Y19"/>
      <c r="Z19"/>
      <c r="AA19"/>
    </row>
    <row r="20" spans="1:27">
      <c r="A20" t="s">
        <v>100</v>
      </c>
      <c r="B20" s="15" t="s">
        <v>97</v>
      </c>
      <c r="C20" s="15" t="str">
        <f>HYPERLINK("02-项目级\P2-Qcubic to MySQL数据同步工具 V1.0\01-生存周期\06-实现\02-产品集成\03-产品集成检查列表(QCUBIC-SJTB-PI-PIChkList)V1.0-engl.xlsx", "engl")</f>
        <v>engl</v>
      </c>
      <c r="D20"/>
      <c r="E20"/>
      <c r="F20"/>
      <c r="G20"/>
      <c r="H20"/>
      <c r="I20" t="s">
        <v>101</v>
      </c>
      <c r="J20"/>
      <c r="K20"/>
      <c r="L20"/>
      <c r="M20"/>
      <c r="N20"/>
      <c r="O20"/>
      <c r="P20"/>
      <c r="Q20"/>
      <c r="R20"/>
      <c r="S20"/>
      <c r="T20"/>
      <c r="U20"/>
      <c r="V20"/>
      <c r="W20"/>
      <c r="X20"/>
      <c r="Y20"/>
      <c r="Z20"/>
      <c r="AA20"/>
    </row>
    <row r="21" spans="1:27">
      <c r="A21" t="s">
        <v>100</v>
      </c>
      <c r="B21" s="15" t="s">
        <v>97</v>
      </c>
      <c r="C21" s="15" t="str">
        <f>HYPERLINK("02-项目级\P2-Qcubic to MySQL数据同步工具 V1.0\01-生存周期\07-测试\02-集成测试\01-集成测试用例(QCUBIC-SJTB-VV-TestCase-SystemTest)V1.0-engl.xlsx", "engl")</f>
        <v>engl</v>
      </c>
      <c r="D21"/>
      <c r="E21"/>
      <c r="F21"/>
      <c r="G21"/>
      <c r="H21"/>
      <c r="I21"/>
      <c r="J21" t="s">
        <v>101</v>
      </c>
      <c r="K21"/>
      <c r="L21"/>
      <c r="M21"/>
      <c r="N21"/>
      <c r="O21"/>
      <c r="P21"/>
      <c r="Q21"/>
      <c r="R21"/>
      <c r="S21"/>
      <c r="T21"/>
      <c r="U21"/>
      <c r="V21"/>
      <c r="W21"/>
      <c r="X21"/>
      <c r="Y21"/>
      <c r="Z21"/>
      <c r="AA21"/>
    </row>
    <row r="22" spans="1:27">
      <c r="A22" t="s">
        <v>100</v>
      </c>
      <c r="B22" s="15" t="s">
        <v>97</v>
      </c>
      <c r="C22" s="15" t="str">
        <f>HYPERLINK("02-项目级\P2-Qcubic to MySQL数据同步工具 V1.0\01-生存周期\07-测试\02-集成测试\04-集成测试报告(QCUBIC-SJTB-LP_VV_IntegrationTestRet)V1.0-engl.docx", "engl")</f>
        <v>engl</v>
      </c>
      <c r="D22"/>
      <c r="E22"/>
      <c r="F22"/>
      <c r="G22"/>
      <c r="H22"/>
      <c r="I22"/>
      <c r="J22" t="s">
        <v>101</v>
      </c>
      <c r="K22"/>
      <c r="L22"/>
      <c r="M22"/>
      <c r="N22"/>
      <c r="O22"/>
      <c r="P22"/>
      <c r="Q22"/>
      <c r="R22"/>
      <c r="S22"/>
      <c r="T22"/>
      <c r="U22"/>
      <c r="V22"/>
      <c r="W22"/>
      <c r="X22"/>
      <c r="Y22"/>
      <c r="Z22"/>
      <c r="AA22"/>
    </row>
    <row r="23" spans="1:27">
      <c r="A23" t="s">
        <v>100</v>
      </c>
      <c r="B23" s="15" t="s">
        <v>97</v>
      </c>
      <c r="C23" s="15" t="str">
        <f>HYPERLINK("02-项目级\P2-Qcubic to MySQL数据同步工具 V1.0\01-生存周期\05-设计\01-概要设计书(QCUBIC-SJTB-TS-BD)V1.0-engl.docx", "engl")</f>
        <v>engl</v>
      </c>
      <c r="D23"/>
      <c r="E23"/>
      <c r="F23"/>
      <c r="G23"/>
      <c r="H23"/>
      <c r="I23"/>
      <c r="J23"/>
      <c r="K23"/>
      <c r="L23" t="s">
        <v>101</v>
      </c>
      <c r="M23" t="s">
        <v>101</v>
      </c>
      <c r="N23"/>
      <c r="O23"/>
      <c r="P23"/>
      <c r="Q23"/>
      <c r="R23"/>
      <c r="S23"/>
      <c r="T23"/>
      <c r="U23"/>
      <c r="V23"/>
      <c r="W23"/>
      <c r="X23"/>
      <c r="Y23"/>
      <c r="Z23"/>
      <c r="AA23"/>
    </row>
    <row r="24" spans="1:27">
      <c r="A24" t="s">
        <v>100</v>
      </c>
      <c r="B24" s="15" t="s">
        <v>97</v>
      </c>
      <c r="C24" s="15" t="str">
        <f>HYPERLINK("02-项目级\P2-Qcubic to MySQL数据同步工具 V1.0\01-生存周期\05-设计\03-详细设计说明书(QCUBIC-SJTB-TS-DD)V1.0-engl.docx", "engl")</f>
        <v>engl</v>
      </c>
      <c r="D24"/>
      <c r="E24"/>
      <c r="F24"/>
      <c r="G24"/>
      <c r="H24"/>
      <c r="I24"/>
      <c r="J24"/>
      <c r="K24"/>
      <c r="L24" t="s">
        <v>101</v>
      </c>
      <c r="M24" t="s">
        <v>101</v>
      </c>
      <c r="N24"/>
      <c r="O24"/>
      <c r="P24"/>
      <c r="Q24"/>
      <c r="R24"/>
      <c r="S24"/>
      <c r="T24"/>
      <c r="U24"/>
      <c r="V24"/>
      <c r="W24"/>
      <c r="X24"/>
      <c r="Y24"/>
      <c r="Z24"/>
      <c r="AA24"/>
    </row>
    <row r="25" spans="1:27">
      <c r="A25" t="s">
        <v>100</v>
      </c>
      <c r="B25" s="15" t="s">
        <v>97</v>
      </c>
      <c r="C25" s="15" t="str">
        <f>HYPERLINK("02-项目级\P2-Qcubic to MySQL数据同步工具 V1.0\01-生存周期\06-实现\02-产品集成\04-接口检查列表(QCUBIC-SJTB-PI-PIChkList)V1.0-engl.xlsx", "engl")</f>
        <v>engl</v>
      </c>
      <c r="D25"/>
      <c r="E25"/>
      <c r="F25"/>
      <c r="G25"/>
      <c r="H25"/>
      <c r="I25"/>
      <c r="J25"/>
      <c r="K25"/>
      <c r="L25" t="s">
        <v>101</v>
      </c>
      <c r="M25" t="s">
        <v>101</v>
      </c>
      <c r="N25" t="s">
        <v>101</v>
      </c>
      <c r="O25"/>
      <c r="P25"/>
      <c r="Q25"/>
      <c r="R25"/>
      <c r="S25"/>
      <c r="T25"/>
      <c r="U25"/>
      <c r="V25"/>
      <c r="W25"/>
      <c r="X25"/>
      <c r="Y25"/>
      <c r="Z25"/>
      <c r="AA25"/>
    </row>
    <row r="26" spans="1:27">
      <c r="A26" t="s">
        <v>100</v>
      </c>
      <c r="B26" s="15" t="s">
        <v>97</v>
      </c>
      <c r="C26" s="15" t="str">
        <f>HYPERLINK("02-项目级\P2-Qcubic to MySQL数据同步工具 V1.0\01-生存周期\06-实现\03-代码检查\02-代码调试BUG管理表(QCUBIC-SJTB-VV-CDBugList)V1.0-engl.xlsx", "engl")</f>
        <v>engl</v>
      </c>
      <c r="D26"/>
      <c r="E26"/>
      <c r="F26"/>
      <c r="G26"/>
      <c r="H26"/>
      <c r="I26"/>
      <c r="J26"/>
      <c r="K26"/>
      <c r="L26" t="s">
        <v>101</v>
      </c>
      <c r="M26" t="s">
        <v>101</v>
      </c>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5" customWidth="1"/>
    <col min="2" max="4" width="7.88671875" style="115" customWidth="1"/>
    <col min="5" max="8" width="20.6640625" style="115" customWidth="1"/>
    <col min="9" max="10" width="20.6640625" style="133" customWidth="1"/>
    <col min="11" max="11" width="76.88671875" style="133" customWidth="1"/>
    <col min="12" max="12" width="3.6640625" style="133" customWidth="1"/>
    <col min="13" max="13" width="20.6640625" style="133" customWidth="1"/>
    <col min="14" max="14" width="77.88671875" style="133" customWidth="1"/>
    <col min="15" max="17" width="8.6640625" style="133"/>
    <col min="18" max="16384" width="8.6640625" style="115"/>
  </cols>
  <sheetData>
    <row r="1" spans="1:27" s="134" customFormat="1" ht="18">
      <c r="A1" s="102" t="s">
        <v>165</v>
      </c>
      <c r="B1" s="102"/>
      <c r="C1" s="102"/>
      <c r="D1" s="102"/>
      <c r="E1" s="104"/>
      <c r="F1" s="103"/>
      <c r="G1" s="104"/>
      <c r="H1" s="104"/>
      <c r="I1" s="133"/>
      <c r="J1" s="133"/>
      <c r="K1" s="133"/>
      <c r="L1" s="133"/>
      <c r="M1" s="133"/>
      <c r="N1" s="133"/>
      <c r="O1" s="133"/>
      <c r="P1" s="133"/>
      <c r="Q1" s="133"/>
    </row>
    <row r="2" spans="1:27" s="135" customFormat="1">
      <c r="A2" s="107" t="s">
        <v>23</v>
      </c>
      <c r="B2" s="107"/>
      <c r="C2" s="107"/>
      <c r="D2" s="107"/>
      <c r="E2" s="104" t="s">
        <v>166</v>
      </c>
      <c r="F2" s="104"/>
      <c r="G2" s="104"/>
      <c r="H2" s="104"/>
      <c r="I2" s="133"/>
      <c r="J2" s="133"/>
      <c r="K2" s="133"/>
      <c r="L2" s="133"/>
      <c r="M2" s="133"/>
      <c r="N2" s="133"/>
      <c r="O2" s="133"/>
      <c r="P2" s="133"/>
      <c r="Q2" s="133"/>
    </row>
    <row r="3" spans="1:27" s="135" customFormat="1">
      <c r="A3" s="104" t="s">
        <v>25</v>
      </c>
      <c r="B3" s="104"/>
      <c r="C3" s="104"/>
      <c r="D3" s="104"/>
      <c r="E3" s="104" t="s">
        <v>167</v>
      </c>
      <c r="F3" s="104"/>
      <c r="G3" s="104"/>
      <c r="H3" s="104"/>
      <c r="I3" s="133"/>
      <c r="J3" s="133"/>
      <c r="K3" s="133"/>
      <c r="L3" s="133"/>
      <c r="M3" s="133"/>
      <c r="N3" s="133"/>
      <c r="O3" s="133"/>
      <c r="P3" s="133"/>
      <c r="Q3" s="133"/>
    </row>
    <row r="4" spans="1:27" s="135" customFormat="1" ht="14.4">
      <c r="A4" s="108"/>
      <c r="B4" s="108"/>
      <c r="C4" s="108"/>
      <c r="D4" s="108"/>
      <c r="E4" s="109" t="s">
        <v>27</v>
      </c>
      <c r="F4" s="110" t="s">
        <v>28</v>
      </c>
      <c r="G4" s="110"/>
      <c r="H4" s="111"/>
      <c r="I4" s="110"/>
      <c r="J4" s="113" t="s">
        <v>29</v>
      </c>
      <c r="K4" s="104"/>
      <c r="L4" s="104"/>
      <c r="M4" s="104"/>
      <c r="N4" s="104"/>
      <c r="O4" s="107"/>
      <c r="P4" s="114"/>
      <c r="Q4" s="114"/>
    </row>
    <row r="5" spans="1:27" s="136" customFormat="1" ht="14.4">
      <c r="A5" s="115"/>
      <c r="B5" s="115"/>
      <c r="C5" s="115"/>
      <c r="D5" s="115"/>
      <c r="E5" s="116" t="s">
        <v>30</v>
      </c>
      <c r="F5" s="117" t="s">
        <v>31</v>
      </c>
      <c r="G5" s="117"/>
      <c r="H5" s="111"/>
      <c r="I5" s="117"/>
      <c r="J5" s="113" t="s">
        <v>32</v>
      </c>
      <c r="K5" s="104"/>
      <c r="L5" s="104"/>
      <c r="M5" s="104"/>
      <c r="N5" s="104"/>
      <c r="O5" s="107"/>
      <c r="P5" s="115"/>
      <c r="Q5" s="114"/>
    </row>
    <row r="6" spans="1:27" s="127" customFormat="1">
      <c r="A6" s="119"/>
      <c r="B6" s="119"/>
      <c r="C6" s="119"/>
      <c r="D6" s="119"/>
      <c r="E6" s="3" t="s">
        <v>168</v>
      </c>
      <c r="F6" s="87" t="s">
        <v>169</v>
      </c>
      <c r="G6" s="87" t="s">
        <v>170</v>
      </c>
      <c r="H6" s="87" t="s">
        <v>171</v>
      </c>
      <c r="I6" s="87" t="s">
        <v>172</v>
      </c>
      <c r="J6" s="88" t="s">
        <v>173</v>
      </c>
      <c r="K6" s="90"/>
      <c r="L6" s="90"/>
      <c r="M6" s="90"/>
      <c r="N6" s="133"/>
      <c r="O6" s="133"/>
      <c r="P6" s="133"/>
      <c r="Q6" s="133"/>
    </row>
    <row r="7" spans="1:27" s="127" customFormat="1" ht="84" customHeight="1">
      <c r="A7" s="121" t="s">
        <v>174</v>
      </c>
      <c r="B7" s="121"/>
      <c r="C7" s="121"/>
      <c r="D7" s="121"/>
      <c r="E7" s="94" t="s">
        <v>175</v>
      </c>
      <c r="F7" s="94" t="s">
        <v>176</v>
      </c>
      <c r="G7" s="94" t="s">
        <v>177</v>
      </c>
      <c r="H7" s="94" t="s">
        <v>178</v>
      </c>
      <c r="I7" s="94" t="s">
        <v>179</v>
      </c>
      <c r="J7" s="94" t="s">
        <v>180</v>
      </c>
      <c r="K7" s="90"/>
      <c r="L7" s="90"/>
      <c r="M7" s="90"/>
      <c r="N7" s="133"/>
      <c r="O7" s="133"/>
      <c r="P7" s="133"/>
      <c r="Q7" s="133"/>
    </row>
    <row r="8" spans="1:27" s="127" customFormat="1" ht="48">
      <c r="A8" s="119" t="s">
        <v>54</v>
      </c>
      <c r="B8" s="119"/>
      <c r="C8" s="119"/>
      <c r="D8" s="119"/>
      <c r="E8" s="122" t="s">
        <v>181</v>
      </c>
      <c r="F8" s="95" t="s">
        <v>182</v>
      </c>
      <c r="G8" s="95" t="s">
        <v>183</v>
      </c>
      <c r="H8" s="95" t="s">
        <v>184</v>
      </c>
      <c r="I8" s="95" t="s">
        <v>185</v>
      </c>
      <c r="J8" s="95" t="s">
        <v>186</v>
      </c>
      <c r="K8" s="96"/>
      <c r="L8" s="96"/>
      <c r="M8" s="96"/>
      <c r="N8" s="133"/>
      <c r="O8" s="133"/>
      <c r="P8" s="133"/>
      <c r="Q8" s="133"/>
    </row>
    <row r="9" spans="1:27" s="127" customFormat="1" ht="156">
      <c r="A9" s="119" t="s">
        <v>65</v>
      </c>
      <c r="B9" s="119"/>
      <c r="C9" s="119"/>
      <c r="D9" s="119"/>
      <c r="E9" s="95" t="s">
        <v>187</v>
      </c>
      <c r="F9" s="95" t="s">
        <v>188</v>
      </c>
      <c r="G9" s="95" t="s">
        <v>189</v>
      </c>
      <c r="H9" s="95" t="s">
        <v>190</v>
      </c>
      <c r="I9" s="122" t="s">
        <v>191</v>
      </c>
      <c r="J9" s="95" t="s">
        <v>192</v>
      </c>
      <c r="K9" s="96"/>
      <c r="L9" s="96"/>
      <c r="M9" s="96"/>
      <c r="N9" s="133"/>
      <c r="O9" s="133"/>
      <c r="P9" s="133"/>
      <c r="Q9" s="133"/>
    </row>
    <row r="10" spans="1:27" ht="72">
      <c r="A10" s="119" t="s">
        <v>76</v>
      </c>
      <c r="B10" s="119"/>
      <c r="C10" s="119"/>
      <c r="D10" s="119"/>
      <c r="E10" s="138"/>
      <c r="F10" s="139" t="s">
        <v>193</v>
      </c>
      <c r="G10" s="139" t="s">
        <v>194</v>
      </c>
      <c r="H10" s="139" t="s">
        <v>195</v>
      </c>
      <c r="I10" s="139" t="s">
        <v>196</v>
      </c>
      <c r="J10" s="139" t="s">
        <v>197</v>
      </c>
      <c r="K10" s="140"/>
      <c r="L10" s="140"/>
      <c r="M10" s="97"/>
    </row>
    <row r="11" spans="1:27" s="120" customFormat="1" ht="41.4">
      <c r="A11" s="141" t="s">
        <v>86</v>
      </c>
      <c r="B11" s="141"/>
      <c r="C11" s="141"/>
      <c r="D11" s="141"/>
      <c r="E11" s="142"/>
      <c r="F11" s="142" t="s">
        <v>198</v>
      </c>
      <c r="G11" s="142" t="s">
        <v>199</v>
      </c>
      <c r="H11" s="142" t="s">
        <v>200</v>
      </c>
      <c r="I11" s="143" t="s">
        <v>201</v>
      </c>
      <c r="J11" s="143" t="s">
        <v>202</v>
      </c>
      <c r="K11" s="144"/>
      <c r="L11" s="144"/>
      <c r="M11" s="144"/>
      <c r="N11" s="105"/>
      <c r="O11" s="105"/>
      <c r="P11" s="105"/>
      <c r="Q11" s="105"/>
      <c r="R11" s="105"/>
      <c r="S11" s="105"/>
      <c r="T11" s="105"/>
      <c r="U11" s="105"/>
    </row>
    <row r="15" spans="1:27" customFormat="1" ht="14.4">
      <c r="A15" t="s">
        <v>96</v>
      </c>
      <c r="B15" t="s">
        <v>97</v>
      </c>
      <c r="C15" t="s">
        <v>98</v>
      </c>
      <c r="D15" s="356" t="s">
        <v>99</v>
      </c>
      <c r="E15" s="14" t="s">
        <v>168</v>
      </c>
      <c r="F15" s="14" t="s">
        <v>169</v>
      </c>
      <c r="G15" s="14" t="s">
        <v>170</v>
      </c>
      <c r="H15" s="14" t="s">
        <v>171</v>
      </c>
      <c r="I15" s="14" t="s">
        <v>172</v>
      </c>
      <c r="J15" s="14" t="s">
        <v>173</v>
      </c>
    </row>
    <row r="16" spans="1:27" ht="14.4">
      <c r="A16" t="s">
        <v>100</v>
      </c>
      <c r="B16" s="15" t="s">
        <v>97</v>
      </c>
      <c r="C16" s="15" t="str">
        <f>HYPERLINK("02-项目级\P3-主从数据库复制及性能提升项目\01-生存周期\03-项目策划\03-项目计划书 (QCUBIC-XNTS-PLAN-Plan)V1.1-engl.docx", "engl")</f>
        <v>engl</v>
      </c>
      <c r="D16"/>
      <c r="E16" t="s">
        <v>101</v>
      </c>
      <c r="F16"/>
      <c r="G16"/>
      <c r="H16" t="s">
        <v>101</v>
      </c>
      <c r="I16"/>
      <c r="J16"/>
      <c r="K16"/>
      <c r="L16"/>
      <c r="M16"/>
      <c r="N16"/>
      <c r="O16"/>
      <c r="P16"/>
      <c r="Q16"/>
      <c r="R16"/>
      <c r="S16"/>
      <c r="T16"/>
      <c r="U16"/>
      <c r="V16"/>
      <c r="W16"/>
      <c r="X16"/>
      <c r="Y16"/>
      <c r="Z16"/>
      <c r="AA16"/>
    </row>
    <row r="17" spans="1:27" ht="14.4">
      <c r="A17" t="s">
        <v>100</v>
      </c>
      <c r="B17" s="15" t="s">
        <v>97</v>
      </c>
      <c r="C17" s="15" t="str">
        <f>HYPERLINK("02-项目级\P3-主从数据库复制及性能提升项目\02-全程管理\05-评审管理\03-计划评审\05-评审报告_项目计划(QCUBIC-XNTS-PR-ReviewRpt)V1.1-engl.xlsx", "engl")</f>
        <v>engl</v>
      </c>
      <c r="D17"/>
      <c r="E17" t="s">
        <v>101</v>
      </c>
      <c r="F17" t="s">
        <v>101</v>
      </c>
      <c r="G17" t="s">
        <v>101</v>
      </c>
      <c r="H17" t="s">
        <v>101</v>
      </c>
      <c r="I17" t="s">
        <v>101</v>
      </c>
      <c r="J17"/>
      <c r="K17"/>
      <c r="L17"/>
      <c r="M17"/>
      <c r="N17"/>
      <c r="O17"/>
      <c r="P17"/>
      <c r="Q17"/>
      <c r="R17"/>
      <c r="S17"/>
      <c r="T17"/>
      <c r="U17"/>
      <c r="V17"/>
      <c r="W17"/>
      <c r="X17"/>
      <c r="Y17"/>
      <c r="Z17"/>
      <c r="AA17"/>
    </row>
    <row r="18" spans="1:27" ht="14.4">
      <c r="A18" t="s">
        <v>100</v>
      </c>
      <c r="B18" s="15" t="s">
        <v>97</v>
      </c>
      <c r="C18" s="15" t="str">
        <f>HYPERLINK("02-项目级\P3-主从数据库复制及性能提升项目\02-全程管理\05-评审管理\04-需求评审\01-需求规格说明书\05-评审报告_需求规格说明书(QCUBIC-XNTS-PR-ReviewRpt)V1.1-engl.xlsx", "engl")</f>
        <v>engl</v>
      </c>
      <c r="D18"/>
      <c r="E18" t="s">
        <v>101</v>
      </c>
      <c r="F18"/>
      <c r="G18" t="s">
        <v>101</v>
      </c>
      <c r="H18" t="s">
        <v>101</v>
      </c>
      <c r="I18" t="s">
        <v>101</v>
      </c>
      <c r="J18"/>
      <c r="K18"/>
      <c r="L18"/>
      <c r="M18"/>
      <c r="N18"/>
      <c r="O18"/>
      <c r="P18"/>
      <c r="Q18"/>
      <c r="R18"/>
      <c r="S18"/>
      <c r="T18"/>
      <c r="U18"/>
      <c r="V18"/>
      <c r="W18"/>
      <c r="X18"/>
      <c r="Y18"/>
      <c r="Z18"/>
      <c r="AA18"/>
    </row>
    <row r="19" spans="1:27" ht="14.4">
      <c r="A19" t="s">
        <v>100</v>
      </c>
      <c r="B19" s="15" t="s">
        <v>97</v>
      </c>
      <c r="C19" s="15" t="str">
        <f>HYPERLINK("02-项目级\P3-主从数据库复制及性能提升项目\02-全程管理\05-评审管理\04-需求评审\02-用户需求说明书\03-评审报告_用户需求说明书(QCUBIC-XNTS-PR-ReviewRpt)V1.0-engl.xlsx", "engl")</f>
        <v>engl</v>
      </c>
      <c r="D19"/>
      <c r="E19" t="s">
        <v>101</v>
      </c>
      <c r="F19"/>
      <c r="G19" t="s">
        <v>101</v>
      </c>
      <c r="H19" t="s">
        <v>101</v>
      </c>
      <c r="I19" t="s">
        <v>101</v>
      </c>
      <c r="J19"/>
      <c r="K19"/>
      <c r="L19"/>
      <c r="M19"/>
      <c r="N19"/>
      <c r="O19"/>
      <c r="P19"/>
      <c r="Q19"/>
      <c r="R19"/>
      <c r="S19"/>
      <c r="T19"/>
      <c r="U19"/>
      <c r="V19"/>
      <c r="W19"/>
      <c r="X19"/>
      <c r="Y19"/>
      <c r="Z19"/>
      <c r="AA19"/>
    </row>
    <row r="20" spans="1:27" ht="14.4">
      <c r="A20" t="s">
        <v>100</v>
      </c>
      <c r="B20" s="15" t="s">
        <v>97</v>
      </c>
      <c r="C20" s="15" t="str">
        <f>HYPERLINK("02-项目级\P3-主从数据库复制及性能提升项目\02-全程管理\05-评审管理\05-设计评审\01-概要设计说明书\05-评审报告_概要设计书(QCUBIC-XNTS-PR-ReviewRpt)V1.1-engl.xlsx", "engl")</f>
        <v>engl</v>
      </c>
      <c r="D20"/>
      <c r="E20" t="s">
        <v>101</v>
      </c>
      <c r="F20"/>
      <c r="G20" t="s">
        <v>101</v>
      </c>
      <c r="H20" t="s">
        <v>101</v>
      </c>
      <c r="I20" t="s">
        <v>101</v>
      </c>
      <c r="J20"/>
      <c r="K20"/>
      <c r="L20"/>
      <c r="M20"/>
      <c r="N20"/>
      <c r="O20"/>
      <c r="P20"/>
      <c r="Q20"/>
      <c r="R20"/>
      <c r="S20"/>
      <c r="T20"/>
      <c r="U20"/>
      <c r="V20"/>
      <c r="W20"/>
      <c r="X20"/>
      <c r="Y20"/>
      <c r="Z20"/>
      <c r="AA20"/>
    </row>
    <row r="21" spans="1:27" ht="14.4">
      <c r="A21" t="s">
        <v>100</v>
      </c>
      <c r="B21" s="15" t="s">
        <v>97</v>
      </c>
      <c r="C21" s="15" t="str">
        <f>HYPERLINK("02-项目级\P3-主从数据库复制及性能提升项目\02-全程管理\05-评审管理\05-设计评审\02-详细设计说明书\05-评审报告_详细设计(QCUBIC-XNTS-PR-ReviewRpt)V1.1-engl.xlsx", "engl")</f>
        <v>engl</v>
      </c>
      <c r="D21"/>
      <c r="E21" t="s">
        <v>101</v>
      </c>
      <c r="F21"/>
      <c r="G21" t="s">
        <v>101</v>
      </c>
      <c r="H21" t="s">
        <v>101</v>
      </c>
      <c r="I21" t="s">
        <v>101</v>
      </c>
      <c r="J21"/>
      <c r="K21"/>
      <c r="L21"/>
      <c r="M21"/>
      <c r="N21"/>
      <c r="O21"/>
      <c r="P21"/>
      <c r="Q21"/>
      <c r="R21"/>
      <c r="S21"/>
      <c r="T21"/>
      <c r="U21"/>
      <c r="V21"/>
      <c r="W21"/>
      <c r="X21"/>
      <c r="Y21"/>
      <c r="Z21"/>
      <c r="AA21"/>
    </row>
    <row r="22" spans="1:27" ht="14.4">
      <c r="A22" t="s">
        <v>100</v>
      </c>
      <c r="B22" s="15" t="s">
        <v>97</v>
      </c>
      <c r="C22" s="15" t="str">
        <f>HYPERLINK("02-项目级\P3-主从数据库复制及性能提升项目\02-全程管理\05-评审管理\07-测试评审\02-系统测试用例\05-评审报告_系统测试用例(QCUBIC-XNTS-PR-ReviewRpt)V1.1-engl.xlsx", "engl")</f>
        <v>engl</v>
      </c>
      <c r="D22"/>
      <c r="E22" t="s">
        <v>101</v>
      </c>
      <c r="F22"/>
      <c r="G22" t="s">
        <v>101</v>
      </c>
      <c r="H22" t="s">
        <v>101</v>
      </c>
      <c r="I22" t="s">
        <v>101</v>
      </c>
      <c r="J22" t="s">
        <v>101</v>
      </c>
      <c r="K22"/>
      <c r="L22"/>
      <c r="M22"/>
      <c r="N22"/>
      <c r="O22"/>
      <c r="P22"/>
      <c r="Q22"/>
      <c r="R22"/>
      <c r="S22"/>
      <c r="T22"/>
      <c r="U22"/>
      <c r="V22"/>
      <c r="W22"/>
      <c r="X22"/>
      <c r="Y22"/>
      <c r="Z22"/>
      <c r="AA22"/>
    </row>
    <row r="23" spans="1:27" ht="14.4">
      <c r="A23" t="s">
        <v>100</v>
      </c>
      <c r="B23" s="15" t="s">
        <v>97</v>
      </c>
      <c r="C23" s="15" t="str">
        <f>HYPERLINK("02-项目级\P3-主从数据库复制及性能提升项目\02-全程管理\05-评审管理\03-计划评审\01-评审准备表_项目计划(QCUBIC-XNTS-PR-ReviewPrp)V1.0-engl.docx", "engl")</f>
        <v>engl</v>
      </c>
      <c r="D23"/>
      <c r="E23"/>
      <c r="F23" t="s">
        <v>101</v>
      </c>
      <c r="G23"/>
      <c r="H23"/>
      <c r="I23"/>
      <c r="J23"/>
      <c r="K23"/>
      <c r="L23"/>
      <c r="M23"/>
      <c r="N23"/>
      <c r="O23"/>
      <c r="P23"/>
      <c r="Q23"/>
      <c r="R23"/>
      <c r="S23"/>
      <c r="T23"/>
      <c r="U23"/>
      <c r="V23"/>
      <c r="W23"/>
      <c r="X23"/>
      <c r="Y23"/>
      <c r="Z23"/>
      <c r="AA23"/>
    </row>
    <row r="24" spans="1:27" ht="14.4">
      <c r="A24" t="s">
        <v>100</v>
      </c>
      <c r="B24" s="15" t="s">
        <v>97</v>
      </c>
      <c r="C24" s="15" t="str">
        <f>HYPERLINK("02-项目级\P3-主从数据库复制及性能提升项目\02-全程管理\05-评审管理\03-计划评审\02-评审检查表_项目计划(QCUBIC-XNTS-PR-RevChkList)V1.0-engl.xlsx", "engl")</f>
        <v>engl</v>
      </c>
      <c r="D24"/>
      <c r="E24"/>
      <c r="F24" t="s">
        <v>101</v>
      </c>
      <c r="G24"/>
      <c r="H24"/>
      <c r="I24"/>
      <c r="J24"/>
      <c r="K24"/>
      <c r="L24"/>
      <c r="M24"/>
      <c r="N24"/>
      <c r="O24"/>
      <c r="P24"/>
      <c r="Q24"/>
      <c r="R24"/>
      <c r="S24"/>
      <c r="T24"/>
      <c r="U24"/>
      <c r="V24"/>
      <c r="W24"/>
      <c r="X24"/>
      <c r="Y24"/>
      <c r="Z24"/>
      <c r="AA24"/>
    </row>
    <row r="25" spans="1:27" ht="14.4">
      <c r="A25" t="s">
        <v>100</v>
      </c>
      <c r="B25" s="15" t="s">
        <v>97</v>
      </c>
      <c r="C25" s="15" t="str">
        <f>HYPERLINK("01-组织级\01-组织财富库\01-标准过程文件库\03-支持类\05-评审管理\评审管理过程文件(QCUBIC-SPI-VV-Proc-Doc)V1.2-engl.docx", "engl")</f>
        <v>engl</v>
      </c>
      <c r="D25"/>
      <c r="E25"/>
      <c r="F25" t="s">
        <v>101</v>
      </c>
      <c r="G25"/>
      <c r="H25" t="s">
        <v>101</v>
      </c>
      <c r="I25"/>
      <c r="J25"/>
      <c r="K25"/>
      <c r="L25"/>
      <c r="M25"/>
      <c r="N25"/>
      <c r="O25"/>
      <c r="P25"/>
      <c r="Q25"/>
      <c r="R25"/>
      <c r="S25"/>
      <c r="T25"/>
      <c r="U25"/>
      <c r="V25"/>
      <c r="W25"/>
      <c r="X25"/>
      <c r="Y25"/>
      <c r="Z25"/>
      <c r="AA25"/>
    </row>
    <row r="26" spans="1:27" ht="14.4">
      <c r="A26" t="s">
        <v>100</v>
      </c>
      <c r="B26" s="15" t="s">
        <v>97</v>
      </c>
      <c r="C26" s="15" t="str">
        <f>HYPERLINK("01-组织级\01-组织财富库\01-标准过程文件库\03-支持类\05-评审管理\评审指南(QCUBIC-SPI-VV-Guid-Review)V1.2-engl.docx", "engl")</f>
        <v>engl</v>
      </c>
      <c r="D26"/>
      <c r="E26"/>
      <c r="F26" t="s">
        <v>101</v>
      </c>
      <c r="G26"/>
      <c r="H26"/>
      <c r="I26"/>
      <c r="J26"/>
      <c r="K26"/>
      <c r="L26"/>
      <c r="M26"/>
      <c r="N26"/>
      <c r="O26"/>
      <c r="P26"/>
      <c r="Q26"/>
      <c r="R26"/>
      <c r="S26"/>
      <c r="T26"/>
      <c r="U26"/>
      <c r="V26"/>
      <c r="W26"/>
      <c r="X26"/>
      <c r="Y26"/>
      <c r="Z26"/>
      <c r="AA26"/>
    </row>
    <row r="27" spans="1:27" ht="14.4">
      <c r="A27" t="s">
        <v>100</v>
      </c>
      <c r="B27" s="15" t="s">
        <v>97</v>
      </c>
      <c r="C27" s="15" t="str">
        <f>HYPERLINK("02-项目级\P3-主从数据库复制及性能提升项目\02-全程管理\05-评审管理\01-评审缺陷管理表(QCUBIC-XNTS-MC-DefectList)V1.0-engl.xlsx", "engl")</f>
        <v>engl</v>
      </c>
      <c r="D27"/>
      <c r="E27"/>
      <c r="F27"/>
      <c r="G27"/>
      <c r="H27"/>
      <c r="I27" t="s">
        <v>101</v>
      </c>
      <c r="J27" t="s">
        <v>101</v>
      </c>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4" customWidth="1"/>
    <col min="2" max="4" width="7.88671875" style="114" customWidth="1"/>
    <col min="5" max="11" width="15.6640625" style="114" customWidth="1"/>
    <col min="12" max="12" width="50.6640625" style="114" customWidth="1"/>
    <col min="13" max="13" width="3.6640625" style="114" customWidth="1"/>
    <col min="14" max="14" width="21" style="114" customWidth="1"/>
    <col min="15" max="15" width="87.88671875" style="114" customWidth="1"/>
    <col min="16" max="17" width="15.6640625" style="114" customWidth="1"/>
    <col min="18" max="16384" width="8.6640625" style="114"/>
  </cols>
  <sheetData>
    <row r="1" spans="1:27" ht="18">
      <c r="A1" s="102" t="s">
        <v>203</v>
      </c>
      <c r="B1" s="102"/>
      <c r="C1" s="102"/>
      <c r="D1" s="102"/>
      <c r="E1" s="103"/>
      <c r="F1" s="104"/>
      <c r="G1" s="105"/>
      <c r="H1" s="105"/>
      <c r="I1" s="105"/>
      <c r="J1" s="105"/>
      <c r="K1" s="105"/>
      <c r="L1" s="105"/>
      <c r="M1" s="105"/>
      <c r="N1" s="105"/>
      <c r="O1" s="105"/>
      <c r="P1" s="105"/>
      <c r="Q1" s="145"/>
    </row>
    <row r="2" spans="1:27">
      <c r="A2" s="107" t="s">
        <v>23</v>
      </c>
      <c r="B2" s="107"/>
      <c r="C2" s="107"/>
      <c r="D2" s="107"/>
      <c r="E2" s="104" t="s">
        <v>204</v>
      </c>
      <c r="F2" s="104"/>
      <c r="G2" s="105"/>
      <c r="H2" s="105"/>
      <c r="I2" s="105"/>
      <c r="J2" s="105"/>
      <c r="K2" s="105"/>
      <c r="L2" s="105"/>
      <c r="M2" s="105"/>
      <c r="N2" s="105"/>
      <c r="O2" s="105"/>
      <c r="P2" s="105"/>
      <c r="Q2" s="107"/>
    </row>
    <row r="3" spans="1:27">
      <c r="A3" s="104" t="s">
        <v>25</v>
      </c>
      <c r="B3" s="104"/>
      <c r="C3" s="104"/>
      <c r="D3" s="104"/>
      <c r="E3" s="104" t="s">
        <v>205</v>
      </c>
      <c r="F3" s="104"/>
      <c r="G3" s="105"/>
      <c r="H3" s="105"/>
      <c r="I3" s="105"/>
      <c r="J3" s="105"/>
      <c r="K3" s="105"/>
      <c r="L3" s="105"/>
      <c r="M3" s="105"/>
      <c r="N3" s="105"/>
      <c r="O3" s="105"/>
      <c r="P3" s="105"/>
      <c r="Q3" s="90"/>
    </row>
    <row r="4" spans="1:27">
      <c r="A4" s="108"/>
      <c r="B4" s="108"/>
      <c r="C4" s="108"/>
      <c r="D4" s="108"/>
      <c r="E4" s="109" t="s">
        <v>27</v>
      </c>
      <c r="F4" s="146"/>
      <c r="G4" s="110" t="s">
        <v>28</v>
      </c>
      <c r="H4" s="111"/>
      <c r="I4" s="110"/>
      <c r="J4" s="113" t="s">
        <v>29</v>
      </c>
      <c r="K4" s="147"/>
      <c r="L4" s="107"/>
      <c r="M4" s="107"/>
      <c r="N4" s="107"/>
      <c r="O4" s="104"/>
      <c r="P4" s="104"/>
      <c r="Q4" s="104"/>
      <c r="R4" s="104"/>
      <c r="S4" s="107"/>
    </row>
    <row r="5" spans="1:27">
      <c r="A5" s="115"/>
      <c r="B5" s="115"/>
      <c r="C5" s="115"/>
      <c r="D5" s="115"/>
      <c r="E5" s="116" t="s">
        <v>30</v>
      </c>
      <c r="F5" s="146"/>
      <c r="G5" s="117" t="s">
        <v>31</v>
      </c>
      <c r="H5" s="111"/>
      <c r="I5" s="117"/>
      <c r="J5" s="113" t="s">
        <v>32</v>
      </c>
      <c r="K5" s="147"/>
      <c r="L5" s="107"/>
      <c r="M5" s="107"/>
      <c r="N5" s="107"/>
      <c r="O5" s="105"/>
      <c r="P5" s="104"/>
      <c r="Q5" s="115"/>
      <c r="R5" s="104"/>
      <c r="S5" s="107"/>
      <c r="T5" s="115"/>
    </row>
    <row r="6" spans="1:27">
      <c r="A6" s="119"/>
      <c r="B6" s="119"/>
      <c r="C6" s="119"/>
      <c r="D6" s="119"/>
      <c r="E6" s="3" t="s">
        <v>206</v>
      </c>
      <c r="F6" s="3" t="s">
        <v>207</v>
      </c>
      <c r="G6" s="87" t="s">
        <v>208</v>
      </c>
      <c r="H6" s="87" t="s">
        <v>209</v>
      </c>
      <c r="I6" s="87" t="s">
        <v>210</v>
      </c>
      <c r="J6" s="88" t="s">
        <v>211</v>
      </c>
      <c r="K6" s="89" t="s">
        <v>212</v>
      </c>
      <c r="L6" s="90"/>
      <c r="M6" s="90"/>
      <c r="N6" s="90"/>
      <c r="O6" s="105"/>
      <c r="P6" s="105"/>
      <c r="Q6" s="104"/>
    </row>
    <row r="7" spans="1:27" ht="150.6" customHeight="1">
      <c r="A7" s="121" t="s">
        <v>174</v>
      </c>
      <c r="B7" s="121"/>
      <c r="C7" s="121"/>
      <c r="D7" s="121"/>
      <c r="E7" s="94" t="s">
        <v>213</v>
      </c>
      <c r="F7" s="94" t="s">
        <v>214</v>
      </c>
      <c r="G7" s="94" t="s">
        <v>215</v>
      </c>
      <c r="H7" s="94" t="s">
        <v>216</v>
      </c>
      <c r="I7" s="94" t="s">
        <v>217</v>
      </c>
      <c r="J7" s="94" t="s">
        <v>218</v>
      </c>
      <c r="K7" s="94" t="s">
        <v>219</v>
      </c>
      <c r="L7" s="90"/>
      <c r="M7" s="90"/>
      <c r="N7" s="90"/>
      <c r="O7" s="90"/>
      <c r="P7" s="90"/>
      <c r="Q7" s="90"/>
    </row>
    <row r="8" spans="1:27" ht="107.4" customHeight="1">
      <c r="A8" s="119" t="s">
        <v>54</v>
      </c>
      <c r="B8" s="119"/>
      <c r="C8" s="119"/>
      <c r="D8" s="119"/>
      <c r="E8" s="148" t="s">
        <v>220</v>
      </c>
      <c r="F8" s="148" t="s">
        <v>221</v>
      </c>
      <c r="G8" s="148" t="s">
        <v>222</v>
      </c>
      <c r="H8" s="148" t="s">
        <v>223</v>
      </c>
      <c r="I8" s="148" t="s">
        <v>224</v>
      </c>
      <c r="J8" s="148" t="s">
        <v>225</v>
      </c>
      <c r="K8" s="148" t="s">
        <v>226</v>
      </c>
      <c r="L8" s="124"/>
      <c r="M8" s="124"/>
      <c r="N8" s="124"/>
      <c r="O8" s="90"/>
      <c r="P8" s="90"/>
      <c r="Q8" s="90"/>
    </row>
    <row r="9" spans="1:27" ht="144" customHeight="1">
      <c r="A9" s="119" t="s">
        <v>65</v>
      </c>
      <c r="B9" s="119"/>
      <c r="C9" s="119"/>
      <c r="D9" s="119"/>
      <c r="E9" s="122" t="s">
        <v>227</v>
      </c>
      <c r="F9" s="122" t="s">
        <v>228</v>
      </c>
      <c r="G9" s="122" t="s">
        <v>229</v>
      </c>
      <c r="H9" s="122" t="s">
        <v>230</v>
      </c>
      <c r="I9" s="122" t="s">
        <v>231</v>
      </c>
      <c r="J9" s="122" t="s">
        <v>232</v>
      </c>
      <c r="K9" s="122" t="s">
        <v>233</v>
      </c>
      <c r="L9" s="124"/>
      <c r="M9" s="124"/>
      <c r="N9" s="124"/>
      <c r="O9" s="90"/>
      <c r="P9" s="90"/>
      <c r="Q9" s="90"/>
    </row>
    <row r="10" spans="1:27" ht="110.4">
      <c r="A10" s="119" t="s">
        <v>76</v>
      </c>
      <c r="B10" s="119"/>
      <c r="C10" s="119"/>
      <c r="D10" s="119"/>
      <c r="E10" s="138"/>
      <c r="F10" s="138"/>
      <c r="G10" s="153" t="s">
        <v>234</v>
      </c>
      <c r="H10" s="153" t="s">
        <v>235</v>
      </c>
      <c r="I10" s="153" t="s">
        <v>236</v>
      </c>
      <c r="J10" s="153" t="s">
        <v>237</v>
      </c>
      <c r="K10" s="153" t="s">
        <v>238</v>
      </c>
      <c r="L10" s="97"/>
      <c r="M10" s="97"/>
      <c r="N10" s="97"/>
    </row>
    <row r="11" spans="1:27" s="106" customFormat="1" ht="55.2">
      <c r="A11" s="141" t="s">
        <v>86</v>
      </c>
      <c r="B11" s="141"/>
      <c r="C11" s="141"/>
      <c r="D11" s="141"/>
      <c r="E11" s="154"/>
      <c r="F11" s="154"/>
      <c r="G11" s="154" t="s">
        <v>239</v>
      </c>
      <c r="H11" s="154" t="s">
        <v>240</v>
      </c>
      <c r="I11" s="154" t="s">
        <v>241</v>
      </c>
      <c r="J11" s="154" t="s">
        <v>242</v>
      </c>
      <c r="K11" s="154" t="s">
        <v>243</v>
      </c>
      <c r="L11" s="155"/>
      <c r="M11" s="155"/>
      <c r="N11" s="155"/>
    </row>
    <row r="15" spans="1:27" customFormat="1">
      <c r="A15" t="s">
        <v>96</v>
      </c>
      <c r="B15" t="s">
        <v>97</v>
      </c>
      <c r="C15" t="s">
        <v>98</v>
      </c>
      <c r="D15" s="356" t="s">
        <v>99</v>
      </c>
      <c r="E15" s="14" t="s">
        <v>206</v>
      </c>
      <c r="F15" s="14" t="s">
        <v>207</v>
      </c>
      <c r="G15" s="14" t="s">
        <v>208</v>
      </c>
      <c r="H15" s="14" t="s">
        <v>209</v>
      </c>
      <c r="I15" s="14" t="s">
        <v>210</v>
      </c>
      <c r="J15" s="14" t="s">
        <v>211</v>
      </c>
      <c r="K15" s="14" t="s">
        <v>212</v>
      </c>
    </row>
    <row r="16" spans="1:27">
      <c r="A16" t="s">
        <v>100</v>
      </c>
      <c r="B16" s="15" t="s">
        <v>97</v>
      </c>
      <c r="C16" s="15" t="str">
        <f>HYPERLINK("02-项目级\P3-主从数据库复制及性能提升项目\01-生存周期\07-测试\01-测试计划(QCUBIC-XNTS-VV-TestPlan)V1.0-engl.docx", "engl")</f>
        <v>engl</v>
      </c>
      <c r="D16"/>
      <c r="E16" t="s">
        <v>101</v>
      </c>
      <c r="F16" t="s">
        <v>101</v>
      </c>
      <c r="G16" t="s">
        <v>101</v>
      </c>
      <c r="H16" t="s">
        <v>101</v>
      </c>
      <c r="I16" t="s">
        <v>101</v>
      </c>
      <c r="J16" t="s">
        <v>101</v>
      </c>
      <c r="K16" t="s">
        <v>101</v>
      </c>
      <c r="L16"/>
      <c r="M16"/>
      <c r="N16"/>
      <c r="O16"/>
      <c r="P16"/>
      <c r="Q16"/>
      <c r="R16"/>
      <c r="S16"/>
      <c r="T16"/>
      <c r="U16"/>
      <c r="V16"/>
      <c r="W16"/>
      <c r="X16"/>
      <c r="Y16"/>
      <c r="Z16"/>
      <c r="AA16"/>
    </row>
    <row r="17" spans="1:27">
      <c r="A17" t="s">
        <v>100</v>
      </c>
      <c r="B17" s="15" t="s">
        <v>97</v>
      </c>
      <c r="C17" s="15" t="str">
        <f>HYPERLINK("02-项目级\P3-主从数据库复制及性能提升项目\01-生存周期\07-测试\03-系统测试\03-系统测试BUG管理表(QCUBIC-XNTS-VV-STBugList)V1.0-engl.xlsx", "engl")</f>
        <v>engl</v>
      </c>
      <c r="D17"/>
      <c r="E17" t="s">
        <v>101</v>
      </c>
      <c r="F17" t="s">
        <v>101</v>
      </c>
      <c r="G17" t="s">
        <v>101</v>
      </c>
      <c r="H17" t="s">
        <v>101</v>
      </c>
      <c r="I17"/>
      <c r="J17"/>
      <c r="K17"/>
      <c r="L17"/>
      <c r="M17"/>
      <c r="N17"/>
      <c r="O17"/>
      <c r="P17"/>
      <c r="Q17"/>
      <c r="R17"/>
      <c r="S17"/>
      <c r="T17"/>
      <c r="U17"/>
      <c r="V17"/>
      <c r="W17"/>
      <c r="X17"/>
      <c r="Y17"/>
      <c r="Z17"/>
      <c r="AA17"/>
    </row>
    <row r="18" spans="1:27">
      <c r="A18" t="s">
        <v>100</v>
      </c>
      <c r="B18" s="15" t="s">
        <v>97</v>
      </c>
      <c r="C18" s="15" t="str">
        <f>HYPERLINK("02-项目级\P3-主从数据库复制及性能提升项目\01-生存周期\07-测试\03-系统测试\04-系统测试报告(QCUBIC-XNTS-VV-TestReport-SystemTest)V1.0-engl.docx", "engl")</f>
        <v>engl</v>
      </c>
      <c r="D18"/>
      <c r="E18" t="s">
        <v>101</v>
      </c>
      <c r="F18"/>
      <c r="G18" t="s">
        <v>101</v>
      </c>
      <c r="H18" t="s">
        <v>101</v>
      </c>
      <c r="I18" t="s">
        <v>101</v>
      </c>
      <c r="J18"/>
      <c r="K18" t="s">
        <v>101</v>
      </c>
      <c r="L18"/>
      <c r="M18"/>
      <c r="N18"/>
      <c r="O18"/>
      <c r="P18"/>
      <c r="Q18"/>
      <c r="R18"/>
      <c r="S18"/>
      <c r="T18"/>
      <c r="U18"/>
      <c r="V18"/>
      <c r="W18"/>
      <c r="X18"/>
      <c r="Y18"/>
      <c r="Z18"/>
      <c r="AA18"/>
    </row>
    <row r="19" spans="1:27">
      <c r="A19" t="s">
        <v>100</v>
      </c>
      <c r="B19" s="15" t="s">
        <v>97</v>
      </c>
      <c r="C19" s="15" t="str">
        <f>HYPERLINK("02-项目级\P3-主从数据库复制及性能提升项目\01-生存周期\07-测试\02-集成测试\04-集成测试报告(QCUBIC-XNTS-LP_VV_IntegrationTestRet)V1.0-engl.docx", "engl")</f>
        <v>engl</v>
      </c>
      <c r="D19"/>
      <c r="E19" t="s">
        <v>101</v>
      </c>
      <c r="F19"/>
      <c r="G19" t="s">
        <v>101</v>
      </c>
      <c r="H19" t="s">
        <v>101</v>
      </c>
      <c r="I19" t="s">
        <v>101</v>
      </c>
      <c r="J19"/>
      <c r="K19" t="s">
        <v>101</v>
      </c>
      <c r="L19"/>
      <c r="M19"/>
      <c r="N19"/>
      <c r="O19"/>
      <c r="P19"/>
      <c r="Q19"/>
      <c r="R19"/>
      <c r="S19"/>
      <c r="T19"/>
      <c r="U19"/>
      <c r="V19"/>
      <c r="W19"/>
      <c r="X19"/>
      <c r="Y19"/>
      <c r="Z19"/>
      <c r="AA19"/>
    </row>
    <row r="20" spans="1:27">
      <c r="A20" t="s">
        <v>100</v>
      </c>
      <c r="B20" s="15" t="s">
        <v>97</v>
      </c>
      <c r="C20" s="15" t="str">
        <f>HYPERLINK("02-项目级\P3-主从数据库复制及性能提升项目\01-生存周期\08-试运行及验收\02-验收\01-验收计划(QCUBIC-XNTS-DA-AcceptencePlan)V1.0-engl.docx", "engl")</f>
        <v>engl</v>
      </c>
      <c r="D20"/>
      <c r="E20"/>
      <c r="F20" t="s">
        <v>101</v>
      </c>
      <c r="G20"/>
      <c r="H20"/>
      <c r="I20" t="s">
        <v>101</v>
      </c>
      <c r="J20" t="s">
        <v>101</v>
      </c>
      <c r="K20"/>
      <c r="L20"/>
      <c r="M20"/>
      <c r="N20"/>
      <c r="O20"/>
      <c r="P20"/>
      <c r="Q20"/>
      <c r="R20"/>
      <c r="S20"/>
      <c r="T20"/>
      <c r="U20"/>
      <c r="V20"/>
      <c r="W20"/>
      <c r="X20"/>
      <c r="Y20"/>
      <c r="Z20"/>
      <c r="AA20"/>
    </row>
    <row r="21" spans="1:27">
      <c r="A21" t="s">
        <v>100</v>
      </c>
      <c r="B21" s="15" t="s">
        <v>97</v>
      </c>
      <c r="C21" s="15" t="str">
        <f>HYPERLINK("02-项目级\P3-主从数据库复制及性能提升项目\01-生存周期\08-试运行及验收\02-验收\03-验收报告(QCUBIC-XNTS-VV-TestReport-AcceptenceReport)V1.0-engl.docx", "engl")</f>
        <v>engl</v>
      </c>
      <c r="D21"/>
      <c r="E21"/>
      <c r="F21" t="s">
        <v>101</v>
      </c>
      <c r="G21"/>
      <c r="H21"/>
      <c r="I21" t="s">
        <v>101</v>
      </c>
      <c r="J21"/>
      <c r="K21" t="s">
        <v>101</v>
      </c>
      <c r="L21"/>
      <c r="M21"/>
      <c r="N21"/>
      <c r="O21"/>
      <c r="P21"/>
      <c r="Q21"/>
      <c r="R21"/>
      <c r="S21"/>
      <c r="T21"/>
      <c r="U21"/>
      <c r="V21"/>
      <c r="W21"/>
      <c r="X21"/>
      <c r="Y21"/>
      <c r="Z21"/>
      <c r="AA21"/>
    </row>
    <row r="22" spans="1:27">
      <c r="A22" t="s">
        <v>100</v>
      </c>
      <c r="B22" s="15" t="s">
        <v>97</v>
      </c>
      <c r="C22" s="15" t="str">
        <f>HYPERLINK("01-组织级\01-组织财富库\01-标准过程文件库\02-软件工程规范\05-测试\测试用例规范(QCUBIC-SPI-VV-Tem-STD-TestExampleStd)V1.2-engl.docx", "engl")</f>
        <v>engl</v>
      </c>
      <c r="D22"/>
      <c r="E22"/>
      <c r="F22"/>
      <c r="G22"/>
      <c r="H22"/>
      <c r="I22" t="s">
        <v>101</v>
      </c>
      <c r="J22"/>
      <c r="K22"/>
      <c r="L22"/>
      <c r="M22"/>
      <c r="N22"/>
      <c r="O22"/>
      <c r="P22"/>
      <c r="Q22"/>
      <c r="R22"/>
      <c r="S22"/>
      <c r="T22"/>
      <c r="U22"/>
      <c r="V22"/>
      <c r="W22"/>
      <c r="X22"/>
      <c r="Y22"/>
      <c r="Z22"/>
      <c r="AA22"/>
    </row>
    <row r="23" spans="1:27">
      <c r="A23" t="s">
        <v>100</v>
      </c>
      <c r="B23" s="15" t="s">
        <v>97</v>
      </c>
      <c r="C23" s="15" t="str">
        <f>HYPERLINK("01-组织级\01-组织财富库\01-标准过程文件库\02-软件工程规范\06-试运行及验收\试运行及验收过程文件(QCUBIC-SPI-DA-Proc-Doc)V1.2-engl.docx", "engl")</f>
        <v>engl</v>
      </c>
      <c r="D23"/>
      <c r="E23"/>
      <c r="F23"/>
      <c r="G23"/>
      <c r="H23"/>
      <c r="I23" t="s">
        <v>101</v>
      </c>
      <c r="J23"/>
      <c r="K23"/>
      <c r="L23"/>
      <c r="M23"/>
      <c r="N23"/>
      <c r="O23"/>
      <c r="P23"/>
      <c r="Q23"/>
      <c r="R23"/>
      <c r="S23"/>
      <c r="T23"/>
      <c r="U23"/>
      <c r="V23"/>
      <c r="W23"/>
      <c r="X23"/>
      <c r="Y23"/>
      <c r="Z23"/>
      <c r="AA23"/>
    </row>
    <row r="24" spans="1:27">
      <c r="A24" t="s">
        <v>100</v>
      </c>
      <c r="B24" s="15" t="s">
        <v>97</v>
      </c>
      <c r="C24" s="15" t="str">
        <f>HYPERLINK("01-组织级\01-组织财富库\01-标准过程文件库\02-软件工程规范\05-测试\软件测试过程文件(QCUBIC-SPI-Tes-Proc-Doc)V1.2-engl.docx", "engl")</f>
        <v>engl</v>
      </c>
      <c r="D24"/>
      <c r="E24"/>
      <c r="F24"/>
      <c r="G24"/>
      <c r="H24"/>
      <c r="I24" t="s">
        <v>101</v>
      </c>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5" customWidth="1"/>
    <col min="2" max="4" width="7.88671875" style="115" customWidth="1"/>
    <col min="5" max="6" width="18.6640625" style="115" customWidth="1"/>
    <col min="7" max="10" width="18.6640625" style="133" customWidth="1"/>
    <col min="11" max="11" width="102.88671875" style="133" customWidth="1"/>
    <col min="12" max="12" width="3.6640625" style="133" customWidth="1"/>
    <col min="13" max="13" width="31.33203125" style="133" customWidth="1"/>
    <col min="14" max="14" width="78.33203125" style="115" customWidth="1"/>
    <col min="15" max="16384" width="8.6640625" style="115"/>
  </cols>
  <sheetData>
    <row r="1" spans="1:27" s="156" customFormat="1" ht="18">
      <c r="A1" s="102" t="s">
        <v>244</v>
      </c>
      <c r="B1" s="102"/>
      <c r="C1" s="102"/>
      <c r="D1" s="102"/>
      <c r="G1" s="157"/>
      <c r="H1" s="157"/>
      <c r="I1" s="157"/>
      <c r="J1" s="157"/>
      <c r="K1" s="157"/>
      <c r="L1" s="157"/>
      <c r="M1" s="157"/>
    </row>
    <row r="2" spans="1:27" s="104" customFormat="1">
      <c r="A2" s="107" t="s">
        <v>23</v>
      </c>
      <c r="B2" s="107"/>
      <c r="C2" s="107"/>
      <c r="D2" s="107"/>
      <c r="E2" s="104" t="s">
        <v>245</v>
      </c>
      <c r="G2" s="133"/>
      <c r="H2" s="133"/>
      <c r="I2" s="133"/>
      <c r="J2" s="133"/>
      <c r="K2" s="133"/>
      <c r="L2" s="133"/>
      <c r="M2" s="133"/>
    </row>
    <row r="3" spans="1:27" s="104" customFormat="1">
      <c r="A3" s="104" t="s">
        <v>25</v>
      </c>
      <c r="E3" s="104" t="s">
        <v>246</v>
      </c>
      <c r="G3" s="133"/>
      <c r="H3" s="133"/>
      <c r="I3" s="133"/>
      <c r="J3" s="133"/>
      <c r="K3" s="133"/>
      <c r="L3" s="133"/>
      <c r="M3" s="133"/>
    </row>
    <row r="4" spans="1:27" ht="14.4">
      <c r="A4" s="108"/>
      <c r="B4" s="108"/>
      <c r="C4" s="108"/>
      <c r="D4" s="108"/>
      <c r="E4" s="109" t="s">
        <v>27</v>
      </c>
      <c r="F4" s="110" t="s">
        <v>28</v>
      </c>
      <c r="G4" s="110"/>
      <c r="H4" s="111"/>
      <c r="I4" s="110"/>
      <c r="J4" s="113" t="s">
        <v>29</v>
      </c>
      <c r="K4" s="104"/>
      <c r="L4" s="104"/>
      <c r="M4" s="104"/>
      <c r="N4" s="114"/>
    </row>
    <row r="5" spans="1:27" s="127" customFormat="1" ht="14.4">
      <c r="A5" s="115"/>
      <c r="B5" s="115"/>
      <c r="C5" s="115"/>
      <c r="D5" s="115"/>
      <c r="E5" s="116" t="s">
        <v>30</v>
      </c>
      <c r="F5" s="117" t="s">
        <v>31</v>
      </c>
      <c r="G5" s="117"/>
      <c r="H5" s="111"/>
      <c r="I5" s="117"/>
      <c r="J5" s="113" t="s">
        <v>32</v>
      </c>
      <c r="K5" s="104"/>
      <c r="L5" s="104"/>
      <c r="M5" s="104"/>
      <c r="N5" s="114"/>
    </row>
    <row r="6" spans="1:27" s="127" customFormat="1">
      <c r="A6" s="132"/>
      <c r="B6" s="132"/>
      <c r="C6" s="132"/>
      <c r="D6" s="132"/>
      <c r="E6" s="3" t="s">
        <v>247</v>
      </c>
      <c r="F6" s="87" t="s">
        <v>248</v>
      </c>
      <c r="G6" s="87" t="s">
        <v>249</v>
      </c>
      <c r="H6" s="87" t="s">
        <v>250</v>
      </c>
      <c r="I6" s="87" t="s">
        <v>251</v>
      </c>
      <c r="J6" s="88" t="s">
        <v>252</v>
      </c>
      <c r="K6" s="90"/>
      <c r="L6" s="90"/>
      <c r="M6" s="90"/>
    </row>
    <row r="7" spans="1:27" s="127" customFormat="1" ht="123" customHeight="1">
      <c r="A7" s="121" t="s">
        <v>174</v>
      </c>
      <c r="B7" s="121"/>
      <c r="C7" s="121"/>
      <c r="D7" s="121"/>
      <c r="E7" s="94" t="s">
        <v>253</v>
      </c>
      <c r="F7" s="94" t="s">
        <v>254</v>
      </c>
      <c r="G7" s="94" t="s">
        <v>255</v>
      </c>
      <c r="H7" s="94" t="s">
        <v>256</v>
      </c>
      <c r="I7" s="94" t="s">
        <v>257</v>
      </c>
      <c r="J7" s="94" t="s">
        <v>258</v>
      </c>
      <c r="K7" s="90"/>
      <c r="L7" s="90"/>
      <c r="M7" s="90"/>
    </row>
    <row r="8" spans="1:27" s="127" customFormat="1" ht="83.4" customHeight="1">
      <c r="A8" s="132" t="s">
        <v>54</v>
      </c>
      <c r="B8" s="132"/>
      <c r="C8" s="132"/>
      <c r="D8" s="132"/>
      <c r="E8" s="95" t="s">
        <v>259</v>
      </c>
      <c r="F8" s="95" t="s">
        <v>260</v>
      </c>
      <c r="G8" s="95" t="s">
        <v>261</v>
      </c>
      <c r="H8" s="95" t="s">
        <v>262</v>
      </c>
      <c r="I8" s="95" t="s">
        <v>263</v>
      </c>
      <c r="J8" s="95" t="s">
        <v>264</v>
      </c>
      <c r="K8" s="96"/>
      <c r="L8" s="96"/>
      <c r="M8" s="96"/>
    </row>
    <row r="9" spans="1:27" s="127" customFormat="1" ht="180">
      <c r="A9" s="132" t="s">
        <v>65</v>
      </c>
      <c r="B9" s="132"/>
      <c r="C9" s="132"/>
      <c r="D9" s="132"/>
      <c r="E9" s="95" t="s">
        <v>265</v>
      </c>
      <c r="F9" s="95" t="s">
        <v>266</v>
      </c>
      <c r="G9" s="95" t="s">
        <v>267</v>
      </c>
      <c r="H9" s="95" t="s">
        <v>268</v>
      </c>
      <c r="I9" s="95" t="s">
        <v>269</v>
      </c>
      <c r="J9" s="95" t="s">
        <v>270</v>
      </c>
      <c r="K9" s="96"/>
      <c r="L9" s="96"/>
      <c r="M9" s="96"/>
    </row>
    <row r="10" spans="1:27" s="127" customFormat="1" ht="220.8">
      <c r="A10" s="119" t="s">
        <v>76</v>
      </c>
      <c r="B10" s="119"/>
      <c r="C10" s="119"/>
      <c r="D10" s="119"/>
      <c r="E10" s="99" t="s">
        <v>271</v>
      </c>
      <c r="F10" s="99" t="s">
        <v>272</v>
      </c>
      <c r="G10" s="99" t="s">
        <v>273</v>
      </c>
      <c r="H10" s="99" t="s">
        <v>274</v>
      </c>
      <c r="I10" s="99" t="s">
        <v>275</v>
      </c>
      <c r="J10" s="99" t="s">
        <v>276</v>
      </c>
      <c r="K10" s="149"/>
      <c r="L10" s="149"/>
      <c r="M10" s="149"/>
    </row>
    <row r="11" spans="1:27" s="127" customFormat="1" ht="134.4">
      <c r="A11" s="158" t="s">
        <v>86</v>
      </c>
      <c r="B11" s="158"/>
      <c r="C11" s="158"/>
      <c r="D11" s="158"/>
      <c r="E11" s="100"/>
      <c r="F11" s="159" t="s">
        <v>277</v>
      </c>
      <c r="G11" s="99" t="s">
        <v>278</v>
      </c>
      <c r="H11" s="99" t="s">
        <v>279</v>
      </c>
      <c r="I11" s="160" t="s">
        <v>280</v>
      </c>
      <c r="J11" s="99" t="s">
        <v>281</v>
      </c>
      <c r="K11" s="149"/>
      <c r="L11" s="149"/>
      <c r="M11" s="149"/>
      <c r="N11" s="133"/>
      <c r="O11" s="133"/>
      <c r="P11" s="133"/>
      <c r="Q11" s="133"/>
    </row>
    <row r="12" spans="1:27" s="114" customFormat="1" ht="14.4">
      <c r="A12" s="115"/>
      <c r="B12" s="115"/>
      <c r="C12" s="115"/>
      <c r="D12" s="115"/>
      <c r="E12" s="115"/>
      <c r="F12" s="115"/>
      <c r="G12" s="133"/>
      <c r="H12" s="133"/>
      <c r="I12" s="133"/>
      <c r="J12" s="133"/>
      <c r="K12" s="133"/>
      <c r="L12" s="133"/>
      <c r="M12" s="133"/>
    </row>
    <row r="13" spans="1:27" s="114" customFormat="1" ht="14.4">
      <c r="A13" s="115"/>
      <c r="B13" s="115"/>
      <c r="C13" s="115"/>
      <c r="D13" s="115"/>
      <c r="E13" s="115"/>
      <c r="F13" s="115"/>
      <c r="G13" s="133"/>
      <c r="H13" s="133"/>
      <c r="I13" s="133"/>
      <c r="J13" s="133"/>
      <c r="K13" s="133"/>
      <c r="L13" s="133"/>
      <c r="M13" s="133"/>
    </row>
    <row r="14" spans="1:27" s="114" customFormat="1" ht="14.4">
      <c r="A14" s="115"/>
      <c r="B14" s="115"/>
      <c r="C14" s="115"/>
      <c r="D14" s="115"/>
      <c r="E14" s="115"/>
      <c r="F14" s="115"/>
      <c r="G14" s="133"/>
      <c r="H14" s="133"/>
      <c r="I14" s="133"/>
      <c r="J14" s="133"/>
      <c r="K14" s="133"/>
      <c r="L14" s="133"/>
      <c r="M14" s="133"/>
    </row>
    <row r="15" spans="1:27" customFormat="1" ht="14.4">
      <c r="A15" t="s">
        <v>96</v>
      </c>
      <c r="B15" t="s">
        <v>97</v>
      </c>
      <c r="C15" t="s">
        <v>98</v>
      </c>
      <c r="D15" s="356" t="s">
        <v>99</v>
      </c>
      <c r="E15" s="14" t="s">
        <v>247</v>
      </c>
      <c r="F15" s="14" t="s">
        <v>248</v>
      </c>
      <c r="G15" s="14" t="s">
        <v>249</v>
      </c>
      <c r="H15" s="14" t="s">
        <v>250</v>
      </c>
      <c r="I15" s="14" t="s">
        <v>251</v>
      </c>
      <c r="J15" s="14" t="s">
        <v>252</v>
      </c>
    </row>
    <row r="16" spans="1:27" s="127" customFormat="1" ht="14.4">
      <c r="A16" t="s">
        <v>100</v>
      </c>
      <c r="B16" s="15" t="s">
        <v>97</v>
      </c>
      <c r="C16" s="15" t="str">
        <f>HYPERLINK("01-组织级\02-组织工作库\03-PQA活动库\组织级的质量保证计划(QCUBIC-SPI-PQA-OQAPlan)V1.4-engl.xlsx", "engl")</f>
        <v>engl</v>
      </c>
      <c r="D16"/>
      <c r="E16" t="s">
        <v>101</v>
      </c>
      <c r="F16" t="s">
        <v>101</v>
      </c>
      <c r="G16" t="s">
        <v>101</v>
      </c>
      <c r="H16" t="s">
        <v>101</v>
      </c>
      <c r="I16" t="s">
        <v>101</v>
      </c>
      <c r="J16" t="s">
        <v>101</v>
      </c>
      <c r="K16"/>
      <c r="L16"/>
      <c r="M16"/>
      <c r="N16"/>
      <c r="O16"/>
      <c r="P16"/>
      <c r="Q16"/>
      <c r="R16"/>
      <c r="S16"/>
      <c r="T16"/>
      <c r="U16"/>
      <c r="V16"/>
      <c r="W16"/>
      <c r="X16"/>
      <c r="Y16"/>
      <c r="Z16"/>
      <c r="AA16"/>
    </row>
    <row r="17" spans="1:27" s="127" customFormat="1" ht="14.4">
      <c r="A17" t="s">
        <v>100</v>
      </c>
      <c r="B17" s="15" t="s">
        <v>97</v>
      </c>
      <c r="C17" s="15" t="str">
        <f>HYPERLINK("01-组织级\02-组织工作库\03-PQA活动库\组织级不符合项管理表(QCUBIC-SPI-PQA-NCList)V1.2-engl.xlsx", "engl")</f>
        <v>engl</v>
      </c>
      <c r="D17"/>
      <c r="E17" t="s">
        <v>101</v>
      </c>
      <c r="F17" t="s">
        <v>101</v>
      </c>
      <c r="G17"/>
      <c r="H17" t="s">
        <v>101</v>
      </c>
      <c r="I17" t="s">
        <v>101</v>
      </c>
      <c r="J17"/>
      <c r="K17"/>
      <c r="L17"/>
      <c r="M17"/>
      <c r="N17"/>
      <c r="O17"/>
      <c r="P17"/>
      <c r="Q17"/>
      <c r="R17"/>
      <c r="S17"/>
      <c r="T17"/>
      <c r="U17"/>
      <c r="V17"/>
      <c r="W17"/>
      <c r="X17"/>
      <c r="Y17"/>
      <c r="Z17"/>
      <c r="AA17"/>
    </row>
    <row r="18" spans="1:27" s="127" customFormat="1" ht="14.4">
      <c r="A18" t="s">
        <v>100</v>
      </c>
      <c r="B18" s="15" t="s">
        <v>97</v>
      </c>
      <c r="C18" s="15" t="str">
        <f>HYPERLINK("01-组织级\02-组织工作库\03-PQA活动库\组织级工作产品和过程检查表(QCUBIC-ORG-PQA-Checklist_20200627)V1.0-engl.xlsx", "engl")</f>
        <v>engl</v>
      </c>
      <c r="D18"/>
      <c r="E18"/>
      <c r="F18"/>
      <c r="G18" t="s">
        <v>101</v>
      </c>
      <c r="H18"/>
      <c r="I18"/>
      <c r="J18"/>
      <c r="K18"/>
      <c r="L18"/>
      <c r="M18"/>
      <c r="N18"/>
      <c r="O18"/>
      <c r="P18"/>
      <c r="Q18"/>
      <c r="R18"/>
      <c r="S18"/>
      <c r="T18"/>
      <c r="U18"/>
      <c r="V18"/>
      <c r="W18"/>
      <c r="X18"/>
      <c r="Y18"/>
      <c r="Z18"/>
      <c r="AA18"/>
    </row>
    <row r="19" spans="1:27" s="127" customFormat="1" ht="14.4">
      <c r="A19" t="s">
        <v>100</v>
      </c>
      <c r="B19" s="15" t="s">
        <v>97</v>
      </c>
      <c r="C19" s="15" t="str">
        <f>HYPERLINK("01-组织级\02-组织工作库\03-PQA活动库\组织质量保证报告\质量保证报告(QCUBIC-SPI-PQA-Report_20200627)V1.0-engl.xlsx", "engl")</f>
        <v>engl</v>
      </c>
      <c r="D19"/>
      <c r="E19"/>
      <c r="F19"/>
      <c r="G19"/>
      <c r="H19"/>
      <c r="I19" t="s">
        <v>101</v>
      </c>
      <c r="J19"/>
      <c r="K19"/>
      <c r="L19"/>
      <c r="M19"/>
      <c r="N19"/>
      <c r="O19"/>
      <c r="P19"/>
      <c r="Q19"/>
      <c r="R19"/>
      <c r="S19"/>
      <c r="T19"/>
      <c r="U19"/>
      <c r="V19"/>
      <c r="W19"/>
      <c r="X19"/>
      <c r="Y19"/>
      <c r="Z19"/>
      <c r="AA19"/>
    </row>
    <row r="20" spans="1:27" s="127" customFormat="1" ht="14.4">
      <c r="A20" t="s">
        <v>100</v>
      </c>
      <c r="B20" s="15" t="s">
        <v>97</v>
      </c>
      <c r="C20" s="15" t="str">
        <f>HYPERLINK("01-组织级\02-组织工作库\02-EPG活动库\07-EPG跟踪\05-过程改进建议表\过程改进建议表(QCUBIC-SPI-PIM-SPIAdvic)V1.2-engl.xlsx", "engl")</f>
        <v>engl</v>
      </c>
      <c r="D20"/>
      <c r="E20"/>
      <c r="F20"/>
      <c r="G20"/>
      <c r="H20"/>
      <c r="I20"/>
      <c r="J20" t="s">
        <v>101</v>
      </c>
      <c r="K20"/>
      <c r="L20"/>
      <c r="M20"/>
      <c r="N20"/>
      <c r="O20"/>
      <c r="P20"/>
      <c r="Q20"/>
      <c r="R20"/>
      <c r="S20"/>
      <c r="T20"/>
      <c r="U20"/>
      <c r="V20"/>
      <c r="W20"/>
      <c r="X20"/>
      <c r="Y20"/>
      <c r="Z20"/>
      <c r="AA20"/>
    </row>
    <row r="21" spans="1:27" s="127" customFormat="1" ht="14.4">
      <c r="A21"/>
      <c r="B21"/>
      <c r="C21"/>
      <c r="D21"/>
      <c r="E21"/>
      <c r="F21"/>
      <c r="G21"/>
      <c r="H21"/>
      <c r="I21"/>
      <c r="J21"/>
      <c r="K21"/>
      <c r="L21"/>
      <c r="M21"/>
      <c r="N21"/>
      <c r="O21"/>
      <c r="P21"/>
      <c r="Q21"/>
      <c r="R21"/>
      <c r="S21"/>
      <c r="T21"/>
      <c r="U21"/>
      <c r="V21"/>
      <c r="W21"/>
      <c r="X21"/>
      <c r="Y21"/>
      <c r="Z21"/>
      <c r="AA21"/>
    </row>
    <row r="22" spans="1:27" s="127" customFormat="1" ht="14.4">
      <c r="A22"/>
      <c r="B22"/>
      <c r="C22"/>
      <c r="D22"/>
      <c r="E22"/>
      <c r="F22"/>
      <c r="G22"/>
      <c r="H22"/>
      <c r="I22"/>
      <c r="J22"/>
      <c r="K22"/>
      <c r="L22"/>
      <c r="M22"/>
      <c r="N22"/>
      <c r="O22"/>
      <c r="P22"/>
      <c r="Q22"/>
      <c r="R22"/>
      <c r="S22"/>
      <c r="T22"/>
      <c r="U22"/>
      <c r="V22"/>
      <c r="W22"/>
      <c r="X22"/>
      <c r="Y22"/>
      <c r="Z22"/>
      <c r="AA22"/>
    </row>
    <row r="23" spans="1:27" s="127" customFormat="1" ht="14.4">
      <c r="A23"/>
      <c r="B23"/>
      <c r="C23"/>
      <c r="D23"/>
      <c r="E23"/>
      <c r="F23"/>
      <c r="G23"/>
      <c r="H23"/>
      <c r="I23"/>
      <c r="J23"/>
      <c r="K23"/>
      <c r="L23"/>
      <c r="M23"/>
      <c r="N23"/>
      <c r="O23"/>
      <c r="P23"/>
      <c r="Q23"/>
      <c r="R23"/>
      <c r="S23"/>
      <c r="T23"/>
      <c r="U23"/>
      <c r="V23"/>
      <c r="W23"/>
      <c r="X23"/>
      <c r="Y23"/>
      <c r="Z23"/>
      <c r="AA23"/>
    </row>
    <row r="24" spans="1:27" s="137" customFormat="1" ht="14.4">
      <c r="A24"/>
      <c r="B24"/>
      <c r="C24"/>
      <c r="D24"/>
      <c r="E24"/>
      <c r="F24"/>
      <c r="G24"/>
      <c r="H24"/>
      <c r="I24"/>
      <c r="J24"/>
      <c r="K24"/>
      <c r="L24"/>
      <c r="M24"/>
      <c r="N24"/>
      <c r="O24"/>
      <c r="P24"/>
      <c r="Q24"/>
      <c r="R24"/>
      <c r="S24"/>
      <c r="T24"/>
      <c r="U24"/>
      <c r="V24"/>
      <c r="W24"/>
      <c r="X24"/>
      <c r="Y24"/>
      <c r="Z24"/>
      <c r="AA24"/>
    </row>
    <row r="25" spans="1:27" s="137" customFormat="1" ht="14.4">
      <c r="A25"/>
      <c r="B25"/>
      <c r="C25"/>
      <c r="D25"/>
      <c r="E25"/>
      <c r="F25"/>
      <c r="G25"/>
      <c r="H25"/>
      <c r="I25"/>
      <c r="J25"/>
      <c r="K25"/>
      <c r="L25"/>
      <c r="M25"/>
      <c r="N25"/>
      <c r="O25"/>
      <c r="P25"/>
      <c r="Q25"/>
      <c r="R25"/>
      <c r="S25"/>
      <c r="T25"/>
      <c r="U25"/>
      <c r="V25"/>
      <c r="W25"/>
      <c r="X25"/>
      <c r="Y25"/>
      <c r="Z25"/>
      <c r="AA25"/>
    </row>
    <row r="26" spans="1:27" s="137" customFormat="1" ht="14.4">
      <c r="A26"/>
      <c r="B26"/>
      <c r="C26"/>
      <c r="D26"/>
      <c r="E26"/>
      <c r="F26"/>
      <c r="G26"/>
      <c r="H26"/>
      <c r="I26"/>
      <c r="J26"/>
      <c r="K26"/>
      <c r="L26"/>
      <c r="M26"/>
      <c r="N26"/>
      <c r="O26"/>
      <c r="P26"/>
      <c r="Q26"/>
      <c r="R26"/>
      <c r="S26"/>
      <c r="T26"/>
      <c r="U26"/>
      <c r="V26"/>
      <c r="W26"/>
      <c r="X26"/>
      <c r="Y26"/>
      <c r="Z26"/>
      <c r="AA26"/>
    </row>
    <row r="27" spans="1:27" s="137" customFormat="1" ht="14.4">
      <c r="A27"/>
      <c r="B27"/>
      <c r="C27"/>
      <c r="D27"/>
      <c r="E27"/>
      <c r="F27"/>
      <c r="G27"/>
      <c r="H27"/>
      <c r="I27"/>
      <c r="J27"/>
      <c r="K27"/>
      <c r="L27"/>
      <c r="M27"/>
      <c r="N27"/>
      <c r="O27"/>
      <c r="P27"/>
      <c r="Q27"/>
      <c r="R27"/>
      <c r="S27"/>
      <c r="T27"/>
      <c r="U27"/>
      <c r="V27"/>
      <c r="W27"/>
      <c r="X27"/>
      <c r="Y27"/>
      <c r="Z27"/>
      <c r="AA27"/>
    </row>
    <row r="28" spans="1:27" s="137" customFormat="1" ht="14.4">
      <c r="A28"/>
      <c r="B28"/>
      <c r="C28"/>
      <c r="D28"/>
      <c r="E28"/>
      <c r="F28"/>
      <c r="G28"/>
      <c r="H28"/>
      <c r="I28"/>
      <c r="J28"/>
      <c r="K28"/>
      <c r="L28"/>
      <c r="M28"/>
      <c r="N28"/>
      <c r="O28"/>
      <c r="P28"/>
      <c r="Q28"/>
      <c r="R28"/>
      <c r="S28"/>
      <c r="T28"/>
      <c r="U28"/>
      <c r="V28"/>
      <c r="W28"/>
      <c r="X28"/>
      <c r="Y28"/>
      <c r="Z28"/>
      <c r="AA28"/>
    </row>
    <row r="29" spans="1:27" s="137" customFormat="1" ht="14.4">
      <c r="A29"/>
      <c r="B29"/>
      <c r="C29"/>
      <c r="D29"/>
      <c r="E29"/>
      <c r="F29"/>
      <c r="G29"/>
      <c r="H29"/>
      <c r="I29"/>
      <c r="J29"/>
      <c r="K29"/>
      <c r="L29"/>
      <c r="M29"/>
      <c r="N29"/>
      <c r="O29"/>
      <c r="P29"/>
      <c r="Q29"/>
      <c r="R29"/>
      <c r="S29"/>
      <c r="T29"/>
      <c r="U29"/>
      <c r="V29"/>
      <c r="W29"/>
      <c r="X29"/>
      <c r="Y29"/>
      <c r="Z29"/>
      <c r="AA29"/>
    </row>
    <row r="30" spans="1:27" s="137" customFormat="1" ht="14.4">
      <c r="A30"/>
      <c r="B30"/>
      <c r="C30"/>
      <c r="D30"/>
      <c r="E30"/>
      <c r="F30"/>
      <c r="G30"/>
      <c r="H30"/>
      <c r="I30"/>
      <c r="J30"/>
      <c r="K30"/>
      <c r="L30"/>
      <c r="M30"/>
      <c r="N30"/>
      <c r="O30"/>
      <c r="P30"/>
      <c r="Q30"/>
      <c r="R30"/>
      <c r="S30"/>
      <c r="T30"/>
      <c r="U30"/>
      <c r="V30"/>
      <c r="W30"/>
      <c r="X30"/>
      <c r="Y30"/>
      <c r="Z30"/>
      <c r="AA30"/>
    </row>
    <row r="31" spans="1:27" s="137" customFormat="1" ht="14.4">
      <c r="A31"/>
      <c r="B31"/>
      <c r="C31"/>
      <c r="D31"/>
      <c r="E31"/>
      <c r="F31"/>
      <c r="G31"/>
      <c r="H31"/>
      <c r="I31"/>
      <c r="J31"/>
      <c r="K31"/>
      <c r="L31"/>
      <c r="M31"/>
      <c r="N31"/>
      <c r="O31"/>
      <c r="P31"/>
      <c r="Q31"/>
      <c r="R31"/>
      <c r="S31"/>
      <c r="T31"/>
      <c r="U31"/>
      <c r="V31"/>
      <c r="W31"/>
      <c r="X31"/>
      <c r="Y31"/>
      <c r="Z31"/>
      <c r="AA31"/>
    </row>
    <row r="32" spans="1:27" s="137" customFormat="1" ht="14.4">
      <c r="A32"/>
      <c r="B32"/>
      <c r="C32"/>
      <c r="D32"/>
      <c r="E32"/>
      <c r="F32"/>
      <c r="G32"/>
      <c r="H32"/>
      <c r="I32"/>
      <c r="J32"/>
      <c r="K32"/>
      <c r="L32"/>
      <c r="M32"/>
      <c r="N32"/>
      <c r="O32"/>
      <c r="P32"/>
      <c r="Q32"/>
      <c r="R32"/>
      <c r="S32"/>
      <c r="T32"/>
      <c r="U32"/>
      <c r="V32"/>
      <c r="W32"/>
      <c r="X32"/>
      <c r="Y32"/>
      <c r="Z32"/>
      <c r="AA32"/>
    </row>
    <row r="33" spans="1:27" s="137" customFormat="1" ht="14.4">
      <c r="A33"/>
      <c r="B33"/>
      <c r="C33"/>
      <c r="D33"/>
      <c r="E33"/>
      <c r="F33"/>
      <c r="G33"/>
      <c r="H33"/>
      <c r="I33"/>
      <c r="J33"/>
      <c r="K33"/>
      <c r="L33"/>
      <c r="M33"/>
      <c r="N33"/>
      <c r="O33"/>
      <c r="P33"/>
      <c r="Q33"/>
      <c r="R33"/>
      <c r="S33"/>
      <c r="T33"/>
      <c r="U33"/>
      <c r="V33"/>
      <c r="W33"/>
      <c r="X33"/>
      <c r="Y33"/>
      <c r="Z33"/>
      <c r="AA33"/>
    </row>
    <row r="34" spans="1:27" s="137" customFormat="1" ht="14.4">
      <c r="A34"/>
      <c r="B34"/>
      <c r="C34"/>
      <c r="D34"/>
      <c r="E34"/>
      <c r="F34"/>
      <c r="G34"/>
      <c r="H34"/>
      <c r="I34"/>
      <c r="J34"/>
      <c r="K34"/>
      <c r="L34"/>
      <c r="M34"/>
      <c r="N34"/>
      <c r="O34"/>
      <c r="P34"/>
      <c r="Q34"/>
      <c r="R34"/>
      <c r="S34"/>
      <c r="T34"/>
      <c r="U34"/>
      <c r="V34"/>
      <c r="W34"/>
      <c r="X34"/>
      <c r="Y34"/>
      <c r="Z34"/>
      <c r="AA34"/>
    </row>
    <row r="35" spans="1:27" s="137" customFormat="1" ht="14.4">
      <c r="A35"/>
      <c r="B35"/>
      <c r="C35"/>
      <c r="D35"/>
      <c r="E35"/>
      <c r="F35"/>
      <c r="G35"/>
      <c r="H35"/>
      <c r="I35"/>
      <c r="J35"/>
      <c r="K35"/>
      <c r="L35"/>
      <c r="M35"/>
      <c r="N35"/>
      <c r="O35"/>
      <c r="P35"/>
      <c r="Q35"/>
      <c r="R35"/>
      <c r="S35"/>
      <c r="T35"/>
      <c r="U35"/>
      <c r="V35"/>
      <c r="W35"/>
      <c r="X35"/>
      <c r="Y35"/>
      <c r="Z35"/>
      <c r="AA35"/>
    </row>
    <row r="36" spans="1:27" s="137" customFormat="1" ht="14.4">
      <c r="A36"/>
      <c r="B36"/>
      <c r="C36"/>
      <c r="D36"/>
      <c r="E36"/>
      <c r="F36"/>
      <c r="G36"/>
      <c r="H36"/>
      <c r="I36"/>
      <c r="J36"/>
      <c r="K36"/>
      <c r="L36"/>
      <c r="M36"/>
      <c r="N36"/>
      <c r="O36"/>
      <c r="P36"/>
      <c r="Q36"/>
      <c r="R36"/>
      <c r="S36"/>
      <c r="T36"/>
      <c r="U36"/>
      <c r="V36"/>
      <c r="W36"/>
      <c r="X36"/>
      <c r="Y36"/>
      <c r="Z36"/>
      <c r="AA36"/>
    </row>
    <row r="37" spans="1:27" s="137" customFormat="1" ht="14.4">
      <c r="A37"/>
      <c r="B37"/>
      <c r="C37"/>
      <c r="D37"/>
      <c r="E37"/>
      <c r="F37"/>
      <c r="G37"/>
      <c r="H37"/>
      <c r="I37"/>
      <c r="J37"/>
      <c r="K37"/>
      <c r="L37"/>
      <c r="M37"/>
      <c r="N37"/>
      <c r="O37"/>
      <c r="P37"/>
      <c r="Q37"/>
      <c r="R37"/>
      <c r="S37"/>
      <c r="T37"/>
      <c r="U37"/>
      <c r="V37"/>
      <c r="W37"/>
      <c r="X37"/>
      <c r="Y37"/>
      <c r="Z37"/>
      <c r="AA37"/>
    </row>
    <row r="38" spans="1:27" s="137" customFormat="1" ht="14.4">
      <c r="A38"/>
      <c r="B38"/>
      <c r="C38"/>
      <c r="D38"/>
      <c r="E38"/>
      <c r="F38"/>
      <c r="G38"/>
      <c r="H38"/>
      <c r="I38"/>
      <c r="J38"/>
      <c r="K38"/>
      <c r="L38"/>
      <c r="M38"/>
      <c r="N38"/>
      <c r="O38"/>
      <c r="P38"/>
      <c r="Q38"/>
      <c r="R38"/>
      <c r="S38"/>
      <c r="T38"/>
      <c r="U38"/>
      <c r="V38"/>
      <c r="W38"/>
      <c r="X38"/>
      <c r="Y38"/>
      <c r="Z38"/>
      <c r="AA38"/>
    </row>
    <row r="39" spans="1:27" s="137" customFormat="1" ht="14.4">
      <c r="A39"/>
      <c r="B39"/>
      <c r="C39"/>
      <c r="D39"/>
      <c r="E39"/>
      <c r="F39"/>
      <c r="G39"/>
      <c r="H39"/>
      <c r="I39"/>
      <c r="J39"/>
      <c r="K39"/>
      <c r="L39"/>
      <c r="M39"/>
      <c r="N39"/>
      <c r="O39"/>
      <c r="P39"/>
      <c r="Q39"/>
      <c r="R39"/>
      <c r="S39"/>
      <c r="T39"/>
      <c r="U39"/>
      <c r="V39"/>
      <c r="W39"/>
      <c r="X39"/>
      <c r="Y39"/>
      <c r="Z39"/>
      <c r="AA39"/>
    </row>
    <row r="40" spans="1:27" s="137" customFormat="1" ht="14.4">
      <c r="A40"/>
      <c r="B40"/>
      <c r="C40"/>
      <c r="D40"/>
      <c r="E40"/>
      <c r="F40"/>
      <c r="G40"/>
      <c r="H40"/>
      <c r="I40"/>
      <c r="J40"/>
      <c r="K40"/>
      <c r="L40"/>
      <c r="M40"/>
      <c r="N40"/>
      <c r="O40"/>
      <c r="P40"/>
      <c r="Q40"/>
      <c r="R40"/>
      <c r="S40"/>
      <c r="T40"/>
      <c r="U40"/>
      <c r="V40"/>
      <c r="W40"/>
      <c r="X40"/>
      <c r="Y40"/>
      <c r="Z40"/>
      <c r="AA40"/>
    </row>
    <row r="41" spans="1:27" s="137" customFormat="1" ht="14.4">
      <c r="A41"/>
      <c r="B41"/>
      <c r="C41"/>
      <c r="D41"/>
      <c r="E41"/>
      <c r="F41"/>
      <c r="G41"/>
      <c r="H41"/>
      <c r="I41"/>
      <c r="J41"/>
      <c r="K41"/>
      <c r="L41"/>
      <c r="M41"/>
      <c r="N41"/>
      <c r="O41"/>
      <c r="P41"/>
      <c r="Q41"/>
      <c r="R41"/>
      <c r="S41"/>
      <c r="T41"/>
      <c r="U41"/>
      <c r="V41"/>
      <c r="W41"/>
      <c r="X41"/>
      <c r="Y41"/>
      <c r="Z41"/>
      <c r="AA41"/>
    </row>
    <row r="42" spans="1:27" s="137" customFormat="1" ht="14.4">
      <c r="A42"/>
      <c r="B42"/>
      <c r="C42"/>
      <c r="D42"/>
      <c r="E42"/>
      <c r="F42"/>
      <c r="G42"/>
      <c r="H42"/>
      <c r="I42"/>
      <c r="J42"/>
      <c r="K42"/>
      <c r="L42"/>
      <c r="M42"/>
      <c r="N42"/>
      <c r="O42"/>
      <c r="P42"/>
      <c r="Q42"/>
      <c r="R42"/>
      <c r="S42"/>
      <c r="T42"/>
      <c r="U42"/>
      <c r="V42"/>
      <c r="W42"/>
      <c r="X42"/>
      <c r="Y42"/>
      <c r="Z42"/>
      <c r="AA42"/>
    </row>
    <row r="43" spans="1:27" s="137" customFormat="1" ht="14.4">
      <c r="A43"/>
      <c r="B43"/>
      <c r="C43"/>
      <c r="D43"/>
      <c r="E43"/>
      <c r="F43"/>
      <c r="G43"/>
      <c r="H43"/>
      <c r="I43"/>
      <c r="J43"/>
      <c r="K43"/>
      <c r="L43"/>
      <c r="M43"/>
      <c r="N43"/>
      <c r="O43"/>
      <c r="P43"/>
      <c r="Q43"/>
      <c r="R43"/>
      <c r="S43"/>
      <c r="T43"/>
      <c r="U43"/>
      <c r="V43"/>
      <c r="W43"/>
      <c r="X43"/>
      <c r="Y43"/>
      <c r="Z43"/>
      <c r="AA43"/>
    </row>
    <row r="44" spans="1:27" s="137" customFormat="1"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06" customWidth="1"/>
    <col min="2" max="4" width="7.88671875" style="106" customWidth="1"/>
    <col min="5" max="18" width="15.6640625" style="114" customWidth="1"/>
    <col min="19" max="19" width="83.109375" style="114" customWidth="1"/>
    <col min="20" max="20" width="3.6640625" style="114" customWidth="1"/>
    <col min="21" max="21" width="45.6640625" style="114" customWidth="1"/>
    <col min="22" max="22" width="121.44140625" style="114" customWidth="1"/>
    <col min="23" max="24" width="15.6640625" style="114" customWidth="1"/>
    <col min="25" max="25" width="20" style="114" bestFit="1" customWidth="1"/>
    <col min="26" max="16384" width="8.6640625" style="114"/>
  </cols>
  <sheetData>
    <row r="1" spans="1:27" s="165" customFormat="1" ht="15.6">
      <c r="A1" s="161" t="s">
        <v>282</v>
      </c>
      <c r="B1" s="161"/>
      <c r="C1" s="161"/>
      <c r="D1" s="161"/>
      <c r="E1" s="162"/>
      <c r="F1" s="162"/>
      <c r="G1" s="163"/>
      <c r="H1" s="163"/>
      <c r="I1" s="163"/>
      <c r="J1" s="163"/>
      <c r="K1" s="163"/>
      <c r="L1" s="163"/>
      <c r="M1" s="163"/>
      <c r="N1" s="163"/>
      <c r="O1" s="163"/>
      <c r="P1" s="163"/>
      <c r="Q1" s="163"/>
      <c r="R1" s="164"/>
      <c r="S1" s="164"/>
      <c r="T1" s="164"/>
      <c r="U1" s="164"/>
    </row>
    <row r="2" spans="1:27">
      <c r="A2" s="107" t="s">
        <v>23</v>
      </c>
      <c r="B2" s="107"/>
      <c r="C2" s="107"/>
      <c r="D2" s="107"/>
      <c r="E2" s="104" t="s">
        <v>283</v>
      </c>
      <c r="F2" s="104"/>
      <c r="G2" s="104"/>
      <c r="H2" s="105"/>
      <c r="I2" s="105"/>
      <c r="J2" s="105"/>
      <c r="K2" s="105"/>
      <c r="L2" s="105"/>
      <c r="M2" s="105"/>
      <c r="N2" s="105"/>
      <c r="O2" s="105"/>
      <c r="P2" s="105"/>
      <c r="Q2" s="105"/>
      <c r="R2" s="107"/>
      <c r="S2" s="107"/>
      <c r="T2" s="107"/>
      <c r="U2" s="107"/>
    </row>
    <row r="3" spans="1:27">
      <c r="A3" s="104" t="s">
        <v>25</v>
      </c>
      <c r="B3" s="104"/>
      <c r="C3" s="104"/>
      <c r="D3" s="104"/>
      <c r="E3" s="104" t="s">
        <v>284</v>
      </c>
      <c r="F3" s="104"/>
      <c r="G3" s="104"/>
      <c r="H3" s="105"/>
      <c r="I3" s="105"/>
      <c r="J3" s="105"/>
      <c r="K3" s="105"/>
      <c r="L3" s="105"/>
      <c r="M3" s="105"/>
      <c r="N3" s="105"/>
      <c r="O3" s="105"/>
      <c r="P3" s="105"/>
      <c r="Q3" s="105"/>
      <c r="R3" s="90"/>
      <c r="S3" s="90"/>
      <c r="T3" s="90"/>
      <c r="U3" s="90"/>
    </row>
    <row r="4" spans="1:27">
      <c r="A4" s="108"/>
      <c r="B4" s="108"/>
      <c r="C4" s="108"/>
      <c r="D4" s="108"/>
      <c r="E4" s="109" t="s">
        <v>27</v>
      </c>
      <c r="F4" s="110" t="s">
        <v>28</v>
      </c>
      <c r="G4" s="110"/>
      <c r="H4" s="111"/>
      <c r="I4" s="110"/>
      <c r="J4" s="112"/>
      <c r="K4" s="112"/>
      <c r="L4" s="113" t="s">
        <v>29</v>
      </c>
      <c r="M4" s="113"/>
      <c r="N4" s="113"/>
      <c r="O4" s="113"/>
      <c r="P4" s="113"/>
      <c r="Q4" s="113"/>
      <c r="R4" s="147"/>
      <c r="S4" s="107"/>
      <c r="T4" s="107"/>
      <c r="U4" s="107"/>
    </row>
    <row r="5" spans="1:27">
      <c r="A5" s="115"/>
      <c r="B5" s="115"/>
      <c r="C5" s="115"/>
      <c r="D5" s="115"/>
      <c r="E5" s="116" t="s">
        <v>30</v>
      </c>
      <c r="F5" s="117" t="s">
        <v>31</v>
      </c>
      <c r="G5" s="117"/>
      <c r="H5" s="111"/>
      <c r="I5" s="117"/>
      <c r="J5" s="112"/>
      <c r="K5" s="112"/>
      <c r="L5" s="113" t="s">
        <v>32</v>
      </c>
      <c r="M5" s="118"/>
      <c r="N5" s="118"/>
      <c r="O5" s="113"/>
      <c r="P5" s="166"/>
      <c r="Q5" s="113"/>
      <c r="R5" s="147"/>
      <c r="S5" s="107"/>
      <c r="T5" s="107"/>
      <c r="U5" s="107"/>
    </row>
    <row r="6" spans="1:27">
      <c r="A6" s="119"/>
      <c r="B6" s="119"/>
      <c r="C6" s="119"/>
      <c r="D6" s="119"/>
      <c r="E6" s="3" t="s">
        <v>285</v>
      </c>
      <c r="F6" s="87" t="s">
        <v>286</v>
      </c>
      <c r="G6" s="87" t="s">
        <v>287</v>
      </c>
      <c r="H6" s="87" t="s">
        <v>288</v>
      </c>
      <c r="I6" s="87" t="s">
        <v>289</v>
      </c>
      <c r="J6" s="87" t="s">
        <v>290</v>
      </c>
      <c r="K6" s="87" t="s">
        <v>291</v>
      </c>
      <c r="L6" s="88" t="s">
        <v>292</v>
      </c>
      <c r="M6" s="88" t="s">
        <v>293</v>
      </c>
      <c r="N6" s="88" t="s">
        <v>294</v>
      </c>
      <c r="O6" s="88" t="s">
        <v>295</v>
      </c>
      <c r="P6" s="88" t="s">
        <v>296</v>
      </c>
      <c r="Q6" s="88" t="s">
        <v>297</v>
      </c>
      <c r="R6" s="89" t="s">
        <v>298</v>
      </c>
      <c r="S6" s="90"/>
      <c r="T6" s="90"/>
      <c r="U6" s="90"/>
    </row>
    <row r="7" spans="1:27" ht="138" customHeight="1">
      <c r="A7" s="121" t="s">
        <v>174</v>
      </c>
      <c r="B7" s="121"/>
      <c r="C7" s="121"/>
      <c r="D7" s="121"/>
      <c r="E7" s="94" t="s">
        <v>299</v>
      </c>
      <c r="F7" s="94" t="s">
        <v>300</v>
      </c>
      <c r="G7" s="94" t="s">
        <v>301</v>
      </c>
      <c r="H7" s="94" t="s">
        <v>302</v>
      </c>
      <c r="I7" s="94" t="s">
        <v>303</v>
      </c>
      <c r="J7" s="94" t="s">
        <v>304</v>
      </c>
      <c r="K7" s="94" t="s">
        <v>305</v>
      </c>
      <c r="L7" s="94" t="s">
        <v>306</v>
      </c>
      <c r="M7" s="94" t="s">
        <v>307</v>
      </c>
      <c r="N7" s="94" t="s">
        <v>308</v>
      </c>
      <c r="O7" s="94" t="s">
        <v>309</v>
      </c>
      <c r="P7" s="94" t="s">
        <v>310</v>
      </c>
      <c r="Q7" s="94" t="s">
        <v>311</v>
      </c>
      <c r="R7" s="94" t="s">
        <v>312</v>
      </c>
      <c r="S7" s="90"/>
      <c r="T7" s="90"/>
      <c r="U7" s="90"/>
    </row>
    <row r="8" spans="1:27" ht="107.85" customHeight="1">
      <c r="A8" s="119" t="s">
        <v>54</v>
      </c>
      <c r="B8" s="119"/>
      <c r="C8" s="119"/>
      <c r="D8" s="119"/>
      <c r="E8" s="95" t="s">
        <v>313</v>
      </c>
      <c r="F8" s="95" t="s">
        <v>314</v>
      </c>
      <c r="G8" s="95" t="s">
        <v>315</v>
      </c>
      <c r="H8" s="95" t="s">
        <v>316</v>
      </c>
      <c r="I8" s="95" t="s">
        <v>317</v>
      </c>
      <c r="J8" s="95" t="s">
        <v>318</v>
      </c>
      <c r="K8" s="95" t="s">
        <v>319</v>
      </c>
      <c r="L8" s="95" t="s">
        <v>320</v>
      </c>
      <c r="M8" s="95" t="s">
        <v>321</v>
      </c>
      <c r="N8" s="95" t="s">
        <v>322</v>
      </c>
      <c r="O8" s="95" t="s">
        <v>323</v>
      </c>
      <c r="P8" s="95" t="s">
        <v>324</v>
      </c>
      <c r="Q8" s="95" t="s">
        <v>325</v>
      </c>
      <c r="R8" s="95" t="s">
        <v>326</v>
      </c>
      <c r="S8" s="96"/>
      <c r="T8" s="96"/>
      <c r="U8" s="96"/>
    </row>
    <row r="9" spans="1:27" ht="165.6" customHeight="1">
      <c r="A9" s="119" t="s">
        <v>65</v>
      </c>
      <c r="B9" s="119"/>
      <c r="C9" s="119"/>
      <c r="D9" s="119"/>
      <c r="E9" s="122" t="s">
        <v>327</v>
      </c>
      <c r="F9" s="122" t="s">
        <v>328</v>
      </c>
      <c r="G9" s="95" t="s">
        <v>329</v>
      </c>
      <c r="H9" s="122" t="s">
        <v>330</v>
      </c>
      <c r="I9" s="122" t="s">
        <v>331</v>
      </c>
      <c r="J9" s="122" t="s">
        <v>332</v>
      </c>
      <c r="K9" s="122" t="s">
        <v>333</v>
      </c>
      <c r="L9" s="122" t="s">
        <v>334</v>
      </c>
      <c r="M9" s="122" t="s">
        <v>335</v>
      </c>
      <c r="N9" s="122" t="s">
        <v>336</v>
      </c>
      <c r="O9" s="122" t="s">
        <v>337</v>
      </c>
      <c r="P9" s="122" t="s">
        <v>338</v>
      </c>
      <c r="Q9" s="122" t="s">
        <v>339</v>
      </c>
      <c r="R9" s="122" t="s">
        <v>340</v>
      </c>
      <c r="S9" s="124"/>
      <c r="T9" s="124"/>
      <c r="U9" s="124"/>
    </row>
    <row r="10" spans="1:27" ht="134.1" customHeight="1">
      <c r="A10" s="119" t="s">
        <v>76</v>
      </c>
      <c r="B10" s="119"/>
      <c r="C10" s="119"/>
      <c r="D10" s="119"/>
      <c r="E10" s="99" t="s">
        <v>341</v>
      </c>
      <c r="F10" s="99" t="s">
        <v>342</v>
      </c>
      <c r="G10" s="99" t="s">
        <v>343</v>
      </c>
      <c r="H10" s="99" t="s">
        <v>344</v>
      </c>
      <c r="I10" s="99" t="s">
        <v>345</v>
      </c>
      <c r="J10" s="100" t="s">
        <v>346</v>
      </c>
      <c r="K10" s="100" t="s">
        <v>347</v>
      </c>
      <c r="L10" s="100" t="s">
        <v>348</v>
      </c>
      <c r="M10" s="99" t="s">
        <v>349</v>
      </c>
      <c r="N10" s="99" t="s">
        <v>350</v>
      </c>
      <c r="O10" s="99" t="s">
        <v>351</v>
      </c>
      <c r="P10" s="99" t="s">
        <v>352</v>
      </c>
      <c r="Q10" s="99" t="s">
        <v>353</v>
      </c>
      <c r="R10" s="99" t="s">
        <v>354</v>
      </c>
      <c r="S10" s="149"/>
      <c r="T10" s="149"/>
      <c r="U10" s="149"/>
    </row>
    <row r="11" spans="1:27" ht="82.8">
      <c r="A11" s="132" t="s">
        <v>86</v>
      </c>
      <c r="B11" s="132"/>
      <c r="C11" s="132"/>
      <c r="D11" s="132"/>
      <c r="E11" s="99"/>
      <c r="F11" s="99" t="s">
        <v>355</v>
      </c>
      <c r="G11" s="99" t="s">
        <v>356</v>
      </c>
      <c r="H11" s="99" t="s">
        <v>357</v>
      </c>
      <c r="I11" s="99" t="s">
        <v>358</v>
      </c>
      <c r="J11" s="100" t="s">
        <v>359</v>
      </c>
      <c r="K11" s="100" t="s">
        <v>360</v>
      </c>
      <c r="L11" s="100" t="s">
        <v>361</v>
      </c>
      <c r="M11" s="99" t="s">
        <v>362</v>
      </c>
      <c r="N11" s="99" t="s">
        <v>363</v>
      </c>
      <c r="O11" s="99" t="s">
        <v>364</v>
      </c>
      <c r="P11" s="99" t="s">
        <v>365</v>
      </c>
      <c r="Q11" s="99" t="s">
        <v>366</v>
      </c>
      <c r="R11" s="99" t="s">
        <v>367</v>
      </c>
      <c r="S11" s="149"/>
      <c r="T11" s="149"/>
      <c r="U11" s="149"/>
    </row>
    <row r="15" spans="1:27" customFormat="1">
      <c r="A15" t="s">
        <v>96</v>
      </c>
      <c r="B15" t="s">
        <v>97</v>
      </c>
      <c r="C15" t="s">
        <v>98</v>
      </c>
      <c r="D15" s="356" t="s">
        <v>99</v>
      </c>
      <c r="E15" s="14" t="s">
        <v>285</v>
      </c>
      <c r="F15" s="14" t="s">
        <v>286</v>
      </c>
      <c r="G15" s="14" t="s">
        <v>287</v>
      </c>
      <c r="H15" s="14" t="s">
        <v>288</v>
      </c>
      <c r="I15" s="14" t="s">
        <v>289</v>
      </c>
      <c r="J15" s="14" t="s">
        <v>290</v>
      </c>
      <c r="K15" s="14" t="s">
        <v>291</v>
      </c>
      <c r="L15" s="14" t="s">
        <v>292</v>
      </c>
      <c r="M15" s="14" t="s">
        <v>293</v>
      </c>
      <c r="N15" s="14" t="s">
        <v>294</v>
      </c>
      <c r="O15" s="14" t="s">
        <v>295</v>
      </c>
      <c r="P15" s="14" t="s">
        <v>296</v>
      </c>
      <c r="Q15" s="14" t="s">
        <v>297</v>
      </c>
      <c r="R15" s="14" t="s">
        <v>298</v>
      </c>
    </row>
    <row r="16" spans="1:27">
      <c r="A16" t="s">
        <v>100</v>
      </c>
      <c r="B16" s="15" t="s">
        <v>97</v>
      </c>
      <c r="C16" s="15" t="str">
        <f>HYPERLINK("02-项目级\P3-主从数据库复制及性能提升项目\01-生存周期\04-需求\04-需求调研报告\01-需求调研报告(QCUBIC-XNTS-RDM-Report-20220113pm)V1.0-engl.docx", "engl")</f>
        <v>engl</v>
      </c>
      <c r="D16"/>
      <c r="E16" t="s">
        <v>101</v>
      </c>
      <c r="F16"/>
      <c r="G16"/>
      <c r="H16"/>
      <c r="I16"/>
      <c r="J16"/>
      <c r="K16"/>
      <c r="L16"/>
      <c r="M16"/>
      <c r="N16"/>
      <c r="O16"/>
      <c r="P16"/>
      <c r="Q16"/>
      <c r="R16" t="s">
        <v>101</v>
      </c>
      <c r="S16"/>
      <c r="T16"/>
      <c r="U16"/>
      <c r="V16"/>
      <c r="W16"/>
      <c r="X16"/>
      <c r="Y16"/>
      <c r="Z16"/>
      <c r="AA16"/>
    </row>
    <row r="17" spans="1:27">
      <c r="A17" t="s">
        <v>100</v>
      </c>
      <c r="B17" s="15" t="s">
        <v>97</v>
      </c>
      <c r="C17" s="15" t="str">
        <f>HYPERLINK("02-项目级\P3-主从数据库复制及性能提升项目\01-生存周期\04-需求\02-需求规格说明书 (QCUBIC-XNTS-RDM-SRS)V1.1-engl.docx", "engl")</f>
        <v>engl</v>
      </c>
      <c r="D17"/>
      <c r="E17" t="s">
        <v>101</v>
      </c>
      <c r="F17" t="s">
        <v>101</v>
      </c>
      <c r="G17" t="s">
        <v>101</v>
      </c>
      <c r="H17" t="s">
        <v>101</v>
      </c>
      <c r="I17" t="s">
        <v>101</v>
      </c>
      <c r="J17" t="s">
        <v>101</v>
      </c>
      <c r="K17"/>
      <c r="L17" t="s">
        <v>101</v>
      </c>
      <c r="M17" t="s">
        <v>101</v>
      </c>
      <c r="N17" t="s">
        <v>101</v>
      </c>
      <c r="O17" t="s">
        <v>101</v>
      </c>
      <c r="P17" t="s">
        <v>101</v>
      </c>
      <c r="Q17" t="s">
        <v>101</v>
      </c>
      <c r="R17" t="s">
        <v>101</v>
      </c>
      <c r="S17"/>
      <c r="T17"/>
      <c r="U17"/>
      <c r="V17"/>
      <c r="W17"/>
      <c r="X17"/>
      <c r="Y17"/>
      <c r="Z17"/>
      <c r="AA17"/>
    </row>
    <row r="18" spans="1:27">
      <c r="A18" t="s">
        <v>100</v>
      </c>
      <c r="B18" s="15" t="s">
        <v>97</v>
      </c>
      <c r="C18" s="15" t="str">
        <f>HYPERLINK("02-项目级\P3-主从数据库复制及性能提升项目\01-生存周期\04-需求\03-用户需求说明书(QCUBIC-XNTS-RDM-CRS)V1.1-engl.docx", "engl")</f>
        <v>engl</v>
      </c>
      <c r="D18"/>
      <c r="E18"/>
      <c r="F18" t="s">
        <v>101</v>
      </c>
      <c r="G18" t="s">
        <v>101</v>
      </c>
      <c r="H18" t="s">
        <v>101</v>
      </c>
      <c r="I18" t="s">
        <v>101</v>
      </c>
      <c r="J18"/>
      <c r="K18"/>
      <c r="L18"/>
      <c r="M18"/>
      <c r="N18"/>
      <c r="O18"/>
      <c r="P18"/>
      <c r="Q18"/>
      <c r="R18"/>
      <c r="S18"/>
      <c r="T18"/>
      <c r="U18"/>
      <c r="V18"/>
      <c r="W18"/>
      <c r="X18"/>
      <c r="Y18"/>
      <c r="Z18"/>
      <c r="AA18"/>
    </row>
    <row r="19" spans="1:27">
      <c r="A19" t="s">
        <v>100</v>
      </c>
      <c r="B19" s="15" t="s">
        <v>97</v>
      </c>
      <c r="C19" s="15" t="str">
        <f>HYPERLINK("02-项目级\P3-主从数据库复制及性能提升项目\02-全程管理\05-评审管理\04-需求评审\01-需求规格说明书\05-评审报告_需求规格说明书(QCUBIC-XNTS-PR-ReviewRpt)V1.1-engl.xlsx", "engl")</f>
        <v>engl</v>
      </c>
      <c r="D19"/>
      <c r="E19"/>
      <c r="F19"/>
      <c r="G19"/>
      <c r="H19" t="s">
        <v>101</v>
      </c>
      <c r="I19" t="s">
        <v>101</v>
      </c>
      <c r="J19"/>
      <c r="K19"/>
      <c r="L19"/>
      <c r="M19"/>
      <c r="N19"/>
      <c r="O19"/>
      <c r="P19" t="s">
        <v>101</v>
      </c>
      <c r="Q19" t="s">
        <v>101</v>
      </c>
      <c r="R19" t="s">
        <v>101</v>
      </c>
      <c r="S19"/>
      <c r="T19"/>
      <c r="U19"/>
      <c r="V19"/>
      <c r="W19"/>
      <c r="X19"/>
      <c r="Y19"/>
      <c r="Z19"/>
      <c r="AA19"/>
    </row>
    <row r="20" spans="1:27">
      <c r="A20" t="s">
        <v>100</v>
      </c>
      <c r="B20" s="15" t="s">
        <v>97</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101</v>
      </c>
      <c r="J20"/>
      <c r="K20"/>
      <c r="L20"/>
      <c r="M20"/>
      <c r="N20"/>
      <c r="O20"/>
      <c r="P20" t="s">
        <v>101</v>
      </c>
      <c r="Q20"/>
      <c r="R20"/>
      <c r="S20"/>
      <c r="T20"/>
      <c r="U20"/>
      <c r="V20"/>
      <c r="W20"/>
      <c r="X20"/>
      <c r="Y20"/>
      <c r="Z20"/>
      <c r="AA20"/>
    </row>
    <row r="21" spans="1:27">
      <c r="A21" t="s">
        <v>100</v>
      </c>
      <c r="B21" s="15" t="s">
        <v>97</v>
      </c>
      <c r="C21" s="15" t="str">
        <f>HYPERLINK("02-项目级\P3-主从数据库复制及性能提升项目\01-生存周期\04-需求\05-需求跟踪矩阵\01-需求跟踪矩阵(QCUBIC-XNTS-RDM-RTX)V1.1-engl.xlsx", "engl")</f>
        <v>engl</v>
      </c>
      <c r="D21"/>
      <c r="E21"/>
      <c r="F21"/>
      <c r="G21"/>
      <c r="H21"/>
      <c r="I21"/>
      <c r="J21" t="s">
        <v>101</v>
      </c>
      <c r="K21" t="s">
        <v>101</v>
      </c>
      <c r="L21"/>
      <c r="M21"/>
      <c r="N21"/>
      <c r="O21"/>
      <c r="P21"/>
      <c r="Q21"/>
      <c r="R21"/>
      <c r="S21"/>
      <c r="T21"/>
      <c r="U21"/>
      <c r="V21"/>
      <c r="W21"/>
      <c r="X21"/>
      <c r="Y21"/>
      <c r="Z21"/>
      <c r="AA21"/>
    </row>
    <row r="22" spans="1:27">
      <c r="A22" t="s">
        <v>100</v>
      </c>
      <c r="B22" s="15" t="s">
        <v>97</v>
      </c>
      <c r="C22" s="15" t="str">
        <f>HYPERLINK("02-项目级\P3-主从数据库复制及性能提升项目\01-生存周期\03-项目策划\03-项目计划书 (QCUBIC-XNTS-PLAN-Plan)V1.1-engl.docx", "engl")</f>
        <v>engl</v>
      </c>
      <c r="D22"/>
      <c r="E22"/>
      <c r="F22"/>
      <c r="G22"/>
      <c r="H22"/>
      <c r="I22"/>
      <c r="J22"/>
      <c r="K22" t="s">
        <v>101</v>
      </c>
      <c r="L22"/>
      <c r="M22"/>
      <c r="N22"/>
      <c r="O22"/>
      <c r="P22"/>
      <c r="Q22"/>
      <c r="R22"/>
      <c r="S22"/>
      <c r="T22"/>
      <c r="U22"/>
      <c r="V22"/>
      <c r="W22"/>
      <c r="X22"/>
      <c r="Y22"/>
      <c r="Z22"/>
      <c r="AA22"/>
    </row>
    <row r="23" spans="1:27">
      <c r="A23" t="s">
        <v>100</v>
      </c>
      <c r="B23" s="15" t="s">
        <v>97</v>
      </c>
      <c r="C23" s="15" t="str">
        <f>HYPERLINK("02-项目级\P3-主从数据库复制及性能提升项目\01-生存周期\04-需求\01-需求调研计划(QCUBIC-XNTS-RDM-Plan)V1.0-engl.docx", "engl")</f>
        <v>engl</v>
      </c>
      <c r="D23"/>
      <c r="E23"/>
      <c r="F23"/>
      <c r="G23"/>
      <c r="H23"/>
      <c r="I23"/>
      <c r="J23"/>
      <c r="K23" t="s">
        <v>101</v>
      </c>
      <c r="L23"/>
      <c r="M23"/>
      <c r="N23"/>
      <c r="O23"/>
      <c r="P23"/>
      <c r="Q23"/>
      <c r="R23"/>
      <c r="S23"/>
      <c r="T23"/>
      <c r="U23"/>
      <c r="V23"/>
      <c r="W23"/>
      <c r="X23"/>
      <c r="Y23"/>
      <c r="Z23"/>
      <c r="AA23"/>
    </row>
    <row r="24" spans="1:27">
      <c r="A24" t="s">
        <v>100</v>
      </c>
      <c r="B24" s="15" t="s">
        <v>97</v>
      </c>
      <c r="C24" s="15" t="str">
        <f>HYPERLINK("02-项目级\P3-主从数据库复制及性能提升项目\02-全程管理\06-变更管理\03-变更结果报告(QCUBIC-XNTS-mc-changereport_001)V1.0-engl.docx", "engl")</f>
        <v>engl</v>
      </c>
      <c r="D24"/>
      <c r="E24"/>
      <c r="F24"/>
      <c r="G24"/>
      <c r="H24"/>
      <c r="I24"/>
      <c r="J24"/>
      <c r="K24" t="s">
        <v>101</v>
      </c>
      <c r="L24" t="s">
        <v>101</v>
      </c>
      <c r="M24"/>
      <c r="N24"/>
      <c r="O24"/>
      <c r="P24"/>
      <c r="Q24"/>
      <c r="R24"/>
      <c r="S24"/>
      <c r="T24"/>
      <c r="U24"/>
      <c r="V24"/>
      <c r="W24"/>
      <c r="X24"/>
      <c r="Y24"/>
      <c r="Z24"/>
      <c r="AA24"/>
    </row>
    <row r="25" spans="1:27">
      <c r="A25" t="s">
        <v>100</v>
      </c>
      <c r="B25" s="15" t="s">
        <v>97</v>
      </c>
      <c r="C25" s="15" t="str">
        <f>HYPERLINK("02-项目级\P3-主从数据库复制及性能提升项目\02-全程管理\06-变更管理\02-变更列表(QCUBIC-XNTS-MC-CRecoRDM)V1.0-engl.xlsx", "engl")</f>
        <v>engl</v>
      </c>
      <c r="D25"/>
      <c r="E25"/>
      <c r="F25"/>
      <c r="G25"/>
      <c r="H25"/>
      <c r="I25"/>
      <c r="J25"/>
      <c r="K25"/>
      <c r="L25" t="s">
        <v>101</v>
      </c>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5" customWidth="1"/>
    <col min="2" max="4" width="7.88671875" style="115" customWidth="1"/>
    <col min="5" max="7" width="15.6640625" style="115" customWidth="1"/>
    <col min="8" max="9" width="15.6640625" style="133" customWidth="1"/>
    <col min="10" max="15" width="15.6640625" style="115" customWidth="1"/>
    <col min="16" max="16" width="15.6640625" style="115" hidden="1" customWidth="1"/>
    <col min="17" max="17" width="15" style="115" customWidth="1"/>
    <col min="18" max="18" width="3.6640625" style="115" customWidth="1"/>
    <col min="19" max="19" width="40.109375" style="115" bestFit="1" customWidth="1"/>
    <col min="20" max="20" width="87.33203125" style="115" customWidth="1"/>
    <col min="21" max="16384" width="8.6640625" style="115"/>
  </cols>
  <sheetData>
    <row r="1" spans="1:27" s="104" customFormat="1" ht="18">
      <c r="A1" s="102" t="s">
        <v>368</v>
      </c>
      <c r="B1" s="102"/>
      <c r="C1" s="102"/>
      <c r="D1" s="102"/>
      <c r="E1" s="103"/>
      <c r="H1" s="133"/>
      <c r="I1" s="133"/>
      <c r="T1" s="115"/>
    </row>
    <row r="2" spans="1:27" s="104" customFormat="1">
      <c r="A2" s="107" t="s">
        <v>23</v>
      </c>
      <c r="B2" s="107"/>
      <c r="C2" s="107"/>
      <c r="D2" s="107"/>
      <c r="E2" s="361" t="s">
        <v>369</v>
      </c>
      <c r="F2" s="361"/>
      <c r="G2" s="361"/>
      <c r="H2" s="361"/>
      <c r="I2" s="361"/>
      <c r="J2" s="361"/>
      <c r="T2" s="115"/>
    </row>
    <row r="3" spans="1:27" s="104" customFormat="1">
      <c r="A3" s="104" t="s">
        <v>25</v>
      </c>
      <c r="E3" s="104" t="s">
        <v>370</v>
      </c>
      <c r="H3" s="133"/>
      <c r="I3" s="133"/>
      <c r="T3" s="115"/>
    </row>
    <row r="4" spans="1:27" s="104" customFormat="1" ht="14.4">
      <c r="A4" s="108"/>
      <c r="B4" s="108"/>
      <c r="C4" s="108"/>
      <c r="D4" s="108"/>
      <c r="E4" s="109" t="s">
        <v>27</v>
      </c>
      <c r="F4" s="146"/>
      <c r="G4" s="109"/>
      <c r="H4" s="110" t="s">
        <v>28</v>
      </c>
      <c r="I4" s="110"/>
      <c r="J4" s="113" t="s">
        <v>29</v>
      </c>
      <c r="K4" s="147"/>
      <c r="L4" s="147"/>
      <c r="M4" s="113"/>
      <c r="N4" s="113"/>
      <c r="O4" s="113" t="s">
        <v>29</v>
      </c>
      <c r="P4" s="170" t="s">
        <v>371</v>
      </c>
      <c r="Q4" s="114"/>
      <c r="R4" s="114"/>
      <c r="S4" s="114"/>
      <c r="T4" s="115"/>
      <c r="U4" s="107"/>
      <c r="V4" s="114"/>
      <c r="W4" s="114"/>
    </row>
    <row r="5" spans="1:27" ht="14.4">
      <c r="E5" s="116" t="s">
        <v>30</v>
      </c>
      <c r="F5" s="146"/>
      <c r="G5" s="116"/>
      <c r="H5" s="117" t="s">
        <v>31</v>
      </c>
      <c r="I5" s="117"/>
      <c r="J5" s="113" t="s">
        <v>32</v>
      </c>
      <c r="K5" s="147"/>
      <c r="L5" s="147"/>
      <c r="M5" s="118"/>
      <c r="N5" s="118"/>
      <c r="O5" s="113" t="s">
        <v>32</v>
      </c>
      <c r="P5" s="171" t="s">
        <v>372</v>
      </c>
      <c r="U5" s="107"/>
      <c r="W5" s="114"/>
    </row>
    <row r="6" spans="1:27">
      <c r="A6" s="132"/>
      <c r="B6" s="132"/>
      <c r="C6" s="132"/>
      <c r="D6" s="132"/>
      <c r="E6" s="172" t="s">
        <v>373</v>
      </c>
      <c r="F6" s="172" t="s">
        <v>374</v>
      </c>
      <c r="G6" s="172" t="s">
        <v>375</v>
      </c>
      <c r="H6" s="87" t="s">
        <v>376</v>
      </c>
      <c r="I6" s="87" t="s">
        <v>377</v>
      </c>
      <c r="J6" s="88" t="s">
        <v>378</v>
      </c>
      <c r="K6" s="88" t="s">
        <v>379</v>
      </c>
      <c r="L6" s="88" t="s">
        <v>380</v>
      </c>
      <c r="M6" s="88" t="s">
        <v>381</v>
      </c>
      <c r="N6" s="88" t="s">
        <v>382</v>
      </c>
      <c r="O6" s="88" t="s">
        <v>383</v>
      </c>
      <c r="P6" s="173" t="s">
        <v>384</v>
      </c>
      <c r="Q6" s="150"/>
      <c r="R6" s="90"/>
      <c r="S6" s="150"/>
      <c r="T6" s="174"/>
    </row>
    <row r="7" spans="1:27" ht="116.4" customHeight="1">
      <c r="A7" s="121" t="s">
        <v>174</v>
      </c>
      <c r="B7" s="121"/>
      <c r="C7" s="121"/>
      <c r="D7" s="121"/>
      <c r="E7" s="94" t="s">
        <v>385</v>
      </c>
      <c r="F7" s="94" t="s">
        <v>386</v>
      </c>
      <c r="G7" s="94" t="s">
        <v>387</v>
      </c>
      <c r="H7" s="94" t="s">
        <v>388</v>
      </c>
      <c r="I7" s="94" t="s">
        <v>389</v>
      </c>
      <c r="J7" s="94" t="s">
        <v>390</v>
      </c>
      <c r="K7" s="94" t="s">
        <v>391</v>
      </c>
      <c r="L7" s="94" t="s">
        <v>392</v>
      </c>
      <c r="M7" s="94" t="s">
        <v>393</v>
      </c>
      <c r="N7" s="94" t="s">
        <v>394</v>
      </c>
      <c r="O7" s="94" t="s">
        <v>395</v>
      </c>
      <c r="P7" s="94" t="s">
        <v>396</v>
      </c>
      <c r="Q7" s="90"/>
      <c r="R7" s="90"/>
      <c r="S7" s="90"/>
    </row>
    <row r="8" spans="1:27" ht="80.400000000000006" customHeight="1">
      <c r="A8" s="132" t="s">
        <v>54</v>
      </c>
      <c r="B8" s="132"/>
      <c r="C8" s="132"/>
      <c r="D8" s="132"/>
      <c r="E8" s="95" t="s">
        <v>397</v>
      </c>
      <c r="F8" s="95" t="s">
        <v>398</v>
      </c>
      <c r="G8" s="95" t="s">
        <v>399</v>
      </c>
      <c r="H8" s="95" t="s">
        <v>400</v>
      </c>
      <c r="I8" s="95" t="s">
        <v>401</v>
      </c>
      <c r="J8" s="95" t="s">
        <v>402</v>
      </c>
      <c r="K8" s="95" t="s">
        <v>403</v>
      </c>
      <c r="L8" s="95" t="s">
        <v>404</v>
      </c>
      <c r="M8" s="95" t="s">
        <v>405</v>
      </c>
      <c r="N8" s="95" t="s">
        <v>406</v>
      </c>
      <c r="O8" s="95" t="s">
        <v>407</v>
      </c>
      <c r="P8" s="122" t="s">
        <v>408</v>
      </c>
      <c r="Q8" s="124"/>
      <c r="R8" s="124"/>
      <c r="S8" s="124"/>
    </row>
    <row r="9" spans="1:27" ht="312">
      <c r="A9" s="132" t="s">
        <v>65</v>
      </c>
      <c r="B9" s="132"/>
      <c r="C9" s="132"/>
      <c r="D9" s="132"/>
      <c r="E9" s="95" t="s">
        <v>409</v>
      </c>
      <c r="F9" s="122" t="s">
        <v>410</v>
      </c>
      <c r="G9" s="122" t="s">
        <v>411</v>
      </c>
      <c r="H9" s="122" t="s">
        <v>412</v>
      </c>
      <c r="I9" s="122" t="s">
        <v>413</v>
      </c>
      <c r="J9" s="122" t="s">
        <v>414</v>
      </c>
      <c r="K9" s="122" t="s">
        <v>415</v>
      </c>
      <c r="L9" s="122" t="s">
        <v>416</v>
      </c>
      <c r="M9" s="122" t="s">
        <v>417</v>
      </c>
      <c r="N9" s="122" t="s">
        <v>418</v>
      </c>
      <c r="O9" s="122" t="s">
        <v>419</v>
      </c>
      <c r="P9" s="122" t="s">
        <v>420</v>
      </c>
      <c r="Q9" s="124"/>
      <c r="R9" s="124"/>
      <c r="S9" s="124"/>
    </row>
    <row r="10" spans="1:27" ht="189" customHeight="1">
      <c r="A10" s="119" t="s">
        <v>76</v>
      </c>
      <c r="B10" s="119"/>
      <c r="C10" s="119"/>
      <c r="D10" s="119"/>
      <c r="E10" s="175" t="s">
        <v>421</v>
      </c>
      <c r="F10" s="175" t="s">
        <v>422</v>
      </c>
      <c r="G10" s="175" t="s">
        <v>423</v>
      </c>
      <c r="H10" s="122" t="s">
        <v>424</v>
      </c>
      <c r="I10" s="122" t="s">
        <v>425</v>
      </c>
      <c r="J10" s="122" t="s">
        <v>426</v>
      </c>
      <c r="K10" s="122" t="s">
        <v>427</v>
      </c>
      <c r="L10" s="122" t="s">
        <v>428</v>
      </c>
      <c r="M10" s="122" t="s">
        <v>429</v>
      </c>
      <c r="N10" s="122" t="s">
        <v>430</v>
      </c>
      <c r="O10" s="122" t="s">
        <v>431</v>
      </c>
      <c r="P10" s="176" t="s">
        <v>432</v>
      </c>
      <c r="Q10" s="177"/>
      <c r="R10" s="177"/>
      <c r="S10" s="177"/>
    </row>
    <row r="11" spans="1:27" ht="72" customHeight="1">
      <c r="A11" s="158" t="s">
        <v>86</v>
      </c>
      <c r="B11" s="158"/>
      <c r="C11" s="158"/>
      <c r="D11" s="158"/>
      <c r="E11" s="122"/>
      <c r="F11" s="122" t="s">
        <v>433</v>
      </c>
      <c r="G11" s="122" t="s">
        <v>434</v>
      </c>
      <c r="H11" s="122" t="s">
        <v>435</v>
      </c>
      <c r="I11" s="122" t="s">
        <v>436</v>
      </c>
      <c r="J11" s="122" t="s">
        <v>437</v>
      </c>
      <c r="K11" s="122" t="s">
        <v>438</v>
      </c>
      <c r="L11" s="122" t="s">
        <v>439</v>
      </c>
      <c r="M11" s="122" t="s">
        <v>440</v>
      </c>
      <c r="N11" s="122" t="s">
        <v>441</v>
      </c>
      <c r="O11" s="122" t="s">
        <v>442</v>
      </c>
      <c r="P11" s="176" t="s">
        <v>432</v>
      </c>
      <c r="Q11" s="177"/>
      <c r="R11" s="177"/>
      <c r="S11" s="177"/>
    </row>
    <row r="12" spans="1:27" s="114" customFormat="1" ht="14.4">
      <c r="A12" s="115"/>
      <c r="B12" s="115"/>
      <c r="C12" s="115"/>
      <c r="D12" s="115"/>
      <c r="E12" s="115"/>
      <c r="F12" s="115"/>
      <c r="G12" s="115"/>
      <c r="H12" s="133"/>
      <c r="I12" s="133"/>
      <c r="J12" s="115"/>
      <c r="K12" s="115"/>
      <c r="L12" s="115"/>
      <c r="M12" s="115"/>
      <c r="N12" s="115"/>
      <c r="O12" s="115"/>
      <c r="P12" s="115"/>
      <c r="Q12" s="115"/>
      <c r="R12" s="115"/>
      <c r="S12" s="115"/>
      <c r="T12" s="115"/>
    </row>
    <row r="13" spans="1:27" s="114" customFormat="1" ht="14.4">
      <c r="A13" s="115"/>
      <c r="B13" s="115"/>
      <c r="C13" s="115"/>
      <c r="D13" s="115"/>
      <c r="E13" s="115"/>
      <c r="F13" s="115"/>
      <c r="G13" s="115"/>
      <c r="H13" s="133"/>
      <c r="I13" s="133"/>
      <c r="J13" s="115"/>
      <c r="K13" s="115"/>
      <c r="L13" s="115"/>
      <c r="M13" s="115"/>
      <c r="N13" s="115"/>
      <c r="O13" s="115"/>
      <c r="P13" s="115"/>
      <c r="Q13" s="115"/>
      <c r="R13" s="115"/>
      <c r="S13" s="115"/>
      <c r="T13" s="115"/>
    </row>
    <row r="14" spans="1:27" s="114" customFormat="1" ht="14.4">
      <c r="A14" s="115"/>
      <c r="B14" s="115"/>
      <c r="C14" s="115"/>
      <c r="D14" s="115"/>
      <c r="E14" s="115"/>
      <c r="F14" s="115"/>
      <c r="G14" s="115"/>
      <c r="H14" s="133"/>
      <c r="I14" s="133"/>
      <c r="J14" s="115"/>
      <c r="K14" s="115"/>
      <c r="L14" s="115"/>
      <c r="M14" s="115"/>
      <c r="N14" s="115"/>
      <c r="O14" s="115"/>
      <c r="P14" s="115"/>
      <c r="Q14" s="115"/>
      <c r="R14" s="115"/>
      <c r="S14" s="115"/>
      <c r="T14" s="115"/>
    </row>
    <row r="15" spans="1:27" customFormat="1" ht="14.4">
      <c r="A15" t="s">
        <v>96</v>
      </c>
      <c r="B15" t="s">
        <v>97</v>
      </c>
      <c r="C15" t="s">
        <v>98</v>
      </c>
      <c r="D15" s="356" t="s">
        <v>99</v>
      </c>
      <c r="E15" s="14" t="s">
        <v>373</v>
      </c>
      <c r="F15" s="14" t="s">
        <v>374</v>
      </c>
      <c r="G15" s="14" t="s">
        <v>375</v>
      </c>
      <c r="H15" s="14" t="s">
        <v>376</v>
      </c>
      <c r="I15" s="14" t="s">
        <v>377</v>
      </c>
      <c r="J15" s="14" t="s">
        <v>378</v>
      </c>
      <c r="K15" s="14" t="s">
        <v>379</v>
      </c>
      <c r="L15" s="14" t="s">
        <v>380</v>
      </c>
      <c r="M15" s="14" t="s">
        <v>381</v>
      </c>
      <c r="N15" s="14" t="s">
        <v>382</v>
      </c>
      <c r="O15" s="14" t="s">
        <v>383</v>
      </c>
      <c r="P15" s="14" t="s">
        <v>384</v>
      </c>
      <c r="Q15" s="14" t="s">
        <v>384</v>
      </c>
    </row>
    <row r="16" spans="1:27" s="114" customFormat="1" ht="14.4">
      <c r="A16" t="s">
        <v>100</v>
      </c>
      <c r="B16" s="15" t="s">
        <v>97</v>
      </c>
      <c r="C16" s="15" t="str">
        <f>HYPERLINK("01-组织级\02-组织工作库\02-EPG活动库\03-过程改进计划\过程改进计划(QCUBIC-SPI-PIM-PIPlan)V1.2-engl.docx", "engl")</f>
        <v>engl</v>
      </c>
      <c r="D16"/>
      <c r="E16" t="s">
        <v>101</v>
      </c>
      <c r="F16"/>
      <c r="G16"/>
      <c r="H16" t="s">
        <v>101</v>
      </c>
      <c r="I16" t="s">
        <v>101</v>
      </c>
      <c r="J16" t="s">
        <v>101</v>
      </c>
      <c r="K16" t="s">
        <v>101</v>
      </c>
      <c r="L16"/>
      <c r="M16"/>
      <c r="N16"/>
      <c r="O16"/>
      <c r="P16"/>
      <c r="Q16"/>
      <c r="R16"/>
      <c r="S16"/>
      <c r="T16"/>
      <c r="U16"/>
      <c r="V16"/>
      <c r="W16"/>
      <c r="X16"/>
      <c r="Y16"/>
      <c r="Z16"/>
      <c r="AA16"/>
    </row>
    <row r="17" spans="1:27" s="114" customFormat="1" ht="14.4">
      <c r="A17" t="s">
        <v>100</v>
      </c>
      <c r="B17" s="15" t="s">
        <v>97</v>
      </c>
      <c r="C17" s="15" t="str">
        <f>HYPERLINK("01-组织级\02-组织工作库\02-EPG活动库\02-现场诊断\北京快立方科技有限公司现场诊断报告-engl.pptx", "engl")</f>
        <v>engl</v>
      </c>
      <c r="D17"/>
      <c r="E17"/>
      <c r="F17" t="s">
        <v>101</v>
      </c>
      <c r="G17"/>
      <c r="H17"/>
      <c r="I17"/>
      <c r="J17"/>
      <c r="K17"/>
      <c r="L17"/>
      <c r="M17"/>
      <c r="N17"/>
      <c r="O17"/>
      <c r="P17"/>
      <c r="Q17"/>
      <c r="R17"/>
      <c r="S17"/>
      <c r="T17"/>
      <c r="U17"/>
      <c r="V17"/>
      <c r="W17"/>
      <c r="X17"/>
      <c r="Y17"/>
      <c r="Z17"/>
      <c r="AA17"/>
    </row>
    <row r="18" spans="1:27" s="114" customFormat="1" ht="14.4">
      <c r="A18" t="s">
        <v>100</v>
      </c>
      <c r="B18" s="15" t="s">
        <v>97</v>
      </c>
      <c r="C18" s="15" t="str">
        <f>HYPERLINK("01-组织级\02-组织工作库\02-EPG活动库\过程改进总结报告-engl.pptx", "engl")</f>
        <v>engl</v>
      </c>
      <c r="D18"/>
      <c r="E18"/>
      <c r="F18" t="s">
        <v>101</v>
      </c>
      <c r="G18"/>
      <c r="H18"/>
      <c r="I18"/>
      <c r="J18"/>
      <c r="K18"/>
      <c r="L18" t="s">
        <v>101</v>
      </c>
      <c r="M18"/>
      <c r="N18" t="s">
        <v>101</v>
      </c>
      <c r="O18" t="s">
        <v>101</v>
      </c>
      <c r="P18"/>
      <c r="Q18"/>
      <c r="R18"/>
      <c r="S18"/>
      <c r="T18"/>
      <c r="U18"/>
      <c r="V18"/>
      <c r="W18"/>
      <c r="X18"/>
      <c r="Y18"/>
      <c r="Z18"/>
      <c r="AA18"/>
    </row>
    <row r="19" spans="1:27" s="114" customFormat="1" ht="14.4">
      <c r="A19" t="s">
        <v>100</v>
      </c>
      <c r="B19" s="15" t="s">
        <v>97</v>
      </c>
      <c r="C19" s="15" t="str">
        <f>HYPERLINK("01-组织级\02-组织工作库\02-EPG活动库\01-EPG章程\EPG章程(QCUBIC-SPI-PIM-Std-EPGRule)V1.2-engl.docx", "engl")</f>
        <v>engl</v>
      </c>
      <c r="D19"/>
      <c r="E19"/>
      <c r="F19" t="s">
        <v>101</v>
      </c>
      <c r="G19"/>
      <c r="H19"/>
      <c r="I19"/>
      <c r="J19"/>
      <c r="K19"/>
      <c r="L19"/>
      <c r="M19"/>
      <c r="N19"/>
      <c r="O19"/>
      <c r="P19"/>
      <c r="Q19"/>
      <c r="R19"/>
      <c r="S19"/>
      <c r="T19"/>
      <c r="U19"/>
      <c r="V19"/>
      <c r="W19"/>
      <c r="X19"/>
      <c r="Y19"/>
      <c r="Z19"/>
      <c r="AA19"/>
    </row>
    <row r="20" spans="1:27" s="114" customFormat="1" ht="14.4">
      <c r="A20" t="s">
        <v>100</v>
      </c>
      <c r="B20" s="15" t="s">
        <v>97</v>
      </c>
      <c r="C20" s="15" t="str">
        <f>HYPERLINK("01-组织级\02-组织工作库\02-EPG活动库\07-EPG跟踪\05-过程改进建议表\过程改进建议表(QCUBIC-SPI-PIM-SPIAdvic)V1.2-engl.xlsx", "engl")</f>
        <v>engl</v>
      </c>
      <c r="D20"/>
      <c r="E20"/>
      <c r="F20"/>
      <c r="G20" t="s">
        <v>101</v>
      </c>
      <c r="H20"/>
      <c r="I20"/>
      <c r="J20"/>
      <c r="K20"/>
      <c r="L20"/>
      <c r="M20" t="s">
        <v>101</v>
      </c>
      <c r="N20"/>
      <c r="O20"/>
      <c r="P20"/>
      <c r="Q20"/>
      <c r="R20"/>
      <c r="S20"/>
      <c r="T20"/>
      <c r="U20"/>
      <c r="V20"/>
      <c r="W20"/>
      <c r="X20"/>
      <c r="Y20"/>
      <c r="Z20"/>
      <c r="AA20"/>
    </row>
    <row r="21" spans="1:27" ht="14.4">
      <c r="A21" t="s">
        <v>100</v>
      </c>
      <c r="B21" s="15" t="s">
        <v>97</v>
      </c>
      <c r="C21"/>
      <c r="D21"/>
      <c r="E21"/>
      <c r="F21"/>
      <c r="G21"/>
      <c r="H21"/>
      <c r="I21"/>
      <c r="J21"/>
      <c r="K21" t="s">
        <v>101</v>
      </c>
      <c r="L21"/>
      <c r="M21"/>
      <c r="N21"/>
      <c r="O21"/>
      <c r="P21"/>
      <c r="Q21"/>
      <c r="R21"/>
      <c r="S21"/>
      <c r="T21"/>
      <c r="U21"/>
      <c r="V21"/>
      <c r="W21"/>
      <c r="X21"/>
      <c r="Y21"/>
      <c r="Z21"/>
      <c r="AA21"/>
    </row>
    <row r="22" spans="1:27" ht="14.4">
      <c r="A22" t="s">
        <v>100</v>
      </c>
      <c r="B22" s="15" t="s">
        <v>97</v>
      </c>
      <c r="C22" s="15" t="str">
        <f>HYPERLINK("01-组织级\02-组织工作库\02-EPG活动库\03-过程改进计划\关键子过程选择(QCUBIC_PCM_Select subprocess)V1.0-engl.xlsx", "engl")</f>
        <v>engl</v>
      </c>
      <c r="D22"/>
      <c r="E22"/>
      <c r="F22"/>
      <c r="G22"/>
      <c r="H22"/>
      <c r="I22"/>
      <c r="J22"/>
      <c r="K22" t="s">
        <v>101</v>
      </c>
      <c r="L22"/>
      <c r="M22"/>
      <c r="N22"/>
      <c r="O22"/>
      <c r="P22"/>
      <c r="Q22"/>
      <c r="R22"/>
      <c r="S22"/>
      <c r="T22"/>
      <c r="U22"/>
      <c r="V22"/>
      <c r="W22"/>
      <c r="X22"/>
      <c r="Y22"/>
      <c r="Z22"/>
      <c r="AA22"/>
    </row>
    <row r="23" spans="1:27" ht="14.4">
      <c r="A23" t="s">
        <v>100</v>
      </c>
      <c r="B23" s="15" t="s">
        <v>97</v>
      </c>
      <c r="C23" s="15" t="str">
        <f>HYPERLINK("01-组织级\02-组织工作库\02-EPG活动库\03-过程改进计划\过程改进计划评审报告(QCUBIC-SPI-VV-Tem-ReviewRpt)V1.2-engl.xlsx", "engl")</f>
        <v>engl</v>
      </c>
      <c r="D23"/>
      <c r="E23"/>
      <c r="F23"/>
      <c r="G23"/>
      <c r="H23"/>
      <c r="I23"/>
      <c r="J23"/>
      <c r="K23"/>
      <c r="L23" t="s">
        <v>101</v>
      </c>
      <c r="M23"/>
      <c r="N23"/>
      <c r="O23"/>
      <c r="P23"/>
      <c r="Q23"/>
      <c r="R23"/>
      <c r="S23"/>
      <c r="T23"/>
      <c r="U23"/>
      <c r="V23"/>
      <c r="W23"/>
      <c r="X23"/>
      <c r="Y23"/>
      <c r="Z23"/>
      <c r="AA23"/>
    </row>
    <row r="24" spans="1:27" ht="14.4">
      <c r="A24" t="s">
        <v>100</v>
      </c>
      <c r="B24" s="15" t="s">
        <v>97</v>
      </c>
      <c r="C24"/>
      <c r="D24"/>
      <c r="E24"/>
      <c r="F24"/>
      <c r="G24"/>
      <c r="H24"/>
      <c r="I24"/>
      <c r="J24"/>
      <c r="K24"/>
      <c r="L24"/>
      <c r="M24" t="s">
        <v>101</v>
      </c>
      <c r="N24"/>
      <c r="O24"/>
      <c r="P24"/>
      <c r="Q24"/>
      <c r="R24"/>
      <c r="S24"/>
      <c r="T24"/>
      <c r="U24"/>
      <c r="V24"/>
      <c r="W24"/>
      <c r="X24"/>
      <c r="Y24"/>
      <c r="Z24"/>
      <c r="AA24"/>
    </row>
    <row r="25" spans="1:27" ht="14.4">
      <c r="A25" t="s">
        <v>100</v>
      </c>
      <c r="B25" s="15" t="s">
        <v>97</v>
      </c>
      <c r="C25" s="15" t="str">
        <f>HYPERLINK("01-组织级\02-组织工作库\02-EPG活动库\05-项目试点\试点行动计划(QCUBIC-SPI-PIM-PilotPlan)V1.1-engl.docx", "engl")</f>
        <v>engl</v>
      </c>
      <c r="D25"/>
      <c r="E25"/>
      <c r="F25"/>
      <c r="G25"/>
      <c r="H25"/>
      <c r="I25"/>
      <c r="J25"/>
      <c r="K25"/>
      <c r="L25"/>
      <c r="M25" t="s">
        <v>101</v>
      </c>
      <c r="N25"/>
      <c r="O25"/>
      <c r="P25"/>
      <c r="Q25"/>
      <c r="R25"/>
      <c r="S25"/>
      <c r="T25"/>
      <c r="U25"/>
      <c r="V25"/>
      <c r="W25"/>
      <c r="X25"/>
      <c r="Y25"/>
      <c r="Z25"/>
      <c r="AA25"/>
    </row>
    <row r="26" spans="1:27" ht="14.4">
      <c r="A26" t="s">
        <v>100</v>
      </c>
      <c r="B26" s="15" t="s">
        <v>97</v>
      </c>
      <c r="C26" s="15" t="str">
        <f>HYPERLINK("01-组织级\02-组织工作库\02-EPG活动库\07-EPG跟踪\06-过程改进里程碑\过程改进里程碑报告(ORG_PCM_Milestone_20220628)V1.0-engl.docx", "engl")</f>
        <v>engl</v>
      </c>
      <c r="D26"/>
      <c r="E26"/>
      <c r="F26"/>
      <c r="G26"/>
      <c r="H26"/>
      <c r="I26"/>
      <c r="J26"/>
      <c r="K26"/>
      <c r="L26"/>
      <c r="M26"/>
      <c r="N26" t="s">
        <v>101</v>
      </c>
      <c r="O26"/>
      <c r="P26"/>
      <c r="Q26"/>
      <c r="R26"/>
      <c r="S26"/>
      <c r="T26"/>
      <c r="U26"/>
      <c r="V26"/>
      <c r="W26"/>
      <c r="X26"/>
      <c r="Y26"/>
      <c r="Z26"/>
      <c r="AA26"/>
    </row>
    <row r="27" spans="1:27" ht="14.4">
      <c r="A27" t="s">
        <v>100</v>
      </c>
      <c r="B27" s="15" t="s">
        <v>97</v>
      </c>
      <c r="C27" s="15" t="str">
        <f>HYPERLINK("01-组织级\02-组织工作库\02-EPG活动库\06-过程推广\过程部署计划(QCUBIC-SPI-PIM-PSPreadPlan)V1.2-engl.docx", "engl")</f>
        <v>engl</v>
      </c>
      <c r="D27"/>
      <c r="E27"/>
      <c r="F27"/>
      <c r="G27"/>
      <c r="H27"/>
      <c r="I27"/>
      <c r="J27"/>
      <c r="K27"/>
      <c r="L27"/>
      <c r="M27"/>
      <c r="N27" t="s">
        <v>101</v>
      </c>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E2:J2"/>
  </mergeCells>
  <phoneticPr fontId="62"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5" customWidth="1"/>
    <col min="2" max="4" width="7.88671875" style="115" customWidth="1"/>
    <col min="5" max="6" width="15.6640625" style="115" customWidth="1"/>
    <col min="7" max="7" width="15.6640625" style="133" customWidth="1"/>
    <col min="8" max="15" width="15.6640625" style="115" customWidth="1"/>
    <col min="16" max="16" width="50.6640625" style="115" customWidth="1"/>
    <col min="17" max="17" width="3.6640625" style="115" customWidth="1"/>
    <col min="18" max="18" width="45.6640625" style="115" bestFit="1" customWidth="1"/>
    <col min="19" max="19" width="58.6640625" style="115" customWidth="1"/>
    <col min="20" max="16384" width="8.6640625" style="115"/>
  </cols>
  <sheetData>
    <row r="1" spans="1:27" s="135" customFormat="1" ht="18">
      <c r="A1" s="102" t="s">
        <v>443</v>
      </c>
      <c r="B1" s="102"/>
      <c r="C1" s="102"/>
      <c r="D1" s="102"/>
      <c r="E1" s="103"/>
      <c r="F1" s="104"/>
      <c r="G1" s="133"/>
      <c r="H1" s="104"/>
      <c r="I1" s="104"/>
      <c r="J1" s="104"/>
      <c r="K1" s="104"/>
      <c r="L1" s="104"/>
      <c r="M1" s="104"/>
      <c r="N1" s="104"/>
      <c r="O1" s="104"/>
      <c r="P1" s="104"/>
      <c r="Q1" s="104"/>
      <c r="R1" s="104"/>
      <c r="S1" s="104"/>
      <c r="T1" s="104"/>
    </row>
    <row r="2" spans="1:27" s="136" customFormat="1">
      <c r="A2" s="107" t="s">
        <v>23</v>
      </c>
      <c r="B2" s="107"/>
      <c r="C2" s="107"/>
      <c r="D2" s="107"/>
      <c r="E2" s="104" t="s">
        <v>444</v>
      </c>
      <c r="F2" s="104"/>
      <c r="G2" s="133"/>
      <c r="H2" s="104"/>
      <c r="I2" s="104"/>
      <c r="J2" s="104"/>
      <c r="K2" s="104"/>
      <c r="L2" s="104"/>
      <c r="M2" s="104"/>
      <c r="N2" s="104"/>
      <c r="O2" s="104"/>
      <c r="P2" s="104"/>
      <c r="Q2" s="104"/>
      <c r="R2" s="104"/>
      <c r="S2" s="104"/>
      <c r="T2" s="104"/>
    </row>
    <row r="3" spans="1:27" s="135" customFormat="1">
      <c r="A3" s="104" t="s">
        <v>25</v>
      </c>
      <c r="B3" s="104"/>
      <c r="C3" s="104"/>
      <c r="D3" s="104"/>
      <c r="E3" s="104" t="s">
        <v>445</v>
      </c>
      <c r="F3" s="104"/>
      <c r="G3" s="133"/>
      <c r="H3" s="104"/>
      <c r="I3" s="104"/>
      <c r="J3" s="104"/>
      <c r="K3" s="104"/>
      <c r="L3" s="104"/>
      <c r="M3" s="104"/>
      <c r="N3" s="104"/>
      <c r="O3" s="104"/>
      <c r="P3" s="104"/>
      <c r="Q3" s="104"/>
      <c r="R3" s="104"/>
      <c r="S3" s="104"/>
      <c r="T3" s="104"/>
    </row>
    <row r="4" spans="1:27" s="135" customFormat="1">
      <c r="A4" s="108"/>
      <c r="B4" s="108"/>
      <c r="C4" s="108"/>
      <c r="D4" s="108"/>
      <c r="E4" s="109" t="s">
        <v>27</v>
      </c>
      <c r="F4" s="110" t="s">
        <v>28</v>
      </c>
      <c r="G4" s="110"/>
      <c r="H4" s="111"/>
      <c r="I4" s="113" t="s">
        <v>29</v>
      </c>
      <c r="J4" s="147"/>
      <c r="K4" s="147"/>
      <c r="L4" s="147"/>
      <c r="M4" s="113"/>
      <c r="N4" s="113"/>
      <c r="O4" s="113"/>
      <c r="P4" s="104"/>
      <c r="Q4" s="104"/>
      <c r="R4" s="104"/>
      <c r="S4" s="104"/>
      <c r="T4" s="104"/>
    </row>
    <row r="5" spans="1:27">
      <c r="E5" s="116" t="s">
        <v>30</v>
      </c>
      <c r="F5" s="117" t="s">
        <v>31</v>
      </c>
      <c r="G5" s="117"/>
      <c r="H5" s="111"/>
      <c r="I5" s="113" t="s">
        <v>32</v>
      </c>
      <c r="J5" s="147"/>
      <c r="K5" s="147"/>
      <c r="L5" s="147"/>
      <c r="M5" s="118"/>
      <c r="N5" s="118"/>
      <c r="O5" s="113"/>
      <c r="P5" s="104"/>
      <c r="Q5" s="104"/>
      <c r="R5" s="104"/>
    </row>
    <row r="6" spans="1:27">
      <c r="A6" s="132"/>
      <c r="B6" s="132"/>
      <c r="C6" s="132"/>
      <c r="D6" s="132"/>
      <c r="E6" s="178" t="s">
        <v>446</v>
      </c>
      <c r="F6" s="179" t="s">
        <v>447</v>
      </c>
      <c r="G6" s="179" t="s">
        <v>448</v>
      </c>
      <c r="H6" s="179" t="s">
        <v>449</v>
      </c>
      <c r="I6" s="180" t="s">
        <v>450</v>
      </c>
      <c r="J6" s="180" t="s">
        <v>451</v>
      </c>
      <c r="K6" s="180" t="s">
        <v>452</v>
      </c>
      <c r="L6" s="180" t="s">
        <v>453</v>
      </c>
      <c r="M6" s="180" t="s">
        <v>454</v>
      </c>
      <c r="N6" s="180" t="s">
        <v>455</v>
      </c>
      <c r="O6" s="181" t="s">
        <v>456</v>
      </c>
      <c r="P6" s="167"/>
      <c r="Q6" s="167"/>
      <c r="R6" s="167"/>
    </row>
    <row r="7" spans="1:27" ht="124.2">
      <c r="A7" s="121" t="s">
        <v>174</v>
      </c>
      <c r="B7" s="121"/>
      <c r="C7" s="121"/>
      <c r="D7" s="121"/>
      <c r="E7" s="94" t="s">
        <v>457</v>
      </c>
      <c r="F7" s="94" t="s">
        <v>458</v>
      </c>
      <c r="G7" s="94" t="s">
        <v>459</v>
      </c>
      <c r="H7" s="94" t="s">
        <v>460</v>
      </c>
      <c r="I7" s="94" t="s">
        <v>461</v>
      </c>
      <c r="J7" s="94" t="s">
        <v>462</v>
      </c>
      <c r="K7" s="94" t="s">
        <v>463</v>
      </c>
      <c r="L7" s="94" t="s">
        <v>464</v>
      </c>
      <c r="M7" s="94" t="s">
        <v>465</v>
      </c>
      <c r="N7" s="94" t="s">
        <v>466</v>
      </c>
      <c r="O7" s="94" t="s">
        <v>467</v>
      </c>
      <c r="P7" s="90"/>
      <c r="Q7" s="90"/>
      <c r="R7" s="90"/>
    </row>
    <row r="8" spans="1:27" ht="71.400000000000006">
      <c r="A8" s="132" t="s">
        <v>54</v>
      </c>
      <c r="B8" s="132"/>
      <c r="C8" s="132"/>
      <c r="D8" s="132"/>
      <c r="E8" s="130" t="s">
        <v>468</v>
      </c>
      <c r="F8" s="148" t="s">
        <v>469</v>
      </c>
      <c r="G8" s="148" t="s">
        <v>470</v>
      </c>
      <c r="H8" s="148" t="s">
        <v>471</v>
      </c>
      <c r="I8" s="148" t="s">
        <v>472</v>
      </c>
      <c r="J8" s="148" t="s">
        <v>473</v>
      </c>
      <c r="K8" s="148" t="s">
        <v>474</v>
      </c>
      <c r="L8" s="148" t="s">
        <v>475</v>
      </c>
      <c r="M8" s="148" t="s">
        <v>476</v>
      </c>
      <c r="N8" s="148" t="s">
        <v>477</v>
      </c>
      <c r="O8" s="148" t="s">
        <v>478</v>
      </c>
      <c r="P8" s="124"/>
      <c r="Q8" s="124"/>
      <c r="R8" s="124"/>
    </row>
    <row r="9" spans="1:27" ht="165" customHeight="1">
      <c r="A9" s="132" t="s">
        <v>65</v>
      </c>
      <c r="B9" s="132"/>
      <c r="C9" s="132"/>
      <c r="D9" s="132"/>
      <c r="E9" s="122" t="s">
        <v>479</v>
      </c>
      <c r="F9" s="122" t="s">
        <v>480</v>
      </c>
      <c r="G9" s="122" t="s">
        <v>481</v>
      </c>
      <c r="H9" s="122" t="s">
        <v>482</v>
      </c>
      <c r="I9" s="122" t="s">
        <v>483</v>
      </c>
      <c r="J9" s="122" t="s">
        <v>484</v>
      </c>
      <c r="K9" s="122" t="s">
        <v>485</v>
      </c>
      <c r="L9" s="122" t="s">
        <v>486</v>
      </c>
      <c r="M9" s="122" t="s">
        <v>487</v>
      </c>
      <c r="N9" s="122" t="s">
        <v>488</v>
      </c>
      <c r="O9" s="122" t="s">
        <v>489</v>
      </c>
      <c r="P9" s="124"/>
      <c r="Q9" s="124"/>
      <c r="R9" s="124"/>
    </row>
    <row r="10" spans="1:27" ht="124.2">
      <c r="A10" s="119" t="s">
        <v>76</v>
      </c>
      <c r="B10" s="119"/>
      <c r="C10" s="119"/>
      <c r="D10" s="119"/>
      <c r="E10" s="182"/>
      <c r="F10" s="99" t="s">
        <v>490</v>
      </c>
      <c r="G10" s="99" t="s">
        <v>491</v>
      </c>
      <c r="H10" s="99" t="s">
        <v>492</v>
      </c>
      <c r="I10" s="99" t="s">
        <v>493</v>
      </c>
      <c r="J10" s="99" t="s">
        <v>494</v>
      </c>
      <c r="K10" s="99" t="s">
        <v>495</v>
      </c>
      <c r="L10" s="99" t="s">
        <v>496</v>
      </c>
      <c r="M10" s="100" t="str">
        <f>K10</f>
        <v>- (2.3) How are the process assets made available for use in the organisation?</v>
      </c>
      <c r="N10" s="99" t="s">
        <v>497</v>
      </c>
      <c r="O10" s="99" t="s">
        <v>498</v>
      </c>
      <c r="P10" s="149"/>
      <c r="Q10" s="149"/>
      <c r="R10" s="149"/>
    </row>
    <row r="11" spans="1:27" ht="82.8">
      <c r="A11" s="158" t="s">
        <v>86</v>
      </c>
      <c r="B11" s="158"/>
      <c r="C11" s="158"/>
      <c r="D11" s="158"/>
      <c r="E11" s="99"/>
      <c r="F11" s="160" t="s">
        <v>499</v>
      </c>
      <c r="G11" s="99" t="s">
        <v>500</v>
      </c>
      <c r="H11" s="99" t="s">
        <v>501</v>
      </c>
      <c r="I11" s="99" t="s">
        <v>502</v>
      </c>
      <c r="J11" s="99" t="s">
        <v>503</v>
      </c>
      <c r="K11" s="99" t="s">
        <v>504</v>
      </c>
      <c r="L11" s="99" t="s">
        <v>505</v>
      </c>
      <c r="M11" s="99" t="str">
        <f>K11</f>
        <v>—(2.3)如何使过程资产在组织中可用?</v>
      </c>
      <c r="N11" s="99" t="s">
        <v>506</v>
      </c>
      <c r="O11" s="99" t="s">
        <v>507</v>
      </c>
      <c r="P11" s="149"/>
      <c r="Q11" s="149"/>
      <c r="R11" s="149"/>
    </row>
    <row r="15" spans="1:27" customFormat="1" ht="14.4">
      <c r="A15" t="s">
        <v>96</v>
      </c>
      <c r="B15" t="s">
        <v>97</v>
      </c>
      <c r="C15" t="s">
        <v>98</v>
      </c>
      <c r="D15" s="356" t="s">
        <v>99</v>
      </c>
      <c r="E15" s="14" t="s">
        <v>446</v>
      </c>
      <c r="F15" s="14" t="s">
        <v>447</v>
      </c>
      <c r="G15" s="14" t="s">
        <v>448</v>
      </c>
      <c r="H15" s="14" t="s">
        <v>449</v>
      </c>
      <c r="I15" s="14" t="s">
        <v>450</v>
      </c>
      <c r="J15" s="14" t="s">
        <v>451</v>
      </c>
      <c r="K15" s="14" t="s">
        <v>452</v>
      </c>
      <c r="L15" s="14" t="s">
        <v>453</v>
      </c>
      <c r="M15" s="14" t="s">
        <v>454</v>
      </c>
      <c r="N15" s="14" t="s">
        <v>455</v>
      </c>
      <c r="O15" s="14" t="s">
        <v>456</v>
      </c>
    </row>
    <row r="16" spans="1:27" s="114" customFormat="1" ht="14.4">
      <c r="A16" t="s">
        <v>100</v>
      </c>
      <c r="B16" s="15" t="s">
        <v>97</v>
      </c>
      <c r="C16"/>
      <c r="D16"/>
      <c r="E16" t="s">
        <v>101</v>
      </c>
      <c r="F16" t="s">
        <v>101</v>
      </c>
      <c r="G16" t="s">
        <v>101</v>
      </c>
      <c r="H16"/>
      <c r="I16"/>
      <c r="J16"/>
      <c r="K16"/>
      <c r="L16"/>
      <c r="M16" t="s">
        <v>101</v>
      </c>
      <c r="N16"/>
      <c r="O16"/>
      <c r="P16"/>
      <c r="Q16"/>
      <c r="R16"/>
      <c r="S16"/>
      <c r="T16"/>
      <c r="U16"/>
      <c r="V16"/>
      <c r="W16"/>
      <c r="X16"/>
      <c r="Y16"/>
      <c r="Z16"/>
      <c r="AA16"/>
    </row>
    <row r="17" spans="1:27" ht="14.4">
      <c r="A17" t="s">
        <v>100</v>
      </c>
      <c r="B17" s="15" t="s">
        <v>97</v>
      </c>
      <c r="C17"/>
      <c r="D17"/>
      <c r="E17"/>
      <c r="F17"/>
      <c r="G17" t="s">
        <v>101</v>
      </c>
      <c r="H17"/>
      <c r="I17"/>
      <c r="J17"/>
      <c r="K17"/>
      <c r="L17"/>
      <c r="M17"/>
      <c r="N17"/>
      <c r="O17"/>
      <c r="P17"/>
      <c r="Q17"/>
      <c r="R17"/>
      <c r="S17"/>
      <c r="T17"/>
      <c r="U17"/>
      <c r="V17"/>
      <c r="W17"/>
      <c r="X17"/>
      <c r="Y17"/>
      <c r="Z17"/>
      <c r="AA17"/>
    </row>
    <row r="18" spans="1:27" ht="14.4">
      <c r="A18" t="s">
        <v>100</v>
      </c>
      <c r="B18" s="15" t="s">
        <v>97</v>
      </c>
      <c r="C18"/>
      <c r="D18"/>
      <c r="E18"/>
      <c r="F18"/>
      <c r="G18"/>
      <c r="H18" t="s">
        <v>101</v>
      </c>
      <c r="I18" t="s">
        <v>101</v>
      </c>
      <c r="J18" t="s">
        <v>101</v>
      </c>
      <c r="K18" t="s">
        <v>101</v>
      </c>
      <c r="L18"/>
      <c r="M18"/>
      <c r="N18"/>
      <c r="O18"/>
      <c r="P18"/>
      <c r="Q18"/>
      <c r="R18"/>
      <c r="S18"/>
      <c r="T18"/>
      <c r="U18"/>
      <c r="V18"/>
      <c r="W18"/>
      <c r="X18"/>
      <c r="Y18"/>
      <c r="Z18"/>
      <c r="AA18"/>
    </row>
    <row r="19" spans="1:27" ht="14.4">
      <c r="A19" t="s">
        <v>100</v>
      </c>
      <c r="B19" s="15" t="s">
        <v>97</v>
      </c>
      <c r="C19" s="15" t="str">
        <f>HYPERLINK("01-组织级\02-组织工作库\02-EPG活动库\03-过程改进计划\过程改进计划(QCUBIC-SPI-PIM-PIPlan)V1.2-engl.docx", "engl")</f>
        <v>engl</v>
      </c>
      <c r="D19"/>
      <c r="E19"/>
      <c r="F19"/>
      <c r="G19"/>
      <c r="H19"/>
      <c r="I19" t="s">
        <v>101</v>
      </c>
      <c r="J19"/>
      <c r="K19"/>
      <c r="L19"/>
      <c r="M19"/>
      <c r="N19"/>
      <c r="O19"/>
      <c r="P19"/>
      <c r="Q19"/>
      <c r="R19"/>
      <c r="S19"/>
      <c r="T19"/>
      <c r="U19"/>
      <c r="V19"/>
      <c r="W19"/>
      <c r="X19"/>
      <c r="Y19"/>
      <c r="Z19"/>
      <c r="AA19"/>
    </row>
    <row r="20" spans="1:27" ht="14.4">
      <c r="A20" t="s">
        <v>100</v>
      </c>
      <c r="B20" s="15" t="s">
        <v>97</v>
      </c>
      <c r="C20" s="15" t="str">
        <f>HYPERLINK("01-组织级\01-组织财富库\01-标准过程文件库\04-组织过程类\02-过程资产管理\过程资产库管理指南 (QCUBIC-SPI-OPAL-Guid-Assetlib)V1.2-engl.docx", "engl")</f>
        <v>engl</v>
      </c>
      <c r="D20"/>
      <c r="E20"/>
      <c r="F20"/>
      <c r="G20"/>
      <c r="H20"/>
      <c r="I20" t="s">
        <v>101</v>
      </c>
      <c r="J20"/>
      <c r="K20"/>
      <c r="L20"/>
      <c r="M20"/>
      <c r="N20"/>
      <c r="O20"/>
      <c r="P20"/>
      <c r="Q20"/>
      <c r="R20"/>
      <c r="S20"/>
      <c r="T20"/>
      <c r="U20"/>
      <c r="V20"/>
      <c r="W20"/>
      <c r="X20"/>
      <c r="Y20"/>
      <c r="Z20"/>
      <c r="AA20"/>
    </row>
    <row r="21" spans="1:27" ht="14.4">
      <c r="A21" t="s">
        <v>100</v>
      </c>
      <c r="B21" s="15" t="s">
        <v>97</v>
      </c>
      <c r="C21" s="15" t="str">
        <f>HYPERLINK("01-组织级\01-组织财富库\01-标准过程文件库\04-组织过程类\02-过程资产管理\过程资产管理过程文件 (QCUBIC-SPI-OPAL-Proc-Doc)V1.2-engl.docx", "engl")</f>
        <v>engl</v>
      </c>
      <c r="D21"/>
      <c r="E21"/>
      <c r="F21"/>
      <c r="G21"/>
      <c r="H21"/>
      <c r="I21" t="s">
        <v>101</v>
      </c>
      <c r="J21"/>
      <c r="K21"/>
      <c r="L21"/>
      <c r="M21"/>
      <c r="N21"/>
      <c r="O21"/>
      <c r="P21"/>
      <c r="Q21"/>
      <c r="R21"/>
      <c r="S21"/>
      <c r="T21"/>
      <c r="U21"/>
      <c r="V21"/>
      <c r="W21"/>
      <c r="X21"/>
      <c r="Y21"/>
      <c r="Z21"/>
      <c r="AA21"/>
    </row>
    <row r="22" spans="1:27" ht="14.4">
      <c r="A22" t="s">
        <v>100</v>
      </c>
      <c r="B22" s="15" t="s">
        <v>97</v>
      </c>
      <c r="C22"/>
      <c r="D22"/>
      <c r="E22"/>
      <c r="F22"/>
      <c r="G22"/>
      <c r="H22"/>
      <c r="I22"/>
      <c r="J22" t="s">
        <v>101</v>
      </c>
      <c r="K22"/>
      <c r="L22"/>
      <c r="M22"/>
      <c r="N22"/>
      <c r="O22"/>
      <c r="P22"/>
      <c r="Q22"/>
      <c r="R22"/>
      <c r="S22"/>
      <c r="T22"/>
      <c r="U22"/>
      <c r="V22"/>
      <c r="W22"/>
      <c r="X22"/>
      <c r="Y22"/>
      <c r="Z22"/>
      <c r="AA22"/>
    </row>
    <row r="23" spans="1:27" ht="14.4">
      <c r="A23" t="s">
        <v>100</v>
      </c>
      <c r="B23" s="15" t="s">
        <v>97</v>
      </c>
      <c r="C23"/>
      <c r="D23"/>
      <c r="E23"/>
      <c r="F23"/>
      <c r="G23"/>
      <c r="H23"/>
      <c r="I23"/>
      <c r="J23" t="s">
        <v>101</v>
      </c>
      <c r="K23"/>
      <c r="L23"/>
      <c r="M23"/>
      <c r="N23"/>
      <c r="O23"/>
      <c r="P23"/>
      <c r="Q23"/>
      <c r="R23"/>
      <c r="S23"/>
      <c r="T23"/>
      <c r="U23"/>
      <c r="V23"/>
      <c r="W23"/>
      <c r="X23"/>
      <c r="Y23"/>
      <c r="Z23"/>
      <c r="AA23"/>
    </row>
    <row r="24" spans="1:27" ht="14.4">
      <c r="A24" t="s">
        <v>100</v>
      </c>
      <c r="B24" s="15" t="s">
        <v>97</v>
      </c>
      <c r="C24" s="15" t="str">
        <f>HYPERLINK("01-组织级\01-组织财富库\01-标准过程文件库\04-组织过程类\02-过程资产管理\裁剪指南 (QCUBIC-SPI-OPAL-Guid-Tailor)V1.2-engl.xlsx", "engl")</f>
        <v>engl</v>
      </c>
      <c r="D24"/>
      <c r="E24"/>
      <c r="F24"/>
      <c r="G24"/>
      <c r="H24"/>
      <c r="I24"/>
      <c r="J24"/>
      <c r="K24"/>
      <c r="L24" t="s">
        <v>101</v>
      </c>
      <c r="M24"/>
      <c r="N24"/>
      <c r="O24"/>
      <c r="P24"/>
      <c r="Q24"/>
      <c r="R24"/>
      <c r="S24"/>
      <c r="T24"/>
      <c r="U24"/>
      <c r="V24"/>
      <c r="W24"/>
      <c r="X24"/>
      <c r="Y24"/>
      <c r="Z24"/>
      <c r="AA24"/>
    </row>
    <row r="25" spans="1:27" ht="14.4">
      <c r="A25" t="s">
        <v>100</v>
      </c>
      <c r="B25" s="15" t="s">
        <v>97</v>
      </c>
      <c r="C25" s="15" t="str">
        <f>HYPERLINK("01-组织级\01-组织财富库\01-标准过程文件库\04-组织过程类\02-过程资产管理\工作环境标准(QCUBIC-SPI-OPAL-Std-Environment)V1.2(1)-engl.docx", "engl")</f>
        <v>engl</v>
      </c>
      <c r="D25"/>
      <c r="E25"/>
      <c r="F25"/>
      <c r="G25"/>
      <c r="H25"/>
      <c r="I25"/>
      <c r="J25"/>
      <c r="K25"/>
      <c r="L25"/>
      <c r="M25"/>
      <c r="N25" t="s">
        <v>101</v>
      </c>
      <c r="O25"/>
      <c r="P25"/>
      <c r="Q25"/>
      <c r="R25"/>
      <c r="S25"/>
      <c r="T25"/>
      <c r="U25"/>
      <c r="V25"/>
      <c r="W25"/>
      <c r="X25"/>
      <c r="Y25"/>
      <c r="Z25"/>
      <c r="AA25"/>
    </row>
    <row r="26" spans="1:27" s="114" customFormat="1" ht="14.4">
      <c r="A26" t="s">
        <v>100</v>
      </c>
      <c r="B26" s="15" t="s">
        <v>97</v>
      </c>
      <c r="C26" s="15" t="str">
        <f>HYPERLINK("01-组织级\02-组织工作库\06-度量\组织度量表(QCUBIC-SPI-MPM-Tem-datasheet)V1.3-engl.xlsx", "engl")</f>
        <v>engl</v>
      </c>
      <c r="D26"/>
      <c r="E26"/>
      <c r="F26"/>
      <c r="G26"/>
      <c r="H26"/>
      <c r="I26"/>
      <c r="J26"/>
      <c r="K26"/>
      <c r="L26"/>
      <c r="M26"/>
      <c r="N26"/>
      <c r="O26" t="s">
        <v>101</v>
      </c>
      <c r="P26"/>
      <c r="Q26"/>
      <c r="R26"/>
      <c r="S26"/>
      <c r="T26"/>
      <c r="U26"/>
      <c r="V26"/>
      <c r="W26"/>
      <c r="X26"/>
      <c r="Y26"/>
      <c r="Z26"/>
      <c r="AA26"/>
    </row>
    <row r="27" spans="1:27" ht="14.4">
      <c r="A27" t="s">
        <v>100</v>
      </c>
      <c r="B27" s="15" t="s">
        <v>97</v>
      </c>
      <c r="C27" s="15" t="str">
        <f>HYPERLINK("01-组织级\01-组织财富库\01-标准过程文件库\03-支持类\03-度量分析\度量分析指南 (QCUBIC-SPI-MPM-Guid-Doc)V1.2-engl.docx", "engl")</f>
        <v>engl</v>
      </c>
      <c r="D27"/>
      <c r="E27"/>
      <c r="F27"/>
      <c r="G27"/>
      <c r="H27"/>
      <c r="I27"/>
      <c r="J27"/>
      <c r="K27"/>
      <c r="L27"/>
      <c r="M27"/>
      <c r="N27"/>
      <c r="O27" t="s">
        <v>101</v>
      </c>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4" customWidth="1"/>
    <col min="2" max="4" width="7.88671875" style="114" customWidth="1"/>
    <col min="5" max="8" width="12.6640625" style="114" customWidth="1"/>
    <col min="9" max="26" width="14.6640625" style="114" customWidth="1"/>
    <col min="27" max="27" width="10.109375" style="114" customWidth="1"/>
    <col min="28" max="28" width="3.6640625" style="114" customWidth="1"/>
    <col min="29" max="29" width="32.109375" style="114" bestFit="1" customWidth="1"/>
    <col min="30" max="30" width="72" style="114" customWidth="1"/>
    <col min="31" max="32" width="16.6640625" style="114" customWidth="1"/>
    <col min="33" max="33" width="61.88671875" style="114" customWidth="1"/>
    <col min="34" max="16384" width="8.88671875" style="114"/>
  </cols>
  <sheetData>
    <row r="1" spans="1:32" ht="21">
      <c r="A1" s="183" t="s">
        <v>508</v>
      </c>
      <c r="B1" s="183"/>
      <c r="C1" s="183"/>
      <c r="D1" s="183"/>
      <c r="E1" s="184"/>
      <c r="F1" s="184"/>
      <c r="G1" s="184"/>
      <c r="H1" s="184"/>
      <c r="I1" s="184"/>
      <c r="J1" s="184"/>
      <c r="K1" s="184"/>
      <c r="L1" s="184"/>
      <c r="M1" s="361"/>
      <c r="N1" s="361"/>
      <c r="O1" s="361"/>
      <c r="P1" s="361"/>
      <c r="Q1" s="361"/>
      <c r="R1" s="361"/>
    </row>
    <row r="2" spans="1:32" ht="15.6">
      <c r="A2" s="185" t="s">
        <v>23</v>
      </c>
      <c r="B2" s="185"/>
      <c r="C2" s="185"/>
      <c r="D2" s="185"/>
      <c r="E2" s="186" t="s">
        <v>509</v>
      </c>
      <c r="F2" s="186"/>
      <c r="G2" s="186"/>
      <c r="H2" s="186"/>
      <c r="I2" s="186"/>
      <c r="J2" s="186"/>
      <c r="K2" s="186"/>
      <c r="L2" s="186"/>
      <c r="M2" s="186"/>
      <c r="S2" s="187"/>
      <c r="X2" s="120"/>
    </row>
    <row r="3" spans="1:32" ht="15.6">
      <c r="A3" s="185" t="s">
        <v>25</v>
      </c>
      <c r="B3" s="185"/>
      <c r="C3" s="185"/>
      <c r="D3" s="185"/>
      <c r="E3" s="186" t="s">
        <v>510</v>
      </c>
      <c r="F3" s="186"/>
      <c r="G3" s="186"/>
      <c r="H3" s="186"/>
      <c r="I3" s="186"/>
      <c r="J3" s="186"/>
      <c r="K3" s="186"/>
      <c r="L3" s="186"/>
      <c r="M3" s="186"/>
    </row>
    <row r="4" spans="1:32" ht="15.6">
      <c r="A4" s="185"/>
      <c r="B4" s="185"/>
      <c r="C4" s="185"/>
      <c r="D4" s="185"/>
      <c r="E4" s="188" t="s">
        <v>27</v>
      </c>
      <c r="F4" s="188"/>
      <c r="G4" s="189" t="s">
        <v>28</v>
      </c>
      <c r="H4" s="189"/>
      <c r="I4" s="189"/>
      <c r="J4" s="189"/>
      <c r="K4" s="189"/>
      <c r="L4" s="189"/>
      <c r="M4" s="190" t="s">
        <v>29</v>
      </c>
      <c r="N4" s="191"/>
      <c r="O4" s="191"/>
      <c r="P4" s="191"/>
      <c r="Q4" s="191"/>
      <c r="R4" s="191"/>
      <c r="S4" s="170" t="s">
        <v>371</v>
      </c>
      <c r="T4" s="170"/>
      <c r="U4" s="170"/>
      <c r="V4" s="170"/>
      <c r="W4" s="170"/>
      <c r="X4" s="192" t="s">
        <v>511</v>
      </c>
      <c r="Y4" s="192"/>
      <c r="Z4" s="192"/>
    </row>
    <row r="5" spans="1:32">
      <c r="E5" s="116" t="s">
        <v>30</v>
      </c>
      <c r="F5" s="193"/>
      <c r="G5" s="117" t="s">
        <v>31</v>
      </c>
      <c r="H5" s="194"/>
      <c r="I5" s="194"/>
      <c r="J5" s="194"/>
      <c r="K5" s="194"/>
      <c r="L5" s="110"/>
      <c r="M5" s="113" t="s">
        <v>32</v>
      </c>
      <c r="N5" s="191"/>
      <c r="O5" s="191"/>
      <c r="P5" s="191"/>
      <c r="Q5" s="191"/>
      <c r="R5" s="191"/>
      <c r="S5" s="171" t="s">
        <v>372</v>
      </c>
      <c r="T5" s="170"/>
      <c r="U5" s="170"/>
      <c r="V5" s="170"/>
      <c r="W5" s="170"/>
      <c r="X5" s="195" t="s">
        <v>512</v>
      </c>
      <c r="Y5" s="192"/>
      <c r="Z5" s="192"/>
    </row>
    <row r="6" spans="1:32">
      <c r="A6" s="119"/>
      <c r="B6" s="119"/>
      <c r="C6" s="119"/>
      <c r="D6" s="119"/>
      <c r="E6" s="172" t="s">
        <v>513</v>
      </c>
      <c r="F6" s="172" t="s">
        <v>514</v>
      </c>
      <c r="G6" s="87" t="s">
        <v>515</v>
      </c>
      <c r="H6" s="87" t="s">
        <v>516</v>
      </c>
      <c r="I6" s="87" t="s">
        <v>517</v>
      </c>
      <c r="J6" s="87" t="s">
        <v>518</v>
      </c>
      <c r="K6" s="196" t="s">
        <v>519</v>
      </c>
      <c r="L6" s="87" t="s">
        <v>520</v>
      </c>
      <c r="M6" s="197" t="s">
        <v>521</v>
      </c>
      <c r="N6" s="88" t="s">
        <v>522</v>
      </c>
      <c r="O6" s="88" t="s">
        <v>523</v>
      </c>
      <c r="P6" s="88" t="s">
        <v>524</v>
      </c>
      <c r="Q6" s="88" t="s">
        <v>525</v>
      </c>
      <c r="R6" s="88" t="s">
        <v>526</v>
      </c>
      <c r="S6" s="198" t="s">
        <v>527</v>
      </c>
      <c r="T6" s="198" t="s">
        <v>528</v>
      </c>
      <c r="U6" s="198" t="s">
        <v>529</v>
      </c>
      <c r="V6" s="198" t="s">
        <v>530</v>
      </c>
      <c r="W6" s="198" t="s">
        <v>531</v>
      </c>
      <c r="X6" s="169" t="s">
        <v>532</v>
      </c>
      <c r="Y6" s="169" t="s">
        <v>533</v>
      </c>
      <c r="Z6" s="199" t="s">
        <v>534</v>
      </c>
      <c r="AA6" s="90"/>
      <c r="AB6" s="90"/>
      <c r="AC6" s="90"/>
      <c r="AD6" s="362"/>
      <c r="AE6" s="362"/>
      <c r="AF6" s="362"/>
    </row>
    <row r="7" spans="1:32" ht="172.35" customHeight="1">
      <c r="A7" s="121" t="s">
        <v>174</v>
      </c>
      <c r="B7" s="121"/>
      <c r="C7" s="121"/>
      <c r="D7" s="121"/>
      <c r="E7" s="94" t="s">
        <v>535</v>
      </c>
      <c r="F7" s="94" t="s">
        <v>536</v>
      </c>
      <c r="G7" s="94" t="s">
        <v>537</v>
      </c>
      <c r="H7" s="94" t="s">
        <v>538</v>
      </c>
      <c r="I7" s="94" t="s">
        <v>539</v>
      </c>
      <c r="J7" s="94" t="s">
        <v>540</v>
      </c>
      <c r="K7" s="94" t="s">
        <v>541</v>
      </c>
      <c r="L7" s="94" t="s">
        <v>542</v>
      </c>
      <c r="M7" s="200" t="s">
        <v>543</v>
      </c>
      <c r="N7" s="94" t="s">
        <v>544</v>
      </c>
      <c r="O7" s="94" t="s">
        <v>545</v>
      </c>
      <c r="P7" s="94" t="s">
        <v>546</v>
      </c>
      <c r="Q7" s="94" t="s">
        <v>547</v>
      </c>
      <c r="R7" s="94" t="s">
        <v>548</v>
      </c>
      <c r="S7" s="94" t="s">
        <v>549</v>
      </c>
      <c r="T7" s="94" t="s">
        <v>550</v>
      </c>
      <c r="U7" s="94" t="s">
        <v>551</v>
      </c>
      <c r="V7" s="94" t="s">
        <v>552</v>
      </c>
      <c r="W7" s="94" t="s">
        <v>553</v>
      </c>
      <c r="X7" s="94" t="s">
        <v>554</v>
      </c>
      <c r="Y7" s="94" t="s">
        <v>555</v>
      </c>
      <c r="Z7" s="201" t="s">
        <v>556</v>
      </c>
      <c r="AA7" s="90"/>
      <c r="AB7" s="90"/>
      <c r="AC7" s="90"/>
    </row>
    <row r="8" spans="1:32" ht="117.6" customHeight="1">
      <c r="A8" s="119" t="s">
        <v>54</v>
      </c>
      <c r="B8" s="119"/>
      <c r="C8" s="119"/>
      <c r="D8" s="119"/>
      <c r="E8" s="130" t="s">
        <v>557</v>
      </c>
      <c r="F8" s="130" t="s">
        <v>558</v>
      </c>
      <c r="G8" s="130" t="s">
        <v>559</v>
      </c>
      <c r="H8" s="130" t="s">
        <v>560</v>
      </c>
      <c r="I8" s="130" t="s">
        <v>561</v>
      </c>
      <c r="J8" s="130" t="s">
        <v>562</v>
      </c>
      <c r="K8" s="202" t="s">
        <v>563</v>
      </c>
      <c r="L8" s="130" t="s">
        <v>564</v>
      </c>
      <c r="M8" s="203" t="s">
        <v>565</v>
      </c>
      <c r="N8" s="130" t="s">
        <v>566</v>
      </c>
      <c r="O8" s="130" t="s">
        <v>567</v>
      </c>
      <c r="P8" s="130" t="s">
        <v>568</v>
      </c>
      <c r="Q8" s="130" t="s">
        <v>569</v>
      </c>
      <c r="R8" s="130" t="s">
        <v>570</v>
      </c>
      <c r="S8" s="95" t="s">
        <v>571</v>
      </c>
      <c r="T8" s="95" t="s">
        <v>572</v>
      </c>
      <c r="U8" s="95" t="s">
        <v>573</v>
      </c>
      <c r="V8" s="95" t="s">
        <v>574</v>
      </c>
      <c r="W8" s="95" t="s">
        <v>575</v>
      </c>
      <c r="X8" s="95" t="s">
        <v>576</v>
      </c>
      <c r="Y8" s="95" t="s">
        <v>577</v>
      </c>
      <c r="Z8" s="204" t="s">
        <v>578</v>
      </c>
      <c r="AA8" s="96"/>
      <c r="AB8" s="96"/>
      <c r="AC8" s="96"/>
    </row>
    <row r="9" spans="1:32" ht="75" customHeight="1">
      <c r="A9" s="119" t="s">
        <v>65</v>
      </c>
      <c r="B9" s="119"/>
      <c r="C9" s="119"/>
      <c r="D9" s="119"/>
      <c r="E9" s="95" t="s">
        <v>579</v>
      </c>
      <c r="F9" s="95" t="s">
        <v>580</v>
      </c>
      <c r="G9" s="95" t="s">
        <v>581</v>
      </c>
      <c r="H9" s="95" t="s">
        <v>582</v>
      </c>
      <c r="I9" s="95" t="s">
        <v>583</v>
      </c>
      <c r="J9" s="95" t="s">
        <v>584</v>
      </c>
      <c r="K9" s="204" t="s">
        <v>585</v>
      </c>
      <c r="L9" s="95" t="s">
        <v>586</v>
      </c>
      <c r="M9" s="205" t="s">
        <v>587</v>
      </c>
      <c r="N9" s="95" t="s">
        <v>588</v>
      </c>
      <c r="O9" s="95" t="s">
        <v>589</v>
      </c>
      <c r="P9" s="95" t="s">
        <v>590</v>
      </c>
      <c r="Q9" s="95" t="s">
        <v>591</v>
      </c>
      <c r="R9" s="95" t="s">
        <v>592</v>
      </c>
      <c r="S9" s="122" t="s">
        <v>593</v>
      </c>
      <c r="T9" s="122" t="s">
        <v>594</v>
      </c>
      <c r="U9" s="95" t="s">
        <v>595</v>
      </c>
      <c r="V9" s="95" t="s">
        <v>596</v>
      </c>
      <c r="W9" s="95" t="s">
        <v>597</v>
      </c>
      <c r="X9" s="95" t="s">
        <v>598</v>
      </c>
      <c r="Y9" s="95" t="s">
        <v>599</v>
      </c>
      <c r="Z9" s="204" t="s">
        <v>600</v>
      </c>
      <c r="AA9" s="96"/>
      <c r="AB9" s="96"/>
      <c r="AC9" s="96"/>
    </row>
    <row r="10" spans="1:32" ht="198.6" customHeight="1">
      <c r="A10" s="119" t="s">
        <v>76</v>
      </c>
      <c r="B10" s="119"/>
      <c r="C10" s="119"/>
      <c r="D10" s="119"/>
      <c r="E10" s="99" t="s">
        <v>601</v>
      </c>
      <c r="F10" s="99" t="s">
        <v>602</v>
      </c>
      <c r="G10" s="99" t="s">
        <v>603</v>
      </c>
      <c r="H10" s="99" t="s">
        <v>604</v>
      </c>
      <c r="I10" s="99" t="s">
        <v>605</v>
      </c>
      <c r="J10" s="99" t="s">
        <v>606</v>
      </c>
      <c r="K10" s="206" t="s">
        <v>607</v>
      </c>
      <c r="L10" s="100" t="s">
        <v>608</v>
      </c>
      <c r="M10" s="207" t="s">
        <v>609</v>
      </c>
      <c r="N10" s="100" t="s">
        <v>610</v>
      </c>
      <c r="O10" s="100" t="s">
        <v>611</v>
      </c>
      <c r="P10" s="100" t="s">
        <v>612</v>
      </c>
      <c r="Q10" s="100" t="s">
        <v>613</v>
      </c>
      <c r="R10" s="100" t="s">
        <v>614</v>
      </c>
      <c r="S10" s="100" t="s">
        <v>615</v>
      </c>
      <c r="T10" s="100" t="s">
        <v>616</v>
      </c>
      <c r="U10" s="100" t="s">
        <v>617</v>
      </c>
      <c r="V10" s="100" t="s">
        <v>618</v>
      </c>
      <c r="W10" s="100" t="s">
        <v>619</v>
      </c>
      <c r="X10" s="100" t="s">
        <v>620</v>
      </c>
      <c r="Y10" s="100" t="s">
        <v>621</v>
      </c>
      <c r="Z10" s="100" t="s">
        <v>622</v>
      </c>
      <c r="AA10" s="90"/>
      <c r="AB10" s="90"/>
      <c r="AC10" s="90"/>
    </row>
    <row r="11" spans="1:32" ht="118.35" customHeight="1">
      <c r="A11" s="132" t="s">
        <v>86</v>
      </c>
      <c r="B11" s="132"/>
      <c r="C11" s="132"/>
      <c r="D11" s="132"/>
      <c r="E11" s="99" t="s">
        <v>623</v>
      </c>
      <c r="F11" s="99"/>
      <c r="G11" s="99" t="s">
        <v>624</v>
      </c>
      <c r="H11" s="99" t="s">
        <v>625</v>
      </c>
      <c r="I11" s="99" t="s">
        <v>626</v>
      </c>
      <c r="J11" s="99" t="s">
        <v>627</v>
      </c>
      <c r="K11" s="206" t="s">
        <v>628</v>
      </c>
      <c r="L11" s="100" t="s">
        <v>629</v>
      </c>
      <c r="M11" s="207" t="s">
        <v>630</v>
      </c>
      <c r="N11" s="100" t="s">
        <v>631</v>
      </c>
      <c r="O11" s="100" t="s">
        <v>632</v>
      </c>
      <c r="P11" s="100" t="s">
        <v>633</v>
      </c>
      <c r="Q11" s="100" t="s">
        <v>634</v>
      </c>
      <c r="R11" s="100" t="s">
        <v>635</v>
      </c>
      <c r="S11" s="100" t="s">
        <v>615</v>
      </c>
      <c r="T11" s="100" t="s">
        <v>616</v>
      </c>
      <c r="U11" s="100" t="s">
        <v>617</v>
      </c>
      <c r="V11" s="100" t="s">
        <v>618</v>
      </c>
      <c r="W11" s="100" t="s">
        <v>619</v>
      </c>
      <c r="X11" s="100" t="s">
        <v>620</v>
      </c>
      <c r="Y11" s="100" t="s">
        <v>621</v>
      </c>
      <c r="Z11" s="100" t="s">
        <v>622</v>
      </c>
      <c r="AA11" s="90"/>
      <c r="AB11" s="90"/>
      <c r="AC11" s="90"/>
    </row>
    <row r="15" spans="1:32" customFormat="1">
      <c r="A15" t="s">
        <v>96</v>
      </c>
      <c r="B15" t="s">
        <v>97</v>
      </c>
      <c r="C15" t="s">
        <v>98</v>
      </c>
      <c r="D15" s="356" t="s">
        <v>99</v>
      </c>
      <c r="E15" s="14" t="s">
        <v>513</v>
      </c>
      <c r="F15" s="14" t="s">
        <v>514</v>
      </c>
      <c r="G15" s="14" t="s">
        <v>515</v>
      </c>
      <c r="H15" s="14" t="s">
        <v>516</v>
      </c>
      <c r="I15" s="14" t="s">
        <v>517</v>
      </c>
      <c r="J15" s="14" t="s">
        <v>518</v>
      </c>
      <c r="K15" s="14" t="s">
        <v>519</v>
      </c>
      <c r="L15" s="14" t="s">
        <v>520</v>
      </c>
      <c r="M15" s="14" t="s">
        <v>521</v>
      </c>
      <c r="N15" s="14" t="s">
        <v>522</v>
      </c>
      <c r="O15" s="14" t="s">
        <v>523</v>
      </c>
      <c r="P15" s="14" t="s">
        <v>524</v>
      </c>
      <c r="Q15" s="14" t="s">
        <v>525</v>
      </c>
      <c r="R15" s="14" t="s">
        <v>526</v>
      </c>
      <c r="S15" s="14" t="s">
        <v>527</v>
      </c>
      <c r="T15" s="14" t="s">
        <v>528</v>
      </c>
      <c r="U15" s="14" t="s">
        <v>529</v>
      </c>
      <c r="V15" s="14" t="s">
        <v>530</v>
      </c>
      <c r="W15" s="14" t="s">
        <v>531</v>
      </c>
      <c r="X15" s="14" t="s">
        <v>532</v>
      </c>
      <c r="Y15" s="14" t="s">
        <v>533</v>
      </c>
      <c r="Z15" s="14" t="s">
        <v>534</v>
      </c>
      <c r="AA15" s="14"/>
    </row>
    <row r="16" spans="1:32">
      <c r="A16" t="s">
        <v>100</v>
      </c>
      <c r="B16" s="15" t="s">
        <v>97</v>
      </c>
      <c r="C16" s="15" t="str">
        <f>HYPERLINK("01-组织级\02-组织工作库\06-度量\组织度量表(QCUBIC-SPI-MPM-Tem-datasheet)V1.3-engl.xlsx", "engl")</f>
        <v>engl</v>
      </c>
      <c r="D16"/>
      <c r="E16" t="s">
        <v>101</v>
      </c>
      <c r="F16" t="s">
        <v>101</v>
      </c>
      <c r="G16"/>
      <c r="H16"/>
      <c r="I16" t="s">
        <v>101</v>
      </c>
      <c r="J16" t="s">
        <v>101</v>
      </c>
      <c r="K16" t="s">
        <v>101</v>
      </c>
      <c r="L16" t="s">
        <v>101</v>
      </c>
      <c r="M16" t="s">
        <v>101</v>
      </c>
      <c r="N16" t="s">
        <v>101</v>
      </c>
      <c r="O16"/>
      <c r="P16" t="s">
        <v>101</v>
      </c>
      <c r="Q16" t="s">
        <v>101</v>
      </c>
      <c r="R16" t="s">
        <v>101</v>
      </c>
      <c r="S16"/>
      <c r="T16"/>
      <c r="U16"/>
      <c r="V16"/>
      <c r="W16"/>
      <c r="X16"/>
      <c r="Y16"/>
      <c r="Z16"/>
      <c r="AA16"/>
    </row>
    <row r="17" spans="1:27">
      <c r="A17" t="s">
        <v>100</v>
      </c>
      <c r="B17" s="15" t="s">
        <v>97</v>
      </c>
      <c r="C17" s="15" t="str">
        <f>HYPERLINK("01-组织级\02-组织工作库\06-度量\组织度量计划(QCUBIC-SPI-MPM-Plan)V1.3-engl.xlsx", "engl")</f>
        <v>engl</v>
      </c>
      <c r="D17"/>
      <c r="E17" t="s">
        <v>101</v>
      </c>
      <c r="F17"/>
      <c r="G17" t="s">
        <v>101</v>
      </c>
      <c r="H17" t="s">
        <v>101</v>
      </c>
      <c r="I17"/>
      <c r="J17"/>
      <c r="K17"/>
      <c r="L17"/>
      <c r="M17"/>
      <c r="N17" t="s">
        <v>101</v>
      </c>
      <c r="O17"/>
      <c r="P17"/>
      <c r="Q17"/>
      <c r="R17"/>
      <c r="S17"/>
      <c r="T17"/>
      <c r="U17"/>
      <c r="V17"/>
      <c r="W17"/>
      <c r="X17"/>
      <c r="Y17"/>
      <c r="Z17"/>
      <c r="AA17"/>
    </row>
    <row r="18" spans="1:27">
      <c r="A18" t="s">
        <v>100</v>
      </c>
      <c r="B18" s="15" t="s">
        <v>97</v>
      </c>
      <c r="C18" s="15" t="str">
        <f>HYPERLINK("01-组织级\01-组织财富库\01-标准过程文件库\03-支持类\03-度量分析\度量分析指南 (QCUBIC-SPI-MPM-Guid-Doc)V1.2-engl.docx", "engl")</f>
        <v>engl</v>
      </c>
      <c r="D18"/>
      <c r="E18"/>
      <c r="F18"/>
      <c r="G18"/>
      <c r="H18" t="s">
        <v>101</v>
      </c>
      <c r="I18"/>
      <c r="J18"/>
      <c r="K18"/>
      <c r="L18"/>
      <c r="M18"/>
      <c r="N18"/>
      <c r="O18" t="s">
        <v>101</v>
      </c>
      <c r="P18"/>
      <c r="Q18"/>
      <c r="R18"/>
      <c r="S18"/>
      <c r="T18"/>
      <c r="U18"/>
      <c r="V18"/>
      <c r="W18"/>
      <c r="X18"/>
      <c r="Y18"/>
      <c r="Z18"/>
      <c r="AA18"/>
    </row>
    <row r="19" spans="1:27">
      <c r="A19" t="s">
        <v>100</v>
      </c>
      <c r="B19" s="15" t="s">
        <v>97</v>
      </c>
      <c r="C19" s="15" t="str">
        <f>HYPERLINK("01-组织级\01-组织财富库\01-标准过程文件库\03-支持类\03-度量分析\度量分析过程文件 (QCUBIC-SPI-MPM-Proc-Doc)V1.2-engl.docx", "engl")</f>
        <v>engl</v>
      </c>
      <c r="D19"/>
      <c r="E19"/>
      <c r="F19"/>
      <c r="G19"/>
      <c r="H19"/>
      <c r="I19"/>
      <c r="J19"/>
      <c r="K19"/>
      <c r="L19"/>
      <c r="M19"/>
      <c r="N19" t="s">
        <v>101</v>
      </c>
      <c r="O19"/>
      <c r="P19"/>
      <c r="Q19"/>
      <c r="R19"/>
      <c r="S19"/>
      <c r="T19"/>
      <c r="U19"/>
      <c r="V19"/>
      <c r="W19"/>
      <c r="X19"/>
      <c r="Y19"/>
      <c r="Z19"/>
      <c r="AA19"/>
    </row>
    <row r="20" spans="1:27">
      <c r="A20" t="s">
        <v>100</v>
      </c>
      <c r="B20" s="15" t="s">
        <v>97</v>
      </c>
      <c r="C20" s="15" t="str">
        <f>HYPERLINK("01-组织级\02-组织工作库\03-PQA活动库\组织级工作产品和过程检查表(QCUBIC-ORG-PQA-Checklist_20200627)V1.0-engl.xlsx", "engl")</f>
        <v>engl</v>
      </c>
      <c r="D20"/>
      <c r="E20"/>
      <c r="F20"/>
      <c r="G20"/>
      <c r="H20"/>
      <c r="I20"/>
      <c r="J20"/>
      <c r="K20"/>
      <c r="L20"/>
      <c r="M20"/>
      <c r="N20"/>
      <c r="O20" t="s">
        <v>101</v>
      </c>
      <c r="P20"/>
      <c r="Q20"/>
      <c r="R20"/>
      <c r="S20"/>
      <c r="T20"/>
      <c r="U20"/>
      <c r="V20"/>
      <c r="W20"/>
      <c r="X20"/>
      <c r="Y20"/>
      <c r="Z20"/>
      <c r="AA20"/>
    </row>
    <row r="21" spans="1:27">
      <c r="A21" t="s">
        <v>100</v>
      </c>
      <c r="B21" s="15" t="s">
        <v>97</v>
      </c>
      <c r="C21" s="15" t="str">
        <f>HYPERLINK("01-组织级\02-组织工作库\02-EPG活动库\07-EPG跟踪\01-EPG月报\EPG月报2020-06-engl.xlsx", "engl")</f>
        <v>engl</v>
      </c>
      <c r="D21"/>
      <c r="E21"/>
      <c r="F21"/>
      <c r="G21"/>
      <c r="H21"/>
      <c r="I21"/>
      <c r="J21"/>
      <c r="K21"/>
      <c r="L21"/>
      <c r="M21"/>
      <c r="N21"/>
      <c r="O21"/>
      <c r="P21"/>
      <c r="Q21"/>
      <c r="R21" t="s">
        <v>101</v>
      </c>
      <c r="S21"/>
      <c r="T21"/>
      <c r="U21"/>
      <c r="V21"/>
      <c r="W21"/>
      <c r="X21"/>
      <c r="Y21"/>
      <c r="Z21"/>
      <c r="AA21"/>
    </row>
    <row r="22" spans="1:27">
      <c r="A22" t="s">
        <v>100</v>
      </c>
      <c r="B22" s="15" t="s">
        <v>97</v>
      </c>
      <c r="C22" s="15" t="str">
        <f>HYPERLINK("01-组织级\02-组织工作库\01-会议记录\高层会议记录(QCUBIC-SPI-MeetingRcd-2020-06-03)V1.0-engl.docx", "engl")</f>
        <v>engl</v>
      </c>
      <c r="D22"/>
      <c r="E22"/>
      <c r="F22"/>
      <c r="G22"/>
      <c r="H22"/>
      <c r="I22"/>
      <c r="J22"/>
      <c r="K22"/>
      <c r="L22"/>
      <c r="M22"/>
      <c r="N22"/>
      <c r="O22"/>
      <c r="P22"/>
      <c r="Q22"/>
      <c r="R22" t="s">
        <v>101</v>
      </c>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mergeCells count="2">
    <mergeCell ref="M1:R1"/>
    <mergeCell ref="AD6:AF6"/>
  </mergeCells>
  <phoneticPr fontId="62"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20" customWidth="1"/>
    <col min="2" max="4" width="7.88671875" style="120" customWidth="1"/>
    <col min="5" max="6" width="20.6640625" style="120" customWidth="1"/>
    <col min="7" max="12" width="20.6640625" style="105" customWidth="1"/>
    <col min="13" max="13" width="50.6640625" style="105" customWidth="1"/>
    <col min="14" max="14" width="3.6640625" style="105" customWidth="1"/>
    <col min="15" max="15" width="35.6640625" style="105" bestFit="1" customWidth="1"/>
    <col min="16" max="16" width="67.109375" style="105" customWidth="1"/>
    <col min="17" max="17" width="24.33203125" style="105" customWidth="1"/>
    <col min="18" max="16384" width="8.6640625" style="120"/>
  </cols>
  <sheetData>
    <row r="1" spans="1:27" s="145" customFormat="1" ht="18">
      <c r="A1" s="102" t="s">
        <v>636</v>
      </c>
      <c r="B1" s="102"/>
      <c r="C1" s="102"/>
      <c r="D1" s="102"/>
      <c r="E1" s="103"/>
      <c r="F1" s="104"/>
      <c r="G1" s="105"/>
      <c r="H1" s="105"/>
      <c r="I1" s="105"/>
      <c r="J1" s="105"/>
      <c r="K1" s="105"/>
      <c r="L1" s="105"/>
      <c r="M1" s="105"/>
      <c r="N1" s="105"/>
      <c r="O1" s="105"/>
      <c r="P1" s="105"/>
      <c r="Q1" s="105"/>
    </row>
    <row r="2" spans="1:27" s="107" customFormat="1">
      <c r="A2" s="107" t="s">
        <v>23</v>
      </c>
      <c r="E2" s="120" t="s">
        <v>637</v>
      </c>
      <c r="F2" s="120"/>
      <c r="G2" s="120"/>
      <c r="H2" s="105"/>
      <c r="I2" s="105"/>
      <c r="J2" s="105"/>
      <c r="K2" s="105"/>
      <c r="L2" s="105"/>
      <c r="M2" s="105"/>
      <c r="N2" s="105"/>
      <c r="O2" s="105"/>
      <c r="P2" s="105"/>
      <c r="Q2" s="105"/>
    </row>
    <row r="3" spans="1:27" s="145" customFormat="1">
      <c r="A3" s="104" t="s">
        <v>25</v>
      </c>
      <c r="B3" s="104"/>
      <c r="C3" s="104"/>
      <c r="D3" s="104"/>
      <c r="E3" s="208" t="s">
        <v>638</v>
      </c>
      <c r="F3" s="208"/>
      <c r="G3" s="208"/>
      <c r="H3" s="105"/>
      <c r="I3" s="105"/>
      <c r="J3" s="105"/>
      <c r="K3" s="105"/>
      <c r="L3" s="105"/>
      <c r="M3" s="105"/>
      <c r="N3" s="105"/>
      <c r="O3" s="105"/>
      <c r="P3" s="105"/>
      <c r="Q3" s="105"/>
    </row>
    <row r="4" spans="1:27" s="145" customFormat="1" ht="14.4">
      <c r="A4" s="108"/>
      <c r="B4" s="108"/>
      <c r="C4" s="108"/>
      <c r="D4" s="108"/>
      <c r="E4" s="109" t="s">
        <v>27</v>
      </c>
      <c r="F4" s="110" t="s">
        <v>28</v>
      </c>
      <c r="G4" s="110"/>
      <c r="H4" s="113" t="s">
        <v>29</v>
      </c>
      <c r="I4" s="113"/>
      <c r="J4" s="147"/>
      <c r="K4" s="147"/>
      <c r="L4" s="147"/>
      <c r="M4" s="107"/>
      <c r="N4" s="107"/>
      <c r="O4" s="107"/>
      <c r="P4" s="104"/>
      <c r="Q4" s="104"/>
      <c r="R4" s="107"/>
      <c r="S4" s="114"/>
      <c r="T4" s="114"/>
    </row>
    <row r="5" spans="1:27" s="145" customFormat="1" ht="14.4">
      <c r="A5" s="115"/>
      <c r="B5" s="115"/>
      <c r="C5" s="115"/>
      <c r="D5" s="115"/>
      <c r="E5" s="116" t="s">
        <v>30</v>
      </c>
      <c r="F5" s="117" t="s">
        <v>31</v>
      </c>
      <c r="G5" s="117"/>
      <c r="H5" s="113" t="s">
        <v>32</v>
      </c>
      <c r="I5" s="166"/>
      <c r="J5" s="147"/>
      <c r="K5" s="147"/>
      <c r="L5" s="147"/>
      <c r="M5" s="107"/>
      <c r="N5" s="107"/>
      <c r="O5" s="107"/>
      <c r="P5" s="115"/>
      <c r="Q5" s="104"/>
      <c r="R5" s="107"/>
      <c r="S5" s="115"/>
      <c r="T5" s="114"/>
    </row>
    <row r="6" spans="1:27" s="104" customFormat="1">
      <c r="A6" s="119"/>
      <c r="B6" s="119"/>
      <c r="C6" s="119"/>
      <c r="D6" s="119"/>
      <c r="E6" s="3" t="s">
        <v>639</v>
      </c>
      <c r="F6" s="87" t="s">
        <v>640</v>
      </c>
      <c r="G6" s="87" t="s">
        <v>641</v>
      </c>
      <c r="H6" s="88" t="s">
        <v>642</v>
      </c>
      <c r="I6" s="88" t="s">
        <v>643</v>
      </c>
      <c r="J6" s="88" t="s">
        <v>644</v>
      </c>
      <c r="K6" s="88" t="s">
        <v>645</v>
      </c>
      <c r="L6" s="89" t="s">
        <v>646</v>
      </c>
      <c r="M6" s="90"/>
      <c r="N6" s="90"/>
      <c r="O6" s="90"/>
      <c r="P6" s="120"/>
      <c r="Q6" s="105"/>
    </row>
    <row r="7" spans="1:27" s="104" customFormat="1" ht="69">
      <c r="A7" s="121" t="s">
        <v>174</v>
      </c>
      <c r="B7" s="121"/>
      <c r="C7" s="121"/>
      <c r="D7" s="121"/>
      <c r="E7" s="94" t="s">
        <v>647</v>
      </c>
      <c r="F7" s="94" t="s">
        <v>648</v>
      </c>
      <c r="G7" s="94" t="s">
        <v>649</v>
      </c>
      <c r="H7" s="94" t="s">
        <v>650</v>
      </c>
      <c r="I7" s="94" t="s">
        <v>651</v>
      </c>
      <c r="J7" s="94" t="s">
        <v>652</v>
      </c>
      <c r="K7" s="94" t="s">
        <v>653</v>
      </c>
      <c r="L7" s="94" t="s">
        <v>654</v>
      </c>
      <c r="M7" s="90"/>
      <c r="N7" s="90"/>
      <c r="O7" s="90"/>
      <c r="P7" s="105"/>
      <c r="Q7" s="105"/>
    </row>
    <row r="8" spans="1:27" s="104" customFormat="1" ht="71.400000000000006">
      <c r="A8" s="119" t="s">
        <v>54</v>
      </c>
      <c r="B8" s="119"/>
      <c r="C8" s="119"/>
      <c r="D8" s="119"/>
      <c r="E8" s="148" t="s">
        <v>655</v>
      </c>
      <c r="F8" s="130" t="s">
        <v>656</v>
      </c>
      <c r="G8" s="130" t="s">
        <v>657</v>
      </c>
      <c r="H8" s="130" t="s">
        <v>658</v>
      </c>
      <c r="I8" s="130" t="s">
        <v>659</v>
      </c>
      <c r="J8" s="130" t="s">
        <v>660</v>
      </c>
      <c r="K8" s="130" t="s">
        <v>661</v>
      </c>
      <c r="L8" s="130" t="s">
        <v>662</v>
      </c>
      <c r="M8" s="96"/>
      <c r="N8" s="96"/>
      <c r="O8" s="96"/>
      <c r="P8" s="105"/>
      <c r="Q8" s="105"/>
    </row>
    <row r="9" spans="1:27" s="104" customFormat="1" ht="156.6" thickBot="1">
      <c r="A9" s="119" t="s">
        <v>65</v>
      </c>
      <c r="B9" s="119"/>
      <c r="C9" s="119"/>
      <c r="D9" s="119"/>
      <c r="E9" s="122" t="s">
        <v>663</v>
      </c>
      <c r="F9" s="122" t="s">
        <v>664</v>
      </c>
      <c r="G9" s="122" t="s">
        <v>665</v>
      </c>
      <c r="H9" s="122" t="s">
        <v>666</v>
      </c>
      <c r="I9" s="122" t="s">
        <v>667</v>
      </c>
      <c r="J9" s="122" t="s">
        <v>668</v>
      </c>
      <c r="K9" s="122" t="s">
        <v>669</v>
      </c>
      <c r="L9" s="122" t="s">
        <v>670</v>
      </c>
      <c r="M9" s="124"/>
      <c r="N9" s="124"/>
      <c r="O9" s="124"/>
      <c r="P9" s="105"/>
      <c r="Q9" s="105"/>
    </row>
    <row r="10" spans="1:27" s="104" customFormat="1" ht="84">
      <c r="A10" s="119" t="s">
        <v>76</v>
      </c>
      <c r="B10" s="168"/>
      <c r="C10" s="168"/>
      <c r="D10" s="168"/>
      <c r="E10" s="209" t="s">
        <v>671</v>
      </c>
      <c r="F10" s="210" t="s">
        <v>672</v>
      </c>
      <c r="G10" s="210" t="s">
        <v>673</v>
      </c>
      <c r="H10" s="210" t="s">
        <v>674</v>
      </c>
      <c r="I10" s="210" t="s">
        <v>675</v>
      </c>
      <c r="J10" s="210" t="s">
        <v>676</v>
      </c>
      <c r="K10" s="210" t="s">
        <v>677</v>
      </c>
      <c r="L10" s="210" t="s">
        <v>678</v>
      </c>
      <c r="M10" s="96"/>
      <c r="N10" s="96"/>
      <c r="O10" s="96"/>
      <c r="P10" s="105"/>
      <c r="Q10" s="105"/>
    </row>
    <row r="11" spans="1:27" s="104" customFormat="1" ht="36">
      <c r="A11" s="132" t="s">
        <v>86</v>
      </c>
      <c r="B11" s="132"/>
      <c r="C11" s="132"/>
      <c r="D11" s="132"/>
      <c r="E11" s="211" t="s">
        <v>679</v>
      </c>
      <c r="F11" s="95" t="s">
        <v>680</v>
      </c>
      <c r="G11" s="95" t="s">
        <v>681</v>
      </c>
      <c r="H11" s="95" t="s">
        <v>682</v>
      </c>
      <c r="I11" s="95" t="s">
        <v>683</v>
      </c>
      <c r="J11" s="95" t="s">
        <v>684</v>
      </c>
      <c r="K11" s="95" t="s">
        <v>685</v>
      </c>
      <c r="L11" s="95" t="s">
        <v>686</v>
      </c>
      <c r="M11" s="96"/>
      <c r="N11" s="96"/>
      <c r="O11" s="96"/>
      <c r="P11" s="105"/>
      <c r="Q11" s="105"/>
      <c r="R11" s="105"/>
      <c r="S11" s="105"/>
    </row>
    <row r="12" spans="1:27" ht="15" customHeight="1">
      <c r="G12" s="120"/>
      <c r="H12" s="120"/>
      <c r="I12" s="120"/>
      <c r="J12" s="120"/>
      <c r="K12" s="120"/>
      <c r="L12" s="120"/>
      <c r="M12" s="120"/>
      <c r="N12" s="120"/>
      <c r="O12" s="120"/>
      <c r="P12" s="120"/>
    </row>
    <row r="13" spans="1:27" ht="15" customHeight="1">
      <c r="G13" s="120"/>
      <c r="H13" s="120"/>
      <c r="I13" s="120"/>
      <c r="J13" s="120"/>
      <c r="K13" s="120"/>
      <c r="L13" s="120"/>
      <c r="M13" s="120"/>
      <c r="N13" s="120"/>
      <c r="O13" s="120"/>
      <c r="P13" s="120"/>
    </row>
    <row r="14" spans="1:27" ht="15" customHeight="1">
      <c r="G14" s="120"/>
      <c r="H14" s="120"/>
      <c r="I14" s="120"/>
      <c r="J14" s="120"/>
      <c r="K14" s="120"/>
      <c r="L14" s="120"/>
      <c r="M14" s="120"/>
      <c r="N14" s="120"/>
      <c r="O14" s="120"/>
      <c r="P14" s="120"/>
    </row>
    <row r="15" spans="1:27" customFormat="1" ht="14.4">
      <c r="A15" t="s">
        <v>96</v>
      </c>
      <c r="B15" t="s">
        <v>97</v>
      </c>
      <c r="C15" t="s">
        <v>98</v>
      </c>
      <c r="D15" s="356" t="s">
        <v>99</v>
      </c>
      <c r="E15" s="14" t="s">
        <v>639</v>
      </c>
      <c r="F15" s="14" t="s">
        <v>640</v>
      </c>
      <c r="G15" s="14" t="s">
        <v>641</v>
      </c>
      <c r="H15" s="14" t="s">
        <v>642</v>
      </c>
      <c r="I15" s="14" t="s">
        <v>643</v>
      </c>
      <c r="J15" s="14" t="s">
        <v>644</v>
      </c>
      <c r="K15" s="14" t="s">
        <v>645</v>
      </c>
      <c r="L15" s="14" t="s">
        <v>646</v>
      </c>
    </row>
    <row r="16" spans="1:27" ht="14.4">
      <c r="A16" t="s">
        <v>100</v>
      </c>
      <c r="B16" s="15" t="s">
        <v>97</v>
      </c>
      <c r="C16" s="15" t="str">
        <f>HYPERLINK("02-项目级\P1-Qcubic数据库管理工具 V1.0\02-全程管理\02-风险和机会管理\03-风险和机会管理一览表(QCUBIC-SJKGL-RSK-chk&amp;tracking)V1.2-engl.xlsx", "engl")</f>
        <v>engl</v>
      </c>
      <c r="D16"/>
      <c r="E16" t="s">
        <v>101</v>
      </c>
      <c r="F16" t="s">
        <v>101</v>
      </c>
      <c r="G16" t="s">
        <v>101</v>
      </c>
      <c r="H16" t="s">
        <v>101</v>
      </c>
      <c r="I16" t="s">
        <v>101</v>
      </c>
      <c r="J16" t="s">
        <v>101</v>
      </c>
      <c r="K16"/>
      <c r="L16" t="s">
        <v>101</v>
      </c>
      <c r="M16"/>
      <c r="N16"/>
      <c r="O16"/>
      <c r="P16"/>
      <c r="Q16"/>
      <c r="R16"/>
      <c r="S16"/>
      <c r="T16"/>
      <c r="U16"/>
      <c r="V16"/>
      <c r="W16"/>
      <c r="X16"/>
      <c r="Y16"/>
      <c r="Z16"/>
      <c r="AA16"/>
    </row>
    <row r="17" spans="1:27" ht="14.4">
      <c r="A17" t="s">
        <v>100</v>
      </c>
      <c r="B17" s="15" t="s">
        <v>97</v>
      </c>
      <c r="C17" s="15" t="str">
        <f>HYPERLINK("02-项目级\P1-Qcubic数据库管理工具 V1.0\02-全程管理\02-风险和机会管理\01-风险和机会检查表(QCUBIC-SJKGL-RSK-rc)V1.0-engl.xlsx", "engl")</f>
        <v>engl</v>
      </c>
      <c r="D17"/>
      <c r="E17" t="s">
        <v>101</v>
      </c>
      <c r="F17" t="s">
        <v>101</v>
      </c>
      <c r="G17"/>
      <c r="H17"/>
      <c r="I17"/>
      <c r="J17"/>
      <c r="K17"/>
      <c r="L17"/>
      <c r="M17"/>
      <c r="N17"/>
      <c r="O17"/>
      <c r="P17"/>
      <c r="Q17"/>
      <c r="R17"/>
      <c r="S17"/>
      <c r="T17"/>
      <c r="U17"/>
      <c r="V17"/>
      <c r="W17"/>
      <c r="X17"/>
      <c r="Y17"/>
      <c r="Z17"/>
      <c r="AA17"/>
    </row>
    <row r="18" spans="1:27" s="105" customFormat="1" ht="14.4">
      <c r="A18" t="s">
        <v>100</v>
      </c>
      <c r="B18" s="15" t="s">
        <v>97</v>
      </c>
      <c r="C18" s="15" t="str">
        <f>HYPERLINK("02-项目级\P1-Qcubic数据库管理工具 V1.0\02-全程管理\02-风险和机会管理\02-风险和机会管理计划(QCUBIC-SJKGL-RSK-plan)V1.0-engl.docx", "engl")</f>
        <v>engl</v>
      </c>
      <c r="D18"/>
      <c r="E18"/>
      <c r="F18" t="s">
        <v>101</v>
      </c>
      <c r="G18"/>
      <c r="H18"/>
      <c r="I18"/>
      <c r="J18"/>
      <c r="K18" t="s">
        <v>101</v>
      </c>
      <c r="L18" t="s">
        <v>101</v>
      </c>
      <c r="M18"/>
      <c r="N18"/>
      <c r="O18"/>
      <c r="P18"/>
      <c r="Q18"/>
      <c r="R18"/>
      <c r="S18"/>
      <c r="T18"/>
      <c r="U18"/>
      <c r="V18"/>
      <c r="W18"/>
      <c r="X18"/>
      <c r="Y18"/>
      <c r="Z18"/>
      <c r="AA18"/>
    </row>
    <row r="19" spans="1:27" s="105" customFormat="1" ht="14.4">
      <c r="A19" t="s">
        <v>100</v>
      </c>
      <c r="B19" s="15" t="s">
        <v>97</v>
      </c>
      <c r="C19" s="15" t="str">
        <f>HYPERLINK("01-组织级\01-组织财富库\01-标准过程文件库\01-项目管理规范\05-风险和机会管理\风险和机会管理过程文件(QCUBIC-SPI-RSK-Proc-Doc)V1.2-engl.docx", "engl")</f>
        <v>engl</v>
      </c>
      <c r="D19"/>
      <c r="E19"/>
      <c r="F19"/>
      <c r="G19"/>
      <c r="H19" t="s">
        <v>101</v>
      </c>
      <c r="I19" t="s">
        <v>101</v>
      </c>
      <c r="J19" t="s">
        <v>101</v>
      </c>
      <c r="K19"/>
      <c r="L19"/>
      <c r="M19"/>
      <c r="N19"/>
      <c r="O19"/>
      <c r="P19"/>
      <c r="Q19"/>
      <c r="R19"/>
      <c r="S19"/>
      <c r="T19"/>
      <c r="U19"/>
      <c r="V19"/>
      <c r="W19"/>
      <c r="X19"/>
      <c r="Y19"/>
      <c r="Z19"/>
      <c r="AA19"/>
    </row>
    <row r="20" spans="1:27" s="105" customFormat="1" ht="14.4">
      <c r="A20" t="s">
        <v>100</v>
      </c>
      <c r="B20" s="15" t="s">
        <v>97</v>
      </c>
      <c r="C20" s="15" t="str">
        <f>HYPERLINK("01-组织级\01-组织财富库\01-标准过程文件库\01-项目管理规范\05-风险和机会管理\风险和机会管理指南(QCUBIC-SPI-RSK-Guid-Management)V1.2-engl.docx", "engl")</f>
        <v>engl</v>
      </c>
      <c r="D20"/>
      <c r="E20"/>
      <c r="F20"/>
      <c r="G20"/>
      <c r="H20" t="s">
        <v>101</v>
      </c>
      <c r="I20" t="s">
        <v>101</v>
      </c>
      <c r="J20" t="s">
        <v>101</v>
      </c>
      <c r="K20"/>
      <c r="L20"/>
      <c r="M20"/>
      <c r="N20"/>
      <c r="O20"/>
      <c r="P20"/>
      <c r="Q20"/>
      <c r="R20"/>
      <c r="S20"/>
      <c r="T20"/>
      <c r="U20"/>
      <c r="V20"/>
      <c r="W20"/>
      <c r="X20"/>
      <c r="Y20"/>
      <c r="Z20"/>
      <c r="AA20"/>
    </row>
    <row r="21" spans="1:27" s="105" customFormat="1" ht="14.4">
      <c r="A21"/>
      <c r="B21"/>
      <c r="C21"/>
      <c r="D21"/>
      <c r="E21"/>
      <c r="F21"/>
      <c r="G21"/>
      <c r="H21"/>
      <c r="I21"/>
      <c r="J21"/>
      <c r="K21"/>
      <c r="L21"/>
      <c r="M21"/>
      <c r="N21"/>
      <c r="O21"/>
      <c r="P21"/>
      <c r="Q21"/>
      <c r="R21"/>
      <c r="S21"/>
      <c r="T21"/>
      <c r="U21"/>
      <c r="V21"/>
      <c r="W21"/>
      <c r="X21"/>
      <c r="Y21"/>
      <c r="Z21"/>
      <c r="AA21"/>
    </row>
    <row r="22" spans="1:27" s="105" customFormat="1" ht="14.4">
      <c r="A22"/>
      <c r="B22"/>
      <c r="C22"/>
      <c r="D22"/>
      <c r="E22"/>
      <c r="F22"/>
      <c r="G22"/>
      <c r="H22"/>
      <c r="I22"/>
      <c r="J22"/>
      <c r="K22"/>
      <c r="L22"/>
      <c r="M22"/>
      <c r="N22"/>
      <c r="O22"/>
      <c r="P22"/>
      <c r="Q22"/>
      <c r="R22"/>
      <c r="S22"/>
      <c r="T22"/>
      <c r="U22"/>
      <c r="V22"/>
      <c r="W22"/>
      <c r="X22"/>
      <c r="Y22"/>
      <c r="Z22"/>
      <c r="AA22"/>
    </row>
    <row r="23" spans="1:27" s="105" customFormat="1" ht="14.4">
      <c r="A23"/>
      <c r="B23"/>
      <c r="C23"/>
      <c r="D23"/>
      <c r="E23"/>
      <c r="F23"/>
      <c r="G23"/>
      <c r="H23"/>
      <c r="I23"/>
      <c r="J23"/>
      <c r="K23"/>
      <c r="L23"/>
      <c r="M23"/>
      <c r="N23"/>
      <c r="O23"/>
      <c r="P23"/>
      <c r="Q23"/>
      <c r="R23"/>
      <c r="S23"/>
      <c r="T23"/>
      <c r="U23"/>
      <c r="V23"/>
      <c r="W23"/>
      <c r="X23"/>
      <c r="Y23"/>
      <c r="Z23"/>
      <c r="AA23"/>
    </row>
    <row r="24" spans="1:27" s="105" customFormat="1" ht="14.4">
      <c r="A24"/>
      <c r="B24"/>
      <c r="C24"/>
      <c r="D24"/>
      <c r="E24"/>
      <c r="F24"/>
      <c r="G24"/>
      <c r="H24"/>
      <c r="I24"/>
      <c r="J24"/>
      <c r="K24"/>
      <c r="L24"/>
      <c r="M24"/>
      <c r="N24"/>
      <c r="O24"/>
      <c r="P24"/>
      <c r="Q24"/>
      <c r="R24"/>
      <c r="S24"/>
      <c r="T24"/>
      <c r="U24"/>
      <c r="V24"/>
      <c r="W24"/>
      <c r="X24"/>
      <c r="Y24"/>
      <c r="Z24"/>
      <c r="AA24"/>
    </row>
    <row r="25" spans="1:27" s="105" customFormat="1" ht="14.4">
      <c r="A25"/>
      <c r="B25"/>
      <c r="C25"/>
      <c r="D25"/>
      <c r="E25"/>
      <c r="F25"/>
      <c r="G25"/>
      <c r="H25"/>
      <c r="I25"/>
      <c r="J25"/>
      <c r="K25"/>
      <c r="L25"/>
      <c r="M25"/>
      <c r="N25"/>
      <c r="O25"/>
      <c r="P25"/>
      <c r="Q25"/>
      <c r="R25"/>
      <c r="S25"/>
      <c r="T25"/>
      <c r="U25"/>
      <c r="V25"/>
      <c r="W25"/>
      <c r="X25"/>
      <c r="Y25"/>
      <c r="Z25"/>
      <c r="AA25"/>
    </row>
    <row r="26" spans="1:27" s="105" customFormat="1" ht="14.4">
      <c r="A26"/>
      <c r="B26"/>
      <c r="C26"/>
      <c r="D26"/>
      <c r="E26"/>
      <c r="F26"/>
      <c r="G26"/>
      <c r="H26"/>
      <c r="I26"/>
      <c r="J26"/>
      <c r="K26"/>
      <c r="L26"/>
      <c r="M26"/>
      <c r="N26"/>
      <c r="O26"/>
      <c r="P26"/>
      <c r="Q26"/>
      <c r="R26"/>
      <c r="S26"/>
      <c r="T26"/>
      <c r="U26"/>
      <c r="V26"/>
      <c r="W26"/>
      <c r="X26"/>
      <c r="Y26"/>
      <c r="Z26"/>
      <c r="AA26"/>
    </row>
    <row r="27" spans="1:27" s="105" customFormat="1" ht="14.4">
      <c r="A27"/>
      <c r="B27"/>
      <c r="C27"/>
      <c r="D27"/>
      <c r="E27"/>
      <c r="F27"/>
      <c r="G27"/>
      <c r="H27"/>
      <c r="I27"/>
      <c r="J27"/>
      <c r="K27"/>
      <c r="L27"/>
      <c r="M27"/>
      <c r="N27"/>
      <c r="O27"/>
      <c r="P27"/>
      <c r="Q27"/>
      <c r="R27"/>
      <c r="S27"/>
      <c r="T27"/>
      <c r="U27"/>
      <c r="V27"/>
      <c r="W27"/>
      <c r="X27"/>
      <c r="Y27"/>
      <c r="Z27"/>
      <c r="AA27"/>
    </row>
    <row r="28" spans="1:27" s="105" customFormat="1" ht="14.4">
      <c r="A28"/>
      <c r="B28"/>
      <c r="C28"/>
      <c r="D28"/>
      <c r="E28"/>
      <c r="F28"/>
      <c r="G28"/>
      <c r="H28"/>
      <c r="I28"/>
      <c r="J28"/>
      <c r="K28"/>
      <c r="L28"/>
      <c r="M28"/>
      <c r="N28"/>
      <c r="O28"/>
      <c r="P28"/>
      <c r="Q28"/>
      <c r="R28"/>
      <c r="S28"/>
      <c r="T28"/>
      <c r="U28"/>
      <c r="V28"/>
      <c r="W28"/>
      <c r="X28"/>
      <c r="Y28"/>
      <c r="Z28"/>
      <c r="AA28"/>
    </row>
    <row r="29" spans="1:27" s="105" customFormat="1" ht="14.4">
      <c r="A29"/>
      <c r="B29"/>
      <c r="C29"/>
      <c r="D29"/>
      <c r="E29"/>
      <c r="F29"/>
      <c r="G29"/>
      <c r="H29"/>
      <c r="I29"/>
      <c r="J29"/>
      <c r="K29"/>
      <c r="L29"/>
      <c r="M29"/>
      <c r="N29"/>
      <c r="O29"/>
      <c r="P29"/>
      <c r="Q29"/>
      <c r="R29"/>
      <c r="S29"/>
      <c r="T29"/>
      <c r="U29"/>
      <c r="V29"/>
      <c r="W29"/>
      <c r="X29"/>
      <c r="Y29"/>
      <c r="Z29"/>
      <c r="AA29"/>
    </row>
    <row r="30" spans="1:27" s="105" customFormat="1" ht="14.4">
      <c r="A30"/>
      <c r="B30"/>
      <c r="C30"/>
      <c r="D30"/>
      <c r="E30"/>
      <c r="F30"/>
      <c r="G30"/>
      <c r="H30"/>
      <c r="I30"/>
      <c r="J30"/>
      <c r="K30"/>
      <c r="L30"/>
      <c r="M30"/>
      <c r="N30"/>
      <c r="O30"/>
      <c r="P30"/>
      <c r="Q30"/>
      <c r="R30"/>
      <c r="S30"/>
      <c r="T30"/>
      <c r="U30"/>
      <c r="V30"/>
      <c r="W30"/>
      <c r="X30"/>
      <c r="Y30"/>
      <c r="Z30"/>
      <c r="AA30"/>
    </row>
    <row r="31" spans="1:27" s="105" customFormat="1" ht="14.4">
      <c r="A31"/>
      <c r="B31"/>
      <c r="C31"/>
      <c r="D31"/>
      <c r="E31"/>
      <c r="F31"/>
      <c r="G31"/>
      <c r="H31"/>
      <c r="I31"/>
      <c r="J31"/>
      <c r="K31"/>
      <c r="L31"/>
      <c r="M31"/>
      <c r="N31"/>
      <c r="O31"/>
      <c r="P31"/>
      <c r="Q31"/>
      <c r="R31"/>
      <c r="S31"/>
      <c r="T31"/>
      <c r="U31"/>
      <c r="V31"/>
      <c r="W31"/>
      <c r="X31"/>
      <c r="Y31"/>
      <c r="Z31"/>
      <c r="AA31"/>
    </row>
    <row r="32" spans="1:27" s="105"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20" customWidth="1"/>
    <col min="2" max="4" width="7.88671875" style="120" customWidth="1"/>
    <col min="5" max="6" width="15.6640625" style="120" customWidth="1"/>
    <col min="7" max="8" width="15.6640625" style="105" customWidth="1"/>
    <col min="9" max="13" width="15.6640625" style="120" customWidth="1"/>
    <col min="14" max="14" width="94.44140625" style="120" customWidth="1"/>
    <col min="15" max="15" width="3.6640625" style="120" customWidth="1"/>
    <col min="16" max="16" width="31.6640625" style="120" bestFit="1" customWidth="1"/>
    <col min="17" max="17" width="65.6640625" style="120" customWidth="1"/>
    <col min="18" max="18" width="10.33203125" style="120" customWidth="1"/>
    <col min="19" max="16384" width="8.6640625" style="120"/>
  </cols>
  <sheetData>
    <row r="1" spans="1:27" s="213" customFormat="1" ht="18">
      <c r="A1" s="102" t="s">
        <v>687</v>
      </c>
      <c r="B1" s="102"/>
      <c r="C1" s="102"/>
      <c r="D1" s="102"/>
      <c r="E1" s="156"/>
      <c r="F1" s="156"/>
      <c r="G1" s="212"/>
      <c r="H1" s="212"/>
    </row>
    <row r="2" spans="1:27" s="145" customFormat="1">
      <c r="A2" s="107" t="s">
        <v>23</v>
      </c>
      <c r="B2" s="107"/>
      <c r="C2" s="107"/>
      <c r="D2" s="107"/>
      <c r="E2" s="104" t="s">
        <v>688</v>
      </c>
      <c r="F2" s="104"/>
      <c r="G2" s="105"/>
      <c r="H2" s="105"/>
    </row>
    <row r="3" spans="1:27" s="107" customFormat="1">
      <c r="A3" s="104" t="s">
        <v>25</v>
      </c>
      <c r="B3" s="104"/>
      <c r="C3" s="104"/>
      <c r="D3" s="104"/>
      <c r="E3" s="104" t="s">
        <v>689</v>
      </c>
      <c r="F3" s="104"/>
      <c r="G3" s="105"/>
      <c r="H3" s="105"/>
    </row>
    <row r="4" spans="1:27" s="145" customFormat="1" ht="14.4">
      <c r="A4" s="108"/>
      <c r="B4" s="108"/>
      <c r="C4" s="108"/>
      <c r="D4" s="108"/>
      <c r="E4" s="109" t="s">
        <v>27</v>
      </c>
      <c r="F4" s="110" t="s">
        <v>28</v>
      </c>
      <c r="G4" s="110"/>
      <c r="H4" s="113" t="s">
        <v>29</v>
      </c>
      <c r="I4" s="113"/>
      <c r="J4" s="147"/>
      <c r="K4" s="147"/>
      <c r="L4" s="147"/>
      <c r="M4" s="113"/>
      <c r="N4" s="104"/>
      <c r="O4" s="104"/>
      <c r="P4" s="104"/>
      <c r="Q4" s="104"/>
      <c r="R4" s="104"/>
      <c r="S4" s="104"/>
      <c r="T4" s="107"/>
      <c r="U4" s="114"/>
      <c r="V4" s="114"/>
    </row>
    <row r="5" spans="1:27" s="104" customFormat="1" ht="14.4">
      <c r="A5" s="115"/>
      <c r="B5" s="115"/>
      <c r="C5" s="115"/>
      <c r="D5" s="115"/>
      <c r="E5" s="116" t="s">
        <v>30</v>
      </c>
      <c r="F5" s="117" t="s">
        <v>31</v>
      </c>
      <c r="G5" s="117"/>
      <c r="H5" s="113" t="s">
        <v>32</v>
      </c>
      <c r="I5" s="166"/>
      <c r="J5" s="147"/>
      <c r="K5" s="147"/>
      <c r="L5" s="147"/>
      <c r="M5" s="118"/>
      <c r="N5" s="105"/>
      <c r="O5" s="105"/>
      <c r="P5" s="105"/>
      <c r="R5" s="115"/>
      <c r="T5" s="107"/>
      <c r="U5" s="115"/>
      <c r="V5" s="114"/>
    </row>
    <row r="6" spans="1:27" s="104" customFormat="1">
      <c r="A6" s="132"/>
      <c r="B6" s="132"/>
      <c r="C6" s="132"/>
      <c r="D6" s="132"/>
      <c r="E6" s="3" t="s">
        <v>690</v>
      </c>
      <c r="F6" s="87" t="s">
        <v>691</v>
      </c>
      <c r="G6" s="87" t="s">
        <v>692</v>
      </c>
      <c r="H6" s="88" t="s">
        <v>693</v>
      </c>
      <c r="I6" s="88" t="s">
        <v>694</v>
      </c>
      <c r="J6" s="88" t="s">
        <v>695</v>
      </c>
      <c r="K6" s="88" t="s">
        <v>696</v>
      </c>
      <c r="L6" s="88" t="s">
        <v>697</v>
      </c>
      <c r="M6" s="89" t="s">
        <v>698</v>
      </c>
      <c r="N6" s="90"/>
      <c r="O6" s="90"/>
      <c r="P6" s="90"/>
      <c r="Q6" s="120"/>
      <c r="R6" s="120"/>
    </row>
    <row r="7" spans="1:27" s="104" customFormat="1" ht="96.6">
      <c r="A7" s="121" t="s">
        <v>174</v>
      </c>
      <c r="B7" s="121"/>
      <c r="C7" s="121"/>
      <c r="D7" s="121"/>
      <c r="E7" s="94" t="s">
        <v>699</v>
      </c>
      <c r="F7" s="94" t="s">
        <v>700</v>
      </c>
      <c r="G7" s="94" t="s">
        <v>701</v>
      </c>
      <c r="H7" s="94" t="s">
        <v>702</v>
      </c>
      <c r="I7" s="94" t="s">
        <v>703</v>
      </c>
      <c r="J7" s="94" t="s">
        <v>704</v>
      </c>
      <c r="K7" s="94" t="s">
        <v>705</v>
      </c>
      <c r="L7" s="94" t="s">
        <v>706</v>
      </c>
      <c r="M7" s="94" t="s">
        <v>707</v>
      </c>
      <c r="N7" s="90"/>
      <c r="O7" s="90"/>
      <c r="P7" s="90"/>
    </row>
    <row r="8" spans="1:27" s="104" customFormat="1" ht="94.35" customHeight="1">
      <c r="A8" s="132" t="s">
        <v>54</v>
      </c>
      <c r="B8" s="132"/>
      <c r="C8" s="132"/>
      <c r="D8" s="132"/>
      <c r="E8" s="122" t="s">
        <v>708</v>
      </c>
      <c r="F8" s="122" t="s">
        <v>709</v>
      </c>
      <c r="G8" s="122" t="s">
        <v>710</v>
      </c>
      <c r="H8" s="122" t="s">
        <v>711</v>
      </c>
      <c r="I8" s="122" t="s">
        <v>712</v>
      </c>
      <c r="J8" s="122" t="s">
        <v>713</v>
      </c>
      <c r="K8" s="95" t="s">
        <v>714</v>
      </c>
      <c r="L8" s="122" t="s">
        <v>715</v>
      </c>
      <c r="M8" s="122" t="s">
        <v>716</v>
      </c>
      <c r="N8" s="124"/>
      <c r="O8" s="124"/>
      <c r="P8" s="124"/>
    </row>
    <row r="9" spans="1:27" s="104" customFormat="1" ht="204" customHeight="1" thickBot="1">
      <c r="A9" s="132" t="s">
        <v>65</v>
      </c>
      <c r="B9" s="132"/>
      <c r="C9" s="132"/>
      <c r="D9" s="132"/>
      <c r="E9" s="122" t="s">
        <v>717</v>
      </c>
      <c r="F9" s="122" t="s">
        <v>718</v>
      </c>
      <c r="G9" s="122" t="s">
        <v>719</v>
      </c>
      <c r="H9" s="122" t="s">
        <v>720</v>
      </c>
      <c r="I9" s="122" t="s">
        <v>721</v>
      </c>
      <c r="J9" s="122" t="s">
        <v>722</v>
      </c>
      <c r="K9" s="122" t="s">
        <v>723</v>
      </c>
      <c r="L9" s="122" t="s">
        <v>724</v>
      </c>
      <c r="M9" s="122" t="s">
        <v>725</v>
      </c>
      <c r="N9" s="124"/>
      <c r="O9" s="124"/>
      <c r="P9" s="124"/>
    </row>
    <row r="10" spans="1:27" s="104" customFormat="1" ht="84">
      <c r="A10" s="119" t="s">
        <v>76</v>
      </c>
      <c r="B10" s="119"/>
      <c r="C10" s="119"/>
      <c r="D10" s="119"/>
      <c r="E10" s="214"/>
      <c r="F10" s="214" t="s">
        <v>726</v>
      </c>
      <c r="G10" s="214" t="s">
        <v>727</v>
      </c>
      <c r="H10" s="95" t="s">
        <v>728</v>
      </c>
      <c r="I10" s="95" t="s">
        <v>729</v>
      </c>
      <c r="J10" s="95" t="s">
        <v>730</v>
      </c>
      <c r="K10" s="95" t="s">
        <v>731</v>
      </c>
      <c r="L10" s="95" t="s">
        <v>732</v>
      </c>
      <c r="M10" s="210" t="s">
        <v>733</v>
      </c>
      <c r="N10" s="96"/>
      <c r="O10" s="96"/>
      <c r="P10" s="96"/>
    </row>
    <row r="11" spans="1:27" s="104" customFormat="1" ht="48">
      <c r="A11" s="158" t="s">
        <v>86</v>
      </c>
      <c r="B11" s="158"/>
      <c r="C11" s="158"/>
      <c r="D11" s="158"/>
      <c r="E11" s="214"/>
      <c r="F11" s="214" t="s">
        <v>734</v>
      </c>
      <c r="G11" s="214" t="s">
        <v>735</v>
      </c>
      <c r="H11" s="95" t="s">
        <v>736</v>
      </c>
      <c r="I11" s="95" t="s">
        <v>737</v>
      </c>
      <c r="J11" s="95" t="s">
        <v>738</v>
      </c>
      <c r="K11" s="95" t="s">
        <v>739</v>
      </c>
      <c r="L11" s="95" t="s">
        <v>740</v>
      </c>
      <c r="M11" s="204" t="s">
        <v>741</v>
      </c>
      <c r="N11" s="215"/>
      <c r="O11" s="215"/>
      <c r="P11" s="215"/>
      <c r="Q11" s="216"/>
    </row>
    <row r="15" spans="1:27" customFormat="1" ht="14.4">
      <c r="A15" t="s">
        <v>96</v>
      </c>
      <c r="B15" t="s">
        <v>97</v>
      </c>
      <c r="C15" t="s">
        <v>98</v>
      </c>
      <c r="D15" s="356" t="s">
        <v>99</v>
      </c>
      <c r="E15" s="14" t="s">
        <v>690</v>
      </c>
      <c r="F15" s="14" t="s">
        <v>691</v>
      </c>
      <c r="G15" s="14" t="s">
        <v>692</v>
      </c>
      <c r="H15" s="14" t="s">
        <v>693</v>
      </c>
      <c r="I15" s="14" t="s">
        <v>694</v>
      </c>
      <c r="J15" s="14" t="s">
        <v>695</v>
      </c>
      <c r="K15" s="14" t="s">
        <v>696</v>
      </c>
      <c r="L15" s="14" t="s">
        <v>697</v>
      </c>
      <c r="M15" s="14" t="s">
        <v>698</v>
      </c>
    </row>
    <row r="16" spans="1:27" ht="14.4">
      <c r="A16" t="s">
        <v>100</v>
      </c>
      <c r="B16" s="15" t="s">
        <v>97</v>
      </c>
      <c r="C16" s="15" t="str">
        <f>HYPERLINK("01-组织级\02-组织工作库\05-OT培训库\01_公司级培训\03_2022年培训计划\02_年度培训计划\2022培训课程表(ORG_OT_TraininCNSchedule)V1.0-engl.xlsx", "engl")</f>
        <v>engl</v>
      </c>
      <c r="D16"/>
      <c r="E16" t="s">
        <v>101</v>
      </c>
      <c r="F16" t="s">
        <v>101</v>
      </c>
      <c r="G16"/>
      <c r="H16" t="s">
        <v>101</v>
      </c>
      <c r="I16"/>
      <c r="J16" t="s">
        <v>101</v>
      </c>
      <c r="K16"/>
      <c r="L16"/>
      <c r="M16"/>
      <c r="N16"/>
      <c r="O16"/>
      <c r="P16"/>
      <c r="Q16"/>
      <c r="R16"/>
      <c r="S16"/>
      <c r="T16"/>
      <c r="U16"/>
      <c r="V16"/>
      <c r="W16"/>
      <c r="X16"/>
      <c r="Y16"/>
      <c r="Z16"/>
      <c r="AA16"/>
    </row>
    <row r="17" spans="1:27" ht="14.4">
      <c r="A17" t="s">
        <v>100</v>
      </c>
      <c r="B17" s="15" t="s">
        <v>97</v>
      </c>
      <c r="C17"/>
      <c r="D17"/>
      <c r="E17" t="s">
        <v>101</v>
      </c>
      <c r="F17"/>
      <c r="G17"/>
      <c r="H17"/>
      <c r="I17"/>
      <c r="J17"/>
      <c r="K17"/>
      <c r="L17"/>
      <c r="M17"/>
      <c r="N17"/>
      <c r="O17"/>
      <c r="P17"/>
      <c r="Q17"/>
      <c r="R17"/>
      <c r="S17"/>
      <c r="T17"/>
      <c r="U17"/>
      <c r="V17"/>
      <c r="W17"/>
      <c r="X17"/>
      <c r="Y17"/>
      <c r="Z17"/>
      <c r="AA17"/>
    </row>
    <row r="18" spans="1:27" ht="14.4">
      <c r="A18" t="s">
        <v>100</v>
      </c>
      <c r="B18" s="15" t="s">
        <v>97</v>
      </c>
      <c r="C18"/>
      <c r="D18"/>
      <c r="E18" t="s">
        <v>101</v>
      </c>
      <c r="F18"/>
      <c r="G18"/>
      <c r="H18"/>
      <c r="I18"/>
      <c r="J18"/>
      <c r="K18"/>
      <c r="L18"/>
      <c r="M18"/>
      <c r="N18"/>
      <c r="O18"/>
      <c r="P18"/>
      <c r="Q18"/>
      <c r="R18"/>
      <c r="S18"/>
      <c r="T18"/>
      <c r="U18"/>
      <c r="V18"/>
      <c r="W18"/>
      <c r="X18"/>
      <c r="Y18"/>
      <c r="Z18"/>
      <c r="AA18"/>
    </row>
    <row r="19" spans="1:27" ht="14.4">
      <c r="A19" t="s">
        <v>100</v>
      </c>
      <c r="B19" s="15" t="s">
        <v>97</v>
      </c>
      <c r="C19" s="15" t="str">
        <f>HYPERLINK("01-组织级\02-组织工作库\05-OT培训库\01_公司级培训\03_2022年培训计划\01_培训需求调研\培训需求调研表(ORG_OT_TrainingReqDevTable)V1.1-engl.xlsx", "engl")</f>
        <v>engl</v>
      </c>
      <c r="D19"/>
      <c r="E19"/>
      <c r="F19" t="s">
        <v>101</v>
      </c>
      <c r="G19"/>
      <c r="H19"/>
      <c r="I19"/>
      <c r="J19"/>
      <c r="K19"/>
      <c r="L19"/>
      <c r="M19"/>
      <c r="N19"/>
      <c r="O19"/>
      <c r="P19"/>
      <c r="Q19"/>
      <c r="R19"/>
      <c r="S19"/>
      <c r="T19"/>
      <c r="U19"/>
      <c r="V19"/>
      <c r="W19"/>
      <c r="X19"/>
      <c r="Y19"/>
      <c r="Z19"/>
      <c r="AA19"/>
    </row>
    <row r="20" spans="1:27" ht="14.4">
      <c r="A20" t="s">
        <v>100</v>
      </c>
      <c r="B20" s="15" t="s">
        <v>97</v>
      </c>
      <c r="C20" s="15" t="str">
        <f>HYPERLINK("01-组织级\02-组织工作库\05-OT培训库\04_内部培训讲师培训\06_学员考核评价表\培训内部讲师培训(ORG-OT-TrainingEVVuationlist)V1.0-engl.xlsx", "engl")</f>
        <v>engl</v>
      </c>
      <c r="D20"/>
      <c r="E20"/>
      <c r="F20"/>
      <c r="G20" t="s">
        <v>101</v>
      </c>
      <c r="H20"/>
      <c r="I20" t="s">
        <v>101</v>
      </c>
      <c r="J20"/>
      <c r="K20" t="s">
        <v>101</v>
      </c>
      <c r="L20" t="s">
        <v>101</v>
      </c>
      <c r="M20"/>
      <c r="N20"/>
      <c r="O20"/>
      <c r="P20"/>
      <c r="Q20"/>
      <c r="R20"/>
      <c r="S20"/>
      <c r="T20"/>
      <c r="U20"/>
      <c r="V20"/>
      <c r="W20"/>
      <c r="X20"/>
      <c r="Y20"/>
      <c r="Z20"/>
      <c r="AA20"/>
    </row>
    <row r="21" spans="1:27" ht="14.4">
      <c r="A21" t="s">
        <v>100</v>
      </c>
      <c r="B21" s="15" t="s">
        <v>97</v>
      </c>
      <c r="C21" s="15" t="str">
        <f>HYPERLINK("01-组织级\02-组织工作库\05-OT培训库\02_人力资源库\01_员工信息\员工---岗位知识技能矩阵-engl.xlsx", "engl")</f>
        <v>engl</v>
      </c>
      <c r="D21"/>
      <c r="E21"/>
      <c r="F21"/>
      <c r="G21" t="s">
        <v>101</v>
      </c>
      <c r="H21"/>
      <c r="I21" t="s">
        <v>101</v>
      </c>
      <c r="J21"/>
      <c r="K21"/>
      <c r="L21"/>
      <c r="M21"/>
      <c r="N21"/>
      <c r="O21"/>
      <c r="P21"/>
      <c r="Q21"/>
      <c r="R21"/>
      <c r="S21"/>
      <c r="T21"/>
      <c r="U21"/>
      <c r="V21"/>
      <c r="W21"/>
      <c r="X21"/>
      <c r="Y21"/>
      <c r="Z21"/>
      <c r="AA21"/>
    </row>
    <row r="22" spans="1:27" ht="14.4">
      <c r="A22" t="s">
        <v>100</v>
      </c>
      <c r="B22" s="15" t="s">
        <v>97</v>
      </c>
      <c r="C22" s="15" t="str">
        <f>HYPERLINK("01-组织级\02-组织工作库\05-OT培训库\02_人力资源库\01_员工信息\员工技术及工作经历一览表(ORG_OT_Skills and Experience List)V1.0-engl.xlsx", "engl")</f>
        <v>engl</v>
      </c>
      <c r="D22"/>
      <c r="E22"/>
      <c r="F22"/>
      <c r="G22" t="s">
        <v>101</v>
      </c>
      <c r="H22"/>
      <c r="I22" t="s">
        <v>101</v>
      </c>
      <c r="J22"/>
      <c r="K22"/>
      <c r="L22"/>
      <c r="M22"/>
      <c r="N22"/>
      <c r="O22"/>
      <c r="P22"/>
      <c r="Q22"/>
      <c r="R22"/>
      <c r="S22"/>
      <c r="T22"/>
      <c r="U22"/>
      <c r="V22"/>
      <c r="W22"/>
      <c r="X22"/>
      <c r="Y22"/>
      <c r="Z22"/>
      <c r="AA22"/>
    </row>
    <row r="23" spans="1:27" ht="14.4">
      <c r="A23" t="s">
        <v>100</v>
      </c>
      <c r="B23" s="15" t="s">
        <v>97</v>
      </c>
      <c r="C23" s="15" t="str">
        <f>HYPERLINK("01-组织级\02-组织工作库\05-OT培训库\02_人力资源库\02_岗位职责\岗位职责说明书(ORG-OT-T01)V1.0-engl.xlsx", "engl")</f>
        <v>engl</v>
      </c>
      <c r="D23"/>
      <c r="E23"/>
      <c r="F23"/>
      <c r="G23" t="s">
        <v>101</v>
      </c>
      <c r="H23"/>
      <c r="I23"/>
      <c r="J23"/>
      <c r="K23"/>
      <c r="L23"/>
      <c r="M23"/>
      <c r="N23"/>
      <c r="O23"/>
      <c r="P23"/>
      <c r="Q23"/>
      <c r="R23"/>
      <c r="S23"/>
      <c r="T23"/>
      <c r="U23"/>
      <c r="V23"/>
      <c r="W23"/>
      <c r="X23"/>
      <c r="Y23"/>
      <c r="Z23"/>
      <c r="AA23"/>
    </row>
    <row r="24" spans="1:27" ht="14.4">
      <c r="A24" t="s">
        <v>100</v>
      </c>
      <c r="B24" s="15" t="s">
        <v>97</v>
      </c>
      <c r="C24" s="15" t="str">
        <f>HYPERLINK("01-组织级\02-组织工作库\05-OT培训库\01_公司级培训\01_公司战略培训规划\公司战略培训规划(ORG_OT_FutureTraining)V1.0-engl.docx", "engl")</f>
        <v>engl</v>
      </c>
      <c r="D24"/>
      <c r="E24"/>
      <c r="F24"/>
      <c r="G24"/>
      <c r="H24"/>
      <c r="I24"/>
      <c r="J24" t="s">
        <v>101</v>
      </c>
      <c r="K24"/>
      <c r="L24"/>
      <c r="M24"/>
      <c r="N24"/>
      <c r="O24"/>
      <c r="P24"/>
      <c r="Q24"/>
      <c r="R24"/>
      <c r="S24"/>
      <c r="T24"/>
      <c r="U24"/>
      <c r="V24"/>
      <c r="W24"/>
      <c r="X24"/>
      <c r="Y24"/>
      <c r="Z24"/>
      <c r="AA24"/>
    </row>
    <row r="25" spans="1:27" ht="14.4">
      <c r="A25" t="s">
        <v>100</v>
      </c>
      <c r="B25" s="15" t="s">
        <v>97</v>
      </c>
      <c r="C25" s="15" t="str">
        <f>HYPERLINK("01-组织级\02-组织工作库\05-OT培训库\01_公司级培训\03_2022年培训计划\02_年度培训计划\OT-组织培训计划评审记录2022-engl.xlsx", "engl")</f>
        <v>engl</v>
      </c>
      <c r="D25"/>
      <c r="E25"/>
      <c r="F25"/>
      <c r="G25"/>
      <c r="H25"/>
      <c r="I25"/>
      <c r="J25"/>
      <c r="K25"/>
      <c r="L25" t="s">
        <v>101</v>
      </c>
      <c r="M25"/>
      <c r="N25"/>
      <c r="O25"/>
      <c r="P25"/>
      <c r="Q25"/>
      <c r="R25"/>
      <c r="S25"/>
      <c r="T25"/>
      <c r="U25"/>
      <c r="V25"/>
      <c r="W25"/>
      <c r="X25"/>
      <c r="Y25"/>
      <c r="Z25"/>
      <c r="AA25"/>
    </row>
    <row r="26" spans="1:27" ht="14.4">
      <c r="A26" t="s">
        <v>100</v>
      </c>
      <c r="B26" s="15" t="s">
        <v>97</v>
      </c>
      <c r="C26"/>
      <c r="D26"/>
      <c r="E26"/>
      <c r="F26"/>
      <c r="G26"/>
      <c r="H26"/>
      <c r="I26"/>
      <c r="J26"/>
      <c r="K26"/>
      <c r="L26"/>
      <c r="M26" t="s">
        <v>101</v>
      </c>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5" bestFit="1" customWidth="1"/>
    <col min="2" max="4" width="7.88671875" style="115" customWidth="1"/>
    <col min="5" max="6" width="15.6640625" style="115" customWidth="1"/>
    <col min="7" max="14" width="15.6640625" style="133" customWidth="1"/>
    <col min="15" max="15" width="85.33203125" style="133" customWidth="1"/>
    <col min="16" max="16" width="3.6640625" style="133" customWidth="1"/>
    <col min="17" max="17" width="32.33203125" style="133" bestFit="1" customWidth="1"/>
    <col min="18" max="18" width="75.44140625" style="127" customWidth="1"/>
    <col min="19" max="19" width="8.6640625" style="133"/>
    <col min="20" max="16384" width="8.6640625" style="115"/>
  </cols>
  <sheetData>
    <row r="1" spans="1:27" s="136" customFormat="1" ht="18">
      <c r="A1" s="102" t="s">
        <v>742</v>
      </c>
      <c r="B1" s="102"/>
      <c r="C1" s="102"/>
      <c r="D1" s="102"/>
      <c r="E1" s="103"/>
      <c r="F1" s="104"/>
      <c r="G1" s="133"/>
      <c r="H1" s="133"/>
      <c r="I1" s="133"/>
      <c r="J1" s="133"/>
      <c r="K1" s="133"/>
      <c r="L1" s="133"/>
      <c r="M1" s="133"/>
      <c r="N1" s="133"/>
      <c r="O1" s="133"/>
      <c r="P1" s="133"/>
      <c r="Q1" s="133"/>
      <c r="R1" s="127"/>
      <c r="S1" s="133"/>
    </row>
    <row r="2" spans="1:27" s="135" customFormat="1">
      <c r="A2" s="107" t="s">
        <v>23</v>
      </c>
      <c r="B2" s="107"/>
      <c r="C2" s="107"/>
      <c r="D2" s="107"/>
      <c r="E2" s="120" t="s">
        <v>743</v>
      </c>
      <c r="F2" s="120"/>
      <c r="G2" s="120"/>
      <c r="H2" s="133"/>
      <c r="I2" s="133"/>
      <c r="J2" s="133"/>
      <c r="K2" s="133"/>
      <c r="L2" s="133"/>
      <c r="M2" s="133"/>
      <c r="N2" s="133"/>
      <c r="O2" s="133"/>
      <c r="P2" s="133"/>
      <c r="Q2" s="133"/>
      <c r="R2" s="127"/>
      <c r="S2" s="133"/>
    </row>
    <row r="3" spans="1:27" s="136" customFormat="1">
      <c r="A3" s="104" t="s">
        <v>25</v>
      </c>
      <c r="B3" s="104"/>
      <c r="C3" s="104"/>
      <c r="D3" s="104"/>
      <c r="E3" s="120" t="s">
        <v>744</v>
      </c>
      <c r="F3" s="120"/>
      <c r="G3" s="120"/>
      <c r="H3" s="133"/>
      <c r="I3" s="133"/>
      <c r="J3" s="133"/>
      <c r="K3" s="133"/>
      <c r="L3" s="133"/>
      <c r="M3" s="133"/>
      <c r="N3" s="133"/>
      <c r="O3" s="133"/>
      <c r="P3" s="133"/>
      <c r="Q3" s="133"/>
      <c r="R3" s="127"/>
      <c r="S3" s="133"/>
    </row>
    <row r="4" spans="1:27" s="136" customFormat="1">
      <c r="A4" s="108"/>
      <c r="B4" s="108"/>
      <c r="C4" s="108"/>
      <c r="D4" s="108"/>
      <c r="E4" s="109" t="s">
        <v>27</v>
      </c>
      <c r="F4" s="146"/>
      <c r="G4" s="110" t="s">
        <v>28</v>
      </c>
      <c r="H4" s="111"/>
      <c r="I4" s="110"/>
      <c r="J4" s="112"/>
      <c r="K4" s="113" t="s">
        <v>29</v>
      </c>
      <c r="L4" s="113"/>
      <c r="M4" s="113"/>
      <c r="N4" s="113"/>
      <c r="O4" s="104"/>
      <c r="P4" s="104"/>
      <c r="Q4" s="104"/>
      <c r="R4" s="104"/>
      <c r="S4" s="104"/>
      <c r="T4" s="107"/>
    </row>
    <row r="5" spans="1:27" s="136" customFormat="1">
      <c r="A5" s="115"/>
      <c r="B5" s="115"/>
      <c r="C5" s="115"/>
      <c r="D5" s="115"/>
      <c r="E5" s="116" t="s">
        <v>30</v>
      </c>
      <c r="F5" s="146"/>
      <c r="G5" s="117" t="s">
        <v>31</v>
      </c>
      <c r="H5" s="111"/>
      <c r="I5" s="117"/>
      <c r="J5" s="112"/>
      <c r="K5" s="113" t="s">
        <v>32</v>
      </c>
      <c r="L5" s="166"/>
      <c r="M5" s="113"/>
      <c r="N5" s="118"/>
      <c r="O5" s="105"/>
      <c r="P5" s="105"/>
      <c r="Q5" s="105"/>
      <c r="R5" s="217"/>
      <c r="S5" s="104"/>
      <c r="T5" s="107"/>
    </row>
    <row r="6" spans="1:27" s="135" customFormat="1">
      <c r="A6" s="218"/>
      <c r="B6" s="218"/>
      <c r="C6" s="218"/>
      <c r="D6" s="218"/>
      <c r="E6" s="219" t="s">
        <v>745</v>
      </c>
      <c r="F6" s="219" t="s">
        <v>746</v>
      </c>
      <c r="G6" s="220" t="s">
        <v>747</v>
      </c>
      <c r="H6" s="220" t="s">
        <v>748</v>
      </c>
      <c r="I6" s="220" t="s">
        <v>749</v>
      </c>
      <c r="J6" s="220" t="s">
        <v>750</v>
      </c>
      <c r="K6" s="221" t="s">
        <v>751</v>
      </c>
      <c r="L6" s="221" t="s">
        <v>752</v>
      </c>
      <c r="M6" s="221" t="s">
        <v>753</v>
      </c>
      <c r="N6" s="222" t="s">
        <v>754</v>
      </c>
      <c r="O6" s="223"/>
      <c r="P6" s="223"/>
      <c r="Q6" s="223"/>
      <c r="R6" s="363"/>
      <c r="S6" s="363"/>
      <c r="T6" s="363"/>
    </row>
    <row r="7" spans="1:27" s="135" customFormat="1" ht="110.4">
      <c r="A7" s="224" t="s">
        <v>174</v>
      </c>
      <c r="B7" s="224"/>
      <c r="C7" s="224"/>
      <c r="D7" s="224"/>
      <c r="E7" s="225" t="s">
        <v>755</v>
      </c>
      <c r="F7" s="225" t="s">
        <v>756</v>
      </c>
      <c r="G7" s="225" t="s">
        <v>757</v>
      </c>
      <c r="H7" s="225" t="s">
        <v>758</v>
      </c>
      <c r="I7" s="225" t="s">
        <v>759</v>
      </c>
      <c r="J7" s="225" t="s">
        <v>760</v>
      </c>
      <c r="K7" s="225" t="s">
        <v>761</v>
      </c>
      <c r="L7" s="225" t="s">
        <v>762</v>
      </c>
      <c r="M7" s="225" t="s">
        <v>763</v>
      </c>
      <c r="N7" s="225" t="s">
        <v>764</v>
      </c>
      <c r="O7" s="223"/>
      <c r="P7" s="223"/>
      <c r="Q7" s="223"/>
      <c r="S7" s="226"/>
    </row>
    <row r="8" spans="1:27" s="135" customFormat="1" ht="112.2">
      <c r="A8" s="218" t="s">
        <v>54</v>
      </c>
      <c r="B8" s="218"/>
      <c r="C8" s="218"/>
      <c r="D8" s="218"/>
      <c r="E8" s="227" t="s">
        <v>765</v>
      </c>
      <c r="F8" s="227" t="s">
        <v>766</v>
      </c>
      <c r="G8" s="227" t="s">
        <v>767</v>
      </c>
      <c r="H8" s="227" t="s">
        <v>768</v>
      </c>
      <c r="I8" s="227" t="s">
        <v>769</v>
      </c>
      <c r="J8" s="227" t="s">
        <v>770</v>
      </c>
      <c r="K8" s="227" t="s">
        <v>771</v>
      </c>
      <c r="L8" s="227" t="s">
        <v>772</v>
      </c>
      <c r="M8" s="227" t="s">
        <v>773</v>
      </c>
      <c r="N8" s="227" t="s">
        <v>774</v>
      </c>
      <c r="O8" s="228"/>
      <c r="P8" s="228"/>
      <c r="Q8" s="229"/>
      <c r="S8" s="226"/>
    </row>
    <row r="9" spans="1:27" s="135" customFormat="1" ht="191.4" customHeight="1" thickBot="1">
      <c r="A9" s="218" t="s">
        <v>65</v>
      </c>
      <c r="B9" s="218"/>
      <c r="C9" s="218"/>
      <c r="D9" s="218"/>
      <c r="E9" s="230" t="s">
        <v>775</v>
      </c>
      <c r="F9" s="230" t="s">
        <v>776</v>
      </c>
      <c r="G9" s="230" t="s">
        <v>777</v>
      </c>
      <c r="H9" s="230" t="s">
        <v>778</v>
      </c>
      <c r="I9" s="230" t="s">
        <v>779</v>
      </c>
      <c r="J9" s="231" t="s">
        <v>780</v>
      </c>
      <c r="K9" s="231" t="s">
        <v>781</v>
      </c>
      <c r="L9" s="230" t="s">
        <v>782</v>
      </c>
      <c r="M9" s="230" t="s">
        <v>783</v>
      </c>
      <c r="N9" s="230" t="s">
        <v>784</v>
      </c>
      <c r="O9" s="232"/>
      <c r="P9" s="232"/>
      <c r="Q9" s="232"/>
      <c r="S9" s="226"/>
    </row>
    <row r="10" spans="1:27" s="135" customFormat="1" ht="108.6" thickBot="1">
      <c r="A10" s="119" t="s">
        <v>76</v>
      </c>
      <c r="B10" s="168"/>
      <c r="C10" s="168"/>
      <c r="D10" s="168"/>
      <c r="E10" s="233"/>
      <c r="F10" s="233" t="s">
        <v>785</v>
      </c>
      <c r="G10" s="234" t="s">
        <v>786</v>
      </c>
      <c r="H10" s="234" t="s">
        <v>787</v>
      </c>
      <c r="I10" s="234" t="s">
        <v>788</v>
      </c>
      <c r="J10" s="234" t="s">
        <v>789</v>
      </c>
      <c r="K10" s="234" t="s">
        <v>790</v>
      </c>
      <c r="L10" s="234" t="s">
        <v>791</v>
      </c>
      <c r="M10" s="234" t="s">
        <v>792</v>
      </c>
      <c r="N10" s="234" t="s">
        <v>793</v>
      </c>
      <c r="O10" s="229"/>
      <c r="P10" s="229"/>
      <c r="Q10" s="229"/>
      <c r="S10" s="226"/>
    </row>
    <row r="11" spans="1:27" s="135" customFormat="1" ht="60">
      <c r="A11" s="235" t="s">
        <v>86</v>
      </c>
      <c r="B11" s="235"/>
      <c r="C11" s="235"/>
      <c r="D11" s="235"/>
      <c r="E11" s="233"/>
      <c r="F11" s="233" t="s">
        <v>794</v>
      </c>
      <c r="G11" s="234" t="s">
        <v>795</v>
      </c>
      <c r="H11" s="234" t="s">
        <v>796</v>
      </c>
      <c r="I11" s="234" t="s">
        <v>797</v>
      </c>
      <c r="J11" s="234" t="s">
        <v>798</v>
      </c>
      <c r="K11" s="234" t="s">
        <v>799</v>
      </c>
      <c r="L11" s="234" t="s">
        <v>800</v>
      </c>
      <c r="M11" s="234" t="s">
        <v>801</v>
      </c>
      <c r="N11" s="234" t="s">
        <v>802</v>
      </c>
      <c r="O11" s="229"/>
      <c r="P11" s="229"/>
      <c r="Q11" s="229"/>
      <c r="R11" s="226"/>
      <c r="S11" s="226"/>
    </row>
    <row r="12" spans="1:27" s="135" customFormat="1" ht="15" customHeight="1"/>
    <row r="13" spans="1:27" s="135" customFormat="1" ht="15" customHeight="1"/>
    <row r="14" spans="1:27" s="135" customFormat="1" ht="15" customHeight="1"/>
    <row r="15" spans="1:27" customFormat="1" ht="14.4">
      <c r="A15" t="s">
        <v>96</v>
      </c>
      <c r="B15" t="s">
        <v>97</v>
      </c>
      <c r="C15" t="s">
        <v>98</v>
      </c>
      <c r="D15" t="s">
        <v>99</v>
      </c>
      <c r="E15" s="14" t="s">
        <v>745</v>
      </c>
      <c r="F15" s="14" t="s">
        <v>746</v>
      </c>
      <c r="G15" s="14" t="s">
        <v>747</v>
      </c>
      <c r="H15" s="14" t="s">
        <v>748</v>
      </c>
      <c r="I15" s="14" t="s">
        <v>749</v>
      </c>
      <c r="J15" s="14" t="s">
        <v>750</v>
      </c>
      <c r="K15" s="14" t="s">
        <v>751</v>
      </c>
      <c r="L15" s="14" t="s">
        <v>752</v>
      </c>
      <c r="M15" s="14" t="s">
        <v>753</v>
      </c>
      <c r="N15" s="14" t="s">
        <v>754</v>
      </c>
    </row>
    <row r="16" spans="1:27" s="135" customFormat="1" ht="15" customHeight="1">
      <c r="A16" t="s">
        <v>100</v>
      </c>
      <c r="B16" s="15" t="s">
        <v>97</v>
      </c>
      <c r="C16" s="15" t="str">
        <f>HYPERLINK("02-项目级\P2-Qcubic to MySQL数据同步工具 V1.0\01-生存周期\03-项目策划\03-项目计划书 (QCUBIC-SJTB-PLAN-Plan)V1.0-engl.docx", "engl")</f>
        <v>engl</v>
      </c>
      <c r="D16"/>
      <c r="E16" t="s">
        <v>101</v>
      </c>
      <c r="F16"/>
      <c r="G16"/>
      <c r="H16"/>
      <c r="I16"/>
      <c r="J16"/>
      <c r="K16" t="s">
        <v>101</v>
      </c>
      <c r="L16"/>
      <c r="M16"/>
      <c r="N16"/>
      <c r="O16"/>
      <c r="P16"/>
      <c r="Q16"/>
      <c r="R16"/>
      <c r="S16"/>
      <c r="T16"/>
      <c r="U16"/>
      <c r="V16"/>
      <c r="W16"/>
      <c r="X16"/>
      <c r="Y16"/>
      <c r="Z16"/>
      <c r="AA16"/>
    </row>
    <row r="17" spans="1:27" s="137" customFormat="1" ht="14.4">
      <c r="A17" t="s">
        <v>100</v>
      </c>
      <c r="B17" s="15" t="s">
        <v>97</v>
      </c>
      <c r="C17" s="15" t="str">
        <f>HYPERLINK("02-项目级\P2-Qcubic to MySQL数据同步工具 V1.0\02-全程管理\01-项目监控\02-项目周报(QCUBIC-SJTB-MC-weeklyrpt)v1.1-engl.xlsx", "engl")</f>
        <v>engl</v>
      </c>
      <c r="D17"/>
      <c r="E17" t="s">
        <v>101</v>
      </c>
      <c r="F17"/>
      <c r="G17" t="s">
        <v>101</v>
      </c>
      <c r="H17" t="s">
        <v>101</v>
      </c>
      <c r="I17" t="s">
        <v>101</v>
      </c>
      <c r="J17" t="s">
        <v>101</v>
      </c>
      <c r="K17" t="s">
        <v>101</v>
      </c>
      <c r="L17" t="s">
        <v>101</v>
      </c>
      <c r="M17" t="s">
        <v>101</v>
      </c>
      <c r="N17" t="s">
        <v>101</v>
      </c>
      <c r="O17"/>
      <c r="P17"/>
      <c r="Q17"/>
      <c r="R17"/>
      <c r="S17"/>
      <c r="T17"/>
      <c r="U17"/>
      <c r="V17"/>
      <c r="W17"/>
      <c r="X17"/>
      <c r="Y17"/>
      <c r="Z17"/>
      <c r="AA17"/>
    </row>
    <row r="18" spans="1:27" s="137" customFormat="1" ht="14.4">
      <c r="A18" t="s">
        <v>100</v>
      </c>
      <c r="B18" s="15" t="s">
        <v>97</v>
      </c>
      <c r="C18" s="15" t="str">
        <f>HYPERLINK("02-项目级\P2-Qcubic to MySQL数据同步工具 V1.0\02-全程管理\01-项目监控\04-里程碑状态报告\01-策划里程碑状态报告(QCUBIC-SJTB-MC-PlanMilestoneRpt)V1.0-engl.docx", "engl")</f>
        <v>engl</v>
      </c>
      <c r="D18"/>
      <c r="E18" t="s">
        <v>101</v>
      </c>
      <c r="F18"/>
      <c r="G18" t="s">
        <v>101</v>
      </c>
      <c r="H18" t="s">
        <v>101</v>
      </c>
      <c r="I18" t="s">
        <v>101</v>
      </c>
      <c r="J18" t="s">
        <v>101</v>
      </c>
      <c r="K18" t="s">
        <v>101</v>
      </c>
      <c r="L18" t="s">
        <v>101</v>
      </c>
      <c r="M18" t="s">
        <v>101</v>
      </c>
      <c r="N18" t="s">
        <v>101</v>
      </c>
      <c r="O18"/>
      <c r="P18"/>
      <c r="Q18"/>
      <c r="R18"/>
      <c r="S18"/>
      <c r="T18"/>
      <c r="U18"/>
      <c r="V18"/>
      <c r="W18"/>
      <c r="X18"/>
      <c r="Y18"/>
      <c r="Z18"/>
      <c r="AA18"/>
    </row>
    <row r="19" spans="1:27" s="137" customFormat="1" ht="14.4">
      <c r="A19" t="s">
        <v>100</v>
      </c>
      <c r="B19" s="15" t="s">
        <v>97</v>
      </c>
      <c r="C19" s="15" t="str">
        <f>HYPERLINK("02-项目级\P2-Qcubic to MySQL数据同步工具 V1.0\02-全程管理\01-项目监控\04-里程碑状态报告\02-需求里程碑状态报告(QCUBIC-SJTB-MC-RDMilestoneRpt)V1.1-engl.docx", "engl")</f>
        <v>engl</v>
      </c>
      <c r="D19"/>
      <c r="E19" t="s">
        <v>101</v>
      </c>
      <c r="F19"/>
      <c r="G19" t="s">
        <v>101</v>
      </c>
      <c r="H19" t="s">
        <v>101</v>
      </c>
      <c r="I19" t="s">
        <v>101</v>
      </c>
      <c r="J19" t="s">
        <v>101</v>
      </c>
      <c r="K19" t="s">
        <v>101</v>
      </c>
      <c r="L19" t="s">
        <v>101</v>
      </c>
      <c r="M19" t="s">
        <v>101</v>
      </c>
      <c r="N19" t="s">
        <v>101</v>
      </c>
      <c r="O19"/>
      <c r="P19"/>
      <c r="Q19"/>
      <c r="R19"/>
      <c r="S19"/>
      <c r="T19"/>
      <c r="U19"/>
      <c r="V19"/>
      <c r="W19"/>
      <c r="X19"/>
      <c r="Y19"/>
      <c r="Z19"/>
      <c r="AA19"/>
    </row>
    <row r="20" spans="1:27" s="137" customFormat="1" ht="14.4">
      <c r="A20" t="s">
        <v>100</v>
      </c>
      <c r="B20" s="15" t="s">
        <v>97</v>
      </c>
      <c r="C20" s="15" t="str">
        <f>HYPERLINK("02-项目级\P2-Qcubic to MySQL数据同步工具 V1.0\02-全程管理\01-项目监控\04-里程碑状态报告\03-设计里程碑状态报告(QCUBIC-SJTB-MC-DesMilestoneRpt)V1.0-engl.docx", "engl")</f>
        <v>engl</v>
      </c>
      <c r="D20"/>
      <c r="E20" t="s">
        <v>101</v>
      </c>
      <c r="F20"/>
      <c r="G20" t="s">
        <v>101</v>
      </c>
      <c r="H20" t="s">
        <v>101</v>
      </c>
      <c r="I20" t="s">
        <v>101</v>
      </c>
      <c r="J20" t="s">
        <v>101</v>
      </c>
      <c r="K20" t="s">
        <v>101</v>
      </c>
      <c r="L20" t="s">
        <v>101</v>
      </c>
      <c r="M20" t="s">
        <v>101</v>
      </c>
      <c r="N20" t="s">
        <v>101</v>
      </c>
      <c r="O20"/>
      <c r="P20"/>
      <c r="Q20"/>
      <c r="R20"/>
      <c r="S20"/>
      <c r="T20"/>
      <c r="U20"/>
      <c r="V20"/>
      <c r="W20"/>
      <c r="X20"/>
      <c r="Y20"/>
      <c r="Z20"/>
      <c r="AA20"/>
    </row>
    <row r="21" spans="1:27" s="137" customFormat="1" ht="14.4">
      <c r="A21" t="s">
        <v>100</v>
      </c>
      <c r="B21" s="15" t="s">
        <v>97</v>
      </c>
      <c r="C21" s="15" t="str">
        <f>HYPERLINK("02-项目级\P2-Qcubic to MySQL数据同步工具 V1.0\02-全程管理\01-项目监控\04-里程碑状态报告\04-编码里程碑状态报告(QCUBIC-SJTB-MC-CodingMilestoneRpt)V1.0-engl.docx", "engl")</f>
        <v>engl</v>
      </c>
      <c r="D21"/>
      <c r="E21" t="s">
        <v>101</v>
      </c>
      <c r="F21"/>
      <c r="G21" t="s">
        <v>101</v>
      </c>
      <c r="H21" t="s">
        <v>101</v>
      </c>
      <c r="I21" t="s">
        <v>101</v>
      </c>
      <c r="J21" t="s">
        <v>101</v>
      </c>
      <c r="K21" t="s">
        <v>101</v>
      </c>
      <c r="L21" t="s">
        <v>101</v>
      </c>
      <c r="M21" t="s">
        <v>101</v>
      </c>
      <c r="N21" t="s">
        <v>101</v>
      </c>
      <c r="O21"/>
      <c r="P21"/>
      <c r="Q21"/>
      <c r="R21"/>
      <c r="S21"/>
      <c r="T21"/>
      <c r="U21"/>
      <c r="V21"/>
      <c r="W21"/>
      <c r="X21"/>
      <c r="Y21"/>
      <c r="Z21"/>
      <c r="AA21"/>
    </row>
    <row r="22" spans="1:27" s="137" customFormat="1" ht="14.4">
      <c r="A22" t="s">
        <v>100</v>
      </c>
      <c r="B22" s="15" t="s">
        <v>97</v>
      </c>
      <c r="C22" s="15" t="str">
        <f>HYPERLINK("02-项目级\P2-Qcubic to MySQL数据同步工具 V1.0\02-全程管理\01-项目监控\04-里程碑状态报告\05-测试里程碑状态报告(QCUBIC-SJTB-MC-TestMilestoneRpt)V1.0-engl.docx", "engl")</f>
        <v>engl</v>
      </c>
      <c r="D22"/>
      <c r="E22" t="s">
        <v>101</v>
      </c>
      <c r="F22"/>
      <c r="G22" t="s">
        <v>101</v>
      </c>
      <c r="H22" t="s">
        <v>101</v>
      </c>
      <c r="I22" t="s">
        <v>101</v>
      </c>
      <c r="J22" t="s">
        <v>101</v>
      </c>
      <c r="K22" t="s">
        <v>101</v>
      </c>
      <c r="L22" t="s">
        <v>101</v>
      </c>
      <c r="M22" t="s">
        <v>101</v>
      </c>
      <c r="N22" t="s">
        <v>101</v>
      </c>
      <c r="O22"/>
      <c r="P22"/>
      <c r="Q22"/>
      <c r="R22"/>
      <c r="S22"/>
      <c r="T22"/>
      <c r="U22"/>
      <c r="V22"/>
      <c r="W22"/>
      <c r="X22"/>
      <c r="Y22"/>
      <c r="Z22"/>
      <c r="AA22"/>
    </row>
    <row r="23" spans="1:27" s="137" customFormat="1" ht="14.4">
      <c r="A23" t="s">
        <v>100</v>
      </c>
      <c r="B23" s="15" t="s">
        <v>97</v>
      </c>
      <c r="C23" s="15" t="str">
        <f>HYPERLINK("02-项目级\P2-Qcubic to MySQL数据同步工具 V1.0\02-全程管理\01-项目监控\04-里程碑状态报告\06-验收里程碑状态报告(QCUBIC-SJTB-MC-VVMilestoneRpt)V1.0-engl.docx", "engl")</f>
        <v>engl</v>
      </c>
      <c r="D23"/>
      <c r="E23" t="s">
        <v>101</v>
      </c>
      <c r="F23"/>
      <c r="G23" t="s">
        <v>101</v>
      </c>
      <c r="H23" t="s">
        <v>101</v>
      </c>
      <c r="I23" t="s">
        <v>101</v>
      </c>
      <c r="J23" t="s">
        <v>101</v>
      </c>
      <c r="K23" t="s">
        <v>101</v>
      </c>
      <c r="L23" t="s">
        <v>101</v>
      </c>
      <c r="M23" t="s">
        <v>101</v>
      </c>
      <c r="N23" t="s">
        <v>101</v>
      </c>
      <c r="O23"/>
      <c r="P23"/>
      <c r="Q23"/>
      <c r="R23"/>
      <c r="S23"/>
      <c r="T23"/>
      <c r="U23"/>
      <c r="V23"/>
      <c r="W23"/>
      <c r="X23"/>
      <c r="Y23"/>
      <c r="Z23"/>
      <c r="AA23"/>
    </row>
    <row r="24" spans="1:27" s="137" customFormat="1" ht="14.4">
      <c r="A24" t="s">
        <v>100</v>
      </c>
      <c r="B24" s="15" t="s">
        <v>97</v>
      </c>
      <c r="C24" s="15" t="str">
        <f>HYPERLINK("02-项目级\P2-Qcubic to MySQL数据同步工具 V1.0\02-全程管理\01-项目监控\01-问题管理表(QCUBIC-SJTB-MC-IssueList)V1.1-engl.xlsx", "engl")</f>
        <v>engl</v>
      </c>
      <c r="D24"/>
      <c r="E24"/>
      <c r="F24" t="s">
        <v>101</v>
      </c>
      <c r="G24"/>
      <c r="H24"/>
      <c r="I24"/>
      <c r="J24" t="s">
        <v>101</v>
      </c>
      <c r="K24" t="s">
        <v>101</v>
      </c>
      <c r="L24"/>
      <c r="M24"/>
      <c r="N24" t="s">
        <v>101</v>
      </c>
      <c r="O24"/>
      <c r="P24"/>
      <c r="Q24"/>
      <c r="R24"/>
      <c r="S24"/>
      <c r="T24"/>
      <c r="U24"/>
      <c r="V24"/>
      <c r="W24"/>
      <c r="X24"/>
      <c r="Y24"/>
      <c r="Z24"/>
      <c r="AA24"/>
    </row>
    <row r="25" spans="1:27" s="120" customFormat="1" ht="14.4">
      <c r="A25" t="s">
        <v>100</v>
      </c>
      <c r="B25" s="15" t="s">
        <v>97</v>
      </c>
      <c r="C25" s="15" t="str">
        <f>HYPERLINK("02-项目级\P2-Qcubic to MySQL数据同步工具 V1.0\02-全程管理\07-质量保证\01-质量保证计划(QCUBIC-SJTB-PQA-Plan)V1.0-engl.docx", "engl")</f>
        <v>engl</v>
      </c>
      <c r="D25"/>
      <c r="E25"/>
      <c r="F25" t="s">
        <v>101</v>
      </c>
      <c r="G25"/>
      <c r="H25"/>
      <c r="I25"/>
      <c r="J25"/>
      <c r="K25"/>
      <c r="L25"/>
      <c r="M25"/>
      <c r="N25"/>
      <c r="O25"/>
      <c r="P25"/>
      <c r="Q25"/>
      <c r="R25"/>
      <c r="S25"/>
      <c r="T25"/>
      <c r="U25"/>
      <c r="V25"/>
      <c r="W25"/>
      <c r="X25"/>
      <c r="Y25"/>
      <c r="Z25"/>
      <c r="AA25"/>
    </row>
    <row r="26" spans="1:27" s="120" customFormat="1" ht="14.4">
      <c r="A26" t="s">
        <v>100</v>
      </c>
      <c r="B26" s="15" t="s">
        <v>97</v>
      </c>
      <c r="C26" s="15" t="str">
        <f>HYPERLINK("02-项目级\P2-Qcubic to MySQL数据同步工具 V1.0\02-全程管理\08-配置管理\01-项目配置管理计划 (QCUBIC-SJTB-CM-Plan)V1.0-engl.docx", "engl")</f>
        <v>engl</v>
      </c>
      <c r="D26"/>
      <c r="E26"/>
      <c r="F26" t="s">
        <v>101</v>
      </c>
      <c r="G26"/>
      <c r="H26"/>
      <c r="I26"/>
      <c r="J26"/>
      <c r="K26"/>
      <c r="L26"/>
      <c r="M26"/>
      <c r="N26"/>
      <c r="O26"/>
      <c r="P26"/>
      <c r="Q26"/>
      <c r="R26"/>
      <c r="S26"/>
      <c r="T26"/>
      <c r="U26"/>
      <c r="V26"/>
      <c r="W26"/>
      <c r="X26"/>
      <c r="Y26"/>
      <c r="Z26"/>
      <c r="AA26"/>
    </row>
    <row r="27" spans="1:27" s="120" customFormat="1" ht="14.4">
      <c r="A27" t="s">
        <v>100</v>
      </c>
      <c r="B27" s="15" t="s">
        <v>97</v>
      </c>
      <c r="C27"/>
      <c r="D27"/>
      <c r="E27"/>
      <c r="F27"/>
      <c r="G27" t="s">
        <v>101</v>
      </c>
      <c r="H27"/>
      <c r="I27"/>
      <c r="J27"/>
      <c r="K27"/>
      <c r="L27" t="s">
        <v>101</v>
      </c>
      <c r="M27"/>
      <c r="N27"/>
      <c r="O27"/>
      <c r="P27"/>
      <c r="Q27"/>
      <c r="R27"/>
      <c r="S27"/>
      <c r="T27"/>
      <c r="U27"/>
      <c r="V27"/>
      <c r="W27"/>
      <c r="X27"/>
      <c r="Y27"/>
      <c r="Z27"/>
      <c r="AA27"/>
    </row>
    <row r="28" spans="1:27" s="137" customFormat="1" ht="14.4">
      <c r="A28" t="s">
        <v>100</v>
      </c>
      <c r="B28" s="15" t="s">
        <v>97</v>
      </c>
      <c r="C28" s="15" t="str">
        <f>HYPERLINK("02-项目级\P2-Qcubic to MySQL数据同步工具 V1.0\01-生存周期\03-项目策划\01-项目定义过程 (QCUBIC-SJTB-PLAN-PDP)V1.0-engl.xlsx", "engl")</f>
        <v>engl</v>
      </c>
      <c r="D28"/>
      <c r="E28"/>
      <c r="F28"/>
      <c r="G28"/>
      <c r="H28"/>
      <c r="I28"/>
      <c r="J28"/>
      <c r="K28" t="s">
        <v>101</v>
      </c>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R6:T6"/>
  </mergeCells>
  <phoneticPr fontId="62"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4" customWidth="1"/>
    <col min="2" max="4" width="7.88671875" style="104" customWidth="1"/>
    <col min="5" max="6" width="15.6640625" style="104" customWidth="1"/>
    <col min="7" max="17" width="15.6640625" style="105" customWidth="1"/>
    <col min="18" max="19" width="15.6640625" style="104" customWidth="1"/>
    <col min="20" max="20" width="71.109375" style="104" customWidth="1"/>
    <col min="21" max="21" width="3.6640625" style="104" customWidth="1"/>
    <col min="22" max="22" width="30.109375" style="104" customWidth="1"/>
    <col min="23" max="23" width="147.109375" style="104" customWidth="1"/>
    <col min="24" max="25" width="18.6640625" style="104" customWidth="1"/>
    <col min="26" max="26" width="16.44140625" style="104" customWidth="1"/>
    <col min="27" max="16384" width="8.6640625" style="104"/>
  </cols>
  <sheetData>
    <row r="1" spans="1:27" s="107" customFormat="1" ht="18">
      <c r="A1" s="102" t="s">
        <v>803</v>
      </c>
      <c r="B1" s="102"/>
      <c r="C1" s="102"/>
      <c r="D1" s="102"/>
      <c r="E1" s="103"/>
      <c r="F1" s="104"/>
      <c r="G1" s="105"/>
      <c r="H1" s="105"/>
      <c r="I1" s="105"/>
      <c r="J1" s="105"/>
      <c r="K1" s="105"/>
      <c r="L1" s="105"/>
      <c r="M1" s="105"/>
      <c r="N1" s="105"/>
      <c r="O1" s="105"/>
      <c r="P1" s="105"/>
      <c r="Q1" s="105"/>
    </row>
    <row r="2" spans="1:27" s="145" customFormat="1" ht="30" customHeight="1">
      <c r="A2" s="107" t="s">
        <v>23</v>
      </c>
      <c r="B2" s="107"/>
      <c r="C2" s="107"/>
      <c r="D2" s="107"/>
      <c r="E2" s="361" t="s">
        <v>804</v>
      </c>
      <c r="F2" s="361"/>
      <c r="G2" s="361"/>
      <c r="H2" s="361"/>
      <c r="I2" s="361"/>
      <c r="J2" s="361"/>
      <c r="K2" s="361"/>
      <c r="L2" s="361"/>
      <c r="M2" s="361"/>
      <c r="N2" s="361"/>
      <c r="O2" s="361"/>
      <c r="P2" s="361"/>
      <c r="Q2" s="361"/>
    </row>
    <row r="3" spans="1:27" s="107" customFormat="1">
      <c r="A3" s="104" t="s">
        <v>25</v>
      </c>
      <c r="B3" s="104"/>
      <c r="C3" s="104"/>
      <c r="D3" s="104"/>
      <c r="E3" s="364" t="s">
        <v>805</v>
      </c>
      <c r="F3" s="364"/>
      <c r="G3" s="364"/>
      <c r="H3" s="364"/>
      <c r="I3" s="364"/>
      <c r="J3" s="364"/>
      <c r="K3" s="364"/>
      <c r="L3" s="364"/>
      <c r="M3" s="364"/>
      <c r="N3" s="364"/>
      <c r="O3" s="364"/>
      <c r="P3" s="364"/>
      <c r="Q3" s="364"/>
    </row>
    <row r="4" spans="1:27" s="107" customFormat="1">
      <c r="A4" s="108"/>
      <c r="B4" s="108"/>
      <c r="C4" s="108"/>
      <c r="D4" s="108"/>
      <c r="E4" s="109" t="s">
        <v>27</v>
      </c>
      <c r="F4" s="146"/>
      <c r="G4" s="110" t="s">
        <v>28</v>
      </c>
      <c r="H4" s="111"/>
      <c r="I4" s="110"/>
      <c r="J4" s="112"/>
      <c r="K4" s="112"/>
      <c r="L4" s="112"/>
      <c r="M4" s="110"/>
      <c r="N4" s="110"/>
      <c r="O4" s="113" t="s">
        <v>29</v>
      </c>
      <c r="P4" s="113"/>
      <c r="Q4" s="113"/>
      <c r="R4" s="147"/>
      <c r="S4" s="171" t="s">
        <v>371</v>
      </c>
      <c r="T4" s="115"/>
      <c r="U4" s="115"/>
      <c r="V4" s="115"/>
    </row>
    <row r="5" spans="1:27" s="107" customFormat="1">
      <c r="A5" s="115"/>
      <c r="B5" s="115"/>
      <c r="C5" s="115"/>
      <c r="D5" s="115"/>
      <c r="E5" s="116" t="s">
        <v>30</v>
      </c>
      <c r="F5" s="146"/>
      <c r="G5" s="117" t="s">
        <v>31</v>
      </c>
      <c r="H5" s="111"/>
      <c r="I5" s="117"/>
      <c r="J5" s="112"/>
      <c r="K5" s="112"/>
      <c r="L5" s="112"/>
      <c r="M5" s="236"/>
      <c r="N5" s="236"/>
      <c r="O5" s="113" t="s">
        <v>32</v>
      </c>
      <c r="P5" s="166"/>
      <c r="Q5" s="113"/>
      <c r="R5" s="147"/>
      <c r="S5" s="171" t="s">
        <v>372</v>
      </c>
      <c r="T5" s="115"/>
      <c r="U5" s="115"/>
      <c r="V5" s="115"/>
    </row>
    <row r="6" spans="1:27">
      <c r="A6" s="119"/>
      <c r="B6" s="119"/>
      <c r="C6" s="119"/>
      <c r="D6" s="119"/>
      <c r="E6" s="172" t="s">
        <v>806</v>
      </c>
      <c r="F6" s="172" t="s">
        <v>807</v>
      </c>
      <c r="G6" s="87" t="s">
        <v>808</v>
      </c>
      <c r="H6" s="87" t="s">
        <v>809</v>
      </c>
      <c r="I6" s="87" t="s">
        <v>810</v>
      </c>
      <c r="J6" s="87" t="s">
        <v>811</v>
      </c>
      <c r="K6" s="87" t="s">
        <v>812</v>
      </c>
      <c r="L6" s="87" t="s">
        <v>813</v>
      </c>
      <c r="M6" s="87" t="s">
        <v>814</v>
      </c>
      <c r="N6" s="87" t="s">
        <v>815</v>
      </c>
      <c r="O6" s="88" t="s">
        <v>816</v>
      </c>
      <c r="P6" s="88" t="s">
        <v>817</v>
      </c>
      <c r="Q6" s="88" t="s">
        <v>818</v>
      </c>
      <c r="R6" s="88" t="s">
        <v>819</v>
      </c>
      <c r="S6" s="173" t="s">
        <v>820</v>
      </c>
      <c r="T6" s="90"/>
      <c r="U6" s="90"/>
      <c r="V6" s="90"/>
      <c r="W6" s="120"/>
      <c r="X6" s="120"/>
      <c r="Y6" s="120"/>
    </row>
    <row r="7" spans="1:27" ht="137.4" customHeight="1">
      <c r="A7" s="121" t="s">
        <v>174</v>
      </c>
      <c r="B7" s="121"/>
      <c r="C7" s="121"/>
      <c r="D7" s="121"/>
      <c r="E7" s="94" t="s">
        <v>821</v>
      </c>
      <c r="F7" s="94" t="s">
        <v>822</v>
      </c>
      <c r="G7" s="94" t="s">
        <v>823</v>
      </c>
      <c r="H7" s="94" t="s">
        <v>824</v>
      </c>
      <c r="I7" s="94" t="s">
        <v>825</v>
      </c>
      <c r="J7" s="94" t="s">
        <v>826</v>
      </c>
      <c r="K7" s="94" t="s">
        <v>827</v>
      </c>
      <c r="L7" s="94" t="s">
        <v>828</v>
      </c>
      <c r="M7" s="94" t="s">
        <v>829</v>
      </c>
      <c r="N7" s="94" t="s">
        <v>830</v>
      </c>
      <c r="O7" s="94" t="s">
        <v>831</v>
      </c>
      <c r="P7" s="94" t="s">
        <v>832</v>
      </c>
      <c r="Q7" s="94" t="s">
        <v>833</v>
      </c>
      <c r="R7" s="94" t="s">
        <v>834</v>
      </c>
      <c r="S7" s="94" t="s">
        <v>835</v>
      </c>
      <c r="T7" s="90"/>
      <c r="U7" s="90"/>
      <c r="V7" s="90"/>
    </row>
    <row r="8" spans="1:27" ht="111" customHeight="1">
      <c r="A8" s="119" t="s">
        <v>54</v>
      </c>
      <c r="B8" s="119"/>
      <c r="C8" s="119"/>
      <c r="D8" s="119"/>
      <c r="E8" s="95" t="s">
        <v>836</v>
      </c>
      <c r="F8" s="122" t="s">
        <v>837</v>
      </c>
      <c r="G8" s="95" t="s">
        <v>838</v>
      </c>
      <c r="H8" s="95" t="s">
        <v>839</v>
      </c>
      <c r="I8" s="95" t="s">
        <v>840</v>
      </c>
      <c r="J8" s="95" t="s">
        <v>841</v>
      </c>
      <c r="K8" s="95" t="s">
        <v>842</v>
      </c>
      <c r="L8" s="95" t="s">
        <v>843</v>
      </c>
      <c r="M8" s="95" t="s">
        <v>844</v>
      </c>
      <c r="N8" s="95" t="s">
        <v>845</v>
      </c>
      <c r="O8" s="95" t="s">
        <v>846</v>
      </c>
      <c r="P8" s="95" t="s">
        <v>847</v>
      </c>
      <c r="Q8" s="95" t="s">
        <v>848</v>
      </c>
      <c r="R8" s="95" t="s">
        <v>849</v>
      </c>
      <c r="S8" s="95" t="s">
        <v>850</v>
      </c>
      <c r="T8" s="96"/>
      <c r="U8" s="96"/>
      <c r="V8" s="96"/>
    </row>
    <row r="9" spans="1:27" ht="200.1" customHeight="1">
      <c r="A9" s="119" t="s">
        <v>65</v>
      </c>
      <c r="B9" s="119"/>
      <c r="C9" s="119"/>
      <c r="D9" s="119"/>
      <c r="E9" s="95" t="s">
        <v>851</v>
      </c>
      <c r="F9" s="122" t="s">
        <v>852</v>
      </c>
      <c r="G9" s="95" t="s">
        <v>853</v>
      </c>
      <c r="H9" s="95" t="s">
        <v>854</v>
      </c>
      <c r="I9" s="95" t="s">
        <v>855</v>
      </c>
      <c r="J9" s="95" t="s">
        <v>856</v>
      </c>
      <c r="K9" s="95" t="s">
        <v>857</v>
      </c>
      <c r="L9" s="95" t="s">
        <v>858</v>
      </c>
      <c r="M9" s="95" t="s">
        <v>859</v>
      </c>
      <c r="N9" s="95" t="s">
        <v>860</v>
      </c>
      <c r="O9" s="95" t="s">
        <v>861</v>
      </c>
      <c r="P9" s="95" t="s">
        <v>862</v>
      </c>
      <c r="Q9" s="95" t="s">
        <v>863</v>
      </c>
      <c r="R9" s="95" t="s">
        <v>864</v>
      </c>
      <c r="S9" s="95" t="s">
        <v>865</v>
      </c>
      <c r="T9" s="96"/>
      <c r="U9" s="96"/>
      <c r="V9" s="96"/>
    </row>
    <row r="10" spans="1:27" ht="144" customHeight="1" thickBot="1">
      <c r="A10" s="119" t="s">
        <v>76</v>
      </c>
      <c r="B10" s="292"/>
      <c r="C10" s="292"/>
      <c r="D10" s="292"/>
      <c r="E10" s="237"/>
      <c r="F10" s="237" t="s">
        <v>866</v>
      </c>
      <c r="G10" s="238" t="s">
        <v>867</v>
      </c>
      <c r="H10" s="238" t="s">
        <v>868</v>
      </c>
      <c r="I10" s="238" t="s">
        <v>869</v>
      </c>
      <c r="J10" s="238" t="s">
        <v>870</v>
      </c>
      <c r="K10" s="238" t="s">
        <v>871</v>
      </c>
      <c r="L10" s="238" t="s">
        <v>872</v>
      </c>
      <c r="M10" s="238" t="s">
        <v>873</v>
      </c>
      <c r="N10" s="238" t="s">
        <v>874</v>
      </c>
      <c r="O10" s="238" t="s">
        <v>875</v>
      </c>
      <c r="P10" s="238" t="s">
        <v>876</v>
      </c>
      <c r="Q10" s="238" t="s">
        <v>877</v>
      </c>
      <c r="R10" s="238" t="s">
        <v>878</v>
      </c>
      <c r="S10" s="238" t="s">
        <v>879</v>
      </c>
      <c r="T10" s="149"/>
      <c r="U10" s="149"/>
      <c r="V10" s="149"/>
    </row>
    <row r="11" spans="1:27" ht="108" customHeight="1" thickBot="1">
      <c r="A11" s="239" t="s">
        <v>86</v>
      </c>
      <c r="B11" s="239"/>
      <c r="C11" s="239"/>
      <c r="D11" s="239"/>
      <c r="E11" s="237"/>
      <c r="F11" s="237"/>
      <c r="G11" s="238"/>
      <c r="H11" s="238"/>
      <c r="I11" s="238" t="s">
        <v>880</v>
      </c>
      <c r="J11" s="238" t="s">
        <v>881</v>
      </c>
      <c r="K11" s="238" t="s">
        <v>882</v>
      </c>
      <c r="L11" s="238" t="s">
        <v>883</v>
      </c>
      <c r="M11" s="238" t="s">
        <v>884</v>
      </c>
      <c r="N11" s="238" t="s">
        <v>885</v>
      </c>
      <c r="O11" s="238" t="s">
        <v>886</v>
      </c>
      <c r="P11" s="238" t="s">
        <v>887</v>
      </c>
      <c r="Q11" s="238" t="s">
        <v>888</v>
      </c>
      <c r="R11" s="238" t="s">
        <v>889</v>
      </c>
      <c r="S11" s="238" t="s">
        <v>879</v>
      </c>
      <c r="T11" s="149"/>
      <c r="U11" s="149"/>
      <c r="V11" s="149"/>
    </row>
    <row r="12" spans="1:27" ht="15" customHeight="1"/>
    <row r="13" spans="1:27" ht="15" customHeight="1"/>
    <row r="14" spans="1:27" ht="15" customHeight="1"/>
    <row r="15" spans="1:27" customFormat="1" ht="14.4">
      <c r="A15" t="s">
        <v>96</v>
      </c>
      <c r="B15" t="s">
        <v>97</v>
      </c>
      <c r="C15" t="s">
        <v>98</v>
      </c>
      <c r="D15" t="s">
        <v>99</v>
      </c>
      <c r="E15" s="14" t="s">
        <v>806</v>
      </c>
      <c r="F15" s="14" t="s">
        <v>807</v>
      </c>
      <c r="G15" s="14" t="s">
        <v>808</v>
      </c>
      <c r="H15" s="14" t="s">
        <v>809</v>
      </c>
      <c r="I15" s="14" t="s">
        <v>810</v>
      </c>
      <c r="J15" s="14" t="s">
        <v>811</v>
      </c>
      <c r="K15" s="14" t="s">
        <v>812</v>
      </c>
      <c r="L15" s="14" t="s">
        <v>813</v>
      </c>
      <c r="M15" s="14" t="s">
        <v>814</v>
      </c>
      <c r="N15" s="14" t="s">
        <v>815</v>
      </c>
      <c r="O15" s="14" t="s">
        <v>816</v>
      </c>
      <c r="P15" s="14" t="s">
        <v>817</v>
      </c>
      <c r="Q15" s="14" t="s">
        <v>818</v>
      </c>
      <c r="R15" s="14" t="s">
        <v>819</v>
      </c>
      <c r="S15" s="14" t="s">
        <v>820</v>
      </c>
      <c r="T15" s="104"/>
    </row>
    <row r="16" spans="1:27" ht="14.4">
      <c r="A16" t="s">
        <v>100</v>
      </c>
      <c r="B16" s="15" t="s">
        <v>97</v>
      </c>
      <c r="C16"/>
      <c r="D16"/>
      <c r="E16" t="s">
        <v>101</v>
      </c>
      <c r="F16" t="s">
        <v>101</v>
      </c>
      <c r="G16"/>
      <c r="H16"/>
      <c r="I16" t="s">
        <v>101</v>
      </c>
      <c r="J16" t="s">
        <v>101</v>
      </c>
      <c r="K16" t="s">
        <v>101</v>
      </c>
      <c r="L16" t="s">
        <v>101</v>
      </c>
      <c r="M16" t="s">
        <v>101</v>
      </c>
      <c r="N16"/>
      <c r="O16"/>
      <c r="P16"/>
      <c r="Q16" t="s">
        <v>101</v>
      </c>
      <c r="R16"/>
      <c r="S16"/>
      <c r="T16"/>
      <c r="U16"/>
      <c r="V16"/>
      <c r="W16"/>
      <c r="X16"/>
      <c r="Y16"/>
      <c r="Z16"/>
      <c r="AA16"/>
    </row>
    <row r="17" spans="1:27" ht="14.4">
      <c r="A17" t="s">
        <v>100</v>
      </c>
      <c r="B17" s="15" t="s">
        <v>97</v>
      </c>
      <c r="C17" s="15" t="str">
        <f>HYPERLINK("02-项目级\P2-Qcubic to MySQL数据同步工具 V1.0\01-生存周期\03-项目策划\03-项目计划书 (QCUBIC-SJTB-PLAN-Plan)V1.0-engl.docx", "engl")</f>
        <v>engl</v>
      </c>
      <c r="D17"/>
      <c r="E17"/>
      <c r="F17" t="s">
        <v>101</v>
      </c>
      <c r="G17" t="s">
        <v>101</v>
      </c>
      <c r="H17" t="s">
        <v>101</v>
      </c>
      <c r="I17"/>
      <c r="J17"/>
      <c r="K17"/>
      <c r="L17" t="s">
        <v>101</v>
      </c>
      <c r="M17" t="s">
        <v>101</v>
      </c>
      <c r="N17"/>
      <c r="O17"/>
      <c r="P17" t="s">
        <v>101</v>
      </c>
      <c r="Q17" t="s">
        <v>101</v>
      </c>
      <c r="R17" t="s">
        <v>101</v>
      </c>
      <c r="S17"/>
      <c r="T17"/>
      <c r="U17"/>
      <c r="V17"/>
      <c r="W17"/>
      <c r="X17"/>
      <c r="Y17"/>
      <c r="Z17"/>
      <c r="AA17"/>
    </row>
    <row r="18" spans="1:27" ht="14.4">
      <c r="A18" t="s">
        <v>100</v>
      </c>
      <c r="B18" s="15" t="s">
        <v>97</v>
      </c>
      <c r="C18" s="15" t="str">
        <f>HYPERLINK("02-项目级\P2-Qcubic to MySQL数据同步工具 V1.0\02-全程管理\05-评审管理\03-计划评审\05-评审报告_项目计划(QCUBIC-SJTB-PR-ReviewRpt)V1.1-engl.xlsx", "engl")</f>
        <v>engl</v>
      </c>
      <c r="D18"/>
      <c r="E18"/>
      <c r="F18"/>
      <c r="G18"/>
      <c r="H18"/>
      <c r="I18"/>
      <c r="J18"/>
      <c r="K18"/>
      <c r="L18" t="s">
        <v>101</v>
      </c>
      <c r="M18"/>
      <c r="N18" t="s">
        <v>101</v>
      </c>
      <c r="O18"/>
      <c r="P18"/>
      <c r="Q18"/>
      <c r="R18"/>
      <c r="S18"/>
      <c r="T18"/>
      <c r="U18"/>
      <c r="V18"/>
      <c r="W18"/>
      <c r="X18"/>
      <c r="Y18"/>
      <c r="Z18"/>
      <c r="AA18"/>
    </row>
    <row r="19" spans="1:27" ht="14.4">
      <c r="A19" t="s">
        <v>100</v>
      </c>
      <c r="B19" s="15" t="s">
        <v>97</v>
      </c>
      <c r="C19" s="15" t="str">
        <f>HYPERLINK("02-项目级\P2-Qcubic to MySQL数据同步工具 V1.0\01-生存周期\03-项目策划\01-项目定义过程 (QCUBIC-SJTB-PLAN-PDP)V1.0-engl.xlsx", "engl")</f>
        <v>engl</v>
      </c>
      <c r="D19"/>
      <c r="E19"/>
      <c r="F19"/>
      <c r="G19"/>
      <c r="H19"/>
      <c r="I19"/>
      <c r="J19"/>
      <c r="K19"/>
      <c r="L19"/>
      <c r="M19"/>
      <c r="N19"/>
      <c r="O19" t="s">
        <v>101</v>
      </c>
      <c r="P19" t="s">
        <v>101</v>
      </c>
      <c r="Q19"/>
      <c r="R19"/>
      <c r="S19"/>
      <c r="T19"/>
      <c r="U19"/>
      <c r="V19"/>
      <c r="W19"/>
      <c r="X19"/>
      <c r="Y19"/>
      <c r="Z19"/>
      <c r="AA19"/>
    </row>
    <row r="20" spans="1:27" ht="14.4">
      <c r="A20" t="s">
        <v>100</v>
      </c>
      <c r="B20" s="15" t="s">
        <v>97</v>
      </c>
      <c r="C20" s="15" t="str">
        <f>HYPERLINK("01-组织级\01-组织财富库\01-标准过程文件库\04-组织过程类\02-过程资产管理\裁剪指南 (QCUBIC-SPI-OPAL-Guid-Tailor)V1.2-engl.xlsx", "engl")</f>
        <v>engl</v>
      </c>
      <c r="D20"/>
      <c r="E20"/>
      <c r="F20"/>
      <c r="G20"/>
      <c r="H20"/>
      <c r="I20"/>
      <c r="J20"/>
      <c r="K20"/>
      <c r="L20"/>
      <c r="M20"/>
      <c r="N20"/>
      <c r="O20" t="s">
        <v>101</v>
      </c>
      <c r="P20"/>
      <c r="Q20"/>
      <c r="R20"/>
      <c r="S20"/>
      <c r="T20"/>
      <c r="U20"/>
      <c r="V20"/>
      <c r="W20"/>
      <c r="X20"/>
      <c r="Y20"/>
      <c r="Z20"/>
      <c r="AA20"/>
    </row>
    <row r="21" spans="1:27" ht="14.4">
      <c r="A21" t="s">
        <v>100</v>
      </c>
      <c r="B21" s="15" t="s">
        <v>97</v>
      </c>
      <c r="C21" s="15" t="str">
        <f>HYPERLINK("02-项目级\P2-Qcubic to MySQL数据同步工具 V1.0\02-全程管理\03-度量分析\02-项目度量数据表(QCUBIC-SJTB-MPM-datasheet)V1.0-engl.xlsx", "engl")</f>
        <v>engl</v>
      </c>
      <c r="D21"/>
      <c r="E21"/>
      <c r="F21"/>
      <c r="G21"/>
      <c r="H21"/>
      <c r="I21"/>
      <c r="J21"/>
      <c r="K21"/>
      <c r="L21"/>
      <c r="M21"/>
      <c r="N21"/>
      <c r="O21"/>
      <c r="P21" t="s">
        <v>101</v>
      </c>
      <c r="Q21"/>
      <c r="R21"/>
      <c r="S21"/>
      <c r="T21"/>
      <c r="U21"/>
      <c r="V21"/>
      <c r="W21"/>
      <c r="X21"/>
      <c r="Y21"/>
      <c r="Z21"/>
      <c r="AA21"/>
    </row>
    <row r="22" spans="1:27" ht="14.4">
      <c r="A22" t="s">
        <v>100</v>
      </c>
      <c r="B22" s="15" t="s">
        <v>97</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101</v>
      </c>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2">
    <mergeCell ref="E2:Q2"/>
    <mergeCell ref="E3:Q3"/>
  </mergeCells>
  <phoneticPr fontId="62"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66" customWidth="1"/>
    <col min="2" max="4" width="7.88671875" style="266" customWidth="1"/>
    <col min="5" max="6" width="20.6640625" style="251" customWidth="1"/>
    <col min="7" max="10" width="20.6640625" style="128" customWidth="1"/>
    <col min="11" max="11" width="50.6640625" style="128" customWidth="1"/>
    <col min="12" max="12" width="3.6640625" style="128" customWidth="1"/>
    <col min="13" max="13" width="24" style="128" bestFit="1" customWidth="1"/>
    <col min="14" max="14" width="108.44140625" style="125" customWidth="1"/>
    <col min="15" max="16384" width="8.6640625" style="251"/>
  </cols>
  <sheetData>
    <row r="1" spans="1:27" s="242" customFormat="1" ht="18">
      <c r="A1" s="240" t="s">
        <v>890</v>
      </c>
      <c r="B1" s="240"/>
      <c r="C1" s="240"/>
      <c r="D1" s="240"/>
      <c r="E1" s="241"/>
      <c r="F1" s="241"/>
      <c r="G1" s="241"/>
      <c r="H1" s="241"/>
      <c r="I1" s="241"/>
      <c r="J1" s="128"/>
      <c r="K1" s="128"/>
      <c r="L1" s="128"/>
      <c r="M1" s="128"/>
      <c r="N1" s="125"/>
    </row>
    <row r="2" spans="1:27" s="243" customFormat="1">
      <c r="A2" s="97" t="s">
        <v>891</v>
      </c>
      <c r="B2" s="97"/>
      <c r="C2" s="97"/>
      <c r="D2" s="97"/>
      <c r="E2" s="98" t="s">
        <v>892</v>
      </c>
      <c r="F2" s="98"/>
      <c r="G2" s="98"/>
      <c r="H2" s="98"/>
      <c r="I2" s="98"/>
      <c r="J2" s="128"/>
      <c r="K2" s="128"/>
      <c r="L2" s="128"/>
      <c r="M2" s="128"/>
      <c r="N2" s="125"/>
    </row>
    <row r="3" spans="1:27" s="244" customFormat="1">
      <c r="A3" s="97" t="s">
        <v>893</v>
      </c>
      <c r="B3" s="97"/>
      <c r="C3" s="97"/>
      <c r="D3" s="97"/>
      <c r="E3" s="98" t="s">
        <v>894</v>
      </c>
      <c r="F3" s="98"/>
      <c r="G3" s="98"/>
      <c r="H3" s="98"/>
      <c r="I3" s="98"/>
      <c r="J3" s="128"/>
      <c r="K3" s="128"/>
      <c r="L3" s="128"/>
      <c r="M3" s="128"/>
      <c r="N3" s="125"/>
    </row>
    <row r="4" spans="1:27">
      <c r="A4" s="245"/>
      <c r="B4" s="245"/>
      <c r="C4" s="245"/>
      <c r="D4" s="245"/>
      <c r="E4" s="246" t="s">
        <v>27</v>
      </c>
      <c r="F4" s="247" t="s">
        <v>28</v>
      </c>
      <c r="G4" s="248"/>
      <c r="H4" s="247"/>
      <c r="I4" s="249" t="s">
        <v>29</v>
      </c>
      <c r="J4" s="249"/>
      <c r="K4" s="250"/>
      <c r="L4" s="250"/>
      <c r="M4" s="250"/>
    </row>
    <row r="5" spans="1:27">
      <c r="A5" s="251"/>
      <c r="B5" s="251"/>
      <c r="C5" s="251"/>
      <c r="D5" s="251"/>
      <c r="E5" s="252" t="s">
        <v>30</v>
      </c>
      <c r="F5" s="253" t="s">
        <v>31</v>
      </c>
      <c r="G5" s="248"/>
      <c r="H5" s="253"/>
      <c r="I5" s="249" t="s">
        <v>32</v>
      </c>
      <c r="J5" s="254"/>
      <c r="K5" s="251"/>
      <c r="L5" s="251"/>
      <c r="M5" s="251"/>
    </row>
    <row r="6" spans="1:27" s="125" customFormat="1">
      <c r="A6" s="255"/>
      <c r="B6" s="255"/>
      <c r="C6" s="255"/>
      <c r="D6" s="255"/>
      <c r="E6" s="256" t="s">
        <v>895</v>
      </c>
      <c r="F6" s="257" t="s">
        <v>896</v>
      </c>
      <c r="G6" s="257" t="s">
        <v>897</v>
      </c>
      <c r="H6" s="257" t="s">
        <v>898</v>
      </c>
      <c r="I6" s="258" t="s">
        <v>899</v>
      </c>
      <c r="J6" s="258" t="s">
        <v>900</v>
      </c>
      <c r="K6" s="126"/>
      <c r="L6" s="126"/>
      <c r="M6" s="126"/>
      <c r="N6" s="128"/>
    </row>
    <row r="7" spans="1:27" s="125" customFormat="1" ht="82.8">
      <c r="A7" s="259" t="s">
        <v>174</v>
      </c>
      <c r="B7" s="259"/>
      <c r="C7" s="259"/>
      <c r="D7" s="259"/>
      <c r="E7" s="260" t="s">
        <v>901</v>
      </c>
      <c r="F7" s="260" t="s">
        <v>902</v>
      </c>
      <c r="G7" s="260" t="s">
        <v>903</v>
      </c>
      <c r="H7" s="260" t="s">
        <v>904</v>
      </c>
      <c r="I7" s="260" t="s">
        <v>905</v>
      </c>
      <c r="J7" s="260" t="s">
        <v>906</v>
      </c>
      <c r="K7" s="126"/>
      <c r="L7" s="126"/>
      <c r="M7" s="126"/>
    </row>
    <row r="8" spans="1:27" s="125" customFormat="1" ht="48">
      <c r="A8" s="255" t="s">
        <v>54</v>
      </c>
      <c r="B8" s="255"/>
      <c r="C8" s="255"/>
      <c r="D8" s="255"/>
      <c r="E8" s="261" t="s">
        <v>907</v>
      </c>
      <c r="F8" s="261" t="s">
        <v>908</v>
      </c>
      <c r="G8" s="261" t="s">
        <v>909</v>
      </c>
      <c r="H8" s="261" t="s">
        <v>910</v>
      </c>
      <c r="I8" s="261" t="s">
        <v>911</v>
      </c>
      <c r="J8" s="261" t="s">
        <v>912</v>
      </c>
      <c r="K8" s="262"/>
      <c r="L8" s="262"/>
      <c r="M8" s="262"/>
    </row>
    <row r="9" spans="1:27" s="125" customFormat="1" ht="87.6" customHeight="1">
      <c r="A9" s="255" t="s">
        <v>65</v>
      </c>
      <c r="B9" s="255"/>
      <c r="C9" s="255"/>
      <c r="D9" s="255"/>
      <c r="E9" s="261" t="s">
        <v>913</v>
      </c>
      <c r="F9" s="261" t="s">
        <v>914</v>
      </c>
      <c r="G9" s="261" t="s">
        <v>915</v>
      </c>
      <c r="H9" s="261" t="s">
        <v>916</v>
      </c>
      <c r="I9" s="261" t="s">
        <v>917</v>
      </c>
      <c r="J9" s="261" t="s">
        <v>918</v>
      </c>
      <c r="K9" s="262"/>
      <c r="L9" s="262"/>
      <c r="M9" s="262"/>
    </row>
    <row r="10" spans="1:27" s="125" customFormat="1" ht="96">
      <c r="A10" s="119" t="s">
        <v>76</v>
      </c>
      <c r="B10" s="168"/>
      <c r="C10" s="168"/>
      <c r="D10" s="168"/>
      <c r="E10" s="263" t="s">
        <v>919</v>
      </c>
      <c r="F10" s="264" t="s">
        <v>920</v>
      </c>
      <c r="G10" s="264" t="s">
        <v>921</v>
      </c>
      <c r="H10" s="264" t="s">
        <v>922</v>
      </c>
      <c r="I10" s="264" t="s">
        <v>923</v>
      </c>
      <c r="J10" s="264" t="s">
        <v>924</v>
      </c>
      <c r="K10" s="262"/>
      <c r="L10" s="262"/>
      <c r="M10" s="262"/>
    </row>
    <row r="11" spans="1:27" s="125" customFormat="1" ht="96">
      <c r="A11" s="265" t="s">
        <v>86</v>
      </c>
      <c r="B11" s="265"/>
      <c r="C11" s="265"/>
      <c r="D11" s="265"/>
      <c r="E11" s="263" t="s">
        <v>925</v>
      </c>
      <c r="F11" s="264" t="s">
        <v>926</v>
      </c>
      <c r="G11" s="264" t="s">
        <v>927</v>
      </c>
      <c r="H11" s="264" t="s">
        <v>928</v>
      </c>
      <c r="I11" s="264" t="s">
        <v>929</v>
      </c>
      <c r="J11" s="264" t="s">
        <v>930</v>
      </c>
      <c r="K11" s="262"/>
      <c r="L11" s="262"/>
      <c r="M11" s="262"/>
      <c r="N11" s="128"/>
      <c r="O11" s="128"/>
      <c r="P11" s="128"/>
    </row>
    <row r="12" spans="1:27" s="125" customFormat="1" ht="15" customHeight="1"/>
    <row r="13" spans="1:27" s="125" customFormat="1" ht="15" customHeight="1"/>
    <row r="14" spans="1:27" s="125" customFormat="1" ht="15" customHeight="1"/>
    <row r="15" spans="1:27" customFormat="1" ht="14.4">
      <c r="A15" t="s">
        <v>96</v>
      </c>
      <c r="B15" t="s">
        <v>97</v>
      </c>
      <c r="C15" t="s">
        <v>98</v>
      </c>
      <c r="D15" t="s">
        <v>99</v>
      </c>
      <c r="E15" t="s">
        <v>895</v>
      </c>
      <c r="F15" t="s">
        <v>896</v>
      </c>
      <c r="G15" t="s">
        <v>897</v>
      </c>
      <c r="H15" t="s">
        <v>898</v>
      </c>
      <c r="I15" t="s">
        <v>899</v>
      </c>
      <c r="J15" t="s">
        <v>900</v>
      </c>
    </row>
    <row r="16" spans="1:27" s="129" customFormat="1" ht="14.4">
      <c r="A16" t="s">
        <v>100</v>
      </c>
      <c r="B16" s="15" t="s">
        <v>97</v>
      </c>
      <c r="C16" s="15" t="str">
        <f>HYPERLINK("02-项目级\P2-Qcubic to MySQL数据同步工具 V1.0\01-生存周期\03-项目策划\02-估算工作书 (QCUBIC-SJTB-PLAN-Evaluate)V1.2-engl.xlsx", "engl")</f>
        <v>engl</v>
      </c>
      <c r="D16"/>
      <c r="E16" t="s">
        <v>101</v>
      </c>
      <c r="F16"/>
      <c r="G16" t="s">
        <v>101</v>
      </c>
      <c r="H16" t="s">
        <v>101</v>
      </c>
      <c r="I16"/>
      <c r="J16"/>
      <c r="K16"/>
      <c r="L16"/>
      <c r="M16"/>
      <c r="N16"/>
      <c r="O16"/>
      <c r="P16"/>
      <c r="Q16"/>
      <c r="R16"/>
      <c r="S16"/>
      <c r="T16"/>
      <c r="U16"/>
      <c r="V16"/>
      <c r="W16"/>
      <c r="X16"/>
      <c r="Y16"/>
      <c r="Z16"/>
      <c r="AA16"/>
    </row>
    <row r="17" spans="1:27" s="129" customFormat="1" ht="14.4">
      <c r="A17" t="s">
        <v>100</v>
      </c>
      <c r="B17" s="15" t="s">
        <v>97</v>
      </c>
      <c r="C17" s="15" t="str">
        <f>HYPERLINK("02-项目级\P2-Qcubic to MySQL数据同步工具 V1.0\02-全程管理\03-度量分析\02-项目度量数据表(QCUBIC-SJTB-MPM-datasheet)V1.0-engl.xlsx", "engl")</f>
        <v>engl</v>
      </c>
      <c r="D17"/>
      <c r="E17"/>
      <c r="F17" t="s">
        <v>101</v>
      </c>
      <c r="G17"/>
      <c r="H17"/>
      <c r="I17"/>
      <c r="J17"/>
      <c r="K17"/>
      <c r="L17"/>
      <c r="M17"/>
      <c r="N17"/>
      <c r="O17"/>
      <c r="P17"/>
      <c r="Q17"/>
      <c r="R17"/>
      <c r="S17"/>
      <c r="T17"/>
      <c r="U17"/>
      <c r="V17"/>
      <c r="W17"/>
      <c r="X17"/>
      <c r="Y17"/>
      <c r="Z17"/>
      <c r="AA17"/>
    </row>
    <row r="18" spans="1:27" s="129" customFormat="1" ht="14.4">
      <c r="A18" t="s">
        <v>100</v>
      </c>
      <c r="B18" s="15" t="s">
        <v>97</v>
      </c>
      <c r="C18" s="15" t="str">
        <f>HYPERLINK("02-项目级\P2-Qcubic to MySQL数据同步工具 V1.0\01-生存周期\03-项目策划\03-项目计划书 (QCUBIC-SJTB-PLAN-Plan)V1.0-engl.docx", "engl")</f>
        <v>engl</v>
      </c>
      <c r="D18"/>
      <c r="E18"/>
      <c r="F18" t="s">
        <v>101</v>
      </c>
      <c r="G18"/>
      <c r="H18"/>
      <c r="I18"/>
      <c r="J18"/>
      <c r="K18"/>
      <c r="L18"/>
      <c r="M18"/>
      <c r="N18"/>
      <c r="O18"/>
      <c r="P18"/>
      <c r="Q18"/>
      <c r="R18"/>
      <c r="S18"/>
      <c r="T18"/>
      <c r="U18"/>
      <c r="V18"/>
      <c r="W18"/>
      <c r="X18"/>
      <c r="Y18"/>
      <c r="Z18"/>
      <c r="AA18"/>
    </row>
    <row r="19" spans="1:27" s="129" customFormat="1" ht="14.4">
      <c r="A19" t="s">
        <v>100</v>
      </c>
      <c r="B19" s="15" t="s">
        <v>97</v>
      </c>
      <c r="C19" s="15" t="str">
        <f>HYPERLINK("02-项目级\P2-Qcubic to MySQL数据同步工具 V1.0\02-全程管理\01-项目监控\03-周会议纪要\01-会议记录(QCUBIC-SJTB-meetingrcd-20220107)V1.0-engl.docx", "engl")</f>
        <v>engl</v>
      </c>
      <c r="D19"/>
      <c r="E19"/>
      <c r="F19"/>
      <c r="G19"/>
      <c r="H19" t="s">
        <v>101</v>
      </c>
      <c r="I19"/>
      <c r="J19"/>
      <c r="K19"/>
      <c r="L19"/>
      <c r="M19"/>
      <c r="N19"/>
      <c r="O19"/>
      <c r="P19"/>
      <c r="Q19"/>
      <c r="R19"/>
      <c r="S19"/>
      <c r="T19"/>
      <c r="U19"/>
      <c r="V19"/>
      <c r="W19"/>
      <c r="X19"/>
      <c r="Y19"/>
      <c r="Z19"/>
      <c r="AA19"/>
    </row>
    <row r="20" spans="1:27" s="129" customFormat="1" ht="14.4">
      <c r="A20" t="s">
        <v>100</v>
      </c>
      <c r="B20" s="15" t="s">
        <v>97</v>
      </c>
      <c r="C20" s="15" t="str">
        <f>HYPERLINK("01-组织级\01-组织财富库\01-标准过程文件库\01-项目管理规范\03-项目估算\估算指南(QCUBIC-SPI-EST-Guid-Evaluate)V1.2-engl.docx", "engl")</f>
        <v>engl</v>
      </c>
      <c r="D20"/>
      <c r="E20"/>
      <c r="F20"/>
      <c r="G20"/>
      <c r="H20"/>
      <c r="I20" t="s">
        <v>101</v>
      </c>
      <c r="J20"/>
      <c r="K20"/>
      <c r="L20"/>
      <c r="M20"/>
      <c r="N20"/>
      <c r="O20"/>
      <c r="P20"/>
      <c r="Q20"/>
      <c r="R20"/>
      <c r="S20"/>
      <c r="T20"/>
      <c r="U20"/>
      <c r="V20"/>
      <c r="W20"/>
      <c r="X20"/>
      <c r="Y20"/>
      <c r="Z20"/>
      <c r="AA20"/>
    </row>
    <row r="21" spans="1:27" s="129" customFormat="1" ht="14.4">
      <c r="A21" t="s">
        <v>100</v>
      </c>
      <c r="B21" s="15" t="s">
        <v>97</v>
      </c>
      <c r="C21" s="15" t="str">
        <f>HYPERLINK("01-组织级\02-组织工作库\06-度量\组织度量表(QCUBIC-SPI-MPM-Tem-datasheet)V1.3-engl.xlsx", "engl")</f>
        <v>engl</v>
      </c>
      <c r="D21"/>
      <c r="E21"/>
      <c r="F21"/>
      <c r="G21"/>
      <c r="H21"/>
      <c r="I21"/>
      <c r="J21" t="s">
        <v>101</v>
      </c>
      <c r="K21"/>
      <c r="L21"/>
      <c r="M21"/>
      <c r="N21"/>
      <c r="O21"/>
      <c r="P21"/>
      <c r="Q21"/>
      <c r="R21"/>
      <c r="S21"/>
      <c r="T21"/>
      <c r="U21"/>
      <c r="V21"/>
      <c r="W21"/>
      <c r="X21"/>
      <c r="Y21"/>
      <c r="Z21"/>
      <c r="AA21"/>
    </row>
    <row r="22" spans="1:27" s="129" customFormat="1" ht="14.4">
      <c r="A22" t="s">
        <v>100</v>
      </c>
      <c r="B22" s="15" t="s">
        <v>97</v>
      </c>
      <c r="C22"/>
      <c r="D22"/>
      <c r="E22"/>
      <c r="F22"/>
      <c r="G22"/>
      <c r="H22"/>
      <c r="I22"/>
      <c r="J22" t="s">
        <v>101</v>
      </c>
      <c r="K22"/>
      <c r="L22"/>
      <c r="M22"/>
      <c r="N22"/>
      <c r="O22"/>
      <c r="P22"/>
      <c r="Q22"/>
      <c r="R22"/>
      <c r="S22"/>
      <c r="T22"/>
      <c r="U22"/>
      <c r="V22"/>
      <c r="W22"/>
      <c r="X22"/>
      <c r="Y22"/>
      <c r="Z22"/>
      <c r="AA22"/>
    </row>
    <row r="23" spans="1:27" s="125" customFormat="1" ht="14.4">
      <c r="A23"/>
      <c r="B23"/>
      <c r="C23"/>
      <c r="D23"/>
      <c r="E23"/>
      <c r="F23"/>
      <c r="G23"/>
      <c r="H23"/>
      <c r="I23"/>
      <c r="J23"/>
      <c r="K23"/>
      <c r="L23"/>
      <c r="M23"/>
      <c r="N23"/>
      <c r="O23"/>
      <c r="P23"/>
      <c r="Q23"/>
      <c r="R23"/>
      <c r="S23"/>
      <c r="T23"/>
      <c r="U23"/>
      <c r="V23"/>
      <c r="W23"/>
      <c r="X23"/>
      <c r="Y23"/>
      <c r="Z23"/>
      <c r="AA23"/>
    </row>
    <row r="24" spans="1:27" s="125" customFormat="1" ht="14.4">
      <c r="A24"/>
      <c r="B24"/>
      <c r="C24"/>
      <c r="D24"/>
      <c r="E24"/>
      <c r="F24"/>
      <c r="G24"/>
      <c r="H24"/>
      <c r="I24"/>
      <c r="J24"/>
      <c r="K24"/>
      <c r="L24"/>
      <c r="M24"/>
      <c r="N24"/>
      <c r="O24"/>
      <c r="P24"/>
      <c r="Q24"/>
      <c r="R24"/>
      <c r="S24"/>
      <c r="T24"/>
      <c r="U24"/>
      <c r="V24"/>
      <c r="W24"/>
      <c r="X24"/>
      <c r="Y24"/>
      <c r="Z24"/>
      <c r="AA24"/>
    </row>
    <row r="25" spans="1:27" s="125" customFormat="1" ht="14.4">
      <c r="A25"/>
      <c r="B25"/>
      <c r="C25"/>
      <c r="D25"/>
      <c r="E25"/>
      <c r="F25"/>
      <c r="G25"/>
      <c r="H25"/>
      <c r="I25"/>
      <c r="J25"/>
      <c r="K25"/>
      <c r="L25"/>
      <c r="M25"/>
      <c r="N25"/>
      <c r="O25"/>
      <c r="P25"/>
      <c r="Q25"/>
      <c r="R25"/>
      <c r="S25"/>
      <c r="T25"/>
      <c r="U25"/>
      <c r="V25"/>
      <c r="W25"/>
      <c r="X25"/>
      <c r="Y25"/>
      <c r="Z25"/>
      <c r="AA25"/>
    </row>
    <row r="26" spans="1:27" s="125" customFormat="1" ht="14.4">
      <c r="A26"/>
      <c r="B26"/>
      <c r="C26"/>
      <c r="D26"/>
      <c r="E26"/>
      <c r="F26"/>
      <c r="G26"/>
      <c r="H26"/>
      <c r="I26"/>
      <c r="J26"/>
      <c r="K26"/>
      <c r="L26"/>
      <c r="M26"/>
      <c r="N26"/>
      <c r="O26"/>
      <c r="P26"/>
      <c r="Q26"/>
      <c r="R26"/>
      <c r="S26"/>
      <c r="T26"/>
      <c r="U26"/>
      <c r="V26"/>
      <c r="W26"/>
      <c r="X26"/>
      <c r="Y26"/>
      <c r="Z26"/>
      <c r="AA26"/>
    </row>
    <row r="27" spans="1:27" s="125" customFormat="1" ht="14.4">
      <c r="A27"/>
      <c r="B27"/>
      <c r="C27"/>
      <c r="D27"/>
      <c r="E27"/>
      <c r="F27"/>
      <c r="G27"/>
      <c r="H27"/>
      <c r="I27"/>
      <c r="J27"/>
      <c r="K27"/>
      <c r="L27"/>
      <c r="M27"/>
      <c r="N27"/>
      <c r="O27"/>
      <c r="P27"/>
      <c r="Q27"/>
      <c r="R27"/>
      <c r="S27"/>
      <c r="T27"/>
      <c r="U27"/>
      <c r="V27"/>
      <c r="W27"/>
      <c r="X27"/>
      <c r="Y27"/>
      <c r="Z27"/>
      <c r="AA27"/>
    </row>
    <row r="28" spans="1:27" s="129" customFormat="1" ht="14.4">
      <c r="A28"/>
      <c r="B28"/>
      <c r="C28"/>
      <c r="D28"/>
      <c r="E28"/>
      <c r="F28"/>
      <c r="G28"/>
      <c r="H28"/>
      <c r="I28"/>
      <c r="J28"/>
      <c r="K28"/>
      <c r="L28"/>
      <c r="M28"/>
      <c r="N28"/>
      <c r="O28"/>
      <c r="P28"/>
      <c r="Q28"/>
      <c r="R28"/>
      <c r="S28"/>
      <c r="T28"/>
      <c r="U28"/>
      <c r="V28"/>
      <c r="W28"/>
      <c r="X28"/>
      <c r="Y28"/>
      <c r="Z28"/>
      <c r="AA28"/>
    </row>
    <row r="29" spans="1:27" s="129" customFormat="1" ht="14.4">
      <c r="A29"/>
      <c r="B29"/>
      <c r="C29"/>
      <c r="D29"/>
      <c r="E29"/>
      <c r="F29"/>
      <c r="G29"/>
      <c r="H29"/>
      <c r="I29"/>
      <c r="J29"/>
      <c r="K29"/>
      <c r="L29"/>
      <c r="M29"/>
      <c r="N29"/>
      <c r="O29"/>
      <c r="P29"/>
      <c r="Q29"/>
      <c r="R29"/>
      <c r="S29"/>
      <c r="T29"/>
      <c r="U29"/>
      <c r="V29"/>
      <c r="W29"/>
      <c r="X29"/>
      <c r="Y29"/>
      <c r="Z29"/>
      <c r="AA29"/>
    </row>
    <row r="30" spans="1:27" s="129" customFormat="1" ht="14.4">
      <c r="A30"/>
      <c r="B30"/>
      <c r="C30"/>
      <c r="D30"/>
      <c r="E30"/>
      <c r="F30"/>
      <c r="G30"/>
      <c r="H30"/>
      <c r="I30"/>
      <c r="J30"/>
      <c r="K30"/>
      <c r="L30"/>
      <c r="M30"/>
      <c r="N30"/>
      <c r="O30"/>
      <c r="P30"/>
      <c r="Q30"/>
      <c r="R30"/>
      <c r="S30"/>
      <c r="T30"/>
      <c r="U30"/>
      <c r="V30"/>
      <c r="W30"/>
      <c r="X30"/>
      <c r="Y30"/>
      <c r="Z30"/>
      <c r="AA30"/>
    </row>
    <row r="31" spans="1:27" s="129" customFormat="1" ht="14.4">
      <c r="A31"/>
      <c r="B31"/>
      <c r="C31"/>
      <c r="D31"/>
      <c r="E31"/>
      <c r="F31"/>
      <c r="G31"/>
      <c r="H31"/>
      <c r="I31"/>
      <c r="J31"/>
      <c r="K31"/>
      <c r="L31"/>
      <c r="M31"/>
      <c r="N31"/>
      <c r="O31"/>
      <c r="P31"/>
      <c r="Q31"/>
      <c r="R31"/>
      <c r="S31"/>
      <c r="T31"/>
      <c r="U31"/>
      <c r="V31"/>
      <c r="W31"/>
      <c r="X31"/>
      <c r="Y31"/>
      <c r="Z31"/>
      <c r="AA31"/>
    </row>
    <row r="32" spans="1:27" s="129"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sheetProtection selectLockedCells="1" selectUnlockedCells="1"/>
  <phoneticPr fontId="62"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4" customWidth="1"/>
    <col min="2" max="4" width="7.88671875" style="114" customWidth="1"/>
    <col min="5" max="10" width="15.6640625" style="114" customWidth="1"/>
    <col min="11" max="18" width="16.33203125" style="114" customWidth="1"/>
    <col min="19" max="19" width="16.33203125" style="103" customWidth="1"/>
    <col min="20" max="21" width="16.6640625" style="103" customWidth="1"/>
    <col min="22" max="16384" width="8.88671875" style="114"/>
  </cols>
  <sheetData>
    <row r="1" spans="1:27" s="165" customFormat="1" ht="18">
      <c r="A1" s="102" t="s">
        <v>931</v>
      </c>
      <c r="B1" s="102"/>
      <c r="C1" s="102"/>
      <c r="D1" s="102"/>
      <c r="E1" s="162"/>
      <c r="F1" s="162"/>
      <c r="G1" s="267"/>
      <c r="S1" s="162"/>
      <c r="T1" s="162"/>
      <c r="U1" s="162"/>
    </row>
    <row r="2" spans="1:27">
      <c r="A2" s="107" t="s">
        <v>932</v>
      </c>
      <c r="B2" s="107"/>
      <c r="C2" s="107"/>
      <c r="D2" s="107"/>
      <c r="E2" s="104" t="s">
        <v>933</v>
      </c>
      <c r="F2" s="104"/>
      <c r="G2" s="133"/>
    </row>
    <row r="3" spans="1:27">
      <c r="A3" s="104" t="s">
        <v>934</v>
      </c>
      <c r="B3" s="104"/>
      <c r="C3" s="104"/>
      <c r="D3" s="104"/>
      <c r="E3" s="104" t="s">
        <v>935</v>
      </c>
      <c r="F3" s="104"/>
      <c r="G3" s="133"/>
    </row>
    <row r="4" spans="1:27">
      <c r="A4" s="108"/>
      <c r="B4" s="108"/>
      <c r="C4" s="108"/>
      <c r="D4" s="108"/>
      <c r="E4" s="109" t="s">
        <v>27</v>
      </c>
      <c r="F4" s="110" t="s">
        <v>28</v>
      </c>
      <c r="G4" s="110"/>
      <c r="H4" s="113" t="s">
        <v>29</v>
      </c>
      <c r="I4" s="113"/>
      <c r="J4" s="147"/>
      <c r="K4" s="147"/>
      <c r="L4" s="147"/>
      <c r="M4" s="170" t="s">
        <v>371</v>
      </c>
      <c r="N4" s="268"/>
      <c r="O4" s="192" t="s">
        <v>511</v>
      </c>
      <c r="S4" s="104"/>
      <c r="T4" s="104"/>
      <c r="U4" s="107"/>
    </row>
    <row r="5" spans="1:27">
      <c r="A5" s="115"/>
      <c r="B5" s="115"/>
      <c r="C5" s="115"/>
      <c r="D5" s="115"/>
      <c r="E5" s="116" t="s">
        <v>30</v>
      </c>
      <c r="F5" s="117" t="s">
        <v>31</v>
      </c>
      <c r="G5" s="117"/>
      <c r="H5" s="113" t="s">
        <v>32</v>
      </c>
      <c r="I5" s="166"/>
      <c r="J5" s="147"/>
      <c r="K5" s="147"/>
      <c r="L5" s="147"/>
      <c r="M5" s="171" t="s">
        <v>372</v>
      </c>
      <c r="N5" s="269"/>
      <c r="O5" s="195" t="s">
        <v>512</v>
      </c>
      <c r="P5" s="115"/>
      <c r="Q5" s="115"/>
      <c r="R5" s="115"/>
      <c r="S5" s="104"/>
      <c r="T5" s="104"/>
      <c r="U5" s="107"/>
      <c r="V5" s="115"/>
    </row>
    <row r="6" spans="1:27">
      <c r="A6" s="119"/>
      <c r="B6" s="119"/>
      <c r="C6" s="119"/>
      <c r="D6" s="119"/>
      <c r="E6" s="3" t="s">
        <v>936</v>
      </c>
      <c r="F6" s="87" t="s">
        <v>937</v>
      </c>
      <c r="G6" s="87" t="s">
        <v>938</v>
      </c>
      <c r="H6" s="88" t="s">
        <v>939</v>
      </c>
      <c r="I6" s="88" t="s">
        <v>940</v>
      </c>
      <c r="J6" s="88" t="s">
        <v>941</v>
      </c>
      <c r="K6" s="88" t="s">
        <v>942</v>
      </c>
      <c r="L6" s="88" t="s">
        <v>943</v>
      </c>
      <c r="M6" s="173" t="s">
        <v>944</v>
      </c>
      <c r="N6" s="198" t="s">
        <v>945</v>
      </c>
      <c r="O6" s="270" t="s">
        <v>946</v>
      </c>
      <c r="P6" s="90"/>
      <c r="Q6" s="90"/>
      <c r="R6" s="90"/>
    </row>
    <row r="7" spans="1:27" ht="138">
      <c r="A7" s="121" t="s">
        <v>174</v>
      </c>
      <c r="B7" s="121"/>
      <c r="C7" s="121"/>
      <c r="D7" s="121"/>
      <c r="E7" s="94" t="s">
        <v>947</v>
      </c>
      <c r="F7" s="94" t="s">
        <v>948</v>
      </c>
      <c r="G7" s="94" t="s">
        <v>949</v>
      </c>
      <c r="H7" s="94" t="s">
        <v>950</v>
      </c>
      <c r="I7" s="94" t="s">
        <v>951</v>
      </c>
      <c r="J7" s="94" t="s">
        <v>952</v>
      </c>
      <c r="K7" s="94" t="s">
        <v>953</v>
      </c>
      <c r="L7" s="94" t="s">
        <v>954</v>
      </c>
      <c r="M7" s="201" t="s">
        <v>955</v>
      </c>
      <c r="N7" s="94" t="s">
        <v>956</v>
      </c>
      <c r="O7" s="271" t="s">
        <v>957</v>
      </c>
      <c r="P7" s="90"/>
      <c r="Q7" s="90"/>
      <c r="R7" s="272"/>
      <c r="S7" s="273"/>
      <c r="T7" s="273"/>
      <c r="U7" s="273"/>
    </row>
    <row r="8" spans="1:27" ht="108">
      <c r="A8" s="119" t="s">
        <v>54</v>
      </c>
      <c r="B8" s="119"/>
      <c r="C8" s="119"/>
      <c r="D8" s="119"/>
      <c r="E8" s="95" t="s">
        <v>958</v>
      </c>
      <c r="F8" s="95" t="s">
        <v>959</v>
      </c>
      <c r="G8" s="95" t="s">
        <v>960</v>
      </c>
      <c r="H8" s="95" t="s">
        <v>961</v>
      </c>
      <c r="I8" s="95" t="s">
        <v>962</v>
      </c>
      <c r="J8" s="95" t="s">
        <v>963</v>
      </c>
      <c r="K8" s="95" t="s">
        <v>964</v>
      </c>
      <c r="L8" s="95" t="s">
        <v>965</v>
      </c>
      <c r="M8" s="204" t="s">
        <v>966</v>
      </c>
      <c r="N8" s="95" t="s">
        <v>967</v>
      </c>
      <c r="O8" s="205" t="s">
        <v>968</v>
      </c>
      <c r="P8" s="96"/>
      <c r="Q8" s="96"/>
      <c r="R8" s="96"/>
    </row>
    <row r="9" spans="1:27" ht="168">
      <c r="A9" s="119" t="s">
        <v>65</v>
      </c>
      <c r="B9" s="119"/>
      <c r="C9" s="119"/>
      <c r="D9" s="119"/>
      <c r="E9" s="122" t="s">
        <v>969</v>
      </c>
      <c r="F9" s="95" t="s">
        <v>970</v>
      </c>
      <c r="G9" s="95" t="s">
        <v>971</v>
      </c>
      <c r="H9" s="95" t="s">
        <v>972</v>
      </c>
      <c r="I9" s="95" t="s">
        <v>973</v>
      </c>
      <c r="J9" s="95" t="s">
        <v>974</v>
      </c>
      <c r="K9" s="95" t="s">
        <v>975</v>
      </c>
      <c r="L9" s="95" t="s">
        <v>976</v>
      </c>
      <c r="M9" s="204" t="s">
        <v>977</v>
      </c>
      <c r="N9" s="95" t="s">
        <v>978</v>
      </c>
      <c r="O9" s="205" t="s">
        <v>979</v>
      </c>
      <c r="P9" s="96"/>
      <c r="Q9" s="96"/>
      <c r="R9" s="96"/>
    </row>
    <row r="10" spans="1:27" ht="165.6">
      <c r="A10" s="119" t="s">
        <v>76</v>
      </c>
      <c r="B10" s="119"/>
      <c r="C10" s="119"/>
      <c r="D10" s="119"/>
      <c r="E10" s="99" t="s">
        <v>980</v>
      </c>
      <c r="F10" s="99" t="s">
        <v>981</v>
      </c>
      <c r="G10" s="99" t="s">
        <v>982</v>
      </c>
      <c r="H10" s="99" t="s">
        <v>983</v>
      </c>
      <c r="I10" s="99" t="s">
        <v>984</v>
      </c>
      <c r="J10" s="99" t="s">
        <v>985</v>
      </c>
      <c r="K10" s="99" t="s">
        <v>986</v>
      </c>
      <c r="L10" s="99" t="s">
        <v>987</v>
      </c>
      <c r="M10" s="206" t="s">
        <v>988</v>
      </c>
      <c r="N10" s="99" t="s">
        <v>989</v>
      </c>
      <c r="O10" s="274" t="s">
        <v>990</v>
      </c>
      <c r="P10" s="149"/>
      <c r="Q10" s="149"/>
      <c r="R10" s="149"/>
    </row>
    <row r="11" spans="1:27" ht="87.6" customHeight="1">
      <c r="A11" s="132" t="s">
        <v>86</v>
      </c>
      <c r="B11" s="132"/>
      <c r="C11" s="132"/>
      <c r="D11" s="132"/>
      <c r="E11" s="99" t="s">
        <v>991</v>
      </c>
      <c r="F11" s="99" t="s">
        <v>992</v>
      </c>
      <c r="G11" s="99" t="s">
        <v>993</v>
      </c>
      <c r="H11" s="99" t="s">
        <v>994</v>
      </c>
      <c r="I11" s="99" t="s">
        <v>995</v>
      </c>
      <c r="J11" s="99" t="s">
        <v>996</v>
      </c>
      <c r="K11" s="99" t="s">
        <v>997</v>
      </c>
      <c r="L11" s="99" t="s">
        <v>998</v>
      </c>
      <c r="M11" s="206" t="s">
        <v>988</v>
      </c>
      <c r="N11" s="99" t="s">
        <v>989</v>
      </c>
      <c r="O11" s="274" t="s">
        <v>990</v>
      </c>
      <c r="P11" s="149"/>
      <c r="Q11" s="149"/>
      <c r="R11" s="149"/>
    </row>
    <row r="13" spans="1:27">
      <c r="M13" s="275"/>
      <c r="N13" s="275"/>
      <c r="O13" s="275"/>
      <c r="P13" s="275"/>
      <c r="Q13" s="275"/>
      <c r="R13" s="275"/>
    </row>
    <row r="14" spans="1:27">
      <c r="M14" s="151"/>
      <c r="N14" s="151"/>
      <c r="O14" s="152"/>
    </row>
    <row r="15" spans="1:27" customFormat="1">
      <c r="A15" t="s">
        <v>96</v>
      </c>
      <c r="B15" t="s">
        <v>97</v>
      </c>
      <c r="C15" s="356" t="s">
        <v>98</v>
      </c>
      <c r="D15" s="356" t="s">
        <v>99</v>
      </c>
      <c r="E15" s="14" t="s">
        <v>936</v>
      </c>
      <c r="F15" s="14" t="s">
        <v>937</v>
      </c>
      <c r="G15" s="14" t="s">
        <v>938</v>
      </c>
      <c r="H15" s="14" t="s">
        <v>939</v>
      </c>
      <c r="I15" s="14" t="s">
        <v>940</v>
      </c>
      <c r="J15" s="14" t="s">
        <v>941</v>
      </c>
      <c r="K15" s="14" t="s">
        <v>942</v>
      </c>
      <c r="L15" s="14" t="s">
        <v>943</v>
      </c>
      <c r="M15" s="14" t="s">
        <v>944</v>
      </c>
      <c r="N15" s="14" t="s">
        <v>945</v>
      </c>
      <c r="O15" s="356" t="s">
        <v>946</v>
      </c>
      <c r="P15" s="114"/>
      <c r="Q15" s="356"/>
      <c r="R15" s="356"/>
      <c r="S15" s="103"/>
    </row>
    <row r="16" spans="1:27">
      <c r="A16" t="s">
        <v>100</v>
      </c>
      <c r="B16" s="15" t="s">
        <v>97</v>
      </c>
      <c r="C16" s="15" t="str">
        <f>HYPERLINK("01-组织级\02-组织工作库\06-度量\原因分析和解决方案报告(QCUBIC-SPI-CAR_Data quality analysis)V1.0-engl.xlsx", "engl")</f>
        <v>engl</v>
      </c>
      <c r="D16"/>
      <c r="E16" t="s">
        <v>101</v>
      </c>
      <c r="F16" t="s">
        <v>101</v>
      </c>
      <c r="G16" t="s">
        <v>101</v>
      </c>
      <c r="H16" t="s">
        <v>101</v>
      </c>
      <c r="I16" t="s">
        <v>101</v>
      </c>
      <c r="J16" t="s">
        <v>101</v>
      </c>
      <c r="K16" t="s">
        <v>101</v>
      </c>
      <c r="L16" t="s">
        <v>101</v>
      </c>
      <c r="M16"/>
      <c r="N16"/>
      <c r="O16"/>
      <c r="P16"/>
      <c r="Q16"/>
      <c r="R16"/>
      <c r="S16"/>
      <c r="T16"/>
      <c r="U16"/>
      <c r="V16"/>
      <c r="W16"/>
      <c r="X16"/>
      <c r="Y16"/>
      <c r="Z16"/>
      <c r="AA16"/>
    </row>
    <row r="17" spans="1:27">
      <c r="A17" t="s">
        <v>100</v>
      </c>
      <c r="B17" s="15" t="s">
        <v>97</v>
      </c>
      <c r="C17" s="15" t="str">
        <f>HYPERLINK("01-组织级\01-组织财富库\01-标准过程文件库\03-支持类\07-原因分析和解决过程\原因分析和解决过程(QCUBIC-SPI-CAR_Pro)V1.2-engl.docx", "engl")</f>
        <v>engl</v>
      </c>
      <c r="D17"/>
      <c r="E17" t="s">
        <v>101</v>
      </c>
      <c r="F17" t="s">
        <v>101</v>
      </c>
      <c r="G17" t="s">
        <v>101</v>
      </c>
      <c r="H17" t="s">
        <v>101</v>
      </c>
      <c r="I17" t="s">
        <v>101</v>
      </c>
      <c r="J17" t="s">
        <v>101</v>
      </c>
      <c r="K17" t="s">
        <v>101</v>
      </c>
      <c r="L17" t="s">
        <v>101</v>
      </c>
      <c r="M17"/>
      <c r="N17"/>
      <c r="O17"/>
      <c r="P17"/>
      <c r="Q17"/>
      <c r="R17"/>
      <c r="S17"/>
      <c r="T17"/>
      <c r="U17"/>
      <c r="V17"/>
      <c r="W17"/>
      <c r="X17"/>
      <c r="Y17"/>
      <c r="Z17"/>
      <c r="AA17"/>
    </row>
    <row r="18" spans="1:27">
      <c r="A18"/>
      <c r="B18"/>
      <c r="C18"/>
      <c r="D18"/>
      <c r="E18"/>
      <c r="F18"/>
      <c r="G18"/>
      <c r="H18"/>
      <c r="I18"/>
      <c r="J18"/>
      <c r="K18"/>
      <c r="L18"/>
      <c r="M18"/>
      <c r="N18"/>
      <c r="O18"/>
      <c r="P18"/>
      <c r="Q18"/>
      <c r="R18"/>
      <c r="S18"/>
      <c r="T18"/>
      <c r="U18"/>
      <c r="V18"/>
      <c r="W18"/>
      <c r="X18"/>
      <c r="Y18"/>
      <c r="Z18"/>
      <c r="AA18"/>
    </row>
    <row r="19" spans="1:27">
      <c r="A19"/>
      <c r="B19"/>
      <c r="C19"/>
      <c r="D19"/>
      <c r="E19"/>
      <c r="F19"/>
      <c r="G19"/>
      <c r="H19"/>
      <c r="I19"/>
      <c r="J19"/>
      <c r="K19"/>
      <c r="L19"/>
      <c r="M19"/>
      <c r="N19"/>
      <c r="O19"/>
      <c r="P19"/>
      <c r="Q19"/>
      <c r="R19"/>
      <c r="S19"/>
      <c r="T19"/>
      <c r="U19"/>
      <c r="V19"/>
      <c r="W19"/>
      <c r="X19"/>
      <c r="Y19"/>
      <c r="Z19"/>
      <c r="AA19"/>
    </row>
    <row r="20" spans="1:27">
      <c r="A20"/>
      <c r="B20"/>
      <c r="C20"/>
      <c r="D20"/>
      <c r="E20"/>
      <c r="F20"/>
      <c r="G20"/>
      <c r="H20"/>
      <c r="I20"/>
      <c r="J20"/>
      <c r="K20"/>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5" customWidth="1"/>
    <col min="2" max="4" width="7.88671875" style="115" customWidth="1"/>
    <col min="5" max="6" width="15.6640625" style="115" customWidth="1"/>
    <col min="7" max="12" width="15.6640625" style="133" customWidth="1"/>
    <col min="13" max="13" width="81.6640625" style="133" bestFit="1" customWidth="1"/>
    <col min="14" max="14" width="3.6640625" style="133" customWidth="1"/>
    <col min="15" max="15" width="35.109375" style="133" bestFit="1" customWidth="1"/>
    <col min="16" max="16" width="78.44140625" style="115" customWidth="1"/>
    <col min="17" max="17" width="25.33203125" style="115" customWidth="1"/>
    <col min="18" max="16384" width="8.6640625" style="115"/>
  </cols>
  <sheetData>
    <row r="1" spans="1:27" s="134" customFormat="1" ht="18">
      <c r="A1" s="102" t="s">
        <v>999</v>
      </c>
      <c r="B1" s="102"/>
      <c r="C1" s="102"/>
      <c r="D1" s="102"/>
      <c r="E1" s="103"/>
      <c r="F1" s="104"/>
      <c r="G1" s="133"/>
      <c r="H1" s="133"/>
      <c r="I1" s="133"/>
      <c r="J1" s="133"/>
      <c r="K1" s="133"/>
      <c r="L1" s="133"/>
      <c r="M1" s="133"/>
      <c r="N1" s="133"/>
      <c r="O1" s="133"/>
    </row>
    <row r="2" spans="1:27" s="135" customFormat="1">
      <c r="A2" s="107" t="s">
        <v>932</v>
      </c>
      <c r="B2" s="107"/>
      <c r="C2" s="107"/>
      <c r="D2" s="107"/>
      <c r="E2" s="104" t="s">
        <v>1000</v>
      </c>
      <c r="F2" s="104"/>
      <c r="G2" s="133"/>
      <c r="H2" s="133"/>
      <c r="I2" s="133"/>
      <c r="J2" s="133"/>
      <c r="K2" s="133"/>
      <c r="L2" s="133"/>
      <c r="M2" s="133"/>
      <c r="N2" s="133"/>
      <c r="O2" s="133"/>
    </row>
    <row r="3" spans="1:27" s="136" customFormat="1">
      <c r="A3" s="104" t="s">
        <v>934</v>
      </c>
      <c r="B3" s="104"/>
      <c r="C3" s="104"/>
      <c r="D3" s="104"/>
      <c r="E3" s="104" t="s">
        <v>1001</v>
      </c>
      <c r="F3" s="104"/>
      <c r="G3" s="133"/>
      <c r="H3" s="133"/>
      <c r="I3" s="133"/>
      <c r="J3" s="133"/>
      <c r="K3" s="133"/>
      <c r="L3" s="133"/>
      <c r="M3" s="133"/>
      <c r="N3" s="133"/>
      <c r="O3" s="133"/>
    </row>
    <row r="4" spans="1:27" s="135" customFormat="1" ht="14.4">
      <c r="A4" s="108"/>
      <c r="B4" s="108"/>
      <c r="C4" s="108"/>
      <c r="D4" s="108"/>
      <c r="E4" s="109" t="s">
        <v>27</v>
      </c>
      <c r="F4" s="146"/>
      <c r="G4" s="110" t="s">
        <v>28</v>
      </c>
      <c r="H4" s="111"/>
      <c r="I4" s="110"/>
      <c r="J4" s="112"/>
      <c r="K4" s="112"/>
      <c r="L4" s="276" t="s">
        <v>29</v>
      </c>
      <c r="M4" s="104"/>
      <c r="N4" s="104"/>
      <c r="O4" s="104"/>
      <c r="P4" s="114"/>
      <c r="Q4" s="114"/>
    </row>
    <row r="5" spans="1:27" s="127" customFormat="1" ht="14.4">
      <c r="A5" s="115"/>
      <c r="B5" s="115"/>
      <c r="C5" s="115"/>
      <c r="D5" s="115"/>
      <c r="E5" s="116" t="s">
        <v>30</v>
      </c>
      <c r="F5" s="146"/>
      <c r="G5" s="117" t="s">
        <v>31</v>
      </c>
      <c r="H5" s="111"/>
      <c r="I5" s="117"/>
      <c r="J5" s="112"/>
      <c r="K5" s="112"/>
      <c r="L5" s="276" t="s">
        <v>32</v>
      </c>
      <c r="M5" s="104"/>
      <c r="N5" s="104"/>
      <c r="O5" s="104"/>
      <c r="P5" s="115"/>
      <c r="Q5" s="114"/>
    </row>
    <row r="6" spans="1:27" s="127" customFormat="1">
      <c r="A6" s="119"/>
      <c r="B6" s="119"/>
      <c r="C6" s="119"/>
      <c r="D6" s="119"/>
      <c r="E6" s="3" t="s">
        <v>1002</v>
      </c>
      <c r="F6" s="3" t="s">
        <v>1003</v>
      </c>
      <c r="G6" s="87" t="s">
        <v>1004</v>
      </c>
      <c r="H6" s="87" t="s">
        <v>1005</v>
      </c>
      <c r="I6" s="87" t="s">
        <v>1006</v>
      </c>
      <c r="J6" s="87" t="s">
        <v>1007</v>
      </c>
      <c r="K6" s="87" t="s">
        <v>1008</v>
      </c>
      <c r="L6" s="88" t="s">
        <v>1009</v>
      </c>
      <c r="M6" s="90"/>
      <c r="N6" s="90"/>
      <c r="O6" s="90"/>
      <c r="P6" s="133"/>
    </row>
    <row r="7" spans="1:27" s="127" customFormat="1" ht="110.4">
      <c r="A7" s="121" t="s">
        <v>43</v>
      </c>
      <c r="B7" s="121"/>
      <c r="C7" s="121"/>
      <c r="D7" s="121"/>
      <c r="E7" s="94" t="s">
        <v>1010</v>
      </c>
      <c r="F7" s="94" t="s">
        <v>1011</v>
      </c>
      <c r="G7" s="94" t="s">
        <v>1012</v>
      </c>
      <c r="H7" s="94" t="s">
        <v>1013</v>
      </c>
      <c r="I7" s="94" t="s">
        <v>1014</v>
      </c>
      <c r="J7" s="94" t="s">
        <v>1015</v>
      </c>
      <c r="K7" s="94" t="s">
        <v>1016</v>
      </c>
      <c r="L7" s="94" t="s">
        <v>1017</v>
      </c>
      <c r="M7" s="90"/>
      <c r="N7" s="90"/>
      <c r="O7" s="90"/>
    </row>
    <row r="8" spans="1:27" s="127" customFormat="1" ht="109.35" customHeight="1">
      <c r="A8" s="119" t="s">
        <v>54</v>
      </c>
      <c r="B8" s="119"/>
      <c r="C8" s="119"/>
      <c r="D8" s="119"/>
      <c r="E8" s="122" t="s">
        <v>1018</v>
      </c>
      <c r="F8" s="122" t="s">
        <v>1019</v>
      </c>
      <c r="G8" s="95" t="s">
        <v>1020</v>
      </c>
      <c r="H8" s="95" t="s">
        <v>1021</v>
      </c>
      <c r="I8" s="95" t="s">
        <v>1022</v>
      </c>
      <c r="J8" s="122" t="s">
        <v>1023</v>
      </c>
      <c r="K8" s="122" t="s">
        <v>1024</v>
      </c>
      <c r="L8" s="95" t="s">
        <v>1025</v>
      </c>
      <c r="M8" s="96"/>
      <c r="N8" s="96"/>
      <c r="O8" s="96"/>
    </row>
    <row r="9" spans="1:27" s="127" customFormat="1" ht="152.4" customHeight="1">
      <c r="A9" s="119" t="s">
        <v>65</v>
      </c>
      <c r="B9" s="119"/>
      <c r="C9" s="119"/>
      <c r="D9" s="119"/>
      <c r="E9" s="95" t="s">
        <v>1026</v>
      </c>
      <c r="F9" s="122" t="s">
        <v>1027</v>
      </c>
      <c r="G9" s="95" t="s">
        <v>1028</v>
      </c>
      <c r="H9" s="122" t="s">
        <v>1029</v>
      </c>
      <c r="I9" s="95" t="s">
        <v>1030</v>
      </c>
      <c r="J9" s="95" t="s">
        <v>1031</v>
      </c>
      <c r="K9" s="95" t="s">
        <v>1032</v>
      </c>
      <c r="L9" s="122" t="s">
        <v>1033</v>
      </c>
      <c r="M9" s="124"/>
      <c r="N9" s="124"/>
      <c r="O9" s="124"/>
    </row>
    <row r="10" spans="1:27" s="127" customFormat="1" ht="150" customHeight="1">
      <c r="A10" s="119" t="s">
        <v>76</v>
      </c>
      <c r="B10" s="119"/>
      <c r="C10" s="119"/>
      <c r="D10" s="119"/>
      <c r="E10" s="99" t="s">
        <v>1034</v>
      </c>
      <c r="F10" s="99" t="s">
        <v>1035</v>
      </c>
      <c r="G10" s="99" t="s">
        <v>1036</v>
      </c>
      <c r="H10" s="99" t="s">
        <v>1037</v>
      </c>
      <c r="I10" s="99" t="s">
        <v>1038</v>
      </c>
      <c r="J10" s="99" t="s">
        <v>1039</v>
      </c>
      <c r="K10" s="99" t="s">
        <v>1040</v>
      </c>
      <c r="L10" s="99" t="s">
        <v>1041</v>
      </c>
      <c r="M10" s="149"/>
      <c r="N10" s="149"/>
      <c r="O10" s="149"/>
    </row>
    <row r="11" spans="1:27" s="127" customFormat="1" ht="74.400000000000006" customHeight="1">
      <c r="A11" s="132" t="s">
        <v>86</v>
      </c>
      <c r="B11" s="132"/>
      <c r="C11" s="132"/>
      <c r="D11" s="132"/>
      <c r="E11" s="99" t="s">
        <v>1042</v>
      </c>
      <c r="F11" s="99" t="s">
        <v>1043</v>
      </c>
      <c r="G11" s="99" t="s">
        <v>1044</v>
      </c>
      <c r="H11" s="99" t="s">
        <v>1045</v>
      </c>
      <c r="I11" s="99" t="s">
        <v>1046</v>
      </c>
      <c r="J11" s="99" t="s">
        <v>1047</v>
      </c>
      <c r="K11" s="99" t="s">
        <v>1048</v>
      </c>
      <c r="L11" s="99" t="s">
        <v>1049</v>
      </c>
      <c r="M11" s="149"/>
      <c r="N11" s="149"/>
      <c r="O11" s="149"/>
    </row>
    <row r="12" spans="1:27" s="127" customFormat="1"/>
    <row r="13" spans="1:27" s="127" customFormat="1"/>
    <row r="14" spans="1:27" s="127" customFormat="1"/>
    <row r="15" spans="1:27" customFormat="1" ht="14.4">
      <c r="A15" t="s">
        <v>96</v>
      </c>
      <c r="B15" t="s">
        <v>97</v>
      </c>
      <c r="C15" t="s">
        <v>98</v>
      </c>
      <c r="D15" s="356" t="s">
        <v>99</v>
      </c>
      <c r="E15" s="14" t="s">
        <v>1002</v>
      </c>
      <c r="F15" s="14" t="s">
        <v>1003</v>
      </c>
      <c r="G15" s="14" t="s">
        <v>1004</v>
      </c>
      <c r="H15" s="14" t="s">
        <v>1005</v>
      </c>
      <c r="I15" s="14" t="s">
        <v>1006</v>
      </c>
      <c r="J15" s="14" t="s">
        <v>1007</v>
      </c>
      <c r="K15" s="14" t="s">
        <v>1008</v>
      </c>
      <c r="L15" s="14" t="s">
        <v>1009</v>
      </c>
    </row>
    <row r="16" spans="1:27" ht="14.4">
      <c r="A16" t="s">
        <v>100</v>
      </c>
      <c r="B16" s="15" t="s">
        <v>97</v>
      </c>
      <c r="C16" s="15" t="str">
        <f>HYPERLINK("01-组织级\02-组织工作库\02-EPG活动库\08-决策分析\01-决策分析报告（QCUBIC-SPI-dar-evaluaterpt)V1.0-engl.xlsx", "engl")</f>
        <v>engl</v>
      </c>
      <c r="D16"/>
      <c r="E16" t="s">
        <v>101</v>
      </c>
      <c r="F16" t="s">
        <v>101</v>
      </c>
      <c r="G16" t="s">
        <v>101</v>
      </c>
      <c r="H16" t="s">
        <v>101</v>
      </c>
      <c r="I16" t="s">
        <v>101</v>
      </c>
      <c r="J16" t="s">
        <v>101</v>
      </c>
      <c r="K16" t="s">
        <v>101</v>
      </c>
      <c r="L16" t="s">
        <v>101</v>
      </c>
      <c r="M16"/>
      <c r="N16"/>
      <c r="O16"/>
      <c r="P16"/>
      <c r="Q16"/>
      <c r="R16"/>
      <c r="S16"/>
      <c r="T16"/>
      <c r="U16"/>
      <c r="V16"/>
      <c r="W16"/>
      <c r="X16"/>
      <c r="Y16"/>
      <c r="Z16"/>
      <c r="AA16"/>
    </row>
    <row r="17" spans="1:27" ht="14.4">
      <c r="A17" t="s">
        <v>100</v>
      </c>
      <c r="B17" s="15" t="s">
        <v>97</v>
      </c>
      <c r="C17" s="15" t="str">
        <f>HYPERLINK("01-组织级\01-组织财富库\01-标准过程文件库\03-支持类\04-决策分析\决策分析和解决方案(QCUBIC-SPI-OPAL-Tem-Proc)V1.2-engl.docx", "engl")</f>
        <v>engl</v>
      </c>
      <c r="D17"/>
      <c r="E17"/>
      <c r="F17"/>
      <c r="G17" t="s">
        <v>101</v>
      </c>
      <c r="H17" t="s">
        <v>101</v>
      </c>
      <c r="I17"/>
      <c r="J17"/>
      <c r="K17"/>
      <c r="L17" t="s">
        <v>101</v>
      </c>
      <c r="M17"/>
      <c r="N17"/>
      <c r="O17"/>
      <c r="P17"/>
      <c r="Q17"/>
      <c r="R17"/>
      <c r="S17"/>
      <c r="T17"/>
      <c r="U17"/>
      <c r="V17"/>
      <c r="W17"/>
      <c r="X17"/>
      <c r="Y17"/>
      <c r="Z17"/>
      <c r="AA17"/>
    </row>
    <row r="18" spans="1:27" ht="14.4">
      <c r="A18"/>
      <c r="B18"/>
      <c r="C18"/>
      <c r="D18"/>
      <c r="E18"/>
      <c r="F18"/>
      <c r="G18"/>
      <c r="H18"/>
      <c r="I18"/>
      <c r="J18"/>
      <c r="K18"/>
      <c r="L18"/>
      <c r="M18"/>
      <c r="N18"/>
      <c r="O18"/>
      <c r="P18"/>
      <c r="Q18"/>
      <c r="R18"/>
      <c r="S18"/>
      <c r="T18"/>
      <c r="U18"/>
      <c r="V18"/>
      <c r="W18"/>
      <c r="X18"/>
      <c r="Y18"/>
      <c r="Z18"/>
      <c r="AA18"/>
    </row>
    <row r="19" spans="1:27" ht="14.4">
      <c r="A19"/>
      <c r="B19"/>
      <c r="C19"/>
      <c r="D19"/>
      <c r="E19"/>
      <c r="F19"/>
      <c r="G19"/>
      <c r="H19"/>
      <c r="I19"/>
      <c r="J19"/>
      <c r="K19"/>
      <c r="L19"/>
      <c r="M19"/>
      <c r="N19"/>
      <c r="O19"/>
      <c r="P19"/>
      <c r="Q19"/>
      <c r="R19"/>
      <c r="S19"/>
      <c r="T19"/>
      <c r="U19"/>
      <c r="V19"/>
      <c r="W19"/>
      <c r="X19"/>
      <c r="Y19"/>
      <c r="Z19"/>
      <c r="AA19"/>
    </row>
    <row r="20" spans="1:27" ht="14.4">
      <c r="A20"/>
      <c r="B20"/>
      <c r="C20"/>
      <c r="D20"/>
      <c r="E20"/>
      <c r="F20"/>
      <c r="G20"/>
      <c r="H20"/>
      <c r="I20"/>
      <c r="J20"/>
      <c r="K20"/>
      <c r="L20"/>
      <c r="M20"/>
      <c r="N20"/>
      <c r="O20"/>
      <c r="P20"/>
      <c r="Q20"/>
      <c r="R20"/>
      <c r="S20"/>
      <c r="T20"/>
      <c r="U20"/>
      <c r="V20"/>
      <c r="W20"/>
      <c r="X20"/>
      <c r="Y20"/>
      <c r="Z20"/>
      <c r="AA20"/>
    </row>
    <row r="21" spans="1:27" ht="14.4">
      <c r="A21"/>
      <c r="B21"/>
      <c r="C21"/>
      <c r="D21"/>
      <c r="E21"/>
      <c r="F21"/>
      <c r="G21"/>
      <c r="H21"/>
      <c r="I21"/>
      <c r="J21"/>
      <c r="K21"/>
      <c r="L21"/>
      <c r="M21"/>
      <c r="N21"/>
      <c r="O21"/>
      <c r="P21"/>
      <c r="Q21"/>
      <c r="R21"/>
      <c r="S21"/>
      <c r="T21"/>
      <c r="U21"/>
      <c r="V21"/>
      <c r="W21"/>
      <c r="X21"/>
      <c r="Y21"/>
      <c r="Z21"/>
      <c r="AA21"/>
    </row>
    <row r="22" spans="1:27" ht="14.4">
      <c r="A22"/>
      <c r="B22"/>
      <c r="C22"/>
      <c r="D22"/>
      <c r="E22"/>
      <c r="F22"/>
      <c r="G22"/>
      <c r="H22"/>
      <c r="I22"/>
      <c r="J22"/>
      <c r="K22"/>
      <c r="L22"/>
      <c r="M22"/>
      <c r="N22"/>
      <c r="O22"/>
      <c r="P22"/>
      <c r="Q22"/>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06" customWidth="1"/>
    <col min="2" max="4" width="7.88671875" style="106" customWidth="1"/>
    <col min="5" max="11" width="20.6640625" style="106" customWidth="1"/>
    <col min="12" max="12" width="66.109375" style="106" customWidth="1"/>
    <col min="13" max="13" width="3.6640625" style="106" customWidth="1"/>
    <col min="14" max="14" width="54.44140625" style="106" bestFit="1" customWidth="1"/>
    <col min="15" max="15" width="57.33203125" style="106" customWidth="1"/>
    <col min="16" max="16384" width="8.88671875" style="106"/>
  </cols>
  <sheetData>
    <row r="1" spans="1:27" ht="18">
      <c r="A1" s="102" t="s">
        <v>1050</v>
      </c>
      <c r="B1" s="102"/>
      <c r="C1" s="102"/>
      <c r="D1" s="102"/>
      <c r="E1" s="103"/>
      <c r="F1" s="104"/>
      <c r="G1" s="105"/>
    </row>
    <row r="2" spans="1:27">
      <c r="A2" s="107" t="s">
        <v>23</v>
      </c>
      <c r="B2" s="107"/>
      <c r="C2" s="107"/>
      <c r="D2" s="107"/>
      <c r="E2" s="104" t="s">
        <v>1051</v>
      </c>
      <c r="F2" s="104"/>
      <c r="G2" s="105"/>
    </row>
    <row r="3" spans="1:27">
      <c r="A3" s="104" t="s">
        <v>25</v>
      </c>
      <c r="B3" s="104"/>
      <c r="C3" s="104"/>
      <c r="D3" s="104"/>
      <c r="E3" s="104" t="s">
        <v>1052</v>
      </c>
      <c r="F3" s="104"/>
      <c r="G3" s="105"/>
    </row>
    <row r="4" spans="1:27">
      <c r="A4" s="108"/>
      <c r="B4" s="108"/>
      <c r="C4" s="108"/>
      <c r="D4" s="108"/>
      <c r="E4" s="109" t="s">
        <v>27</v>
      </c>
      <c r="F4" s="110" t="s">
        <v>28</v>
      </c>
      <c r="G4" s="110"/>
      <c r="H4" s="111"/>
      <c r="I4" s="110"/>
      <c r="J4" s="112"/>
      <c r="K4" s="112"/>
      <c r="L4" s="107"/>
      <c r="M4" s="107"/>
      <c r="N4" s="107"/>
    </row>
    <row r="5" spans="1:27">
      <c r="A5" s="115"/>
      <c r="B5" s="115"/>
      <c r="C5" s="115"/>
      <c r="D5" s="115"/>
      <c r="E5" s="116" t="s">
        <v>30</v>
      </c>
      <c r="F5" s="117" t="s">
        <v>31</v>
      </c>
      <c r="G5" s="117"/>
      <c r="H5" s="111"/>
      <c r="I5" s="117"/>
      <c r="J5" s="112"/>
      <c r="K5" s="112"/>
      <c r="L5" s="107"/>
      <c r="M5" s="107"/>
      <c r="N5" s="107"/>
    </row>
    <row r="6" spans="1:27">
      <c r="A6" s="132"/>
      <c r="B6" s="132"/>
      <c r="C6" s="132"/>
      <c r="D6" s="132"/>
      <c r="E6" s="3" t="s">
        <v>1053</v>
      </c>
      <c r="F6" s="87" t="s">
        <v>1054</v>
      </c>
      <c r="G6" s="87" t="s">
        <v>1055</v>
      </c>
      <c r="H6" s="87" t="s">
        <v>1056</v>
      </c>
      <c r="I6" s="87" t="s">
        <v>1057</v>
      </c>
      <c r="J6" s="87" t="s">
        <v>1058</v>
      </c>
      <c r="K6" s="196" t="s">
        <v>1059</v>
      </c>
      <c r="L6" s="90"/>
      <c r="M6" s="90"/>
      <c r="N6" s="90"/>
    </row>
    <row r="7" spans="1:27" ht="96.6">
      <c r="A7" s="121" t="s">
        <v>174</v>
      </c>
      <c r="B7" s="121"/>
      <c r="C7" s="121"/>
      <c r="D7" s="121"/>
      <c r="E7" s="94" t="s">
        <v>1060</v>
      </c>
      <c r="F7" s="94" t="s">
        <v>1061</v>
      </c>
      <c r="G7" s="94" t="s">
        <v>1062</v>
      </c>
      <c r="H7" s="94" t="s">
        <v>1063</v>
      </c>
      <c r="I7" s="94" t="s">
        <v>1064</v>
      </c>
      <c r="J7" s="94" t="s">
        <v>1065</v>
      </c>
      <c r="K7" s="94" t="s">
        <v>1066</v>
      </c>
      <c r="L7" s="90"/>
      <c r="M7" s="90"/>
      <c r="N7" s="90"/>
    </row>
    <row r="8" spans="1:27" ht="108">
      <c r="A8" s="132" t="s">
        <v>54</v>
      </c>
      <c r="B8" s="132"/>
      <c r="C8" s="132"/>
      <c r="D8" s="132"/>
      <c r="E8" s="95" t="s">
        <v>1067</v>
      </c>
      <c r="F8" s="95" t="s">
        <v>1068</v>
      </c>
      <c r="G8" s="95" t="s">
        <v>1069</v>
      </c>
      <c r="H8" s="95" t="s">
        <v>1070</v>
      </c>
      <c r="I8" s="95" t="s">
        <v>1071</v>
      </c>
      <c r="J8" s="95" t="s">
        <v>1072</v>
      </c>
      <c r="K8" s="95" t="s">
        <v>1073</v>
      </c>
      <c r="L8" s="96"/>
      <c r="M8" s="96"/>
      <c r="N8" s="96"/>
    </row>
    <row r="9" spans="1:27" ht="180">
      <c r="A9" s="132" t="s">
        <v>65</v>
      </c>
      <c r="B9" s="132"/>
      <c r="C9" s="132"/>
      <c r="D9" s="132"/>
      <c r="E9" s="95" t="s">
        <v>1074</v>
      </c>
      <c r="F9" s="95" t="s">
        <v>1075</v>
      </c>
      <c r="G9" s="95" t="s">
        <v>1076</v>
      </c>
      <c r="H9" s="95" t="s">
        <v>1077</v>
      </c>
      <c r="I9" s="95" t="s">
        <v>1078</v>
      </c>
      <c r="J9" s="95" t="s">
        <v>1079</v>
      </c>
      <c r="K9" s="95" t="s">
        <v>1080</v>
      </c>
      <c r="L9" s="96"/>
      <c r="M9" s="96"/>
      <c r="N9" s="96"/>
    </row>
    <row r="10" spans="1:27" ht="156">
      <c r="A10" s="119" t="s">
        <v>76</v>
      </c>
      <c r="B10" s="119"/>
      <c r="C10" s="119"/>
      <c r="D10" s="119"/>
      <c r="E10" s="95" t="s">
        <v>1081</v>
      </c>
      <c r="F10" s="95" t="s">
        <v>1082</v>
      </c>
      <c r="G10" s="95" t="s">
        <v>1083</v>
      </c>
      <c r="H10" s="95" t="s">
        <v>1084</v>
      </c>
      <c r="I10" s="95" t="s">
        <v>1085</v>
      </c>
      <c r="J10" s="95" t="s">
        <v>1086</v>
      </c>
      <c r="K10" s="95" t="s">
        <v>1087</v>
      </c>
      <c r="L10" s="96"/>
      <c r="M10" s="96"/>
      <c r="N10" s="96"/>
    </row>
    <row r="11" spans="1:27" ht="68.400000000000006">
      <c r="A11" s="158" t="s">
        <v>86</v>
      </c>
      <c r="B11" s="158"/>
      <c r="C11" s="158"/>
      <c r="D11" s="158"/>
      <c r="E11" s="95"/>
      <c r="F11" s="277" t="s">
        <v>1088</v>
      </c>
      <c r="G11" s="278" t="s">
        <v>1089</v>
      </c>
      <c r="H11" s="277" t="s">
        <v>1090</v>
      </c>
      <c r="I11" s="279" t="s">
        <v>1091</v>
      </c>
      <c r="J11" s="279" t="s">
        <v>1092</v>
      </c>
      <c r="K11" s="277" t="s">
        <v>1093</v>
      </c>
      <c r="L11" s="280"/>
      <c r="M11" s="280"/>
      <c r="N11" s="280"/>
    </row>
    <row r="12" spans="1:27" s="114" customFormat="1">
      <c r="A12" s="106"/>
      <c r="B12" s="106"/>
      <c r="C12" s="106"/>
      <c r="D12" s="106"/>
      <c r="E12" s="106"/>
      <c r="F12" s="106"/>
      <c r="G12" s="106"/>
      <c r="H12" s="106"/>
      <c r="I12" s="106"/>
      <c r="J12" s="106"/>
      <c r="K12" s="106"/>
      <c r="L12" s="106"/>
      <c r="M12" s="106"/>
      <c r="N12" s="106"/>
    </row>
    <row r="13" spans="1:27" s="114" customFormat="1" ht="14.4" customHeight="1">
      <c r="A13" s="106"/>
      <c r="B13" s="106"/>
      <c r="C13" s="106"/>
      <c r="D13" s="106"/>
      <c r="E13" s="106"/>
      <c r="F13" s="106"/>
      <c r="G13" s="106"/>
      <c r="H13" s="106"/>
      <c r="I13" s="106"/>
      <c r="J13" s="106"/>
      <c r="K13" s="106"/>
      <c r="L13" s="106"/>
      <c r="M13" s="106"/>
      <c r="N13" s="106"/>
    </row>
    <row r="14" spans="1:27" s="114" customFormat="1" ht="14.4" customHeight="1">
      <c r="A14" s="106"/>
      <c r="B14" s="106"/>
      <c r="C14" s="106"/>
      <c r="D14" s="106"/>
      <c r="E14" s="106"/>
      <c r="F14" s="106"/>
      <c r="G14" s="106"/>
      <c r="H14" s="106"/>
      <c r="I14" s="106"/>
      <c r="J14" s="106"/>
      <c r="K14" s="106"/>
      <c r="L14" s="106"/>
      <c r="M14" s="106"/>
      <c r="N14" s="106"/>
    </row>
    <row r="15" spans="1:27" customFormat="1">
      <c r="A15" t="s">
        <v>96</v>
      </c>
      <c r="B15" t="s">
        <v>97</v>
      </c>
      <c r="C15" t="s">
        <v>98</v>
      </c>
      <c r="D15" s="356" t="s">
        <v>99</v>
      </c>
      <c r="E15" t="s">
        <v>1053</v>
      </c>
      <c r="F15" t="s">
        <v>1054</v>
      </c>
      <c r="G15" t="s">
        <v>1055</v>
      </c>
      <c r="H15" t="s">
        <v>1056</v>
      </c>
      <c r="I15" t="s">
        <v>1057</v>
      </c>
      <c r="J15" t="s">
        <v>1058</v>
      </c>
      <c r="K15" t="s">
        <v>1059</v>
      </c>
    </row>
    <row r="16" spans="1:27" s="114" customFormat="1" ht="14.4" customHeight="1">
      <c r="A16" t="s">
        <v>100</v>
      </c>
      <c r="B16" s="15" t="s">
        <v>97</v>
      </c>
      <c r="C16" s="15" t="str">
        <f>HYPERLINK("01-组织级\02-组织工作库\04-CM活动库\组织级配置管理计划(QCUBIC-SPI-CM-OCMPlan)V1.2-engl.xlsx", "engl")</f>
        <v>engl</v>
      </c>
      <c r="D16"/>
      <c r="E16" t="s">
        <v>101</v>
      </c>
      <c r="F16" t="s">
        <v>101</v>
      </c>
      <c r="G16" t="s">
        <v>101</v>
      </c>
      <c r="H16"/>
      <c r="I16" t="s">
        <v>101</v>
      </c>
      <c r="J16" t="s">
        <v>101</v>
      </c>
      <c r="K16"/>
      <c r="L16"/>
      <c r="M16"/>
      <c r="N16"/>
      <c r="O16"/>
      <c r="P16"/>
      <c r="Q16"/>
      <c r="R16"/>
      <c r="S16"/>
      <c r="T16"/>
      <c r="U16"/>
      <c r="V16"/>
      <c r="W16"/>
      <c r="X16"/>
      <c r="Y16"/>
      <c r="Z16"/>
      <c r="AA16"/>
    </row>
    <row r="17" spans="1:27" s="114" customFormat="1" ht="14.4" customHeight="1">
      <c r="A17" t="s">
        <v>100</v>
      </c>
      <c r="B17" s="15" t="s">
        <v>97</v>
      </c>
      <c r="C17" s="15" t="str">
        <f>HYPERLINK("01-组织级\02-组织工作库\04-CM活动库\组织配置库内容列表(ORG_-CM-TEM-PALList)V1.2-engl.xlsx", "engl")</f>
        <v>engl</v>
      </c>
      <c r="D17"/>
      <c r="E17" t="s">
        <v>101</v>
      </c>
      <c r="F17"/>
      <c r="G17"/>
      <c r="H17"/>
      <c r="I17"/>
      <c r="J17" t="s">
        <v>101</v>
      </c>
      <c r="K17"/>
      <c r="L17"/>
      <c r="M17"/>
      <c r="N17"/>
      <c r="O17"/>
      <c r="P17"/>
      <c r="Q17"/>
      <c r="R17"/>
      <c r="S17"/>
      <c r="T17"/>
      <c r="U17"/>
      <c r="V17"/>
      <c r="W17"/>
      <c r="X17"/>
      <c r="Y17"/>
      <c r="Z17"/>
      <c r="AA17"/>
    </row>
    <row r="18" spans="1:27" s="114" customFormat="1" ht="14.4" customHeight="1">
      <c r="A18" t="s">
        <v>100</v>
      </c>
      <c r="B18" s="15" t="s">
        <v>97</v>
      </c>
      <c r="C18" s="15" t="str">
        <f>HYPERLINK("01-组织级\01-组织财富库\01-标准过程文件库\03-支持类\02-配置管理\配置管理过程文件(QCUBIC-SPI-CM-Proc-Doc)V1.2-engl.docx", "engl")</f>
        <v>engl</v>
      </c>
      <c r="D18"/>
      <c r="E18"/>
      <c r="F18"/>
      <c r="G18" t="s">
        <v>101</v>
      </c>
      <c r="H18"/>
      <c r="I18" t="s">
        <v>101</v>
      </c>
      <c r="J18"/>
      <c r="K18"/>
      <c r="L18"/>
      <c r="M18"/>
      <c r="N18"/>
      <c r="O18"/>
      <c r="P18"/>
      <c r="Q18"/>
      <c r="R18"/>
      <c r="S18"/>
      <c r="T18"/>
      <c r="U18"/>
      <c r="V18"/>
      <c r="W18"/>
      <c r="X18"/>
      <c r="Y18"/>
      <c r="Z18"/>
      <c r="AA18"/>
    </row>
    <row r="19" spans="1:27" s="114" customFormat="1" ht="14.4" customHeight="1">
      <c r="A19" t="s">
        <v>100</v>
      </c>
      <c r="B19" s="15" t="s">
        <v>97</v>
      </c>
      <c r="C19" s="15" t="str">
        <f>HYPERLINK("01-组织级\02-组织工作库\04-CM活动库\基线发布报告 (QCUBIC-spi-cm-release)V1.1-engl.xlsx", "engl")</f>
        <v>engl</v>
      </c>
      <c r="D19"/>
      <c r="E19"/>
      <c r="F19"/>
      <c r="G19"/>
      <c r="H19" t="s">
        <v>101</v>
      </c>
      <c r="I19"/>
      <c r="J19"/>
      <c r="K19"/>
      <c r="L19"/>
      <c r="M19"/>
      <c r="N19"/>
      <c r="O19"/>
      <c r="P19"/>
      <c r="Q19"/>
      <c r="R19"/>
      <c r="S19"/>
      <c r="T19"/>
      <c r="U19"/>
      <c r="V19"/>
      <c r="W19"/>
      <c r="X19"/>
      <c r="Y19"/>
      <c r="Z19"/>
      <c r="AA19"/>
    </row>
    <row r="20" spans="1:27">
      <c r="A20" t="s">
        <v>100</v>
      </c>
      <c r="B20" s="15" t="s">
        <v>97</v>
      </c>
      <c r="C20" s="15" t="str">
        <f>HYPERLINK("01-组织级\02-组织工作库\04-CM活动库\组织级配置审计报告(QCUBIC-SPI-CM-Organization-level configuration audit report)V1.3-engl.xlsx", "engl")</f>
        <v>engl</v>
      </c>
      <c r="D20"/>
      <c r="E20"/>
      <c r="F20"/>
      <c r="G20"/>
      <c r="H20"/>
      <c r="I20"/>
      <c r="J20"/>
      <c r="K20" t="s">
        <v>101</v>
      </c>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06" customWidth="1"/>
    <col min="2" max="4" width="7.88671875" style="106" customWidth="1"/>
    <col min="5" max="5" width="20.6640625" style="106" customWidth="1"/>
    <col min="6" max="6" width="20.6640625" style="283" customWidth="1"/>
    <col min="7" max="10" width="20.6640625" style="106" customWidth="1"/>
    <col min="11" max="11" width="50.6640625" style="106" customWidth="1"/>
    <col min="12" max="12" width="3.6640625" style="106" customWidth="1"/>
    <col min="13" max="13" width="32.33203125" style="106" bestFit="1" customWidth="1"/>
    <col min="14" max="14" width="60.88671875" style="106" customWidth="1"/>
    <col min="15" max="16384" width="8.88671875" style="106"/>
  </cols>
  <sheetData>
    <row r="1" spans="1:27" ht="18">
      <c r="A1" s="102" t="s">
        <v>1094</v>
      </c>
      <c r="B1" s="102"/>
      <c r="C1" s="102"/>
      <c r="D1" s="102"/>
      <c r="E1" s="103"/>
      <c r="F1" s="107"/>
      <c r="G1" s="105"/>
      <c r="H1" s="105"/>
      <c r="I1" s="105"/>
      <c r="J1" s="105"/>
      <c r="K1" s="105"/>
      <c r="L1" s="105"/>
      <c r="M1" s="105"/>
    </row>
    <row r="2" spans="1:27">
      <c r="A2" s="107" t="s">
        <v>932</v>
      </c>
      <c r="B2" s="107"/>
      <c r="C2" s="107"/>
      <c r="D2" s="107"/>
      <c r="E2" s="104" t="s">
        <v>1095</v>
      </c>
      <c r="F2" s="107"/>
      <c r="G2" s="105"/>
      <c r="H2" s="105"/>
      <c r="I2" s="105"/>
      <c r="J2" s="105"/>
      <c r="K2" s="105"/>
      <c r="L2" s="105"/>
      <c r="M2" s="105"/>
    </row>
    <row r="3" spans="1:27">
      <c r="A3" s="104" t="s">
        <v>934</v>
      </c>
      <c r="B3" s="104"/>
      <c r="C3" s="104"/>
      <c r="D3" s="104"/>
      <c r="E3" s="104" t="s">
        <v>1096</v>
      </c>
      <c r="F3" s="107"/>
      <c r="G3" s="105"/>
      <c r="H3" s="105"/>
      <c r="I3" s="105"/>
      <c r="J3" s="105"/>
      <c r="K3" s="105"/>
      <c r="L3" s="105"/>
      <c r="M3" s="105"/>
    </row>
    <row r="4" spans="1:27">
      <c r="A4" s="108"/>
      <c r="B4" s="108"/>
      <c r="C4" s="108"/>
      <c r="D4" s="108"/>
      <c r="E4" s="109" t="s">
        <v>27</v>
      </c>
      <c r="F4" s="110" t="s">
        <v>28</v>
      </c>
      <c r="G4" s="110"/>
      <c r="H4" s="113" t="s">
        <v>29</v>
      </c>
      <c r="I4" s="113"/>
      <c r="J4" s="147"/>
      <c r="K4" s="107"/>
      <c r="L4" s="107"/>
      <c r="M4" s="107"/>
      <c r="N4" s="104"/>
      <c r="O4" s="107"/>
      <c r="P4" s="114"/>
      <c r="Q4" s="114"/>
    </row>
    <row r="5" spans="1:27">
      <c r="A5" s="115"/>
      <c r="B5" s="115"/>
      <c r="C5" s="115"/>
      <c r="D5" s="115"/>
      <c r="E5" s="116" t="s">
        <v>30</v>
      </c>
      <c r="F5" s="117" t="s">
        <v>31</v>
      </c>
      <c r="G5" s="117"/>
      <c r="H5" s="113" t="s">
        <v>32</v>
      </c>
      <c r="I5" s="166"/>
      <c r="J5" s="147"/>
      <c r="K5" s="107"/>
      <c r="L5" s="107"/>
      <c r="M5" s="107"/>
      <c r="N5" s="104"/>
      <c r="O5" s="107"/>
      <c r="P5" s="115"/>
      <c r="Q5" s="114"/>
    </row>
    <row r="6" spans="1:27">
      <c r="A6" s="281"/>
      <c r="B6" s="281"/>
      <c r="C6" s="281"/>
      <c r="D6" s="281"/>
      <c r="E6" s="3" t="s">
        <v>1097</v>
      </c>
      <c r="F6" s="87" t="s">
        <v>1098</v>
      </c>
      <c r="G6" s="87" t="s">
        <v>1099</v>
      </c>
      <c r="H6" s="88" t="s">
        <v>1100</v>
      </c>
      <c r="I6" s="88" t="s">
        <v>1101</v>
      </c>
      <c r="J6" s="89" t="s">
        <v>1102</v>
      </c>
      <c r="K6" s="90"/>
      <c r="L6" s="90"/>
      <c r="M6" s="90"/>
    </row>
    <row r="7" spans="1:27" ht="69">
      <c r="A7" s="282" t="s">
        <v>174</v>
      </c>
      <c r="B7" s="282"/>
      <c r="C7" s="282"/>
      <c r="D7" s="282"/>
      <c r="E7" s="94" t="s">
        <v>1103</v>
      </c>
      <c r="F7" s="94" t="s">
        <v>1104</v>
      </c>
      <c r="G7" s="94" t="s">
        <v>1105</v>
      </c>
      <c r="H7" s="94" t="s">
        <v>1106</v>
      </c>
      <c r="I7" s="94" t="s">
        <v>1107</v>
      </c>
      <c r="J7" s="94" t="s">
        <v>1108</v>
      </c>
      <c r="K7" s="90"/>
      <c r="L7" s="90"/>
      <c r="M7" s="90"/>
    </row>
    <row r="8" spans="1:27" ht="60">
      <c r="A8" s="281" t="s">
        <v>54</v>
      </c>
      <c r="B8" s="281"/>
      <c r="C8" s="281"/>
      <c r="D8" s="281"/>
      <c r="E8" s="122" t="s">
        <v>1109</v>
      </c>
      <c r="F8" s="95" t="s">
        <v>1110</v>
      </c>
      <c r="G8" s="95" t="s">
        <v>1111</v>
      </c>
      <c r="H8" s="95" t="s">
        <v>1112</v>
      </c>
      <c r="I8" s="95" t="s">
        <v>1113</v>
      </c>
      <c r="J8" s="95" t="s">
        <v>1114</v>
      </c>
      <c r="K8" s="96"/>
      <c r="L8" s="96"/>
      <c r="M8" s="96"/>
    </row>
    <row r="9" spans="1:27" ht="132">
      <c r="A9" s="281" t="s">
        <v>65</v>
      </c>
      <c r="B9" s="281"/>
      <c r="C9" s="281"/>
      <c r="D9" s="281"/>
      <c r="E9" s="122" t="s">
        <v>1115</v>
      </c>
      <c r="F9" s="95" t="s">
        <v>1116</v>
      </c>
      <c r="G9" s="95" t="s">
        <v>1117</v>
      </c>
      <c r="H9" s="95" t="s">
        <v>1118</v>
      </c>
      <c r="I9" s="95" t="s">
        <v>1119</v>
      </c>
      <c r="J9" s="95" t="s">
        <v>1120</v>
      </c>
      <c r="K9" s="96"/>
      <c r="L9" s="96"/>
      <c r="M9" s="96"/>
    </row>
    <row r="10" spans="1:27" ht="216">
      <c r="A10" s="119" t="s">
        <v>76</v>
      </c>
      <c r="B10" s="119"/>
      <c r="C10" s="119"/>
      <c r="D10" s="119"/>
      <c r="E10" s="95" t="s">
        <v>1121</v>
      </c>
      <c r="F10" s="95" t="s">
        <v>1122</v>
      </c>
      <c r="G10" s="95" t="s">
        <v>1123</v>
      </c>
      <c r="H10" s="95" t="s">
        <v>1124</v>
      </c>
      <c r="I10" s="95" t="s">
        <v>1125</v>
      </c>
      <c r="J10" s="95" t="s">
        <v>1126</v>
      </c>
      <c r="K10" s="96"/>
      <c r="L10" s="96"/>
      <c r="M10" s="96"/>
    </row>
    <row r="11" spans="1:27" ht="132">
      <c r="A11" s="284" t="s">
        <v>86</v>
      </c>
      <c r="B11" s="284"/>
      <c r="C11" s="284"/>
      <c r="D11" s="284"/>
      <c r="E11" s="95"/>
      <c r="F11" s="95" t="s">
        <v>1127</v>
      </c>
      <c r="G11" s="95" t="s">
        <v>1128</v>
      </c>
      <c r="H11" s="95" t="s">
        <v>1129</v>
      </c>
      <c r="I11" s="95" t="s">
        <v>1130</v>
      </c>
      <c r="J11" s="95" t="s">
        <v>1131</v>
      </c>
      <c r="K11" s="96"/>
      <c r="L11" s="96"/>
      <c r="M11" s="96"/>
    </row>
    <row r="12" spans="1:27" ht="36">
      <c r="F12" s="285" t="s">
        <v>1132</v>
      </c>
      <c r="G12" s="286"/>
      <c r="H12" s="285" t="s">
        <v>1133</v>
      </c>
      <c r="I12" s="286"/>
      <c r="J12" s="285" t="s">
        <v>1134</v>
      </c>
      <c r="K12" s="285"/>
      <c r="L12" s="285"/>
      <c r="M12" s="285"/>
    </row>
    <row r="13" spans="1:27" ht="36">
      <c r="F13" s="285" t="s">
        <v>1135</v>
      </c>
      <c r="G13" s="286"/>
      <c r="H13" s="286"/>
      <c r="I13" s="286"/>
      <c r="J13" s="286"/>
      <c r="K13" s="286"/>
      <c r="L13" s="286"/>
      <c r="M13" s="286"/>
    </row>
    <row r="15" spans="1:27" customFormat="1">
      <c r="A15" t="s">
        <v>96</v>
      </c>
      <c r="B15" t="s">
        <v>97</v>
      </c>
      <c r="C15" t="s">
        <v>98</v>
      </c>
      <c r="D15" s="356" t="s">
        <v>99</v>
      </c>
      <c r="E15" s="14" t="s">
        <v>1097</v>
      </c>
      <c r="F15" s="14" t="s">
        <v>1098</v>
      </c>
      <c r="G15" s="14" t="s">
        <v>1099</v>
      </c>
      <c r="H15" s="14" t="s">
        <v>1100</v>
      </c>
      <c r="I15" s="14" t="s">
        <v>1101</v>
      </c>
      <c r="J15" s="14" t="s">
        <v>1102</v>
      </c>
    </row>
    <row r="16" spans="1:27">
      <c r="A16" t="s">
        <v>100</v>
      </c>
      <c r="B16" s="15" t="s">
        <v>97</v>
      </c>
      <c r="C16"/>
      <c r="D16"/>
      <c r="E16" t="s">
        <v>101</v>
      </c>
      <c r="F16"/>
      <c r="G16" t="s">
        <v>101</v>
      </c>
      <c r="H16" t="s">
        <v>101</v>
      </c>
      <c r="I16"/>
      <c r="J16" t="s">
        <v>101</v>
      </c>
      <c r="K16"/>
      <c r="L16"/>
      <c r="M16"/>
      <c r="N16"/>
      <c r="O16"/>
      <c r="P16"/>
      <c r="Q16"/>
      <c r="R16"/>
      <c r="S16"/>
      <c r="T16"/>
      <c r="U16"/>
      <c r="V16"/>
      <c r="W16"/>
      <c r="X16"/>
      <c r="Y16"/>
      <c r="Z16"/>
      <c r="AA16"/>
    </row>
    <row r="17" spans="1:27">
      <c r="A17" t="s">
        <v>100</v>
      </c>
      <c r="B17" s="15" t="s">
        <v>97</v>
      </c>
      <c r="C17" s="15" t="str">
        <f>HYPERLINK("02-项目级\P3-主从数据库复制及性能提升项目\01-生存周期\03-项目策划\03-项目计划书 (QCUBIC-XNTS-PLAN-Plan)V1.1-engl.docx", "engl")</f>
        <v>engl</v>
      </c>
      <c r="D17"/>
      <c r="E17" t="s">
        <v>101</v>
      </c>
      <c r="F17" t="s">
        <v>101</v>
      </c>
      <c r="G17"/>
      <c r="H17"/>
      <c r="I17"/>
      <c r="J17"/>
      <c r="K17"/>
      <c r="L17"/>
      <c r="M17"/>
      <c r="N17"/>
      <c r="O17"/>
      <c r="P17"/>
      <c r="Q17"/>
      <c r="R17"/>
      <c r="S17"/>
      <c r="T17"/>
      <c r="U17"/>
      <c r="V17"/>
      <c r="W17"/>
      <c r="X17"/>
      <c r="Y17"/>
      <c r="Z17"/>
      <c r="AA17"/>
    </row>
    <row r="18" spans="1:27">
      <c r="A18" t="s">
        <v>100</v>
      </c>
      <c r="B18" s="15" t="s">
        <v>97</v>
      </c>
      <c r="C18" s="15" t="str">
        <f>HYPERLINK("02-项目级\P1-Qcubic数据库管理工具 V1.0\01-生存周期\03-项目策划\03-项目计划书 (QCUBIC-SJKGL-PLAN-Plan)V1.1-engl.docx", "engl")</f>
        <v>engl</v>
      </c>
      <c r="D18"/>
      <c r="E18" t="s">
        <v>101</v>
      </c>
      <c r="F18" t="s">
        <v>101</v>
      </c>
      <c r="G18"/>
      <c r="H18"/>
      <c r="I18"/>
      <c r="J18"/>
      <c r="K18"/>
      <c r="L18"/>
      <c r="M18"/>
      <c r="N18"/>
      <c r="O18"/>
      <c r="P18"/>
      <c r="Q18"/>
      <c r="R18"/>
      <c r="S18"/>
      <c r="T18"/>
      <c r="U18"/>
      <c r="V18"/>
      <c r="W18"/>
      <c r="X18"/>
      <c r="Y18"/>
      <c r="Z18"/>
      <c r="AA18"/>
    </row>
    <row r="19" spans="1:27">
      <c r="A19" t="s">
        <v>100</v>
      </c>
      <c r="B19" s="15" t="s">
        <v>97</v>
      </c>
      <c r="C19" s="15" t="str">
        <f>HYPERLINK("02-项目级\P2-Qcubic to MySQL数据同步工具 V1.0\01-生存周期\03-项目策划\03-项目计划书 (QCUBIC-SJTB-PLAN-Plan)V1.0-engl.docx", "engl")</f>
        <v>engl</v>
      </c>
      <c r="D19"/>
      <c r="E19" t="s">
        <v>101</v>
      </c>
      <c r="F19" t="s">
        <v>101</v>
      </c>
      <c r="G19"/>
      <c r="H19"/>
      <c r="I19"/>
      <c r="J19"/>
      <c r="K19"/>
      <c r="L19"/>
      <c r="M19"/>
      <c r="N19"/>
      <c r="O19"/>
      <c r="P19"/>
      <c r="Q19"/>
      <c r="R19"/>
      <c r="S19"/>
      <c r="T19"/>
      <c r="U19"/>
      <c r="V19"/>
      <c r="W19"/>
      <c r="X19"/>
      <c r="Y19"/>
      <c r="Z19"/>
      <c r="AA19"/>
    </row>
    <row r="20" spans="1:27">
      <c r="A20" t="s">
        <v>100</v>
      </c>
      <c r="B20" s="15" t="s">
        <v>97</v>
      </c>
      <c r="C20" s="15" t="str">
        <f>HYPERLINK("01-组织级\02-组织工作库\02-EPG活动库\03-过程改进计划\过程改进计划(QCUBIC-SPI-PIM-PIPlan)V1.2-engl.docx", "engl")</f>
        <v>engl</v>
      </c>
      <c r="D20"/>
      <c r="E20"/>
      <c r="F20" t="s">
        <v>101</v>
      </c>
      <c r="G20"/>
      <c r="H20"/>
      <c r="I20"/>
      <c r="J20"/>
      <c r="K20"/>
      <c r="L20"/>
      <c r="M20"/>
      <c r="N20"/>
      <c r="O20"/>
      <c r="P20"/>
      <c r="Q20"/>
      <c r="R20"/>
      <c r="S20"/>
      <c r="T20"/>
      <c r="U20"/>
      <c r="V20"/>
      <c r="W20"/>
      <c r="X20"/>
      <c r="Y20"/>
      <c r="Z20"/>
      <c r="AA20"/>
    </row>
    <row r="21" spans="1:27">
      <c r="A21" t="s">
        <v>100</v>
      </c>
      <c r="B21" s="15" t="s">
        <v>97</v>
      </c>
      <c r="C21" s="15" t="str">
        <f>HYPERLINK("01-组织级\02-组织工作库\03-PQA活动库\组织级不符合项管理表(QCUBIC-SPI-PQA-NCList)V1.2-engl.xlsx", "engl")</f>
        <v>engl</v>
      </c>
      <c r="D21"/>
      <c r="E21"/>
      <c r="F21"/>
      <c r="G21" t="s">
        <v>101</v>
      </c>
      <c r="H21"/>
      <c r="I21" t="s">
        <v>101</v>
      </c>
      <c r="J21"/>
      <c r="K21"/>
      <c r="L21"/>
      <c r="M21"/>
      <c r="N21"/>
      <c r="O21"/>
      <c r="P21"/>
      <c r="Q21"/>
      <c r="R21"/>
      <c r="S21"/>
      <c r="T21"/>
      <c r="U21"/>
      <c r="V21"/>
      <c r="W21"/>
      <c r="X21"/>
      <c r="Y21"/>
      <c r="Z21"/>
      <c r="AA21"/>
    </row>
    <row r="22" spans="1:27">
      <c r="A22" t="s">
        <v>100</v>
      </c>
      <c r="B22" s="15" t="s">
        <v>97</v>
      </c>
      <c r="C22" s="15" t="str">
        <f>HYPERLINK("01-组织级\02-组织工作库\06-度量\组织度量表(QCUBIC-SPI-MPM-Tem-datasheet)V1.3-engl.xlsx", "engl")</f>
        <v>engl</v>
      </c>
      <c r="D22"/>
      <c r="E22"/>
      <c r="F22"/>
      <c r="G22"/>
      <c r="H22"/>
      <c r="I22" t="s">
        <v>101</v>
      </c>
      <c r="J22"/>
      <c r="K22"/>
      <c r="L22"/>
      <c r="M22"/>
      <c r="N22"/>
      <c r="O22"/>
      <c r="P22"/>
      <c r="Q22"/>
      <c r="R22"/>
      <c r="S22"/>
      <c r="T22"/>
      <c r="U22"/>
      <c r="V22"/>
      <c r="W22"/>
      <c r="X22"/>
      <c r="Y22"/>
      <c r="Z22"/>
      <c r="AA22"/>
    </row>
    <row r="23" spans="1:27">
      <c r="A23" t="s">
        <v>100</v>
      </c>
      <c r="B23" s="15" t="s">
        <v>97</v>
      </c>
      <c r="C23" s="15" t="str">
        <f>HYPERLINK("01-组织级\02-组织工作库\02-EPG活动库\过程改进总结报告-engl.pptx", "engl")</f>
        <v>engl</v>
      </c>
      <c r="D23"/>
      <c r="E23"/>
      <c r="F23"/>
      <c r="G23"/>
      <c r="H23"/>
      <c r="I23" t="s">
        <v>101</v>
      </c>
      <c r="J23"/>
      <c r="K23"/>
      <c r="L23"/>
      <c r="M23"/>
      <c r="N23"/>
      <c r="O23"/>
      <c r="P23"/>
      <c r="Q23"/>
      <c r="R23"/>
      <c r="S23"/>
      <c r="T23"/>
      <c r="U23"/>
      <c r="V23"/>
      <c r="W23"/>
      <c r="X23"/>
      <c r="Y23"/>
      <c r="Z23"/>
      <c r="AA23"/>
    </row>
    <row r="24" spans="1:27">
      <c r="A24" t="s">
        <v>100</v>
      </c>
      <c r="B24" s="15" t="s">
        <v>97</v>
      </c>
      <c r="C24" s="15" t="str">
        <f>HYPERLINK("01-组织级\02-组织工作库\02-EPG活动库\07-EPG跟踪\05-过程改进建议表\过程改进建议表(QCUBIC-SPI-PIM-SPIAdvic)V1.2-engl.xlsx", "engl")</f>
        <v>engl</v>
      </c>
      <c r="D24"/>
      <c r="E24"/>
      <c r="F24"/>
      <c r="G24"/>
      <c r="H24"/>
      <c r="I24"/>
      <c r="J24" t="s">
        <v>101</v>
      </c>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20" customWidth="1"/>
    <col min="2" max="4" width="7.88671875" style="120" customWidth="1"/>
    <col min="5" max="6" width="27.6640625" style="120" customWidth="1"/>
    <col min="7" max="12" width="27.6640625" style="105" customWidth="1"/>
    <col min="13" max="13" width="17.44140625" style="105" customWidth="1"/>
    <col min="14" max="14" width="3.6640625" style="105" customWidth="1"/>
    <col min="15" max="15" width="34.88671875" style="105" bestFit="1" customWidth="1"/>
    <col min="16" max="16" width="98.109375" style="104" customWidth="1"/>
    <col min="17" max="17" width="18.6640625" style="120" customWidth="1"/>
    <col min="18" max="16384" width="8.6640625" style="120"/>
  </cols>
  <sheetData>
    <row r="1" spans="1:27" s="104" customFormat="1" ht="18">
      <c r="A1" s="102" t="s">
        <v>1136</v>
      </c>
      <c r="B1" s="102"/>
      <c r="C1" s="102"/>
      <c r="D1" s="102"/>
      <c r="E1" s="103"/>
      <c r="G1" s="105"/>
      <c r="H1" s="105"/>
      <c r="I1" s="105"/>
      <c r="J1" s="105"/>
      <c r="K1" s="105"/>
      <c r="L1" s="105"/>
      <c r="M1" s="105"/>
      <c r="N1" s="105"/>
      <c r="O1" s="105"/>
    </row>
    <row r="2" spans="1:27" s="104" customFormat="1">
      <c r="A2" s="107" t="s">
        <v>1137</v>
      </c>
      <c r="B2" s="107"/>
      <c r="C2" s="107"/>
      <c r="D2" s="107"/>
      <c r="E2" s="104" t="s">
        <v>1138</v>
      </c>
      <c r="G2" s="105"/>
      <c r="H2" s="105"/>
      <c r="I2" s="105"/>
      <c r="J2" s="105"/>
      <c r="K2" s="105"/>
      <c r="L2" s="105"/>
      <c r="M2" s="105"/>
      <c r="N2" s="105"/>
      <c r="O2" s="105"/>
    </row>
    <row r="3" spans="1:27" s="104" customFormat="1">
      <c r="A3" s="104" t="s">
        <v>1139</v>
      </c>
      <c r="E3" s="104" t="s">
        <v>1140</v>
      </c>
      <c r="G3" s="105"/>
      <c r="H3" s="105"/>
      <c r="I3" s="105"/>
      <c r="J3" s="105"/>
      <c r="K3" s="105"/>
      <c r="L3" s="105"/>
      <c r="M3" s="105"/>
      <c r="N3" s="105"/>
      <c r="O3" s="105"/>
    </row>
    <row r="4" spans="1:27" s="104" customFormat="1" ht="14.4">
      <c r="A4" s="108"/>
      <c r="B4" s="108"/>
      <c r="C4" s="108"/>
      <c r="D4" s="108"/>
      <c r="E4" s="109" t="s">
        <v>27</v>
      </c>
      <c r="F4" s="110" t="s">
        <v>28</v>
      </c>
      <c r="G4" s="110"/>
      <c r="H4" s="111"/>
      <c r="I4" s="110"/>
      <c r="J4" s="113" t="s">
        <v>29</v>
      </c>
      <c r="K4" s="147"/>
      <c r="L4" s="170" t="s">
        <v>371</v>
      </c>
      <c r="M4" s="114"/>
      <c r="N4" s="114"/>
      <c r="O4" s="114"/>
      <c r="R4" s="107"/>
      <c r="S4" s="114"/>
      <c r="T4" s="114"/>
    </row>
    <row r="5" spans="1:27" s="104" customFormat="1" ht="14.4">
      <c r="A5" s="115"/>
      <c r="B5" s="115"/>
      <c r="C5" s="115"/>
      <c r="D5" s="115"/>
      <c r="E5" s="116" t="s">
        <v>30</v>
      </c>
      <c r="F5" s="117" t="s">
        <v>31</v>
      </c>
      <c r="G5" s="117"/>
      <c r="H5" s="111"/>
      <c r="I5" s="117"/>
      <c r="J5" s="113" t="s">
        <v>32</v>
      </c>
      <c r="K5" s="147"/>
      <c r="L5" s="171" t="s">
        <v>372</v>
      </c>
      <c r="M5" s="115"/>
      <c r="N5" s="115"/>
      <c r="O5" s="115"/>
      <c r="R5" s="107"/>
      <c r="S5" s="115"/>
      <c r="T5" s="114"/>
    </row>
    <row r="6" spans="1:27" s="104" customFormat="1">
      <c r="A6" s="281"/>
      <c r="B6" s="281"/>
      <c r="C6" s="281"/>
      <c r="D6" s="281"/>
      <c r="E6" s="3" t="s">
        <v>1141</v>
      </c>
      <c r="F6" s="87" t="s">
        <v>1142</v>
      </c>
      <c r="G6" s="87" t="s">
        <v>1143</v>
      </c>
      <c r="H6" s="87" t="s">
        <v>1144</v>
      </c>
      <c r="I6" s="87" t="s">
        <v>1145</v>
      </c>
      <c r="J6" s="88" t="s">
        <v>1146</v>
      </c>
      <c r="K6" s="88" t="s">
        <v>1147</v>
      </c>
      <c r="L6" s="173" t="s">
        <v>1148</v>
      </c>
      <c r="M6" s="90"/>
      <c r="N6" s="90"/>
      <c r="O6" s="90"/>
      <c r="Q6" s="120"/>
    </row>
    <row r="7" spans="1:27" s="104" customFormat="1" ht="118.35" customHeight="1">
      <c r="A7" s="282" t="s">
        <v>174</v>
      </c>
      <c r="B7" s="282"/>
      <c r="C7" s="282"/>
      <c r="D7" s="282"/>
      <c r="E7" s="94" t="s">
        <v>1149</v>
      </c>
      <c r="F7" s="94" t="s">
        <v>1150</v>
      </c>
      <c r="G7" s="94" t="s">
        <v>1151</v>
      </c>
      <c r="H7" s="94" t="s">
        <v>1152</v>
      </c>
      <c r="I7" s="94" t="s">
        <v>1153</v>
      </c>
      <c r="J7" s="94" t="s">
        <v>1154</v>
      </c>
      <c r="K7" s="94" t="s">
        <v>1155</v>
      </c>
      <c r="L7" s="94" t="s">
        <v>1156</v>
      </c>
      <c r="M7" s="90"/>
      <c r="N7" s="90"/>
      <c r="O7" s="90"/>
    </row>
    <row r="8" spans="1:27" s="104" customFormat="1" ht="96.6">
      <c r="A8" s="281" t="s">
        <v>54</v>
      </c>
      <c r="B8" s="281"/>
      <c r="C8" s="281"/>
      <c r="D8" s="281"/>
      <c r="E8" s="99" t="s">
        <v>1157</v>
      </c>
      <c r="F8" s="99" t="s">
        <v>1158</v>
      </c>
      <c r="G8" s="99" t="s">
        <v>1159</v>
      </c>
      <c r="H8" s="99" t="s">
        <v>1160</v>
      </c>
      <c r="I8" s="99" t="s">
        <v>1161</v>
      </c>
      <c r="J8" s="99" t="s">
        <v>1162</v>
      </c>
      <c r="K8" s="100" t="s">
        <v>1163</v>
      </c>
      <c r="L8" s="122" t="s">
        <v>1164</v>
      </c>
      <c r="M8" s="124"/>
      <c r="N8" s="124"/>
      <c r="O8" s="124"/>
    </row>
    <row r="9" spans="1:27" s="104" customFormat="1" ht="192">
      <c r="A9" s="281" t="s">
        <v>65</v>
      </c>
      <c r="B9" s="281"/>
      <c r="C9" s="281"/>
      <c r="D9" s="281"/>
      <c r="E9" s="95" t="s">
        <v>1165</v>
      </c>
      <c r="F9" s="95" t="s">
        <v>1166</v>
      </c>
      <c r="G9" s="95" t="s">
        <v>1167</v>
      </c>
      <c r="H9" s="95" t="s">
        <v>1168</v>
      </c>
      <c r="I9" s="95" t="s">
        <v>1169</v>
      </c>
      <c r="J9" s="95" t="s">
        <v>1170</v>
      </c>
      <c r="K9" s="95" t="s">
        <v>1171</v>
      </c>
      <c r="L9" s="95" t="s">
        <v>1172</v>
      </c>
      <c r="M9" s="96"/>
      <c r="N9" s="96"/>
      <c r="O9" s="96"/>
    </row>
    <row r="10" spans="1:27" s="104" customFormat="1" ht="303.60000000000002">
      <c r="A10" s="119" t="s">
        <v>76</v>
      </c>
      <c r="B10" s="168"/>
      <c r="C10" s="168"/>
      <c r="D10" s="168"/>
      <c r="E10" s="287" t="s">
        <v>1173</v>
      </c>
      <c r="F10" s="287" t="s">
        <v>1174</v>
      </c>
      <c r="G10" s="287" t="s">
        <v>1175</v>
      </c>
      <c r="H10" s="288" t="s">
        <v>1176</v>
      </c>
      <c r="I10" s="287" t="s">
        <v>1177</v>
      </c>
      <c r="J10" s="288" t="s">
        <v>1178</v>
      </c>
      <c r="K10" s="288" t="s">
        <v>1179</v>
      </c>
      <c r="L10" s="289" t="s">
        <v>1180</v>
      </c>
      <c r="M10" s="290"/>
      <c r="N10" s="290"/>
      <c r="O10" s="291"/>
    </row>
    <row r="11" spans="1:27" s="104" customFormat="1" ht="303.60000000000002">
      <c r="A11" s="284" t="s">
        <v>86</v>
      </c>
      <c r="B11" s="284"/>
      <c r="C11" s="284"/>
      <c r="D11" s="284"/>
      <c r="E11" s="99" t="s">
        <v>1181</v>
      </c>
      <c r="F11" s="289" t="s">
        <v>1182</v>
      </c>
      <c r="G11" s="289" t="s">
        <v>1183</v>
      </c>
      <c r="H11" s="289" t="s">
        <v>1184</v>
      </c>
      <c r="I11" s="289" t="s">
        <v>1185</v>
      </c>
      <c r="J11" s="289" t="s">
        <v>1186</v>
      </c>
      <c r="K11" s="289" t="s">
        <v>1187</v>
      </c>
      <c r="L11" s="289" t="s">
        <v>1188</v>
      </c>
      <c r="M11" s="290"/>
      <c r="N11" s="290"/>
      <c r="O11" s="291"/>
      <c r="P11" s="105"/>
      <c r="Q11" s="105"/>
    </row>
    <row r="12" spans="1:27" s="114" customFormat="1" ht="14.4">
      <c r="A12" s="120"/>
      <c r="B12" s="120"/>
      <c r="C12" s="120"/>
      <c r="D12" s="120"/>
      <c r="E12" s="120"/>
      <c r="F12" s="120"/>
      <c r="G12" s="105"/>
      <c r="H12" s="105"/>
      <c r="I12" s="105"/>
      <c r="J12" s="105"/>
      <c r="K12" s="105"/>
      <c r="L12" s="105"/>
      <c r="M12" s="105"/>
      <c r="N12" s="105"/>
      <c r="O12" s="105"/>
      <c r="P12" s="104"/>
      <c r="Q12" s="120"/>
    </row>
    <row r="13" spans="1:27" s="114" customFormat="1" ht="14.4">
      <c r="A13" s="120"/>
      <c r="B13" s="120"/>
      <c r="C13" s="120"/>
      <c r="D13" s="120"/>
      <c r="E13" s="120"/>
      <c r="F13" s="120"/>
      <c r="G13" s="105"/>
      <c r="H13" s="105"/>
      <c r="I13" s="105"/>
      <c r="J13" s="105"/>
      <c r="K13" s="105"/>
      <c r="L13" s="105"/>
      <c r="M13" s="105"/>
      <c r="N13" s="105"/>
      <c r="O13" s="105"/>
      <c r="P13" s="104"/>
      <c r="Q13" s="120"/>
    </row>
    <row r="14" spans="1:27" s="114" customFormat="1" ht="14.4">
      <c r="A14" s="120"/>
      <c r="B14" s="120"/>
      <c r="C14" s="120"/>
      <c r="D14" s="120"/>
      <c r="E14" s="120"/>
      <c r="F14" s="120"/>
      <c r="G14" s="105"/>
      <c r="H14" s="105"/>
      <c r="I14" s="105"/>
      <c r="J14" s="105"/>
      <c r="K14" s="105"/>
      <c r="L14" s="105"/>
      <c r="M14" s="105"/>
      <c r="N14" s="105"/>
      <c r="O14" s="105"/>
      <c r="P14" s="104"/>
      <c r="Q14" s="120"/>
    </row>
    <row r="15" spans="1:27" customFormat="1" ht="14.4">
      <c r="A15" t="s">
        <v>96</v>
      </c>
      <c r="B15" t="s">
        <v>97</v>
      </c>
      <c r="C15" t="s">
        <v>98</v>
      </c>
      <c r="D15" s="356" t="s">
        <v>99</v>
      </c>
      <c r="E15" s="14" t="s">
        <v>1141</v>
      </c>
      <c r="F15" s="14" t="s">
        <v>1142</v>
      </c>
      <c r="G15" s="14" t="s">
        <v>1143</v>
      </c>
      <c r="H15" s="14" t="s">
        <v>1144</v>
      </c>
      <c r="I15" s="14" t="s">
        <v>1145</v>
      </c>
      <c r="J15" s="14" t="s">
        <v>1146</v>
      </c>
      <c r="K15" s="14" t="s">
        <v>1147</v>
      </c>
      <c r="L15" s="14" t="s">
        <v>1148</v>
      </c>
      <c r="M15" s="14"/>
    </row>
    <row r="16" spans="1:27" s="114" customFormat="1" ht="14.4">
      <c r="A16" t="s">
        <v>100</v>
      </c>
      <c r="B16" s="15" t="s">
        <v>97</v>
      </c>
      <c r="C16" s="15" t="str">
        <f>HYPERLINK("01-组织级\01-组织财富库\01-标准过程文件库\04-组织过程类\02-过程资产管理\组织方针 (QCUBIC-SPI-OPAL-Ply-Doc)V1.2-engl.docx", "engl")</f>
        <v>engl</v>
      </c>
      <c r="D16"/>
      <c r="E16" t="s">
        <v>101</v>
      </c>
      <c r="F16" t="s">
        <v>101</v>
      </c>
      <c r="G16"/>
      <c r="H16"/>
      <c r="I16"/>
      <c r="J16"/>
      <c r="K16"/>
      <c r="L16"/>
      <c r="M16"/>
      <c r="N16"/>
      <c r="O16"/>
      <c r="P16"/>
      <c r="Q16"/>
      <c r="R16"/>
      <c r="S16"/>
      <c r="T16"/>
      <c r="U16"/>
      <c r="V16"/>
      <c r="W16"/>
      <c r="X16"/>
      <c r="Y16"/>
      <c r="Z16"/>
      <c r="AA16"/>
    </row>
    <row r="17" spans="1:27" s="114" customFormat="1" ht="14.4">
      <c r="A17" t="s">
        <v>100</v>
      </c>
      <c r="B17" s="15" t="s">
        <v>97</v>
      </c>
      <c r="C17" s="15" t="str">
        <f>HYPERLINK("01-组织级\02-组织工作库\02-EPG活动库\03-过程改进计划\过程改进计划(QCUBIC-SPI-PIM-PIPlan)V1.2-engl.docx", "engl")</f>
        <v>engl</v>
      </c>
      <c r="D17"/>
      <c r="E17"/>
      <c r="F17"/>
      <c r="G17" t="s">
        <v>101</v>
      </c>
      <c r="H17"/>
      <c r="I17"/>
      <c r="J17"/>
      <c r="K17"/>
      <c r="L17"/>
      <c r="M17"/>
      <c r="N17"/>
      <c r="O17"/>
      <c r="P17"/>
      <c r="Q17"/>
      <c r="R17"/>
      <c r="S17"/>
      <c r="T17"/>
      <c r="U17"/>
      <c r="V17"/>
      <c r="W17"/>
      <c r="X17"/>
      <c r="Y17"/>
      <c r="Z17"/>
      <c r="AA17"/>
    </row>
    <row r="18" spans="1:27" s="114" customFormat="1" ht="14.4">
      <c r="A18" t="s">
        <v>100</v>
      </c>
      <c r="B18" s="15" t="s">
        <v>97</v>
      </c>
      <c r="C18" s="15" t="str">
        <f>HYPERLINK("01-组织级\02-组织工作库\05-OT培训库\01_公司级培训\03_2022年培训计划\02_年度培训计划\2022培训课程表(ORG_OT_TraininCNSchedule)V1.0-engl.xlsx", "engl")</f>
        <v>engl</v>
      </c>
      <c r="D18"/>
      <c r="E18"/>
      <c r="F18"/>
      <c r="G18" t="s">
        <v>101</v>
      </c>
      <c r="H18"/>
      <c r="I18"/>
      <c r="J18"/>
      <c r="K18"/>
      <c r="L18"/>
      <c r="M18"/>
      <c r="N18"/>
      <c r="O18"/>
      <c r="P18"/>
      <c r="Q18"/>
      <c r="R18"/>
      <c r="S18"/>
      <c r="T18"/>
      <c r="U18"/>
      <c r="V18"/>
      <c r="W18"/>
      <c r="X18"/>
      <c r="Y18"/>
      <c r="Z18"/>
      <c r="AA18"/>
    </row>
    <row r="19" spans="1:27" s="114" customFormat="1" ht="14.4">
      <c r="A19" t="s">
        <v>100</v>
      </c>
      <c r="B19" s="15" t="s">
        <v>97</v>
      </c>
      <c r="C19"/>
      <c r="D19"/>
      <c r="E19"/>
      <c r="F19"/>
      <c r="G19" t="s">
        <v>101</v>
      </c>
      <c r="H19"/>
      <c r="I19"/>
      <c r="J19"/>
      <c r="K19"/>
      <c r="L19"/>
      <c r="M19"/>
      <c r="N19"/>
      <c r="O19"/>
      <c r="P19"/>
      <c r="Q19"/>
      <c r="R19"/>
      <c r="S19"/>
      <c r="T19"/>
      <c r="U19"/>
      <c r="V19"/>
      <c r="W19"/>
      <c r="X19"/>
      <c r="Y19"/>
      <c r="Z19"/>
      <c r="AA19"/>
    </row>
    <row r="20" spans="1:27" s="114" customFormat="1" ht="14.4">
      <c r="A20" t="s">
        <v>100</v>
      </c>
      <c r="B20" s="15" t="s">
        <v>97</v>
      </c>
      <c r="C20"/>
      <c r="D20"/>
      <c r="E20"/>
      <c r="F20"/>
      <c r="G20" t="s">
        <v>101</v>
      </c>
      <c r="H20"/>
      <c r="I20"/>
      <c r="J20"/>
      <c r="K20"/>
      <c r="L20"/>
      <c r="M20"/>
      <c r="N20"/>
      <c r="O20"/>
      <c r="P20"/>
      <c r="Q20"/>
      <c r="R20"/>
      <c r="S20"/>
      <c r="T20"/>
      <c r="U20"/>
      <c r="V20"/>
      <c r="W20"/>
      <c r="X20"/>
      <c r="Y20"/>
      <c r="Z20"/>
      <c r="AA20"/>
    </row>
    <row r="21" spans="1:27" s="114" customFormat="1" ht="14.4">
      <c r="A21" t="s">
        <v>100</v>
      </c>
      <c r="B21" s="15" t="s">
        <v>97</v>
      </c>
      <c r="C21"/>
      <c r="D21"/>
      <c r="E21"/>
      <c r="F21"/>
      <c r="G21"/>
      <c r="H21" t="s">
        <v>101</v>
      </c>
      <c r="I21" t="s">
        <v>101</v>
      </c>
      <c r="J21"/>
      <c r="K21"/>
      <c r="L21"/>
      <c r="M21"/>
      <c r="N21"/>
      <c r="O21"/>
      <c r="P21"/>
      <c r="Q21"/>
      <c r="R21"/>
      <c r="S21"/>
      <c r="T21"/>
      <c r="U21"/>
      <c r="V21"/>
      <c r="W21"/>
      <c r="X21"/>
      <c r="Y21"/>
      <c r="Z21"/>
      <c r="AA21"/>
    </row>
    <row r="22" spans="1:27" s="114" customFormat="1" ht="14.4">
      <c r="A22" t="s">
        <v>100</v>
      </c>
      <c r="B22" s="15" t="s">
        <v>97</v>
      </c>
      <c r="C22" s="15" t="str">
        <f>HYPERLINK("01-组织级\02-组织工作库\02-EPG活动库\过程改进总结报告-engl.pptx", "engl")</f>
        <v>engl</v>
      </c>
      <c r="D22"/>
      <c r="E22"/>
      <c r="F22"/>
      <c r="G22"/>
      <c r="H22" t="s">
        <v>101</v>
      </c>
      <c r="I22" t="s">
        <v>101</v>
      </c>
      <c r="J22"/>
      <c r="K22" t="s">
        <v>101</v>
      </c>
      <c r="L22"/>
      <c r="M22"/>
      <c r="N22"/>
      <c r="O22"/>
      <c r="P22"/>
      <c r="Q22"/>
      <c r="R22"/>
      <c r="S22"/>
      <c r="T22"/>
      <c r="U22"/>
      <c r="V22"/>
      <c r="W22"/>
      <c r="X22"/>
      <c r="Y22"/>
      <c r="Z22"/>
      <c r="AA22"/>
    </row>
    <row r="23" spans="1:27" s="114" customFormat="1" ht="14.4">
      <c r="A23" t="s">
        <v>100</v>
      </c>
      <c r="B23" s="15" t="s">
        <v>97</v>
      </c>
      <c r="C23" s="15" t="str">
        <f>HYPERLINK("01-组织级\02-组织工作库\02-EPG活动库\07-EPG跟踪\06-过程改进里程碑\过程改进里程碑报告(ORG_PCM_Milestone_20220628)V1.0-engl.docx", "engl")</f>
        <v>engl</v>
      </c>
      <c r="D23"/>
      <c r="E23"/>
      <c r="F23"/>
      <c r="G23"/>
      <c r="H23" t="s">
        <v>101</v>
      </c>
      <c r="I23" t="s">
        <v>101</v>
      </c>
      <c r="J23"/>
      <c r="K23"/>
      <c r="L23"/>
      <c r="M23"/>
      <c r="N23"/>
      <c r="O23"/>
      <c r="P23"/>
      <c r="Q23"/>
      <c r="R23"/>
      <c r="S23"/>
      <c r="T23"/>
      <c r="U23"/>
      <c r="V23"/>
      <c r="W23"/>
      <c r="X23"/>
      <c r="Y23"/>
      <c r="Z23"/>
      <c r="AA23"/>
    </row>
    <row r="24" spans="1:27" s="114" customFormat="1" ht="14.4">
      <c r="A24" t="s">
        <v>100</v>
      </c>
      <c r="B24" s="15" t="s">
        <v>97</v>
      </c>
      <c r="C24" s="15" t="str">
        <f>HYPERLINK("01-组织级\02-组织工作库\06-度量\组织度量表(QCUBIC-SPI-MPM-Tem-datasheet)V1.3-engl.xlsx", "engl")</f>
        <v>engl</v>
      </c>
      <c r="D24"/>
      <c r="E24"/>
      <c r="F24"/>
      <c r="G24"/>
      <c r="H24" t="s">
        <v>101</v>
      </c>
      <c r="I24" t="s">
        <v>101</v>
      </c>
      <c r="J24" t="s">
        <v>101</v>
      </c>
      <c r="K24" t="s">
        <v>101</v>
      </c>
      <c r="L24"/>
      <c r="M24"/>
      <c r="N24"/>
      <c r="O24"/>
      <c r="P24"/>
      <c r="Q24"/>
      <c r="R24"/>
      <c r="S24"/>
      <c r="T24"/>
      <c r="U24"/>
      <c r="V24"/>
      <c r="W24"/>
      <c r="X24"/>
      <c r="Y24"/>
      <c r="Z24"/>
      <c r="AA24"/>
    </row>
    <row r="25" spans="1:27" s="114" customFormat="1" ht="14.4">
      <c r="A25" t="s">
        <v>100</v>
      </c>
      <c r="B25" s="15" t="s">
        <v>97</v>
      </c>
      <c r="C25" s="15" t="str">
        <f>HYPERLINK("01-组织级\02-组织工作库\06-度量\组织度量计划(QCUBIC-SPI-MPM-Plan)V1.3-engl.xlsx", "engl")</f>
        <v>engl</v>
      </c>
      <c r="D25"/>
      <c r="E25"/>
      <c r="F25"/>
      <c r="G25"/>
      <c r="H25" t="s">
        <v>101</v>
      </c>
      <c r="I25" t="s">
        <v>101</v>
      </c>
      <c r="J25" t="s">
        <v>101</v>
      </c>
      <c r="K25" t="s">
        <v>101</v>
      </c>
      <c r="L25"/>
      <c r="M25"/>
      <c r="N25"/>
      <c r="O25"/>
      <c r="P25"/>
      <c r="Q25"/>
      <c r="R25"/>
      <c r="S25"/>
      <c r="T25"/>
      <c r="U25"/>
      <c r="V25"/>
      <c r="W25"/>
      <c r="X25"/>
      <c r="Y25"/>
      <c r="Z25"/>
      <c r="AA25"/>
    </row>
    <row r="26" spans="1:27" s="114" customFormat="1" ht="14.4">
      <c r="A26" t="s">
        <v>100</v>
      </c>
      <c r="B26" s="15" t="s">
        <v>97</v>
      </c>
      <c r="C26" s="15" t="str">
        <f>HYPERLINK("01-组织级\02-组织工作库\03-PQA活动库\组织级的质量保证计划(QCUBIC-SPI-PQA-OQAPlan)V1.4-engl.xlsx", "engl")</f>
        <v>engl</v>
      </c>
      <c r="D26"/>
      <c r="E26"/>
      <c r="F26"/>
      <c r="G26"/>
      <c r="H26"/>
      <c r="I26" t="s">
        <v>101</v>
      </c>
      <c r="J26"/>
      <c r="K26"/>
      <c r="L26"/>
      <c r="M26"/>
      <c r="N26"/>
      <c r="O26"/>
      <c r="P26"/>
      <c r="Q26"/>
      <c r="R26"/>
      <c r="S26"/>
      <c r="T26"/>
      <c r="U26"/>
      <c r="V26"/>
      <c r="W26"/>
      <c r="X26"/>
      <c r="Y26"/>
      <c r="Z26"/>
      <c r="AA26"/>
    </row>
    <row r="27" spans="1:27" s="114" customFormat="1" ht="14.4">
      <c r="A27"/>
      <c r="B27"/>
      <c r="C27"/>
      <c r="D27"/>
      <c r="E27"/>
      <c r="F27"/>
      <c r="G27"/>
      <c r="H27"/>
      <c r="I27"/>
      <c r="J27"/>
      <c r="K27"/>
      <c r="L27"/>
      <c r="M27"/>
      <c r="N27"/>
      <c r="O27"/>
      <c r="P27"/>
      <c r="Q27"/>
      <c r="R27"/>
      <c r="S27"/>
      <c r="T27"/>
      <c r="U27"/>
      <c r="V27"/>
      <c r="W27"/>
      <c r="X27"/>
      <c r="Y27"/>
      <c r="Z27"/>
      <c r="AA27"/>
    </row>
    <row r="28" spans="1:27" s="114" customFormat="1" ht="14.4">
      <c r="A28"/>
      <c r="B28"/>
      <c r="C28"/>
      <c r="D28"/>
      <c r="E28"/>
      <c r="F28"/>
      <c r="G28"/>
      <c r="H28"/>
      <c r="I28"/>
      <c r="J28"/>
      <c r="K28"/>
      <c r="L28"/>
      <c r="M28"/>
      <c r="N28"/>
      <c r="O28"/>
      <c r="P28"/>
      <c r="Q28"/>
      <c r="R28"/>
      <c r="S28"/>
      <c r="T28"/>
      <c r="U28"/>
      <c r="V28"/>
      <c r="W28"/>
      <c r="X28"/>
      <c r="Y28"/>
      <c r="Z28"/>
      <c r="AA28"/>
    </row>
    <row r="29" spans="1:27" s="127" customFormat="1" ht="14.4">
      <c r="A29"/>
      <c r="B29"/>
      <c r="C29"/>
      <c r="D29"/>
      <c r="E29"/>
      <c r="F29"/>
      <c r="G29"/>
      <c r="H29"/>
      <c r="I29"/>
      <c r="J29"/>
      <c r="K29"/>
      <c r="L29"/>
      <c r="M29"/>
      <c r="N29"/>
      <c r="O29"/>
      <c r="P29"/>
      <c r="Q29"/>
      <c r="R29"/>
      <c r="S29"/>
      <c r="T29"/>
      <c r="U29"/>
      <c r="V29"/>
      <c r="W29"/>
      <c r="X29"/>
      <c r="Y29"/>
      <c r="Z29"/>
      <c r="AA29"/>
    </row>
    <row r="30" spans="1:27" s="127" customFormat="1" ht="17.100000000000001" customHeight="1">
      <c r="A30"/>
      <c r="B30"/>
      <c r="C30"/>
      <c r="D30"/>
      <c r="E30"/>
      <c r="F30"/>
      <c r="G30"/>
      <c r="H30"/>
      <c r="I30"/>
      <c r="J30"/>
      <c r="K30"/>
      <c r="L30"/>
      <c r="M30"/>
      <c r="N30"/>
      <c r="O30"/>
      <c r="P30"/>
      <c r="Q30"/>
      <c r="R30"/>
      <c r="S30"/>
      <c r="T30"/>
      <c r="U30"/>
      <c r="V30"/>
      <c r="W30"/>
      <c r="X30"/>
      <c r="Y30"/>
      <c r="Z30"/>
      <c r="AA30"/>
    </row>
    <row r="31" spans="1:27" s="104" customFormat="1"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ALP1016"/>
  <sheetViews>
    <sheetView topLeftCell="A11" zoomScaleNormal="100" workbookViewId="0">
      <selection activeCell="C16" sqref="C16"/>
    </sheetView>
  </sheetViews>
  <sheetFormatPr defaultColWidth="14.6640625" defaultRowHeight="14.4"/>
  <cols>
    <col min="1" max="1" width="5.6640625" style="68" customWidth="1"/>
    <col min="2" max="3" width="14.6640625" style="68"/>
    <col min="4" max="4" width="6.33203125" style="68" customWidth="1"/>
    <col min="5" max="5" width="6" style="68" customWidth="1"/>
    <col min="6" max="7" width="14.6640625" style="68"/>
    <col min="8" max="8" width="6.44140625" style="68" customWidth="1"/>
    <col min="9" max="9" width="5.6640625" style="68" customWidth="1"/>
    <col min="10" max="16384" width="14.6640625" style="68"/>
  </cols>
  <sheetData>
    <row r="2" spans="1:1004">
      <c r="B2" s="68" t="s">
        <v>1189</v>
      </c>
      <c r="C2" s="68" t="s">
        <v>1190</v>
      </c>
      <c r="E2" s="68" t="s">
        <v>1191</v>
      </c>
    </row>
    <row r="3" spans="1:1004">
      <c r="B3" s="68" t="s">
        <v>1192</v>
      </c>
      <c r="C3" s="68" t="s">
        <v>1193</v>
      </c>
      <c r="E3" s="68" t="s">
        <v>1194</v>
      </c>
    </row>
    <row r="4" spans="1:1004">
      <c r="B4" s="68" t="s">
        <v>1195</v>
      </c>
      <c r="C4" s="68" t="s">
        <v>1196</v>
      </c>
      <c r="E4" s="68" t="s">
        <v>1197</v>
      </c>
    </row>
    <row r="5" spans="1:1004">
      <c r="B5" s="68" t="s">
        <v>1198</v>
      </c>
      <c r="C5" s="68" t="s">
        <v>1199</v>
      </c>
      <c r="E5" s="68" t="s">
        <v>1200</v>
      </c>
    </row>
    <row r="6" spans="1:1004">
      <c r="B6" s="68" t="s">
        <v>1201</v>
      </c>
      <c r="C6" s="68" t="s">
        <v>1202</v>
      </c>
      <c r="E6" s="68" t="s">
        <v>1203</v>
      </c>
    </row>
    <row r="9" spans="1:1004">
      <c r="B9" s="68" t="s">
        <v>1204</v>
      </c>
      <c r="C9" s="68" t="s">
        <v>1205</v>
      </c>
    </row>
    <row r="10" spans="1:1004">
      <c r="B10" s="68" t="s">
        <v>1206</v>
      </c>
      <c r="C10" s="68" t="s">
        <v>1207</v>
      </c>
    </row>
    <row r="11" spans="1:1004">
      <c r="B11" s="68" t="s">
        <v>1208</v>
      </c>
    </row>
    <row r="13" spans="1:1004">
      <c r="A13" s="358"/>
      <c r="B13" s="358"/>
    </row>
    <row r="16" spans="1:1004">
      <c r="A16">
        <v>1</v>
      </c>
      <c r="B16" t="s">
        <v>1209</v>
      </c>
      <c r="C16"/>
      <c r="D16" t="str">
        <f t="shared" ref="D16:D37" si="0">_xlfn.CONCAT(A16, ". ", B16)</f>
        <v>1. None</v>
      </c>
      <c r="E16">
        <v>1</v>
      </c>
      <c r="F16" t="s">
        <v>1209</v>
      </c>
      <c r="G16"/>
      <c r="H16" t="str">
        <f t="shared" ref="H16:H25" si="1">_xlfn.CONCAT(E16, ". ", F16)</f>
        <v>1. None</v>
      </c>
      <c r="I16">
        <v>1</v>
      </c>
      <c r="J16" t="s">
        <v>1209</v>
      </c>
      <c r="K16"/>
      <c r="L16" t="str">
        <f t="shared" ref="L16:L25" si="2">_xlfn.CONCAT(I16, ". ", J16)</f>
        <v>1. None</v>
      </c>
      <c r="M16">
        <v>1</v>
      </c>
      <c r="N16" t="s">
        <v>1209</v>
      </c>
      <c r="O16"/>
      <c r="P16" t="str">
        <f>_xlfn.CONCAT(M16, ". ", N16)</f>
        <v>1. None</v>
      </c>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row>
    <row r="17" spans="1:1004">
      <c r="A17">
        <v>2</v>
      </c>
      <c r="B17" t="s">
        <v>1210</v>
      </c>
      <c r="C17"/>
      <c r="D17" t="str">
        <f t="shared" si="0"/>
        <v>2. Pieter van Zyl</v>
      </c>
      <c r="E17">
        <v>2</v>
      </c>
      <c r="F17" t="s">
        <v>1211</v>
      </c>
      <c r="G17"/>
      <c r="H17" t="str">
        <f t="shared" si="1"/>
        <v>2. ATL</v>
      </c>
      <c r="I17">
        <v>2</v>
      </c>
      <c r="J17" t="s">
        <v>1212</v>
      </c>
      <c r="K17"/>
      <c r="L17" t="str">
        <f t="shared" si="2"/>
        <v>2. 30p</v>
      </c>
      <c r="M17">
        <v>2</v>
      </c>
      <c r="N17" t="s">
        <v>1213</v>
      </c>
      <c r="O17"/>
      <c r="P17" t="str">
        <f>_xlfn.CONCAT(M17, ". ", N17)</f>
        <v>2. Not started</v>
      </c>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row>
    <row r="18" spans="1:1004">
      <c r="A18">
        <v>3</v>
      </c>
      <c r="B18" t="s">
        <v>1214</v>
      </c>
      <c r="C18"/>
      <c r="D18" t="str">
        <f t="shared" si="0"/>
        <v>3. Joan van Zyl</v>
      </c>
      <c r="E18">
        <v>3</v>
      </c>
      <c r="F18" t="s">
        <v>1215</v>
      </c>
      <c r="G18"/>
      <c r="H18" t="str">
        <f t="shared" si="1"/>
        <v>3. ATL Coordinator</v>
      </c>
      <c r="I18">
        <v>3</v>
      </c>
      <c r="J18" t="s">
        <v>1216</v>
      </c>
      <c r="K18"/>
      <c r="L18" t="str">
        <f t="shared" si="2"/>
        <v>3. 50p</v>
      </c>
      <c r="M18">
        <v>3</v>
      </c>
      <c r="N18" t="s">
        <v>1217</v>
      </c>
      <c r="O18"/>
      <c r="P18" t="str">
        <f>_xlfn.CONCAT(M18, ". ", N18)</f>
        <v>3. WIP</v>
      </c>
    </row>
    <row r="19" spans="1:1004">
      <c r="A19">
        <v>4</v>
      </c>
      <c r="B19" t="s">
        <v>1218</v>
      </c>
      <c r="C19"/>
      <c r="D19" t="str">
        <f t="shared" si="0"/>
        <v>4. Jared Twigg</v>
      </c>
      <c r="E19">
        <v>4</v>
      </c>
      <c r="F19" t="s">
        <v>1219</v>
      </c>
      <c r="G19"/>
      <c r="H19" t="str">
        <f t="shared" si="1"/>
        <v>4. Sponsor</v>
      </c>
      <c r="I19">
        <v>4</v>
      </c>
      <c r="J19" t="s">
        <v>1220</v>
      </c>
      <c r="K19"/>
      <c r="L19" t="str">
        <f t="shared" si="2"/>
        <v>4. 90p</v>
      </c>
      <c r="M19">
        <v>4</v>
      </c>
      <c r="N19" t="s">
        <v>1221</v>
      </c>
      <c r="O19"/>
      <c r="P19" t="str">
        <f>_xlfn.CONCAT(M19, ". ", N19)</f>
        <v>4. Done</v>
      </c>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row>
    <row r="20" spans="1:1004">
      <c r="A20">
        <v>5</v>
      </c>
      <c r="B20" t="s">
        <v>1222</v>
      </c>
      <c r="C20"/>
      <c r="D20" t="str">
        <f t="shared" si="0"/>
        <v>5. Marike Matthee</v>
      </c>
      <c r="E20">
        <v>5</v>
      </c>
      <c r="F20" t="s">
        <v>1223</v>
      </c>
      <c r="G20"/>
      <c r="H20" t="str">
        <f t="shared" si="1"/>
        <v>5. Scheduler</v>
      </c>
      <c r="I20">
        <v>5</v>
      </c>
      <c r="J20" t="s">
        <v>1224</v>
      </c>
      <c r="K20"/>
      <c r="L20" t="str">
        <f t="shared" si="2"/>
        <v>5. 100p</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row>
    <row r="21" spans="1:1004">
      <c r="A21">
        <v>6</v>
      </c>
      <c r="B21" t="s">
        <v>1225</v>
      </c>
      <c r="C21"/>
      <c r="D21" t="str">
        <f t="shared" si="0"/>
        <v>6. Melanie van Zyl</v>
      </c>
      <c r="E21">
        <v>6</v>
      </c>
      <c r="F21" t="s">
        <v>1226</v>
      </c>
      <c r="G21"/>
      <c r="H21" t="str">
        <f t="shared" si="1"/>
        <v>6. BPOC</v>
      </c>
      <c r="I21">
        <v>6</v>
      </c>
      <c r="J21" t="s">
        <v>1227</v>
      </c>
      <c r="K21"/>
      <c r="L21" t="str">
        <f t="shared" si="2"/>
        <v>6. 60d b4 p2</v>
      </c>
      <c r="M21"/>
      <c r="N21"/>
      <c r="O21"/>
      <c r="P21"/>
    </row>
    <row r="22" spans="1:1004">
      <c r="A22">
        <v>7</v>
      </c>
      <c r="B22" t="s">
        <v>1228</v>
      </c>
      <c r="C22"/>
      <c r="D22" t="str">
        <f t="shared" si="0"/>
        <v>7. Bianca Coetzee</v>
      </c>
      <c r="E22">
        <v>7</v>
      </c>
      <c r="F22" t="s">
        <v>1229</v>
      </c>
      <c r="G22"/>
      <c r="H22" t="str">
        <f t="shared" si="1"/>
        <v>7. Translator</v>
      </c>
      <c r="I22">
        <v>7</v>
      </c>
      <c r="J22" t="s">
        <v>1230</v>
      </c>
      <c r="K22"/>
      <c r="L22" t="str">
        <f t="shared" si="2"/>
        <v>7. 40d b4 p2</v>
      </c>
      <c r="M22"/>
      <c r="N22"/>
      <c r="O22"/>
      <c r="P22"/>
    </row>
    <row r="23" spans="1:1004">
      <c r="A23">
        <v>9</v>
      </c>
      <c r="B23" t="s">
        <v>1231</v>
      </c>
      <c r="C23"/>
      <c r="D23" t="str">
        <f t="shared" si="0"/>
        <v>9. Francois van Niekerk</v>
      </c>
      <c r="E23">
        <v>8</v>
      </c>
      <c r="F23" t="s">
        <v>1232</v>
      </c>
      <c r="G23"/>
      <c r="H23" t="str">
        <f t="shared" si="1"/>
        <v>8. ATM</v>
      </c>
      <c r="I23">
        <v>8</v>
      </c>
      <c r="J23" t="s">
        <v>1233</v>
      </c>
      <c r="K23"/>
      <c r="L23" t="str">
        <f t="shared" si="2"/>
        <v>8. Scope approval</v>
      </c>
      <c r="M23"/>
      <c r="N23"/>
      <c r="O23"/>
      <c r="P23"/>
    </row>
    <row r="24" spans="1:1004">
      <c r="A24">
        <v>11</v>
      </c>
      <c r="B24" t="s">
        <v>1234</v>
      </c>
      <c r="C24"/>
      <c r="D24" t="str">
        <f t="shared" si="0"/>
        <v>11. Andries vd Walt</v>
      </c>
      <c r="E24">
        <v>9</v>
      </c>
      <c r="F24" t="s">
        <v>1235</v>
      </c>
      <c r="G24"/>
      <c r="H24" t="str">
        <f t="shared" si="1"/>
        <v>9. IPOC</v>
      </c>
      <c r="I24">
        <v>9</v>
      </c>
      <c r="J24" t="s">
        <v>1236</v>
      </c>
      <c r="K24"/>
      <c r="L24" t="str">
        <f t="shared" si="2"/>
        <v>9. Tech Test</v>
      </c>
      <c r="M24"/>
      <c r="N24"/>
      <c r="O24"/>
      <c r="P24"/>
    </row>
    <row r="25" spans="1:1004">
      <c r="A25">
        <v>12</v>
      </c>
      <c r="B25" t="s">
        <v>1237</v>
      </c>
      <c r="C25"/>
      <c r="D25" t="str">
        <f t="shared" si="0"/>
        <v>12. Francina Botha</v>
      </c>
      <c r="E25">
        <v>10</v>
      </c>
      <c r="F25" t="s">
        <v>1238</v>
      </c>
      <c r="G25"/>
      <c r="H25" t="str">
        <f t="shared" si="1"/>
        <v>10. ATLC Leader</v>
      </c>
      <c r="I25">
        <v>10</v>
      </c>
      <c r="J25" t="s">
        <v>1239</v>
      </c>
      <c r="K25"/>
      <c r="L25" t="str">
        <f t="shared" si="2"/>
        <v>10. Final RR</v>
      </c>
      <c r="M25"/>
      <c r="N25"/>
      <c r="O25"/>
      <c r="P25"/>
    </row>
    <row r="26" spans="1:1004">
      <c r="A26">
        <v>14</v>
      </c>
      <c r="B26" t="s">
        <v>1240</v>
      </c>
      <c r="C26"/>
      <c r="D26" t="str">
        <f t="shared" si="0"/>
        <v>14. Tony Gardiner</v>
      </c>
      <c r="E26"/>
      <c r="F26"/>
      <c r="G26"/>
      <c r="H26"/>
      <c r="I26"/>
      <c r="J26"/>
      <c r="K26"/>
      <c r="L26"/>
      <c r="M26"/>
      <c r="N26"/>
      <c r="O26"/>
      <c r="P26"/>
    </row>
    <row r="27" spans="1:1004">
      <c r="A27">
        <v>15</v>
      </c>
      <c r="B27" t="s">
        <v>1241</v>
      </c>
      <c r="C27"/>
      <c r="D27" t="str">
        <f t="shared" si="0"/>
        <v>15. Elmo Scheffer</v>
      </c>
      <c r="E27"/>
      <c r="F27"/>
      <c r="G27"/>
      <c r="H27"/>
      <c r="I27"/>
      <c r="J27"/>
      <c r="K27"/>
      <c r="L27"/>
      <c r="M27"/>
      <c r="N27"/>
      <c r="O27"/>
      <c r="P27"/>
    </row>
    <row r="28" spans="1:1004">
      <c r="A28">
        <v>16</v>
      </c>
      <c r="B28" t="s">
        <v>1242</v>
      </c>
      <c r="C28"/>
      <c r="D28" t="str">
        <f t="shared" si="0"/>
        <v>16. Pieter Roos</v>
      </c>
      <c r="E28"/>
      <c r="F28"/>
      <c r="G28"/>
      <c r="H28"/>
      <c r="I28"/>
      <c r="J28"/>
      <c r="K28"/>
      <c r="L28"/>
      <c r="M28"/>
      <c r="N28"/>
      <c r="O28"/>
      <c r="P28"/>
    </row>
    <row r="29" spans="1:1004">
      <c r="A29">
        <v>17</v>
      </c>
      <c r="B29" t="s">
        <v>1243</v>
      </c>
      <c r="C29"/>
      <c r="D29" t="str">
        <f t="shared" si="0"/>
        <v>17. Barry Headland</v>
      </c>
      <c r="E29"/>
      <c r="F29"/>
      <c r="G29"/>
      <c r="H29"/>
      <c r="I29"/>
      <c r="J29"/>
      <c r="K29"/>
      <c r="L29"/>
      <c r="M29"/>
      <c r="N29"/>
      <c r="O29"/>
      <c r="P29"/>
    </row>
    <row r="30" spans="1:1004">
      <c r="A30">
        <v>18</v>
      </c>
      <c r="B30" t="s">
        <v>1244</v>
      </c>
      <c r="C30"/>
      <c r="D30" t="str">
        <f t="shared" si="0"/>
        <v>18. Nigel Owen</v>
      </c>
      <c r="E30"/>
      <c r="F30"/>
      <c r="G30"/>
      <c r="H30"/>
      <c r="I30"/>
      <c r="J30"/>
      <c r="K30"/>
      <c r="L30"/>
      <c r="M30"/>
      <c r="N30"/>
      <c r="O30"/>
      <c r="P30"/>
    </row>
    <row r="31" spans="1:1004">
      <c r="A31">
        <v>19</v>
      </c>
      <c r="B31" t="s">
        <v>1245</v>
      </c>
      <c r="C31"/>
      <c r="D31" t="str">
        <f t="shared" si="0"/>
        <v>19. Ria Fouche</v>
      </c>
      <c r="E31"/>
      <c r="F31"/>
      <c r="G31"/>
      <c r="H31"/>
      <c r="I31"/>
      <c r="J31"/>
      <c r="K31"/>
      <c r="L31"/>
      <c r="M31"/>
      <c r="N31"/>
      <c r="O31"/>
      <c r="P31"/>
    </row>
    <row r="32" spans="1:1004">
      <c r="A32">
        <v>20</v>
      </c>
      <c r="B32" t="s">
        <v>1246</v>
      </c>
      <c r="C32"/>
      <c r="D32" t="str">
        <f t="shared" si="0"/>
        <v>20. Elsabie Koster</v>
      </c>
      <c r="E32"/>
      <c r="F32"/>
      <c r="G32"/>
      <c r="H32"/>
      <c r="I32"/>
      <c r="J32"/>
      <c r="K32"/>
      <c r="L32"/>
      <c r="M32"/>
      <c r="N32"/>
      <c r="O32"/>
      <c r="P32"/>
    </row>
    <row r="33" spans="1:16">
      <c r="A33">
        <v>21</v>
      </c>
      <c r="B33" t="s">
        <v>1247</v>
      </c>
      <c r="C33"/>
      <c r="D33" t="str">
        <f t="shared" si="0"/>
        <v>21. Lizwin Jacobs</v>
      </c>
      <c r="E33"/>
      <c r="F33"/>
      <c r="G33"/>
      <c r="H33"/>
      <c r="I33"/>
      <c r="J33"/>
      <c r="K33"/>
      <c r="L33"/>
      <c r="M33"/>
      <c r="N33"/>
      <c r="O33"/>
      <c r="P33"/>
    </row>
    <row r="34" spans="1:16">
      <c r="A34">
        <v>22</v>
      </c>
      <c r="B34" t="s">
        <v>1248</v>
      </c>
      <c r="C34"/>
      <c r="D34" t="str">
        <f t="shared" si="0"/>
        <v>22. Michael</v>
      </c>
      <c r="E34"/>
      <c r="F34"/>
      <c r="G34"/>
      <c r="H34"/>
      <c r="I34"/>
      <c r="J34"/>
      <c r="K34"/>
      <c r="L34"/>
      <c r="M34"/>
      <c r="N34"/>
      <c r="O34"/>
      <c r="P34"/>
    </row>
    <row r="35" spans="1:16">
      <c r="A35">
        <v>23</v>
      </c>
      <c r="B35" t="s">
        <v>1249</v>
      </c>
      <c r="C35"/>
      <c r="D35" t="str">
        <f t="shared" si="0"/>
        <v>23. Alice Erasmus</v>
      </c>
      <c r="E35"/>
      <c r="F35"/>
      <c r="G35"/>
      <c r="H35"/>
      <c r="I35"/>
      <c r="J35"/>
      <c r="K35"/>
      <c r="L35"/>
      <c r="M35"/>
      <c r="N35"/>
      <c r="O35"/>
      <c r="P35"/>
    </row>
    <row r="36" spans="1:16">
      <c r="A36">
        <v>24</v>
      </c>
      <c r="B36" t="s">
        <v>1250</v>
      </c>
      <c r="C36"/>
      <c r="D36" t="str">
        <f t="shared" si="0"/>
        <v>24. Sasha</v>
      </c>
      <c r="E36"/>
      <c r="F36"/>
      <c r="G36"/>
      <c r="H36"/>
      <c r="I36"/>
      <c r="J36"/>
      <c r="K36"/>
      <c r="L36"/>
      <c r="M36"/>
      <c r="N36"/>
      <c r="O36"/>
      <c r="P36"/>
    </row>
    <row r="37" spans="1:16">
      <c r="A37">
        <v>25</v>
      </c>
      <c r="B37" t="s">
        <v>1251</v>
      </c>
      <c r="C37"/>
      <c r="D37" t="str">
        <f t="shared" si="0"/>
        <v>25. Tembeka</v>
      </c>
      <c r="E37"/>
      <c r="F37"/>
      <c r="G37"/>
      <c r="H37"/>
      <c r="I37"/>
      <c r="J37"/>
      <c r="K37"/>
      <c r="L37"/>
      <c r="M37"/>
      <c r="N37"/>
      <c r="O37"/>
      <c r="P37"/>
    </row>
    <row r="38" spans="1:16">
      <c r="A38"/>
      <c r="B38"/>
      <c r="C38"/>
      <c r="D38"/>
      <c r="E38"/>
      <c r="F38"/>
      <c r="G38"/>
      <c r="H38"/>
      <c r="I38"/>
      <c r="J38"/>
      <c r="K38"/>
      <c r="L38"/>
      <c r="M38"/>
      <c r="N38"/>
      <c r="O38"/>
      <c r="P38"/>
    </row>
    <row r="39" spans="1:16">
      <c r="A39"/>
      <c r="B39"/>
      <c r="C39"/>
      <c r="D39"/>
      <c r="E39"/>
      <c r="F39"/>
      <c r="G39"/>
      <c r="H39"/>
      <c r="I39"/>
      <c r="J39"/>
      <c r="K39"/>
      <c r="L39"/>
      <c r="M39"/>
      <c r="N39"/>
      <c r="O39"/>
      <c r="P39"/>
    </row>
    <row r="40" spans="1:16">
      <c r="A40"/>
      <c r="B40"/>
      <c r="C40"/>
      <c r="D40"/>
      <c r="E40"/>
      <c r="F40"/>
      <c r="G40"/>
      <c r="H40"/>
      <c r="I40"/>
      <c r="J40"/>
      <c r="K40"/>
      <c r="L40"/>
      <c r="M40"/>
      <c r="N40"/>
      <c r="O40"/>
      <c r="P40"/>
    </row>
    <row r="41" spans="1:16">
      <c r="A41"/>
      <c r="B41"/>
      <c r="C41"/>
      <c r="D41"/>
      <c r="E41"/>
      <c r="F41"/>
      <c r="G41"/>
      <c r="H41"/>
      <c r="I41"/>
      <c r="J41"/>
      <c r="K41"/>
      <c r="L41"/>
      <c r="M41"/>
      <c r="N41"/>
      <c r="O41"/>
      <c r="P41"/>
    </row>
    <row r="42" spans="1:16">
      <c r="A42"/>
      <c r="B42"/>
      <c r="C42"/>
      <c r="D42"/>
      <c r="E42"/>
      <c r="F42"/>
      <c r="G42"/>
      <c r="H42"/>
      <c r="I42"/>
      <c r="J42"/>
      <c r="K42"/>
      <c r="L42"/>
      <c r="M42"/>
      <c r="N42"/>
      <c r="O42"/>
      <c r="P42"/>
    </row>
    <row r="43" spans="1:16">
      <c r="A43"/>
      <c r="B43"/>
      <c r="C43"/>
      <c r="D43"/>
      <c r="E43"/>
      <c r="F43"/>
      <c r="G43"/>
      <c r="H43"/>
      <c r="I43"/>
      <c r="J43"/>
      <c r="K43"/>
      <c r="L43"/>
      <c r="M43"/>
      <c r="N43"/>
      <c r="O43"/>
      <c r="P43"/>
    </row>
    <row r="44" spans="1:16">
      <c r="A44"/>
      <c r="B44"/>
      <c r="C44"/>
      <c r="D44"/>
      <c r="E44"/>
      <c r="F44"/>
      <c r="G44"/>
      <c r="H44"/>
      <c r="I44"/>
      <c r="J44"/>
      <c r="K44"/>
      <c r="L44"/>
      <c r="M44"/>
      <c r="N44"/>
      <c r="O44"/>
      <c r="P44"/>
    </row>
    <row r="45" spans="1:16">
      <c r="A45"/>
      <c r="B45"/>
      <c r="C45"/>
      <c r="D45"/>
      <c r="E45"/>
      <c r="F45"/>
      <c r="G45"/>
      <c r="H45"/>
      <c r="I45"/>
      <c r="J45"/>
      <c r="K45"/>
      <c r="L45"/>
      <c r="M45"/>
      <c r="N45"/>
      <c r="O45"/>
      <c r="P45"/>
    </row>
    <row r="46" spans="1:16">
      <c r="A46"/>
      <c r="B46"/>
      <c r="C46"/>
      <c r="D46"/>
      <c r="E46"/>
      <c r="F46"/>
      <c r="G46"/>
      <c r="H46"/>
      <c r="I46"/>
      <c r="J46"/>
      <c r="K46"/>
      <c r="L46"/>
      <c r="M46"/>
      <c r="N46"/>
      <c r="O46"/>
      <c r="P46"/>
    </row>
    <row r="47" spans="1:16">
      <c r="A47"/>
      <c r="B47"/>
      <c r="C47"/>
      <c r="D47"/>
      <c r="E47"/>
      <c r="F47"/>
      <c r="G47"/>
      <c r="H47"/>
      <c r="I47"/>
      <c r="J47"/>
      <c r="K47"/>
      <c r="L47"/>
      <c r="M47"/>
      <c r="N47"/>
      <c r="O47"/>
      <c r="P47"/>
    </row>
    <row r="48" spans="1:16">
      <c r="A48"/>
      <c r="B48"/>
      <c r="C48"/>
      <c r="D48"/>
      <c r="E48"/>
      <c r="F48"/>
      <c r="G48"/>
      <c r="H48"/>
      <c r="I48"/>
      <c r="J48"/>
      <c r="K48"/>
      <c r="L48"/>
      <c r="M48"/>
      <c r="N48"/>
      <c r="O48"/>
      <c r="P48"/>
    </row>
    <row r="49" spans="1:16">
      <c r="A49"/>
      <c r="B49"/>
      <c r="C49"/>
      <c r="D49"/>
      <c r="E49"/>
      <c r="F49"/>
      <c r="G49"/>
      <c r="H49"/>
      <c r="I49"/>
      <c r="J49"/>
      <c r="K49"/>
      <c r="L49"/>
      <c r="M49"/>
      <c r="N49"/>
      <c r="O49"/>
      <c r="P49"/>
    </row>
    <row r="50" spans="1:16">
      <c r="A50"/>
      <c r="B50"/>
      <c r="C50"/>
      <c r="D50"/>
      <c r="E50"/>
      <c r="F50"/>
      <c r="G50"/>
      <c r="H50"/>
      <c r="I50"/>
      <c r="J50"/>
      <c r="K50"/>
      <c r="L50"/>
      <c r="M50"/>
      <c r="N50"/>
      <c r="O50"/>
      <c r="P50"/>
    </row>
    <row r="51" spans="1:16">
      <c r="A51"/>
      <c r="B51"/>
      <c r="C51"/>
      <c r="D51"/>
      <c r="E51"/>
      <c r="F51"/>
      <c r="G51"/>
      <c r="H51"/>
      <c r="I51"/>
      <c r="J51"/>
      <c r="K51"/>
      <c r="L51"/>
      <c r="M51"/>
      <c r="N51"/>
      <c r="O51"/>
      <c r="P51"/>
    </row>
    <row r="52" spans="1:16">
      <c r="A52"/>
      <c r="B52"/>
      <c r="C52"/>
      <c r="D52"/>
      <c r="E52"/>
      <c r="F52"/>
      <c r="G52"/>
      <c r="H52"/>
      <c r="I52"/>
      <c r="J52"/>
      <c r="K52"/>
      <c r="L52"/>
      <c r="M52"/>
      <c r="N52"/>
      <c r="O52"/>
      <c r="P52"/>
    </row>
    <row r="53" spans="1:16">
      <c r="A53"/>
      <c r="B53"/>
      <c r="C53"/>
      <c r="D53"/>
      <c r="E53"/>
      <c r="F53"/>
      <c r="G53"/>
      <c r="H53"/>
      <c r="I53"/>
      <c r="J53"/>
      <c r="K53"/>
      <c r="L53"/>
      <c r="M53"/>
      <c r="N53"/>
      <c r="O53"/>
      <c r="P53"/>
    </row>
    <row r="54" spans="1:16">
      <c r="A54"/>
      <c r="B54"/>
      <c r="C54"/>
      <c r="D54"/>
      <c r="E54"/>
      <c r="F54"/>
      <c r="G54"/>
      <c r="H54"/>
      <c r="I54"/>
      <c r="J54"/>
      <c r="K54"/>
      <c r="L54"/>
      <c r="M54"/>
      <c r="N54"/>
      <c r="O54"/>
      <c r="P54"/>
    </row>
    <row r="55" spans="1:16">
      <c r="A55"/>
      <c r="B55"/>
      <c r="C55"/>
      <c r="D55"/>
      <c r="E55"/>
      <c r="F55"/>
      <c r="G55"/>
      <c r="H55"/>
      <c r="I55"/>
      <c r="J55"/>
      <c r="K55"/>
      <c r="L55"/>
      <c r="M55"/>
      <c r="N55"/>
      <c r="O55"/>
      <c r="P55"/>
    </row>
    <row r="56" spans="1:16">
      <c r="A56"/>
      <c r="B56"/>
      <c r="C56"/>
      <c r="D56"/>
      <c r="E56"/>
      <c r="F56"/>
      <c r="G56"/>
      <c r="H56"/>
      <c r="I56"/>
      <c r="J56"/>
      <c r="K56"/>
      <c r="L56"/>
      <c r="M56"/>
      <c r="N56"/>
      <c r="O56"/>
      <c r="P56"/>
    </row>
    <row r="57" spans="1:16">
      <c r="A57"/>
      <c r="B57"/>
      <c r="C57"/>
      <c r="D57"/>
      <c r="E57"/>
      <c r="F57"/>
      <c r="G57"/>
      <c r="H57"/>
      <c r="I57"/>
      <c r="J57"/>
      <c r="K57"/>
      <c r="L57"/>
      <c r="M57"/>
      <c r="N57"/>
      <c r="O57"/>
      <c r="P57"/>
    </row>
    <row r="58" spans="1:16">
      <c r="A58"/>
      <c r="B58"/>
      <c r="C58"/>
      <c r="D58"/>
      <c r="E58"/>
      <c r="F58"/>
      <c r="G58"/>
      <c r="H58"/>
      <c r="I58"/>
      <c r="J58"/>
      <c r="K58"/>
      <c r="L58"/>
      <c r="M58"/>
      <c r="N58"/>
      <c r="O58"/>
      <c r="P58"/>
    </row>
    <row r="59" spans="1:16">
      <c r="A59"/>
      <c r="B59"/>
      <c r="C59"/>
      <c r="D59"/>
      <c r="E59"/>
      <c r="F59"/>
      <c r="G59"/>
      <c r="H59"/>
      <c r="I59"/>
      <c r="J59"/>
      <c r="K59"/>
      <c r="L59"/>
      <c r="M59"/>
      <c r="N59"/>
      <c r="O59"/>
      <c r="P59"/>
    </row>
    <row r="60" spans="1:16">
      <c r="A60"/>
      <c r="B60"/>
      <c r="C60"/>
      <c r="D60"/>
      <c r="E60"/>
      <c r="F60"/>
      <c r="G60"/>
      <c r="H60"/>
      <c r="I60"/>
      <c r="J60"/>
      <c r="K60"/>
      <c r="L60"/>
      <c r="M60"/>
      <c r="N60"/>
      <c r="O60"/>
      <c r="P60"/>
    </row>
    <row r="61" spans="1:16">
      <c r="A61"/>
      <c r="B61"/>
      <c r="C61"/>
      <c r="D61"/>
      <c r="E61"/>
      <c r="F61"/>
      <c r="G61"/>
      <c r="H61"/>
      <c r="I61"/>
      <c r="J61"/>
      <c r="K61"/>
      <c r="L61"/>
      <c r="M61"/>
      <c r="N61"/>
      <c r="O61"/>
      <c r="P61"/>
    </row>
    <row r="62" spans="1:16">
      <c r="A62"/>
      <c r="B62"/>
      <c r="C62"/>
      <c r="D62"/>
      <c r="E62"/>
      <c r="F62"/>
      <c r="G62"/>
      <c r="H62"/>
      <c r="I62"/>
      <c r="J62"/>
      <c r="K62"/>
      <c r="L62"/>
      <c r="M62"/>
      <c r="N62"/>
      <c r="O62"/>
      <c r="P62"/>
    </row>
    <row r="63" spans="1:16">
      <c r="A63"/>
      <c r="B63"/>
      <c r="C63"/>
      <c r="D63"/>
      <c r="E63"/>
      <c r="F63"/>
      <c r="G63"/>
      <c r="H63"/>
      <c r="I63"/>
      <c r="J63"/>
      <c r="K63"/>
      <c r="L63"/>
      <c r="M63"/>
      <c r="N63"/>
      <c r="O63"/>
      <c r="P63"/>
    </row>
    <row r="64" spans="1:16">
      <c r="A64"/>
      <c r="B64"/>
      <c r="C64"/>
      <c r="D64"/>
      <c r="E64"/>
      <c r="F64"/>
      <c r="G64"/>
      <c r="H64"/>
      <c r="I64"/>
      <c r="J64"/>
      <c r="K64"/>
      <c r="L64"/>
      <c r="M64"/>
      <c r="N64"/>
      <c r="O64"/>
      <c r="P64"/>
    </row>
    <row r="65" spans="1:16">
      <c r="A65"/>
      <c r="B65"/>
      <c r="C65"/>
      <c r="D65"/>
      <c r="E65"/>
      <c r="F65"/>
      <c r="G65"/>
      <c r="H65"/>
      <c r="I65"/>
      <c r="J65"/>
      <c r="K65"/>
      <c r="L65"/>
      <c r="M65"/>
      <c r="N65"/>
      <c r="O65"/>
      <c r="P65"/>
    </row>
    <row r="66" spans="1:16">
      <c r="A66"/>
      <c r="B66"/>
      <c r="C66"/>
      <c r="D66"/>
      <c r="E66"/>
      <c r="F66"/>
      <c r="G66"/>
      <c r="H66"/>
      <c r="I66"/>
      <c r="J66"/>
      <c r="K66"/>
      <c r="L66"/>
      <c r="M66"/>
      <c r="N66"/>
      <c r="O66"/>
      <c r="P66"/>
    </row>
    <row r="67" spans="1:16">
      <c r="A67"/>
      <c r="B67"/>
      <c r="C67"/>
      <c r="D67"/>
      <c r="E67"/>
      <c r="F67"/>
      <c r="G67"/>
      <c r="H67"/>
      <c r="I67"/>
      <c r="J67"/>
      <c r="K67"/>
      <c r="L67"/>
      <c r="M67"/>
      <c r="N67"/>
      <c r="O67"/>
      <c r="P67"/>
    </row>
    <row r="68" spans="1:16">
      <c r="A68"/>
      <c r="B68"/>
      <c r="C68"/>
      <c r="D68"/>
      <c r="E68"/>
      <c r="F68"/>
      <c r="G68"/>
      <c r="H68"/>
      <c r="I68"/>
      <c r="J68"/>
      <c r="K68"/>
      <c r="L68"/>
      <c r="M68"/>
      <c r="N68"/>
      <c r="O68"/>
      <c r="P68"/>
    </row>
    <row r="69" spans="1:16">
      <c r="A69"/>
      <c r="B69"/>
      <c r="C69"/>
      <c r="D69"/>
      <c r="E69"/>
      <c r="F69"/>
      <c r="G69"/>
      <c r="H69"/>
      <c r="I69"/>
      <c r="J69"/>
      <c r="K69"/>
      <c r="L69"/>
      <c r="M69"/>
      <c r="N69"/>
      <c r="O69"/>
      <c r="P69"/>
    </row>
    <row r="70" spans="1:16">
      <c r="A70"/>
      <c r="B70"/>
      <c r="C70"/>
      <c r="D70"/>
      <c r="E70"/>
      <c r="F70"/>
      <c r="G70"/>
      <c r="H70"/>
      <c r="I70"/>
      <c r="J70"/>
      <c r="K70"/>
      <c r="L70"/>
      <c r="M70"/>
      <c r="N70"/>
      <c r="O70"/>
      <c r="P70"/>
    </row>
    <row r="71" spans="1:16">
      <c r="A71"/>
      <c r="B71"/>
      <c r="C71"/>
      <c r="D71"/>
      <c r="E71"/>
      <c r="F71"/>
      <c r="G71"/>
      <c r="H71"/>
      <c r="I71"/>
      <c r="J71"/>
      <c r="K71"/>
      <c r="L71"/>
      <c r="M71"/>
      <c r="N71"/>
      <c r="O71"/>
      <c r="P71"/>
    </row>
    <row r="72" spans="1:16">
      <c r="A72"/>
      <c r="B72"/>
      <c r="C72"/>
      <c r="D72"/>
      <c r="E72"/>
      <c r="F72"/>
      <c r="G72"/>
      <c r="H72"/>
      <c r="I72"/>
      <c r="J72"/>
      <c r="K72"/>
      <c r="L72"/>
      <c r="M72"/>
      <c r="N72"/>
      <c r="O72"/>
      <c r="P72"/>
    </row>
    <row r="73" spans="1:16">
      <c r="A73"/>
      <c r="B73"/>
      <c r="C73"/>
      <c r="D73"/>
      <c r="E73"/>
      <c r="F73"/>
      <c r="G73"/>
      <c r="H73"/>
      <c r="I73"/>
      <c r="J73"/>
      <c r="K73"/>
      <c r="L73"/>
      <c r="M73"/>
      <c r="N73"/>
      <c r="O73"/>
      <c r="P73"/>
    </row>
    <row r="74" spans="1:16">
      <c r="A74"/>
      <c r="B74"/>
      <c r="C74"/>
      <c r="D74"/>
      <c r="E74"/>
      <c r="F74"/>
      <c r="G74"/>
      <c r="H74"/>
      <c r="I74"/>
      <c r="J74"/>
      <c r="K74"/>
      <c r="L74"/>
      <c r="M74"/>
      <c r="N74"/>
      <c r="O74"/>
      <c r="P74"/>
    </row>
    <row r="75" spans="1:16">
      <c r="A75"/>
      <c r="B75"/>
      <c r="C75"/>
      <c r="D75"/>
      <c r="E75"/>
      <c r="F75"/>
      <c r="G75"/>
      <c r="H75"/>
      <c r="I75"/>
      <c r="J75"/>
      <c r="K75"/>
      <c r="L75"/>
      <c r="M75"/>
      <c r="N75"/>
      <c r="O75"/>
      <c r="P75"/>
    </row>
    <row r="76" spans="1:16">
      <c r="A76"/>
      <c r="B76"/>
      <c r="C76"/>
      <c r="D76"/>
      <c r="E76"/>
      <c r="F76"/>
      <c r="G76"/>
      <c r="H76"/>
      <c r="I76"/>
      <c r="J76"/>
      <c r="K76"/>
      <c r="L76"/>
      <c r="M76"/>
      <c r="N76"/>
      <c r="O76"/>
      <c r="P76"/>
    </row>
    <row r="77" spans="1:16">
      <c r="A77"/>
      <c r="B77"/>
      <c r="C77"/>
      <c r="D77"/>
      <c r="E77"/>
      <c r="F77"/>
      <c r="G77"/>
      <c r="H77"/>
      <c r="I77"/>
      <c r="J77"/>
      <c r="K77"/>
      <c r="L77"/>
      <c r="M77"/>
      <c r="N77"/>
      <c r="O77"/>
      <c r="P77"/>
    </row>
    <row r="78" spans="1:16">
      <c r="A78"/>
      <c r="B78"/>
      <c r="C78"/>
      <c r="D78"/>
      <c r="E78"/>
      <c r="F78"/>
      <c r="G78"/>
      <c r="H78"/>
      <c r="I78"/>
      <c r="J78"/>
      <c r="K78"/>
      <c r="L78"/>
      <c r="M78"/>
      <c r="N78"/>
      <c r="O78"/>
      <c r="P78"/>
    </row>
    <row r="79" spans="1:16">
      <c r="A79"/>
      <c r="B79"/>
      <c r="C79"/>
      <c r="D79"/>
      <c r="E79"/>
      <c r="F79"/>
      <c r="G79"/>
      <c r="H79"/>
      <c r="I79"/>
      <c r="J79"/>
      <c r="K79"/>
      <c r="L79"/>
      <c r="M79"/>
      <c r="N79"/>
      <c r="O79"/>
      <c r="P79"/>
    </row>
    <row r="80" spans="1:16">
      <c r="A80"/>
      <c r="B80"/>
      <c r="C80"/>
      <c r="D80"/>
      <c r="E80"/>
      <c r="F80"/>
      <c r="G80"/>
      <c r="H80"/>
      <c r="I80"/>
      <c r="J80"/>
      <c r="K80"/>
      <c r="L80"/>
      <c r="M80"/>
      <c r="N80"/>
      <c r="O80"/>
      <c r="P80"/>
    </row>
    <row r="81" spans="1:16">
      <c r="A81"/>
      <c r="B81"/>
      <c r="C81"/>
      <c r="D81"/>
      <c r="E81"/>
      <c r="F81"/>
      <c r="G81"/>
      <c r="H81"/>
      <c r="I81"/>
      <c r="J81"/>
      <c r="K81"/>
      <c r="L81"/>
      <c r="M81"/>
      <c r="N81"/>
      <c r="O81"/>
      <c r="P81"/>
    </row>
    <row r="82" spans="1:16">
      <c r="A82"/>
      <c r="B82"/>
      <c r="C82"/>
      <c r="D82"/>
      <c r="E82"/>
      <c r="F82"/>
      <c r="G82"/>
      <c r="H82"/>
      <c r="I82"/>
      <c r="J82"/>
      <c r="K82"/>
      <c r="L82"/>
      <c r="M82"/>
      <c r="N82"/>
      <c r="O82"/>
      <c r="P82"/>
    </row>
    <row r="83" spans="1:16">
      <c r="A83"/>
      <c r="B83"/>
      <c r="C83"/>
      <c r="D83"/>
      <c r="E83"/>
      <c r="F83"/>
      <c r="G83"/>
      <c r="H83"/>
      <c r="I83"/>
      <c r="J83"/>
      <c r="K83"/>
      <c r="L83"/>
      <c r="M83"/>
      <c r="N83"/>
      <c r="O83"/>
      <c r="P83"/>
    </row>
    <row r="84" spans="1:16">
      <c r="A84"/>
      <c r="B84"/>
      <c r="C84"/>
      <c r="D84"/>
      <c r="E84"/>
      <c r="F84"/>
      <c r="G84"/>
      <c r="H84"/>
      <c r="I84"/>
      <c r="J84"/>
      <c r="K84"/>
      <c r="L84"/>
      <c r="M84"/>
      <c r="N84"/>
      <c r="O84"/>
      <c r="P84"/>
    </row>
    <row r="85" spans="1:16">
      <c r="A85"/>
      <c r="B85"/>
      <c r="C85"/>
      <c r="D85"/>
      <c r="E85"/>
      <c r="F85"/>
      <c r="G85"/>
      <c r="H85"/>
      <c r="I85"/>
      <c r="J85"/>
      <c r="K85"/>
      <c r="L85"/>
      <c r="M85"/>
      <c r="N85"/>
      <c r="O85"/>
      <c r="P85"/>
    </row>
    <row r="86" spans="1:16">
      <c r="A86"/>
      <c r="B86"/>
      <c r="C86"/>
      <c r="D86"/>
      <c r="E86"/>
      <c r="F86"/>
      <c r="G86"/>
      <c r="H86"/>
      <c r="I86"/>
      <c r="J86"/>
      <c r="K86"/>
      <c r="L86"/>
      <c r="M86"/>
      <c r="N86"/>
      <c r="O86"/>
      <c r="P86"/>
    </row>
    <row r="87" spans="1:16">
      <c r="A87"/>
      <c r="B87"/>
      <c r="C87"/>
      <c r="D87"/>
      <c r="E87"/>
      <c r="F87"/>
      <c r="G87"/>
      <c r="H87"/>
      <c r="I87"/>
      <c r="J87"/>
      <c r="K87"/>
      <c r="L87"/>
      <c r="M87"/>
      <c r="N87"/>
      <c r="O87"/>
      <c r="P87"/>
    </row>
    <row r="88" spans="1:16">
      <c r="A88"/>
      <c r="B88"/>
      <c r="C88"/>
      <c r="D88"/>
      <c r="E88"/>
      <c r="F88"/>
      <c r="G88"/>
      <c r="H88"/>
      <c r="I88"/>
      <c r="J88"/>
      <c r="K88"/>
      <c r="L88"/>
      <c r="M88"/>
      <c r="N88"/>
      <c r="O88"/>
      <c r="P88"/>
    </row>
    <row r="89" spans="1:16">
      <c r="A89"/>
      <c r="B89"/>
      <c r="C89"/>
      <c r="D89"/>
      <c r="E89"/>
      <c r="F89"/>
      <c r="G89"/>
      <c r="H89"/>
      <c r="I89"/>
      <c r="J89"/>
      <c r="K89"/>
      <c r="L89"/>
      <c r="M89"/>
      <c r="N89"/>
      <c r="O89"/>
      <c r="P89"/>
    </row>
    <row r="90" spans="1:16">
      <c r="A90"/>
      <c r="B90"/>
      <c r="C90"/>
      <c r="D90"/>
      <c r="E90"/>
      <c r="F90"/>
      <c r="G90"/>
      <c r="H90"/>
      <c r="I90"/>
      <c r="J90"/>
      <c r="K90"/>
      <c r="L90"/>
      <c r="M90"/>
      <c r="N90"/>
      <c r="O90"/>
      <c r="P90"/>
    </row>
    <row r="91" spans="1:16">
      <c r="A91"/>
      <c r="B91"/>
      <c r="C91"/>
      <c r="D91"/>
      <c r="E91"/>
      <c r="F91"/>
      <c r="G91"/>
      <c r="H91"/>
      <c r="I91"/>
      <c r="J91"/>
      <c r="K91"/>
      <c r="L91"/>
      <c r="M91"/>
      <c r="N91"/>
      <c r="O91"/>
      <c r="P91"/>
    </row>
    <row r="92" spans="1:16">
      <c r="A92"/>
      <c r="B92"/>
      <c r="C92"/>
      <c r="D92"/>
      <c r="E92"/>
      <c r="F92"/>
      <c r="G92"/>
      <c r="H92"/>
      <c r="I92"/>
      <c r="J92"/>
      <c r="K92"/>
      <c r="L92"/>
      <c r="M92"/>
      <c r="N92"/>
      <c r="O92"/>
      <c r="P92"/>
    </row>
    <row r="93" spans="1:16">
      <c r="A93"/>
      <c r="B93"/>
      <c r="C93"/>
      <c r="D93"/>
      <c r="E93"/>
      <c r="F93"/>
      <c r="G93"/>
      <c r="H93"/>
      <c r="I93"/>
      <c r="J93"/>
      <c r="K93"/>
      <c r="L93"/>
      <c r="M93"/>
      <c r="N93"/>
      <c r="O93"/>
      <c r="P93"/>
    </row>
    <row r="94" spans="1:16">
      <c r="A94"/>
      <c r="B94"/>
      <c r="C94"/>
      <c r="D94"/>
      <c r="E94"/>
      <c r="F94"/>
      <c r="G94"/>
      <c r="H94"/>
      <c r="I94"/>
      <c r="J94"/>
      <c r="K94"/>
      <c r="L94"/>
      <c r="M94"/>
      <c r="N94"/>
      <c r="O94"/>
      <c r="P94"/>
    </row>
    <row r="95" spans="1:16">
      <c r="A95"/>
      <c r="B95"/>
      <c r="C95"/>
      <c r="D95"/>
      <c r="E95"/>
      <c r="F95"/>
      <c r="G95"/>
      <c r="H95"/>
      <c r="I95"/>
      <c r="J95"/>
      <c r="K95"/>
      <c r="L95"/>
      <c r="M95"/>
      <c r="N95"/>
      <c r="O95"/>
      <c r="P95"/>
    </row>
    <row r="96" spans="1:16">
      <c r="A96"/>
      <c r="B96"/>
      <c r="C96"/>
      <c r="D96"/>
      <c r="E96"/>
      <c r="F96"/>
      <c r="G96"/>
      <c r="H96"/>
      <c r="I96"/>
      <c r="J96"/>
      <c r="K96"/>
      <c r="L96"/>
      <c r="M96"/>
      <c r="N96"/>
      <c r="O96"/>
      <c r="P96"/>
    </row>
    <row r="97" spans="1:16">
      <c r="A97"/>
      <c r="B97"/>
      <c r="C97"/>
      <c r="D97"/>
      <c r="E97"/>
      <c r="F97"/>
      <c r="G97"/>
      <c r="H97"/>
      <c r="I97"/>
      <c r="J97"/>
      <c r="K97"/>
      <c r="L97"/>
      <c r="M97"/>
      <c r="N97"/>
      <c r="O97"/>
      <c r="P97"/>
    </row>
    <row r="98" spans="1:16">
      <c r="A98"/>
      <c r="B98"/>
      <c r="C98"/>
      <c r="D98"/>
      <c r="E98"/>
      <c r="F98"/>
      <c r="G98"/>
      <c r="H98"/>
      <c r="I98"/>
      <c r="J98"/>
      <c r="K98"/>
      <c r="L98"/>
      <c r="M98"/>
      <c r="N98"/>
      <c r="O98"/>
      <c r="P98"/>
    </row>
    <row r="99" spans="1:16">
      <c r="A99"/>
      <c r="B99"/>
      <c r="C99"/>
      <c r="D99"/>
      <c r="E99"/>
      <c r="F99"/>
      <c r="G99"/>
      <c r="H99"/>
      <c r="I99"/>
      <c r="J99"/>
      <c r="K99"/>
      <c r="L99"/>
      <c r="M99"/>
      <c r="N99"/>
      <c r="O99"/>
      <c r="P99"/>
    </row>
    <row r="100" spans="1:16">
      <c r="A100"/>
      <c r="B100"/>
      <c r="C100"/>
      <c r="D100"/>
      <c r="E100"/>
      <c r="F100"/>
      <c r="G100"/>
      <c r="H100"/>
      <c r="I100"/>
      <c r="J100"/>
      <c r="K100"/>
      <c r="L100"/>
      <c r="M100"/>
      <c r="N100"/>
      <c r="O100"/>
      <c r="P100"/>
    </row>
    <row r="101" spans="1:16">
      <c r="A101"/>
      <c r="B101"/>
      <c r="C101"/>
      <c r="D101"/>
      <c r="E101"/>
      <c r="F101"/>
      <c r="G101"/>
      <c r="H101"/>
      <c r="I101"/>
      <c r="J101"/>
      <c r="K101"/>
      <c r="L101"/>
      <c r="M101"/>
      <c r="N101"/>
      <c r="O101"/>
      <c r="P101"/>
    </row>
    <row r="102" spans="1:16">
      <c r="A102"/>
      <c r="B102"/>
      <c r="C102"/>
      <c r="D102"/>
      <c r="E102"/>
      <c r="F102"/>
      <c r="G102"/>
      <c r="H102"/>
      <c r="I102"/>
      <c r="J102"/>
      <c r="K102"/>
      <c r="L102"/>
      <c r="M102"/>
      <c r="N102"/>
      <c r="O102"/>
      <c r="P102"/>
    </row>
    <row r="103" spans="1:16">
      <c r="A103"/>
      <c r="B103"/>
      <c r="C103"/>
      <c r="D103"/>
      <c r="E103"/>
      <c r="F103"/>
      <c r="G103"/>
      <c r="H103"/>
      <c r="I103"/>
      <c r="J103"/>
      <c r="K103"/>
      <c r="L103"/>
      <c r="M103"/>
      <c r="N103"/>
      <c r="O103"/>
      <c r="P103"/>
    </row>
    <row r="104" spans="1:16">
      <c r="A104"/>
      <c r="B104"/>
      <c r="C104"/>
      <c r="D104"/>
      <c r="E104"/>
      <c r="F104"/>
      <c r="G104"/>
      <c r="H104"/>
      <c r="I104"/>
      <c r="J104"/>
      <c r="K104"/>
      <c r="L104"/>
      <c r="M104"/>
      <c r="N104"/>
      <c r="O104"/>
      <c r="P104"/>
    </row>
    <row r="105" spans="1:16">
      <c r="A105"/>
      <c r="B105"/>
      <c r="C105"/>
      <c r="D105"/>
      <c r="E105"/>
      <c r="F105"/>
      <c r="G105"/>
      <c r="H105"/>
      <c r="I105"/>
      <c r="J105"/>
      <c r="K105"/>
      <c r="L105"/>
      <c r="M105"/>
      <c r="N105"/>
      <c r="O105"/>
      <c r="P105"/>
    </row>
    <row r="106" spans="1:16">
      <c r="A106"/>
      <c r="B106"/>
      <c r="C106"/>
      <c r="D106"/>
      <c r="E106"/>
      <c r="F106"/>
      <c r="G106"/>
      <c r="H106"/>
      <c r="I106"/>
      <c r="J106"/>
      <c r="K106"/>
      <c r="L106"/>
      <c r="M106"/>
      <c r="N106"/>
      <c r="O106"/>
      <c r="P106"/>
    </row>
    <row r="107" spans="1:16">
      <c r="A107"/>
      <c r="B107"/>
      <c r="C107"/>
      <c r="D107"/>
      <c r="E107"/>
      <c r="F107"/>
      <c r="G107"/>
      <c r="H107"/>
      <c r="I107"/>
      <c r="J107"/>
      <c r="K107"/>
      <c r="L107"/>
      <c r="M107"/>
      <c r="N107"/>
      <c r="O107"/>
      <c r="P107"/>
    </row>
    <row r="108" spans="1:16">
      <c r="A108"/>
      <c r="B108"/>
      <c r="C108"/>
      <c r="D108"/>
      <c r="E108"/>
      <c r="F108"/>
      <c r="G108"/>
      <c r="H108"/>
      <c r="I108"/>
      <c r="J108"/>
      <c r="K108"/>
      <c r="L108"/>
      <c r="M108"/>
      <c r="N108"/>
      <c r="O108"/>
      <c r="P108"/>
    </row>
    <row r="109" spans="1:16">
      <c r="A109"/>
      <c r="B109"/>
      <c r="C109"/>
      <c r="D109"/>
      <c r="E109"/>
      <c r="F109"/>
      <c r="G109"/>
      <c r="H109"/>
      <c r="I109"/>
      <c r="J109"/>
      <c r="K109"/>
      <c r="L109"/>
      <c r="M109"/>
      <c r="N109"/>
      <c r="O109"/>
      <c r="P109"/>
    </row>
    <row r="110" spans="1:16">
      <c r="A110"/>
      <c r="B110"/>
      <c r="C110"/>
      <c r="D110"/>
      <c r="E110"/>
      <c r="F110"/>
      <c r="G110"/>
      <c r="H110"/>
      <c r="I110"/>
      <c r="J110"/>
      <c r="K110"/>
      <c r="L110"/>
      <c r="M110"/>
      <c r="N110"/>
      <c r="O110"/>
      <c r="P110"/>
    </row>
    <row r="111" spans="1:16">
      <c r="A111"/>
      <c r="B111"/>
      <c r="C111"/>
      <c r="D111"/>
      <c r="E111"/>
      <c r="F111"/>
      <c r="G111"/>
      <c r="H111"/>
      <c r="I111"/>
      <c r="J111"/>
      <c r="K111"/>
      <c r="L111"/>
      <c r="M111"/>
      <c r="N111"/>
      <c r="O111"/>
      <c r="P111"/>
    </row>
    <row r="112" spans="1:16">
      <c r="A112"/>
      <c r="B112"/>
      <c r="C112"/>
      <c r="D112"/>
      <c r="E112"/>
      <c r="F112"/>
      <c r="G112"/>
      <c r="H112"/>
      <c r="I112"/>
      <c r="J112"/>
      <c r="K112"/>
      <c r="L112"/>
      <c r="M112"/>
      <c r="N112"/>
      <c r="O112"/>
      <c r="P112"/>
    </row>
    <row r="113" spans="1:16">
      <c r="A113"/>
      <c r="B113"/>
      <c r="C113"/>
      <c r="D113"/>
      <c r="E113"/>
      <c r="F113"/>
      <c r="G113"/>
      <c r="H113"/>
      <c r="I113"/>
      <c r="J113"/>
      <c r="K113"/>
      <c r="L113"/>
      <c r="M113"/>
      <c r="N113"/>
      <c r="O113"/>
      <c r="P113"/>
    </row>
    <row r="114" spans="1:16">
      <c r="A114"/>
      <c r="B114"/>
      <c r="C114"/>
      <c r="D114"/>
      <c r="E114"/>
      <c r="F114"/>
      <c r="G114"/>
      <c r="H114"/>
      <c r="I114"/>
      <c r="J114"/>
      <c r="K114"/>
      <c r="L114"/>
      <c r="M114"/>
      <c r="N114"/>
      <c r="O114"/>
      <c r="P114"/>
    </row>
    <row r="115" spans="1:16">
      <c r="A115"/>
      <c r="B115"/>
      <c r="C115"/>
      <c r="D115"/>
      <c r="E115"/>
      <c r="F115"/>
      <c r="G115"/>
      <c r="H115"/>
      <c r="I115"/>
      <c r="J115"/>
      <c r="K115"/>
      <c r="L115"/>
      <c r="M115"/>
      <c r="N115"/>
      <c r="O115"/>
      <c r="P115"/>
    </row>
    <row r="116" spans="1:16">
      <c r="A116"/>
      <c r="B116"/>
      <c r="C116"/>
      <c r="D116"/>
      <c r="E116"/>
      <c r="F116"/>
      <c r="G116"/>
      <c r="H116"/>
      <c r="I116"/>
      <c r="J116"/>
      <c r="K116"/>
      <c r="L116"/>
      <c r="M116"/>
      <c r="N116"/>
      <c r="O116"/>
      <c r="P116"/>
    </row>
    <row r="117" spans="1:16">
      <c r="A117"/>
      <c r="B117"/>
      <c r="C117"/>
      <c r="D117"/>
      <c r="E117"/>
      <c r="F117"/>
      <c r="G117"/>
      <c r="H117"/>
      <c r="I117"/>
      <c r="J117"/>
      <c r="K117"/>
      <c r="L117"/>
      <c r="M117"/>
      <c r="N117"/>
      <c r="O117"/>
      <c r="P117"/>
    </row>
    <row r="118" spans="1:16">
      <c r="A118"/>
      <c r="B118"/>
      <c r="C118"/>
      <c r="D118"/>
      <c r="E118"/>
      <c r="F118"/>
      <c r="G118"/>
      <c r="H118"/>
      <c r="I118"/>
      <c r="J118"/>
      <c r="K118"/>
      <c r="L118"/>
      <c r="M118"/>
      <c r="N118"/>
      <c r="O118"/>
      <c r="P118"/>
    </row>
    <row r="119" spans="1:16">
      <c r="A119"/>
      <c r="B119"/>
      <c r="C119"/>
      <c r="D119"/>
      <c r="E119"/>
      <c r="F119"/>
      <c r="G119"/>
      <c r="H119"/>
      <c r="I119"/>
      <c r="J119"/>
      <c r="K119"/>
      <c r="L119"/>
      <c r="M119"/>
      <c r="N119"/>
      <c r="O119"/>
      <c r="P119"/>
    </row>
    <row r="120" spans="1:16">
      <c r="A120"/>
      <c r="B120"/>
      <c r="C120"/>
      <c r="D120"/>
      <c r="E120"/>
      <c r="F120"/>
      <c r="G120"/>
      <c r="H120"/>
      <c r="I120"/>
      <c r="J120"/>
      <c r="K120"/>
      <c r="L120"/>
      <c r="M120"/>
      <c r="N120"/>
      <c r="O120"/>
      <c r="P120"/>
    </row>
    <row r="121" spans="1:16">
      <c r="A121"/>
      <c r="B121"/>
      <c r="C121"/>
      <c r="D121"/>
      <c r="E121"/>
      <c r="F121"/>
      <c r="G121"/>
      <c r="H121"/>
      <c r="I121"/>
      <c r="J121"/>
      <c r="K121"/>
      <c r="L121"/>
      <c r="M121"/>
      <c r="N121"/>
      <c r="O121"/>
      <c r="P121"/>
    </row>
    <row r="122" spans="1:16">
      <c r="A122"/>
      <c r="B122"/>
      <c r="C122"/>
      <c r="D122"/>
      <c r="E122"/>
      <c r="F122"/>
      <c r="G122"/>
      <c r="H122"/>
      <c r="I122"/>
      <c r="J122"/>
      <c r="K122"/>
      <c r="L122"/>
      <c r="M122"/>
      <c r="N122"/>
      <c r="O122"/>
      <c r="P122"/>
    </row>
    <row r="123" spans="1:16">
      <c r="A123"/>
      <c r="B123"/>
      <c r="C123"/>
      <c r="D123"/>
      <c r="E123"/>
      <c r="F123"/>
      <c r="G123"/>
      <c r="H123"/>
      <c r="I123"/>
      <c r="J123"/>
      <c r="K123"/>
      <c r="L123"/>
      <c r="M123"/>
      <c r="N123"/>
      <c r="O123"/>
      <c r="P123"/>
    </row>
    <row r="124" spans="1:16">
      <c r="A124"/>
      <c r="B124"/>
      <c r="C124"/>
      <c r="D124"/>
      <c r="E124"/>
      <c r="F124"/>
      <c r="G124"/>
      <c r="H124"/>
      <c r="I124"/>
      <c r="J124"/>
      <c r="K124"/>
      <c r="L124"/>
      <c r="M124"/>
      <c r="N124"/>
      <c r="O124"/>
      <c r="P124"/>
    </row>
    <row r="125" spans="1:16">
      <c r="A125"/>
      <c r="B125"/>
      <c r="C125"/>
      <c r="D125"/>
      <c r="E125"/>
      <c r="F125"/>
      <c r="G125"/>
      <c r="H125"/>
      <c r="I125"/>
      <c r="J125"/>
      <c r="K125"/>
      <c r="L125"/>
      <c r="M125"/>
      <c r="N125"/>
      <c r="O125"/>
      <c r="P125"/>
    </row>
    <row r="126" spans="1:16">
      <c r="A126"/>
      <c r="B126"/>
      <c r="C126"/>
      <c r="D126"/>
      <c r="E126"/>
      <c r="F126"/>
      <c r="G126"/>
      <c r="H126"/>
      <c r="I126"/>
      <c r="J126"/>
      <c r="K126"/>
      <c r="L126"/>
      <c r="M126"/>
      <c r="N126"/>
      <c r="O126"/>
      <c r="P126"/>
    </row>
    <row r="127" spans="1:16">
      <c r="A127"/>
      <c r="B127"/>
      <c r="C127"/>
      <c r="D127"/>
      <c r="E127"/>
      <c r="F127"/>
      <c r="G127"/>
      <c r="H127"/>
      <c r="I127"/>
      <c r="J127"/>
      <c r="K127"/>
      <c r="L127"/>
      <c r="M127"/>
      <c r="N127"/>
      <c r="O127"/>
      <c r="P127"/>
    </row>
    <row r="128" spans="1:16">
      <c r="A128"/>
      <c r="B128"/>
      <c r="C128"/>
      <c r="D128"/>
      <c r="E128"/>
      <c r="F128"/>
      <c r="G128"/>
      <c r="H128"/>
      <c r="I128"/>
      <c r="J128"/>
      <c r="K128"/>
      <c r="L128"/>
      <c r="M128"/>
      <c r="N128"/>
      <c r="O128"/>
      <c r="P128"/>
    </row>
    <row r="129" spans="1:16">
      <c r="A129"/>
      <c r="B129"/>
      <c r="C129"/>
      <c r="D129"/>
      <c r="E129"/>
      <c r="F129"/>
      <c r="G129"/>
      <c r="H129"/>
      <c r="I129"/>
      <c r="J129"/>
      <c r="K129"/>
      <c r="L129"/>
      <c r="M129"/>
      <c r="N129"/>
      <c r="O129"/>
      <c r="P129"/>
    </row>
    <row r="130" spans="1:16">
      <c r="A130"/>
      <c r="B130"/>
      <c r="C130"/>
      <c r="D130"/>
      <c r="E130"/>
      <c r="F130"/>
      <c r="G130"/>
      <c r="H130"/>
      <c r="I130"/>
      <c r="J130"/>
      <c r="K130"/>
      <c r="L130"/>
      <c r="M130"/>
      <c r="N130"/>
      <c r="O130"/>
      <c r="P130"/>
    </row>
    <row r="131" spans="1:16">
      <c r="A131"/>
      <c r="B131"/>
      <c r="C131"/>
      <c r="D131"/>
      <c r="E131"/>
      <c r="F131"/>
      <c r="G131"/>
      <c r="H131"/>
      <c r="I131"/>
      <c r="J131"/>
      <c r="K131"/>
      <c r="L131"/>
      <c r="M131"/>
      <c r="N131"/>
      <c r="O131"/>
      <c r="P131"/>
    </row>
    <row r="132" spans="1:16">
      <c r="A132"/>
      <c r="B132"/>
      <c r="C132"/>
      <c r="D132"/>
      <c r="E132"/>
      <c r="F132"/>
      <c r="G132"/>
      <c r="H132"/>
      <c r="I132"/>
      <c r="J132"/>
      <c r="K132"/>
      <c r="L132"/>
      <c r="M132"/>
      <c r="N132"/>
      <c r="O132"/>
      <c r="P132"/>
    </row>
    <row r="133" spans="1:16">
      <c r="A133"/>
      <c r="B133"/>
      <c r="C133"/>
      <c r="D133"/>
      <c r="E133"/>
      <c r="F133"/>
      <c r="G133"/>
      <c r="H133"/>
      <c r="I133"/>
      <c r="J133"/>
      <c r="K133"/>
      <c r="L133"/>
      <c r="M133"/>
      <c r="N133"/>
      <c r="O133"/>
      <c r="P133"/>
    </row>
    <row r="134" spans="1:16">
      <c r="A134"/>
      <c r="B134"/>
      <c r="C134"/>
      <c r="D134"/>
      <c r="E134"/>
      <c r="F134"/>
      <c r="G134"/>
      <c r="H134"/>
      <c r="I134"/>
      <c r="J134"/>
      <c r="K134"/>
      <c r="L134"/>
      <c r="M134"/>
      <c r="N134"/>
      <c r="O134"/>
      <c r="P134"/>
    </row>
    <row r="135" spans="1:16">
      <c r="A135"/>
      <c r="B135"/>
      <c r="C135"/>
      <c r="D135"/>
      <c r="E135"/>
      <c r="F135"/>
      <c r="G135"/>
      <c r="H135"/>
      <c r="I135"/>
      <c r="J135"/>
      <c r="K135"/>
      <c r="L135"/>
      <c r="M135"/>
      <c r="N135"/>
      <c r="O135"/>
      <c r="P135"/>
    </row>
    <row r="136" spans="1:16">
      <c r="A136"/>
      <c r="B136"/>
      <c r="C136"/>
      <c r="D136"/>
      <c r="E136"/>
      <c r="F136"/>
      <c r="G136"/>
      <c r="H136"/>
      <c r="I136"/>
      <c r="J136"/>
      <c r="K136"/>
      <c r="L136"/>
      <c r="M136"/>
      <c r="N136"/>
      <c r="O136"/>
      <c r="P136"/>
    </row>
    <row r="137" spans="1:16">
      <c r="A137"/>
      <c r="B137"/>
      <c r="C137"/>
      <c r="D137"/>
      <c r="E137"/>
      <c r="F137"/>
      <c r="G137"/>
      <c r="H137"/>
      <c r="I137"/>
      <c r="J137"/>
      <c r="K137"/>
      <c r="L137"/>
      <c r="M137"/>
      <c r="N137"/>
      <c r="O137"/>
      <c r="P137"/>
    </row>
    <row r="138" spans="1:16">
      <c r="A138"/>
      <c r="B138"/>
      <c r="C138"/>
      <c r="D138"/>
      <c r="E138"/>
      <c r="F138"/>
      <c r="G138"/>
      <c r="H138"/>
      <c r="I138"/>
      <c r="J138"/>
      <c r="K138"/>
      <c r="L138"/>
      <c r="M138"/>
      <c r="N138"/>
      <c r="O138"/>
      <c r="P138"/>
    </row>
    <row r="139" spans="1:16">
      <c r="A139"/>
      <c r="B139"/>
      <c r="C139"/>
      <c r="D139"/>
      <c r="E139"/>
      <c r="F139"/>
      <c r="G139"/>
      <c r="H139"/>
      <c r="I139"/>
      <c r="J139"/>
      <c r="K139"/>
      <c r="L139"/>
      <c r="M139"/>
      <c r="N139"/>
      <c r="O139"/>
      <c r="P139"/>
    </row>
    <row r="140" spans="1:16">
      <c r="A140"/>
      <c r="B140"/>
      <c r="C140"/>
      <c r="D140"/>
      <c r="E140"/>
      <c r="F140"/>
      <c r="G140"/>
      <c r="H140"/>
      <c r="I140"/>
      <c r="J140"/>
      <c r="K140"/>
      <c r="L140"/>
      <c r="M140"/>
      <c r="N140"/>
      <c r="O140"/>
      <c r="P140"/>
    </row>
    <row r="141" spans="1:16">
      <c r="A141"/>
      <c r="B141"/>
      <c r="C141"/>
      <c r="D141"/>
      <c r="E141"/>
      <c r="F141"/>
      <c r="G141"/>
      <c r="H141"/>
      <c r="I141"/>
      <c r="J141"/>
      <c r="K141"/>
      <c r="L141"/>
      <c r="M141"/>
      <c r="N141"/>
      <c r="O141"/>
      <c r="P141"/>
    </row>
    <row r="142" spans="1:16">
      <c r="A142"/>
      <c r="B142"/>
      <c r="C142"/>
      <c r="D142"/>
      <c r="E142"/>
      <c r="F142"/>
      <c r="G142"/>
      <c r="H142"/>
      <c r="I142"/>
      <c r="J142"/>
      <c r="K142"/>
      <c r="L142"/>
      <c r="M142"/>
      <c r="N142"/>
      <c r="O142"/>
      <c r="P142"/>
    </row>
    <row r="143" spans="1:16">
      <c r="A143"/>
      <c r="B143"/>
      <c r="C143"/>
      <c r="D143"/>
      <c r="E143"/>
      <c r="F143"/>
      <c r="G143"/>
      <c r="H143"/>
      <c r="I143"/>
      <c r="J143"/>
      <c r="K143"/>
      <c r="L143"/>
      <c r="M143"/>
      <c r="N143"/>
      <c r="O143"/>
      <c r="P143"/>
    </row>
    <row r="144" spans="1:16">
      <c r="A144"/>
      <c r="B144"/>
      <c r="C144"/>
      <c r="D144"/>
      <c r="E144"/>
      <c r="F144"/>
      <c r="G144"/>
      <c r="H144"/>
      <c r="I144"/>
      <c r="J144"/>
      <c r="K144"/>
      <c r="L144"/>
      <c r="M144"/>
      <c r="N144"/>
      <c r="O144"/>
      <c r="P144"/>
    </row>
    <row r="145" spans="1:16">
      <c r="A145"/>
      <c r="B145"/>
      <c r="C145"/>
      <c r="D145"/>
      <c r="E145"/>
      <c r="F145"/>
      <c r="G145"/>
      <c r="H145"/>
      <c r="I145"/>
      <c r="J145"/>
      <c r="K145"/>
      <c r="L145"/>
      <c r="M145"/>
      <c r="N145"/>
      <c r="O145"/>
      <c r="P145"/>
    </row>
    <row r="146" spans="1:16">
      <c r="A146"/>
      <c r="B146"/>
      <c r="C146"/>
      <c r="D146"/>
      <c r="E146"/>
      <c r="F146"/>
      <c r="G146"/>
      <c r="H146"/>
      <c r="I146"/>
      <c r="J146"/>
      <c r="K146"/>
      <c r="L146"/>
      <c r="M146"/>
      <c r="N146"/>
      <c r="O146"/>
      <c r="P146"/>
    </row>
    <row r="147" spans="1:16">
      <c r="A147"/>
      <c r="B147"/>
      <c r="C147"/>
      <c r="D147"/>
      <c r="E147"/>
      <c r="F147"/>
      <c r="G147"/>
      <c r="H147"/>
      <c r="I147"/>
      <c r="J147"/>
      <c r="K147"/>
      <c r="L147"/>
      <c r="M147"/>
      <c r="N147"/>
      <c r="O147"/>
      <c r="P147"/>
    </row>
    <row r="148" spans="1:16">
      <c r="A148"/>
      <c r="B148"/>
      <c r="C148"/>
      <c r="D148"/>
      <c r="E148"/>
      <c r="F148"/>
      <c r="G148"/>
      <c r="H148"/>
      <c r="I148"/>
      <c r="J148"/>
      <c r="K148"/>
      <c r="L148"/>
      <c r="M148"/>
      <c r="N148"/>
      <c r="O148"/>
      <c r="P148"/>
    </row>
    <row r="149" spans="1:16">
      <c r="A149"/>
      <c r="B149"/>
      <c r="C149"/>
      <c r="D149"/>
      <c r="E149"/>
      <c r="F149"/>
      <c r="G149"/>
      <c r="H149"/>
      <c r="I149"/>
      <c r="J149"/>
      <c r="K149"/>
      <c r="L149"/>
      <c r="M149"/>
      <c r="N149"/>
      <c r="O149"/>
      <c r="P149"/>
    </row>
    <row r="150" spans="1:16">
      <c r="A150"/>
      <c r="B150"/>
      <c r="C150"/>
      <c r="D150"/>
      <c r="E150"/>
      <c r="F150"/>
      <c r="G150"/>
      <c r="H150"/>
      <c r="I150"/>
      <c r="J150"/>
      <c r="K150"/>
      <c r="L150"/>
      <c r="M150"/>
      <c r="N150"/>
      <c r="O150"/>
      <c r="P150"/>
    </row>
    <row r="151" spans="1:16">
      <c r="A151"/>
      <c r="B151"/>
      <c r="C151"/>
      <c r="D151"/>
      <c r="E151"/>
      <c r="F151"/>
      <c r="G151"/>
      <c r="H151"/>
      <c r="I151"/>
      <c r="J151"/>
      <c r="K151"/>
      <c r="L151"/>
      <c r="M151"/>
      <c r="N151"/>
      <c r="O151"/>
      <c r="P151"/>
    </row>
    <row r="152" spans="1:16">
      <c r="A152"/>
      <c r="B152"/>
      <c r="C152"/>
      <c r="D152"/>
      <c r="E152"/>
      <c r="F152"/>
      <c r="G152"/>
      <c r="H152"/>
      <c r="I152"/>
      <c r="J152"/>
      <c r="K152"/>
      <c r="L152"/>
      <c r="M152"/>
      <c r="N152"/>
      <c r="O152"/>
      <c r="P152"/>
    </row>
    <row r="153" spans="1:16">
      <c r="A153"/>
      <c r="B153"/>
      <c r="C153"/>
      <c r="D153"/>
      <c r="E153"/>
      <c r="F153"/>
      <c r="G153"/>
      <c r="H153"/>
      <c r="I153"/>
      <c r="J153"/>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row r="157" spans="1:16">
      <c r="A157"/>
      <c r="B157"/>
      <c r="C157"/>
      <c r="D157"/>
      <c r="E157"/>
      <c r="F157"/>
      <c r="G157"/>
      <c r="H157"/>
      <c r="I157"/>
      <c r="J157"/>
      <c r="K157"/>
      <c r="L157"/>
      <c r="M157"/>
      <c r="N157"/>
      <c r="O157"/>
      <c r="P157"/>
    </row>
    <row r="158" spans="1:16">
      <c r="A158"/>
      <c r="B158"/>
      <c r="C158"/>
      <c r="D158"/>
      <c r="E158"/>
      <c r="F158"/>
      <c r="G158"/>
      <c r="H158"/>
      <c r="I158"/>
      <c r="J158"/>
      <c r="K158"/>
      <c r="L158"/>
      <c r="M158"/>
      <c r="N158"/>
      <c r="O158"/>
      <c r="P158"/>
    </row>
    <row r="159" spans="1:16">
      <c r="A159"/>
      <c r="B159"/>
      <c r="C159"/>
      <c r="D159"/>
      <c r="E159"/>
      <c r="F159"/>
      <c r="G159"/>
      <c r="H159"/>
      <c r="I159"/>
      <c r="J159"/>
      <c r="K159"/>
      <c r="L159"/>
      <c r="M159"/>
      <c r="N159"/>
      <c r="O159"/>
      <c r="P159"/>
    </row>
    <row r="160" spans="1:16">
      <c r="A160"/>
      <c r="B160"/>
      <c r="C160"/>
      <c r="D160"/>
      <c r="E160"/>
      <c r="F160"/>
      <c r="G160"/>
      <c r="H160"/>
      <c r="I160"/>
      <c r="J160"/>
      <c r="K160"/>
      <c r="L160"/>
      <c r="M160"/>
      <c r="N160"/>
      <c r="O160"/>
      <c r="P160"/>
    </row>
    <row r="161" spans="1:16">
      <c r="A161"/>
      <c r="B161"/>
      <c r="C161"/>
      <c r="D161"/>
      <c r="E161"/>
      <c r="F161"/>
      <c r="G161"/>
      <c r="H161"/>
      <c r="I161"/>
      <c r="J161"/>
      <c r="K161"/>
      <c r="L161"/>
      <c r="M161"/>
      <c r="N161"/>
      <c r="O161"/>
      <c r="P161"/>
    </row>
    <row r="162" spans="1:16">
      <c r="A162"/>
      <c r="B162"/>
      <c r="C162"/>
      <c r="D162"/>
      <c r="E162"/>
      <c r="F162"/>
      <c r="G162"/>
      <c r="H162"/>
      <c r="I162"/>
      <c r="J162"/>
      <c r="K162"/>
      <c r="L162"/>
      <c r="M162"/>
      <c r="N162"/>
      <c r="O162"/>
      <c r="P162"/>
    </row>
    <row r="163" spans="1:16">
      <c r="A163"/>
      <c r="B163"/>
      <c r="C163"/>
      <c r="D163"/>
      <c r="E163"/>
      <c r="F163"/>
      <c r="G163"/>
      <c r="H163"/>
      <c r="I163"/>
      <c r="J163"/>
      <c r="K163"/>
      <c r="L163"/>
      <c r="M163"/>
      <c r="N163"/>
      <c r="O163"/>
      <c r="P163"/>
    </row>
    <row r="164" spans="1:16">
      <c r="A164"/>
      <c r="B164"/>
      <c r="C164"/>
      <c r="D164"/>
      <c r="E164"/>
      <c r="F164"/>
      <c r="G164"/>
      <c r="H164"/>
      <c r="I164"/>
      <c r="J164"/>
      <c r="K164"/>
      <c r="L164"/>
      <c r="M164"/>
      <c r="N164"/>
      <c r="O164"/>
      <c r="P164"/>
    </row>
    <row r="165" spans="1:16">
      <c r="A165"/>
      <c r="B165"/>
      <c r="C165"/>
      <c r="D165"/>
      <c r="E165"/>
      <c r="F165"/>
      <c r="G165"/>
      <c r="H165"/>
      <c r="I165"/>
      <c r="J165"/>
      <c r="K165"/>
      <c r="L165"/>
      <c r="M165"/>
      <c r="N165"/>
      <c r="O165"/>
      <c r="P165"/>
    </row>
    <row r="166" spans="1:16">
      <c r="A166"/>
      <c r="B166"/>
      <c r="C166"/>
      <c r="D166"/>
      <c r="E166"/>
      <c r="F166"/>
      <c r="G166"/>
      <c r="H166"/>
      <c r="I166"/>
      <c r="J166"/>
      <c r="K166"/>
      <c r="L166"/>
      <c r="M166"/>
      <c r="N166"/>
      <c r="O166"/>
      <c r="P166"/>
    </row>
    <row r="167" spans="1:16">
      <c r="A167"/>
      <c r="B167"/>
      <c r="C167"/>
      <c r="D167"/>
      <c r="E167"/>
      <c r="F167"/>
      <c r="G167"/>
      <c r="H167"/>
      <c r="I167"/>
      <c r="J167"/>
      <c r="K167"/>
      <c r="L167"/>
      <c r="M167"/>
      <c r="N167"/>
      <c r="O167"/>
      <c r="P167"/>
    </row>
    <row r="168" spans="1:16">
      <c r="A168"/>
      <c r="B168"/>
      <c r="C168"/>
      <c r="D168"/>
      <c r="E168"/>
      <c r="F168"/>
      <c r="G168"/>
      <c r="H168"/>
      <c r="I168"/>
      <c r="J168"/>
      <c r="K168"/>
      <c r="L168"/>
      <c r="M168"/>
      <c r="N168"/>
      <c r="O168"/>
      <c r="P168"/>
    </row>
    <row r="169" spans="1:16">
      <c r="A169"/>
      <c r="B169"/>
      <c r="C169"/>
      <c r="D169"/>
      <c r="E169"/>
      <c r="F169"/>
      <c r="G169"/>
      <c r="H169"/>
      <c r="I169"/>
      <c r="J169"/>
      <c r="K169"/>
      <c r="L169"/>
      <c r="M169"/>
      <c r="N169"/>
      <c r="O169"/>
      <c r="P169"/>
    </row>
    <row r="170" spans="1:16">
      <c r="A170"/>
      <c r="B170"/>
      <c r="C170"/>
      <c r="D170"/>
      <c r="E170"/>
      <c r="F170"/>
      <c r="G170"/>
      <c r="H170"/>
      <c r="I170"/>
      <c r="J170"/>
      <c r="K170"/>
      <c r="L170"/>
      <c r="M170"/>
      <c r="N170"/>
      <c r="O170"/>
      <c r="P170"/>
    </row>
    <row r="171" spans="1:16">
      <c r="A171"/>
      <c r="B171"/>
      <c r="C171"/>
      <c r="D171"/>
      <c r="E171"/>
      <c r="F171"/>
      <c r="G171"/>
      <c r="H171"/>
      <c r="I171"/>
      <c r="J171"/>
      <c r="K171"/>
      <c r="L171"/>
      <c r="M171"/>
      <c r="N171"/>
      <c r="O171"/>
      <c r="P171"/>
    </row>
    <row r="172" spans="1:16">
      <c r="A172"/>
      <c r="B172"/>
      <c r="C172"/>
      <c r="D172"/>
      <c r="E172"/>
      <c r="F172"/>
      <c r="G172"/>
      <c r="H172"/>
      <c r="I172"/>
      <c r="J172"/>
      <c r="K172"/>
      <c r="L172"/>
      <c r="M172"/>
      <c r="N172"/>
      <c r="O172"/>
      <c r="P172"/>
    </row>
    <row r="173" spans="1:16">
      <c r="A173"/>
      <c r="B173"/>
      <c r="C173"/>
      <c r="D173"/>
      <c r="E173"/>
      <c r="F173"/>
      <c r="G173"/>
      <c r="H173"/>
      <c r="I173"/>
      <c r="J173"/>
      <c r="K173"/>
      <c r="L173"/>
      <c r="M173"/>
      <c r="N173"/>
      <c r="O173"/>
      <c r="P173"/>
    </row>
    <row r="174" spans="1:16">
      <c r="A174"/>
      <c r="B174"/>
      <c r="C174"/>
      <c r="D174"/>
      <c r="E174"/>
      <c r="F174"/>
      <c r="G174"/>
      <c r="H174"/>
      <c r="I174"/>
      <c r="J174"/>
      <c r="K174"/>
      <c r="L174"/>
      <c r="M174"/>
      <c r="N174"/>
      <c r="O174"/>
      <c r="P174"/>
    </row>
    <row r="175" spans="1:16">
      <c r="A175"/>
      <c r="B175"/>
      <c r="C175"/>
      <c r="D175"/>
      <c r="E175"/>
      <c r="F175"/>
      <c r="G175"/>
      <c r="H175"/>
      <c r="I175"/>
      <c r="J175"/>
      <c r="K175"/>
      <c r="L175"/>
      <c r="M175"/>
      <c r="N175"/>
      <c r="O175"/>
      <c r="P175"/>
    </row>
    <row r="176" spans="1:16">
      <c r="A176"/>
      <c r="B176"/>
      <c r="C176"/>
      <c r="D176"/>
      <c r="E176"/>
      <c r="F176"/>
      <c r="G176"/>
      <c r="H176"/>
      <c r="I176"/>
      <c r="J176"/>
      <c r="K176"/>
      <c r="L176"/>
      <c r="M176"/>
      <c r="N176"/>
      <c r="O176"/>
      <c r="P176"/>
    </row>
    <row r="177" spans="1:16">
      <c r="A177"/>
      <c r="B177"/>
      <c r="C177"/>
      <c r="D177"/>
      <c r="E177"/>
      <c r="F177"/>
      <c r="G177"/>
      <c r="H177"/>
      <c r="I177"/>
      <c r="J177"/>
      <c r="K177"/>
      <c r="L177"/>
      <c r="M177"/>
      <c r="N177"/>
      <c r="O177"/>
      <c r="P177"/>
    </row>
    <row r="178" spans="1:16">
      <c r="A178"/>
      <c r="B178"/>
      <c r="C178"/>
      <c r="D178"/>
      <c r="E178"/>
      <c r="F178"/>
      <c r="G178"/>
      <c r="H178"/>
      <c r="I178"/>
      <c r="J178"/>
      <c r="K178"/>
      <c r="L178"/>
      <c r="M178"/>
      <c r="N178"/>
      <c r="O178"/>
      <c r="P178"/>
    </row>
    <row r="179" spans="1:16">
      <c r="A179"/>
      <c r="B179"/>
      <c r="C179"/>
      <c r="D179"/>
      <c r="E179"/>
      <c r="F179"/>
      <c r="G179"/>
      <c r="H179"/>
      <c r="I179"/>
      <c r="J179"/>
      <c r="K179"/>
      <c r="L179"/>
      <c r="M179"/>
      <c r="N179"/>
      <c r="O179"/>
      <c r="P179"/>
    </row>
    <row r="180" spans="1:16">
      <c r="A180"/>
      <c r="B180"/>
      <c r="C180"/>
      <c r="D180"/>
      <c r="E180"/>
      <c r="F180"/>
      <c r="G180"/>
      <c r="H180"/>
      <c r="I180"/>
      <c r="J180"/>
      <c r="K180"/>
      <c r="L180"/>
      <c r="M180"/>
      <c r="N180"/>
      <c r="O180"/>
      <c r="P180"/>
    </row>
    <row r="181" spans="1:16">
      <c r="A181"/>
      <c r="B181"/>
      <c r="C181"/>
      <c r="D181"/>
      <c r="E181"/>
      <c r="F181"/>
      <c r="G181"/>
      <c r="H181"/>
      <c r="I181"/>
      <c r="J181"/>
      <c r="K181"/>
      <c r="L181"/>
      <c r="M181"/>
      <c r="N181"/>
      <c r="O181"/>
      <c r="P181"/>
    </row>
    <row r="182" spans="1:16">
      <c r="A182"/>
      <c r="B182"/>
      <c r="C182"/>
      <c r="D182"/>
      <c r="E182"/>
      <c r="F182"/>
      <c r="G182"/>
      <c r="H182"/>
      <c r="I182"/>
      <c r="J182"/>
      <c r="K182"/>
      <c r="L182"/>
      <c r="M182"/>
      <c r="N182"/>
      <c r="O182"/>
      <c r="P182"/>
    </row>
    <row r="183" spans="1:16">
      <c r="A183"/>
      <c r="B183"/>
      <c r="C183"/>
      <c r="D183"/>
      <c r="E183"/>
      <c r="F183"/>
      <c r="G183"/>
      <c r="H183"/>
      <c r="I183"/>
      <c r="J183"/>
      <c r="K183"/>
      <c r="L183"/>
      <c r="M183"/>
      <c r="N183"/>
      <c r="O183"/>
      <c r="P183"/>
    </row>
    <row r="184" spans="1:16">
      <c r="A184"/>
      <c r="B184"/>
      <c r="C184"/>
      <c r="D184"/>
      <c r="E184"/>
      <c r="F184"/>
      <c r="G184"/>
      <c r="H184"/>
      <c r="I184"/>
      <c r="J184"/>
      <c r="K184"/>
      <c r="L184"/>
      <c r="M184"/>
      <c r="N184"/>
      <c r="O184"/>
      <c r="P184"/>
    </row>
    <row r="185" spans="1:16">
      <c r="A185"/>
      <c r="B185"/>
      <c r="C185"/>
      <c r="D185"/>
      <c r="E185"/>
      <c r="F185"/>
      <c r="G185"/>
      <c r="H185"/>
      <c r="I185"/>
      <c r="J185"/>
      <c r="K185"/>
      <c r="L185"/>
      <c r="M185"/>
      <c r="N185"/>
      <c r="O185"/>
      <c r="P185"/>
    </row>
    <row r="186" spans="1:16">
      <c r="A186"/>
      <c r="B186"/>
      <c r="C186"/>
      <c r="D186"/>
      <c r="E186"/>
      <c r="F186"/>
      <c r="G186"/>
      <c r="H186"/>
      <c r="I186"/>
      <c r="J186"/>
      <c r="K186"/>
      <c r="L186"/>
      <c r="M186"/>
      <c r="N186"/>
      <c r="O186"/>
      <c r="P186"/>
    </row>
    <row r="187" spans="1:16">
      <c r="A187"/>
      <c r="B187"/>
      <c r="C187"/>
      <c r="D187"/>
      <c r="E187"/>
      <c r="F187"/>
      <c r="G187"/>
      <c r="H187"/>
      <c r="I187"/>
      <c r="J187"/>
      <c r="K187"/>
      <c r="L187"/>
      <c r="M187"/>
      <c r="N187"/>
      <c r="O187"/>
      <c r="P187"/>
    </row>
    <row r="188" spans="1:16">
      <c r="A188"/>
      <c r="B188"/>
      <c r="C188"/>
      <c r="D188"/>
      <c r="E188"/>
      <c r="F188"/>
      <c r="G188"/>
      <c r="H188"/>
      <c r="I188"/>
      <c r="J188"/>
      <c r="K188"/>
      <c r="L188"/>
      <c r="M188"/>
      <c r="N188"/>
      <c r="O188"/>
      <c r="P188"/>
    </row>
    <row r="189" spans="1:16">
      <c r="A189"/>
      <c r="B189"/>
      <c r="C189"/>
      <c r="D189"/>
      <c r="E189"/>
      <c r="F189"/>
      <c r="G189"/>
      <c r="H189"/>
      <c r="I189"/>
      <c r="J189"/>
      <c r="K189"/>
      <c r="L189"/>
      <c r="M189"/>
      <c r="N189"/>
      <c r="O189"/>
      <c r="P189"/>
    </row>
    <row r="190" spans="1:16">
      <c r="A190"/>
      <c r="B190"/>
      <c r="C190"/>
      <c r="D190"/>
      <c r="E190"/>
      <c r="F190"/>
      <c r="G190"/>
      <c r="H190"/>
      <c r="I190"/>
      <c r="J190"/>
      <c r="K190"/>
      <c r="L190"/>
      <c r="M190"/>
      <c r="N190"/>
      <c r="O190"/>
      <c r="P190"/>
    </row>
    <row r="191" spans="1:16">
      <c r="A191"/>
      <c r="B191"/>
      <c r="C191"/>
      <c r="D191"/>
      <c r="E191"/>
      <c r="F191"/>
      <c r="G191"/>
      <c r="H191"/>
      <c r="I191"/>
      <c r="J191"/>
      <c r="K191"/>
      <c r="L191"/>
      <c r="M191"/>
      <c r="N191"/>
      <c r="O191"/>
      <c r="P191"/>
    </row>
    <row r="192" spans="1:16">
      <c r="A192"/>
      <c r="B192"/>
      <c r="C192"/>
      <c r="D192"/>
      <c r="E192"/>
      <c r="F192"/>
      <c r="G192"/>
      <c r="H192"/>
      <c r="I192"/>
      <c r="J192"/>
      <c r="K192"/>
      <c r="L192"/>
      <c r="M192"/>
      <c r="N192"/>
      <c r="O192"/>
      <c r="P192"/>
    </row>
    <row r="193" spans="1:16">
      <c r="A193"/>
      <c r="B193"/>
      <c r="C193"/>
      <c r="D193"/>
      <c r="E193"/>
      <c r="F193"/>
      <c r="G193"/>
      <c r="H193"/>
      <c r="I193"/>
      <c r="J193"/>
      <c r="K193"/>
      <c r="L193"/>
      <c r="M193"/>
      <c r="N193"/>
      <c r="O193"/>
      <c r="P193"/>
    </row>
    <row r="194" spans="1:16">
      <c r="A194"/>
      <c r="B194"/>
      <c r="C194"/>
      <c r="D194"/>
      <c r="E194"/>
      <c r="F194"/>
      <c r="G194"/>
      <c r="H194"/>
      <c r="I194"/>
      <c r="J194"/>
      <c r="K194"/>
      <c r="L194"/>
      <c r="M194"/>
      <c r="N194"/>
      <c r="O194"/>
      <c r="P194"/>
    </row>
    <row r="195" spans="1:16">
      <c r="A195"/>
      <c r="B195"/>
      <c r="C195"/>
      <c r="D195"/>
      <c r="E195"/>
      <c r="F195"/>
      <c r="G195"/>
      <c r="H195"/>
      <c r="I195"/>
      <c r="J195"/>
      <c r="K195"/>
      <c r="L195"/>
      <c r="M195"/>
      <c r="N195"/>
      <c r="O195"/>
      <c r="P195"/>
    </row>
    <row r="196" spans="1:16">
      <c r="A196"/>
      <c r="B196"/>
      <c r="C196"/>
      <c r="D196"/>
      <c r="E196"/>
      <c r="F196"/>
      <c r="G196"/>
      <c r="H196"/>
      <c r="I196"/>
      <c r="J196"/>
      <c r="K196"/>
      <c r="L196"/>
      <c r="M196"/>
      <c r="N196"/>
      <c r="O196"/>
      <c r="P196"/>
    </row>
    <row r="197" spans="1:16">
      <c r="A197"/>
      <c r="B197"/>
      <c r="C197"/>
      <c r="D197"/>
      <c r="E197"/>
      <c r="F197"/>
      <c r="G197"/>
      <c r="H197"/>
      <c r="I197"/>
      <c r="J197"/>
      <c r="K197"/>
      <c r="L197"/>
      <c r="M197"/>
      <c r="N197"/>
      <c r="O197"/>
      <c r="P197"/>
    </row>
    <row r="198" spans="1:16">
      <c r="A198"/>
      <c r="B198"/>
      <c r="C198"/>
      <c r="D198"/>
      <c r="E198"/>
      <c r="F198"/>
      <c r="G198"/>
      <c r="H198"/>
      <c r="I198"/>
      <c r="J198"/>
      <c r="K198"/>
      <c r="L198"/>
      <c r="M198"/>
      <c r="N198"/>
      <c r="O198"/>
      <c r="P198"/>
    </row>
    <row r="199" spans="1:16">
      <c r="A199"/>
      <c r="B199"/>
      <c r="C199"/>
      <c r="D199"/>
      <c r="E199"/>
      <c r="F199"/>
      <c r="G199"/>
      <c r="H199"/>
      <c r="I199"/>
      <c r="J199"/>
      <c r="K199"/>
      <c r="L199"/>
      <c r="M199"/>
      <c r="N199"/>
      <c r="O199"/>
      <c r="P199"/>
    </row>
    <row r="200" spans="1:16">
      <c r="A200"/>
      <c r="B200"/>
      <c r="C200"/>
      <c r="D200"/>
      <c r="E200"/>
      <c r="F200"/>
      <c r="G200"/>
      <c r="H200"/>
      <c r="I200"/>
      <c r="J200"/>
      <c r="K200"/>
      <c r="L200"/>
      <c r="M200"/>
      <c r="N200"/>
      <c r="O200"/>
      <c r="P200"/>
    </row>
    <row r="201" spans="1:16">
      <c r="A201"/>
      <c r="B201"/>
      <c r="C201"/>
      <c r="D201"/>
      <c r="E201"/>
      <c r="F201"/>
      <c r="G201"/>
      <c r="H201"/>
      <c r="I201"/>
      <c r="J201"/>
      <c r="K201"/>
      <c r="L201"/>
      <c r="M201"/>
      <c r="N201"/>
      <c r="O201"/>
      <c r="P201"/>
    </row>
    <row r="202" spans="1:16">
      <c r="A202"/>
      <c r="B202"/>
      <c r="C202"/>
      <c r="D202"/>
      <c r="E202"/>
      <c r="F202"/>
      <c r="G202"/>
      <c r="H202"/>
      <c r="I202"/>
      <c r="J202"/>
      <c r="K202"/>
      <c r="L202"/>
      <c r="M202"/>
      <c r="N202"/>
      <c r="O202"/>
      <c r="P202"/>
    </row>
    <row r="203" spans="1:16">
      <c r="A203"/>
      <c r="B203"/>
      <c r="C203"/>
      <c r="D203"/>
      <c r="E203"/>
      <c r="F203"/>
      <c r="G203"/>
      <c r="H203"/>
      <c r="I203"/>
      <c r="J203"/>
      <c r="K203"/>
      <c r="L203"/>
      <c r="M203"/>
      <c r="N203"/>
      <c r="O203"/>
      <c r="P203"/>
    </row>
    <row r="204" spans="1:16">
      <c r="A204"/>
      <c r="B204"/>
      <c r="C204"/>
      <c r="D204"/>
      <c r="E204"/>
      <c r="F204"/>
      <c r="G204"/>
      <c r="H204"/>
      <c r="I204"/>
      <c r="J204"/>
      <c r="K204"/>
      <c r="L204"/>
      <c r="M204"/>
      <c r="N204"/>
      <c r="O204"/>
      <c r="P204"/>
    </row>
    <row r="205" spans="1:16">
      <c r="A205"/>
      <c r="B205"/>
      <c r="C205"/>
      <c r="D205"/>
      <c r="E205"/>
      <c r="F205"/>
      <c r="G205"/>
      <c r="H205"/>
      <c r="I205"/>
      <c r="J205"/>
      <c r="K205"/>
      <c r="L205"/>
      <c r="M205"/>
      <c r="N205"/>
      <c r="O205"/>
      <c r="P205"/>
    </row>
    <row r="206" spans="1:16">
      <c r="A206"/>
      <c r="B206"/>
      <c r="C206"/>
      <c r="D206"/>
      <c r="E206"/>
      <c r="F206"/>
      <c r="G206"/>
      <c r="H206"/>
      <c r="I206"/>
      <c r="J206"/>
      <c r="K206"/>
      <c r="L206"/>
      <c r="M206"/>
      <c r="N206"/>
      <c r="O206"/>
      <c r="P206"/>
    </row>
    <row r="207" spans="1:16">
      <c r="A207"/>
      <c r="B207"/>
      <c r="C207"/>
      <c r="D207"/>
      <c r="E207"/>
      <c r="F207"/>
      <c r="G207"/>
      <c r="H207"/>
      <c r="I207"/>
      <c r="J207"/>
      <c r="K207"/>
      <c r="L207"/>
      <c r="M207"/>
      <c r="N207"/>
      <c r="O207"/>
      <c r="P207"/>
    </row>
    <row r="208" spans="1:16">
      <c r="A208"/>
      <c r="B208"/>
      <c r="C208"/>
      <c r="D208"/>
      <c r="E208"/>
      <c r="F208"/>
      <c r="G208"/>
      <c r="H208"/>
      <c r="I208"/>
      <c r="J208"/>
      <c r="K208"/>
      <c r="L208"/>
      <c r="M208"/>
      <c r="N208"/>
      <c r="O208"/>
      <c r="P208"/>
    </row>
    <row r="209" spans="1:16">
      <c r="A209"/>
      <c r="B209"/>
      <c r="C209"/>
      <c r="D209"/>
      <c r="E209"/>
      <c r="F209"/>
      <c r="G209"/>
      <c r="H209"/>
      <c r="I209"/>
      <c r="J209"/>
      <c r="K209"/>
      <c r="L209"/>
      <c r="M209"/>
      <c r="N209"/>
      <c r="O209"/>
      <c r="P209"/>
    </row>
    <row r="210" spans="1:16">
      <c r="A210"/>
      <c r="B210"/>
      <c r="C210"/>
      <c r="D210"/>
      <c r="E210"/>
      <c r="F210"/>
      <c r="G210"/>
      <c r="H210"/>
      <c r="I210"/>
      <c r="J210"/>
      <c r="K210"/>
      <c r="L210"/>
      <c r="M210"/>
      <c r="N210"/>
      <c r="O210"/>
      <c r="P210"/>
    </row>
    <row r="211" spans="1:16">
      <c r="A211"/>
      <c r="B211"/>
      <c r="C211"/>
      <c r="D211"/>
      <c r="E211"/>
      <c r="F211"/>
      <c r="G211"/>
      <c r="H211"/>
      <c r="I211"/>
      <c r="J211"/>
      <c r="K211"/>
      <c r="L211"/>
      <c r="M211"/>
      <c r="N211"/>
      <c r="O211"/>
      <c r="P211"/>
    </row>
    <row r="212" spans="1:16">
      <c r="A212"/>
      <c r="B212"/>
      <c r="C212"/>
      <c r="D212"/>
      <c r="E212"/>
      <c r="F212"/>
      <c r="G212"/>
      <c r="H212"/>
      <c r="I212"/>
      <c r="J212"/>
      <c r="K212"/>
      <c r="L212"/>
      <c r="M212"/>
      <c r="N212"/>
      <c r="O212"/>
      <c r="P212"/>
    </row>
    <row r="213" spans="1:16">
      <c r="A213"/>
      <c r="B213"/>
      <c r="C213"/>
      <c r="D213"/>
      <c r="E213"/>
      <c r="F213"/>
      <c r="G213"/>
      <c r="H213"/>
      <c r="I213"/>
      <c r="J213"/>
      <c r="K213"/>
      <c r="L213"/>
      <c r="M213"/>
      <c r="N213"/>
      <c r="O213"/>
      <c r="P213"/>
    </row>
    <row r="214" spans="1:16">
      <c r="A214"/>
      <c r="B214"/>
      <c r="C214"/>
      <c r="D214"/>
      <c r="E214"/>
      <c r="F214"/>
      <c r="G214"/>
      <c r="H214"/>
      <c r="I214"/>
      <c r="J214"/>
      <c r="K214"/>
      <c r="L214"/>
      <c r="M214"/>
      <c r="N214"/>
      <c r="O214"/>
      <c r="P214"/>
    </row>
    <row r="215" spans="1:16">
      <c r="A215"/>
      <c r="B215"/>
      <c r="C215"/>
      <c r="D215"/>
      <c r="E215"/>
      <c r="F215"/>
      <c r="G215"/>
      <c r="H215"/>
      <c r="I215"/>
      <c r="J215"/>
      <c r="K215"/>
      <c r="L215"/>
      <c r="M215"/>
      <c r="N215"/>
      <c r="O215"/>
      <c r="P215"/>
    </row>
    <row r="216" spans="1:16">
      <c r="A216"/>
      <c r="B216"/>
      <c r="C216"/>
      <c r="D216"/>
      <c r="E216"/>
      <c r="F216"/>
      <c r="G216"/>
      <c r="H216"/>
      <c r="I216"/>
      <c r="J216"/>
      <c r="K216"/>
      <c r="L216"/>
      <c r="M216"/>
      <c r="N216"/>
      <c r="O216"/>
      <c r="P216"/>
    </row>
    <row r="217" spans="1:16">
      <c r="A217"/>
      <c r="B217"/>
      <c r="C217"/>
      <c r="D217"/>
      <c r="E217"/>
      <c r="F217"/>
      <c r="G217"/>
      <c r="H217"/>
      <c r="I217"/>
      <c r="J217"/>
      <c r="K217"/>
      <c r="L217"/>
      <c r="M217"/>
      <c r="N217"/>
      <c r="O217"/>
      <c r="P217"/>
    </row>
    <row r="218" spans="1:16">
      <c r="A218"/>
      <c r="B218"/>
      <c r="C218"/>
      <c r="D218"/>
      <c r="E218"/>
      <c r="F218"/>
      <c r="G218"/>
      <c r="H218"/>
      <c r="I218"/>
      <c r="J218"/>
      <c r="K218"/>
      <c r="L218"/>
      <c r="M218"/>
      <c r="N218"/>
      <c r="O218"/>
      <c r="P218"/>
    </row>
    <row r="219" spans="1:16">
      <c r="A219"/>
      <c r="B219"/>
      <c r="C219"/>
      <c r="D219"/>
      <c r="E219"/>
      <c r="F219"/>
      <c r="G219"/>
      <c r="H219"/>
      <c r="I219"/>
      <c r="J219"/>
      <c r="K219"/>
      <c r="L219"/>
      <c r="M219"/>
      <c r="N219"/>
      <c r="O219"/>
      <c r="P219"/>
    </row>
    <row r="220" spans="1:16">
      <c r="A220"/>
      <c r="B220"/>
      <c r="C220"/>
      <c r="D220"/>
      <c r="E220"/>
      <c r="F220"/>
      <c r="G220"/>
      <c r="H220"/>
      <c r="I220"/>
      <c r="J220"/>
      <c r="K220"/>
      <c r="L220"/>
      <c r="M220"/>
      <c r="N220"/>
      <c r="O220"/>
      <c r="P220"/>
    </row>
    <row r="221" spans="1:16">
      <c r="A221"/>
      <c r="B221"/>
      <c r="C221"/>
      <c r="D221"/>
      <c r="E221"/>
      <c r="F221"/>
      <c r="G221"/>
      <c r="H221"/>
      <c r="I221"/>
      <c r="J221"/>
      <c r="K221"/>
      <c r="L221"/>
      <c r="M221"/>
      <c r="N221"/>
      <c r="O221"/>
      <c r="P221"/>
    </row>
    <row r="222" spans="1:16">
      <c r="A222"/>
      <c r="B222"/>
      <c r="C222"/>
      <c r="D222"/>
      <c r="E222"/>
      <c r="F222"/>
      <c r="G222"/>
      <c r="H222"/>
      <c r="I222"/>
      <c r="J222"/>
      <c r="K222"/>
      <c r="L222"/>
      <c r="M222"/>
      <c r="N222"/>
      <c r="O222"/>
      <c r="P222"/>
    </row>
    <row r="223" spans="1:16">
      <c r="A223"/>
      <c r="B223"/>
      <c r="C223"/>
      <c r="D223"/>
      <c r="E223"/>
      <c r="F223"/>
      <c r="G223"/>
      <c r="H223"/>
      <c r="I223"/>
      <c r="J223"/>
      <c r="K223"/>
      <c r="L223"/>
      <c r="M223"/>
      <c r="N223"/>
      <c r="O223"/>
      <c r="P223"/>
    </row>
    <row r="224" spans="1:16">
      <c r="A224"/>
      <c r="B224"/>
      <c r="C224"/>
      <c r="D224"/>
      <c r="E224"/>
      <c r="F224"/>
      <c r="G224"/>
      <c r="H224"/>
      <c r="I224"/>
      <c r="J224"/>
      <c r="K224"/>
      <c r="L224"/>
      <c r="M224"/>
      <c r="N224"/>
      <c r="O224"/>
      <c r="P224"/>
    </row>
    <row r="225" spans="1:16">
      <c r="A225"/>
      <c r="B225"/>
      <c r="C225"/>
      <c r="D225"/>
      <c r="E225"/>
      <c r="F225"/>
      <c r="G225"/>
      <c r="H225"/>
      <c r="I225"/>
      <c r="J225"/>
      <c r="K225"/>
      <c r="L225"/>
      <c r="M225"/>
      <c r="N225"/>
      <c r="O225"/>
      <c r="P225"/>
    </row>
    <row r="226" spans="1:16">
      <c r="A226"/>
      <c r="B226"/>
      <c r="C226"/>
      <c r="D226"/>
      <c r="E226"/>
      <c r="F226"/>
      <c r="G226"/>
      <c r="H226"/>
      <c r="I226"/>
      <c r="J226"/>
      <c r="K226"/>
      <c r="L226"/>
      <c r="M226"/>
      <c r="N226"/>
      <c r="O226"/>
      <c r="P226"/>
    </row>
    <row r="227" spans="1:16">
      <c r="A227"/>
      <c r="B227"/>
      <c r="C227"/>
      <c r="D227"/>
      <c r="E227"/>
      <c r="F227"/>
      <c r="G227"/>
      <c r="H227"/>
      <c r="I227"/>
      <c r="J227"/>
      <c r="K227"/>
      <c r="L227"/>
      <c r="M227"/>
      <c r="N227"/>
      <c r="O227"/>
      <c r="P227"/>
    </row>
    <row r="228" spans="1:16">
      <c r="A228"/>
      <c r="B228"/>
      <c r="C228"/>
      <c r="D228"/>
      <c r="E228"/>
      <c r="F228"/>
      <c r="G228"/>
      <c r="H228"/>
      <c r="I228"/>
      <c r="J228"/>
      <c r="K228"/>
      <c r="L228"/>
      <c r="M228"/>
      <c r="N228"/>
      <c r="O228"/>
      <c r="P228"/>
    </row>
    <row r="229" spans="1:16">
      <c r="A229"/>
      <c r="B229"/>
      <c r="C229"/>
      <c r="D229"/>
      <c r="E229"/>
      <c r="F229"/>
      <c r="G229"/>
      <c r="H229"/>
      <c r="I229"/>
      <c r="J229"/>
      <c r="K229"/>
      <c r="L229"/>
      <c r="M229"/>
      <c r="N229"/>
      <c r="O229"/>
      <c r="P229"/>
    </row>
    <row r="230" spans="1:16">
      <c r="A230"/>
      <c r="B230"/>
      <c r="C230"/>
      <c r="D230"/>
      <c r="E230"/>
      <c r="F230"/>
      <c r="G230"/>
      <c r="H230"/>
      <c r="I230"/>
      <c r="J230"/>
      <c r="K230"/>
      <c r="L230"/>
      <c r="M230"/>
      <c r="N230"/>
      <c r="O230"/>
      <c r="P230"/>
    </row>
    <row r="231" spans="1:16">
      <c r="A231"/>
      <c r="B231"/>
      <c r="C231"/>
      <c r="D231"/>
      <c r="E231"/>
      <c r="F231"/>
      <c r="G231"/>
      <c r="H231"/>
      <c r="I231"/>
      <c r="J231"/>
      <c r="K231"/>
      <c r="L231"/>
      <c r="M231"/>
      <c r="N231"/>
      <c r="O231"/>
      <c r="P231"/>
    </row>
    <row r="232" spans="1:16">
      <c r="A232"/>
      <c r="B232"/>
      <c r="C232"/>
      <c r="D232"/>
      <c r="E232"/>
      <c r="F232"/>
      <c r="G232"/>
      <c r="H232"/>
      <c r="I232"/>
      <c r="J232"/>
      <c r="K232"/>
      <c r="L232"/>
      <c r="M232"/>
      <c r="N232"/>
      <c r="O232"/>
      <c r="P232"/>
    </row>
    <row r="233" spans="1:16">
      <c r="A233"/>
      <c r="B233"/>
      <c r="C233"/>
      <c r="D233"/>
      <c r="E233"/>
      <c r="F233"/>
      <c r="G233"/>
      <c r="H233"/>
      <c r="I233"/>
      <c r="J233"/>
      <c r="K233"/>
      <c r="L233"/>
      <c r="M233"/>
      <c r="N233"/>
      <c r="O233"/>
      <c r="P233"/>
    </row>
    <row r="234" spans="1:16">
      <c r="A234"/>
      <c r="B234"/>
      <c r="C234"/>
      <c r="D234"/>
      <c r="E234"/>
      <c r="F234"/>
      <c r="G234"/>
      <c r="H234"/>
      <c r="I234"/>
      <c r="J234"/>
      <c r="K234"/>
      <c r="L234"/>
      <c r="M234"/>
      <c r="N234"/>
      <c r="O234"/>
      <c r="P234"/>
    </row>
    <row r="235" spans="1:16">
      <c r="A235"/>
      <c r="B235"/>
      <c r="C235"/>
      <c r="D235"/>
      <c r="E235"/>
      <c r="F235"/>
      <c r="G235"/>
      <c r="H235"/>
      <c r="I235"/>
      <c r="J235"/>
      <c r="K235"/>
      <c r="L235"/>
      <c r="M235"/>
      <c r="N235"/>
      <c r="O235"/>
      <c r="P235"/>
    </row>
    <row r="236" spans="1:16">
      <c r="A236"/>
      <c r="B236"/>
      <c r="C236"/>
      <c r="D236"/>
      <c r="E236"/>
      <c r="F236"/>
      <c r="G236"/>
      <c r="H236"/>
      <c r="I236"/>
      <c r="J236"/>
      <c r="K236"/>
      <c r="L236"/>
      <c r="M236"/>
      <c r="N236"/>
      <c r="O236"/>
      <c r="P236"/>
    </row>
    <row r="237" spans="1:16">
      <c r="A237"/>
      <c r="B237"/>
      <c r="C237"/>
      <c r="D237"/>
      <c r="E237"/>
      <c r="F237"/>
      <c r="G237"/>
      <c r="H237"/>
      <c r="I237"/>
      <c r="J237"/>
      <c r="K237"/>
      <c r="L237"/>
      <c r="M237"/>
      <c r="N237"/>
      <c r="O237"/>
      <c r="P237"/>
    </row>
    <row r="238" spans="1:16">
      <c r="A238"/>
      <c r="B238"/>
      <c r="C238"/>
      <c r="D238"/>
      <c r="E238"/>
      <c r="F238"/>
      <c r="G238"/>
      <c r="H238"/>
      <c r="I238"/>
      <c r="J238"/>
      <c r="K238"/>
      <c r="L238"/>
      <c r="M238"/>
      <c r="N238"/>
      <c r="O238"/>
      <c r="P238"/>
    </row>
    <row r="239" spans="1:16">
      <c r="A239"/>
      <c r="B239"/>
      <c r="C239"/>
      <c r="D239"/>
      <c r="E239"/>
      <c r="F239"/>
      <c r="G239"/>
      <c r="H239"/>
      <c r="I239"/>
      <c r="J239"/>
      <c r="K239"/>
      <c r="L239"/>
      <c r="M239"/>
      <c r="N239"/>
      <c r="O239"/>
      <c r="P239"/>
    </row>
    <row r="240" spans="1:16">
      <c r="A240"/>
      <c r="B240"/>
      <c r="C240"/>
      <c r="D240"/>
      <c r="E240"/>
      <c r="F240"/>
      <c r="G240"/>
      <c r="H240"/>
      <c r="I240"/>
      <c r="J240"/>
      <c r="K240"/>
      <c r="L240"/>
      <c r="M240"/>
      <c r="N240"/>
      <c r="O240"/>
      <c r="P240"/>
    </row>
    <row r="241" spans="1:16">
      <c r="A241"/>
      <c r="B241"/>
      <c r="C241"/>
      <c r="D241"/>
      <c r="E241"/>
      <c r="F241"/>
      <c r="G241"/>
      <c r="H241"/>
      <c r="I241"/>
      <c r="J241"/>
      <c r="K241"/>
      <c r="L241"/>
      <c r="M241"/>
      <c r="N241"/>
      <c r="O241"/>
      <c r="P241"/>
    </row>
    <row r="242" spans="1:16">
      <c r="A242"/>
      <c r="B242"/>
      <c r="C242"/>
      <c r="D242"/>
      <c r="E242"/>
      <c r="F242"/>
      <c r="G242"/>
      <c r="H242"/>
      <c r="I242"/>
      <c r="J242"/>
      <c r="K242"/>
      <c r="L242"/>
      <c r="M242"/>
      <c r="N242"/>
      <c r="O242"/>
      <c r="P242"/>
    </row>
    <row r="243" spans="1:16">
      <c r="A243"/>
      <c r="B243"/>
      <c r="C243"/>
      <c r="D243"/>
      <c r="E243"/>
      <c r="F243"/>
      <c r="G243"/>
      <c r="H243"/>
      <c r="I243"/>
      <c r="J243"/>
      <c r="K243"/>
      <c r="L243"/>
      <c r="M243"/>
      <c r="N243"/>
      <c r="O243"/>
      <c r="P243"/>
    </row>
    <row r="244" spans="1:16">
      <c r="A244"/>
      <c r="B244"/>
      <c r="C244"/>
      <c r="D244"/>
      <c r="E244"/>
      <c r="F244"/>
      <c r="G244"/>
      <c r="H244"/>
      <c r="I244"/>
      <c r="J244"/>
      <c r="K244"/>
      <c r="L244"/>
      <c r="M244"/>
      <c r="N244"/>
      <c r="O244"/>
      <c r="P244"/>
    </row>
    <row r="245" spans="1:16">
      <c r="A245"/>
      <c r="B245"/>
      <c r="C245"/>
      <c r="D245"/>
      <c r="E245"/>
      <c r="F245"/>
      <c r="G245"/>
      <c r="H245"/>
      <c r="I245"/>
      <c r="J245"/>
      <c r="K245"/>
      <c r="L245"/>
      <c r="M245"/>
      <c r="N245"/>
      <c r="O245"/>
      <c r="P245"/>
    </row>
    <row r="246" spans="1:16">
      <c r="A246"/>
      <c r="B246"/>
      <c r="C246"/>
      <c r="D246"/>
      <c r="E246"/>
      <c r="F246"/>
      <c r="G246"/>
      <c r="H246"/>
      <c r="I246"/>
      <c r="J246"/>
      <c r="K246"/>
      <c r="L246"/>
      <c r="M246"/>
      <c r="N246"/>
      <c r="O246"/>
      <c r="P246"/>
    </row>
    <row r="247" spans="1:16">
      <c r="A247"/>
      <c r="B247"/>
      <c r="C247"/>
      <c r="D247"/>
      <c r="E247"/>
      <c r="F247"/>
      <c r="G247"/>
      <c r="H247"/>
      <c r="I247"/>
      <c r="J247"/>
      <c r="K247"/>
      <c r="L247"/>
      <c r="M247"/>
      <c r="N247"/>
      <c r="O247"/>
      <c r="P247"/>
    </row>
    <row r="248" spans="1:16">
      <c r="A248"/>
      <c r="B248"/>
      <c r="C248"/>
      <c r="D248"/>
      <c r="E248"/>
      <c r="F248"/>
      <c r="G248"/>
      <c r="H248"/>
      <c r="I248"/>
      <c r="J248"/>
      <c r="K248"/>
      <c r="L248"/>
      <c r="M248"/>
      <c r="N248"/>
      <c r="O248"/>
      <c r="P248"/>
    </row>
    <row r="249" spans="1:16">
      <c r="A249"/>
      <c r="B249"/>
      <c r="C249"/>
      <c r="D249"/>
      <c r="E249"/>
      <c r="F249"/>
      <c r="G249"/>
      <c r="H249"/>
      <c r="I249"/>
      <c r="J249"/>
      <c r="K249"/>
      <c r="L249"/>
      <c r="M249"/>
      <c r="N249"/>
      <c r="O249"/>
      <c r="P249"/>
    </row>
    <row r="250" spans="1:16">
      <c r="A250"/>
      <c r="B250"/>
      <c r="C250"/>
      <c r="D250"/>
      <c r="E250"/>
      <c r="F250"/>
      <c r="G250"/>
      <c r="H250"/>
      <c r="I250"/>
      <c r="J250"/>
      <c r="K250"/>
      <c r="L250"/>
      <c r="M250"/>
      <c r="N250"/>
      <c r="O250"/>
      <c r="P250"/>
    </row>
    <row r="251" spans="1:16">
      <c r="A251"/>
      <c r="B251"/>
      <c r="C251"/>
      <c r="D251"/>
      <c r="E251"/>
      <c r="F251"/>
      <c r="G251"/>
      <c r="H251"/>
      <c r="I251"/>
      <c r="J251"/>
      <c r="K251"/>
      <c r="L251"/>
      <c r="M251"/>
      <c r="N251"/>
      <c r="O251"/>
      <c r="P251"/>
    </row>
    <row r="252" spans="1:16">
      <c r="A252"/>
      <c r="B252"/>
      <c r="C252"/>
      <c r="D252"/>
      <c r="E252"/>
      <c r="F252"/>
      <c r="G252"/>
      <c r="H252"/>
      <c r="I252"/>
      <c r="J252"/>
      <c r="K252"/>
      <c r="L252"/>
      <c r="M252"/>
      <c r="N252"/>
      <c r="O252"/>
      <c r="P252"/>
    </row>
    <row r="253" spans="1:16">
      <c r="A253"/>
      <c r="B253"/>
      <c r="C253"/>
      <c r="D253"/>
      <c r="E253"/>
      <c r="F253"/>
      <c r="G253"/>
      <c r="H253"/>
      <c r="I253"/>
      <c r="J253"/>
      <c r="K253"/>
      <c r="L253"/>
      <c r="M253"/>
      <c r="N253"/>
      <c r="O253"/>
      <c r="P253"/>
    </row>
    <row r="254" spans="1:16">
      <c r="A254"/>
      <c r="B254"/>
      <c r="C254"/>
      <c r="D254"/>
      <c r="E254"/>
      <c r="F254"/>
      <c r="G254"/>
      <c r="H254"/>
      <c r="I254"/>
      <c r="J254"/>
      <c r="K254"/>
      <c r="L254"/>
      <c r="M254"/>
      <c r="N254"/>
      <c r="O254"/>
      <c r="P254"/>
    </row>
    <row r="255" spans="1:16">
      <c r="A255"/>
      <c r="B255"/>
      <c r="C255"/>
      <c r="D255"/>
      <c r="E255"/>
      <c r="F255"/>
      <c r="G255"/>
      <c r="H255"/>
      <c r="I255"/>
      <c r="J255"/>
      <c r="K255"/>
      <c r="L255"/>
      <c r="M255"/>
      <c r="N255"/>
      <c r="O255"/>
      <c r="P255"/>
    </row>
    <row r="256" spans="1:16">
      <c r="A256"/>
      <c r="B256"/>
      <c r="C256"/>
      <c r="D256"/>
      <c r="E256"/>
      <c r="F256"/>
      <c r="G256"/>
      <c r="H256"/>
      <c r="I256"/>
      <c r="J256"/>
      <c r="K256"/>
      <c r="L256"/>
      <c r="M256"/>
      <c r="N256"/>
      <c r="O256"/>
      <c r="P256"/>
    </row>
    <row r="257" spans="1:16">
      <c r="A257"/>
      <c r="B257"/>
      <c r="C257"/>
      <c r="D257"/>
      <c r="E257"/>
      <c r="F257"/>
      <c r="G257"/>
      <c r="H257"/>
      <c r="I257"/>
      <c r="J257"/>
      <c r="K257"/>
      <c r="L257"/>
      <c r="M257"/>
      <c r="N257"/>
      <c r="O257"/>
      <c r="P257"/>
    </row>
    <row r="258" spans="1:16">
      <c r="A258"/>
      <c r="B258"/>
      <c r="C258"/>
      <c r="D258"/>
      <c r="E258"/>
      <c r="F258"/>
      <c r="G258"/>
      <c r="H258"/>
      <c r="I258"/>
      <c r="J258"/>
      <c r="K258"/>
      <c r="L258"/>
      <c r="M258"/>
      <c r="N258"/>
      <c r="O258"/>
      <c r="P258"/>
    </row>
    <row r="259" spans="1:16">
      <c r="A259"/>
      <c r="B259"/>
      <c r="C259"/>
      <c r="D259"/>
      <c r="E259"/>
      <c r="F259"/>
      <c r="G259"/>
      <c r="H259"/>
      <c r="I259"/>
      <c r="J259"/>
      <c r="K259"/>
      <c r="L259"/>
      <c r="M259"/>
      <c r="N259"/>
      <c r="O259"/>
      <c r="P259"/>
    </row>
    <row r="260" spans="1:16">
      <c r="A260"/>
      <c r="B260"/>
      <c r="C260"/>
      <c r="D260"/>
      <c r="E260"/>
      <c r="F260"/>
      <c r="G260"/>
      <c r="H260"/>
      <c r="I260"/>
      <c r="J260"/>
      <c r="K260"/>
      <c r="L260"/>
      <c r="M260"/>
      <c r="N260"/>
      <c r="O260"/>
      <c r="P260"/>
    </row>
    <row r="261" spans="1:16">
      <c r="A261"/>
      <c r="B261"/>
      <c r="C261"/>
      <c r="D261"/>
      <c r="E261"/>
      <c r="F261"/>
      <c r="G261"/>
      <c r="H261"/>
      <c r="I261"/>
      <c r="J261"/>
      <c r="K261"/>
      <c r="L261"/>
      <c r="M261"/>
      <c r="N261"/>
      <c r="O261"/>
      <c r="P261"/>
    </row>
    <row r="262" spans="1:16">
      <c r="A262"/>
      <c r="B262"/>
      <c r="C262"/>
      <c r="D262"/>
      <c r="E262"/>
      <c r="F262"/>
      <c r="G262"/>
      <c r="H262"/>
      <c r="I262"/>
      <c r="J262"/>
      <c r="K262"/>
      <c r="L262"/>
      <c r="M262"/>
      <c r="N262"/>
      <c r="O262"/>
      <c r="P262"/>
    </row>
    <row r="263" spans="1:16">
      <c r="A263"/>
      <c r="B263"/>
      <c r="C263"/>
      <c r="D263"/>
      <c r="E263"/>
      <c r="F263"/>
      <c r="G263"/>
      <c r="H263"/>
      <c r="I263"/>
      <c r="J263"/>
      <c r="K263"/>
      <c r="L263"/>
      <c r="M263"/>
      <c r="N263"/>
      <c r="O263"/>
      <c r="P263"/>
    </row>
    <row r="264" spans="1:16">
      <c r="A264"/>
      <c r="B264"/>
      <c r="C264"/>
      <c r="D264"/>
      <c r="E264"/>
      <c r="F264"/>
      <c r="G264"/>
      <c r="H264"/>
      <c r="I264"/>
      <c r="J264"/>
      <c r="K264"/>
      <c r="L264"/>
      <c r="M264"/>
      <c r="N264"/>
      <c r="O264"/>
      <c r="P264"/>
    </row>
    <row r="265" spans="1:16">
      <c r="A265"/>
      <c r="B265"/>
      <c r="C265"/>
      <c r="D265"/>
      <c r="E265"/>
      <c r="F265"/>
      <c r="G265"/>
      <c r="H265"/>
      <c r="I265"/>
      <c r="J265"/>
      <c r="K265"/>
      <c r="L265"/>
      <c r="M265"/>
      <c r="N265"/>
      <c r="O265"/>
      <c r="P265"/>
    </row>
    <row r="266" spans="1:16">
      <c r="A266"/>
      <c r="B266"/>
      <c r="C266"/>
      <c r="D266"/>
      <c r="E266"/>
      <c r="F266"/>
      <c r="G266"/>
      <c r="H266"/>
      <c r="I266"/>
      <c r="J266"/>
      <c r="K266"/>
      <c r="L266"/>
      <c r="M266"/>
      <c r="N266"/>
      <c r="O266"/>
      <c r="P266"/>
    </row>
    <row r="267" spans="1:16">
      <c r="A267"/>
      <c r="B267"/>
      <c r="C267"/>
      <c r="D267"/>
      <c r="E267"/>
      <c r="F267"/>
      <c r="G267"/>
      <c r="H267"/>
      <c r="I267"/>
      <c r="J267"/>
      <c r="K267"/>
      <c r="L267"/>
      <c r="M267"/>
      <c r="N267"/>
      <c r="O267"/>
      <c r="P267"/>
    </row>
    <row r="268" spans="1:16">
      <c r="A268"/>
      <c r="B268"/>
      <c r="C268"/>
      <c r="D268"/>
      <c r="E268"/>
      <c r="F268"/>
      <c r="G268"/>
      <c r="H268"/>
      <c r="I268"/>
      <c r="J268"/>
      <c r="K268"/>
      <c r="L268"/>
      <c r="M268"/>
      <c r="N268"/>
      <c r="O268"/>
      <c r="P268"/>
    </row>
    <row r="269" spans="1:16">
      <c r="A269"/>
      <c r="B269"/>
      <c r="C269"/>
      <c r="D269"/>
      <c r="E269"/>
      <c r="F269"/>
      <c r="G269"/>
      <c r="H269"/>
      <c r="I269"/>
      <c r="J269"/>
      <c r="K269"/>
      <c r="L269"/>
      <c r="M269"/>
      <c r="N269"/>
      <c r="O269"/>
      <c r="P269"/>
    </row>
    <row r="270" spans="1:16">
      <c r="A270"/>
      <c r="B270"/>
      <c r="C270"/>
      <c r="D270"/>
      <c r="E270"/>
      <c r="F270"/>
      <c r="G270"/>
      <c r="H270"/>
      <c r="I270"/>
      <c r="J270"/>
      <c r="K270"/>
      <c r="L270"/>
      <c r="M270"/>
      <c r="N270"/>
      <c r="O270"/>
      <c r="P270"/>
    </row>
    <row r="271" spans="1:16">
      <c r="A271"/>
      <c r="B271"/>
      <c r="C271"/>
      <c r="D271"/>
      <c r="E271"/>
      <c r="F271"/>
      <c r="G271"/>
      <c r="H271"/>
      <c r="I271"/>
      <c r="J271"/>
      <c r="K271"/>
      <c r="L271"/>
      <c r="M271"/>
      <c r="N271"/>
      <c r="O271"/>
      <c r="P271"/>
    </row>
    <row r="272" spans="1:16">
      <c r="A272"/>
      <c r="B272"/>
      <c r="C272"/>
      <c r="D272"/>
      <c r="E272"/>
      <c r="F272"/>
      <c r="G272"/>
      <c r="H272"/>
      <c r="I272"/>
      <c r="J272"/>
      <c r="K272"/>
      <c r="L272"/>
      <c r="M272"/>
      <c r="N272"/>
      <c r="O272"/>
      <c r="P272"/>
    </row>
    <row r="273" spans="1:16">
      <c r="A273"/>
      <c r="B273"/>
      <c r="C273"/>
      <c r="D273"/>
      <c r="E273"/>
      <c r="F273"/>
      <c r="G273"/>
      <c r="H273"/>
      <c r="I273"/>
      <c r="J273"/>
      <c r="K273"/>
      <c r="L273"/>
      <c r="M273"/>
      <c r="N273"/>
      <c r="O273"/>
      <c r="P273"/>
    </row>
    <row r="274" spans="1:16">
      <c r="A274"/>
      <c r="B274"/>
      <c r="C274"/>
      <c r="D274"/>
      <c r="E274"/>
      <c r="F274"/>
      <c r="G274"/>
      <c r="H274"/>
      <c r="I274"/>
      <c r="J274"/>
      <c r="K274"/>
      <c r="L274"/>
      <c r="M274"/>
      <c r="N274"/>
      <c r="O274"/>
      <c r="P274"/>
    </row>
    <row r="275" spans="1:16">
      <c r="A275"/>
      <c r="B275"/>
      <c r="C275"/>
      <c r="D275"/>
      <c r="E275"/>
      <c r="F275"/>
      <c r="G275"/>
      <c r="H275"/>
      <c r="I275"/>
      <c r="J275"/>
      <c r="K275"/>
      <c r="L275"/>
      <c r="M275"/>
      <c r="N275"/>
      <c r="O275"/>
      <c r="P275"/>
    </row>
    <row r="276" spans="1:16">
      <c r="A276"/>
      <c r="B276"/>
      <c r="C276"/>
      <c r="D276"/>
      <c r="E276"/>
      <c r="F276"/>
      <c r="G276"/>
      <c r="H276"/>
      <c r="I276"/>
      <c r="J276"/>
      <c r="K276"/>
      <c r="L276"/>
      <c r="M276"/>
      <c r="N276"/>
      <c r="O276"/>
      <c r="P276"/>
    </row>
    <row r="277" spans="1:16">
      <c r="A277"/>
      <c r="B277"/>
      <c r="C277"/>
      <c r="D277"/>
      <c r="E277"/>
      <c r="F277"/>
      <c r="G277"/>
      <c r="H277"/>
      <c r="I277"/>
      <c r="J277"/>
      <c r="K277"/>
      <c r="L277"/>
      <c r="M277"/>
      <c r="N277"/>
      <c r="O277"/>
      <c r="P277"/>
    </row>
    <row r="278" spans="1:16">
      <c r="A278"/>
      <c r="B278"/>
      <c r="C278"/>
      <c r="D278"/>
      <c r="E278"/>
      <c r="F278"/>
      <c r="G278"/>
      <c r="H278"/>
      <c r="I278"/>
      <c r="J278"/>
      <c r="K278"/>
      <c r="L278"/>
      <c r="M278"/>
      <c r="N278"/>
      <c r="O278"/>
      <c r="P278"/>
    </row>
    <row r="279" spans="1:16">
      <c r="A279"/>
      <c r="B279"/>
      <c r="C279"/>
      <c r="D279"/>
      <c r="E279"/>
      <c r="F279"/>
      <c r="G279"/>
      <c r="H279"/>
      <c r="I279"/>
      <c r="J279"/>
      <c r="K279"/>
      <c r="L279"/>
      <c r="M279"/>
      <c r="N279"/>
      <c r="O279"/>
      <c r="P279"/>
    </row>
    <row r="280" spans="1:16">
      <c r="A280"/>
      <c r="B280"/>
      <c r="C280"/>
      <c r="D280"/>
      <c r="E280"/>
      <c r="F280"/>
      <c r="G280"/>
      <c r="H280"/>
      <c r="I280"/>
      <c r="J280"/>
      <c r="K280"/>
      <c r="L280"/>
      <c r="M280"/>
      <c r="N280"/>
      <c r="O280"/>
      <c r="P280"/>
    </row>
    <row r="281" spans="1:16">
      <c r="A281"/>
      <c r="B281"/>
      <c r="C281"/>
      <c r="D281"/>
      <c r="E281"/>
      <c r="F281"/>
      <c r="G281"/>
      <c r="H281"/>
      <c r="I281"/>
      <c r="J281"/>
      <c r="K281"/>
      <c r="L281"/>
      <c r="M281"/>
      <c r="N281"/>
      <c r="O281"/>
      <c r="P281"/>
    </row>
    <row r="282" spans="1:16">
      <c r="A282"/>
      <c r="B282"/>
      <c r="C282"/>
      <c r="D282"/>
      <c r="E282"/>
      <c r="F282"/>
      <c r="G282"/>
      <c r="H282"/>
      <c r="I282"/>
      <c r="J282"/>
      <c r="K282"/>
      <c r="L282"/>
      <c r="M282"/>
      <c r="N282"/>
      <c r="O282"/>
      <c r="P282"/>
    </row>
    <row r="283" spans="1:16">
      <c r="A283"/>
      <c r="B283"/>
      <c r="C283"/>
      <c r="D283"/>
      <c r="E283"/>
      <c r="F283"/>
      <c r="G283"/>
      <c r="H283"/>
      <c r="I283"/>
      <c r="J283"/>
      <c r="K283"/>
      <c r="L283"/>
      <c r="M283"/>
      <c r="N283"/>
      <c r="O283"/>
      <c r="P283"/>
    </row>
    <row r="284" spans="1:16">
      <c r="A284"/>
      <c r="B284"/>
      <c r="C284"/>
      <c r="D284"/>
      <c r="E284"/>
      <c r="F284"/>
      <c r="G284"/>
      <c r="H284"/>
      <c r="I284"/>
      <c r="J284"/>
      <c r="K284"/>
      <c r="L284"/>
      <c r="M284"/>
      <c r="N284"/>
      <c r="O284"/>
      <c r="P284"/>
    </row>
    <row r="285" spans="1:16">
      <c r="A285"/>
      <c r="B285"/>
      <c r="C285"/>
      <c r="D285"/>
      <c r="E285"/>
      <c r="F285"/>
      <c r="G285"/>
      <c r="H285"/>
      <c r="I285"/>
      <c r="J285"/>
      <c r="K285"/>
      <c r="L285"/>
      <c r="M285"/>
      <c r="N285"/>
      <c r="O285"/>
      <c r="P285"/>
    </row>
    <row r="286" spans="1:16">
      <c r="A286"/>
      <c r="B286"/>
      <c r="C286"/>
      <c r="D286"/>
      <c r="E286"/>
      <c r="F286"/>
      <c r="G286"/>
      <c r="H286"/>
      <c r="I286"/>
      <c r="J286"/>
      <c r="K286"/>
      <c r="L286"/>
      <c r="M286"/>
      <c r="N286"/>
      <c r="O286"/>
      <c r="P286"/>
    </row>
    <row r="287" spans="1:16">
      <c r="A287"/>
      <c r="B287"/>
      <c r="C287"/>
      <c r="D287"/>
      <c r="E287"/>
      <c r="F287"/>
      <c r="G287"/>
      <c r="H287"/>
      <c r="I287"/>
      <c r="J287"/>
      <c r="K287"/>
      <c r="L287"/>
      <c r="M287"/>
      <c r="N287"/>
      <c r="O287"/>
      <c r="P287"/>
    </row>
    <row r="288" spans="1:16">
      <c r="A288"/>
      <c r="B288"/>
      <c r="C288"/>
      <c r="D288"/>
      <c r="E288"/>
      <c r="F288"/>
      <c r="G288"/>
      <c r="H288"/>
      <c r="I288"/>
      <c r="J288"/>
      <c r="K288"/>
      <c r="L288"/>
      <c r="M288"/>
      <c r="N288"/>
      <c r="O288"/>
      <c r="P288"/>
    </row>
    <row r="289" spans="1:16">
      <c r="A289"/>
      <c r="B289"/>
      <c r="C289"/>
      <c r="D289"/>
      <c r="E289"/>
      <c r="F289"/>
      <c r="G289"/>
      <c r="H289"/>
      <c r="I289"/>
      <c r="J289"/>
      <c r="K289"/>
      <c r="L289"/>
      <c r="M289"/>
      <c r="N289"/>
      <c r="O289"/>
      <c r="P289"/>
    </row>
    <row r="290" spans="1:16">
      <c r="A290"/>
      <c r="B290"/>
      <c r="C290"/>
      <c r="D290"/>
      <c r="E290"/>
      <c r="F290"/>
      <c r="G290"/>
      <c r="H290"/>
      <c r="I290"/>
      <c r="J290"/>
      <c r="K290"/>
      <c r="L290"/>
      <c r="M290"/>
      <c r="N290"/>
      <c r="O290"/>
      <c r="P290"/>
    </row>
    <row r="291" spans="1:16">
      <c r="A291"/>
      <c r="B291"/>
      <c r="C291"/>
      <c r="D291"/>
      <c r="E291"/>
      <c r="F291"/>
      <c r="G291"/>
      <c r="H291"/>
      <c r="I291"/>
      <c r="J291"/>
      <c r="K291"/>
      <c r="L291"/>
      <c r="M291"/>
      <c r="N291"/>
      <c r="O291"/>
      <c r="P291"/>
    </row>
    <row r="292" spans="1:16">
      <c r="A292"/>
      <c r="B292"/>
      <c r="C292"/>
      <c r="D292"/>
      <c r="E292"/>
      <c r="F292"/>
      <c r="G292"/>
      <c r="H292"/>
      <c r="I292"/>
      <c r="J292"/>
      <c r="K292"/>
      <c r="L292"/>
      <c r="M292"/>
      <c r="N292"/>
      <c r="O292"/>
      <c r="P292"/>
    </row>
    <row r="293" spans="1:16">
      <c r="A293"/>
      <c r="B293"/>
      <c r="C293"/>
      <c r="D293"/>
      <c r="E293"/>
      <c r="F293"/>
      <c r="G293"/>
      <c r="H293"/>
      <c r="I293"/>
      <c r="J293"/>
      <c r="K293"/>
      <c r="L293"/>
      <c r="M293"/>
      <c r="N293"/>
      <c r="O293"/>
      <c r="P293"/>
    </row>
    <row r="294" spans="1:16">
      <c r="A294"/>
      <c r="B294"/>
      <c r="C294"/>
      <c r="D294"/>
      <c r="E294"/>
      <c r="F294"/>
      <c r="G294"/>
      <c r="H294"/>
      <c r="I294"/>
      <c r="J294"/>
      <c r="K294"/>
      <c r="L294"/>
      <c r="M294"/>
      <c r="N294"/>
      <c r="O294"/>
      <c r="P294"/>
    </row>
    <row r="295" spans="1:16">
      <c r="A295"/>
      <c r="B295"/>
      <c r="C295"/>
      <c r="D295"/>
      <c r="E295"/>
      <c r="F295"/>
      <c r="G295"/>
      <c r="H295"/>
      <c r="I295"/>
      <c r="J295"/>
      <c r="K295"/>
      <c r="L295"/>
      <c r="M295"/>
      <c r="N295"/>
      <c r="O295"/>
      <c r="P295"/>
    </row>
    <row r="296" spans="1:16">
      <c r="A296"/>
      <c r="B296"/>
      <c r="C296"/>
      <c r="D296"/>
      <c r="E296"/>
      <c r="F296"/>
      <c r="G296"/>
      <c r="H296"/>
      <c r="I296"/>
      <c r="J296"/>
      <c r="K296"/>
      <c r="L296"/>
      <c r="M296"/>
      <c r="N296"/>
      <c r="O296"/>
      <c r="P296"/>
    </row>
    <row r="297" spans="1:16">
      <c r="A297"/>
      <c r="B297"/>
      <c r="C297"/>
      <c r="D297"/>
      <c r="E297"/>
      <c r="F297"/>
      <c r="G297"/>
      <c r="H297"/>
      <c r="I297"/>
      <c r="J297"/>
      <c r="K297"/>
      <c r="L297"/>
      <c r="M297"/>
      <c r="N297"/>
      <c r="O297"/>
      <c r="P297"/>
    </row>
    <row r="298" spans="1:16">
      <c r="A298"/>
      <c r="B298"/>
      <c r="C298"/>
      <c r="D298"/>
      <c r="E298"/>
      <c r="F298"/>
      <c r="G298"/>
      <c r="H298"/>
      <c r="I298"/>
      <c r="J298"/>
      <c r="K298"/>
      <c r="L298"/>
      <c r="M298"/>
      <c r="N298"/>
      <c r="O298"/>
      <c r="P298"/>
    </row>
    <row r="299" spans="1:16">
      <c r="A299"/>
      <c r="B299"/>
      <c r="C299"/>
      <c r="D299"/>
      <c r="E299"/>
      <c r="F299"/>
      <c r="G299"/>
      <c r="H299"/>
      <c r="I299"/>
      <c r="J299"/>
      <c r="K299"/>
      <c r="L299"/>
      <c r="M299"/>
      <c r="N299"/>
      <c r="O299"/>
      <c r="P299"/>
    </row>
    <row r="300" spans="1:16">
      <c r="A300"/>
      <c r="B300"/>
      <c r="C300"/>
      <c r="D300"/>
      <c r="E300"/>
      <c r="F300"/>
      <c r="G300"/>
      <c r="H300"/>
      <c r="I300"/>
      <c r="J300"/>
      <c r="K300"/>
      <c r="L300"/>
      <c r="M300"/>
      <c r="N300"/>
      <c r="O300"/>
      <c r="P300"/>
    </row>
    <row r="301" spans="1:16">
      <c r="A301"/>
      <c r="B301"/>
      <c r="C301"/>
      <c r="D301"/>
      <c r="E301"/>
      <c r="F301"/>
      <c r="G301"/>
      <c r="H301"/>
      <c r="I301"/>
      <c r="J301"/>
      <c r="K301"/>
      <c r="L301"/>
      <c r="M301"/>
      <c r="N301"/>
      <c r="O301"/>
      <c r="P301"/>
    </row>
    <row r="302" spans="1:16">
      <c r="A302"/>
      <c r="B302"/>
      <c r="C302"/>
      <c r="D302"/>
      <c r="E302"/>
      <c r="F302"/>
      <c r="G302"/>
      <c r="H302"/>
      <c r="I302"/>
      <c r="J302"/>
      <c r="K302"/>
      <c r="L302"/>
      <c r="M302"/>
      <c r="N302"/>
      <c r="O302"/>
      <c r="P302"/>
    </row>
    <row r="303" spans="1:16">
      <c r="A303"/>
      <c r="B303"/>
      <c r="C303"/>
      <c r="D303"/>
      <c r="E303"/>
      <c r="F303"/>
      <c r="G303"/>
      <c r="H303"/>
      <c r="I303"/>
      <c r="J303"/>
      <c r="K303"/>
      <c r="L303"/>
      <c r="M303"/>
      <c r="N303"/>
      <c r="O303"/>
      <c r="P303"/>
    </row>
    <row r="304" spans="1:16">
      <c r="A304"/>
      <c r="B304"/>
      <c r="C304"/>
      <c r="D304"/>
      <c r="E304"/>
      <c r="F304"/>
      <c r="G304"/>
      <c r="H304"/>
      <c r="I304"/>
      <c r="J304"/>
      <c r="K304"/>
      <c r="L304"/>
      <c r="M304"/>
      <c r="N304"/>
      <c r="O304"/>
      <c r="P304"/>
    </row>
    <row r="305" spans="1:16">
      <c r="A305"/>
      <c r="B305"/>
      <c r="C305"/>
      <c r="D305"/>
      <c r="E305"/>
      <c r="F305"/>
      <c r="G305"/>
      <c r="H305"/>
      <c r="I305"/>
      <c r="J305"/>
      <c r="K305"/>
      <c r="L305"/>
      <c r="M305"/>
      <c r="N305"/>
      <c r="O305"/>
      <c r="P305"/>
    </row>
    <row r="306" spans="1:16">
      <c r="A306"/>
      <c r="B306"/>
      <c r="C306"/>
      <c r="D306"/>
      <c r="E306"/>
      <c r="F306"/>
      <c r="G306"/>
      <c r="H306"/>
      <c r="I306"/>
      <c r="J306"/>
      <c r="K306"/>
      <c r="L306"/>
      <c r="M306"/>
      <c r="N306"/>
      <c r="O306"/>
      <c r="P306"/>
    </row>
    <row r="307" spans="1:16">
      <c r="A307"/>
      <c r="B307"/>
      <c r="C307"/>
      <c r="D307"/>
      <c r="E307"/>
      <c r="F307"/>
      <c r="G307"/>
      <c r="H307"/>
      <c r="I307"/>
      <c r="J307"/>
      <c r="K307"/>
      <c r="L307"/>
      <c r="M307"/>
      <c r="N307"/>
      <c r="O307"/>
      <c r="P307"/>
    </row>
    <row r="308" spans="1:16">
      <c r="A308"/>
      <c r="B308"/>
      <c r="C308"/>
      <c r="D308"/>
      <c r="E308"/>
      <c r="F308"/>
      <c r="G308"/>
      <c r="H308"/>
      <c r="I308"/>
      <c r="J308"/>
      <c r="K308"/>
      <c r="L308"/>
      <c r="M308"/>
      <c r="N308"/>
      <c r="O308"/>
      <c r="P308"/>
    </row>
    <row r="309" spans="1:16">
      <c r="A309"/>
      <c r="B309"/>
      <c r="C309"/>
      <c r="D309"/>
      <c r="E309"/>
      <c r="F309"/>
      <c r="G309"/>
      <c r="H309"/>
      <c r="I309"/>
      <c r="J309"/>
      <c r="K309"/>
      <c r="L309"/>
      <c r="M309"/>
      <c r="N309"/>
      <c r="O309"/>
      <c r="P309"/>
    </row>
    <row r="310" spans="1:16">
      <c r="A310"/>
      <c r="B310"/>
      <c r="C310"/>
      <c r="D310"/>
      <c r="E310"/>
      <c r="F310"/>
      <c r="G310"/>
      <c r="H310"/>
      <c r="I310"/>
      <c r="J310"/>
      <c r="K310"/>
      <c r="L310"/>
      <c r="M310"/>
      <c r="N310"/>
      <c r="O310"/>
      <c r="P310"/>
    </row>
    <row r="311" spans="1:16">
      <c r="A311"/>
      <c r="B311"/>
      <c r="C311"/>
      <c r="D311"/>
      <c r="E311"/>
      <c r="F311"/>
      <c r="G311"/>
      <c r="H311"/>
      <c r="I311"/>
      <c r="J311"/>
      <c r="K311"/>
      <c r="L311"/>
      <c r="M311"/>
      <c r="N311"/>
      <c r="O311"/>
      <c r="P311"/>
    </row>
    <row r="312" spans="1:16">
      <c r="A312"/>
      <c r="B312"/>
      <c r="C312"/>
      <c r="D312"/>
      <c r="E312"/>
      <c r="F312"/>
      <c r="G312"/>
      <c r="H312"/>
      <c r="I312"/>
      <c r="J312"/>
      <c r="K312"/>
      <c r="L312"/>
      <c r="M312"/>
      <c r="N312"/>
      <c r="O312"/>
      <c r="P312"/>
    </row>
    <row r="313" spans="1:16">
      <c r="A313"/>
      <c r="B313"/>
      <c r="C313"/>
      <c r="D313"/>
      <c r="E313"/>
      <c r="F313"/>
      <c r="G313"/>
      <c r="H313"/>
      <c r="I313"/>
      <c r="J313"/>
      <c r="K313"/>
      <c r="L313"/>
      <c r="M313"/>
      <c r="N313"/>
      <c r="O313"/>
      <c r="P313"/>
    </row>
    <row r="314" spans="1:16">
      <c r="A314"/>
      <c r="B314"/>
      <c r="C314"/>
      <c r="D314"/>
      <c r="E314"/>
      <c r="F314"/>
      <c r="G314"/>
      <c r="H314"/>
      <c r="I314"/>
      <c r="J314"/>
      <c r="K314"/>
      <c r="L314"/>
      <c r="M314"/>
      <c r="N314"/>
      <c r="O314"/>
      <c r="P314"/>
    </row>
    <row r="315" spans="1:16">
      <c r="A315"/>
      <c r="B315"/>
      <c r="C315"/>
      <c r="D315"/>
      <c r="E315"/>
      <c r="F315"/>
      <c r="G315"/>
      <c r="H315"/>
      <c r="I315"/>
      <c r="J315"/>
      <c r="K315"/>
      <c r="L315"/>
      <c r="M315"/>
      <c r="N315"/>
      <c r="O315"/>
      <c r="P315"/>
    </row>
    <row r="316" spans="1:16">
      <c r="A316"/>
      <c r="B316"/>
      <c r="C316"/>
      <c r="D316"/>
      <c r="E316"/>
      <c r="F316"/>
      <c r="G316"/>
      <c r="H316"/>
      <c r="I316"/>
      <c r="J316"/>
      <c r="K316"/>
      <c r="L316"/>
      <c r="M316"/>
      <c r="N316"/>
      <c r="O316"/>
      <c r="P316"/>
    </row>
    <row r="317" spans="1:16">
      <c r="A317"/>
      <c r="B317"/>
      <c r="C317"/>
      <c r="D317"/>
      <c r="E317"/>
      <c r="F317"/>
      <c r="G317"/>
      <c r="H317"/>
      <c r="I317"/>
      <c r="J317"/>
      <c r="K317"/>
      <c r="L317"/>
      <c r="M317"/>
      <c r="N317"/>
      <c r="O317"/>
      <c r="P317"/>
    </row>
    <row r="318" spans="1:16">
      <c r="A318"/>
      <c r="B318"/>
      <c r="C318"/>
      <c r="D318"/>
      <c r="E318"/>
      <c r="F318"/>
      <c r="G318"/>
      <c r="H318"/>
      <c r="I318"/>
      <c r="J318"/>
      <c r="K318"/>
      <c r="L318"/>
      <c r="M318"/>
      <c r="N318"/>
      <c r="O318"/>
      <c r="P318"/>
    </row>
    <row r="319" spans="1:16">
      <c r="A319"/>
      <c r="B319"/>
      <c r="C319"/>
      <c r="D319"/>
      <c r="E319"/>
      <c r="F319"/>
      <c r="G319"/>
      <c r="H319"/>
      <c r="I319"/>
      <c r="J319"/>
      <c r="K319"/>
      <c r="L319"/>
      <c r="M319"/>
      <c r="N319"/>
      <c r="O319"/>
      <c r="P319"/>
    </row>
    <row r="320" spans="1:16">
      <c r="A320"/>
      <c r="B320"/>
      <c r="C320"/>
      <c r="D320"/>
      <c r="E320"/>
      <c r="F320"/>
      <c r="G320"/>
      <c r="H320"/>
      <c r="I320"/>
      <c r="J320"/>
      <c r="K320"/>
      <c r="L320"/>
      <c r="M320"/>
      <c r="N320"/>
      <c r="O320"/>
      <c r="P320"/>
    </row>
    <row r="321" spans="1:16">
      <c r="A321"/>
      <c r="B321"/>
      <c r="C321"/>
      <c r="D321"/>
      <c r="E321"/>
      <c r="F321"/>
      <c r="G321"/>
      <c r="H321"/>
      <c r="I321"/>
      <c r="J321"/>
      <c r="K321"/>
      <c r="L321"/>
      <c r="M321"/>
      <c r="N321"/>
      <c r="O321"/>
      <c r="P321"/>
    </row>
    <row r="322" spans="1:16">
      <c r="A322"/>
      <c r="B322"/>
      <c r="C322"/>
      <c r="D322"/>
      <c r="E322"/>
      <c r="F322"/>
      <c r="G322"/>
      <c r="H322"/>
      <c r="I322"/>
      <c r="J322"/>
      <c r="K322"/>
      <c r="L322"/>
      <c r="M322"/>
      <c r="N322"/>
      <c r="O322"/>
      <c r="P322"/>
    </row>
    <row r="323" spans="1:16">
      <c r="A323"/>
      <c r="B323"/>
      <c r="C323"/>
      <c r="D323"/>
      <c r="E323"/>
      <c r="F323"/>
      <c r="G323"/>
      <c r="H323"/>
      <c r="I323"/>
      <c r="J323"/>
      <c r="K323"/>
      <c r="L323"/>
      <c r="M323"/>
      <c r="N323"/>
      <c r="O323"/>
      <c r="P323"/>
    </row>
    <row r="324" spans="1:16">
      <c r="A324"/>
      <c r="B324"/>
      <c r="C324"/>
      <c r="D324"/>
      <c r="E324"/>
      <c r="F324"/>
      <c r="G324"/>
      <c r="H324"/>
      <c r="I324"/>
      <c r="J324"/>
      <c r="K324"/>
      <c r="L324"/>
      <c r="M324"/>
      <c r="N324"/>
      <c r="O324"/>
      <c r="P324"/>
    </row>
    <row r="325" spans="1:16">
      <c r="A325"/>
      <c r="B325"/>
      <c r="C325"/>
      <c r="D325"/>
      <c r="E325"/>
      <c r="F325"/>
      <c r="G325"/>
      <c r="H325"/>
      <c r="I325"/>
      <c r="J325"/>
      <c r="K325"/>
      <c r="L325"/>
      <c r="M325"/>
      <c r="N325"/>
      <c r="O325"/>
      <c r="P325"/>
    </row>
    <row r="326" spans="1:16">
      <c r="A326"/>
      <c r="B326"/>
      <c r="C326"/>
      <c r="D326"/>
      <c r="E326"/>
      <c r="F326"/>
      <c r="G326"/>
      <c r="H326"/>
      <c r="I326"/>
      <c r="J326"/>
      <c r="K326"/>
      <c r="L326"/>
      <c r="M326"/>
      <c r="N326"/>
      <c r="O326"/>
      <c r="P326"/>
    </row>
    <row r="327" spans="1:16">
      <c r="A327"/>
      <c r="B327"/>
      <c r="C327"/>
      <c r="D327"/>
      <c r="E327"/>
      <c r="F327"/>
      <c r="G327"/>
      <c r="H327"/>
      <c r="I327"/>
      <c r="J327"/>
      <c r="K327"/>
      <c r="L327"/>
      <c r="M327"/>
      <c r="N327"/>
      <c r="O327"/>
      <c r="P327"/>
    </row>
    <row r="328" spans="1:16">
      <c r="A328"/>
      <c r="B328"/>
      <c r="C328"/>
      <c r="D328"/>
      <c r="E328"/>
      <c r="F328"/>
      <c r="G328"/>
      <c r="H328"/>
      <c r="I328"/>
      <c r="J328"/>
      <c r="K328"/>
      <c r="L328"/>
      <c r="M328"/>
      <c r="N328"/>
      <c r="O328"/>
      <c r="P328"/>
    </row>
    <row r="329" spans="1:16">
      <c r="A329"/>
      <c r="B329"/>
      <c r="C329"/>
      <c r="D329"/>
      <c r="E329"/>
      <c r="F329"/>
      <c r="G329"/>
      <c r="H329"/>
      <c r="I329"/>
      <c r="J329"/>
      <c r="K329"/>
      <c r="L329"/>
      <c r="M329"/>
      <c r="N329"/>
      <c r="O329"/>
      <c r="P329"/>
    </row>
    <row r="330" spans="1:16">
      <c r="A330"/>
      <c r="B330"/>
      <c r="C330"/>
      <c r="D330"/>
      <c r="E330"/>
      <c r="F330"/>
      <c r="G330"/>
      <c r="H330"/>
      <c r="I330"/>
      <c r="J330"/>
      <c r="K330"/>
      <c r="L330"/>
      <c r="M330"/>
      <c r="N330"/>
      <c r="O330"/>
      <c r="P330"/>
    </row>
    <row r="331" spans="1:16">
      <c r="A331"/>
      <c r="B331"/>
      <c r="C331"/>
      <c r="D331"/>
      <c r="E331"/>
      <c r="F331"/>
      <c r="G331"/>
      <c r="H331"/>
      <c r="I331"/>
      <c r="J331"/>
      <c r="K331"/>
      <c r="L331"/>
      <c r="M331"/>
      <c r="N331"/>
      <c r="O331"/>
      <c r="P331"/>
    </row>
    <row r="332" spans="1:16">
      <c r="A332"/>
      <c r="B332"/>
      <c r="C332"/>
      <c r="D332"/>
      <c r="E332"/>
      <c r="F332"/>
      <c r="G332"/>
      <c r="H332"/>
      <c r="I332"/>
      <c r="J332"/>
      <c r="K332"/>
      <c r="L332"/>
      <c r="M332"/>
      <c r="N332"/>
      <c r="O332"/>
      <c r="P332"/>
    </row>
    <row r="333" spans="1:16">
      <c r="A333"/>
      <c r="B333"/>
      <c r="C333"/>
      <c r="D333"/>
      <c r="E333"/>
      <c r="F333"/>
      <c r="G333"/>
      <c r="H333"/>
      <c r="I333"/>
      <c r="J333"/>
      <c r="K333"/>
      <c r="L333"/>
      <c r="M333"/>
      <c r="N333"/>
      <c r="O333"/>
      <c r="P333"/>
    </row>
    <row r="334" spans="1:16">
      <c r="A334"/>
      <c r="B334"/>
      <c r="C334"/>
      <c r="D334"/>
      <c r="E334"/>
      <c r="F334"/>
      <c r="G334"/>
      <c r="H334"/>
      <c r="I334"/>
      <c r="J334"/>
      <c r="K334"/>
      <c r="L334"/>
      <c r="M334"/>
      <c r="N334"/>
      <c r="O334"/>
      <c r="P334"/>
    </row>
    <row r="335" spans="1:16">
      <c r="A335"/>
      <c r="B335"/>
      <c r="C335"/>
      <c r="D335"/>
      <c r="E335"/>
      <c r="F335"/>
      <c r="G335"/>
      <c r="H335"/>
      <c r="I335"/>
      <c r="J335"/>
      <c r="K335"/>
      <c r="L335"/>
      <c r="M335"/>
      <c r="N335"/>
      <c r="O335"/>
      <c r="P335"/>
    </row>
    <row r="336" spans="1:16">
      <c r="A336"/>
      <c r="B336"/>
      <c r="C336"/>
      <c r="D336"/>
      <c r="E336"/>
      <c r="F336"/>
      <c r="G336"/>
      <c r="H336"/>
      <c r="I336"/>
      <c r="J336"/>
      <c r="K336"/>
      <c r="L336"/>
      <c r="M336"/>
      <c r="N336"/>
      <c r="O336"/>
      <c r="P336"/>
    </row>
    <row r="337" spans="1:16">
      <c r="A337"/>
      <c r="B337"/>
      <c r="C337"/>
      <c r="D337"/>
      <c r="E337"/>
      <c r="F337"/>
      <c r="G337"/>
      <c r="H337"/>
      <c r="I337"/>
      <c r="J337"/>
      <c r="K337"/>
      <c r="L337"/>
      <c r="M337"/>
      <c r="N337"/>
      <c r="O337"/>
      <c r="P337"/>
    </row>
    <row r="338" spans="1:16">
      <c r="A338"/>
      <c r="B338"/>
      <c r="C338"/>
      <c r="D338"/>
      <c r="E338"/>
      <c r="F338"/>
      <c r="G338"/>
      <c r="H338"/>
      <c r="I338"/>
      <c r="J338"/>
      <c r="K338"/>
      <c r="L338"/>
      <c r="M338"/>
      <c r="N338"/>
      <c r="O338"/>
      <c r="P338"/>
    </row>
    <row r="339" spans="1:16">
      <c r="A339"/>
      <c r="B339"/>
      <c r="C339"/>
      <c r="D339"/>
      <c r="E339"/>
      <c r="F339"/>
      <c r="G339"/>
      <c r="H339"/>
      <c r="I339"/>
      <c r="J339"/>
      <c r="K339"/>
      <c r="L339"/>
      <c r="M339"/>
      <c r="N339"/>
      <c r="O339"/>
      <c r="P339"/>
    </row>
    <row r="340" spans="1:16">
      <c r="A340"/>
      <c r="B340"/>
      <c r="C340"/>
      <c r="D340"/>
      <c r="E340"/>
      <c r="F340"/>
      <c r="G340"/>
      <c r="H340"/>
      <c r="I340"/>
      <c r="J340"/>
      <c r="K340"/>
      <c r="L340"/>
      <c r="M340"/>
      <c r="N340"/>
      <c r="O340"/>
      <c r="P340"/>
    </row>
    <row r="341" spans="1:16">
      <c r="A341"/>
      <c r="B341"/>
      <c r="C341"/>
      <c r="D341"/>
      <c r="E341"/>
      <c r="F341"/>
      <c r="G341"/>
      <c r="H341"/>
      <c r="I341"/>
      <c r="J341"/>
      <c r="K341"/>
      <c r="L341"/>
      <c r="M341"/>
      <c r="N341"/>
      <c r="O341"/>
      <c r="P341"/>
    </row>
    <row r="342" spans="1:16">
      <c r="A342"/>
      <c r="B342"/>
      <c r="C342"/>
      <c r="D342"/>
      <c r="E342"/>
      <c r="F342"/>
      <c r="G342"/>
      <c r="H342"/>
      <c r="I342"/>
      <c r="J342"/>
      <c r="K342"/>
      <c r="L342"/>
      <c r="M342"/>
      <c r="N342"/>
      <c r="O342"/>
      <c r="P342"/>
    </row>
    <row r="343" spans="1:16">
      <c r="A343"/>
      <c r="B343"/>
      <c r="C343"/>
      <c r="D343"/>
      <c r="E343"/>
      <c r="F343"/>
      <c r="G343"/>
      <c r="H343"/>
      <c r="I343"/>
      <c r="J343"/>
      <c r="K343"/>
      <c r="L343"/>
      <c r="M343"/>
      <c r="N343"/>
      <c r="O343"/>
      <c r="P343"/>
    </row>
    <row r="344" spans="1:16">
      <c r="A344"/>
      <c r="B344"/>
      <c r="C344"/>
      <c r="D344"/>
      <c r="E344"/>
      <c r="F344"/>
      <c r="G344"/>
      <c r="H344"/>
      <c r="I344"/>
      <c r="J344"/>
      <c r="K344"/>
      <c r="L344"/>
      <c r="M344"/>
      <c r="N344"/>
      <c r="O344"/>
      <c r="P344"/>
    </row>
    <row r="345" spans="1:16">
      <c r="A345"/>
      <c r="B345"/>
      <c r="C345"/>
      <c r="D345"/>
      <c r="E345"/>
      <c r="F345"/>
      <c r="G345"/>
      <c r="H345"/>
      <c r="I345"/>
      <c r="J345"/>
      <c r="K345"/>
      <c r="L345"/>
      <c r="M345"/>
      <c r="N345"/>
      <c r="O345"/>
      <c r="P345"/>
    </row>
    <row r="346" spans="1:16">
      <c r="A346"/>
      <c r="B346"/>
      <c r="C346"/>
      <c r="D346"/>
      <c r="E346"/>
      <c r="F346"/>
      <c r="G346"/>
      <c r="H346"/>
      <c r="I346"/>
      <c r="J346"/>
      <c r="K346"/>
      <c r="L346"/>
      <c r="M346"/>
      <c r="N346"/>
      <c r="O346"/>
      <c r="P346"/>
    </row>
    <row r="347" spans="1:16">
      <c r="A347"/>
      <c r="B347"/>
      <c r="C347"/>
      <c r="D347"/>
      <c r="E347"/>
      <c r="F347"/>
      <c r="G347"/>
      <c r="H347"/>
      <c r="I347"/>
      <c r="J347"/>
      <c r="K347"/>
      <c r="L347"/>
      <c r="M347"/>
      <c r="N347"/>
      <c r="O347"/>
      <c r="P347"/>
    </row>
    <row r="348" spans="1:16">
      <c r="A348"/>
      <c r="B348"/>
      <c r="C348"/>
      <c r="D348"/>
      <c r="E348"/>
      <c r="F348"/>
      <c r="G348"/>
      <c r="H348"/>
      <c r="I348"/>
      <c r="J348"/>
      <c r="K348"/>
      <c r="L348"/>
      <c r="M348"/>
      <c r="N348"/>
      <c r="O348"/>
      <c r="P348"/>
    </row>
    <row r="349" spans="1:16">
      <c r="A349"/>
      <c r="B349"/>
      <c r="C349"/>
      <c r="D349"/>
      <c r="E349"/>
      <c r="F349"/>
      <c r="G349"/>
      <c r="H349"/>
      <c r="I349"/>
      <c r="J349"/>
      <c r="K349"/>
      <c r="L349"/>
      <c r="M349"/>
      <c r="N349"/>
      <c r="O349"/>
      <c r="P349"/>
    </row>
    <row r="350" spans="1:16">
      <c r="A350"/>
      <c r="B350"/>
      <c r="C350"/>
      <c r="D350"/>
      <c r="E350"/>
      <c r="F350"/>
      <c r="G350"/>
      <c r="H350"/>
      <c r="I350"/>
      <c r="J350"/>
      <c r="K350"/>
      <c r="L350"/>
      <c r="M350"/>
      <c r="N350"/>
      <c r="O350"/>
      <c r="P350"/>
    </row>
    <row r="351" spans="1:16">
      <c r="A351"/>
      <c r="B351"/>
      <c r="C351"/>
      <c r="D351"/>
      <c r="E351"/>
      <c r="F351"/>
      <c r="G351"/>
      <c r="H351"/>
      <c r="I351"/>
      <c r="J351"/>
      <c r="K351"/>
      <c r="L351"/>
      <c r="M351"/>
      <c r="N351"/>
      <c r="O351"/>
      <c r="P351"/>
    </row>
    <row r="352" spans="1:16">
      <c r="A352"/>
      <c r="B352"/>
      <c r="C352"/>
      <c r="D352"/>
      <c r="E352"/>
      <c r="F352"/>
      <c r="G352"/>
      <c r="H352"/>
      <c r="I352"/>
      <c r="J352"/>
      <c r="K352"/>
      <c r="L352"/>
      <c r="M352"/>
      <c r="N352"/>
      <c r="O352"/>
      <c r="P352"/>
    </row>
    <row r="353" spans="1:16">
      <c r="A353"/>
      <c r="B353"/>
      <c r="C353"/>
      <c r="D353"/>
      <c r="E353"/>
      <c r="F353"/>
      <c r="G353"/>
      <c r="H353"/>
      <c r="I353"/>
      <c r="J353"/>
      <c r="K353"/>
      <c r="L353"/>
      <c r="M353"/>
      <c r="N353"/>
      <c r="O353"/>
      <c r="P353"/>
    </row>
    <row r="354" spans="1:16">
      <c r="A354"/>
      <c r="B354"/>
      <c r="C354"/>
      <c r="D354"/>
      <c r="E354"/>
      <c r="F354"/>
      <c r="G354"/>
      <c r="H354"/>
      <c r="I354"/>
      <c r="J354"/>
      <c r="K354"/>
      <c r="L354"/>
      <c r="M354"/>
      <c r="N354"/>
      <c r="O354"/>
      <c r="P354"/>
    </row>
    <row r="355" spans="1:16">
      <c r="A355"/>
      <c r="B355"/>
      <c r="C355"/>
      <c r="D355"/>
      <c r="E355"/>
      <c r="F355"/>
      <c r="G355"/>
      <c r="H355"/>
      <c r="I355"/>
      <c r="J355"/>
      <c r="K355"/>
      <c r="L355"/>
      <c r="M355"/>
      <c r="N355"/>
      <c r="O355"/>
      <c r="P355"/>
    </row>
    <row r="356" spans="1:16">
      <c r="A356"/>
      <c r="B356"/>
      <c r="C356"/>
      <c r="D356"/>
      <c r="E356"/>
      <c r="F356"/>
      <c r="G356"/>
      <c r="H356"/>
      <c r="I356"/>
      <c r="J356"/>
      <c r="K356"/>
      <c r="L356"/>
      <c r="M356"/>
      <c r="N356"/>
      <c r="O356"/>
      <c r="P356"/>
    </row>
    <row r="357" spans="1:16">
      <c r="A357"/>
      <c r="B357"/>
      <c r="C357"/>
      <c r="D357"/>
      <c r="E357"/>
      <c r="F357"/>
      <c r="G357"/>
      <c r="H357"/>
      <c r="I357"/>
      <c r="J357"/>
      <c r="K357"/>
      <c r="L357"/>
      <c r="M357"/>
      <c r="N357"/>
      <c r="O357"/>
      <c r="P357"/>
    </row>
    <row r="358" spans="1:16">
      <c r="A358"/>
      <c r="B358"/>
      <c r="C358"/>
      <c r="D358"/>
      <c r="E358"/>
      <c r="F358"/>
      <c r="G358"/>
      <c r="H358"/>
      <c r="I358"/>
      <c r="J358"/>
      <c r="K358"/>
      <c r="L358"/>
      <c r="M358"/>
      <c r="N358"/>
      <c r="O358"/>
      <c r="P358"/>
    </row>
    <row r="359" spans="1:16">
      <c r="A359"/>
      <c r="B359"/>
      <c r="C359"/>
      <c r="D359"/>
      <c r="E359"/>
      <c r="F359"/>
      <c r="G359"/>
      <c r="H359"/>
      <c r="I359"/>
      <c r="J359"/>
      <c r="K359"/>
      <c r="L359"/>
      <c r="M359"/>
      <c r="N359"/>
      <c r="O359"/>
      <c r="P359"/>
    </row>
    <row r="360" spans="1:16">
      <c r="A360"/>
      <c r="B360"/>
      <c r="C360"/>
      <c r="D360"/>
      <c r="E360"/>
      <c r="F360"/>
      <c r="G360"/>
      <c r="H360"/>
      <c r="I360"/>
      <c r="J360"/>
      <c r="K360"/>
      <c r="L360"/>
      <c r="M360"/>
      <c r="N360"/>
      <c r="O360"/>
      <c r="P360"/>
    </row>
    <row r="361" spans="1:16">
      <c r="A361"/>
      <c r="B361"/>
      <c r="C361"/>
      <c r="D361"/>
      <c r="E361"/>
      <c r="F361"/>
      <c r="G361"/>
      <c r="H361"/>
      <c r="I361"/>
      <c r="J361"/>
      <c r="K361"/>
      <c r="L361"/>
      <c r="M361"/>
      <c r="N361"/>
      <c r="O361"/>
      <c r="P361"/>
    </row>
    <row r="362" spans="1:16">
      <c r="A362"/>
      <c r="B362"/>
      <c r="C362"/>
      <c r="D362"/>
      <c r="E362"/>
      <c r="F362"/>
      <c r="G362"/>
      <c r="H362"/>
      <c r="I362"/>
      <c r="J362"/>
      <c r="K362"/>
      <c r="L362"/>
      <c r="M362"/>
      <c r="N362"/>
      <c r="O362"/>
      <c r="P362"/>
    </row>
    <row r="363" spans="1:16">
      <c r="A363"/>
      <c r="B363"/>
      <c r="C363"/>
      <c r="D363"/>
      <c r="E363"/>
      <c r="F363"/>
      <c r="G363"/>
      <c r="H363"/>
      <c r="I363"/>
      <c r="J363"/>
      <c r="K363"/>
      <c r="L363"/>
      <c r="M363"/>
      <c r="N363"/>
      <c r="O363"/>
      <c r="P363"/>
    </row>
    <row r="364" spans="1:16">
      <c r="A364"/>
      <c r="B364"/>
      <c r="C364"/>
      <c r="D364"/>
      <c r="E364"/>
      <c r="F364"/>
      <c r="G364"/>
      <c r="H364"/>
      <c r="I364"/>
      <c r="J364"/>
      <c r="K364"/>
      <c r="L364"/>
      <c r="M364"/>
      <c r="N364"/>
      <c r="O364"/>
      <c r="P364"/>
    </row>
    <row r="365" spans="1:16">
      <c r="A365"/>
      <c r="B365"/>
      <c r="C365"/>
      <c r="D365"/>
      <c r="E365"/>
      <c r="F365"/>
      <c r="G365"/>
      <c r="H365"/>
      <c r="I365"/>
      <c r="J365"/>
      <c r="K365"/>
      <c r="L365"/>
      <c r="M365"/>
      <c r="N365"/>
      <c r="O365"/>
      <c r="P365"/>
    </row>
    <row r="366" spans="1:16">
      <c r="A366"/>
      <c r="B366"/>
      <c r="C366"/>
      <c r="D366"/>
      <c r="E366"/>
      <c r="F366"/>
      <c r="G366"/>
      <c r="H366"/>
      <c r="I366"/>
      <c r="J366"/>
      <c r="K366"/>
      <c r="L366"/>
      <c r="M366"/>
      <c r="N366"/>
      <c r="O366"/>
      <c r="P366"/>
    </row>
    <row r="367" spans="1:16">
      <c r="A367"/>
      <c r="B367"/>
      <c r="C367"/>
      <c r="D367"/>
      <c r="E367"/>
      <c r="F367"/>
      <c r="G367"/>
      <c r="H367"/>
      <c r="I367"/>
      <c r="J367"/>
      <c r="K367"/>
      <c r="L367"/>
      <c r="M367"/>
      <c r="N367"/>
      <c r="O367"/>
      <c r="P367"/>
    </row>
    <row r="368" spans="1:16">
      <c r="A368"/>
      <c r="B368"/>
      <c r="C368"/>
      <c r="D368"/>
      <c r="E368"/>
      <c r="F368"/>
      <c r="G368"/>
      <c r="H368"/>
      <c r="I368"/>
      <c r="J368"/>
      <c r="K368"/>
      <c r="L368"/>
      <c r="M368"/>
      <c r="N368"/>
      <c r="O368"/>
      <c r="P368"/>
    </row>
    <row r="369" spans="1:16">
      <c r="A369"/>
      <c r="B369"/>
      <c r="C369"/>
      <c r="D369"/>
      <c r="E369"/>
      <c r="F369"/>
      <c r="G369"/>
      <c r="H369"/>
      <c r="I369"/>
      <c r="J369"/>
      <c r="K369"/>
      <c r="L369"/>
      <c r="M369"/>
      <c r="N369"/>
      <c r="O369"/>
      <c r="P369"/>
    </row>
    <row r="370" spans="1:16">
      <c r="A370"/>
      <c r="B370"/>
      <c r="C370"/>
      <c r="D370"/>
      <c r="E370"/>
      <c r="F370"/>
      <c r="G370"/>
      <c r="H370"/>
      <c r="I370"/>
      <c r="J370"/>
      <c r="K370"/>
      <c r="L370"/>
      <c r="M370"/>
      <c r="N370"/>
      <c r="O370"/>
      <c r="P370"/>
    </row>
    <row r="371" spans="1:16">
      <c r="A371"/>
      <c r="B371"/>
      <c r="C371"/>
      <c r="D371"/>
      <c r="E371"/>
      <c r="F371"/>
      <c r="G371"/>
      <c r="H371"/>
      <c r="I371"/>
      <c r="J371"/>
      <c r="K371"/>
      <c r="L371"/>
      <c r="M371"/>
      <c r="N371"/>
      <c r="O371"/>
      <c r="P371"/>
    </row>
    <row r="372" spans="1:16">
      <c r="A372"/>
      <c r="B372"/>
      <c r="C372"/>
      <c r="D372"/>
      <c r="E372"/>
      <c r="F372"/>
      <c r="G372"/>
      <c r="H372"/>
      <c r="I372"/>
      <c r="J372"/>
      <c r="K372"/>
      <c r="L372"/>
      <c r="M372"/>
      <c r="N372"/>
      <c r="O372"/>
      <c r="P372"/>
    </row>
    <row r="373" spans="1:16">
      <c r="A373"/>
      <c r="B373"/>
      <c r="C373"/>
      <c r="D373"/>
      <c r="E373"/>
      <c r="F373"/>
      <c r="G373"/>
      <c r="H373"/>
      <c r="I373"/>
      <c r="J373"/>
      <c r="K373"/>
      <c r="L373"/>
      <c r="M373"/>
      <c r="N373"/>
      <c r="O373"/>
      <c r="P373"/>
    </row>
    <row r="374" spans="1:16">
      <c r="A374"/>
      <c r="B374"/>
      <c r="C374"/>
      <c r="D374"/>
      <c r="E374"/>
      <c r="F374"/>
      <c r="G374"/>
      <c r="H374"/>
      <c r="I374"/>
      <c r="J374"/>
      <c r="K374"/>
      <c r="L374"/>
      <c r="M374"/>
      <c r="N374"/>
      <c r="O374"/>
      <c r="P374"/>
    </row>
    <row r="375" spans="1:16">
      <c r="A375"/>
      <c r="B375"/>
      <c r="C375"/>
      <c r="D375"/>
      <c r="E375"/>
      <c r="F375"/>
      <c r="G375"/>
      <c r="H375"/>
      <c r="I375"/>
      <c r="J375"/>
      <c r="K375"/>
      <c r="L375"/>
      <c r="M375"/>
      <c r="N375"/>
      <c r="O375"/>
      <c r="P375"/>
    </row>
    <row r="376" spans="1:16">
      <c r="A376"/>
      <c r="B376"/>
      <c r="C376"/>
      <c r="D376"/>
      <c r="E376"/>
      <c r="F376"/>
      <c r="G376"/>
      <c r="H376"/>
      <c r="I376"/>
      <c r="J376"/>
      <c r="K376"/>
      <c r="L376"/>
      <c r="M376"/>
      <c r="N376"/>
      <c r="O376"/>
      <c r="P376"/>
    </row>
    <row r="377" spans="1:16">
      <c r="A377"/>
      <c r="B377"/>
      <c r="C377"/>
      <c r="D377"/>
      <c r="E377"/>
      <c r="F377"/>
      <c r="G377"/>
      <c r="H377"/>
      <c r="I377"/>
      <c r="J377"/>
      <c r="K377"/>
      <c r="L377"/>
      <c r="M377"/>
      <c r="N377"/>
      <c r="O377"/>
      <c r="P377"/>
    </row>
    <row r="378" spans="1:16">
      <c r="A378"/>
      <c r="B378"/>
      <c r="C378"/>
      <c r="D378"/>
      <c r="E378"/>
      <c r="F378"/>
      <c r="G378"/>
      <c r="H378"/>
      <c r="I378"/>
      <c r="J378"/>
      <c r="K378"/>
      <c r="L378"/>
      <c r="M378"/>
      <c r="N378"/>
      <c r="O378"/>
      <c r="P378"/>
    </row>
    <row r="379" spans="1:16">
      <c r="A379"/>
      <c r="B379"/>
      <c r="C379"/>
      <c r="D379"/>
      <c r="E379"/>
      <c r="F379"/>
      <c r="G379"/>
      <c r="H379"/>
      <c r="I379"/>
      <c r="J379"/>
      <c r="K379"/>
      <c r="L379"/>
      <c r="M379"/>
      <c r="N379"/>
      <c r="O379"/>
      <c r="P379"/>
    </row>
    <row r="380" spans="1:16">
      <c r="A380"/>
      <c r="B380"/>
      <c r="C380"/>
      <c r="D380"/>
      <c r="E380"/>
      <c r="F380"/>
      <c r="G380"/>
      <c r="H380"/>
      <c r="I380"/>
      <c r="J380"/>
      <c r="K380"/>
      <c r="L380"/>
      <c r="M380"/>
      <c r="N380"/>
      <c r="O380"/>
      <c r="P380"/>
    </row>
    <row r="381" spans="1:16">
      <c r="A381"/>
      <c r="B381"/>
      <c r="C381"/>
      <c r="D381"/>
      <c r="E381"/>
      <c r="F381"/>
      <c r="G381"/>
      <c r="H381"/>
      <c r="I381"/>
      <c r="J381"/>
      <c r="K381"/>
      <c r="L381"/>
      <c r="M381"/>
      <c r="N381"/>
      <c r="O381"/>
      <c r="P381"/>
    </row>
    <row r="382" spans="1:16">
      <c r="A382"/>
      <c r="B382"/>
      <c r="C382"/>
      <c r="D382"/>
      <c r="E382"/>
      <c r="F382"/>
      <c r="G382"/>
      <c r="H382"/>
      <c r="I382"/>
      <c r="J382"/>
      <c r="K382"/>
      <c r="L382"/>
      <c r="M382"/>
      <c r="N382"/>
      <c r="O382"/>
      <c r="P382"/>
    </row>
    <row r="383" spans="1:16">
      <c r="A383"/>
      <c r="B383"/>
      <c r="C383"/>
      <c r="D383"/>
      <c r="E383"/>
      <c r="F383"/>
      <c r="G383"/>
      <c r="H383"/>
      <c r="I383"/>
      <c r="J383"/>
      <c r="K383"/>
      <c r="L383"/>
      <c r="M383"/>
      <c r="N383"/>
      <c r="O383"/>
      <c r="P383"/>
    </row>
    <row r="384" spans="1:16">
      <c r="A384"/>
      <c r="B384"/>
      <c r="C384"/>
      <c r="D384"/>
      <c r="E384"/>
      <c r="F384"/>
      <c r="G384"/>
      <c r="H384"/>
      <c r="I384"/>
      <c r="J384"/>
      <c r="K384"/>
      <c r="L384"/>
      <c r="M384"/>
      <c r="N384"/>
      <c r="O384"/>
      <c r="P384"/>
    </row>
    <row r="385" spans="1:16">
      <c r="A385"/>
      <c r="B385"/>
      <c r="C385"/>
      <c r="D385"/>
      <c r="E385"/>
      <c r="F385"/>
      <c r="G385"/>
      <c r="H385"/>
      <c r="I385"/>
      <c r="J385"/>
      <c r="K385"/>
      <c r="L385"/>
      <c r="M385"/>
      <c r="N385"/>
      <c r="O385"/>
      <c r="P385"/>
    </row>
    <row r="386" spans="1:16">
      <c r="A386"/>
      <c r="B386"/>
      <c r="C386"/>
      <c r="D386"/>
      <c r="E386"/>
      <c r="F386"/>
      <c r="G386"/>
      <c r="H386"/>
      <c r="I386"/>
      <c r="J386"/>
      <c r="K386"/>
      <c r="L386"/>
      <c r="M386"/>
      <c r="N386"/>
      <c r="O386"/>
      <c r="P386"/>
    </row>
    <row r="387" spans="1:16">
      <c r="A387"/>
      <c r="B387"/>
      <c r="C387"/>
      <c r="D387"/>
      <c r="E387"/>
      <c r="F387"/>
      <c r="G387"/>
      <c r="H387"/>
      <c r="I387"/>
      <c r="J387"/>
      <c r="K387"/>
      <c r="L387"/>
      <c r="M387"/>
      <c r="N387"/>
      <c r="O387"/>
      <c r="P387"/>
    </row>
    <row r="388" spans="1:16">
      <c r="A388"/>
      <c r="B388"/>
      <c r="C388"/>
      <c r="D388"/>
      <c r="E388"/>
      <c r="F388"/>
      <c r="G388"/>
      <c r="H388"/>
      <c r="I388"/>
      <c r="J388"/>
      <c r="K388"/>
      <c r="L388"/>
      <c r="M388"/>
      <c r="N388"/>
      <c r="O388"/>
      <c r="P388"/>
    </row>
    <row r="389" spans="1:16">
      <c r="A389"/>
      <c r="B389"/>
      <c r="C389"/>
      <c r="D389"/>
      <c r="E389"/>
      <c r="F389"/>
      <c r="G389"/>
      <c r="H389"/>
      <c r="I389"/>
      <c r="J389"/>
      <c r="K389"/>
      <c r="L389"/>
      <c r="M389"/>
      <c r="N389"/>
      <c r="O389"/>
      <c r="P389"/>
    </row>
    <row r="390" spans="1:16">
      <c r="A390"/>
      <c r="B390"/>
      <c r="C390"/>
      <c r="D390"/>
      <c r="E390"/>
      <c r="F390"/>
      <c r="G390"/>
      <c r="H390"/>
      <c r="I390"/>
      <c r="J390"/>
      <c r="K390"/>
      <c r="L390"/>
      <c r="M390"/>
      <c r="N390"/>
      <c r="O390"/>
      <c r="P390"/>
    </row>
    <row r="391" spans="1:16">
      <c r="A391"/>
      <c r="B391"/>
      <c r="C391"/>
      <c r="D391"/>
      <c r="E391"/>
      <c r="F391"/>
      <c r="G391"/>
      <c r="H391"/>
      <c r="I391"/>
      <c r="J391"/>
      <c r="K391"/>
      <c r="L391"/>
      <c r="M391"/>
      <c r="N391"/>
      <c r="O391"/>
      <c r="P391"/>
    </row>
    <row r="392" spans="1:16">
      <c r="A392"/>
      <c r="B392"/>
      <c r="C392"/>
      <c r="D392"/>
      <c r="E392"/>
      <c r="F392"/>
      <c r="G392"/>
      <c r="H392"/>
      <c r="I392"/>
      <c r="J392"/>
      <c r="K392"/>
      <c r="L392"/>
      <c r="M392"/>
      <c r="N392"/>
      <c r="O392"/>
      <c r="P392"/>
    </row>
    <row r="393" spans="1:16">
      <c r="A393"/>
      <c r="B393"/>
      <c r="C393"/>
      <c r="D393"/>
      <c r="E393"/>
      <c r="F393"/>
      <c r="G393"/>
      <c r="H393"/>
      <c r="I393"/>
      <c r="J393"/>
      <c r="K393"/>
      <c r="L393"/>
      <c r="M393"/>
      <c r="N393"/>
      <c r="O393"/>
      <c r="P393"/>
    </row>
    <row r="394" spans="1:16">
      <c r="A394"/>
      <c r="B394"/>
      <c r="C394"/>
      <c r="D394"/>
      <c r="E394"/>
      <c r="F394"/>
      <c r="G394"/>
      <c r="H394"/>
      <c r="I394"/>
      <c r="J394"/>
      <c r="K394"/>
      <c r="L394"/>
      <c r="M394"/>
      <c r="N394"/>
      <c r="O394"/>
      <c r="P394"/>
    </row>
    <row r="395" spans="1:16">
      <c r="A395"/>
      <c r="B395"/>
      <c r="C395"/>
      <c r="D395"/>
      <c r="E395"/>
      <c r="F395"/>
      <c r="G395"/>
      <c r="H395"/>
      <c r="I395"/>
      <c r="J395"/>
      <c r="K395"/>
      <c r="L395"/>
      <c r="M395"/>
      <c r="N395"/>
      <c r="O395"/>
      <c r="P395"/>
    </row>
    <row r="396" spans="1:16">
      <c r="A396"/>
      <c r="B396"/>
      <c r="C396"/>
      <c r="D396"/>
      <c r="E396"/>
      <c r="F396"/>
      <c r="G396"/>
      <c r="H396"/>
      <c r="I396"/>
      <c r="J396"/>
      <c r="K396"/>
      <c r="L396"/>
      <c r="M396"/>
      <c r="N396"/>
      <c r="O396"/>
      <c r="P396"/>
    </row>
    <row r="397" spans="1:16">
      <c r="A397"/>
      <c r="B397"/>
      <c r="C397"/>
      <c r="D397"/>
      <c r="E397"/>
      <c r="F397"/>
      <c r="G397"/>
      <c r="H397"/>
      <c r="I397"/>
      <c r="J397"/>
      <c r="K397"/>
      <c r="L397"/>
      <c r="M397"/>
      <c r="N397"/>
      <c r="O397"/>
      <c r="P397"/>
    </row>
    <row r="398" spans="1:16">
      <c r="A398"/>
      <c r="B398"/>
      <c r="C398"/>
      <c r="D398"/>
      <c r="E398"/>
      <c r="F398"/>
      <c r="G398"/>
      <c r="H398"/>
      <c r="I398"/>
      <c r="J398"/>
      <c r="K398"/>
      <c r="L398"/>
      <c r="M398"/>
      <c r="N398"/>
      <c r="O398"/>
      <c r="P398"/>
    </row>
    <row r="399" spans="1:16">
      <c r="A399"/>
      <c r="B399"/>
      <c r="C399"/>
      <c r="D399"/>
      <c r="E399"/>
      <c r="F399"/>
      <c r="G399"/>
      <c r="H399"/>
      <c r="I399"/>
      <c r="J399"/>
      <c r="K399"/>
      <c r="L399"/>
      <c r="M399"/>
      <c r="N399"/>
      <c r="O399"/>
      <c r="P399"/>
    </row>
    <row r="400" spans="1:16">
      <c r="A400"/>
      <c r="B400"/>
      <c r="C400"/>
      <c r="D400"/>
      <c r="E400"/>
      <c r="F400"/>
      <c r="G400"/>
      <c r="H400"/>
      <c r="I400"/>
      <c r="J400"/>
      <c r="K400"/>
      <c r="L400"/>
      <c r="M400"/>
      <c r="N400"/>
      <c r="O400"/>
      <c r="P400"/>
    </row>
    <row r="401" spans="1:16">
      <c r="A401"/>
      <c r="B401"/>
      <c r="C401"/>
      <c r="D401"/>
      <c r="E401"/>
      <c r="F401"/>
      <c r="G401"/>
      <c r="H401"/>
      <c r="I401"/>
      <c r="J401"/>
      <c r="K401"/>
      <c r="L401"/>
      <c r="M401"/>
      <c r="N401"/>
      <c r="O401"/>
      <c r="P401"/>
    </row>
    <row r="402" spans="1:16">
      <c r="A402"/>
      <c r="B402"/>
      <c r="C402"/>
      <c r="D402"/>
      <c r="E402"/>
      <c r="F402"/>
      <c r="G402"/>
      <c r="H402"/>
      <c r="I402"/>
      <c r="J402"/>
      <c r="K402"/>
      <c r="L402"/>
      <c r="M402"/>
      <c r="N402"/>
      <c r="O402"/>
      <c r="P402"/>
    </row>
    <row r="403" spans="1:16">
      <c r="A403"/>
      <c r="B403"/>
      <c r="C403"/>
      <c r="D403"/>
      <c r="E403"/>
      <c r="F403"/>
      <c r="G403"/>
      <c r="H403"/>
      <c r="I403"/>
      <c r="J403"/>
      <c r="K403"/>
      <c r="L403"/>
      <c r="M403"/>
      <c r="N403"/>
      <c r="O403"/>
      <c r="P403"/>
    </row>
    <row r="404" spans="1:16">
      <c r="A404"/>
      <c r="B404"/>
      <c r="C404"/>
      <c r="D404"/>
      <c r="E404"/>
      <c r="F404"/>
      <c r="G404"/>
      <c r="H404"/>
      <c r="I404"/>
      <c r="J404"/>
      <c r="K404"/>
      <c r="L404"/>
      <c r="M404"/>
      <c r="N404"/>
      <c r="O404"/>
      <c r="P404"/>
    </row>
    <row r="405" spans="1:16">
      <c r="A405"/>
      <c r="B405"/>
      <c r="C405"/>
      <c r="D405"/>
      <c r="E405"/>
      <c r="F405"/>
      <c r="G405"/>
      <c r="H405"/>
      <c r="I405"/>
      <c r="J405"/>
      <c r="K405"/>
      <c r="L405"/>
      <c r="M405"/>
      <c r="N405"/>
      <c r="O405"/>
      <c r="P405"/>
    </row>
    <row r="406" spans="1:16">
      <c r="A406"/>
      <c r="B406"/>
      <c r="C406"/>
      <c r="D406"/>
      <c r="E406"/>
      <c r="F406"/>
      <c r="G406"/>
      <c r="H406"/>
      <c r="I406"/>
      <c r="J406"/>
      <c r="K406"/>
      <c r="L406"/>
      <c r="M406"/>
      <c r="N406"/>
      <c r="O406"/>
      <c r="P406"/>
    </row>
    <row r="407" spans="1:16">
      <c r="A407"/>
      <c r="B407"/>
      <c r="C407"/>
      <c r="D407"/>
      <c r="E407"/>
      <c r="F407"/>
      <c r="G407"/>
      <c r="H407"/>
      <c r="I407"/>
      <c r="J407"/>
      <c r="K407"/>
      <c r="L407"/>
      <c r="M407"/>
      <c r="N407"/>
      <c r="O407"/>
      <c r="P407"/>
    </row>
    <row r="408" spans="1:16">
      <c r="A408"/>
      <c r="B408"/>
      <c r="C408"/>
      <c r="D408"/>
      <c r="E408"/>
      <c r="F408"/>
      <c r="G408"/>
      <c r="H408"/>
      <c r="I408"/>
      <c r="J408"/>
      <c r="K408"/>
      <c r="L408"/>
      <c r="M408"/>
      <c r="N408"/>
      <c r="O408"/>
      <c r="P408"/>
    </row>
    <row r="409" spans="1:16">
      <c r="A409"/>
      <c r="B409"/>
      <c r="C409"/>
      <c r="D409"/>
      <c r="E409"/>
      <c r="F409"/>
      <c r="G409"/>
      <c r="H409"/>
      <c r="I409"/>
      <c r="J409"/>
      <c r="K409"/>
      <c r="L409"/>
      <c r="M409"/>
      <c r="N409"/>
      <c r="O409"/>
      <c r="P409"/>
    </row>
    <row r="410" spans="1:16">
      <c r="A410"/>
      <c r="B410"/>
      <c r="C410"/>
      <c r="D410"/>
      <c r="E410"/>
      <c r="F410"/>
      <c r="G410"/>
      <c r="H410"/>
      <c r="I410"/>
      <c r="J410"/>
      <c r="K410"/>
      <c r="L410"/>
      <c r="M410"/>
      <c r="N410"/>
      <c r="O410"/>
      <c r="P410"/>
    </row>
    <row r="411" spans="1:16">
      <c r="A411"/>
      <c r="B411"/>
      <c r="C411"/>
      <c r="D411"/>
      <c r="E411"/>
      <c r="F411"/>
      <c r="G411"/>
      <c r="H411"/>
      <c r="I411"/>
      <c r="J411"/>
      <c r="K411"/>
      <c r="L411"/>
      <c r="M411"/>
      <c r="N411"/>
      <c r="O411"/>
      <c r="P411"/>
    </row>
    <row r="412" spans="1:16">
      <c r="A412"/>
      <c r="B412"/>
      <c r="C412"/>
      <c r="D412"/>
      <c r="E412"/>
      <c r="F412"/>
      <c r="G412"/>
      <c r="H412"/>
      <c r="I412"/>
      <c r="J412"/>
      <c r="K412"/>
      <c r="L412"/>
      <c r="M412"/>
      <c r="N412"/>
      <c r="O412"/>
      <c r="P412"/>
    </row>
    <row r="413" spans="1:16">
      <c r="A413"/>
      <c r="B413"/>
      <c r="C413"/>
      <c r="D413"/>
      <c r="E413"/>
      <c r="F413"/>
      <c r="G413"/>
      <c r="H413"/>
      <c r="I413"/>
      <c r="J413"/>
      <c r="K413"/>
      <c r="L413"/>
      <c r="M413"/>
      <c r="N413"/>
      <c r="O413"/>
      <c r="P413"/>
    </row>
    <row r="414" spans="1:16">
      <c r="A414"/>
      <c r="B414"/>
      <c r="C414"/>
      <c r="D414"/>
      <c r="E414"/>
      <c r="F414"/>
      <c r="G414"/>
      <c r="H414"/>
      <c r="I414"/>
      <c r="J414"/>
      <c r="K414"/>
      <c r="L414"/>
      <c r="M414"/>
      <c r="N414"/>
      <c r="O414"/>
      <c r="P414"/>
    </row>
    <row r="415" spans="1:16">
      <c r="A415"/>
      <c r="B415"/>
      <c r="C415"/>
      <c r="D415"/>
      <c r="E415"/>
      <c r="F415"/>
      <c r="G415"/>
      <c r="H415"/>
      <c r="I415"/>
      <c r="J415"/>
      <c r="K415"/>
      <c r="L415"/>
      <c r="M415"/>
      <c r="N415"/>
      <c r="O415"/>
      <c r="P415"/>
    </row>
    <row r="416" spans="1:16">
      <c r="A416"/>
      <c r="B416"/>
      <c r="C416"/>
      <c r="D416"/>
      <c r="E416"/>
      <c r="F416"/>
      <c r="G416"/>
      <c r="H416"/>
      <c r="I416"/>
      <c r="J416"/>
      <c r="K416"/>
      <c r="L416"/>
      <c r="M416"/>
      <c r="N416"/>
      <c r="O416"/>
      <c r="P416"/>
    </row>
    <row r="417" spans="1:16">
      <c r="A417"/>
      <c r="B417"/>
      <c r="C417"/>
      <c r="D417"/>
      <c r="E417"/>
      <c r="F417"/>
      <c r="G417"/>
      <c r="H417"/>
      <c r="I417"/>
      <c r="J417"/>
      <c r="K417"/>
      <c r="L417"/>
      <c r="M417"/>
      <c r="N417"/>
      <c r="O417"/>
      <c r="P417"/>
    </row>
    <row r="418" spans="1:16">
      <c r="A418"/>
      <c r="B418"/>
      <c r="C418"/>
      <c r="D418"/>
      <c r="E418"/>
      <c r="F418"/>
      <c r="G418"/>
      <c r="H418"/>
      <c r="I418"/>
      <c r="J418"/>
      <c r="K418"/>
      <c r="L418"/>
      <c r="M418"/>
      <c r="N418"/>
      <c r="O418"/>
      <c r="P418"/>
    </row>
    <row r="419" spans="1:16">
      <c r="A419"/>
      <c r="B419"/>
      <c r="C419"/>
      <c r="D419"/>
      <c r="E419"/>
      <c r="F419"/>
      <c r="G419"/>
      <c r="H419"/>
      <c r="I419"/>
      <c r="J419"/>
      <c r="K419"/>
      <c r="L419"/>
      <c r="M419"/>
      <c r="N419"/>
      <c r="O419"/>
      <c r="P419"/>
    </row>
    <row r="420" spans="1:16">
      <c r="A420"/>
      <c r="B420"/>
      <c r="C420"/>
      <c r="D420"/>
      <c r="E420"/>
      <c r="F420"/>
      <c r="G420"/>
      <c r="H420"/>
      <c r="I420"/>
      <c r="J420"/>
      <c r="K420"/>
      <c r="L420"/>
      <c r="M420"/>
      <c r="N420"/>
      <c r="O420"/>
      <c r="P420"/>
    </row>
    <row r="421" spans="1:16">
      <c r="A421"/>
      <c r="B421"/>
      <c r="C421"/>
      <c r="D421"/>
      <c r="E421"/>
      <c r="F421"/>
      <c r="G421"/>
      <c r="H421"/>
      <c r="I421"/>
      <c r="J421"/>
      <c r="K421"/>
      <c r="L421"/>
      <c r="M421"/>
      <c r="N421"/>
      <c r="O421"/>
      <c r="P421"/>
    </row>
    <row r="422" spans="1:16">
      <c r="A422"/>
      <c r="B422"/>
      <c r="C422"/>
      <c r="D422"/>
      <c r="E422"/>
      <c r="F422"/>
      <c r="G422"/>
      <c r="H422"/>
      <c r="I422"/>
      <c r="J422"/>
      <c r="K422"/>
      <c r="L422"/>
      <c r="M422"/>
      <c r="N422"/>
      <c r="O422"/>
      <c r="P422"/>
    </row>
    <row r="423" spans="1:16">
      <c r="A423"/>
      <c r="B423"/>
      <c r="C423"/>
      <c r="D423"/>
      <c r="E423"/>
      <c r="F423"/>
      <c r="G423"/>
      <c r="H423"/>
      <c r="I423"/>
      <c r="J423"/>
      <c r="K423"/>
      <c r="L423"/>
      <c r="M423"/>
      <c r="N423"/>
      <c r="O423"/>
      <c r="P423"/>
    </row>
    <row r="424" spans="1:16">
      <c r="A424"/>
      <c r="B424"/>
      <c r="C424"/>
      <c r="D424"/>
      <c r="E424"/>
      <c r="F424"/>
      <c r="G424"/>
      <c r="H424"/>
      <c r="I424"/>
      <c r="J424"/>
      <c r="K424"/>
      <c r="L424"/>
      <c r="M424"/>
      <c r="N424"/>
      <c r="O424"/>
      <c r="P424"/>
    </row>
    <row r="425" spans="1:16">
      <c r="A425"/>
      <c r="B425"/>
      <c r="C425"/>
      <c r="D425"/>
      <c r="E425"/>
      <c r="F425"/>
      <c r="G425"/>
      <c r="H425"/>
      <c r="I425"/>
      <c r="J425"/>
      <c r="K425"/>
      <c r="L425"/>
      <c r="M425"/>
      <c r="N425"/>
      <c r="O425"/>
      <c r="P425"/>
    </row>
    <row r="426" spans="1:16">
      <c r="A426"/>
      <c r="B426"/>
      <c r="C426"/>
      <c r="D426"/>
      <c r="E426"/>
      <c r="F426"/>
      <c r="G426"/>
      <c r="H426"/>
      <c r="I426"/>
      <c r="J426"/>
      <c r="K426"/>
      <c r="L426"/>
      <c r="M426"/>
      <c r="N426"/>
      <c r="O426"/>
      <c r="P426"/>
    </row>
    <row r="427" spans="1:16">
      <c r="A427"/>
      <c r="B427"/>
      <c r="C427"/>
      <c r="D427"/>
      <c r="E427"/>
      <c r="F427"/>
      <c r="G427"/>
      <c r="H427"/>
      <c r="I427"/>
      <c r="J427"/>
      <c r="K427"/>
      <c r="L427"/>
      <c r="M427"/>
      <c r="N427"/>
      <c r="O427"/>
      <c r="P427"/>
    </row>
    <row r="428" spans="1:16">
      <c r="A428"/>
      <c r="B428"/>
      <c r="C428"/>
      <c r="D428"/>
      <c r="E428"/>
      <c r="F428"/>
      <c r="G428"/>
      <c r="H428"/>
      <c r="I428"/>
      <c r="J428"/>
      <c r="K428"/>
      <c r="L428"/>
      <c r="M428"/>
      <c r="N428"/>
      <c r="O428"/>
      <c r="P428"/>
    </row>
    <row r="429" spans="1:16">
      <c r="A429"/>
      <c r="B429"/>
      <c r="C429"/>
      <c r="D429"/>
      <c r="E429"/>
      <c r="F429"/>
      <c r="G429"/>
      <c r="H429"/>
      <c r="I429"/>
      <c r="J429"/>
      <c r="K429"/>
      <c r="L429"/>
      <c r="M429"/>
      <c r="N429"/>
      <c r="O429"/>
      <c r="P429"/>
    </row>
    <row r="430" spans="1:16">
      <c r="A430"/>
      <c r="B430"/>
      <c r="C430"/>
      <c r="D430"/>
      <c r="E430"/>
      <c r="F430"/>
      <c r="G430"/>
      <c r="H430"/>
      <c r="I430"/>
      <c r="J430"/>
      <c r="K430"/>
      <c r="L430"/>
      <c r="M430"/>
      <c r="N430"/>
      <c r="O430"/>
      <c r="P430"/>
    </row>
    <row r="431" spans="1:16">
      <c r="A431"/>
      <c r="B431"/>
      <c r="C431"/>
      <c r="D431"/>
      <c r="E431"/>
      <c r="F431"/>
      <c r="G431"/>
      <c r="H431"/>
      <c r="I431"/>
      <c r="J431"/>
      <c r="K431"/>
      <c r="L431"/>
      <c r="M431"/>
      <c r="N431"/>
      <c r="O431"/>
      <c r="P431"/>
    </row>
    <row r="432" spans="1:16">
      <c r="A432"/>
      <c r="B432"/>
      <c r="C432"/>
      <c r="D432"/>
      <c r="E432"/>
      <c r="F432"/>
      <c r="G432"/>
      <c r="H432"/>
      <c r="I432"/>
      <c r="J432"/>
      <c r="K432"/>
      <c r="L432"/>
      <c r="M432"/>
      <c r="N432"/>
      <c r="O432"/>
      <c r="P432"/>
    </row>
    <row r="433" spans="1:16">
      <c r="A433"/>
      <c r="B433"/>
      <c r="C433"/>
      <c r="D433"/>
      <c r="E433"/>
      <c r="F433"/>
      <c r="G433"/>
      <c r="H433"/>
      <c r="I433"/>
      <c r="J433"/>
      <c r="K433"/>
      <c r="L433"/>
      <c r="M433"/>
      <c r="N433"/>
      <c r="O433"/>
      <c r="P433"/>
    </row>
    <row r="434" spans="1:16">
      <c r="A434"/>
      <c r="B434"/>
      <c r="C434"/>
      <c r="D434"/>
      <c r="E434"/>
      <c r="F434"/>
      <c r="G434"/>
      <c r="H434"/>
      <c r="I434"/>
      <c r="J434"/>
      <c r="K434"/>
      <c r="L434"/>
      <c r="M434"/>
      <c r="N434"/>
      <c r="O434"/>
      <c r="P434"/>
    </row>
    <row r="435" spans="1:16">
      <c r="A435"/>
      <c r="B435"/>
      <c r="C435"/>
      <c r="D435"/>
      <c r="E435"/>
      <c r="F435"/>
      <c r="G435"/>
      <c r="H435"/>
      <c r="I435"/>
      <c r="J435"/>
      <c r="K435"/>
      <c r="L435"/>
      <c r="M435"/>
      <c r="N435"/>
      <c r="O435"/>
      <c r="P435"/>
    </row>
    <row r="436" spans="1:16">
      <c r="A436"/>
      <c r="B436"/>
      <c r="C436"/>
      <c r="D436"/>
      <c r="E436"/>
      <c r="F436"/>
      <c r="G436"/>
      <c r="H436"/>
      <c r="I436"/>
      <c r="J436"/>
      <c r="K436"/>
      <c r="L436"/>
      <c r="M436"/>
      <c r="N436"/>
      <c r="O436"/>
      <c r="P436"/>
    </row>
    <row r="437" spans="1:16">
      <c r="A437"/>
      <c r="B437"/>
      <c r="C437"/>
      <c r="D437"/>
      <c r="E437"/>
      <c r="F437"/>
      <c r="G437"/>
      <c r="H437"/>
      <c r="I437"/>
      <c r="J437"/>
      <c r="K437"/>
      <c r="L437"/>
      <c r="M437"/>
      <c r="N437"/>
      <c r="O437"/>
      <c r="P437"/>
    </row>
    <row r="438" spans="1:16">
      <c r="A438"/>
      <c r="B438"/>
      <c r="C438"/>
      <c r="D438"/>
      <c r="E438"/>
      <c r="F438"/>
      <c r="G438"/>
      <c r="H438"/>
      <c r="I438"/>
      <c r="J438"/>
      <c r="K438"/>
      <c r="L438"/>
      <c r="M438"/>
      <c r="N438"/>
      <c r="O438"/>
      <c r="P438"/>
    </row>
    <row r="439" spans="1:16">
      <c r="A439"/>
      <c r="B439"/>
      <c r="C439"/>
      <c r="D439"/>
      <c r="E439"/>
      <c r="F439"/>
      <c r="G439"/>
      <c r="H439"/>
      <c r="I439"/>
      <c r="J439"/>
      <c r="K439"/>
      <c r="L439"/>
      <c r="M439"/>
      <c r="N439"/>
      <c r="O439"/>
      <c r="P439"/>
    </row>
    <row r="440" spans="1:16">
      <c r="A440"/>
      <c r="B440"/>
      <c r="C440"/>
      <c r="D440"/>
      <c r="E440"/>
      <c r="F440"/>
      <c r="G440"/>
      <c r="H440"/>
      <c r="I440"/>
      <c r="J440"/>
      <c r="K440"/>
      <c r="L440"/>
      <c r="M440"/>
      <c r="N440"/>
      <c r="O440"/>
      <c r="P440"/>
    </row>
    <row r="441" spans="1:16">
      <c r="A441"/>
      <c r="B441"/>
      <c r="C441"/>
      <c r="D441"/>
      <c r="E441"/>
      <c r="F441"/>
      <c r="G441"/>
      <c r="H441"/>
      <c r="I441"/>
      <c r="J441"/>
      <c r="K441"/>
      <c r="L441"/>
      <c r="M441"/>
      <c r="N441"/>
      <c r="O441"/>
      <c r="P441"/>
    </row>
    <row r="442" spans="1:16">
      <c r="A442"/>
      <c r="B442"/>
      <c r="C442"/>
      <c r="D442"/>
      <c r="E442"/>
      <c r="F442"/>
      <c r="G442"/>
      <c r="H442"/>
      <c r="I442"/>
      <c r="J442"/>
      <c r="K442"/>
      <c r="L442"/>
      <c r="M442"/>
      <c r="N442"/>
      <c r="O442"/>
      <c r="P442"/>
    </row>
    <row r="443" spans="1:16">
      <c r="A443"/>
      <c r="B443"/>
      <c r="C443"/>
      <c r="D443"/>
      <c r="E443"/>
      <c r="F443"/>
      <c r="G443"/>
      <c r="H443"/>
      <c r="I443"/>
      <c r="J443"/>
      <c r="K443"/>
      <c r="L443"/>
      <c r="M443"/>
      <c r="N443"/>
      <c r="O443"/>
      <c r="P443"/>
    </row>
    <row r="444" spans="1:16">
      <c r="A444"/>
      <c r="B444"/>
      <c r="C444"/>
      <c r="D444"/>
      <c r="E444"/>
      <c r="F444"/>
      <c r="G444"/>
      <c r="H444"/>
      <c r="I444"/>
      <c r="J444"/>
      <c r="K444"/>
      <c r="L444"/>
      <c r="M444"/>
      <c r="N444"/>
      <c r="O444"/>
      <c r="P444"/>
    </row>
    <row r="445" spans="1:16">
      <c r="A445"/>
      <c r="B445"/>
      <c r="C445"/>
      <c r="D445"/>
      <c r="E445"/>
      <c r="F445"/>
      <c r="G445"/>
      <c r="H445"/>
      <c r="I445"/>
      <c r="J445"/>
      <c r="K445"/>
      <c r="L445"/>
      <c r="M445"/>
      <c r="N445"/>
      <c r="O445"/>
      <c r="P445"/>
    </row>
    <row r="446" spans="1:16">
      <c r="A446"/>
      <c r="B446"/>
      <c r="C446"/>
      <c r="D446"/>
      <c r="E446"/>
      <c r="F446"/>
      <c r="G446"/>
      <c r="H446"/>
      <c r="I446"/>
      <c r="J446"/>
      <c r="K446"/>
      <c r="L446"/>
      <c r="M446"/>
      <c r="N446"/>
      <c r="O446"/>
      <c r="P446"/>
    </row>
    <row r="447" spans="1:16">
      <c r="A447"/>
      <c r="B447"/>
      <c r="C447"/>
      <c r="D447"/>
      <c r="E447"/>
      <c r="F447"/>
      <c r="G447"/>
      <c r="H447"/>
      <c r="I447"/>
      <c r="J447"/>
      <c r="K447"/>
      <c r="L447"/>
      <c r="M447"/>
      <c r="N447"/>
      <c r="O447"/>
      <c r="P447"/>
    </row>
    <row r="448" spans="1:16">
      <c r="A448"/>
      <c r="B448"/>
      <c r="C448"/>
      <c r="D448"/>
      <c r="E448"/>
      <c r="F448"/>
      <c r="G448"/>
      <c r="H448"/>
      <c r="I448"/>
      <c r="J448"/>
      <c r="K448"/>
      <c r="L448"/>
      <c r="M448"/>
      <c r="N448"/>
      <c r="O448"/>
      <c r="P448"/>
    </row>
    <row r="449" spans="1:16">
      <c r="A449"/>
      <c r="B449"/>
      <c r="C449"/>
      <c r="D449"/>
      <c r="E449"/>
      <c r="F449"/>
      <c r="G449"/>
      <c r="H449"/>
      <c r="I449"/>
      <c r="J449"/>
      <c r="K449"/>
      <c r="L449"/>
      <c r="M449"/>
      <c r="N449"/>
      <c r="O449"/>
      <c r="P449"/>
    </row>
    <row r="450" spans="1:16">
      <c r="A450"/>
      <c r="B450"/>
      <c r="C450"/>
      <c r="D450"/>
      <c r="E450"/>
      <c r="F450"/>
      <c r="G450"/>
      <c r="H450"/>
      <c r="I450"/>
      <c r="J450"/>
      <c r="K450"/>
      <c r="L450"/>
      <c r="M450"/>
      <c r="N450"/>
      <c r="O450"/>
      <c r="P450"/>
    </row>
    <row r="451" spans="1:16">
      <c r="A451"/>
      <c r="B451"/>
      <c r="C451"/>
      <c r="D451"/>
      <c r="E451"/>
      <c r="F451"/>
      <c r="G451"/>
      <c r="H451"/>
      <c r="I451"/>
      <c r="J451"/>
      <c r="K451"/>
      <c r="L451"/>
      <c r="M451"/>
      <c r="N451"/>
      <c r="O451"/>
      <c r="P451"/>
    </row>
    <row r="452" spans="1:16">
      <c r="A452"/>
      <c r="B452"/>
      <c r="C452"/>
      <c r="D452"/>
      <c r="E452"/>
      <c r="F452"/>
      <c r="G452"/>
      <c r="H452"/>
      <c r="I452"/>
      <c r="J452"/>
      <c r="K452"/>
      <c r="L452"/>
      <c r="M452"/>
      <c r="N452"/>
      <c r="O452"/>
      <c r="P452"/>
    </row>
    <row r="453" spans="1:16">
      <c r="A453"/>
      <c r="B453"/>
      <c r="C453"/>
      <c r="D453"/>
      <c r="E453"/>
      <c r="F453"/>
      <c r="G453"/>
      <c r="H453"/>
      <c r="I453"/>
      <c r="J453"/>
      <c r="K453"/>
      <c r="L453"/>
      <c r="M453"/>
      <c r="N453"/>
      <c r="O453"/>
      <c r="P453"/>
    </row>
    <row r="454" spans="1:16">
      <c r="A454"/>
      <c r="B454"/>
      <c r="C454"/>
      <c r="D454"/>
      <c r="E454"/>
      <c r="F454"/>
      <c r="G454"/>
      <c r="H454"/>
      <c r="I454"/>
      <c r="J454"/>
      <c r="K454"/>
      <c r="L454"/>
      <c r="M454"/>
      <c r="N454"/>
      <c r="O454"/>
      <c r="P454"/>
    </row>
    <row r="455" spans="1:16">
      <c r="A455"/>
      <c r="B455"/>
      <c r="C455"/>
      <c r="D455"/>
      <c r="E455"/>
      <c r="F455"/>
      <c r="G455"/>
      <c r="H455"/>
      <c r="I455"/>
      <c r="J455"/>
      <c r="K455"/>
      <c r="L455"/>
      <c r="M455"/>
      <c r="N455"/>
      <c r="O455"/>
      <c r="P455"/>
    </row>
    <row r="456" spans="1:16">
      <c r="A456"/>
      <c r="B456"/>
      <c r="C456"/>
      <c r="D456"/>
      <c r="E456"/>
      <c r="F456"/>
      <c r="G456"/>
      <c r="H456"/>
      <c r="I456"/>
      <c r="J456"/>
      <c r="K456"/>
      <c r="L456"/>
      <c r="M456"/>
      <c r="N456"/>
      <c r="O456"/>
      <c r="P456"/>
    </row>
    <row r="457" spans="1:16">
      <c r="A457"/>
      <c r="B457"/>
      <c r="C457"/>
      <c r="D457"/>
      <c r="E457"/>
      <c r="F457"/>
      <c r="G457"/>
      <c r="H457"/>
      <c r="I457"/>
      <c r="J457"/>
      <c r="K457"/>
      <c r="L457"/>
      <c r="M457"/>
      <c r="N457"/>
      <c r="O457"/>
      <c r="P457"/>
    </row>
    <row r="458" spans="1:16">
      <c r="A458"/>
      <c r="B458"/>
      <c r="C458"/>
      <c r="D458"/>
      <c r="E458"/>
      <c r="F458"/>
      <c r="G458"/>
      <c r="H458"/>
      <c r="I458"/>
      <c r="J458"/>
      <c r="K458"/>
      <c r="L458"/>
      <c r="M458"/>
      <c r="N458"/>
      <c r="O458"/>
      <c r="P458"/>
    </row>
    <row r="459" spans="1:16">
      <c r="A459"/>
      <c r="B459"/>
      <c r="C459"/>
      <c r="D459"/>
      <c r="E459"/>
      <c r="F459"/>
      <c r="G459"/>
      <c r="H459"/>
      <c r="I459"/>
      <c r="J459"/>
      <c r="K459"/>
      <c r="L459"/>
      <c r="M459"/>
      <c r="N459"/>
      <c r="O459"/>
      <c r="P459"/>
    </row>
    <row r="460" spans="1:16">
      <c r="A460"/>
      <c r="B460"/>
      <c r="C460"/>
      <c r="D460"/>
      <c r="E460"/>
      <c r="F460"/>
      <c r="G460"/>
      <c r="H460"/>
      <c r="I460"/>
      <c r="J460"/>
      <c r="K460"/>
      <c r="L460"/>
      <c r="M460"/>
      <c r="N460"/>
      <c r="O460"/>
      <c r="P460"/>
    </row>
    <row r="461" spans="1:16">
      <c r="A461"/>
      <c r="B461"/>
      <c r="C461"/>
      <c r="D461"/>
      <c r="E461"/>
      <c r="F461"/>
      <c r="G461"/>
      <c r="H461"/>
      <c r="I461"/>
      <c r="J461"/>
      <c r="K461"/>
      <c r="L461"/>
      <c r="M461"/>
      <c r="N461"/>
      <c r="O461"/>
      <c r="P461"/>
    </row>
    <row r="462" spans="1:16">
      <c r="A462"/>
      <c r="B462"/>
      <c r="C462"/>
      <c r="D462"/>
      <c r="E462"/>
      <c r="F462"/>
      <c r="G462"/>
      <c r="H462"/>
      <c r="I462"/>
      <c r="J462"/>
      <c r="K462"/>
      <c r="L462"/>
      <c r="M462"/>
      <c r="N462"/>
      <c r="O462"/>
      <c r="P462"/>
    </row>
    <row r="463" spans="1:16">
      <c r="A463"/>
      <c r="B463"/>
      <c r="C463"/>
      <c r="D463"/>
      <c r="E463"/>
      <c r="F463"/>
      <c r="G463"/>
      <c r="H463"/>
      <c r="I463"/>
      <c r="J463"/>
      <c r="K463"/>
      <c r="L463"/>
      <c r="M463"/>
      <c r="N463"/>
      <c r="O463"/>
      <c r="P463"/>
    </row>
    <row r="464" spans="1:16">
      <c r="A464"/>
      <c r="B464"/>
      <c r="C464"/>
      <c r="D464"/>
      <c r="E464"/>
      <c r="F464"/>
      <c r="G464"/>
      <c r="H464"/>
      <c r="I464"/>
      <c r="J464"/>
      <c r="K464"/>
      <c r="L464"/>
      <c r="M464"/>
      <c r="N464"/>
      <c r="O464"/>
      <c r="P464"/>
    </row>
    <row r="465" spans="1:16">
      <c r="A465"/>
      <c r="B465"/>
      <c r="C465"/>
      <c r="D465"/>
      <c r="E465"/>
      <c r="F465"/>
      <c r="G465"/>
      <c r="H465"/>
      <c r="I465"/>
      <c r="J465"/>
      <c r="K465"/>
      <c r="L465"/>
      <c r="M465"/>
      <c r="N465"/>
      <c r="O465"/>
      <c r="P465"/>
    </row>
    <row r="466" spans="1:16">
      <c r="A466"/>
      <c r="B466"/>
      <c r="C466"/>
      <c r="D466"/>
      <c r="E466"/>
      <c r="F466"/>
      <c r="G466"/>
      <c r="H466"/>
      <c r="I466"/>
      <c r="J466"/>
      <c r="K466"/>
      <c r="L466"/>
      <c r="M466"/>
      <c r="N466"/>
      <c r="O466"/>
      <c r="P466"/>
    </row>
    <row r="467" spans="1:16">
      <c r="A467"/>
      <c r="B467"/>
      <c r="C467"/>
      <c r="D467"/>
      <c r="E467"/>
      <c r="F467"/>
      <c r="G467"/>
      <c r="H467"/>
      <c r="I467"/>
      <c r="J467"/>
      <c r="K467"/>
      <c r="L467"/>
      <c r="M467"/>
      <c r="N467"/>
      <c r="O467"/>
      <c r="P467"/>
    </row>
    <row r="468" spans="1:16">
      <c r="A468"/>
      <c r="B468"/>
      <c r="C468"/>
      <c r="D468"/>
      <c r="E468"/>
      <c r="F468"/>
      <c r="G468"/>
      <c r="H468"/>
      <c r="I468"/>
      <c r="J468"/>
      <c r="K468"/>
      <c r="L468"/>
      <c r="M468"/>
      <c r="N468"/>
      <c r="O468"/>
      <c r="P468"/>
    </row>
    <row r="469" spans="1:16">
      <c r="A469"/>
      <c r="B469"/>
      <c r="C469"/>
      <c r="D469"/>
      <c r="E469"/>
      <c r="F469"/>
      <c r="G469"/>
      <c r="H469"/>
      <c r="I469"/>
      <c r="J469"/>
      <c r="K469"/>
      <c r="L469"/>
      <c r="M469"/>
      <c r="N469"/>
      <c r="O469"/>
      <c r="P469"/>
    </row>
    <row r="470" spans="1:16">
      <c r="A470"/>
      <c r="B470"/>
      <c r="C470"/>
      <c r="D470"/>
      <c r="E470"/>
      <c r="F470"/>
      <c r="G470"/>
      <c r="H470"/>
      <c r="I470"/>
      <c r="J470"/>
      <c r="K470"/>
      <c r="L470"/>
      <c r="M470"/>
      <c r="N470"/>
      <c r="O470"/>
      <c r="P470"/>
    </row>
    <row r="471" spans="1:16">
      <c r="A471"/>
      <c r="B471"/>
      <c r="C471"/>
      <c r="D471"/>
      <c r="E471"/>
      <c r="F471"/>
      <c r="G471"/>
      <c r="H471"/>
      <c r="I471"/>
      <c r="J471"/>
      <c r="K471"/>
      <c r="L471"/>
      <c r="M471"/>
      <c r="N471"/>
      <c r="O471"/>
      <c r="P471"/>
    </row>
    <row r="472" spans="1:16">
      <c r="A472"/>
      <c r="B472"/>
      <c r="C472"/>
      <c r="D472"/>
      <c r="E472"/>
      <c r="F472"/>
      <c r="G472"/>
      <c r="H472"/>
      <c r="I472"/>
      <c r="J472"/>
      <c r="K472"/>
      <c r="L472"/>
      <c r="M472"/>
      <c r="N472"/>
      <c r="O472"/>
      <c r="P472"/>
    </row>
    <row r="473" spans="1:16">
      <c r="A473"/>
      <c r="B473"/>
      <c r="C473"/>
      <c r="D473"/>
      <c r="E473"/>
      <c r="F473"/>
      <c r="G473"/>
      <c r="H473"/>
      <c r="I473"/>
      <c r="J473"/>
      <c r="K473"/>
      <c r="L473"/>
      <c r="M473"/>
      <c r="N473"/>
      <c r="O473"/>
      <c r="P473"/>
    </row>
    <row r="474" spans="1:16">
      <c r="A474"/>
      <c r="B474"/>
      <c r="C474"/>
      <c r="D474"/>
      <c r="E474"/>
      <c r="F474"/>
      <c r="G474"/>
      <c r="H474"/>
      <c r="I474"/>
      <c r="J474"/>
      <c r="K474"/>
      <c r="L474"/>
      <c r="M474"/>
      <c r="N474"/>
      <c r="O474"/>
      <c r="P474"/>
    </row>
    <row r="475" spans="1:16">
      <c r="A475"/>
      <c r="B475"/>
      <c r="C475"/>
      <c r="D475"/>
      <c r="E475"/>
      <c r="F475"/>
      <c r="G475"/>
      <c r="H475"/>
      <c r="I475"/>
      <c r="J475"/>
      <c r="K475"/>
      <c r="L475"/>
      <c r="M475"/>
      <c r="N475"/>
      <c r="O475"/>
      <c r="P475"/>
    </row>
    <row r="476" spans="1:16">
      <c r="A476"/>
      <c r="B476"/>
      <c r="C476"/>
      <c r="D476"/>
      <c r="E476"/>
      <c r="F476"/>
      <c r="G476"/>
      <c r="H476"/>
      <c r="I476"/>
      <c r="J476"/>
      <c r="K476"/>
      <c r="L476"/>
      <c r="M476"/>
      <c r="N476"/>
      <c r="O476"/>
      <c r="P476"/>
    </row>
    <row r="477" spans="1:16">
      <c r="A477"/>
      <c r="B477"/>
      <c r="C477"/>
      <c r="D477"/>
      <c r="E477"/>
      <c r="F477"/>
      <c r="G477"/>
      <c r="H477"/>
      <c r="I477"/>
      <c r="J477"/>
      <c r="K477"/>
      <c r="L477"/>
      <c r="M477"/>
      <c r="N477"/>
      <c r="O477"/>
      <c r="P477"/>
    </row>
    <row r="478" spans="1:16">
      <c r="A478"/>
      <c r="B478"/>
      <c r="C478"/>
      <c r="D478"/>
      <c r="E478"/>
      <c r="F478"/>
      <c r="G478"/>
      <c r="H478"/>
      <c r="I478"/>
      <c r="J478"/>
      <c r="K478"/>
      <c r="L478"/>
      <c r="M478"/>
      <c r="N478"/>
      <c r="O478"/>
      <c r="P478"/>
    </row>
    <row r="479" spans="1:16">
      <c r="A479"/>
      <c r="B479"/>
      <c r="C479"/>
      <c r="D479"/>
      <c r="E479"/>
      <c r="F479"/>
      <c r="G479"/>
      <c r="H479"/>
      <c r="I479"/>
      <c r="J479"/>
      <c r="K479"/>
      <c r="L479"/>
      <c r="M479"/>
      <c r="N479"/>
      <c r="O479"/>
      <c r="P479"/>
    </row>
    <row r="480" spans="1:16">
      <c r="A480"/>
      <c r="B480"/>
      <c r="C480"/>
      <c r="D480"/>
      <c r="E480"/>
      <c r="F480"/>
      <c r="G480"/>
      <c r="H480"/>
      <c r="I480"/>
      <c r="J480"/>
      <c r="K480"/>
      <c r="L480"/>
      <c r="M480"/>
      <c r="N480"/>
      <c r="O480"/>
      <c r="P480"/>
    </row>
    <row r="481" spans="1:16">
      <c r="A481"/>
      <c r="B481"/>
      <c r="C481"/>
      <c r="D481"/>
      <c r="E481"/>
      <c r="F481"/>
      <c r="G481"/>
      <c r="H481"/>
      <c r="I481"/>
      <c r="J481"/>
      <c r="K481"/>
      <c r="L481"/>
      <c r="M481"/>
      <c r="N481"/>
      <c r="O481"/>
      <c r="P481"/>
    </row>
    <row r="482" spans="1:16">
      <c r="A482"/>
      <c r="B482"/>
      <c r="C482"/>
      <c r="D482"/>
      <c r="E482"/>
      <c r="F482"/>
      <c r="G482"/>
      <c r="H482"/>
      <c r="I482"/>
      <c r="J482"/>
      <c r="K482"/>
      <c r="L482"/>
      <c r="M482"/>
      <c r="N482"/>
      <c r="O482"/>
      <c r="P482"/>
    </row>
    <row r="483" spans="1:16">
      <c r="A483"/>
      <c r="B483"/>
      <c r="C483"/>
      <c r="D483"/>
      <c r="E483"/>
      <c r="F483"/>
      <c r="G483"/>
      <c r="H483"/>
      <c r="I483"/>
      <c r="J483"/>
      <c r="K483"/>
      <c r="L483"/>
      <c r="M483"/>
      <c r="N483"/>
      <c r="O483"/>
      <c r="P483"/>
    </row>
    <row r="484" spans="1:16">
      <c r="A484"/>
      <c r="B484"/>
      <c r="C484"/>
      <c r="D484"/>
      <c r="E484"/>
      <c r="F484"/>
      <c r="G484"/>
      <c r="H484"/>
      <c r="I484"/>
      <c r="J484"/>
      <c r="K484"/>
      <c r="L484"/>
      <c r="M484"/>
      <c r="N484"/>
      <c r="O484"/>
      <c r="P484"/>
    </row>
    <row r="485" spans="1:16">
      <c r="A485"/>
      <c r="B485"/>
      <c r="C485"/>
      <c r="D485"/>
      <c r="E485"/>
      <c r="F485"/>
      <c r="G485"/>
      <c r="H485"/>
      <c r="I485"/>
      <c r="J485"/>
      <c r="K485"/>
      <c r="L485"/>
      <c r="M485"/>
      <c r="N485"/>
      <c r="O485"/>
      <c r="P485"/>
    </row>
    <row r="486" spans="1:16">
      <c r="A486"/>
      <c r="B486"/>
      <c r="C486"/>
      <c r="D486"/>
      <c r="E486"/>
      <c r="F486"/>
      <c r="G486"/>
      <c r="H486"/>
      <c r="I486"/>
      <c r="J486"/>
      <c r="K486"/>
      <c r="L486"/>
      <c r="M486"/>
      <c r="N486"/>
      <c r="O486"/>
      <c r="P486"/>
    </row>
    <row r="487" spans="1:16">
      <c r="A487"/>
      <c r="B487"/>
      <c r="C487"/>
      <c r="D487"/>
      <c r="E487"/>
      <c r="F487"/>
      <c r="G487"/>
      <c r="H487"/>
      <c r="I487"/>
      <c r="J487"/>
      <c r="K487"/>
      <c r="L487"/>
      <c r="M487"/>
      <c r="N487"/>
      <c r="O487"/>
      <c r="P487"/>
    </row>
    <row r="488" spans="1:16">
      <c r="A488"/>
      <c r="B488"/>
      <c r="C488"/>
      <c r="D488"/>
      <c r="E488"/>
      <c r="F488"/>
      <c r="G488"/>
      <c r="H488"/>
      <c r="I488"/>
      <c r="J488"/>
      <c r="K488"/>
      <c r="L488"/>
      <c r="M488"/>
      <c r="N488"/>
      <c r="O488"/>
      <c r="P488"/>
    </row>
    <row r="489" spans="1:16">
      <c r="A489"/>
      <c r="B489"/>
      <c r="C489"/>
      <c r="D489"/>
      <c r="E489"/>
      <c r="F489"/>
      <c r="G489"/>
      <c r="H489"/>
      <c r="I489"/>
      <c r="J489"/>
      <c r="K489"/>
      <c r="L489"/>
      <c r="M489"/>
      <c r="N489"/>
      <c r="O489"/>
      <c r="P489"/>
    </row>
    <row r="490" spans="1:16">
      <c r="A490"/>
      <c r="B490"/>
      <c r="C490"/>
      <c r="D490"/>
      <c r="E490"/>
      <c r="F490"/>
      <c r="G490"/>
      <c r="H490"/>
      <c r="I490"/>
      <c r="J490"/>
      <c r="K490"/>
      <c r="L490"/>
      <c r="M490"/>
      <c r="N490"/>
      <c r="O490"/>
      <c r="P490"/>
    </row>
    <row r="491" spans="1:16">
      <c r="A491"/>
      <c r="B491"/>
      <c r="C491"/>
      <c r="D491"/>
      <c r="E491"/>
      <c r="F491"/>
      <c r="G491"/>
      <c r="H491"/>
      <c r="I491"/>
      <c r="J491"/>
      <c r="K491"/>
      <c r="L491"/>
      <c r="M491"/>
      <c r="N491"/>
      <c r="O491"/>
      <c r="P491"/>
    </row>
    <row r="492" spans="1:16">
      <c r="A492"/>
      <c r="B492"/>
      <c r="C492"/>
      <c r="D492"/>
      <c r="E492"/>
      <c r="F492"/>
      <c r="G492"/>
      <c r="H492"/>
      <c r="I492"/>
      <c r="J492"/>
      <c r="K492"/>
      <c r="L492"/>
      <c r="M492"/>
      <c r="N492"/>
      <c r="O492"/>
      <c r="P492"/>
    </row>
    <row r="493" spans="1:16">
      <c r="A493"/>
      <c r="B493"/>
      <c r="C493"/>
      <c r="D493"/>
      <c r="E493"/>
      <c r="F493"/>
      <c r="G493"/>
      <c r="H493"/>
      <c r="I493"/>
      <c r="J493"/>
      <c r="K493"/>
      <c r="L493"/>
      <c r="M493"/>
      <c r="N493"/>
      <c r="O493"/>
      <c r="P493"/>
    </row>
    <row r="494" spans="1:16">
      <c r="A494"/>
      <c r="B494"/>
      <c r="C494"/>
      <c r="D494"/>
      <c r="E494"/>
      <c r="F494"/>
      <c r="G494"/>
      <c r="H494"/>
      <c r="I494"/>
      <c r="J494"/>
      <c r="K494"/>
      <c r="L494"/>
      <c r="M494"/>
      <c r="N494"/>
      <c r="O494"/>
      <c r="P494"/>
    </row>
    <row r="495" spans="1:16">
      <c r="A495"/>
      <c r="B495"/>
      <c r="C495"/>
      <c r="D495"/>
      <c r="E495"/>
      <c r="F495"/>
      <c r="G495"/>
      <c r="H495"/>
      <c r="I495"/>
      <c r="J495"/>
      <c r="K495"/>
      <c r="L495"/>
      <c r="M495"/>
      <c r="N495"/>
      <c r="O495"/>
      <c r="P495"/>
    </row>
    <row r="496" spans="1:16">
      <c r="A496"/>
      <c r="B496"/>
      <c r="C496"/>
      <c r="D496"/>
      <c r="E496"/>
      <c r="F496"/>
      <c r="G496"/>
      <c r="H496"/>
      <c r="I496"/>
      <c r="J496"/>
      <c r="K496"/>
      <c r="L496"/>
      <c r="M496"/>
      <c r="N496"/>
      <c r="O496"/>
      <c r="P496"/>
    </row>
    <row r="497" spans="1:16">
      <c r="A497"/>
      <c r="B497"/>
      <c r="C497"/>
      <c r="D497"/>
      <c r="E497"/>
      <c r="F497"/>
      <c r="G497"/>
      <c r="H497"/>
      <c r="I497"/>
      <c r="J497"/>
      <c r="K497"/>
      <c r="L497"/>
      <c r="M497"/>
      <c r="N497"/>
      <c r="O497"/>
      <c r="P497"/>
    </row>
    <row r="498" spans="1:16">
      <c r="A498"/>
      <c r="B498"/>
      <c r="C498"/>
      <c r="D498"/>
      <c r="E498"/>
      <c r="F498"/>
      <c r="G498"/>
      <c r="H498"/>
      <c r="I498"/>
      <c r="J498"/>
      <c r="K498"/>
      <c r="L498"/>
      <c r="M498"/>
      <c r="N498"/>
      <c r="O498"/>
      <c r="P498"/>
    </row>
    <row r="499" spans="1:16">
      <c r="A499"/>
      <c r="B499"/>
      <c r="C499"/>
      <c r="D499"/>
      <c r="E499"/>
      <c r="F499"/>
      <c r="G499"/>
      <c r="H499"/>
      <c r="I499"/>
      <c r="J499"/>
      <c r="K499"/>
      <c r="L499"/>
      <c r="M499"/>
      <c r="N499"/>
      <c r="O499"/>
      <c r="P499"/>
    </row>
    <row r="500" spans="1:16">
      <c r="A500"/>
      <c r="B500"/>
      <c r="C500"/>
      <c r="D500"/>
      <c r="E500"/>
      <c r="F500"/>
      <c r="G500"/>
      <c r="H500"/>
      <c r="I500"/>
      <c r="J500"/>
      <c r="K500"/>
      <c r="L500"/>
      <c r="M500"/>
      <c r="N500"/>
      <c r="O500"/>
      <c r="P500"/>
    </row>
    <row r="501" spans="1:16">
      <c r="A501"/>
      <c r="B501"/>
      <c r="C501"/>
      <c r="D501"/>
      <c r="E501"/>
      <c r="F501"/>
      <c r="G501"/>
      <c r="H501"/>
      <c r="I501"/>
      <c r="J501"/>
      <c r="K501"/>
      <c r="L501"/>
      <c r="M501"/>
      <c r="N501"/>
      <c r="O501"/>
      <c r="P501"/>
    </row>
    <row r="502" spans="1:16">
      <c r="A502"/>
      <c r="B502"/>
      <c r="C502"/>
      <c r="D502"/>
      <c r="E502"/>
      <c r="F502"/>
      <c r="G502"/>
      <c r="H502"/>
      <c r="I502"/>
      <c r="J502"/>
      <c r="K502"/>
      <c r="L502"/>
      <c r="M502"/>
      <c r="N502"/>
      <c r="O502"/>
      <c r="P502"/>
    </row>
    <row r="503" spans="1:16">
      <c r="A503"/>
      <c r="B503"/>
      <c r="C503"/>
      <c r="D503"/>
      <c r="E503"/>
      <c r="F503"/>
      <c r="G503"/>
      <c r="H503"/>
      <c r="I503"/>
      <c r="J503"/>
      <c r="K503"/>
      <c r="L503"/>
      <c r="M503"/>
      <c r="N503"/>
      <c r="O503"/>
      <c r="P503"/>
    </row>
    <row r="504" spans="1:16">
      <c r="A504"/>
      <c r="B504"/>
      <c r="C504"/>
      <c r="D504"/>
      <c r="E504"/>
      <c r="F504"/>
      <c r="G504"/>
      <c r="H504"/>
      <c r="I504"/>
      <c r="J504"/>
      <c r="K504"/>
      <c r="L504"/>
      <c r="M504"/>
      <c r="N504"/>
      <c r="O504"/>
      <c r="P504"/>
    </row>
    <row r="505" spans="1:16">
      <c r="A505"/>
      <c r="B505"/>
      <c r="C505"/>
      <c r="D505"/>
      <c r="E505"/>
      <c r="F505"/>
      <c r="G505"/>
      <c r="H505"/>
      <c r="I505"/>
      <c r="J505"/>
      <c r="K505"/>
      <c r="L505"/>
      <c r="M505"/>
      <c r="N505"/>
      <c r="O505"/>
      <c r="P505"/>
    </row>
    <row r="506" spans="1:16">
      <c r="A506"/>
      <c r="B506"/>
      <c r="C506"/>
      <c r="D506"/>
      <c r="E506"/>
      <c r="F506"/>
      <c r="G506"/>
      <c r="H506"/>
      <c r="I506"/>
      <c r="J506"/>
      <c r="K506"/>
      <c r="L506"/>
      <c r="M506"/>
      <c r="N506"/>
      <c r="O506"/>
      <c r="P506"/>
    </row>
    <row r="507" spans="1:16">
      <c r="A507"/>
      <c r="B507"/>
      <c r="C507"/>
      <c r="D507"/>
      <c r="E507"/>
      <c r="F507"/>
      <c r="G507"/>
      <c r="H507"/>
      <c r="I507"/>
      <c r="J507"/>
      <c r="K507"/>
      <c r="L507"/>
      <c r="M507"/>
      <c r="N507"/>
      <c r="O507"/>
      <c r="P507"/>
    </row>
    <row r="508" spans="1:16">
      <c r="A508"/>
      <c r="B508"/>
      <c r="C508"/>
      <c r="D508"/>
      <c r="E508"/>
      <c r="F508"/>
      <c r="G508"/>
      <c r="H508"/>
      <c r="I508"/>
      <c r="J508"/>
      <c r="K508"/>
      <c r="L508"/>
      <c r="M508"/>
      <c r="N508"/>
      <c r="O508"/>
      <c r="P508"/>
    </row>
    <row r="509" spans="1:16">
      <c r="A509"/>
      <c r="B509"/>
      <c r="C509"/>
      <c r="D509"/>
      <c r="E509"/>
      <c r="F509"/>
      <c r="G509"/>
      <c r="H509"/>
      <c r="I509"/>
      <c r="J509"/>
      <c r="K509"/>
      <c r="L509"/>
      <c r="M509"/>
      <c r="N509"/>
      <c r="O509"/>
      <c r="P509"/>
    </row>
    <row r="510" spans="1:16">
      <c r="A510"/>
      <c r="B510"/>
      <c r="C510"/>
      <c r="D510"/>
      <c r="E510"/>
      <c r="F510"/>
      <c r="G510"/>
      <c r="H510"/>
      <c r="I510"/>
      <c r="J510"/>
      <c r="K510"/>
      <c r="L510"/>
      <c r="M510"/>
      <c r="N510"/>
      <c r="O510"/>
      <c r="P510"/>
    </row>
    <row r="511" spans="1:16">
      <c r="A511"/>
      <c r="B511"/>
      <c r="C511"/>
      <c r="D511"/>
      <c r="E511"/>
      <c r="F511"/>
      <c r="G511"/>
      <c r="H511"/>
      <c r="I511"/>
      <c r="J511"/>
      <c r="K511"/>
      <c r="L511"/>
      <c r="M511"/>
      <c r="N511"/>
      <c r="O511"/>
      <c r="P511"/>
    </row>
    <row r="512" spans="1:16">
      <c r="A512"/>
      <c r="B512"/>
      <c r="C512"/>
      <c r="D512"/>
      <c r="E512"/>
      <c r="F512"/>
      <c r="G512"/>
      <c r="H512"/>
      <c r="I512"/>
      <c r="J512"/>
      <c r="K512"/>
      <c r="L512"/>
      <c r="M512"/>
      <c r="N512"/>
      <c r="O512"/>
      <c r="P512"/>
    </row>
    <row r="513" spans="1:16">
      <c r="A513"/>
      <c r="B513"/>
      <c r="C513"/>
      <c r="D513"/>
      <c r="E513"/>
      <c r="F513"/>
      <c r="G513"/>
      <c r="H513"/>
      <c r="I513"/>
      <c r="J513"/>
      <c r="K513"/>
      <c r="L513"/>
      <c r="M513"/>
      <c r="N513"/>
      <c r="O513"/>
      <c r="P513"/>
    </row>
    <row r="514" spans="1:16">
      <c r="A514"/>
      <c r="B514"/>
      <c r="C514"/>
      <c r="D514"/>
      <c r="E514"/>
      <c r="F514"/>
      <c r="G514"/>
      <c r="H514"/>
      <c r="I514"/>
      <c r="J514"/>
      <c r="K514"/>
      <c r="L514"/>
      <c r="M514"/>
      <c r="N514"/>
      <c r="O514"/>
      <c r="P514"/>
    </row>
    <row r="515" spans="1:16">
      <c r="A515"/>
      <c r="B515"/>
      <c r="C515"/>
      <c r="D515"/>
      <c r="E515"/>
      <c r="F515"/>
      <c r="G515"/>
      <c r="H515"/>
      <c r="I515"/>
      <c r="J515"/>
      <c r="K515"/>
      <c r="L515"/>
      <c r="M515"/>
      <c r="N515"/>
      <c r="O515"/>
      <c r="P515"/>
    </row>
    <row r="516" spans="1:16">
      <c r="A516"/>
      <c r="B516"/>
      <c r="C516"/>
      <c r="D516"/>
      <c r="E516"/>
      <c r="F516"/>
      <c r="G516"/>
      <c r="H516"/>
      <c r="I516"/>
      <c r="J516"/>
      <c r="K516"/>
      <c r="L516"/>
      <c r="M516"/>
      <c r="N516"/>
      <c r="O516"/>
      <c r="P516"/>
    </row>
    <row r="517" spans="1:16">
      <c r="A517"/>
      <c r="B517"/>
      <c r="C517"/>
      <c r="D517"/>
      <c r="E517"/>
      <c r="F517"/>
      <c r="G517"/>
      <c r="H517"/>
      <c r="I517"/>
      <c r="J517"/>
      <c r="K517"/>
      <c r="L517"/>
      <c r="M517"/>
      <c r="N517"/>
      <c r="O517"/>
      <c r="P517"/>
    </row>
    <row r="518" spans="1:16">
      <c r="A518"/>
      <c r="B518"/>
      <c r="C518"/>
      <c r="D518"/>
      <c r="E518"/>
      <c r="F518"/>
      <c r="G518"/>
      <c r="H518"/>
      <c r="I518"/>
      <c r="J518"/>
      <c r="K518"/>
      <c r="L518"/>
      <c r="M518"/>
      <c r="N518"/>
      <c r="O518"/>
      <c r="P518"/>
    </row>
    <row r="519" spans="1:16">
      <c r="A519"/>
      <c r="B519"/>
      <c r="C519"/>
      <c r="D519"/>
      <c r="E519"/>
      <c r="F519"/>
      <c r="G519"/>
      <c r="H519"/>
      <c r="I519"/>
      <c r="J519"/>
      <c r="K519"/>
      <c r="L519"/>
      <c r="M519"/>
      <c r="N519"/>
      <c r="O519"/>
      <c r="P519"/>
    </row>
    <row r="520" spans="1:16">
      <c r="A520"/>
      <c r="B520"/>
      <c r="C520"/>
      <c r="D520"/>
      <c r="E520"/>
      <c r="F520"/>
      <c r="G520"/>
      <c r="H520"/>
      <c r="I520"/>
      <c r="J520"/>
      <c r="K520"/>
      <c r="L520"/>
      <c r="M520"/>
      <c r="N520"/>
      <c r="O520"/>
      <c r="P520"/>
    </row>
    <row r="521" spans="1:16">
      <c r="A521"/>
      <c r="B521"/>
      <c r="C521"/>
      <c r="D521"/>
      <c r="E521"/>
      <c r="F521"/>
      <c r="G521"/>
      <c r="H521"/>
      <c r="I521"/>
      <c r="J521"/>
      <c r="K521"/>
      <c r="L521"/>
      <c r="M521"/>
      <c r="N521"/>
      <c r="O521"/>
      <c r="P521"/>
    </row>
    <row r="522" spans="1:16">
      <c r="A522"/>
      <c r="B522"/>
      <c r="C522"/>
      <c r="D522"/>
      <c r="E522"/>
      <c r="F522"/>
      <c r="G522"/>
      <c r="H522"/>
      <c r="I522"/>
      <c r="J522"/>
      <c r="K522"/>
      <c r="L522"/>
      <c r="M522"/>
      <c r="N522"/>
      <c r="O522"/>
      <c r="P522"/>
    </row>
    <row r="523" spans="1:16">
      <c r="A523"/>
      <c r="B523"/>
      <c r="C523"/>
      <c r="D523"/>
      <c r="E523"/>
      <c r="F523"/>
      <c r="G523"/>
      <c r="H523"/>
      <c r="I523"/>
      <c r="J523"/>
      <c r="K523"/>
      <c r="L523"/>
      <c r="M523"/>
      <c r="N523"/>
      <c r="O523"/>
      <c r="P523"/>
    </row>
    <row r="524" spans="1:16">
      <c r="A524"/>
      <c r="B524"/>
      <c r="C524"/>
      <c r="D524"/>
      <c r="E524"/>
      <c r="F524"/>
      <c r="G524"/>
      <c r="H524"/>
      <c r="I524"/>
      <c r="J524"/>
      <c r="K524"/>
      <c r="L524"/>
      <c r="M524"/>
      <c r="N524"/>
      <c r="O524"/>
      <c r="P524"/>
    </row>
    <row r="525" spans="1:16">
      <c r="A525"/>
      <c r="B525"/>
      <c r="C525"/>
      <c r="D525"/>
      <c r="E525"/>
      <c r="F525"/>
      <c r="G525"/>
      <c r="H525"/>
      <c r="I525"/>
      <c r="J525"/>
      <c r="K525"/>
      <c r="L525"/>
      <c r="M525"/>
      <c r="N525"/>
      <c r="O525"/>
      <c r="P525"/>
    </row>
    <row r="526" spans="1:16">
      <c r="A526"/>
      <c r="B526"/>
      <c r="C526"/>
      <c r="D526"/>
      <c r="E526"/>
      <c r="F526"/>
      <c r="G526"/>
      <c r="H526"/>
      <c r="I526"/>
      <c r="J526"/>
      <c r="K526"/>
      <c r="L526"/>
      <c r="M526"/>
      <c r="N526"/>
      <c r="O526"/>
      <c r="P526"/>
    </row>
    <row r="527" spans="1:16">
      <c r="A527"/>
      <c r="B527"/>
      <c r="C527"/>
      <c r="D527"/>
      <c r="E527"/>
      <c r="F527"/>
      <c r="G527"/>
      <c r="H527"/>
      <c r="I527"/>
      <c r="J527"/>
      <c r="K527"/>
      <c r="L527"/>
      <c r="M527"/>
      <c r="N527"/>
      <c r="O527"/>
      <c r="P527"/>
    </row>
    <row r="528" spans="1:16">
      <c r="A528"/>
      <c r="B528"/>
      <c r="C528"/>
      <c r="D528"/>
      <c r="E528"/>
      <c r="F528"/>
      <c r="G528"/>
      <c r="H528"/>
      <c r="I528"/>
      <c r="J528"/>
      <c r="K528"/>
      <c r="L528"/>
      <c r="M528"/>
      <c r="N528"/>
      <c r="O528"/>
      <c r="P528"/>
    </row>
    <row r="529" spans="1:16">
      <c r="A529"/>
      <c r="B529"/>
      <c r="C529"/>
      <c r="D529"/>
      <c r="E529"/>
      <c r="F529"/>
      <c r="G529"/>
      <c r="H529"/>
      <c r="I529"/>
      <c r="J529"/>
      <c r="K529"/>
      <c r="L529"/>
      <c r="M529"/>
      <c r="N529"/>
      <c r="O529"/>
      <c r="P529"/>
    </row>
    <row r="530" spans="1:16">
      <c r="A530"/>
      <c r="B530"/>
      <c r="C530"/>
      <c r="D530"/>
      <c r="E530"/>
      <c r="F530"/>
      <c r="G530"/>
      <c r="H530"/>
      <c r="I530"/>
      <c r="J530"/>
      <c r="K530"/>
      <c r="L530"/>
      <c r="M530"/>
      <c r="N530"/>
      <c r="O530"/>
      <c r="P530"/>
    </row>
    <row r="531" spans="1:16">
      <c r="A531"/>
      <c r="B531"/>
      <c r="C531"/>
      <c r="D531"/>
      <c r="E531"/>
      <c r="F531"/>
      <c r="G531"/>
      <c r="H531"/>
      <c r="I531"/>
      <c r="J531"/>
      <c r="K531"/>
      <c r="L531"/>
      <c r="M531"/>
      <c r="N531"/>
      <c r="O531"/>
      <c r="P531"/>
    </row>
    <row r="532" spans="1:16">
      <c r="A532"/>
      <c r="B532"/>
      <c r="C532"/>
      <c r="D532"/>
      <c r="E532"/>
      <c r="F532"/>
      <c r="G532"/>
      <c r="H532"/>
      <c r="I532"/>
      <c r="J532"/>
      <c r="K532"/>
      <c r="L532"/>
      <c r="M532"/>
      <c r="N532"/>
      <c r="O532"/>
      <c r="P532"/>
    </row>
    <row r="533" spans="1:16">
      <c r="A533"/>
      <c r="B533"/>
      <c r="C533"/>
      <c r="D533"/>
      <c r="E533"/>
      <c r="F533"/>
      <c r="G533"/>
      <c r="H533"/>
      <c r="I533"/>
      <c r="J533"/>
      <c r="K533"/>
      <c r="L533"/>
      <c r="M533"/>
      <c r="N533"/>
      <c r="O533"/>
      <c r="P533"/>
    </row>
    <row r="534" spans="1:16">
      <c r="A534"/>
      <c r="B534"/>
      <c r="C534"/>
      <c r="D534"/>
      <c r="E534"/>
      <c r="F534"/>
      <c r="G534"/>
      <c r="H534"/>
      <c r="I534"/>
      <c r="J534"/>
      <c r="K534"/>
      <c r="L534"/>
      <c r="M534"/>
      <c r="N534"/>
      <c r="O534"/>
      <c r="P534"/>
    </row>
    <row r="535" spans="1:16">
      <c r="A535"/>
      <c r="B535"/>
      <c r="C535"/>
      <c r="D535"/>
      <c r="E535"/>
      <c r="F535"/>
      <c r="G535"/>
      <c r="H535"/>
      <c r="I535"/>
      <c r="J535"/>
      <c r="K535"/>
      <c r="L535"/>
      <c r="M535"/>
      <c r="N535"/>
      <c r="O535"/>
      <c r="P535"/>
    </row>
    <row r="536" spans="1:16">
      <c r="A536"/>
      <c r="B536"/>
      <c r="C536"/>
      <c r="D536"/>
      <c r="E536"/>
      <c r="F536"/>
      <c r="G536"/>
      <c r="H536"/>
      <c r="I536"/>
      <c r="J536"/>
      <c r="K536"/>
      <c r="L536"/>
      <c r="M536"/>
      <c r="N536"/>
      <c r="O536"/>
      <c r="P536"/>
    </row>
    <row r="537" spans="1:16">
      <c r="A537"/>
      <c r="B537"/>
      <c r="C537"/>
      <c r="D537"/>
      <c r="E537"/>
      <c r="F537"/>
      <c r="G537"/>
      <c r="H537"/>
      <c r="I537"/>
      <c r="J537"/>
      <c r="K537"/>
      <c r="L537"/>
      <c r="M537"/>
      <c r="N537"/>
      <c r="O537"/>
      <c r="P537"/>
    </row>
    <row r="538" spans="1:16">
      <c r="A538"/>
      <c r="B538"/>
      <c r="C538"/>
      <c r="D538"/>
      <c r="E538"/>
      <c r="F538"/>
      <c r="G538"/>
      <c r="H538"/>
      <c r="I538"/>
      <c r="J538"/>
      <c r="K538"/>
      <c r="L538"/>
      <c r="M538"/>
      <c r="N538"/>
      <c r="O538"/>
      <c r="P538"/>
    </row>
    <row r="539" spans="1:16">
      <c r="A539"/>
      <c r="B539"/>
      <c r="C539"/>
      <c r="D539"/>
      <c r="E539"/>
      <c r="F539"/>
      <c r="G539"/>
      <c r="H539"/>
      <c r="I539"/>
      <c r="J539"/>
      <c r="K539"/>
      <c r="L539"/>
      <c r="M539"/>
      <c r="N539"/>
      <c r="O539"/>
      <c r="P539"/>
    </row>
    <row r="540" spans="1:16">
      <c r="A540"/>
      <c r="B540"/>
      <c r="C540"/>
      <c r="D540"/>
      <c r="E540"/>
      <c r="F540"/>
      <c r="G540"/>
      <c r="H540"/>
      <c r="I540"/>
      <c r="J540"/>
      <c r="K540"/>
      <c r="L540"/>
      <c r="M540"/>
      <c r="N540"/>
      <c r="O540"/>
      <c r="P540"/>
    </row>
    <row r="541" spans="1:16">
      <c r="A541"/>
      <c r="B541"/>
      <c r="C541"/>
      <c r="D541"/>
      <c r="E541"/>
      <c r="F541"/>
      <c r="G541"/>
      <c r="H541"/>
      <c r="I541"/>
      <c r="J541"/>
      <c r="K541"/>
      <c r="L541"/>
      <c r="M541"/>
      <c r="N541"/>
      <c r="O541"/>
      <c r="P541"/>
    </row>
    <row r="542" spans="1:16">
      <c r="A542"/>
      <c r="B542"/>
      <c r="C542"/>
      <c r="D542"/>
      <c r="E542"/>
      <c r="F542"/>
      <c r="G542"/>
      <c r="H542"/>
      <c r="I542"/>
      <c r="J542"/>
      <c r="K542"/>
      <c r="L542"/>
      <c r="M542"/>
      <c r="N542"/>
      <c r="O542"/>
      <c r="P542"/>
    </row>
    <row r="543" spans="1:16">
      <c r="A543"/>
      <c r="B543"/>
      <c r="C543"/>
      <c r="D543"/>
      <c r="E543"/>
      <c r="F543"/>
      <c r="G543"/>
      <c r="H543"/>
      <c r="I543"/>
      <c r="J543"/>
      <c r="K543"/>
      <c r="L543"/>
      <c r="M543"/>
      <c r="N543"/>
      <c r="O543"/>
      <c r="P543"/>
    </row>
    <row r="544" spans="1:16">
      <c r="A544"/>
      <c r="B544"/>
      <c r="C544"/>
      <c r="D544"/>
      <c r="E544"/>
      <c r="F544"/>
      <c r="G544"/>
      <c r="H544"/>
      <c r="I544"/>
      <c r="J544"/>
      <c r="K544"/>
      <c r="L544"/>
      <c r="M544"/>
      <c r="N544"/>
      <c r="O544"/>
      <c r="P544"/>
    </row>
    <row r="545" spans="1:16">
      <c r="A545"/>
      <c r="B545"/>
      <c r="C545"/>
      <c r="D545"/>
      <c r="E545"/>
      <c r="F545"/>
      <c r="G545"/>
      <c r="H545"/>
      <c r="I545"/>
      <c r="J545"/>
      <c r="K545"/>
      <c r="L545"/>
      <c r="M545"/>
      <c r="N545"/>
      <c r="O545"/>
      <c r="P545"/>
    </row>
    <row r="546" spans="1:16">
      <c r="A546"/>
      <c r="B546"/>
      <c r="C546"/>
      <c r="D546"/>
      <c r="E546"/>
      <c r="F546"/>
      <c r="G546"/>
      <c r="H546"/>
      <c r="I546"/>
      <c r="J546"/>
      <c r="K546"/>
      <c r="L546"/>
      <c r="M546"/>
      <c r="N546"/>
      <c r="O546"/>
      <c r="P546"/>
    </row>
    <row r="547" spans="1:16">
      <c r="A547"/>
      <c r="B547"/>
      <c r="C547"/>
      <c r="D547"/>
      <c r="E547"/>
      <c r="F547"/>
      <c r="G547"/>
      <c r="H547"/>
      <c r="I547"/>
      <c r="J547"/>
      <c r="K547"/>
      <c r="L547"/>
      <c r="M547"/>
      <c r="N547"/>
      <c r="O547"/>
      <c r="P547"/>
    </row>
    <row r="548" spans="1:16">
      <c r="A548"/>
      <c r="B548"/>
      <c r="C548"/>
      <c r="D548"/>
      <c r="E548"/>
      <c r="F548"/>
      <c r="G548"/>
      <c r="H548"/>
      <c r="I548"/>
      <c r="J548"/>
      <c r="K548"/>
      <c r="L548"/>
      <c r="M548"/>
      <c r="N548"/>
      <c r="O548"/>
      <c r="P548"/>
    </row>
    <row r="549" spans="1:16">
      <c r="A549"/>
      <c r="B549"/>
      <c r="C549"/>
      <c r="D549"/>
      <c r="E549"/>
      <c r="F549"/>
      <c r="G549"/>
      <c r="H549"/>
      <c r="I549"/>
      <c r="J549"/>
      <c r="K549"/>
      <c r="L549"/>
      <c r="M549"/>
      <c r="N549"/>
      <c r="O549"/>
      <c r="P549"/>
    </row>
    <row r="550" spans="1:16">
      <c r="A550"/>
      <c r="B550"/>
      <c r="C550"/>
      <c r="D550"/>
      <c r="E550"/>
      <c r="F550"/>
      <c r="G550"/>
      <c r="H550"/>
      <c r="I550"/>
      <c r="J550"/>
      <c r="K550"/>
      <c r="L550"/>
      <c r="M550"/>
      <c r="N550"/>
      <c r="O550"/>
      <c r="P550"/>
    </row>
    <row r="551" spans="1:16">
      <c r="A551"/>
      <c r="B551"/>
      <c r="C551"/>
      <c r="D551"/>
      <c r="E551"/>
      <c r="F551"/>
      <c r="G551"/>
      <c r="H551"/>
      <c r="I551"/>
      <c r="J551"/>
      <c r="K551"/>
      <c r="L551"/>
      <c r="M551"/>
      <c r="N551"/>
      <c r="O551"/>
      <c r="P551"/>
    </row>
    <row r="552" spans="1:16">
      <c r="A552"/>
      <c r="B552"/>
      <c r="C552"/>
      <c r="D552"/>
      <c r="E552"/>
      <c r="F552"/>
      <c r="G552"/>
      <c r="H552"/>
      <c r="I552"/>
      <c r="J552"/>
      <c r="K552"/>
      <c r="L552"/>
      <c r="M552"/>
      <c r="N552"/>
      <c r="O552"/>
      <c r="P552"/>
    </row>
    <row r="553" spans="1:16">
      <c r="A553"/>
      <c r="B553"/>
      <c r="C553"/>
      <c r="D553"/>
      <c r="E553"/>
      <c r="F553"/>
      <c r="G553"/>
      <c r="H553"/>
      <c r="I553"/>
      <c r="J553"/>
      <c r="K553"/>
      <c r="L553"/>
      <c r="M553"/>
      <c r="N553"/>
      <c r="O553"/>
      <c r="P553"/>
    </row>
    <row r="554" spans="1:16">
      <c r="A554"/>
      <c r="B554"/>
      <c r="C554"/>
      <c r="D554"/>
      <c r="E554"/>
      <c r="F554"/>
      <c r="G554"/>
      <c r="H554"/>
      <c r="I554"/>
      <c r="J554"/>
      <c r="K554"/>
      <c r="L554"/>
      <c r="M554"/>
      <c r="N554"/>
      <c r="O554"/>
      <c r="P554"/>
    </row>
    <row r="555" spans="1:16">
      <c r="A555"/>
      <c r="B555"/>
      <c r="C555"/>
      <c r="D555"/>
      <c r="E555"/>
      <c r="F555"/>
      <c r="G555"/>
      <c r="H555"/>
      <c r="I555"/>
      <c r="J555"/>
      <c r="K555"/>
      <c r="L555"/>
      <c r="M555"/>
      <c r="N555"/>
      <c r="O555"/>
      <c r="P555"/>
    </row>
    <row r="556" spans="1:16">
      <c r="A556"/>
      <c r="B556"/>
      <c r="C556"/>
      <c r="D556"/>
      <c r="E556"/>
      <c r="F556"/>
      <c r="G556"/>
      <c r="H556"/>
      <c r="I556"/>
      <c r="J556"/>
      <c r="K556"/>
      <c r="L556"/>
      <c r="M556"/>
      <c r="N556"/>
      <c r="O556"/>
      <c r="P556"/>
    </row>
    <row r="557" spans="1:16">
      <c r="A557"/>
      <c r="B557"/>
      <c r="C557"/>
      <c r="D557"/>
      <c r="E557"/>
      <c r="F557"/>
      <c r="G557"/>
      <c r="H557"/>
      <c r="I557"/>
      <c r="J557"/>
      <c r="K557"/>
      <c r="L557"/>
      <c r="M557"/>
      <c r="N557"/>
      <c r="O557"/>
      <c r="P557"/>
    </row>
    <row r="558" spans="1:16">
      <c r="A558"/>
      <c r="B558"/>
      <c r="C558"/>
      <c r="D558"/>
      <c r="E558"/>
      <c r="F558"/>
      <c r="G558"/>
      <c r="H558"/>
      <c r="I558"/>
      <c r="J558"/>
      <c r="K558"/>
      <c r="L558"/>
      <c r="M558"/>
      <c r="N558"/>
      <c r="O558"/>
      <c r="P558"/>
    </row>
    <row r="559" spans="1:16">
      <c r="A559"/>
      <c r="B559"/>
      <c r="C559"/>
      <c r="D559"/>
      <c r="E559"/>
      <c r="F559"/>
      <c r="G559"/>
      <c r="H559"/>
      <c r="I559"/>
      <c r="J559"/>
      <c r="K559"/>
      <c r="L559"/>
      <c r="M559"/>
      <c r="N559"/>
      <c r="O559"/>
      <c r="P559"/>
    </row>
    <row r="560" spans="1:16">
      <c r="A560"/>
      <c r="B560"/>
      <c r="C560"/>
      <c r="D560"/>
      <c r="E560"/>
      <c r="F560"/>
      <c r="G560"/>
      <c r="H560"/>
      <c r="I560"/>
      <c r="J560"/>
      <c r="K560"/>
      <c r="L560"/>
      <c r="M560"/>
      <c r="N560"/>
      <c r="O560"/>
      <c r="P560"/>
    </row>
    <row r="561" spans="1:16">
      <c r="A561"/>
      <c r="B561"/>
      <c r="C561"/>
      <c r="D561"/>
      <c r="E561"/>
      <c r="F561"/>
      <c r="G561"/>
      <c r="H561"/>
      <c r="I561"/>
      <c r="J561"/>
      <c r="K561"/>
      <c r="L561"/>
      <c r="M561"/>
      <c r="N561"/>
      <c r="O561"/>
      <c r="P561"/>
    </row>
    <row r="562" spans="1:16">
      <c r="A562"/>
      <c r="B562"/>
      <c r="C562"/>
      <c r="D562"/>
      <c r="E562"/>
      <c r="F562"/>
      <c r="G562"/>
      <c r="H562"/>
      <c r="I562"/>
      <c r="J562"/>
      <c r="K562"/>
      <c r="L562"/>
      <c r="M562"/>
      <c r="N562"/>
      <c r="O562"/>
      <c r="P562"/>
    </row>
    <row r="563" spans="1:16">
      <c r="A563"/>
      <c r="B563"/>
      <c r="C563"/>
      <c r="D563"/>
      <c r="E563"/>
      <c r="F563"/>
      <c r="G563"/>
      <c r="H563"/>
      <c r="I563"/>
      <c r="J563"/>
      <c r="K563"/>
      <c r="L563"/>
      <c r="M563"/>
      <c r="N563"/>
      <c r="O563"/>
      <c r="P563"/>
    </row>
    <row r="564" spans="1:16">
      <c r="A564"/>
      <c r="B564"/>
      <c r="C564"/>
      <c r="D564"/>
      <c r="E564"/>
      <c r="F564"/>
      <c r="G564"/>
      <c r="H564"/>
      <c r="I564"/>
      <c r="J564"/>
      <c r="K564"/>
      <c r="L564"/>
      <c r="M564"/>
      <c r="N564"/>
      <c r="O564"/>
      <c r="P564"/>
    </row>
    <row r="565" spans="1:16">
      <c r="A565"/>
      <c r="B565"/>
      <c r="C565"/>
      <c r="D565"/>
      <c r="E565"/>
      <c r="F565"/>
      <c r="G565"/>
      <c r="H565"/>
      <c r="I565"/>
      <c r="J565"/>
      <c r="K565"/>
      <c r="L565"/>
      <c r="M565"/>
      <c r="N565"/>
      <c r="O565"/>
      <c r="P565"/>
    </row>
    <row r="566" spans="1:16">
      <c r="A566"/>
      <c r="B566"/>
      <c r="C566"/>
      <c r="D566"/>
      <c r="E566"/>
      <c r="F566"/>
      <c r="G566"/>
      <c r="H566"/>
      <c r="I566"/>
      <c r="J566"/>
      <c r="K566"/>
      <c r="L566"/>
      <c r="M566"/>
      <c r="N566"/>
      <c r="O566"/>
      <c r="P566"/>
    </row>
    <row r="567" spans="1:16">
      <c r="A567"/>
      <c r="B567"/>
      <c r="C567"/>
      <c r="D567"/>
      <c r="E567"/>
      <c r="F567"/>
      <c r="G567"/>
      <c r="H567"/>
      <c r="I567"/>
      <c r="J567"/>
      <c r="K567"/>
      <c r="L567"/>
      <c r="M567"/>
      <c r="N567"/>
      <c r="O567"/>
      <c r="P567"/>
    </row>
    <row r="568" spans="1:16">
      <c r="A568"/>
      <c r="B568"/>
      <c r="C568"/>
      <c r="D568"/>
      <c r="E568"/>
      <c r="F568"/>
      <c r="G568"/>
      <c r="H568"/>
      <c r="I568"/>
      <c r="J568"/>
      <c r="K568"/>
      <c r="L568"/>
      <c r="M568"/>
      <c r="N568"/>
      <c r="O568"/>
      <c r="P568"/>
    </row>
    <row r="569" spans="1:16">
      <c r="A569"/>
      <c r="B569"/>
      <c r="C569"/>
      <c r="D569"/>
      <c r="E569"/>
      <c r="F569"/>
      <c r="G569"/>
      <c r="H569"/>
      <c r="I569"/>
      <c r="J569"/>
      <c r="K569"/>
      <c r="L569"/>
      <c r="M569"/>
      <c r="N569"/>
      <c r="O569"/>
      <c r="P569"/>
    </row>
    <row r="570" spans="1:16">
      <c r="A570"/>
      <c r="B570"/>
      <c r="C570"/>
      <c r="D570"/>
      <c r="E570"/>
      <c r="F570"/>
      <c r="G570"/>
      <c r="H570"/>
      <c r="I570"/>
      <c r="J570"/>
      <c r="K570"/>
      <c r="L570"/>
      <c r="M570"/>
      <c r="N570"/>
      <c r="O570"/>
      <c r="P570"/>
    </row>
    <row r="571" spans="1:16">
      <c r="A571"/>
      <c r="B571"/>
      <c r="C571"/>
      <c r="D571"/>
      <c r="E571"/>
      <c r="F571"/>
      <c r="G571"/>
      <c r="H571"/>
      <c r="I571"/>
      <c r="J571"/>
      <c r="K571"/>
      <c r="L571"/>
      <c r="M571"/>
      <c r="N571"/>
      <c r="O571"/>
      <c r="P571"/>
    </row>
    <row r="572" spans="1:16">
      <c r="A572"/>
      <c r="B572"/>
      <c r="C572"/>
      <c r="D572"/>
      <c r="E572"/>
      <c r="F572"/>
      <c r="G572"/>
      <c r="H572"/>
      <c r="I572"/>
      <c r="J572"/>
      <c r="K572"/>
      <c r="L572"/>
      <c r="M572"/>
      <c r="N572"/>
      <c r="O572"/>
      <c r="P572"/>
    </row>
    <row r="573" spans="1:16">
      <c r="A573"/>
      <c r="B573"/>
      <c r="C573"/>
      <c r="D573"/>
      <c r="E573"/>
      <c r="F573"/>
      <c r="G573"/>
      <c r="H573"/>
      <c r="I573"/>
      <c r="J573"/>
      <c r="K573"/>
      <c r="L573"/>
      <c r="M573"/>
      <c r="N573"/>
      <c r="O573"/>
      <c r="P573"/>
    </row>
    <row r="574" spans="1:16">
      <c r="A574"/>
      <c r="B574"/>
      <c r="C574"/>
      <c r="D574"/>
      <c r="E574"/>
      <c r="F574"/>
      <c r="G574"/>
      <c r="H574"/>
      <c r="I574"/>
      <c r="J574"/>
      <c r="K574"/>
      <c r="L574"/>
      <c r="M574"/>
      <c r="N574"/>
      <c r="O574"/>
      <c r="P574"/>
    </row>
    <row r="575" spans="1:16">
      <c r="A575"/>
      <c r="B575"/>
      <c r="C575"/>
      <c r="D575"/>
      <c r="E575"/>
      <c r="F575"/>
      <c r="G575"/>
      <c r="H575"/>
      <c r="I575"/>
      <c r="J575"/>
      <c r="K575"/>
      <c r="L575"/>
      <c r="M575"/>
      <c r="N575"/>
      <c r="O575"/>
      <c r="P575"/>
    </row>
    <row r="576" spans="1:16">
      <c r="A576"/>
      <c r="B576"/>
      <c r="C576"/>
      <c r="D576"/>
      <c r="E576"/>
      <c r="F576"/>
      <c r="G576"/>
      <c r="H576"/>
      <c r="I576"/>
      <c r="J576"/>
      <c r="K576"/>
      <c r="L576"/>
      <c r="M576"/>
      <c r="N576"/>
      <c r="O576"/>
      <c r="P576"/>
    </row>
    <row r="577" spans="1:16">
      <c r="A577"/>
      <c r="B577"/>
      <c r="C577"/>
      <c r="D577"/>
      <c r="E577"/>
      <c r="F577"/>
      <c r="G577"/>
      <c r="H577"/>
      <c r="I577"/>
      <c r="J577"/>
      <c r="K577"/>
      <c r="L577"/>
      <c r="M577"/>
      <c r="N577"/>
      <c r="O577"/>
      <c r="P577"/>
    </row>
    <row r="578" spans="1:16">
      <c r="A578"/>
      <c r="B578"/>
      <c r="C578"/>
      <c r="D578"/>
      <c r="E578"/>
      <c r="F578"/>
      <c r="G578"/>
      <c r="H578"/>
      <c r="I578"/>
      <c r="J578"/>
      <c r="K578"/>
      <c r="L578"/>
      <c r="M578"/>
      <c r="N578"/>
      <c r="O578"/>
      <c r="P578"/>
    </row>
    <row r="579" spans="1:16">
      <c r="A579"/>
      <c r="B579"/>
      <c r="C579"/>
      <c r="D579"/>
      <c r="E579"/>
      <c r="F579"/>
      <c r="G579"/>
      <c r="H579"/>
      <c r="I579"/>
      <c r="J579"/>
      <c r="K579"/>
      <c r="L579"/>
      <c r="M579"/>
      <c r="N579"/>
      <c r="O579"/>
      <c r="P579"/>
    </row>
    <row r="580" spans="1:16">
      <c r="A580"/>
      <c r="B580"/>
      <c r="C580"/>
      <c r="D580"/>
      <c r="E580"/>
      <c r="F580"/>
      <c r="G580"/>
      <c r="H580"/>
      <c r="I580"/>
      <c r="J580"/>
      <c r="K580"/>
      <c r="L580"/>
      <c r="M580"/>
      <c r="N580"/>
      <c r="O580"/>
      <c r="P580"/>
    </row>
    <row r="581" spans="1:16">
      <c r="A581"/>
      <c r="B581"/>
      <c r="C581"/>
      <c r="D581"/>
      <c r="E581"/>
      <c r="F581"/>
      <c r="G581"/>
      <c r="H581"/>
      <c r="I581"/>
      <c r="J581"/>
      <c r="K581"/>
      <c r="L581"/>
      <c r="M581"/>
      <c r="N581"/>
      <c r="O581"/>
      <c r="P581"/>
    </row>
    <row r="582" spans="1:16">
      <c r="A582"/>
      <c r="B582"/>
      <c r="C582"/>
      <c r="D582"/>
      <c r="E582"/>
      <c r="F582"/>
      <c r="G582"/>
      <c r="H582"/>
      <c r="I582"/>
      <c r="J582"/>
      <c r="K582"/>
      <c r="L582"/>
      <c r="M582"/>
      <c r="N582"/>
      <c r="O582"/>
      <c r="P582"/>
    </row>
    <row r="583" spans="1:16">
      <c r="A583"/>
      <c r="B583"/>
      <c r="C583"/>
      <c r="D583"/>
      <c r="E583"/>
      <c r="F583"/>
      <c r="G583"/>
      <c r="H583"/>
      <c r="I583"/>
      <c r="J583"/>
      <c r="K583"/>
      <c r="L583"/>
      <c r="M583"/>
      <c r="N583"/>
      <c r="O583"/>
      <c r="P583"/>
    </row>
    <row r="584" spans="1:16">
      <c r="A584"/>
      <c r="B584"/>
      <c r="C584"/>
      <c r="D584"/>
      <c r="E584"/>
      <c r="F584"/>
      <c r="G584"/>
      <c r="H584"/>
      <c r="I584"/>
      <c r="J584"/>
      <c r="K584"/>
      <c r="L584"/>
      <c r="M584"/>
      <c r="N584"/>
      <c r="O584"/>
      <c r="P584"/>
    </row>
    <row r="585" spans="1:16">
      <c r="A585"/>
      <c r="B585"/>
      <c r="C585"/>
      <c r="D585"/>
      <c r="E585"/>
      <c r="F585"/>
      <c r="G585"/>
      <c r="H585"/>
      <c r="I585"/>
      <c r="J585"/>
      <c r="K585"/>
      <c r="L585"/>
      <c r="M585"/>
      <c r="N585"/>
      <c r="O585"/>
      <c r="P585"/>
    </row>
    <row r="586" spans="1:16">
      <c r="A586"/>
      <c r="B586"/>
      <c r="C586"/>
      <c r="D586"/>
      <c r="E586"/>
      <c r="F586"/>
      <c r="G586"/>
      <c r="H586"/>
      <c r="I586"/>
      <c r="J586"/>
      <c r="K586"/>
      <c r="L586"/>
      <c r="M586"/>
      <c r="N586"/>
      <c r="O586"/>
      <c r="P586"/>
    </row>
    <row r="587" spans="1:16">
      <c r="A587"/>
      <c r="B587"/>
      <c r="C587"/>
      <c r="D587"/>
      <c r="E587"/>
      <c r="F587"/>
      <c r="G587"/>
      <c r="H587"/>
      <c r="I587"/>
      <c r="J587"/>
      <c r="K587"/>
      <c r="L587"/>
      <c r="M587"/>
      <c r="N587"/>
      <c r="O587"/>
      <c r="P587"/>
    </row>
    <row r="588" spans="1:16">
      <c r="A588"/>
      <c r="B588"/>
      <c r="C588"/>
      <c r="D588"/>
      <c r="E588"/>
      <c r="F588"/>
      <c r="G588"/>
      <c r="H588"/>
      <c r="I588"/>
      <c r="J588"/>
      <c r="K588"/>
      <c r="L588"/>
      <c r="M588"/>
      <c r="N588"/>
      <c r="O588"/>
      <c r="P588"/>
    </row>
    <row r="589" spans="1:16">
      <c r="A589"/>
      <c r="B589"/>
      <c r="C589"/>
      <c r="D589"/>
      <c r="E589"/>
      <c r="F589"/>
      <c r="G589"/>
      <c r="H589"/>
      <c r="I589"/>
      <c r="J589"/>
      <c r="K589"/>
      <c r="L589"/>
      <c r="M589"/>
      <c r="N589"/>
      <c r="O589"/>
      <c r="P589"/>
    </row>
    <row r="590" spans="1:16">
      <c r="A590"/>
      <c r="B590"/>
      <c r="C590"/>
      <c r="D590"/>
      <c r="E590"/>
      <c r="F590"/>
      <c r="G590"/>
      <c r="H590"/>
      <c r="I590"/>
      <c r="J590"/>
      <c r="K590"/>
      <c r="L590"/>
      <c r="M590"/>
      <c r="N590"/>
      <c r="O590"/>
      <c r="P590"/>
    </row>
    <row r="591" spans="1:16">
      <c r="A591"/>
      <c r="B591"/>
      <c r="C591"/>
      <c r="D591"/>
      <c r="E591"/>
      <c r="F591"/>
      <c r="G591"/>
      <c r="H591"/>
      <c r="I591"/>
      <c r="J591"/>
      <c r="K591"/>
      <c r="L591"/>
      <c r="M591"/>
      <c r="N591"/>
      <c r="O591"/>
      <c r="P591"/>
    </row>
    <row r="592" spans="1:16">
      <c r="A592"/>
      <c r="B592"/>
      <c r="C592"/>
      <c r="D592"/>
      <c r="E592"/>
      <c r="F592"/>
      <c r="G592"/>
      <c r="H592"/>
      <c r="I592"/>
      <c r="J592"/>
      <c r="K592"/>
      <c r="L592"/>
      <c r="M592"/>
      <c r="N592"/>
      <c r="O592"/>
      <c r="P592"/>
    </row>
    <row r="593" spans="1:16">
      <c r="A593"/>
      <c r="B593"/>
      <c r="C593"/>
      <c r="D593"/>
      <c r="E593"/>
      <c r="F593"/>
      <c r="G593"/>
      <c r="H593"/>
      <c r="I593"/>
      <c r="J593"/>
      <c r="K593"/>
      <c r="L593"/>
      <c r="M593"/>
      <c r="N593"/>
      <c r="O593"/>
      <c r="P593"/>
    </row>
    <row r="594" spans="1:16">
      <c r="A594"/>
      <c r="B594"/>
      <c r="C594"/>
      <c r="D594"/>
      <c r="E594"/>
      <c r="F594"/>
      <c r="G594"/>
      <c r="H594"/>
      <c r="I594"/>
      <c r="J594"/>
      <c r="K594"/>
      <c r="L594"/>
      <c r="M594"/>
      <c r="N594"/>
      <c r="O594"/>
      <c r="P594"/>
    </row>
    <row r="595" spans="1:16">
      <c r="A595"/>
      <c r="B595"/>
      <c r="C595"/>
      <c r="D595"/>
      <c r="E595"/>
      <c r="F595"/>
      <c r="G595"/>
      <c r="H595"/>
      <c r="I595"/>
      <c r="J595"/>
      <c r="K595"/>
      <c r="L595"/>
      <c r="M595"/>
      <c r="N595"/>
      <c r="O595"/>
      <c r="P595"/>
    </row>
    <row r="596" spans="1:16">
      <c r="A596"/>
      <c r="B596"/>
      <c r="C596"/>
      <c r="D596"/>
      <c r="E596"/>
      <c r="F596"/>
      <c r="G596"/>
      <c r="H596"/>
      <c r="I596"/>
      <c r="J596"/>
      <c r="K596"/>
      <c r="L596"/>
      <c r="M596"/>
      <c r="N596"/>
      <c r="O596"/>
      <c r="P596"/>
    </row>
    <row r="597" spans="1:16">
      <c r="A597"/>
      <c r="B597"/>
      <c r="C597"/>
      <c r="D597"/>
      <c r="E597"/>
      <c r="F597"/>
      <c r="G597"/>
      <c r="H597"/>
      <c r="I597"/>
      <c r="J597"/>
      <c r="K597"/>
      <c r="L597"/>
      <c r="M597"/>
      <c r="N597"/>
      <c r="O597"/>
      <c r="P597"/>
    </row>
    <row r="598" spans="1:16">
      <c r="A598"/>
      <c r="B598"/>
      <c r="C598"/>
      <c r="D598"/>
      <c r="E598"/>
      <c r="F598"/>
      <c r="G598"/>
      <c r="H598"/>
      <c r="I598"/>
      <c r="J598"/>
      <c r="K598"/>
      <c r="L598"/>
      <c r="M598"/>
      <c r="N598"/>
      <c r="O598"/>
      <c r="P598"/>
    </row>
    <row r="599" spans="1:16">
      <c r="A599"/>
      <c r="B599"/>
      <c r="C599"/>
      <c r="D599"/>
      <c r="E599"/>
      <c r="F599"/>
      <c r="G599"/>
      <c r="H599"/>
      <c r="I599"/>
      <c r="J599"/>
      <c r="K599"/>
      <c r="L599"/>
      <c r="M599"/>
      <c r="N599"/>
      <c r="O599"/>
      <c r="P599"/>
    </row>
    <row r="600" spans="1:16">
      <c r="A600"/>
      <c r="B600"/>
      <c r="C600"/>
      <c r="D600"/>
      <c r="E600"/>
      <c r="F600"/>
      <c r="G600"/>
      <c r="H600"/>
      <c r="I600"/>
      <c r="J600"/>
      <c r="K600"/>
      <c r="L600"/>
      <c r="M600"/>
      <c r="N600"/>
      <c r="O600"/>
      <c r="P600"/>
    </row>
    <row r="601" spans="1:16">
      <c r="A601"/>
      <c r="B601"/>
      <c r="C601"/>
      <c r="D601"/>
      <c r="E601"/>
      <c r="F601"/>
      <c r="G601"/>
      <c r="H601"/>
      <c r="I601"/>
      <c r="J601"/>
      <c r="K601"/>
      <c r="L601"/>
      <c r="M601"/>
      <c r="N601"/>
      <c r="O601"/>
      <c r="P601"/>
    </row>
    <row r="602" spans="1:16">
      <c r="A602"/>
      <c r="B602"/>
      <c r="C602"/>
      <c r="D602"/>
      <c r="E602"/>
      <c r="F602"/>
      <c r="G602"/>
      <c r="H602"/>
      <c r="I602"/>
      <c r="J602"/>
      <c r="K602"/>
      <c r="L602"/>
      <c r="M602"/>
      <c r="N602"/>
      <c r="O602"/>
      <c r="P602"/>
    </row>
    <row r="603" spans="1:16">
      <c r="A603"/>
      <c r="B603"/>
      <c r="C603"/>
      <c r="D603"/>
      <c r="E603"/>
      <c r="F603"/>
      <c r="G603"/>
      <c r="H603"/>
      <c r="I603"/>
      <c r="J603"/>
      <c r="K603"/>
      <c r="L603"/>
      <c r="M603"/>
      <c r="N603"/>
      <c r="O603"/>
      <c r="P603"/>
    </row>
    <row r="604" spans="1:16">
      <c r="A604"/>
      <c r="B604"/>
      <c r="C604"/>
      <c r="D604"/>
      <c r="E604"/>
      <c r="F604"/>
      <c r="G604"/>
      <c r="H604"/>
      <c r="I604"/>
      <c r="J604"/>
      <c r="K604"/>
      <c r="L604"/>
      <c r="M604"/>
      <c r="N604"/>
      <c r="O604"/>
      <c r="P604"/>
    </row>
    <row r="605" spans="1:16">
      <c r="A605"/>
      <c r="B605"/>
      <c r="C605"/>
      <c r="D605"/>
      <c r="E605"/>
      <c r="F605"/>
      <c r="G605"/>
      <c r="H605"/>
      <c r="I605"/>
      <c r="J605"/>
      <c r="K605"/>
      <c r="L605"/>
      <c r="M605"/>
      <c r="N605"/>
      <c r="O605"/>
      <c r="P605"/>
    </row>
    <row r="606" spans="1:16">
      <c r="A606"/>
      <c r="B606"/>
      <c r="C606"/>
      <c r="D606"/>
      <c r="E606"/>
      <c r="F606"/>
      <c r="G606"/>
      <c r="H606"/>
      <c r="I606"/>
      <c r="J606"/>
      <c r="K606"/>
      <c r="L606"/>
      <c r="M606"/>
      <c r="N606"/>
      <c r="O606"/>
      <c r="P606"/>
    </row>
    <row r="607" spans="1:16">
      <c r="A607"/>
      <c r="B607"/>
      <c r="C607"/>
      <c r="D607"/>
      <c r="E607"/>
      <c r="F607"/>
      <c r="G607"/>
      <c r="H607"/>
      <c r="I607"/>
      <c r="J607"/>
      <c r="K607"/>
      <c r="L607"/>
      <c r="M607"/>
      <c r="N607"/>
      <c r="O607"/>
      <c r="P607"/>
    </row>
    <row r="608" spans="1:16">
      <c r="A608"/>
      <c r="B608"/>
      <c r="C608"/>
      <c r="D608"/>
      <c r="E608"/>
      <c r="F608"/>
      <c r="G608"/>
      <c r="H608"/>
      <c r="I608"/>
      <c r="J608"/>
      <c r="K608"/>
      <c r="L608"/>
      <c r="M608"/>
      <c r="N608"/>
      <c r="O608"/>
      <c r="P608"/>
    </row>
    <row r="609" spans="1:16">
      <c r="A609"/>
      <c r="B609"/>
      <c r="C609"/>
      <c r="D609"/>
      <c r="E609"/>
      <c r="F609"/>
      <c r="G609"/>
      <c r="H609"/>
      <c r="I609"/>
      <c r="J609"/>
      <c r="K609"/>
      <c r="L609"/>
      <c r="M609"/>
      <c r="N609"/>
      <c r="O609"/>
      <c r="P609"/>
    </row>
    <row r="610" spans="1:16">
      <c r="A610"/>
      <c r="B610"/>
      <c r="C610"/>
      <c r="D610"/>
      <c r="E610"/>
      <c r="F610"/>
      <c r="G610"/>
      <c r="H610"/>
      <c r="I610"/>
      <c r="J610"/>
      <c r="K610"/>
      <c r="L610"/>
      <c r="M610"/>
      <c r="N610"/>
      <c r="O610"/>
      <c r="P610"/>
    </row>
    <row r="611" spans="1:16">
      <c r="A611"/>
      <c r="B611"/>
      <c r="C611"/>
      <c r="D611"/>
      <c r="E611"/>
      <c r="F611"/>
      <c r="G611"/>
      <c r="H611"/>
      <c r="I611"/>
      <c r="J611"/>
      <c r="K611"/>
      <c r="L611"/>
      <c r="M611"/>
      <c r="N611"/>
      <c r="O611"/>
      <c r="P611"/>
    </row>
    <row r="612" spans="1:16">
      <c r="A612"/>
      <c r="B612"/>
      <c r="C612"/>
      <c r="D612"/>
      <c r="E612"/>
      <c r="F612"/>
      <c r="G612"/>
      <c r="H612"/>
      <c r="I612"/>
      <c r="J612"/>
      <c r="K612"/>
      <c r="L612"/>
      <c r="M612"/>
      <c r="N612"/>
      <c r="O612"/>
      <c r="P612"/>
    </row>
    <row r="613" spans="1:16">
      <c r="A613"/>
      <c r="B613"/>
      <c r="C613"/>
      <c r="D613"/>
      <c r="E613"/>
      <c r="F613"/>
      <c r="G613"/>
      <c r="H613"/>
      <c r="I613"/>
      <c r="J613"/>
      <c r="K613"/>
      <c r="L613"/>
      <c r="M613"/>
      <c r="N613"/>
      <c r="O613"/>
      <c r="P613"/>
    </row>
    <row r="614" spans="1:16">
      <c r="A614"/>
      <c r="B614"/>
      <c r="C614"/>
      <c r="D614"/>
      <c r="E614"/>
      <c r="F614"/>
      <c r="G614"/>
      <c r="H614"/>
      <c r="I614"/>
      <c r="J614"/>
      <c r="K614"/>
      <c r="L614"/>
      <c r="M614"/>
      <c r="N614"/>
      <c r="O614"/>
      <c r="P614"/>
    </row>
    <row r="615" spans="1:16">
      <c r="A615"/>
      <c r="B615"/>
      <c r="C615"/>
      <c r="D615"/>
      <c r="E615"/>
      <c r="F615"/>
      <c r="G615"/>
      <c r="H615"/>
      <c r="I615"/>
      <c r="J615"/>
      <c r="K615"/>
      <c r="L615"/>
      <c r="M615"/>
      <c r="N615"/>
      <c r="O615"/>
      <c r="P615"/>
    </row>
    <row r="616" spans="1:16">
      <c r="A616"/>
      <c r="B616"/>
      <c r="C616"/>
      <c r="D616"/>
      <c r="E616"/>
      <c r="F616"/>
      <c r="G616"/>
      <c r="H616"/>
      <c r="I616"/>
      <c r="J616"/>
      <c r="K616"/>
      <c r="L616"/>
      <c r="M616"/>
      <c r="N616"/>
      <c r="O616"/>
      <c r="P616"/>
    </row>
    <row r="617" spans="1:16">
      <c r="A617"/>
      <c r="B617"/>
      <c r="C617"/>
      <c r="D617"/>
      <c r="E617"/>
      <c r="F617"/>
      <c r="G617"/>
      <c r="H617"/>
      <c r="I617"/>
      <c r="J617"/>
      <c r="K617"/>
      <c r="L617"/>
      <c r="M617"/>
      <c r="N617"/>
      <c r="O617"/>
      <c r="P617"/>
    </row>
    <row r="618" spans="1:16">
      <c r="A618"/>
      <c r="B618"/>
      <c r="C618"/>
      <c r="D618"/>
      <c r="E618"/>
      <c r="F618"/>
      <c r="G618"/>
      <c r="H618"/>
      <c r="I618"/>
      <c r="J618"/>
      <c r="K618"/>
      <c r="L618"/>
      <c r="M618"/>
      <c r="N618"/>
      <c r="O618"/>
      <c r="P618"/>
    </row>
    <row r="619" spans="1:16">
      <c r="A619"/>
      <c r="B619"/>
      <c r="C619"/>
      <c r="D619"/>
      <c r="E619"/>
      <c r="F619"/>
      <c r="G619"/>
      <c r="H619"/>
      <c r="I619"/>
      <c r="J619"/>
      <c r="K619"/>
      <c r="L619"/>
      <c r="M619"/>
      <c r="N619"/>
      <c r="O619"/>
      <c r="P619"/>
    </row>
    <row r="620" spans="1:16">
      <c r="A620"/>
      <c r="B620"/>
      <c r="C620"/>
      <c r="D620"/>
      <c r="E620"/>
      <c r="F620"/>
      <c r="G620"/>
      <c r="H620"/>
      <c r="I620"/>
      <c r="J620"/>
      <c r="K620"/>
      <c r="L620"/>
      <c r="M620"/>
      <c r="N620"/>
      <c r="O620"/>
      <c r="P620"/>
    </row>
    <row r="621" spans="1:16">
      <c r="A621"/>
      <c r="B621"/>
      <c r="C621"/>
      <c r="D621"/>
      <c r="E621"/>
      <c r="F621"/>
      <c r="G621"/>
      <c r="H621"/>
      <c r="I621"/>
      <c r="J621"/>
      <c r="K621"/>
      <c r="L621"/>
      <c r="M621"/>
      <c r="N621"/>
      <c r="O621"/>
      <c r="P621"/>
    </row>
    <row r="622" spans="1:16">
      <c r="A622"/>
      <c r="B622"/>
      <c r="C622"/>
      <c r="D622"/>
      <c r="E622"/>
      <c r="F622"/>
      <c r="G622"/>
      <c r="H622"/>
      <c r="I622"/>
      <c r="J622"/>
      <c r="K622"/>
      <c r="L622"/>
      <c r="M622"/>
      <c r="N622"/>
      <c r="O622"/>
      <c r="P622"/>
    </row>
    <row r="623" spans="1:16">
      <c r="A623"/>
      <c r="B623"/>
      <c r="C623"/>
      <c r="D623"/>
      <c r="E623"/>
      <c r="F623"/>
      <c r="G623"/>
      <c r="H623"/>
      <c r="I623"/>
      <c r="J623"/>
      <c r="K623"/>
      <c r="L623"/>
      <c r="M623"/>
      <c r="N623"/>
      <c r="O623"/>
      <c r="P623"/>
    </row>
    <row r="624" spans="1:16">
      <c r="A624"/>
      <c r="B624"/>
      <c r="C624"/>
      <c r="D624"/>
      <c r="E624"/>
      <c r="F624"/>
      <c r="G624"/>
      <c r="H624"/>
      <c r="I624"/>
      <c r="J624"/>
      <c r="K624"/>
      <c r="L624"/>
      <c r="M624"/>
      <c r="N624"/>
      <c r="O624"/>
      <c r="P624"/>
    </row>
    <row r="625" spans="1:16">
      <c r="A625"/>
      <c r="B625"/>
      <c r="C625"/>
      <c r="D625"/>
      <c r="E625"/>
      <c r="F625"/>
      <c r="G625"/>
      <c r="H625"/>
      <c r="I625"/>
      <c r="J625"/>
      <c r="K625"/>
      <c r="L625"/>
      <c r="M625"/>
      <c r="N625"/>
      <c r="O625"/>
      <c r="P625"/>
    </row>
    <row r="626" spans="1:16">
      <c r="A626"/>
      <c r="B626"/>
      <c r="C626"/>
      <c r="D626"/>
      <c r="E626"/>
      <c r="F626"/>
      <c r="G626"/>
      <c r="H626"/>
      <c r="I626"/>
      <c r="J626"/>
      <c r="K626"/>
      <c r="L626"/>
      <c r="M626"/>
      <c r="N626"/>
      <c r="O626"/>
      <c r="P626"/>
    </row>
    <row r="627" spans="1:16">
      <c r="A627"/>
      <c r="B627"/>
      <c r="C627"/>
      <c r="D627"/>
      <c r="E627"/>
      <c r="F627"/>
      <c r="G627"/>
      <c r="H627"/>
      <c r="I627"/>
      <c r="J627"/>
      <c r="K627"/>
      <c r="L627"/>
      <c r="M627"/>
      <c r="N627"/>
      <c r="O627"/>
      <c r="P627"/>
    </row>
    <row r="628" spans="1:16">
      <c r="A628"/>
      <c r="B628"/>
      <c r="C628"/>
      <c r="D628"/>
      <c r="E628"/>
      <c r="F628"/>
      <c r="G628"/>
      <c r="H628"/>
      <c r="I628"/>
      <c r="J628"/>
      <c r="K628"/>
      <c r="L628"/>
      <c r="M628"/>
      <c r="N628"/>
      <c r="O628"/>
      <c r="P628"/>
    </row>
    <row r="629" spans="1:16">
      <c r="A629"/>
      <c r="B629"/>
      <c r="C629"/>
      <c r="D629"/>
      <c r="E629"/>
      <c r="F629"/>
      <c r="G629"/>
      <c r="H629"/>
      <c r="I629"/>
      <c r="J629"/>
      <c r="K629"/>
      <c r="L629"/>
      <c r="M629"/>
      <c r="N629"/>
      <c r="O629"/>
      <c r="P629"/>
    </row>
    <row r="630" spans="1:16">
      <c r="A630"/>
      <c r="B630"/>
      <c r="C630"/>
      <c r="D630"/>
      <c r="E630"/>
      <c r="F630"/>
      <c r="G630"/>
      <c r="H630"/>
      <c r="I630"/>
      <c r="J630"/>
      <c r="K630"/>
      <c r="L630"/>
      <c r="M630"/>
      <c r="N630"/>
      <c r="O630"/>
      <c r="P630"/>
    </row>
    <row r="631" spans="1:16">
      <c r="A631"/>
      <c r="B631"/>
      <c r="C631"/>
      <c r="D631"/>
      <c r="E631"/>
      <c r="F631"/>
      <c r="G631"/>
      <c r="H631"/>
      <c r="I631"/>
      <c r="J631"/>
      <c r="K631"/>
      <c r="L631"/>
      <c r="M631"/>
      <c r="N631"/>
      <c r="O631"/>
      <c r="P631"/>
    </row>
    <row r="632" spans="1:16">
      <c r="A632"/>
      <c r="B632"/>
      <c r="C632"/>
      <c r="D632"/>
      <c r="E632"/>
      <c r="F632"/>
      <c r="G632"/>
      <c r="H632"/>
      <c r="I632"/>
      <c r="J632"/>
      <c r="K632"/>
      <c r="L632"/>
      <c r="M632"/>
      <c r="N632"/>
      <c r="O632"/>
      <c r="P632"/>
    </row>
    <row r="633" spans="1:16">
      <c r="A633"/>
      <c r="B633"/>
      <c r="C633"/>
      <c r="D633"/>
      <c r="E633"/>
      <c r="F633"/>
      <c r="G633"/>
      <c r="H633"/>
      <c r="I633"/>
      <c r="J633"/>
      <c r="K633"/>
      <c r="L633"/>
      <c r="M633"/>
      <c r="N633"/>
      <c r="O633"/>
      <c r="P633"/>
    </row>
    <row r="634" spans="1:16">
      <c r="A634"/>
      <c r="B634"/>
      <c r="C634"/>
      <c r="D634"/>
      <c r="E634"/>
      <c r="F634"/>
      <c r="G634"/>
      <c r="H634"/>
      <c r="I634"/>
      <c r="J634"/>
      <c r="K634"/>
      <c r="L634"/>
      <c r="M634"/>
      <c r="N634"/>
      <c r="O634"/>
      <c r="P634"/>
    </row>
    <row r="635" spans="1:16">
      <c r="A635"/>
      <c r="B635"/>
      <c r="C635"/>
      <c r="D635"/>
      <c r="E635"/>
      <c r="F635"/>
      <c r="G635"/>
      <c r="H635"/>
      <c r="I635"/>
      <c r="J635"/>
      <c r="K635"/>
      <c r="L635"/>
      <c r="M635"/>
      <c r="N635"/>
      <c r="O635"/>
      <c r="P635"/>
    </row>
    <row r="636" spans="1:16">
      <c r="A636"/>
      <c r="B636"/>
      <c r="C636"/>
      <c r="D636"/>
      <c r="E636"/>
      <c r="F636"/>
      <c r="G636"/>
      <c r="H636"/>
      <c r="I636"/>
      <c r="J636"/>
      <c r="K636"/>
      <c r="L636"/>
      <c r="M636"/>
      <c r="N636"/>
      <c r="O636"/>
      <c r="P636"/>
    </row>
    <row r="637" spans="1:16">
      <c r="A637"/>
      <c r="B637"/>
      <c r="C637"/>
      <c r="D637"/>
      <c r="E637"/>
      <c r="F637"/>
      <c r="G637"/>
      <c r="H637"/>
      <c r="I637"/>
      <c r="J637"/>
      <c r="K637"/>
      <c r="L637"/>
      <c r="M637"/>
      <c r="N637"/>
      <c r="O637"/>
      <c r="P637"/>
    </row>
    <row r="638" spans="1:16">
      <c r="A638"/>
      <c r="B638"/>
      <c r="C638"/>
      <c r="D638"/>
      <c r="E638"/>
      <c r="F638"/>
      <c r="G638"/>
      <c r="H638"/>
      <c r="I638"/>
      <c r="J638"/>
      <c r="K638"/>
      <c r="L638"/>
      <c r="M638"/>
      <c r="N638"/>
      <c r="O638"/>
      <c r="P638"/>
    </row>
    <row r="639" spans="1:16">
      <c r="A639"/>
      <c r="B639"/>
      <c r="C639"/>
      <c r="D639"/>
      <c r="E639"/>
      <c r="F639"/>
      <c r="G639"/>
      <c r="H639"/>
      <c r="I639"/>
      <c r="J639"/>
      <c r="K639"/>
      <c r="L639"/>
      <c r="M639"/>
      <c r="N639"/>
      <c r="O639"/>
      <c r="P639"/>
    </row>
    <row r="640" spans="1:16">
      <c r="A640"/>
      <c r="B640"/>
      <c r="C640"/>
      <c r="D640"/>
      <c r="E640"/>
      <c r="F640"/>
      <c r="G640"/>
      <c r="H640"/>
      <c r="I640"/>
      <c r="J640"/>
      <c r="K640"/>
      <c r="L640"/>
      <c r="M640"/>
      <c r="N640"/>
      <c r="O640"/>
      <c r="P640"/>
    </row>
    <row r="641" spans="1:16">
      <c r="A641"/>
      <c r="B641"/>
      <c r="C641"/>
      <c r="D641"/>
      <c r="E641"/>
      <c r="F641"/>
      <c r="G641"/>
      <c r="H641"/>
      <c r="I641"/>
      <c r="J641"/>
      <c r="K641"/>
      <c r="L641"/>
      <c r="M641"/>
      <c r="N641"/>
      <c r="O641"/>
      <c r="P641"/>
    </row>
    <row r="642" spans="1:16">
      <c r="A642"/>
      <c r="B642"/>
      <c r="C642"/>
      <c r="D642"/>
      <c r="E642"/>
      <c r="F642"/>
      <c r="G642"/>
      <c r="H642"/>
      <c r="I642"/>
      <c r="J642"/>
      <c r="K642"/>
      <c r="L642"/>
      <c r="M642"/>
      <c r="N642"/>
      <c r="O642"/>
      <c r="P642"/>
    </row>
    <row r="643" spans="1:16">
      <c r="A643"/>
      <c r="B643"/>
      <c r="C643"/>
      <c r="D643"/>
      <c r="E643"/>
      <c r="F643"/>
      <c r="G643"/>
      <c r="H643"/>
      <c r="I643"/>
      <c r="J643"/>
      <c r="K643"/>
      <c r="L643"/>
      <c r="M643"/>
      <c r="N643"/>
      <c r="O643"/>
      <c r="P643"/>
    </row>
    <row r="644" spans="1:16">
      <c r="A644"/>
      <c r="B644"/>
      <c r="C644"/>
      <c r="D644"/>
      <c r="E644"/>
      <c r="F644"/>
      <c r="G644"/>
      <c r="H644"/>
      <c r="I644"/>
      <c r="J644"/>
      <c r="K644"/>
      <c r="L644"/>
      <c r="M644"/>
      <c r="N644"/>
      <c r="O644"/>
      <c r="P644"/>
    </row>
    <row r="645" spans="1:16">
      <c r="A645"/>
      <c r="B645"/>
      <c r="C645"/>
      <c r="D645"/>
      <c r="E645"/>
      <c r="F645"/>
      <c r="G645"/>
      <c r="H645"/>
      <c r="I645"/>
      <c r="J645"/>
      <c r="K645"/>
      <c r="L645"/>
      <c r="M645"/>
      <c r="N645"/>
      <c r="O645"/>
      <c r="P645"/>
    </row>
    <row r="646" spans="1:16">
      <c r="A646"/>
      <c r="B646"/>
      <c r="C646"/>
      <c r="D646"/>
      <c r="E646"/>
      <c r="F646"/>
      <c r="G646"/>
      <c r="H646"/>
      <c r="I646"/>
      <c r="J646"/>
      <c r="K646"/>
      <c r="L646"/>
      <c r="M646"/>
      <c r="N646"/>
      <c r="O646"/>
      <c r="P646"/>
    </row>
    <row r="647" spans="1:16">
      <c r="A647"/>
      <c r="B647"/>
      <c r="C647"/>
      <c r="D647"/>
      <c r="E647"/>
      <c r="F647"/>
      <c r="G647"/>
      <c r="H647"/>
      <c r="I647"/>
      <c r="J647"/>
      <c r="K647"/>
      <c r="L647"/>
      <c r="M647"/>
      <c r="N647"/>
      <c r="O647"/>
      <c r="P647"/>
    </row>
    <row r="648" spans="1:16">
      <c r="A648"/>
      <c r="B648"/>
      <c r="C648"/>
      <c r="D648"/>
      <c r="E648"/>
      <c r="F648"/>
      <c r="G648"/>
      <c r="H648"/>
      <c r="I648"/>
      <c r="J648"/>
      <c r="K648"/>
      <c r="L648"/>
      <c r="M648"/>
      <c r="N648"/>
      <c r="O648"/>
      <c r="P648"/>
    </row>
    <row r="649" spans="1:16">
      <c r="A649"/>
      <c r="B649"/>
      <c r="C649"/>
      <c r="D649"/>
      <c r="E649"/>
      <c r="F649"/>
      <c r="G649"/>
      <c r="H649"/>
      <c r="I649"/>
      <c r="J649"/>
      <c r="K649"/>
      <c r="L649"/>
      <c r="M649"/>
      <c r="N649"/>
      <c r="O649"/>
      <c r="P649"/>
    </row>
    <row r="650" spans="1:16">
      <c r="A650"/>
      <c r="B650"/>
      <c r="C650"/>
      <c r="D650"/>
      <c r="E650"/>
      <c r="F650"/>
      <c r="G650"/>
      <c r="H650"/>
      <c r="I650"/>
      <c r="J650"/>
      <c r="K650"/>
      <c r="L650"/>
      <c r="M650"/>
      <c r="N650"/>
      <c r="O650"/>
      <c r="P650"/>
    </row>
    <row r="651" spans="1:16">
      <c r="A651"/>
      <c r="B651"/>
      <c r="C651"/>
      <c r="D651"/>
      <c r="E651"/>
      <c r="F651"/>
      <c r="G651"/>
      <c r="H651"/>
      <c r="I651"/>
      <c r="J651"/>
      <c r="K651"/>
      <c r="L651"/>
      <c r="M651"/>
      <c r="N651"/>
      <c r="O651"/>
      <c r="P651"/>
    </row>
    <row r="652" spans="1:16">
      <c r="A652"/>
      <c r="B652"/>
      <c r="C652"/>
      <c r="D652"/>
      <c r="E652"/>
      <c r="F652"/>
      <c r="G652"/>
      <c r="H652"/>
      <c r="I652"/>
      <c r="J652"/>
      <c r="K652"/>
      <c r="L652"/>
      <c r="M652"/>
      <c r="N652"/>
      <c r="O652"/>
      <c r="P652"/>
    </row>
    <row r="653" spans="1:16">
      <c r="A653"/>
      <c r="B653"/>
      <c r="C653"/>
      <c r="D653"/>
      <c r="E653"/>
      <c r="F653"/>
      <c r="G653"/>
      <c r="H653"/>
      <c r="I653"/>
      <c r="J653"/>
      <c r="K653"/>
      <c r="L653"/>
      <c r="M653"/>
      <c r="N653"/>
      <c r="O653"/>
      <c r="P653"/>
    </row>
    <row r="654" spans="1:16">
      <c r="A654"/>
      <c r="B654"/>
      <c r="C654"/>
      <c r="D654"/>
      <c r="E654"/>
      <c r="F654"/>
      <c r="G654"/>
      <c r="H654"/>
      <c r="I654"/>
      <c r="J654"/>
      <c r="K654"/>
      <c r="L654"/>
      <c r="M654"/>
      <c r="N654"/>
      <c r="O654"/>
      <c r="P654"/>
    </row>
    <row r="655" spans="1:16">
      <c r="A655"/>
      <c r="B655"/>
      <c r="C655"/>
      <c r="D655"/>
      <c r="E655"/>
      <c r="F655"/>
      <c r="G655"/>
      <c r="H655"/>
      <c r="I655"/>
      <c r="J655"/>
      <c r="K655"/>
      <c r="L655"/>
      <c r="M655"/>
      <c r="N655"/>
      <c r="O655"/>
      <c r="P655"/>
    </row>
    <row r="656" spans="1:16">
      <c r="A656"/>
      <c r="B656"/>
      <c r="C656"/>
      <c r="D656"/>
      <c r="E656"/>
      <c r="F656"/>
      <c r="G656"/>
      <c r="H656"/>
      <c r="I656"/>
      <c r="J656"/>
      <c r="K656"/>
      <c r="L656"/>
      <c r="M656"/>
      <c r="N656"/>
      <c r="O656"/>
      <c r="P656"/>
    </row>
    <row r="657" spans="1:16">
      <c r="A657"/>
      <c r="B657"/>
      <c r="C657"/>
      <c r="D657"/>
      <c r="E657"/>
      <c r="F657"/>
      <c r="G657"/>
      <c r="H657"/>
      <c r="I657"/>
      <c r="J657"/>
      <c r="K657"/>
      <c r="L657"/>
      <c r="M657"/>
      <c r="N657"/>
      <c r="O657"/>
      <c r="P657"/>
    </row>
    <row r="658" spans="1:16">
      <c r="A658"/>
      <c r="B658"/>
      <c r="C658"/>
      <c r="D658"/>
      <c r="E658"/>
      <c r="F658"/>
      <c r="G658"/>
      <c r="H658"/>
      <c r="I658"/>
      <c r="J658"/>
      <c r="K658"/>
      <c r="L658"/>
      <c r="M658"/>
      <c r="N658"/>
      <c r="O658"/>
      <c r="P658"/>
    </row>
    <row r="659" spans="1:16">
      <c r="A659"/>
      <c r="B659"/>
      <c r="C659"/>
      <c r="D659"/>
      <c r="E659"/>
      <c r="F659"/>
      <c r="G659"/>
      <c r="H659"/>
      <c r="I659"/>
      <c r="J659"/>
      <c r="K659"/>
      <c r="L659"/>
      <c r="M659"/>
      <c r="N659"/>
      <c r="O659"/>
      <c r="P659"/>
    </row>
    <row r="660" spans="1:16">
      <c r="A660"/>
      <c r="B660"/>
      <c r="C660"/>
      <c r="D660"/>
      <c r="E660"/>
      <c r="F660"/>
      <c r="G660"/>
      <c r="H660"/>
      <c r="I660"/>
      <c r="J660"/>
      <c r="K660"/>
      <c r="L660"/>
      <c r="M660"/>
      <c r="N660"/>
      <c r="O660"/>
      <c r="P660"/>
    </row>
    <row r="661" spans="1:16">
      <c r="A661"/>
      <c r="B661"/>
      <c r="C661"/>
      <c r="D661"/>
      <c r="E661"/>
      <c r="F661"/>
      <c r="G661"/>
      <c r="H661"/>
      <c r="I661"/>
      <c r="J661"/>
      <c r="K661"/>
      <c r="L661"/>
      <c r="M661"/>
      <c r="N661"/>
      <c r="O661"/>
      <c r="P661"/>
    </row>
    <row r="662" spans="1:16">
      <c r="A662"/>
      <c r="B662"/>
      <c r="C662"/>
      <c r="D662"/>
      <c r="E662"/>
      <c r="F662"/>
      <c r="G662"/>
      <c r="H662"/>
      <c r="I662"/>
      <c r="J662"/>
      <c r="K662"/>
      <c r="L662"/>
      <c r="M662"/>
      <c r="N662"/>
      <c r="O662"/>
      <c r="P662"/>
    </row>
    <row r="663" spans="1:16">
      <c r="A663"/>
      <c r="B663"/>
      <c r="C663"/>
      <c r="D663"/>
      <c r="E663"/>
      <c r="F663"/>
      <c r="G663"/>
      <c r="H663"/>
      <c r="I663"/>
      <c r="J663"/>
      <c r="K663"/>
      <c r="L663"/>
      <c r="M663"/>
      <c r="N663"/>
      <c r="O663"/>
      <c r="P663"/>
    </row>
    <row r="664" spans="1:16">
      <c r="A664"/>
      <c r="B664"/>
      <c r="C664"/>
      <c r="D664"/>
      <c r="E664"/>
      <c r="F664"/>
      <c r="G664"/>
      <c r="H664"/>
      <c r="I664"/>
      <c r="J664"/>
      <c r="K664"/>
      <c r="L664"/>
      <c r="M664"/>
      <c r="N664"/>
      <c r="O664"/>
      <c r="P664"/>
    </row>
    <row r="665" spans="1:16">
      <c r="A665"/>
      <c r="B665"/>
      <c r="C665"/>
      <c r="D665"/>
      <c r="E665"/>
      <c r="F665"/>
      <c r="G665"/>
      <c r="H665"/>
      <c r="I665"/>
      <c r="J665"/>
      <c r="K665"/>
      <c r="L665"/>
      <c r="M665"/>
      <c r="N665"/>
      <c r="O665"/>
      <c r="P665"/>
    </row>
    <row r="666" spans="1:16">
      <c r="A666"/>
      <c r="B666"/>
      <c r="C666"/>
      <c r="D666"/>
      <c r="E666"/>
      <c r="F666"/>
      <c r="G666"/>
      <c r="H666"/>
      <c r="I666"/>
      <c r="J666"/>
      <c r="K666"/>
      <c r="L666"/>
      <c r="M666"/>
      <c r="N666"/>
      <c r="O666"/>
      <c r="P666"/>
    </row>
    <row r="667" spans="1:16">
      <c r="A667"/>
      <c r="B667"/>
      <c r="C667"/>
      <c r="D667"/>
      <c r="E667"/>
      <c r="F667"/>
      <c r="G667"/>
      <c r="H667"/>
      <c r="I667"/>
      <c r="J667"/>
      <c r="K667"/>
      <c r="L667"/>
      <c r="M667"/>
      <c r="N667"/>
      <c r="O667"/>
      <c r="P667"/>
    </row>
    <row r="668" spans="1:16">
      <c r="A668"/>
      <c r="B668"/>
      <c r="C668"/>
      <c r="D668"/>
      <c r="E668"/>
      <c r="F668"/>
      <c r="G668"/>
      <c r="H668"/>
      <c r="I668"/>
      <c r="J668"/>
      <c r="K668"/>
      <c r="L668"/>
      <c r="M668"/>
      <c r="N668"/>
      <c r="O668"/>
      <c r="P668"/>
    </row>
    <row r="669" spans="1:16">
      <c r="A669"/>
      <c r="B669"/>
      <c r="C669"/>
      <c r="D669"/>
      <c r="E669"/>
      <c r="F669"/>
      <c r="G669"/>
      <c r="H669"/>
      <c r="I669"/>
      <c r="J669"/>
      <c r="K669"/>
      <c r="L669"/>
      <c r="M669"/>
      <c r="N669"/>
      <c r="O669"/>
      <c r="P669"/>
    </row>
    <row r="670" spans="1:16">
      <c r="A670"/>
      <c r="B670"/>
      <c r="C670"/>
      <c r="D670"/>
      <c r="E670"/>
      <c r="F670"/>
      <c r="G670"/>
      <c r="H670"/>
      <c r="I670"/>
      <c r="J670"/>
      <c r="K670"/>
      <c r="L670"/>
      <c r="M670"/>
      <c r="N670"/>
      <c r="O670"/>
      <c r="P670"/>
    </row>
    <row r="671" spans="1:16">
      <c r="A671"/>
      <c r="B671"/>
      <c r="C671"/>
      <c r="D671"/>
      <c r="E671"/>
      <c r="F671"/>
      <c r="G671"/>
      <c r="H671"/>
      <c r="I671"/>
      <c r="J671"/>
      <c r="K671"/>
      <c r="L671"/>
      <c r="M671"/>
      <c r="N671"/>
      <c r="O671"/>
      <c r="P671"/>
    </row>
    <row r="672" spans="1:16">
      <c r="A672"/>
      <c r="B672"/>
      <c r="C672"/>
      <c r="D672"/>
      <c r="E672"/>
      <c r="F672"/>
      <c r="G672"/>
      <c r="H672"/>
      <c r="I672"/>
      <c r="J672"/>
      <c r="K672"/>
      <c r="L672"/>
      <c r="M672"/>
      <c r="N672"/>
      <c r="O672"/>
      <c r="P672"/>
    </row>
    <row r="673" spans="1:16">
      <c r="A673"/>
      <c r="B673"/>
      <c r="C673"/>
      <c r="D673"/>
      <c r="E673"/>
      <c r="F673"/>
      <c r="G673"/>
      <c r="H673"/>
      <c r="I673"/>
      <c r="J673"/>
      <c r="K673"/>
      <c r="L673"/>
      <c r="M673"/>
      <c r="N673"/>
      <c r="O673"/>
      <c r="P673"/>
    </row>
    <row r="674" spans="1:16">
      <c r="A674"/>
      <c r="B674"/>
      <c r="C674"/>
      <c r="D674"/>
      <c r="E674"/>
      <c r="F674"/>
      <c r="G674"/>
      <c r="H674"/>
      <c r="I674"/>
      <c r="J674"/>
      <c r="K674"/>
      <c r="L674"/>
      <c r="M674"/>
      <c r="N674"/>
      <c r="O674"/>
      <c r="P674"/>
    </row>
    <row r="675" spans="1:16">
      <c r="A675"/>
      <c r="B675"/>
      <c r="C675"/>
      <c r="D675"/>
      <c r="E675"/>
      <c r="F675"/>
      <c r="G675"/>
      <c r="H675"/>
      <c r="I675"/>
      <c r="J675"/>
      <c r="K675"/>
      <c r="L675"/>
      <c r="M675"/>
      <c r="N675"/>
      <c r="O675"/>
      <c r="P675"/>
    </row>
    <row r="676" spans="1:16">
      <c r="A676"/>
      <c r="B676"/>
      <c r="C676"/>
      <c r="D676"/>
      <c r="E676"/>
      <c r="F676"/>
      <c r="G676"/>
      <c r="H676"/>
      <c r="I676"/>
      <c r="J676"/>
      <c r="K676"/>
      <c r="L676"/>
      <c r="M676"/>
      <c r="N676"/>
      <c r="O676"/>
      <c r="P676"/>
    </row>
    <row r="677" spans="1:16">
      <c r="A677"/>
      <c r="B677"/>
      <c r="C677"/>
      <c r="D677"/>
      <c r="E677"/>
      <c r="F677"/>
      <c r="G677"/>
      <c r="H677"/>
      <c r="I677"/>
      <c r="J677"/>
      <c r="K677"/>
      <c r="L677"/>
      <c r="M677"/>
      <c r="N677"/>
      <c r="O677"/>
      <c r="P677"/>
    </row>
    <row r="678" spans="1:16">
      <c r="A678"/>
      <c r="B678"/>
      <c r="C678"/>
      <c r="D678"/>
      <c r="E678"/>
      <c r="F678"/>
      <c r="G678"/>
      <c r="H678"/>
      <c r="I678"/>
      <c r="J678"/>
      <c r="K678"/>
      <c r="L678"/>
      <c r="M678"/>
      <c r="N678"/>
      <c r="O678"/>
      <c r="P678"/>
    </row>
    <row r="679" spans="1:16">
      <c r="A679"/>
      <c r="B679"/>
      <c r="C679"/>
      <c r="D679"/>
      <c r="E679"/>
      <c r="F679"/>
      <c r="G679"/>
      <c r="H679"/>
      <c r="I679"/>
      <c r="J679"/>
      <c r="K679"/>
      <c r="L679"/>
      <c r="M679"/>
      <c r="N679"/>
      <c r="O679"/>
      <c r="P679"/>
    </row>
    <row r="680" spans="1:16">
      <c r="A680"/>
      <c r="B680"/>
      <c r="C680"/>
      <c r="D680"/>
      <c r="E680"/>
      <c r="F680"/>
      <c r="G680"/>
      <c r="H680"/>
      <c r="I680"/>
      <c r="J680"/>
      <c r="K680"/>
      <c r="L680"/>
      <c r="M680"/>
      <c r="N680"/>
      <c r="O680"/>
      <c r="P680"/>
    </row>
    <row r="681" spans="1:16">
      <c r="A681"/>
      <c r="B681"/>
      <c r="C681"/>
      <c r="D681"/>
      <c r="E681"/>
      <c r="F681"/>
      <c r="G681"/>
      <c r="H681"/>
      <c r="I681"/>
      <c r="J681"/>
      <c r="K681"/>
      <c r="L681"/>
      <c r="M681"/>
      <c r="N681"/>
      <c r="O681"/>
      <c r="P681"/>
    </row>
    <row r="682" spans="1:16">
      <c r="A682"/>
      <c r="B682"/>
      <c r="C682"/>
      <c r="D682"/>
      <c r="E682"/>
      <c r="F682"/>
      <c r="G682"/>
      <c r="H682"/>
      <c r="I682"/>
      <c r="J682"/>
      <c r="K682"/>
      <c r="L682"/>
      <c r="M682"/>
      <c r="N682"/>
      <c r="O682"/>
      <c r="P682"/>
    </row>
    <row r="683" spans="1:16">
      <c r="A683"/>
      <c r="B683"/>
      <c r="C683"/>
      <c r="D683"/>
      <c r="E683"/>
      <c r="F683"/>
      <c r="G683"/>
      <c r="H683"/>
      <c r="I683"/>
      <c r="J683"/>
      <c r="K683"/>
      <c r="L683"/>
      <c r="M683"/>
      <c r="N683"/>
      <c r="O683"/>
      <c r="P683"/>
    </row>
    <row r="684" spans="1:16">
      <c r="A684"/>
      <c r="B684"/>
      <c r="C684"/>
      <c r="D684"/>
      <c r="E684"/>
      <c r="F684"/>
      <c r="G684"/>
      <c r="H684"/>
      <c r="I684"/>
      <c r="J684"/>
      <c r="K684"/>
      <c r="L684"/>
      <c r="M684"/>
      <c r="N684"/>
      <c r="O684"/>
      <c r="P684"/>
    </row>
    <row r="685" spans="1:16">
      <c r="A685"/>
      <c r="B685"/>
      <c r="C685"/>
      <c r="D685"/>
      <c r="E685"/>
      <c r="F685"/>
      <c r="G685"/>
      <c r="H685"/>
      <c r="I685"/>
      <c r="J685"/>
      <c r="K685"/>
      <c r="L685"/>
      <c r="M685"/>
      <c r="N685"/>
      <c r="O685"/>
      <c r="P685"/>
    </row>
    <row r="686" spans="1:16">
      <c r="A686"/>
      <c r="B686"/>
      <c r="C686"/>
      <c r="D686"/>
      <c r="E686"/>
      <c r="F686"/>
      <c r="G686"/>
      <c r="H686"/>
      <c r="I686"/>
      <c r="J686"/>
      <c r="K686"/>
      <c r="L686"/>
      <c r="M686"/>
      <c r="N686"/>
      <c r="O686"/>
      <c r="P686"/>
    </row>
    <row r="687" spans="1:16">
      <c r="A687"/>
      <c r="B687"/>
      <c r="C687"/>
      <c r="D687"/>
      <c r="E687"/>
      <c r="F687"/>
      <c r="G687"/>
      <c r="H687"/>
      <c r="I687"/>
      <c r="J687"/>
      <c r="K687"/>
      <c r="L687"/>
      <c r="M687"/>
      <c r="N687"/>
      <c r="O687"/>
      <c r="P687"/>
    </row>
    <row r="688" spans="1:16">
      <c r="A688"/>
      <c r="B688"/>
      <c r="C688"/>
      <c r="D688"/>
      <c r="E688"/>
      <c r="F688"/>
      <c r="G688"/>
      <c r="H688"/>
      <c r="I688"/>
      <c r="J688"/>
      <c r="K688"/>
      <c r="L688"/>
      <c r="M688"/>
      <c r="N688"/>
      <c r="O688"/>
      <c r="P688"/>
    </row>
    <row r="689" spans="1:16">
      <c r="A689"/>
      <c r="B689"/>
      <c r="C689"/>
      <c r="D689"/>
      <c r="E689"/>
      <c r="F689"/>
      <c r="G689"/>
      <c r="H689"/>
      <c r="I689"/>
      <c r="J689"/>
      <c r="K689"/>
      <c r="L689"/>
      <c r="M689"/>
      <c r="N689"/>
      <c r="O689"/>
      <c r="P689"/>
    </row>
    <row r="690" spans="1:16">
      <c r="A690"/>
      <c r="B690"/>
      <c r="C690"/>
      <c r="D690"/>
      <c r="E690"/>
      <c r="F690"/>
      <c r="G690"/>
      <c r="H690"/>
      <c r="I690"/>
      <c r="J690"/>
      <c r="K690"/>
      <c r="L690"/>
      <c r="M690"/>
      <c r="N690"/>
      <c r="O690"/>
      <c r="P690"/>
    </row>
    <row r="691" spans="1:16">
      <c r="A691"/>
      <c r="B691"/>
      <c r="C691"/>
      <c r="D691"/>
      <c r="E691"/>
      <c r="F691"/>
      <c r="G691"/>
      <c r="H691"/>
      <c r="I691"/>
      <c r="J691"/>
      <c r="K691"/>
      <c r="L691"/>
      <c r="M691"/>
      <c r="N691"/>
      <c r="O691"/>
      <c r="P691"/>
    </row>
    <row r="692" spans="1:16">
      <c r="A692"/>
      <c r="B692"/>
      <c r="C692"/>
      <c r="D692"/>
      <c r="E692"/>
      <c r="F692"/>
      <c r="G692"/>
      <c r="H692"/>
      <c r="I692"/>
      <c r="J692"/>
      <c r="K692"/>
      <c r="L692"/>
      <c r="M692"/>
      <c r="N692"/>
      <c r="O692"/>
      <c r="P692"/>
    </row>
    <row r="693" spans="1:16">
      <c r="A693"/>
      <c r="B693"/>
      <c r="C693"/>
      <c r="D693"/>
      <c r="E693"/>
      <c r="F693"/>
      <c r="G693"/>
      <c r="H693"/>
      <c r="I693"/>
      <c r="J693"/>
      <c r="K693"/>
      <c r="L693"/>
      <c r="M693"/>
      <c r="N693"/>
      <c r="O693"/>
      <c r="P693"/>
    </row>
    <row r="694" spans="1:16">
      <c r="A694"/>
      <c r="B694"/>
      <c r="C694"/>
      <c r="D694"/>
      <c r="E694"/>
      <c r="F694"/>
      <c r="G694"/>
      <c r="H694"/>
      <c r="I694"/>
      <c r="J694"/>
      <c r="K694"/>
      <c r="L694"/>
      <c r="M694"/>
      <c r="N694"/>
      <c r="O694"/>
      <c r="P694"/>
    </row>
    <row r="695" spans="1:16">
      <c r="A695"/>
      <c r="B695"/>
      <c r="C695"/>
      <c r="D695"/>
      <c r="E695"/>
      <c r="F695"/>
      <c r="G695"/>
      <c r="H695"/>
      <c r="I695"/>
      <c r="J695"/>
      <c r="K695"/>
      <c r="L695"/>
      <c r="M695"/>
      <c r="N695"/>
      <c r="O695"/>
      <c r="P695"/>
    </row>
    <row r="696" spans="1:16">
      <c r="A696"/>
      <c r="B696"/>
      <c r="C696"/>
      <c r="D696"/>
      <c r="E696"/>
      <c r="F696"/>
      <c r="G696"/>
      <c r="H696"/>
      <c r="I696"/>
      <c r="J696"/>
      <c r="K696"/>
      <c r="L696"/>
      <c r="M696"/>
      <c r="N696"/>
      <c r="O696"/>
      <c r="P696"/>
    </row>
    <row r="697" spans="1:16">
      <c r="A697"/>
      <c r="B697"/>
      <c r="C697"/>
      <c r="D697"/>
      <c r="E697"/>
      <c r="F697"/>
      <c r="G697"/>
      <c r="H697"/>
      <c r="I697"/>
      <c r="J697"/>
      <c r="K697"/>
      <c r="L697"/>
      <c r="M697"/>
      <c r="N697"/>
      <c r="O697"/>
      <c r="P697"/>
    </row>
    <row r="698" spans="1:16">
      <c r="A698"/>
      <c r="B698"/>
      <c r="C698"/>
      <c r="D698"/>
      <c r="E698"/>
      <c r="F698"/>
      <c r="G698"/>
      <c r="H698"/>
      <c r="I698"/>
      <c r="J698"/>
      <c r="K698"/>
      <c r="L698"/>
      <c r="M698"/>
      <c r="N698"/>
      <c r="O698"/>
      <c r="P698"/>
    </row>
    <row r="699" spans="1:16">
      <c r="A699"/>
      <c r="B699"/>
      <c r="C699"/>
      <c r="D699"/>
      <c r="E699"/>
      <c r="F699"/>
      <c r="G699"/>
      <c r="H699"/>
      <c r="I699"/>
      <c r="J699"/>
      <c r="K699"/>
      <c r="L699"/>
      <c r="M699"/>
      <c r="N699"/>
      <c r="O699"/>
      <c r="P699"/>
    </row>
    <row r="700" spans="1:16">
      <c r="A700"/>
      <c r="B700"/>
      <c r="C700"/>
      <c r="D700"/>
      <c r="E700"/>
      <c r="F700"/>
      <c r="G700"/>
      <c r="H700"/>
      <c r="I700"/>
      <c r="J700"/>
      <c r="K700"/>
      <c r="L700"/>
      <c r="M700"/>
      <c r="N700"/>
      <c r="O700"/>
      <c r="P700"/>
    </row>
    <row r="701" spans="1:16">
      <c r="A701"/>
      <c r="B701"/>
      <c r="C701"/>
      <c r="D701"/>
      <c r="E701"/>
      <c r="F701"/>
      <c r="G701"/>
      <c r="H701"/>
      <c r="I701"/>
      <c r="J701"/>
      <c r="K701"/>
      <c r="L701"/>
      <c r="M701"/>
      <c r="N701"/>
      <c r="O701"/>
      <c r="P701"/>
    </row>
    <row r="702" spans="1:16">
      <c r="A702"/>
      <c r="B702"/>
      <c r="C702"/>
      <c r="D702"/>
      <c r="E702"/>
      <c r="F702"/>
      <c r="G702"/>
      <c r="H702"/>
      <c r="I702"/>
      <c r="J702"/>
      <c r="K702"/>
      <c r="L702"/>
      <c r="M702"/>
      <c r="N702"/>
      <c r="O702"/>
      <c r="P702"/>
    </row>
    <row r="703" spans="1:16">
      <c r="A703"/>
      <c r="B703"/>
      <c r="C703"/>
      <c r="D703"/>
      <c r="E703"/>
      <c r="F703"/>
      <c r="G703"/>
      <c r="H703"/>
      <c r="I703"/>
      <c r="J703"/>
      <c r="K703"/>
      <c r="L703"/>
      <c r="M703"/>
      <c r="N703"/>
      <c r="O703"/>
      <c r="P703"/>
    </row>
    <row r="704" spans="1:16">
      <c r="A704"/>
      <c r="B704"/>
      <c r="C704"/>
      <c r="D704"/>
      <c r="E704"/>
      <c r="F704"/>
      <c r="G704"/>
      <c r="H704"/>
      <c r="I704"/>
      <c r="J704"/>
      <c r="K704"/>
      <c r="L704"/>
      <c r="M704"/>
      <c r="N704"/>
      <c r="O704"/>
      <c r="P704"/>
    </row>
    <row r="705" spans="1:16">
      <c r="A705"/>
      <c r="B705"/>
      <c r="C705"/>
      <c r="D705"/>
      <c r="E705"/>
      <c r="F705"/>
      <c r="G705"/>
      <c r="H705"/>
      <c r="I705"/>
      <c r="J705"/>
      <c r="K705"/>
      <c r="L705"/>
      <c r="M705"/>
      <c r="N705"/>
      <c r="O705"/>
      <c r="P705"/>
    </row>
    <row r="706" spans="1:16">
      <c r="A706"/>
      <c r="B706"/>
      <c r="C706"/>
      <c r="D706"/>
      <c r="E706"/>
      <c r="F706"/>
      <c r="G706"/>
      <c r="H706"/>
      <c r="I706"/>
      <c r="J706"/>
      <c r="K706"/>
      <c r="L706"/>
      <c r="M706"/>
      <c r="N706"/>
      <c r="O706"/>
      <c r="P706"/>
    </row>
    <row r="707" spans="1:16">
      <c r="A707"/>
      <c r="B707"/>
      <c r="C707"/>
      <c r="D707"/>
      <c r="E707"/>
      <c r="F707"/>
      <c r="G707"/>
      <c r="H707"/>
      <c r="I707"/>
      <c r="J707"/>
      <c r="K707"/>
      <c r="L707"/>
      <c r="M707"/>
      <c r="N707"/>
      <c r="O707"/>
      <c r="P707"/>
    </row>
    <row r="708" spans="1:16">
      <c r="A708"/>
      <c r="B708"/>
      <c r="C708"/>
      <c r="D708"/>
      <c r="E708"/>
      <c r="F708"/>
      <c r="G708"/>
      <c r="H708"/>
      <c r="I708"/>
      <c r="J708"/>
      <c r="K708"/>
      <c r="L708"/>
      <c r="M708"/>
      <c r="N708"/>
      <c r="O708"/>
      <c r="P708"/>
    </row>
    <row r="709" spans="1:16">
      <c r="A709"/>
      <c r="B709"/>
      <c r="C709"/>
      <c r="D709"/>
      <c r="E709"/>
      <c r="F709"/>
      <c r="G709"/>
      <c r="H709"/>
      <c r="I709"/>
      <c r="J709"/>
      <c r="K709"/>
      <c r="L709"/>
      <c r="M709"/>
      <c r="N709"/>
      <c r="O709"/>
      <c r="P709"/>
    </row>
    <row r="710" spans="1:16">
      <c r="A710"/>
      <c r="B710"/>
      <c r="C710"/>
      <c r="D710"/>
      <c r="E710"/>
      <c r="F710"/>
      <c r="G710"/>
      <c r="H710"/>
      <c r="I710"/>
      <c r="J710"/>
      <c r="K710"/>
      <c r="L710"/>
      <c r="M710"/>
      <c r="N710"/>
      <c r="O710"/>
      <c r="P710"/>
    </row>
    <row r="711" spans="1:16">
      <c r="A711"/>
      <c r="B711"/>
      <c r="C711"/>
      <c r="D711"/>
      <c r="E711"/>
      <c r="F711"/>
      <c r="G711"/>
      <c r="H711"/>
      <c r="I711"/>
      <c r="J711"/>
      <c r="K711"/>
      <c r="L711"/>
      <c r="M711"/>
      <c r="N711"/>
      <c r="O711"/>
      <c r="P711"/>
    </row>
    <row r="712" spans="1:16">
      <c r="A712"/>
      <c r="B712"/>
      <c r="C712"/>
      <c r="D712"/>
      <c r="E712"/>
      <c r="F712"/>
      <c r="G712"/>
      <c r="H712"/>
      <c r="I712"/>
      <c r="J712"/>
      <c r="K712"/>
      <c r="L712"/>
      <c r="M712"/>
      <c r="N712"/>
      <c r="O712"/>
      <c r="P712"/>
    </row>
    <row r="713" spans="1:16">
      <c r="A713"/>
      <c r="B713"/>
      <c r="C713"/>
      <c r="D713"/>
      <c r="E713"/>
      <c r="F713"/>
      <c r="G713"/>
      <c r="H713"/>
      <c r="I713"/>
      <c r="J713"/>
      <c r="K713"/>
      <c r="L713"/>
      <c r="M713"/>
      <c r="N713"/>
      <c r="O713"/>
      <c r="P713"/>
    </row>
    <row r="714" spans="1:16">
      <c r="A714"/>
      <c r="B714"/>
      <c r="C714"/>
      <c r="D714"/>
      <c r="E714"/>
      <c r="F714"/>
      <c r="G714"/>
      <c r="H714"/>
      <c r="I714"/>
      <c r="J714"/>
      <c r="K714"/>
      <c r="L714"/>
      <c r="M714"/>
      <c r="N714"/>
      <c r="O714"/>
      <c r="P714"/>
    </row>
    <row r="715" spans="1:16">
      <c r="A715"/>
      <c r="B715"/>
      <c r="C715"/>
      <c r="D715"/>
      <c r="E715"/>
      <c r="F715"/>
      <c r="G715"/>
      <c r="H715"/>
      <c r="I715"/>
      <c r="J715"/>
      <c r="K715"/>
      <c r="L715"/>
      <c r="M715"/>
      <c r="N715"/>
      <c r="O715"/>
      <c r="P715"/>
    </row>
    <row r="716" spans="1:16">
      <c r="A716"/>
      <c r="B716"/>
      <c r="C716"/>
      <c r="D716"/>
      <c r="E716"/>
      <c r="F716"/>
      <c r="G716"/>
      <c r="H716"/>
      <c r="I716"/>
      <c r="J716"/>
      <c r="K716"/>
      <c r="L716"/>
      <c r="M716"/>
      <c r="N716"/>
      <c r="O716"/>
      <c r="P716"/>
    </row>
    <row r="717" spans="1:16">
      <c r="A717"/>
      <c r="B717"/>
      <c r="C717"/>
      <c r="D717"/>
      <c r="E717"/>
      <c r="F717"/>
      <c r="G717"/>
      <c r="H717"/>
      <c r="I717"/>
      <c r="J717"/>
      <c r="K717"/>
      <c r="L717"/>
      <c r="M717"/>
      <c r="N717"/>
      <c r="O717"/>
      <c r="P717"/>
    </row>
    <row r="718" spans="1:16">
      <c r="A718"/>
      <c r="B718"/>
      <c r="C718"/>
      <c r="D718"/>
      <c r="E718"/>
      <c r="F718"/>
      <c r="G718"/>
      <c r="H718"/>
      <c r="I718"/>
      <c r="J718"/>
      <c r="K718"/>
      <c r="L718"/>
      <c r="M718"/>
      <c r="N718"/>
      <c r="O718"/>
      <c r="P718"/>
    </row>
    <row r="719" spans="1:16">
      <c r="A719"/>
      <c r="B719"/>
      <c r="C719"/>
      <c r="D719"/>
      <c r="E719"/>
      <c r="F719"/>
      <c r="G719"/>
      <c r="H719"/>
      <c r="I719"/>
      <c r="J719"/>
      <c r="K719"/>
      <c r="L719"/>
      <c r="M719"/>
      <c r="N719"/>
      <c r="O719"/>
      <c r="P719"/>
    </row>
    <row r="720" spans="1:16">
      <c r="A720"/>
      <c r="B720"/>
      <c r="C720"/>
      <c r="D720"/>
      <c r="E720"/>
      <c r="F720"/>
      <c r="G720"/>
      <c r="H720"/>
      <c r="I720"/>
      <c r="J720"/>
      <c r="K720"/>
      <c r="L720"/>
      <c r="M720"/>
      <c r="N720"/>
      <c r="O720"/>
      <c r="P720"/>
    </row>
    <row r="721" spans="1:16">
      <c r="A721"/>
      <c r="B721"/>
      <c r="C721"/>
      <c r="D721"/>
      <c r="E721"/>
      <c r="F721"/>
      <c r="G721"/>
      <c r="H721"/>
      <c r="I721"/>
      <c r="J721"/>
      <c r="K721"/>
      <c r="L721"/>
      <c r="M721"/>
      <c r="N721"/>
      <c r="O721"/>
      <c r="P721"/>
    </row>
    <row r="722" spans="1:16">
      <c r="A722"/>
      <c r="B722"/>
      <c r="C722"/>
      <c r="D722"/>
      <c r="E722"/>
      <c r="F722"/>
      <c r="G722"/>
      <c r="H722"/>
      <c r="I722"/>
      <c r="J722"/>
      <c r="K722"/>
      <c r="L722"/>
      <c r="M722"/>
      <c r="N722"/>
      <c r="O722"/>
      <c r="P722"/>
    </row>
    <row r="723" spans="1:16">
      <c r="A723"/>
      <c r="B723"/>
      <c r="C723"/>
      <c r="D723"/>
      <c r="E723"/>
      <c r="F723"/>
      <c r="G723"/>
      <c r="H723"/>
      <c r="I723"/>
      <c r="J723"/>
      <c r="K723"/>
      <c r="L723"/>
      <c r="M723"/>
      <c r="N723"/>
      <c r="O723"/>
      <c r="P723"/>
    </row>
    <row r="724" spans="1:16">
      <c r="A724"/>
      <c r="B724"/>
      <c r="C724"/>
      <c r="D724"/>
      <c r="E724"/>
      <c r="F724"/>
      <c r="G724"/>
      <c r="H724"/>
      <c r="I724"/>
      <c r="J724"/>
      <c r="K724"/>
      <c r="L724"/>
      <c r="M724"/>
      <c r="N724"/>
      <c r="O724"/>
      <c r="P724"/>
    </row>
    <row r="725" spans="1:16">
      <c r="A725"/>
      <c r="B725"/>
      <c r="C725"/>
      <c r="D725"/>
      <c r="E725"/>
      <c r="F725"/>
      <c r="G725"/>
      <c r="H725"/>
      <c r="I725"/>
      <c r="J725"/>
      <c r="K725"/>
      <c r="L725"/>
      <c r="M725"/>
      <c r="N725"/>
      <c r="O725"/>
      <c r="P725"/>
    </row>
    <row r="726" spans="1:16">
      <c r="A726"/>
      <c r="B726"/>
      <c r="C726"/>
      <c r="D726"/>
      <c r="E726"/>
      <c r="F726"/>
      <c r="G726"/>
      <c r="H726"/>
      <c r="I726"/>
      <c r="J726"/>
      <c r="K726"/>
      <c r="L726"/>
      <c r="M726"/>
      <c r="N726"/>
      <c r="O726"/>
      <c r="P726"/>
    </row>
    <row r="727" spans="1:16">
      <c r="A727"/>
      <c r="B727"/>
      <c r="C727"/>
      <c r="D727"/>
      <c r="E727"/>
      <c r="F727"/>
      <c r="G727"/>
      <c r="H727"/>
      <c r="I727"/>
      <c r="J727"/>
      <c r="K727"/>
      <c r="L727"/>
      <c r="M727"/>
      <c r="N727"/>
      <c r="O727"/>
      <c r="P727"/>
    </row>
    <row r="728" spans="1:16">
      <c r="A728"/>
      <c r="B728"/>
      <c r="C728"/>
      <c r="D728"/>
      <c r="E728"/>
      <c r="F728"/>
      <c r="G728"/>
      <c r="H728"/>
      <c r="I728"/>
      <c r="J728"/>
      <c r="K728"/>
      <c r="L728"/>
      <c r="M728"/>
      <c r="N728"/>
      <c r="O728"/>
      <c r="P728"/>
    </row>
    <row r="729" spans="1:16">
      <c r="A729"/>
      <c r="B729"/>
      <c r="C729"/>
      <c r="D729"/>
      <c r="E729"/>
      <c r="F729"/>
      <c r="G729"/>
      <c r="H729"/>
      <c r="I729"/>
      <c r="J729"/>
      <c r="K729"/>
      <c r="L729"/>
      <c r="M729"/>
      <c r="N729"/>
      <c r="O729"/>
      <c r="P729"/>
    </row>
    <row r="730" spans="1:16">
      <c r="A730"/>
      <c r="B730"/>
      <c r="C730"/>
      <c r="D730"/>
      <c r="E730"/>
      <c r="F730"/>
      <c r="G730"/>
      <c r="H730"/>
      <c r="I730"/>
      <c r="J730"/>
      <c r="K730"/>
      <c r="L730"/>
      <c r="M730"/>
      <c r="N730"/>
      <c r="O730"/>
      <c r="P730"/>
    </row>
    <row r="731" spans="1:16">
      <c r="A731"/>
      <c r="B731"/>
      <c r="C731"/>
      <c r="D731"/>
      <c r="E731"/>
      <c r="F731"/>
      <c r="G731"/>
      <c r="H731"/>
      <c r="I731"/>
      <c r="J731"/>
      <c r="K731"/>
      <c r="L731"/>
      <c r="M731"/>
      <c r="N731"/>
      <c r="O731"/>
      <c r="P731"/>
    </row>
    <row r="732" spans="1:16">
      <c r="A732"/>
      <c r="B732"/>
      <c r="C732"/>
      <c r="D732"/>
      <c r="E732"/>
      <c r="F732"/>
      <c r="G732"/>
      <c r="H732"/>
      <c r="I732"/>
      <c r="J732"/>
      <c r="K732"/>
      <c r="L732"/>
      <c r="M732"/>
      <c r="N732"/>
      <c r="O732"/>
      <c r="P732"/>
    </row>
    <row r="733" spans="1:16">
      <c r="A733"/>
      <c r="B733"/>
      <c r="C733"/>
      <c r="D733"/>
      <c r="E733"/>
      <c r="F733"/>
      <c r="G733"/>
      <c r="H733"/>
      <c r="I733"/>
      <c r="J733"/>
      <c r="K733"/>
      <c r="L733"/>
      <c r="M733"/>
      <c r="N733"/>
      <c r="O733"/>
      <c r="P733"/>
    </row>
    <row r="734" spans="1:16">
      <c r="A734"/>
      <c r="B734"/>
      <c r="C734"/>
      <c r="D734"/>
      <c r="E734"/>
      <c r="F734"/>
      <c r="G734"/>
      <c r="H734"/>
      <c r="I734"/>
      <c r="J734"/>
      <c r="K734"/>
      <c r="L734"/>
      <c r="M734"/>
      <c r="N734"/>
      <c r="O734"/>
      <c r="P734"/>
    </row>
    <row r="735" spans="1:16">
      <c r="A735"/>
      <c r="B735"/>
      <c r="C735"/>
      <c r="D735"/>
      <c r="E735"/>
      <c r="F735"/>
      <c r="G735"/>
      <c r="H735"/>
      <c r="I735"/>
      <c r="J735"/>
      <c r="K735"/>
      <c r="L735"/>
      <c r="M735"/>
      <c r="N735"/>
      <c r="O735"/>
      <c r="P735"/>
    </row>
    <row r="736" spans="1:16">
      <c r="A736"/>
      <c r="B736"/>
      <c r="C736"/>
      <c r="D736"/>
      <c r="E736"/>
      <c r="F736"/>
      <c r="G736"/>
      <c r="H736"/>
      <c r="I736"/>
      <c r="J736"/>
      <c r="K736"/>
      <c r="L736"/>
      <c r="M736"/>
      <c r="N736"/>
      <c r="O736"/>
      <c r="P736"/>
    </row>
    <row r="737" spans="1:16">
      <c r="A737"/>
      <c r="B737"/>
      <c r="C737"/>
      <c r="D737"/>
      <c r="E737"/>
      <c r="F737"/>
      <c r="G737"/>
      <c r="H737"/>
      <c r="I737"/>
      <c r="J737"/>
      <c r="K737"/>
      <c r="L737"/>
      <c r="M737"/>
      <c r="N737"/>
      <c r="O737"/>
      <c r="P737"/>
    </row>
    <row r="738" spans="1:16">
      <c r="A738"/>
      <c r="B738"/>
      <c r="C738"/>
      <c r="D738"/>
      <c r="E738"/>
      <c r="F738"/>
      <c r="G738"/>
      <c r="H738"/>
      <c r="I738"/>
      <c r="J738"/>
      <c r="K738"/>
      <c r="L738"/>
      <c r="M738"/>
      <c r="N738"/>
      <c r="O738"/>
      <c r="P738"/>
    </row>
    <row r="739" spans="1:16">
      <c r="A739"/>
      <c r="B739"/>
      <c r="C739"/>
      <c r="D739"/>
      <c r="E739"/>
      <c r="F739"/>
      <c r="G739"/>
      <c r="H739"/>
      <c r="I739"/>
      <c r="J739"/>
      <c r="K739"/>
      <c r="L739"/>
      <c r="M739"/>
      <c r="N739"/>
      <c r="O739"/>
      <c r="P739"/>
    </row>
    <row r="740" spans="1:16">
      <c r="A740"/>
      <c r="B740"/>
      <c r="C740"/>
      <c r="D740"/>
      <c r="E740"/>
      <c r="F740"/>
      <c r="G740"/>
      <c r="H740"/>
      <c r="I740"/>
      <c r="J740"/>
      <c r="K740"/>
      <c r="L740"/>
      <c r="M740"/>
      <c r="N740"/>
      <c r="O740"/>
      <c r="P740"/>
    </row>
    <row r="741" spans="1:16">
      <c r="A741"/>
      <c r="B741"/>
      <c r="C741"/>
      <c r="D741"/>
      <c r="E741"/>
      <c r="F741"/>
      <c r="G741"/>
      <c r="H741"/>
      <c r="I741"/>
      <c r="J741"/>
      <c r="K741"/>
      <c r="L741"/>
      <c r="M741"/>
      <c r="N741"/>
      <c r="O741"/>
      <c r="P741"/>
    </row>
    <row r="742" spans="1:16">
      <c r="A742"/>
      <c r="B742"/>
      <c r="C742"/>
      <c r="D742"/>
      <c r="E742"/>
      <c r="F742"/>
      <c r="G742"/>
      <c r="H742"/>
      <c r="I742"/>
      <c r="J742"/>
      <c r="K742"/>
      <c r="L742"/>
      <c r="M742"/>
      <c r="N742"/>
      <c r="O742"/>
      <c r="P742"/>
    </row>
    <row r="743" spans="1:16">
      <c r="A743"/>
      <c r="B743"/>
      <c r="C743"/>
      <c r="D743"/>
      <c r="E743"/>
      <c r="F743"/>
      <c r="G743"/>
      <c r="H743"/>
      <c r="I743"/>
      <c r="J743"/>
      <c r="K743"/>
      <c r="L743"/>
      <c r="M743"/>
      <c r="N743"/>
      <c r="O743"/>
      <c r="P743"/>
    </row>
    <row r="744" spans="1:16">
      <c r="A744"/>
      <c r="B744"/>
      <c r="C744"/>
      <c r="D744"/>
      <c r="E744"/>
      <c r="F744"/>
      <c r="G744"/>
      <c r="H744"/>
      <c r="I744"/>
      <c r="J744"/>
      <c r="K744"/>
      <c r="L744"/>
      <c r="M744"/>
      <c r="N744"/>
      <c r="O744"/>
      <c r="P744"/>
    </row>
    <row r="745" spans="1:16">
      <c r="A745"/>
      <c r="B745"/>
      <c r="C745"/>
      <c r="D745"/>
      <c r="E745"/>
      <c r="F745"/>
      <c r="G745"/>
      <c r="H745"/>
      <c r="I745"/>
      <c r="J745"/>
      <c r="K745"/>
      <c r="L745"/>
      <c r="M745"/>
      <c r="N745"/>
      <c r="O745"/>
      <c r="P745"/>
    </row>
    <row r="746" spans="1:16">
      <c r="A746"/>
      <c r="B746"/>
      <c r="C746"/>
      <c r="D746"/>
      <c r="E746"/>
      <c r="F746"/>
      <c r="G746"/>
      <c r="H746"/>
      <c r="I746"/>
      <c r="J746"/>
      <c r="K746"/>
      <c r="L746"/>
      <c r="M746"/>
      <c r="N746"/>
      <c r="O746"/>
      <c r="P746"/>
    </row>
    <row r="747" spans="1:16">
      <c r="A747"/>
      <c r="B747"/>
      <c r="C747"/>
      <c r="D747"/>
      <c r="E747"/>
      <c r="F747"/>
      <c r="G747"/>
      <c r="H747"/>
      <c r="I747"/>
      <c r="J747"/>
      <c r="K747"/>
      <c r="L747"/>
      <c r="M747"/>
      <c r="N747"/>
      <c r="O747"/>
      <c r="P747"/>
    </row>
    <row r="748" spans="1:16">
      <c r="A748"/>
      <c r="B748"/>
      <c r="C748"/>
      <c r="D748"/>
      <c r="E748"/>
      <c r="F748"/>
      <c r="G748"/>
      <c r="H748"/>
      <c r="I748"/>
      <c r="J748"/>
      <c r="K748"/>
      <c r="L748"/>
      <c r="M748"/>
      <c r="N748"/>
      <c r="O748"/>
      <c r="P748"/>
    </row>
    <row r="749" spans="1:16">
      <c r="A749"/>
      <c r="B749"/>
      <c r="C749"/>
      <c r="D749"/>
      <c r="E749"/>
      <c r="F749"/>
      <c r="G749"/>
      <c r="H749"/>
      <c r="I749"/>
      <c r="J749"/>
      <c r="K749"/>
      <c r="L749"/>
      <c r="M749"/>
      <c r="N749"/>
      <c r="O749"/>
      <c r="P749"/>
    </row>
    <row r="750" spans="1:16">
      <c r="A750"/>
      <c r="B750"/>
      <c r="C750"/>
      <c r="D750"/>
      <c r="E750"/>
      <c r="F750"/>
      <c r="G750"/>
      <c r="H750"/>
      <c r="I750"/>
      <c r="J750"/>
      <c r="K750"/>
      <c r="L750"/>
      <c r="M750"/>
      <c r="N750"/>
      <c r="O750"/>
      <c r="P750"/>
    </row>
    <row r="751" spans="1:16">
      <c r="A751"/>
      <c r="B751"/>
      <c r="C751"/>
      <c r="D751"/>
      <c r="E751"/>
      <c r="F751"/>
      <c r="G751"/>
      <c r="H751"/>
      <c r="I751"/>
      <c r="J751"/>
      <c r="K751"/>
      <c r="L751"/>
      <c r="M751"/>
      <c r="N751"/>
      <c r="O751"/>
      <c r="P751"/>
    </row>
    <row r="752" spans="1:16">
      <c r="A752"/>
      <c r="B752"/>
      <c r="C752"/>
      <c r="D752"/>
      <c r="E752"/>
      <c r="F752"/>
      <c r="G752"/>
      <c r="H752"/>
      <c r="I752"/>
      <c r="J752"/>
      <c r="K752"/>
      <c r="L752"/>
      <c r="M752"/>
      <c r="N752"/>
      <c r="O752"/>
      <c r="P752"/>
    </row>
    <row r="753" spans="1:16">
      <c r="A753"/>
      <c r="B753"/>
      <c r="C753"/>
      <c r="D753"/>
      <c r="E753"/>
      <c r="F753"/>
      <c r="G753"/>
      <c r="H753"/>
      <c r="I753"/>
      <c r="J753"/>
      <c r="K753"/>
      <c r="L753"/>
      <c r="M753"/>
      <c r="N753"/>
      <c r="O753"/>
      <c r="P753"/>
    </row>
    <row r="754" spans="1:16">
      <c r="A754"/>
      <c r="B754"/>
      <c r="C754"/>
      <c r="D754"/>
      <c r="E754"/>
      <c r="F754"/>
      <c r="G754"/>
      <c r="H754"/>
      <c r="I754"/>
      <c r="J754"/>
      <c r="K754"/>
      <c r="L754"/>
      <c r="M754"/>
      <c r="N754"/>
      <c r="O754"/>
      <c r="P754"/>
    </row>
    <row r="755" spans="1:16">
      <c r="A755"/>
      <c r="B755"/>
      <c r="C755"/>
      <c r="D755"/>
      <c r="E755"/>
      <c r="F755"/>
      <c r="G755"/>
      <c r="H755"/>
      <c r="I755"/>
      <c r="J755"/>
      <c r="K755"/>
      <c r="L755"/>
      <c r="M755"/>
      <c r="N755"/>
      <c r="O755"/>
      <c r="P755"/>
    </row>
    <row r="756" spans="1:16">
      <c r="A756"/>
      <c r="B756"/>
      <c r="C756"/>
      <c r="D756"/>
      <c r="E756"/>
      <c r="F756"/>
      <c r="G756"/>
      <c r="H756"/>
      <c r="I756"/>
      <c r="J756"/>
      <c r="K756"/>
      <c r="L756"/>
      <c r="M756"/>
      <c r="N756"/>
      <c r="O756"/>
      <c r="P756"/>
    </row>
    <row r="757" spans="1:16">
      <c r="A757"/>
      <c r="B757"/>
      <c r="C757"/>
      <c r="D757"/>
      <c r="E757"/>
      <c r="F757"/>
      <c r="G757"/>
      <c r="H757"/>
      <c r="I757"/>
      <c r="J757"/>
      <c r="K757"/>
      <c r="L757"/>
      <c r="M757"/>
      <c r="N757"/>
      <c r="O757"/>
      <c r="P757"/>
    </row>
    <row r="758" spans="1:16">
      <c r="A758"/>
      <c r="B758"/>
      <c r="C758"/>
      <c r="D758"/>
      <c r="E758"/>
      <c r="F758"/>
      <c r="G758"/>
      <c r="H758"/>
      <c r="I758"/>
      <c r="J758"/>
      <c r="K758"/>
      <c r="L758"/>
      <c r="M758"/>
      <c r="N758"/>
      <c r="O758"/>
      <c r="P758"/>
    </row>
    <row r="759" spans="1:16">
      <c r="A759"/>
      <c r="B759"/>
      <c r="C759"/>
      <c r="D759"/>
      <c r="E759"/>
      <c r="F759"/>
      <c r="G759"/>
      <c r="H759"/>
      <c r="I759"/>
      <c r="J759"/>
      <c r="K759"/>
      <c r="L759"/>
      <c r="M759"/>
      <c r="N759"/>
      <c r="O759"/>
      <c r="P759"/>
    </row>
    <row r="760" spans="1:16">
      <c r="A760"/>
      <c r="B760"/>
      <c r="C760"/>
      <c r="D760"/>
      <c r="E760"/>
      <c r="F760"/>
      <c r="G760"/>
      <c r="H760"/>
      <c r="I760"/>
      <c r="J760"/>
      <c r="K760"/>
      <c r="L760"/>
      <c r="M760"/>
      <c r="N760"/>
      <c r="O760"/>
      <c r="P760"/>
    </row>
    <row r="761" spans="1:16">
      <c r="A761"/>
      <c r="B761"/>
      <c r="C761"/>
      <c r="D761"/>
      <c r="E761"/>
      <c r="F761"/>
      <c r="G761"/>
      <c r="H761"/>
      <c r="I761"/>
      <c r="J761"/>
      <c r="K761"/>
      <c r="L761"/>
      <c r="M761"/>
      <c r="N761"/>
      <c r="O761"/>
      <c r="P761"/>
    </row>
    <row r="762" spans="1:16">
      <c r="A762"/>
      <c r="B762"/>
      <c r="C762"/>
      <c r="D762"/>
      <c r="E762"/>
      <c r="F762"/>
      <c r="G762"/>
      <c r="H762"/>
      <c r="I762"/>
      <c r="J762"/>
      <c r="K762"/>
      <c r="L762"/>
      <c r="M762"/>
      <c r="N762"/>
      <c r="O762"/>
      <c r="P762"/>
    </row>
    <row r="763" spans="1:16">
      <c r="A763"/>
      <c r="B763"/>
      <c r="C763"/>
      <c r="D763"/>
      <c r="E763"/>
      <c r="F763"/>
      <c r="G763"/>
      <c r="H763"/>
      <c r="I763"/>
      <c r="J763"/>
      <c r="K763"/>
      <c r="L763"/>
      <c r="M763"/>
      <c r="N763"/>
      <c r="O763"/>
      <c r="P763"/>
    </row>
    <row r="764" spans="1:16">
      <c r="A764"/>
      <c r="B764"/>
      <c r="C764"/>
      <c r="D764"/>
      <c r="E764"/>
      <c r="F764"/>
      <c r="G764"/>
      <c r="H764"/>
      <c r="I764"/>
      <c r="J764"/>
      <c r="K764"/>
      <c r="L764"/>
      <c r="M764"/>
      <c r="N764"/>
      <c r="O764"/>
      <c r="P764"/>
    </row>
    <row r="765" spans="1:16">
      <c r="A765"/>
      <c r="B765"/>
      <c r="C765"/>
      <c r="D765"/>
      <c r="E765"/>
      <c r="F765"/>
      <c r="G765"/>
      <c r="H765"/>
      <c r="I765"/>
      <c r="J765"/>
      <c r="K765"/>
      <c r="L765"/>
      <c r="M765"/>
      <c r="N765"/>
      <c r="O765"/>
      <c r="P765"/>
    </row>
    <row r="766" spans="1:16">
      <c r="A766"/>
      <c r="B766"/>
      <c r="C766"/>
      <c r="D766"/>
      <c r="E766"/>
      <c r="F766"/>
      <c r="G766"/>
      <c r="H766"/>
      <c r="I766"/>
      <c r="J766"/>
      <c r="K766"/>
      <c r="L766"/>
      <c r="M766"/>
      <c r="N766"/>
      <c r="O766"/>
      <c r="P766"/>
    </row>
    <row r="767" spans="1:16">
      <c r="A767"/>
      <c r="B767"/>
      <c r="C767"/>
      <c r="D767"/>
      <c r="E767"/>
      <c r="F767"/>
      <c r="G767"/>
      <c r="H767"/>
      <c r="I767"/>
      <c r="J767"/>
      <c r="K767"/>
      <c r="L767"/>
      <c r="M767"/>
      <c r="N767"/>
      <c r="O767"/>
      <c r="P767"/>
    </row>
    <row r="768" spans="1:16">
      <c r="A768"/>
      <c r="B768"/>
      <c r="C768"/>
      <c r="D768"/>
      <c r="E768"/>
      <c r="F768"/>
      <c r="G768"/>
      <c r="H768"/>
      <c r="I768"/>
      <c r="J768"/>
      <c r="K768"/>
      <c r="L768"/>
      <c r="M768"/>
      <c r="N768"/>
      <c r="O768"/>
      <c r="P768"/>
    </row>
    <row r="769" spans="1:16">
      <c r="A769"/>
      <c r="B769"/>
      <c r="C769"/>
      <c r="D769"/>
      <c r="E769"/>
      <c r="F769"/>
      <c r="G769"/>
      <c r="H769"/>
      <c r="I769"/>
      <c r="J769"/>
      <c r="K769"/>
      <c r="L769"/>
      <c r="M769"/>
      <c r="N769"/>
      <c r="O769"/>
      <c r="P769"/>
    </row>
    <row r="770" spans="1:16">
      <c r="A770"/>
      <c r="B770"/>
      <c r="C770"/>
      <c r="D770"/>
      <c r="E770"/>
      <c r="F770"/>
      <c r="G770"/>
      <c r="H770"/>
      <c r="I770"/>
      <c r="J770"/>
      <c r="K770"/>
      <c r="L770"/>
      <c r="M770"/>
      <c r="N770"/>
      <c r="O770"/>
      <c r="P770"/>
    </row>
    <row r="771" spans="1:16">
      <c r="A771"/>
      <c r="B771"/>
      <c r="C771"/>
      <c r="D771"/>
      <c r="E771"/>
      <c r="F771"/>
      <c r="G771"/>
      <c r="H771"/>
      <c r="I771"/>
      <c r="J771"/>
      <c r="K771"/>
      <c r="L771"/>
      <c r="M771"/>
      <c r="N771"/>
      <c r="O771"/>
      <c r="P771"/>
    </row>
    <row r="772" spans="1:16">
      <c r="A772"/>
      <c r="B772"/>
      <c r="C772"/>
      <c r="D772"/>
      <c r="E772"/>
      <c r="F772"/>
      <c r="G772"/>
      <c r="H772"/>
      <c r="I772"/>
      <c r="J772"/>
      <c r="K772"/>
      <c r="L772"/>
      <c r="M772"/>
      <c r="N772"/>
      <c r="O772"/>
      <c r="P772"/>
    </row>
    <row r="773" spans="1:16">
      <c r="A773"/>
      <c r="B773"/>
      <c r="C773"/>
      <c r="D773"/>
      <c r="E773"/>
      <c r="F773"/>
      <c r="G773"/>
      <c r="H773"/>
      <c r="I773"/>
      <c r="J773"/>
      <c r="K773"/>
      <c r="L773"/>
      <c r="M773"/>
      <c r="N773"/>
      <c r="O773"/>
      <c r="P773"/>
    </row>
    <row r="774" spans="1:16">
      <c r="A774"/>
      <c r="B774"/>
      <c r="C774"/>
      <c r="D774"/>
      <c r="E774"/>
      <c r="F774"/>
      <c r="G774"/>
      <c r="H774"/>
      <c r="I774"/>
      <c r="J774"/>
      <c r="K774"/>
      <c r="L774"/>
      <c r="M774"/>
      <c r="N774"/>
      <c r="O774"/>
      <c r="P774"/>
    </row>
    <row r="775" spans="1:16">
      <c r="A775"/>
      <c r="B775"/>
      <c r="C775"/>
      <c r="D775"/>
      <c r="E775"/>
      <c r="F775"/>
      <c r="G775"/>
      <c r="H775"/>
      <c r="I775"/>
      <c r="J775"/>
      <c r="K775"/>
      <c r="L775"/>
      <c r="M775"/>
      <c r="N775"/>
      <c r="O775"/>
      <c r="P775"/>
    </row>
    <row r="776" spans="1:16">
      <c r="A776"/>
      <c r="B776"/>
      <c r="C776"/>
      <c r="D776"/>
      <c r="E776"/>
      <c r="F776"/>
      <c r="G776"/>
      <c r="H776"/>
      <c r="I776"/>
      <c r="J776"/>
      <c r="K776"/>
      <c r="L776"/>
      <c r="M776"/>
      <c r="N776"/>
      <c r="O776"/>
      <c r="P776"/>
    </row>
    <row r="777" spans="1:16">
      <c r="A777"/>
      <c r="B777"/>
      <c r="C777"/>
      <c r="D777"/>
      <c r="E777"/>
      <c r="F777"/>
      <c r="G777"/>
      <c r="H777"/>
      <c r="I777"/>
      <c r="J777"/>
      <c r="K777"/>
      <c r="L777"/>
      <c r="M777"/>
      <c r="N777"/>
      <c r="O777"/>
      <c r="P777"/>
    </row>
    <row r="778" spans="1:16">
      <c r="A778"/>
      <c r="B778"/>
      <c r="C778"/>
      <c r="D778"/>
      <c r="E778"/>
      <c r="F778"/>
      <c r="G778"/>
      <c r="H778"/>
      <c r="I778"/>
      <c r="J778"/>
      <c r="K778"/>
      <c r="L778"/>
      <c r="M778"/>
      <c r="N778"/>
      <c r="O778"/>
      <c r="P778"/>
    </row>
    <row r="779" spans="1:16">
      <c r="A779"/>
      <c r="B779"/>
      <c r="C779"/>
      <c r="D779"/>
      <c r="E779"/>
      <c r="F779"/>
      <c r="G779"/>
      <c r="H779"/>
      <c r="I779"/>
      <c r="J779"/>
      <c r="K779"/>
      <c r="L779"/>
      <c r="M779"/>
      <c r="N779"/>
      <c r="O779"/>
      <c r="P779"/>
    </row>
    <row r="780" spans="1:16">
      <c r="A780"/>
      <c r="B780"/>
      <c r="C780"/>
      <c r="D780"/>
      <c r="E780"/>
      <c r="F780"/>
      <c r="G780"/>
      <c r="H780"/>
      <c r="I780"/>
      <c r="J780"/>
      <c r="K780"/>
      <c r="L780"/>
      <c r="M780"/>
      <c r="N780"/>
      <c r="O780"/>
      <c r="P780"/>
    </row>
    <row r="781" spans="1:16">
      <c r="A781"/>
      <c r="B781"/>
      <c r="C781"/>
      <c r="D781"/>
      <c r="E781"/>
      <c r="F781"/>
      <c r="G781"/>
      <c r="H781"/>
      <c r="I781"/>
      <c r="J781"/>
      <c r="K781"/>
      <c r="L781"/>
      <c r="M781"/>
      <c r="N781"/>
      <c r="O781"/>
      <c r="P781"/>
    </row>
    <row r="782" spans="1:16">
      <c r="A782"/>
      <c r="B782"/>
      <c r="C782"/>
      <c r="D782"/>
      <c r="E782"/>
      <c r="F782"/>
      <c r="G782"/>
      <c r="H782"/>
      <c r="I782"/>
      <c r="J782"/>
      <c r="K782"/>
      <c r="L782"/>
      <c r="M782"/>
      <c r="N782"/>
      <c r="O782"/>
      <c r="P782"/>
    </row>
    <row r="783" spans="1:16">
      <c r="A783"/>
      <c r="B783"/>
      <c r="C783"/>
      <c r="D783"/>
      <c r="E783"/>
      <c r="F783"/>
      <c r="G783"/>
      <c r="H783"/>
      <c r="I783"/>
      <c r="J783"/>
      <c r="K783"/>
      <c r="L783"/>
      <c r="M783"/>
      <c r="N783"/>
      <c r="O783"/>
      <c r="P783"/>
    </row>
    <row r="784" spans="1:16">
      <c r="A784"/>
      <c r="B784"/>
      <c r="C784"/>
      <c r="D784"/>
      <c r="E784"/>
      <c r="F784"/>
      <c r="G784"/>
      <c r="H784"/>
      <c r="I784"/>
      <c r="J784"/>
      <c r="K784"/>
      <c r="L784"/>
      <c r="M784"/>
      <c r="N784"/>
      <c r="O784"/>
      <c r="P784"/>
    </row>
    <row r="785" spans="1:16">
      <c r="A785"/>
      <c r="B785"/>
      <c r="C785"/>
      <c r="D785"/>
      <c r="E785"/>
      <c r="F785"/>
      <c r="G785"/>
      <c r="H785"/>
      <c r="I785"/>
      <c r="J785"/>
      <c r="K785"/>
      <c r="L785"/>
      <c r="M785"/>
      <c r="N785"/>
      <c r="O785"/>
      <c r="P785"/>
    </row>
    <row r="786" spans="1:16">
      <c r="A786"/>
      <c r="B786"/>
      <c r="C786"/>
      <c r="D786"/>
      <c r="E786"/>
      <c r="F786"/>
      <c r="G786"/>
      <c r="H786"/>
      <c r="I786"/>
      <c r="J786"/>
      <c r="K786"/>
      <c r="L786"/>
      <c r="M786"/>
      <c r="N786"/>
      <c r="O786"/>
      <c r="P786"/>
    </row>
    <row r="787" spans="1:16">
      <c r="A787"/>
      <c r="B787"/>
      <c r="C787"/>
      <c r="D787"/>
      <c r="E787"/>
      <c r="F787"/>
      <c r="G787"/>
      <c r="H787"/>
      <c r="I787"/>
      <c r="J787"/>
      <c r="K787"/>
      <c r="L787"/>
      <c r="M787"/>
      <c r="N787"/>
      <c r="O787"/>
      <c r="P787"/>
    </row>
    <row r="788" spans="1:16">
      <c r="A788"/>
      <c r="B788"/>
      <c r="C788"/>
      <c r="D788"/>
      <c r="E788"/>
      <c r="F788"/>
      <c r="G788"/>
      <c r="H788"/>
      <c r="I788"/>
      <c r="J788"/>
      <c r="K788"/>
      <c r="L788"/>
      <c r="M788"/>
      <c r="N788"/>
      <c r="O788"/>
      <c r="P788"/>
    </row>
    <row r="789" spans="1:16">
      <c r="A789"/>
      <c r="B789"/>
      <c r="C789"/>
      <c r="D789"/>
      <c r="E789"/>
      <c r="F789"/>
      <c r="G789"/>
      <c r="H789"/>
      <c r="I789"/>
      <c r="J789"/>
      <c r="K789"/>
      <c r="L789"/>
      <c r="M789"/>
      <c r="N789"/>
      <c r="O789"/>
      <c r="P789"/>
    </row>
    <row r="790" spans="1:16">
      <c r="A790"/>
      <c r="B790"/>
      <c r="C790"/>
      <c r="D790"/>
      <c r="E790"/>
      <c r="F790"/>
      <c r="G790"/>
      <c r="H790"/>
      <c r="I790"/>
      <c r="J790"/>
      <c r="K790"/>
      <c r="L790"/>
      <c r="M790"/>
      <c r="N790"/>
      <c r="O790"/>
      <c r="P790"/>
    </row>
    <row r="791" spans="1:16">
      <c r="A791"/>
      <c r="B791"/>
      <c r="C791"/>
      <c r="D791"/>
      <c r="E791"/>
      <c r="F791"/>
      <c r="G791"/>
      <c r="H791"/>
      <c r="I791"/>
      <c r="J791"/>
      <c r="K791"/>
      <c r="L791"/>
      <c r="M791"/>
      <c r="N791"/>
      <c r="O791"/>
      <c r="P791"/>
    </row>
    <row r="792" spans="1:16">
      <c r="A792"/>
      <c r="B792"/>
      <c r="C792"/>
      <c r="D792"/>
      <c r="E792"/>
      <c r="F792"/>
      <c r="G792"/>
      <c r="H792"/>
      <c r="I792"/>
      <c r="J792"/>
      <c r="K792"/>
      <c r="L792"/>
      <c r="M792"/>
      <c r="N792"/>
      <c r="O792"/>
      <c r="P792"/>
    </row>
    <row r="793" spans="1:16">
      <c r="A793"/>
      <c r="B793"/>
      <c r="C793"/>
      <c r="D793"/>
      <c r="E793"/>
      <c r="F793"/>
      <c r="G793"/>
      <c r="H793"/>
      <c r="I793"/>
      <c r="J793"/>
      <c r="K793"/>
      <c r="L793"/>
      <c r="M793"/>
      <c r="N793"/>
      <c r="O793"/>
      <c r="P793"/>
    </row>
    <row r="794" spans="1:16">
      <c r="A794"/>
      <c r="B794"/>
      <c r="C794"/>
      <c r="D794"/>
      <c r="E794"/>
      <c r="F794"/>
      <c r="G794"/>
      <c r="H794"/>
      <c r="I794"/>
      <c r="J794"/>
      <c r="K794"/>
      <c r="L794"/>
      <c r="M794"/>
      <c r="N794"/>
      <c r="O794"/>
      <c r="P794"/>
    </row>
    <row r="795" spans="1:16">
      <c r="A795"/>
      <c r="B795"/>
      <c r="C795"/>
      <c r="D795"/>
      <c r="E795"/>
      <c r="F795"/>
      <c r="G795"/>
      <c r="H795"/>
      <c r="I795"/>
      <c r="J795"/>
      <c r="K795"/>
      <c r="L795"/>
      <c r="M795"/>
      <c r="N795"/>
      <c r="O795"/>
      <c r="P795"/>
    </row>
    <row r="796" spans="1:16">
      <c r="A796"/>
      <c r="B796"/>
      <c r="C796"/>
      <c r="D796"/>
      <c r="E796"/>
      <c r="F796"/>
      <c r="G796"/>
      <c r="H796"/>
      <c r="I796"/>
      <c r="J796"/>
      <c r="K796"/>
      <c r="L796"/>
      <c r="M796"/>
      <c r="N796"/>
      <c r="O796"/>
      <c r="P796"/>
    </row>
    <row r="797" spans="1:16">
      <c r="A797"/>
      <c r="B797"/>
      <c r="C797"/>
      <c r="D797"/>
      <c r="E797"/>
      <c r="F797"/>
      <c r="G797"/>
      <c r="H797"/>
      <c r="I797"/>
      <c r="J797"/>
      <c r="K797"/>
      <c r="L797"/>
      <c r="M797"/>
      <c r="N797"/>
      <c r="O797"/>
      <c r="P797"/>
    </row>
    <row r="798" spans="1:16">
      <c r="A798"/>
      <c r="B798"/>
      <c r="C798"/>
      <c r="D798"/>
      <c r="E798"/>
      <c r="F798"/>
      <c r="G798"/>
      <c r="H798"/>
      <c r="I798"/>
      <c r="J798"/>
      <c r="K798"/>
      <c r="L798"/>
      <c r="M798"/>
      <c r="N798"/>
      <c r="O798"/>
      <c r="P798"/>
    </row>
    <row r="799" spans="1:16">
      <c r="A799"/>
      <c r="B799"/>
      <c r="C799"/>
      <c r="D799"/>
      <c r="E799"/>
      <c r="F799"/>
      <c r="G799"/>
      <c r="H799"/>
      <c r="I799"/>
      <c r="J799"/>
      <c r="K799"/>
      <c r="L799"/>
      <c r="M799"/>
      <c r="N799"/>
      <c r="O799"/>
      <c r="P799"/>
    </row>
    <row r="800" spans="1:16">
      <c r="A800"/>
      <c r="B800"/>
      <c r="C800"/>
      <c r="D800"/>
      <c r="E800"/>
      <c r="F800"/>
      <c r="G800"/>
      <c r="H800"/>
      <c r="I800"/>
      <c r="J800"/>
      <c r="K800"/>
      <c r="L800"/>
      <c r="M800"/>
      <c r="N800"/>
      <c r="O800"/>
      <c r="P800"/>
    </row>
    <row r="801" spans="1:16">
      <c r="A801"/>
      <c r="B801"/>
      <c r="C801"/>
      <c r="D801"/>
      <c r="E801"/>
      <c r="F801"/>
      <c r="G801"/>
      <c r="H801"/>
      <c r="I801"/>
      <c r="J801"/>
      <c r="K801"/>
      <c r="L801"/>
      <c r="M801"/>
      <c r="N801"/>
      <c r="O801"/>
      <c r="P801"/>
    </row>
    <row r="802" spans="1:16">
      <c r="A802"/>
      <c r="B802"/>
      <c r="C802"/>
      <c r="D802"/>
      <c r="E802"/>
      <c r="F802"/>
      <c r="G802"/>
      <c r="H802"/>
      <c r="I802"/>
      <c r="J802"/>
      <c r="K802"/>
      <c r="L802"/>
      <c r="M802"/>
      <c r="N802"/>
      <c r="O802"/>
      <c r="P802"/>
    </row>
    <row r="803" spans="1:16">
      <c r="A803"/>
      <c r="B803"/>
      <c r="C803"/>
      <c r="D803"/>
      <c r="E803"/>
      <c r="F803"/>
      <c r="G803"/>
      <c r="H803"/>
      <c r="I803"/>
      <c r="J803"/>
      <c r="K803"/>
      <c r="L803"/>
      <c r="M803"/>
      <c r="N803"/>
      <c r="O803"/>
      <c r="P803"/>
    </row>
    <row r="804" spans="1:16">
      <c r="A804"/>
      <c r="B804"/>
      <c r="C804"/>
      <c r="D804"/>
      <c r="E804"/>
      <c r="F804"/>
      <c r="G804"/>
      <c r="H804"/>
      <c r="I804"/>
      <c r="J804"/>
      <c r="K804"/>
      <c r="L804"/>
      <c r="M804"/>
      <c r="N804"/>
      <c r="O804"/>
      <c r="P804"/>
    </row>
    <row r="805" spans="1:16">
      <c r="A805"/>
      <c r="B805"/>
      <c r="C805"/>
      <c r="D805"/>
      <c r="E805"/>
      <c r="F805"/>
      <c r="G805"/>
      <c r="H805"/>
      <c r="I805"/>
      <c r="J805"/>
      <c r="K805"/>
      <c r="L805"/>
      <c r="M805"/>
      <c r="N805"/>
      <c r="O805"/>
      <c r="P805"/>
    </row>
    <row r="806" spans="1:16">
      <c r="A806"/>
      <c r="B806"/>
      <c r="C806"/>
      <c r="D806"/>
      <c r="E806"/>
      <c r="F806"/>
      <c r="G806"/>
      <c r="H806"/>
      <c r="I806"/>
      <c r="J806"/>
      <c r="K806"/>
      <c r="L806"/>
      <c r="M806"/>
      <c r="N806"/>
      <c r="O806"/>
      <c r="P806"/>
    </row>
    <row r="807" spans="1:16">
      <c r="A807"/>
      <c r="B807"/>
      <c r="C807"/>
      <c r="D807"/>
      <c r="E807"/>
      <c r="F807"/>
      <c r="G807"/>
      <c r="H807"/>
      <c r="I807"/>
      <c r="J807"/>
      <c r="K807"/>
      <c r="L807"/>
      <c r="M807"/>
      <c r="N807"/>
      <c r="O807"/>
      <c r="P807"/>
    </row>
    <row r="808" spans="1:16">
      <c r="A808"/>
      <c r="B808"/>
      <c r="C808"/>
      <c r="D808"/>
      <c r="E808"/>
      <c r="F808"/>
      <c r="G808"/>
      <c r="H808"/>
      <c r="I808"/>
      <c r="J808"/>
      <c r="K808"/>
      <c r="L808"/>
      <c r="M808"/>
      <c r="N808"/>
      <c r="O808"/>
      <c r="P808"/>
    </row>
    <row r="809" spans="1:16">
      <c r="A809"/>
      <c r="B809"/>
      <c r="C809"/>
      <c r="D809"/>
      <c r="E809"/>
      <c r="F809"/>
      <c r="G809"/>
      <c r="H809"/>
      <c r="I809"/>
      <c r="J809"/>
      <c r="K809"/>
      <c r="L809"/>
      <c r="M809"/>
      <c r="N809"/>
      <c r="O809"/>
      <c r="P809"/>
    </row>
    <row r="810" spans="1:16">
      <c r="A810"/>
      <c r="B810"/>
      <c r="C810"/>
      <c r="D810"/>
      <c r="E810"/>
      <c r="F810"/>
      <c r="G810"/>
      <c r="H810"/>
      <c r="I810"/>
      <c r="J810"/>
      <c r="K810"/>
      <c r="L810"/>
      <c r="M810"/>
      <c r="N810"/>
      <c r="O810"/>
      <c r="P810"/>
    </row>
    <row r="811" spans="1:16">
      <c r="A811"/>
      <c r="B811"/>
      <c r="C811"/>
      <c r="D811"/>
      <c r="E811"/>
      <c r="F811"/>
      <c r="G811"/>
      <c r="H811"/>
      <c r="I811"/>
      <c r="J811"/>
      <c r="K811"/>
      <c r="L811"/>
      <c r="M811"/>
      <c r="N811"/>
      <c r="O811"/>
      <c r="P811"/>
    </row>
    <row r="812" spans="1:16">
      <c r="A812"/>
      <c r="B812"/>
      <c r="C812"/>
      <c r="D812"/>
      <c r="E812"/>
      <c r="F812"/>
      <c r="G812"/>
      <c r="H812"/>
      <c r="I812"/>
      <c r="J812"/>
      <c r="K812"/>
      <c r="L812"/>
      <c r="M812"/>
      <c r="N812"/>
      <c r="O812"/>
      <c r="P812"/>
    </row>
    <row r="813" spans="1:16">
      <c r="A813"/>
      <c r="B813"/>
      <c r="C813"/>
      <c r="D813"/>
      <c r="E813"/>
      <c r="F813"/>
      <c r="G813"/>
      <c r="H813"/>
      <c r="I813"/>
      <c r="J813"/>
      <c r="K813"/>
      <c r="L813"/>
      <c r="M813"/>
      <c r="N813"/>
      <c r="O813"/>
      <c r="P813"/>
    </row>
    <row r="814" spans="1:16">
      <c r="A814"/>
      <c r="B814"/>
      <c r="C814"/>
      <c r="D814"/>
      <c r="E814"/>
      <c r="F814"/>
      <c r="G814"/>
      <c r="H814"/>
      <c r="I814"/>
      <c r="J814"/>
      <c r="K814"/>
      <c r="L814"/>
      <c r="M814"/>
      <c r="N814"/>
      <c r="O814"/>
      <c r="P814"/>
    </row>
    <row r="815" spans="1:16">
      <c r="A815"/>
      <c r="B815"/>
      <c r="C815"/>
      <c r="D815"/>
      <c r="E815"/>
      <c r="F815"/>
      <c r="G815"/>
      <c r="H815"/>
      <c r="I815"/>
      <c r="J815"/>
      <c r="K815"/>
      <c r="L815"/>
      <c r="M815"/>
      <c r="N815"/>
      <c r="O815"/>
      <c r="P815"/>
    </row>
    <row r="816" spans="1:16">
      <c r="A816"/>
      <c r="B816"/>
      <c r="C816"/>
      <c r="D816"/>
      <c r="E816"/>
      <c r="F816"/>
      <c r="G816"/>
      <c r="H816"/>
      <c r="I816"/>
      <c r="J816"/>
      <c r="K816"/>
      <c r="L816"/>
      <c r="M816"/>
      <c r="N816"/>
      <c r="O816"/>
      <c r="P816"/>
    </row>
    <row r="817" spans="1:16">
      <c r="A817"/>
      <c r="B817"/>
      <c r="C817"/>
      <c r="D817"/>
      <c r="E817"/>
      <c r="F817"/>
      <c r="G817"/>
      <c r="H817"/>
      <c r="I817"/>
      <c r="J817"/>
      <c r="K817"/>
      <c r="L817"/>
      <c r="M817"/>
      <c r="N817"/>
      <c r="O817"/>
      <c r="P817"/>
    </row>
    <row r="818" spans="1:16">
      <c r="A818"/>
      <c r="B818"/>
      <c r="C818"/>
      <c r="D818"/>
      <c r="E818"/>
      <c r="F818"/>
      <c r="G818"/>
      <c r="H818"/>
      <c r="I818"/>
      <c r="J818"/>
      <c r="K818"/>
      <c r="L818"/>
      <c r="M818"/>
      <c r="N818"/>
      <c r="O818"/>
      <c r="P818"/>
    </row>
    <row r="819" spans="1:16">
      <c r="A819"/>
      <c r="B819"/>
      <c r="C819"/>
      <c r="D819"/>
      <c r="E819"/>
      <c r="F819"/>
      <c r="G819"/>
      <c r="H819"/>
      <c r="I819"/>
      <c r="J819"/>
      <c r="K819"/>
      <c r="L819"/>
      <c r="M819"/>
      <c r="N819"/>
      <c r="O819"/>
      <c r="P819"/>
    </row>
    <row r="820" spans="1:16">
      <c r="A820"/>
      <c r="B820"/>
      <c r="C820"/>
      <c r="D820"/>
      <c r="E820"/>
      <c r="F820"/>
      <c r="G820"/>
      <c r="H820"/>
      <c r="I820"/>
      <c r="J820"/>
      <c r="K820"/>
      <c r="L820"/>
      <c r="M820"/>
      <c r="N820"/>
      <c r="O820"/>
      <c r="P820"/>
    </row>
    <row r="821" spans="1:16">
      <c r="A821"/>
      <c r="B821"/>
      <c r="C821"/>
      <c r="D821"/>
      <c r="E821"/>
      <c r="F821"/>
      <c r="G821"/>
      <c r="H821"/>
      <c r="I821"/>
      <c r="J821"/>
      <c r="K821"/>
      <c r="L821"/>
      <c r="M821"/>
      <c r="N821"/>
      <c r="O821"/>
      <c r="P821"/>
    </row>
    <row r="822" spans="1:16">
      <c r="A822"/>
      <c r="B822"/>
      <c r="C822"/>
      <c r="D822"/>
      <c r="E822"/>
      <c r="F822"/>
      <c r="G822"/>
      <c r="H822"/>
      <c r="I822"/>
      <c r="J822"/>
      <c r="K822"/>
      <c r="L822"/>
      <c r="M822"/>
      <c r="N822"/>
      <c r="O822"/>
      <c r="P822"/>
    </row>
    <row r="823" spans="1:16">
      <c r="A823"/>
      <c r="B823"/>
      <c r="C823"/>
      <c r="D823"/>
      <c r="E823"/>
      <c r="F823"/>
      <c r="G823"/>
      <c r="H823"/>
      <c r="I823"/>
      <c r="J823"/>
      <c r="K823"/>
      <c r="L823"/>
      <c r="M823"/>
      <c r="N823"/>
      <c r="O823"/>
      <c r="P823"/>
    </row>
    <row r="824" spans="1:16">
      <c r="A824"/>
      <c r="B824"/>
      <c r="C824"/>
      <c r="D824"/>
      <c r="E824"/>
      <c r="F824"/>
      <c r="G824"/>
      <c r="H824"/>
      <c r="I824"/>
      <c r="J824"/>
      <c r="K824"/>
      <c r="L824"/>
      <c r="M824"/>
      <c r="N824"/>
      <c r="O824"/>
      <c r="P824"/>
    </row>
    <row r="825" spans="1:16">
      <c r="A825"/>
      <c r="B825"/>
      <c r="C825"/>
      <c r="D825"/>
      <c r="E825"/>
      <c r="F825"/>
      <c r="G825"/>
      <c r="H825"/>
      <c r="I825"/>
      <c r="J825"/>
      <c r="K825"/>
      <c r="L825"/>
      <c r="M825"/>
      <c r="N825"/>
      <c r="O825"/>
      <c r="P825"/>
    </row>
    <row r="826" spans="1:16">
      <c r="A826"/>
      <c r="B826"/>
      <c r="C826"/>
      <c r="D826"/>
      <c r="E826"/>
      <c r="F826"/>
      <c r="G826"/>
      <c r="H826"/>
      <c r="I826"/>
      <c r="J826"/>
      <c r="K826"/>
      <c r="L826"/>
      <c r="M826"/>
      <c r="N826"/>
      <c r="O826"/>
      <c r="P826"/>
    </row>
    <row r="827" spans="1:16">
      <c r="A827"/>
      <c r="B827"/>
      <c r="C827"/>
      <c r="D827"/>
      <c r="E827"/>
      <c r="F827"/>
      <c r="G827"/>
      <c r="H827"/>
      <c r="I827"/>
      <c r="J827"/>
      <c r="K827"/>
      <c r="L827"/>
      <c r="M827"/>
      <c r="N827"/>
      <c r="O827"/>
      <c r="P827"/>
    </row>
    <row r="828" spans="1:16">
      <c r="A828"/>
      <c r="B828"/>
      <c r="C828"/>
      <c r="D828"/>
      <c r="E828"/>
      <c r="F828"/>
      <c r="G828"/>
      <c r="H828"/>
      <c r="I828"/>
      <c r="J828"/>
      <c r="K828"/>
      <c r="L828"/>
      <c r="M828"/>
      <c r="N828"/>
      <c r="O828"/>
      <c r="P828"/>
    </row>
    <row r="829" spans="1:16">
      <c r="A829"/>
      <c r="B829"/>
      <c r="C829"/>
      <c r="D829"/>
      <c r="E829"/>
      <c r="F829"/>
      <c r="G829"/>
      <c r="H829"/>
      <c r="I829"/>
      <c r="J829"/>
      <c r="K829"/>
      <c r="L829"/>
      <c r="M829"/>
      <c r="N829"/>
      <c r="O829"/>
      <c r="P829"/>
    </row>
    <row r="830" spans="1:16">
      <c r="A830"/>
      <c r="B830"/>
      <c r="C830"/>
      <c r="D830"/>
      <c r="E830"/>
      <c r="F830"/>
      <c r="G830"/>
      <c r="H830"/>
      <c r="I830"/>
      <c r="J830"/>
      <c r="K830"/>
      <c r="L830"/>
      <c r="M830"/>
      <c r="N830"/>
      <c r="O830"/>
      <c r="P830"/>
    </row>
    <row r="831" spans="1:16">
      <c r="A831"/>
      <c r="B831"/>
      <c r="C831"/>
      <c r="D831"/>
      <c r="E831"/>
      <c r="F831"/>
      <c r="G831"/>
      <c r="H831"/>
      <c r="I831"/>
      <c r="J831"/>
      <c r="K831"/>
      <c r="L831"/>
      <c r="M831"/>
      <c r="N831"/>
      <c r="O831"/>
      <c r="P831"/>
    </row>
    <row r="832" spans="1:16">
      <c r="A832"/>
      <c r="B832"/>
      <c r="C832"/>
      <c r="D832"/>
      <c r="E832"/>
      <c r="F832"/>
      <c r="G832"/>
      <c r="H832"/>
      <c r="I832"/>
      <c r="J832"/>
      <c r="K832"/>
      <c r="L832"/>
      <c r="M832"/>
      <c r="N832"/>
      <c r="O832"/>
      <c r="P832"/>
    </row>
    <row r="833" spans="1:16">
      <c r="A833"/>
      <c r="B833"/>
      <c r="C833"/>
      <c r="D833"/>
      <c r="E833"/>
      <c r="F833"/>
      <c r="G833"/>
      <c r="H833"/>
      <c r="I833"/>
      <c r="J833"/>
      <c r="K833"/>
      <c r="L833"/>
      <c r="M833"/>
      <c r="N833"/>
      <c r="O833"/>
      <c r="P833"/>
    </row>
    <row r="834" spans="1:16">
      <c r="A834"/>
      <c r="B834"/>
      <c r="C834"/>
      <c r="D834"/>
      <c r="E834"/>
      <c r="F834"/>
      <c r="G834"/>
      <c r="H834"/>
      <c r="I834"/>
      <c r="J834"/>
      <c r="K834"/>
      <c r="L834"/>
      <c r="M834"/>
      <c r="N834"/>
      <c r="O834"/>
      <c r="P834"/>
    </row>
    <row r="835" spans="1:16">
      <c r="A835"/>
      <c r="B835"/>
      <c r="C835"/>
      <c r="D835"/>
      <c r="E835"/>
      <c r="F835"/>
      <c r="G835"/>
      <c r="H835"/>
      <c r="I835"/>
      <c r="J835"/>
      <c r="K835"/>
      <c r="L835"/>
      <c r="M835"/>
      <c r="N835"/>
      <c r="O835"/>
      <c r="P835"/>
    </row>
    <row r="836" spans="1:16">
      <c r="A836"/>
      <c r="B836"/>
      <c r="C836"/>
      <c r="D836"/>
      <c r="E836"/>
      <c r="F836"/>
      <c r="G836"/>
      <c r="H836"/>
      <c r="I836"/>
      <c r="J836"/>
      <c r="K836"/>
      <c r="L836"/>
      <c r="M836"/>
      <c r="N836"/>
      <c r="O836"/>
      <c r="P836"/>
    </row>
    <row r="837" spans="1:16">
      <c r="A837"/>
      <c r="B837"/>
      <c r="C837"/>
      <c r="D837"/>
      <c r="E837"/>
      <c r="F837"/>
      <c r="G837"/>
      <c r="H837"/>
      <c r="I837"/>
      <c r="J837"/>
      <c r="K837"/>
      <c r="L837"/>
      <c r="M837"/>
      <c r="N837"/>
      <c r="O837"/>
      <c r="P837"/>
    </row>
    <row r="838" spans="1:16">
      <c r="A838"/>
      <c r="B838"/>
      <c r="C838"/>
      <c r="D838"/>
      <c r="E838"/>
      <c r="F838"/>
      <c r="G838"/>
      <c r="H838"/>
      <c r="I838"/>
      <c r="J838"/>
      <c r="K838"/>
      <c r="L838"/>
      <c r="M838"/>
      <c r="N838"/>
      <c r="O838"/>
      <c r="P838"/>
    </row>
    <row r="839" spans="1:16">
      <c r="A839"/>
      <c r="B839"/>
      <c r="C839"/>
      <c r="D839"/>
      <c r="E839"/>
      <c r="F839"/>
      <c r="G839"/>
      <c r="H839"/>
      <c r="I839"/>
      <c r="J839"/>
      <c r="K839"/>
      <c r="L839"/>
      <c r="M839"/>
      <c r="N839"/>
      <c r="O839"/>
      <c r="P839"/>
    </row>
    <row r="840" spans="1:16">
      <c r="A840"/>
      <c r="B840"/>
      <c r="C840"/>
      <c r="D840"/>
      <c r="E840"/>
      <c r="F840"/>
      <c r="G840"/>
      <c r="H840"/>
      <c r="I840"/>
      <c r="J840"/>
      <c r="K840"/>
      <c r="L840"/>
      <c r="M840"/>
      <c r="N840"/>
      <c r="O840"/>
      <c r="P840"/>
    </row>
    <row r="841" spans="1:16">
      <c r="A841"/>
      <c r="B841"/>
      <c r="C841"/>
      <c r="D841"/>
      <c r="E841"/>
      <c r="F841"/>
      <c r="G841"/>
      <c r="H841"/>
      <c r="I841"/>
      <c r="J841"/>
      <c r="K841"/>
      <c r="L841"/>
      <c r="M841"/>
      <c r="N841"/>
      <c r="O841"/>
      <c r="P841"/>
    </row>
    <row r="842" spans="1:16">
      <c r="A842"/>
      <c r="B842"/>
      <c r="C842"/>
      <c r="D842"/>
      <c r="E842"/>
      <c r="F842"/>
      <c r="G842"/>
      <c r="H842"/>
      <c r="I842"/>
      <c r="J842"/>
      <c r="K842"/>
      <c r="L842"/>
      <c r="M842"/>
      <c r="N842"/>
      <c r="O842"/>
      <c r="P842"/>
    </row>
    <row r="843" spans="1:16">
      <c r="A843"/>
      <c r="B843"/>
      <c r="C843"/>
      <c r="D843"/>
      <c r="E843"/>
      <c r="F843"/>
      <c r="G843"/>
      <c r="H843"/>
      <c r="I843"/>
      <c r="J843"/>
      <c r="K843"/>
      <c r="L843"/>
      <c r="M843"/>
      <c r="N843"/>
      <c r="O843"/>
      <c r="P843"/>
    </row>
    <row r="844" spans="1:16">
      <c r="A844"/>
      <c r="B844"/>
      <c r="C844"/>
      <c r="D844"/>
      <c r="E844"/>
      <c r="F844"/>
      <c r="G844"/>
      <c r="H844"/>
      <c r="I844"/>
      <c r="J844"/>
      <c r="K844"/>
      <c r="L844"/>
      <c r="M844"/>
      <c r="N844"/>
      <c r="O844"/>
      <c r="P844"/>
    </row>
    <row r="845" spans="1:16">
      <c r="A845"/>
      <c r="B845"/>
      <c r="C845"/>
      <c r="D845"/>
      <c r="E845"/>
      <c r="F845"/>
      <c r="G845"/>
      <c r="H845"/>
      <c r="I845"/>
      <c r="J845"/>
      <c r="K845"/>
      <c r="L845"/>
      <c r="M845"/>
      <c r="N845"/>
      <c r="O845"/>
      <c r="P845"/>
    </row>
    <row r="846" spans="1:16">
      <c r="A846"/>
      <c r="B846"/>
      <c r="C846"/>
      <c r="D846"/>
      <c r="E846"/>
      <c r="F846"/>
      <c r="G846"/>
      <c r="H846"/>
      <c r="I846"/>
      <c r="J846"/>
      <c r="K846"/>
      <c r="L846"/>
      <c r="M846"/>
      <c r="N846"/>
      <c r="O846"/>
      <c r="P846"/>
    </row>
    <row r="847" spans="1:16">
      <c r="A847"/>
      <c r="B847"/>
      <c r="C847"/>
      <c r="D847"/>
      <c r="E847"/>
      <c r="F847"/>
      <c r="G847"/>
      <c r="H847"/>
      <c r="I847"/>
      <c r="J847"/>
      <c r="K847"/>
      <c r="L847"/>
      <c r="M847"/>
      <c r="N847"/>
      <c r="O847"/>
      <c r="P847"/>
    </row>
    <row r="848" spans="1:16">
      <c r="A848"/>
      <c r="B848"/>
      <c r="C848"/>
      <c r="D848"/>
      <c r="E848"/>
      <c r="F848"/>
      <c r="G848"/>
      <c r="H848"/>
      <c r="I848"/>
      <c r="J848"/>
      <c r="K848"/>
      <c r="L848"/>
      <c r="M848"/>
      <c r="N848"/>
      <c r="O848"/>
      <c r="P848"/>
    </row>
    <row r="849" spans="1:16">
      <c r="A849"/>
      <c r="B849"/>
      <c r="C849"/>
      <c r="D849"/>
      <c r="E849"/>
      <c r="F849"/>
      <c r="G849"/>
      <c r="H849"/>
      <c r="I849"/>
      <c r="J849"/>
      <c r="K849"/>
      <c r="L849"/>
      <c r="M849"/>
      <c r="N849"/>
      <c r="O849"/>
      <c r="P849"/>
    </row>
    <row r="850" spans="1:16">
      <c r="A850"/>
      <c r="B850"/>
      <c r="C850"/>
      <c r="D850"/>
      <c r="E850"/>
      <c r="F850"/>
      <c r="G850"/>
      <c r="H850"/>
      <c r="I850"/>
      <c r="J850"/>
      <c r="K850"/>
      <c r="L850"/>
      <c r="M850"/>
      <c r="N850"/>
      <c r="O850"/>
      <c r="P850"/>
    </row>
    <row r="851" spans="1:16">
      <c r="A851"/>
      <c r="B851"/>
      <c r="C851"/>
      <c r="D851"/>
      <c r="E851"/>
      <c r="F851"/>
      <c r="G851"/>
      <c r="H851"/>
      <c r="I851"/>
      <c r="J851"/>
      <c r="K851"/>
      <c r="L851"/>
      <c r="M851"/>
      <c r="N851"/>
      <c r="O851"/>
      <c r="P851"/>
    </row>
    <row r="852" spans="1:16">
      <c r="A852"/>
      <c r="B852"/>
      <c r="C852"/>
      <c r="D852"/>
      <c r="E852"/>
      <c r="F852"/>
      <c r="G852"/>
      <c r="H852"/>
      <c r="I852"/>
      <c r="J852"/>
      <c r="K852"/>
      <c r="L852"/>
      <c r="M852"/>
      <c r="N852"/>
      <c r="O852"/>
      <c r="P852"/>
    </row>
    <row r="853" spans="1:16">
      <c r="A853"/>
      <c r="B853"/>
      <c r="C853"/>
      <c r="D853"/>
      <c r="E853"/>
      <c r="F853"/>
      <c r="G853"/>
      <c r="H853"/>
      <c r="I853"/>
      <c r="J853"/>
      <c r="K853"/>
      <c r="L853"/>
      <c r="M853"/>
      <c r="N853"/>
      <c r="O853"/>
      <c r="P853"/>
    </row>
    <row r="854" spans="1:16">
      <c r="A854"/>
      <c r="B854"/>
      <c r="C854"/>
      <c r="D854"/>
      <c r="E854"/>
      <c r="F854"/>
      <c r="G854"/>
      <c r="H854"/>
      <c r="I854"/>
      <c r="J854"/>
      <c r="K854"/>
      <c r="L854"/>
      <c r="M854"/>
      <c r="N854"/>
      <c r="O854"/>
      <c r="P854"/>
    </row>
    <row r="855" spans="1:16">
      <c r="A855"/>
      <c r="B855"/>
      <c r="C855"/>
      <c r="D855"/>
      <c r="E855"/>
      <c r="F855"/>
      <c r="G855"/>
      <c r="H855"/>
      <c r="I855"/>
      <c r="J855"/>
      <c r="K855"/>
      <c r="L855"/>
      <c r="M855"/>
      <c r="N855"/>
      <c r="O855"/>
      <c r="P855"/>
    </row>
    <row r="856" spans="1:16">
      <c r="A856"/>
      <c r="B856"/>
      <c r="C856"/>
      <c r="D856"/>
      <c r="E856"/>
      <c r="F856"/>
      <c r="G856"/>
      <c r="H856"/>
      <c r="I856"/>
      <c r="J856"/>
      <c r="K856"/>
      <c r="L856"/>
      <c r="M856"/>
      <c r="N856"/>
      <c r="O856"/>
      <c r="P856"/>
    </row>
    <row r="857" spans="1:16">
      <c r="A857"/>
      <c r="B857"/>
      <c r="C857"/>
      <c r="D857"/>
      <c r="E857"/>
      <c r="F857"/>
      <c r="G857"/>
      <c r="H857"/>
      <c r="I857"/>
      <c r="J857"/>
      <c r="K857"/>
      <c r="L857"/>
      <c r="M857"/>
      <c r="N857"/>
      <c r="O857"/>
      <c r="P857"/>
    </row>
    <row r="858" spans="1:16">
      <c r="A858"/>
      <c r="B858"/>
      <c r="C858"/>
      <c r="D858"/>
      <c r="E858"/>
      <c r="F858"/>
      <c r="G858"/>
      <c r="H858"/>
      <c r="I858"/>
      <c r="J858"/>
      <c r="K858"/>
      <c r="L858"/>
      <c r="M858"/>
      <c r="N858"/>
      <c r="O858"/>
      <c r="P858"/>
    </row>
    <row r="859" spans="1:16">
      <c r="A859"/>
      <c r="B859"/>
      <c r="C859"/>
      <c r="D859"/>
      <c r="E859"/>
      <c r="F859"/>
      <c r="G859"/>
      <c r="H859"/>
      <c r="I859"/>
      <c r="J859"/>
      <c r="K859"/>
      <c r="L859"/>
      <c r="M859"/>
      <c r="N859"/>
      <c r="O859"/>
      <c r="P859"/>
    </row>
    <row r="860" spans="1:16">
      <c r="A860"/>
      <c r="B860"/>
      <c r="C860"/>
      <c r="D860"/>
      <c r="E860"/>
      <c r="F860"/>
      <c r="G860"/>
      <c r="H860"/>
      <c r="I860"/>
      <c r="J860"/>
      <c r="K860"/>
      <c r="L860"/>
      <c r="M860"/>
      <c r="N860"/>
      <c r="O860"/>
      <c r="P860"/>
    </row>
    <row r="861" spans="1:16">
      <c r="A861"/>
      <c r="B861"/>
      <c r="C861"/>
      <c r="D861"/>
      <c r="E861"/>
      <c r="F861"/>
      <c r="G861"/>
      <c r="H861"/>
      <c r="I861"/>
      <c r="J861"/>
      <c r="K861"/>
      <c r="L861"/>
      <c r="M861"/>
      <c r="N861"/>
      <c r="O861"/>
      <c r="P861"/>
    </row>
    <row r="862" spans="1:16">
      <c r="A862"/>
      <c r="B862"/>
      <c r="C862"/>
      <c r="D862"/>
      <c r="E862"/>
      <c r="F862"/>
      <c r="G862"/>
      <c r="H862"/>
      <c r="I862"/>
      <c r="J862"/>
      <c r="K862"/>
      <c r="L862"/>
      <c r="M862"/>
      <c r="N862"/>
      <c r="O862"/>
      <c r="P862"/>
    </row>
    <row r="863" spans="1:16">
      <c r="A863"/>
      <c r="B863"/>
      <c r="C863"/>
      <c r="D863"/>
      <c r="E863"/>
      <c r="F863"/>
      <c r="G863"/>
      <c r="H863"/>
      <c r="I863"/>
      <c r="J863"/>
      <c r="K863"/>
      <c r="L863"/>
      <c r="M863"/>
      <c r="N863"/>
      <c r="O863"/>
      <c r="P863"/>
    </row>
    <row r="864" spans="1:16">
      <c r="A864"/>
      <c r="B864"/>
      <c r="C864"/>
      <c r="D864"/>
      <c r="E864"/>
      <c r="F864"/>
      <c r="G864"/>
      <c r="H864"/>
      <c r="I864"/>
      <c r="J864"/>
      <c r="K864"/>
      <c r="L864"/>
      <c r="M864"/>
      <c r="N864"/>
      <c r="O864"/>
      <c r="P864"/>
    </row>
    <row r="865" spans="1:16">
      <c r="A865"/>
      <c r="B865"/>
      <c r="C865"/>
      <c r="D865"/>
      <c r="E865"/>
      <c r="F865"/>
      <c r="G865"/>
      <c r="H865"/>
      <c r="I865"/>
      <c r="J865"/>
      <c r="K865"/>
      <c r="L865"/>
      <c r="M865"/>
      <c r="N865"/>
      <c r="O865"/>
      <c r="P865"/>
    </row>
    <row r="866" spans="1:16">
      <c r="A866"/>
      <c r="B866"/>
      <c r="C866"/>
      <c r="D866"/>
      <c r="E866"/>
      <c r="F866"/>
      <c r="G866"/>
      <c r="H866"/>
      <c r="I866"/>
      <c r="J866"/>
      <c r="K866"/>
      <c r="L866"/>
      <c r="M866"/>
      <c r="N866"/>
      <c r="O866"/>
      <c r="P866"/>
    </row>
    <row r="867" spans="1:16">
      <c r="A867"/>
      <c r="B867"/>
      <c r="C867"/>
      <c r="D867"/>
      <c r="E867"/>
      <c r="F867"/>
      <c r="G867"/>
      <c r="H867"/>
      <c r="I867"/>
      <c r="J867"/>
      <c r="K867"/>
      <c r="L867"/>
      <c r="M867"/>
      <c r="N867"/>
      <c r="O867"/>
      <c r="P867"/>
    </row>
    <row r="868" spans="1:16">
      <c r="A868"/>
      <c r="B868"/>
      <c r="C868"/>
      <c r="D868"/>
      <c r="E868"/>
      <c r="F868"/>
      <c r="G868"/>
      <c r="H868"/>
      <c r="I868"/>
      <c r="J868"/>
      <c r="K868"/>
      <c r="L868"/>
      <c r="M868"/>
      <c r="N868"/>
      <c r="O868"/>
      <c r="P868"/>
    </row>
    <row r="869" spans="1:16">
      <c r="A869"/>
      <c r="B869"/>
      <c r="C869"/>
      <c r="D869"/>
      <c r="E869"/>
      <c r="F869"/>
      <c r="G869"/>
      <c r="H869"/>
      <c r="I869"/>
      <c r="J869"/>
      <c r="K869"/>
      <c r="L869"/>
      <c r="M869"/>
      <c r="N869"/>
      <c r="O869"/>
      <c r="P869"/>
    </row>
    <row r="870" spans="1:16">
      <c r="A870"/>
      <c r="B870"/>
      <c r="C870"/>
      <c r="D870"/>
      <c r="E870"/>
      <c r="F870"/>
      <c r="G870"/>
      <c r="H870"/>
      <c r="I870"/>
      <c r="J870"/>
      <c r="K870"/>
      <c r="L870"/>
      <c r="M870"/>
      <c r="N870"/>
      <c r="O870"/>
      <c r="P870"/>
    </row>
    <row r="871" spans="1:16">
      <c r="A871"/>
      <c r="B871"/>
      <c r="C871"/>
      <c r="D871"/>
      <c r="E871"/>
      <c r="F871"/>
      <c r="G871"/>
      <c r="H871"/>
      <c r="I871"/>
      <c r="J871"/>
      <c r="K871"/>
      <c r="L871"/>
      <c r="M871"/>
      <c r="N871"/>
      <c r="O871"/>
      <c r="P871"/>
    </row>
    <row r="872" spans="1:16">
      <c r="A872"/>
      <c r="B872"/>
      <c r="C872"/>
      <c r="D872"/>
      <c r="E872"/>
      <c r="F872"/>
      <c r="G872"/>
      <c r="H872"/>
      <c r="I872"/>
      <c r="J872"/>
      <c r="K872"/>
      <c r="L872"/>
      <c r="M872"/>
      <c r="N872"/>
      <c r="O872"/>
      <c r="P872"/>
    </row>
    <row r="873" spans="1:16">
      <c r="A873"/>
      <c r="B873"/>
      <c r="C873"/>
      <c r="D873"/>
      <c r="E873"/>
      <c r="F873"/>
      <c r="G873"/>
      <c r="H873"/>
      <c r="I873"/>
      <c r="J873"/>
      <c r="K873"/>
      <c r="L873"/>
      <c r="M873"/>
      <c r="N873"/>
      <c r="O873"/>
      <c r="P873"/>
    </row>
    <row r="874" spans="1:16">
      <c r="A874"/>
      <c r="B874"/>
      <c r="C874"/>
      <c r="D874"/>
      <c r="E874"/>
      <c r="F874"/>
      <c r="G874"/>
      <c r="H874"/>
      <c r="I874"/>
      <c r="J874"/>
      <c r="K874"/>
      <c r="L874"/>
      <c r="M874"/>
      <c r="N874"/>
      <c r="O874"/>
      <c r="P874"/>
    </row>
    <row r="875" spans="1:16">
      <c r="A875"/>
      <c r="B875"/>
      <c r="C875"/>
      <c r="D875"/>
      <c r="E875"/>
      <c r="F875"/>
      <c r="G875"/>
      <c r="H875"/>
      <c r="I875"/>
      <c r="J875"/>
      <c r="K875"/>
      <c r="L875"/>
      <c r="M875"/>
      <c r="N875"/>
      <c r="O875"/>
      <c r="P875"/>
    </row>
    <row r="876" spans="1:16">
      <c r="A876"/>
      <c r="B876"/>
      <c r="C876"/>
      <c r="D876"/>
      <c r="E876"/>
      <c r="F876"/>
      <c r="G876"/>
      <c r="H876"/>
      <c r="I876"/>
      <c r="J876"/>
      <c r="K876"/>
      <c r="L876"/>
      <c r="M876"/>
      <c r="N876"/>
      <c r="O876"/>
      <c r="P876"/>
    </row>
    <row r="877" spans="1:16">
      <c r="A877"/>
      <c r="B877"/>
      <c r="C877"/>
      <c r="D877"/>
      <c r="E877"/>
      <c r="F877"/>
      <c r="G877"/>
      <c r="H877"/>
      <c r="I877"/>
      <c r="J877"/>
      <c r="K877"/>
      <c r="L877"/>
      <c r="M877"/>
      <c r="N877"/>
      <c r="O877"/>
      <c r="P877"/>
    </row>
    <row r="878" spans="1:16">
      <c r="A878"/>
      <c r="B878"/>
      <c r="C878"/>
      <c r="D878"/>
      <c r="E878"/>
      <c r="F878"/>
      <c r="G878"/>
      <c r="H878"/>
      <c r="I878"/>
      <c r="J878"/>
      <c r="K878"/>
      <c r="L878"/>
      <c r="M878"/>
      <c r="N878"/>
      <c r="O878"/>
      <c r="P878"/>
    </row>
    <row r="879" spans="1:16">
      <c r="A879"/>
      <c r="B879"/>
      <c r="C879"/>
      <c r="D879"/>
      <c r="E879"/>
      <c r="F879"/>
      <c r="G879"/>
      <c r="H879"/>
      <c r="I879"/>
      <c r="J879"/>
      <c r="K879"/>
      <c r="L879"/>
      <c r="M879"/>
      <c r="N879"/>
      <c r="O879"/>
      <c r="P879"/>
    </row>
    <row r="880" spans="1:16">
      <c r="A880"/>
      <c r="B880"/>
      <c r="C880"/>
      <c r="D880"/>
      <c r="E880"/>
      <c r="F880"/>
      <c r="G880"/>
      <c r="H880"/>
      <c r="I880"/>
      <c r="J880"/>
      <c r="K880"/>
      <c r="L880"/>
      <c r="M880"/>
      <c r="N880"/>
      <c r="O880"/>
      <c r="P880"/>
    </row>
    <row r="881" spans="1:16">
      <c r="A881"/>
      <c r="B881"/>
      <c r="C881"/>
      <c r="D881"/>
      <c r="E881"/>
      <c r="F881"/>
      <c r="G881"/>
      <c r="H881"/>
      <c r="I881"/>
      <c r="J881"/>
      <c r="K881"/>
      <c r="L881"/>
      <c r="M881"/>
      <c r="N881"/>
      <c r="O881"/>
      <c r="P881"/>
    </row>
    <row r="882" spans="1:16">
      <c r="A882"/>
      <c r="B882"/>
      <c r="C882"/>
      <c r="D882"/>
      <c r="E882"/>
      <c r="F882"/>
      <c r="G882"/>
      <c r="H882"/>
      <c r="I882"/>
      <c r="J882"/>
      <c r="K882"/>
      <c r="L882"/>
      <c r="M882"/>
      <c r="N882"/>
      <c r="O882"/>
      <c r="P882"/>
    </row>
    <row r="883" spans="1:16">
      <c r="A883"/>
      <c r="B883"/>
      <c r="C883"/>
      <c r="D883"/>
      <c r="E883"/>
      <c r="F883"/>
      <c r="G883"/>
      <c r="H883"/>
      <c r="I883"/>
      <c r="J883"/>
      <c r="K883"/>
      <c r="L883"/>
      <c r="M883"/>
      <c r="N883"/>
      <c r="O883"/>
      <c r="P883"/>
    </row>
    <row r="884" spans="1:16">
      <c r="A884"/>
      <c r="B884"/>
      <c r="C884"/>
      <c r="D884"/>
      <c r="E884"/>
      <c r="F884"/>
      <c r="G884"/>
      <c r="H884"/>
      <c r="I884"/>
      <c r="J884"/>
      <c r="K884"/>
      <c r="L884"/>
      <c r="M884"/>
      <c r="N884"/>
      <c r="O884"/>
      <c r="P884"/>
    </row>
    <row r="885" spans="1:16">
      <c r="A885"/>
      <c r="B885"/>
      <c r="C885"/>
      <c r="D885"/>
      <c r="E885"/>
      <c r="F885"/>
      <c r="G885"/>
      <c r="H885"/>
      <c r="I885"/>
      <c r="J885"/>
      <c r="K885"/>
      <c r="L885"/>
      <c r="M885"/>
      <c r="N885"/>
      <c r="O885"/>
      <c r="P885"/>
    </row>
    <row r="886" spans="1:16">
      <c r="A886"/>
      <c r="B886"/>
      <c r="C886"/>
      <c r="D886"/>
      <c r="E886"/>
      <c r="F886"/>
      <c r="G886"/>
      <c r="H886"/>
      <c r="I886"/>
      <c r="J886"/>
      <c r="K886"/>
      <c r="L886"/>
      <c r="M886"/>
      <c r="N886"/>
      <c r="O886"/>
      <c r="P886"/>
    </row>
    <row r="887" spans="1:16">
      <c r="A887"/>
      <c r="B887"/>
      <c r="C887"/>
      <c r="D887"/>
      <c r="E887"/>
      <c r="F887"/>
      <c r="G887"/>
      <c r="H887"/>
      <c r="I887"/>
      <c r="J887"/>
      <c r="K887"/>
      <c r="L887"/>
      <c r="M887"/>
      <c r="N887"/>
      <c r="O887"/>
      <c r="P887"/>
    </row>
    <row r="888" spans="1:16">
      <c r="A888"/>
      <c r="B888"/>
      <c r="C888"/>
      <c r="D888"/>
      <c r="E888"/>
      <c r="F888"/>
      <c r="G888"/>
      <c r="H888"/>
      <c r="I888"/>
      <c r="J888"/>
      <c r="K888"/>
      <c r="L888"/>
      <c r="M888"/>
      <c r="N888"/>
      <c r="O888"/>
      <c r="P888"/>
    </row>
    <row r="889" spans="1:16">
      <c r="A889"/>
      <c r="B889"/>
      <c r="C889"/>
      <c r="D889"/>
      <c r="E889"/>
      <c r="F889"/>
      <c r="G889"/>
      <c r="H889"/>
      <c r="I889"/>
      <c r="J889"/>
      <c r="K889"/>
      <c r="L889"/>
      <c r="M889"/>
      <c r="N889"/>
      <c r="O889"/>
      <c r="P889"/>
    </row>
    <row r="890" spans="1:16">
      <c r="A890"/>
      <c r="B890"/>
      <c r="C890"/>
      <c r="D890"/>
      <c r="E890"/>
      <c r="F890"/>
      <c r="G890"/>
      <c r="H890"/>
      <c r="I890"/>
      <c r="J890"/>
      <c r="K890"/>
      <c r="L890"/>
      <c r="M890"/>
      <c r="N890"/>
      <c r="O890"/>
      <c r="P890"/>
    </row>
    <row r="891" spans="1:16">
      <c r="A891"/>
      <c r="B891"/>
      <c r="C891"/>
      <c r="D891"/>
      <c r="E891"/>
      <c r="F891"/>
      <c r="G891"/>
      <c r="H891"/>
      <c r="I891"/>
      <c r="J891"/>
      <c r="K891"/>
      <c r="L891"/>
      <c r="M891"/>
      <c r="N891"/>
      <c r="O891"/>
      <c r="P891"/>
    </row>
    <row r="892" spans="1:16">
      <c r="A892"/>
      <c r="B892"/>
      <c r="C892"/>
      <c r="D892"/>
      <c r="E892"/>
      <c r="F892"/>
      <c r="G892"/>
      <c r="H892"/>
      <c r="I892"/>
      <c r="J892"/>
      <c r="K892"/>
      <c r="L892"/>
      <c r="M892"/>
      <c r="N892"/>
      <c r="O892"/>
      <c r="P892"/>
    </row>
    <row r="893" spans="1:16">
      <c r="A893"/>
      <c r="B893"/>
      <c r="C893"/>
      <c r="D893"/>
      <c r="E893"/>
      <c r="F893"/>
      <c r="G893"/>
      <c r="H893"/>
      <c r="I893"/>
      <c r="J893"/>
      <c r="K893"/>
      <c r="L893"/>
      <c r="M893"/>
      <c r="N893"/>
      <c r="O893"/>
      <c r="P893"/>
    </row>
    <row r="894" spans="1:16">
      <c r="A894"/>
      <c r="B894"/>
      <c r="C894"/>
      <c r="D894"/>
      <c r="E894"/>
      <c r="F894"/>
      <c r="G894"/>
      <c r="H894"/>
      <c r="I894"/>
      <c r="J894"/>
      <c r="K894"/>
      <c r="L894"/>
      <c r="M894"/>
      <c r="N894"/>
      <c r="O894"/>
      <c r="P894"/>
    </row>
    <row r="895" spans="1:16">
      <c r="A895"/>
      <c r="B895"/>
      <c r="C895"/>
      <c r="D895"/>
      <c r="E895"/>
      <c r="F895"/>
      <c r="G895"/>
      <c r="H895"/>
      <c r="I895"/>
      <c r="J895"/>
      <c r="K895"/>
      <c r="L895"/>
      <c r="M895"/>
      <c r="N895"/>
      <c r="O895"/>
      <c r="P895"/>
    </row>
    <row r="896" spans="1:16">
      <c r="A896"/>
      <c r="B896"/>
      <c r="C896"/>
      <c r="D896"/>
      <c r="E896"/>
      <c r="F896"/>
      <c r="G896"/>
      <c r="H896"/>
      <c r="I896"/>
      <c r="J896"/>
      <c r="K896"/>
      <c r="L896"/>
      <c r="M896"/>
      <c r="N896"/>
      <c r="O896"/>
      <c r="P896"/>
    </row>
    <row r="897" spans="1:16">
      <c r="A897"/>
      <c r="B897"/>
      <c r="C897"/>
      <c r="D897"/>
      <c r="E897"/>
      <c r="F897"/>
      <c r="G897"/>
      <c r="H897"/>
      <c r="I897"/>
      <c r="J897"/>
      <c r="K897"/>
      <c r="L897"/>
      <c r="M897"/>
      <c r="N897"/>
      <c r="O897"/>
      <c r="P897"/>
    </row>
    <row r="898" spans="1:16">
      <c r="A898"/>
      <c r="B898"/>
      <c r="C898"/>
      <c r="D898"/>
      <c r="E898"/>
      <c r="F898"/>
      <c r="G898"/>
      <c r="H898"/>
      <c r="I898"/>
      <c r="J898"/>
      <c r="K898"/>
      <c r="L898"/>
      <c r="M898"/>
      <c r="N898"/>
      <c r="O898"/>
      <c r="P898"/>
    </row>
    <row r="899" spans="1:16">
      <c r="A899"/>
      <c r="B899"/>
      <c r="C899"/>
      <c r="D899"/>
      <c r="E899"/>
      <c r="F899"/>
      <c r="G899"/>
      <c r="H899"/>
      <c r="I899"/>
      <c r="J899"/>
      <c r="K899"/>
      <c r="L899"/>
      <c r="M899"/>
      <c r="N899"/>
      <c r="O899"/>
      <c r="P899"/>
    </row>
    <row r="900" spans="1:16">
      <c r="A900"/>
      <c r="B900"/>
      <c r="C900"/>
      <c r="D900"/>
      <c r="E900"/>
      <c r="F900"/>
      <c r="G900"/>
      <c r="H900"/>
      <c r="I900"/>
      <c r="J900"/>
      <c r="K900"/>
      <c r="L900"/>
      <c r="M900"/>
      <c r="N900"/>
      <c r="O900"/>
      <c r="P900"/>
    </row>
    <row r="901" spans="1:16">
      <c r="A901"/>
      <c r="B901"/>
      <c r="C901"/>
      <c r="D901"/>
      <c r="E901"/>
      <c r="F901"/>
      <c r="G901"/>
      <c r="H901"/>
      <c r="I901"/>
      <c r="J901"/>
      <c r="K901"/>
      <c r="L901"/>
      <c r="M901"/>
      <c r="N901"/>
      <c r="O901"/>
      <c r="P901"/>
    </row>
    <row r="902" spans="1:16">
      <c r="A902"/>
      <c r="B902"/>
      <c r="C902"/>
      <c r="D902"/>
      <c r="E902"/>
      <c r="F902"/>
      <c r="G902"/>
      <c r="H902"/>
      <c r="I902"/>
      <c r="J902"/>
      <c r="K902"/>
      <c r="L902"/>
      <c r="M902"/>
      <c r="N902"/>
      <c r="O902"/>
      <c r="P902"/>
    </row>
    <row r="903" spans="1:16">
      <c r="A903"/>
      <c r="B903"/>
      <c r="C903"/>
      <c r="D903"/>
      <c r="E903"/>
      <c r="F903"/>
      <c r="G903"/>
      <c r="H903"/>
      <c r="I903"/>
      <c r="J903"/>
      <c r="K903"/>
      <c r="L903"/>
      <c r="M903"/>
      <c r="N903"/>
      <c r="O903"/>
      <c r="P903"/>
    </row>
    <row r="904" spans="1:16">
      <c r="A904"/>
      <c r="B904"/>
      <c r="C904"/>
      <c r="D904"/>
      <c r="E904"/>
      <c r="F904"/>
      <c r="G904"/>
      <c r="H904"/>
      <c r="I904"/>
      <c r="J904"/>
      <c r="K904"/>
      <c r="L904"/>
      <c r="M904"/>
      <c r="N904"/>
      <c r="O904"/>
      <c r="P904"/>
    </row>
    <row r="905" spans="1:16">
      <c r="A905"/>
      <c r="B905"/>
      <c r="C905"/>
      <c r="D905"/>
      <c r="E905"/>
      <c r="F905"/>
      <c r="G905"/>
      <c r="H905"/>
      <c r="I905"/>
      <c r="J905"/>
      <c r="K905"/>
      <c r="L905"/>
      <c r="M905"/>
      <c r="N905"/>
      <c r="O905"/>
      <c r="P905"/>
    </row>
    <row r="906" spans="1:16">
      <c r="A906"/>
      <c r="B906"/>
      <c r="C906"/>
      <c r="D906"/>
      <c r="E906"/>
      <c r="F906"/>
      <c r="G906"/>
      <c r="H906"/>
      <c r="I906"/>
      <c r="J906"/>
      <c r="K906"/>
      <c r="L906"/>
      <c r="M906"/>
      <c r="N906"/>
      <c r="O906"/>
      <c r="P906"/>
    </row>
    <row r="907" spans="1:16">
      <c r="A907"/>
      <c r="B907"/>
      <c r="C907"/>
      <c r="D907"/>
      <c r="E907"/>
      <c r="F907"/>
      <c r="G907"/>
      <c r="H907"/>
      <c r="I907"/>
      <c r="J907"/>
      <c r="K907"/>
      <c r="L907"/>
      <c r="M907"/>
      <c r="N907"/>
      <c r="O907"/>
      <c r="P907"/>
    </row>
    <row r="908" spans="1:16">
      <c r="A908"/>
      <c r="B908"/>
      <c r="C908"/>
      <c r="D908"/>
      <c r="E908"/>
      <c r="F908"/>
      <c r="G908"/>
      <c r="H908"/>
      <c r="I908"/>
      <c r="J908"/>
      <c r="K908"/>
      <c r="L908"/>
      <c r="M908"/>
      <c r="N908"/>
      <c r="O908"/>
      <c r="P908"/>
    </row>
    <row r="909" spans="1:16">
      <c r="A909"/>
      <c r="B909"/>
      <c r="C909"/>
      <c r="D909"/>
      <c r="E909"/>
      <c r="F909"/>
      <c r="G909"/>
      <c r="H909"/>
      <c r="I909"/>
      <c r="J909"/>
      <c r="K909"/>
      <c r="L909"/>
      <c r="M909"/>
      <c r="N909"/>
      <c r="O909"/>
      <c r="P909"/>
    </row>
    <row r="910" spans="1:16">
      <c r="A910"/>
      <c r="B910"/>
      <c r="C910"/>
      <c r="D910"/>
      <c r="E910"/>
      <c r="F910"/>
      <c r="G910"/>
      <c r="H910"/>
      <c r="I910"/>
      <c r="J910"/>
      <c r="K910"/>
      <c r="L910"/>
      <c r="M910"/>
      <c r="N910"/>
      <c r="O910"/>
      <c r="P910"/>
    </row>
    <row r="911" spans="1:16">
      <c r="A911"/>
      <c r="B911"/>
      <c r="C911"/>
      <c r="D911"/>
      <c r="E911"/>
      <c r="F911"/>
      <c r="G911"/>
      <c r="H911"/>
      <c r="I911"/>
      <c r="J911"/>
      <c r="K911"/>
      <c r="L911"/>
      <c r="M911"/>
      <c r="N911"/>
      <c r="O911"/>
      <c r="P911"/>
    </row>
    <row r="912" spans="1:16">
      <c r="A912"/>
      <c r="B912"/>
      <c r="C912"/>
      <c r="D912"/>
      <c r="E912"/>
      <c r="F912"/>
      <c r="G912"/>
      <c r="H912"/>
      <c r="I912"/>
      <c r="J912"/>
      <c r="K912"/>
      <c r="L912"/>
      <c r="M912"/>
      <c r="N912"/>
      <c r="O912"/>
      <c r="P912"/>
    </row>
    <row r="913" spans="1:16">
      <c r="A913"/>
      <c r="B913"/>
      <c r="C913"/>
      <c r="D913"/>
      <c r="E913"/>
      <c r="F913"/>
      <c r="G913"/>
      <c r="H913"/>
      <c r="I913"/>
      <c r="J913"/>
      <c r="K913"/>
      <c r="L913"/>
      <c r="M913"/>
      <c r="N913"/>
      <c r="O913"/>
      <c r="P913"/>
    </row>
    <row r="914" spans="1:16">
      <c r="A914"/>
      <c r="B914"/>
      <c r="C914"/>
      <c r="D914"/>
      <c r="E914"/>
      <c r="F914"/>
      <c r="G914"/>
      <c r="H914"/>
      <c r="I914"/>
      <c r="J914"/>
      <c r="K914"/>
      <c r="L914"/>
      <c r="M914"/>
      <c r="N914"/>
      <c r="O914"/>
      <c r="P914"/>
    </row>
    <row r="915" spans="1:16">
      <c r="A915"/>
      <c r="B915"/>
      <c r="C915"/>
      <c r="D915"/>
      <c r="E915"/>
      <c r="F915"/>
      <c r="G915"/>
      <c r="H915"/>
      <c r="I915"/>
      <c r="J915"/>
      <c r="K915"/>
      <c r="L915"/>
      <c r="M915"/>
      <c r="N915"/>
      <c r="O915"/>
      <c r="P915"/>
    </row>
    <row r="916" spans="1:16">
      <c r="A916"/>
      <c r="B916"/>
      <c r="C916"/>
      <c r="D916"/>
      <c r="E916"/>
      <c r="F916"/>
      <c r="G916"/>
      <c r="H916"/>
      <c r="I916"/>
      <c r="J916"/>
      <c r="K916"/>
      <c r="L916"/>
      <c r="M916"/>
      <c r="N916"/>
      <c r="O916"/>
      <c r="P916"/>
    </row>
    <row r="917" spans="1:16">
      <c r="A917"/>
      <c r="B917"/>
      <c r="C917"/>
      <c r="D917"/>
      <c r="E917"/>
      <c r="F917"/>
      <c r="G917"/>
      <c r="H917"/>
      <c r="I917"/>
      <c r="J917"/>
      <c r="K917"/>
      <c r="L917"/>
      <c r="M917"/>
      <c r="N917"/>
      <c r="O917"/>
      <c r="P917"/>
    </row>
    <row r="918" spans="1:16">
      <c r="A918"/>
      <c r="B918"/>
      <c r="C918"/>
      <c r="D918"/>
      <c r="E918"/>
      <c r="F918"/>
      <c r="G918"/>
      <c r="H918"/>
      <c r="I918"/>
      <c r="J918"/>
      <c r="K918"/>
      <c r="L918"/>
      <c r="M918"/>
      <c r="N918"/>
      <c r="O918"/>
      <c r="P918"/>
    </row>
    <row r="919" spans="1:16">
      <c r="A919"/>
      <c r="B919"/>
      <c r="C919"/>
      <c r="D919"/>
      <c r="E919"/>
      <c r="F919"/>
      <c r="G919"/>
      <c r="H919"/>
      <c r="I919"/>
      <c r="J919"/>
      <c r="K919"/>
      <c r="L919"/>
      <c r="M919"/>
      <c r="N919"/>
      <c r="O919"/>
      <c r="P919"/>
    </row>
    <row r="920" spans="1:16">
      <c r="A920"/>
      <c r="B920"/>
      <c r="C920"/>
      <c r="D920"/>
      <c r="E920"/>
      <c r="F920"/>
      <c r="G920"/>
      <c r="H920"/>
      <c r="I920"/>
      <c r="J920"/>
      <c r="K920"/>
      <c r="L920"/>
      <c r="M920"/>
      <c r="N920"/>
      <c r="O920"/>
      <c r="P920"/>
    </row>
    <row r="921" spans="1:16">
      <c r="A921"/>
      <c r="B921"/>
      <c r="C921"/>
      <c r="D921"/>
      <c r="E921"/>
      <c r="F921"/>
      <c r="G921"/>
      <c r="H921"/>
      <c r="I921"/>
      <c r="J921"/>
      <c r="K921"/>
      <c r="L921"/>
      <c r="M921"/>
      <c r="N921"/>
      <c r="O921"/>
      <c r="P921"/>
    </row>
    <row r="922" spans="1:16">
      <c r="A922"/>
      <c r="B922"/>
      <c r="C922"/>
      <c r="D922"/>
      <c r="E922"/>
      <c r="F922"/>
      <c r="G922"/>
      <c r="H922"/>
      <c r="I922"/>
      <c r="J922"/>
      <c r="K922"/>
      <c r="L922"/>
      <c r="M922"/>
      <c r="N922"/>
      <c r="O922"/>
      <c r="P922"/>
    </row>
    <row r="923" spans="1:16">
      <c r="A923"/>
      <c r="B923"/>
      <c r="C923"/>
      <c r="D923"/>
      <c r="E923"/>
      <c r="F923"/>
      <c r="G923"/>
      <c r="H923"/>
      <c r="I923"/>
      <c r="J923"/>
      <c r="K923"/>
      <c r="L923"/>
      <c r="M923"/>
      <c r="N923"/>
      <c r="O923"/>
      <c r="P923"/>
    </row>
    <row r="924" spans="1:16">
      <c r="A924"/>
      <c r="B924"/>
      <c r="C924"/>
      <c r="D924"/>
      <c r="E924"/>
      <c r="F924"/>
      <c r="G924"/>
      <c r="H924"/>
      <c r="I924"/>
      <c r="J924"/>
      <c r="K924"/>
      <c r="L924"/>
      <c r="M924"/>
      <c r="N924"/>
      <c r="O924"/>
      <c r="P924"/>
    </row>
    <row r="925" spans="1:16">
      <c r="A925"/>
      <c r="B925"/>
      <c r="C925"/>
      <c r="D925"/>
      <c r="E925"/>
      <c r="F925"/>
      <c r="G925"/>
      <c r="H925"/>
      <c r="I925"/>
      <c r="J925"/>
      <c r="K925"/>
      <c r="L925"/>
      <c r="M925"/>
      <c r="N925"/>
      <c r="O925"/>
      <c r="P925"/>
    </row>
    <row r="926" spans="1:16">
      <c r="A926"/>
      <c r="B926"/>
      <c r="C926"/>
      <c r="D926"/>
      <c r="E926"/>
      <c r="F926"/>
      <c r="G926"/>
      <c r="H926"/>
      <c r="I926"/>
      <c r="J926"/>
      <c r="K926"/>
      <c r="L926"/>
      <c r="M926"/>
      <c r="N926"/>
      <c r="O926"/>
      <c r="P926"/>
    </row>
    <row r="927" spans="1:16">
      <c r="A927"/>
      <c r="B927"/>
      <c r="C927"/>
      <c r="D927"/>
      <c r="E927"/>
      <c r="F927"/>
      <c r="G927"/>
      <c r="H927"/>
      <c r="I927"/>
      <c r="J927"/>
      <c r="K927"/>
      <c r="L927"/>
      <c r="M927"/>
      <c r="N927"/>
      <c r="O927"/>
      <c r="P927"/>
    </row>
    <row r="928" spans="1:16">
      <c r="A928"/>
      <c r="B928"/>
      <c r="C928"/>
      <c r="D928"/>
      <c r="E928"/>
      <c r="F928"/>
      <c r="G928"/>
      <c r="H928"/>
      <c r="I928"/>
      <c r="J928"/>
      <c r="K928"/>
      <c r="L928"/>
      <c r="M928"/>
      <c r="N928"/>
      <c r="O928"/>
      <c r="P928"/>
    </row>
    <row r="929" spans="1:16">
      <c r="A929"/>
      <c r="B929"/>
      <c r="C929"/>
      <c r="D929"/>
      <c r="E929"/>
      <c r="F929"/>
      <c r="G929"/>
      <c r="H929"/>
      <c r="I929"/>
      <c r="J929"/>
      <c r="K929"/>
      <c r="L929"/>
      <c r="M929"/>
      <c r="N929"/>
      <c r="O929"/>
      <c r="P929"/>
    </row>
    <row r="930" spans="1:16">
      <c r="A930"/>
      <c r="B930"/>
      <c r="C930"/>
      <c r="D930"/>
      <c r="E930"/>
      <c r="F930"/>
      <c r="G930"/>
      <c r="H930"/>
      <c r="I930"/>
      <c r="J930"/>
      <c r="K930"/>
      <c r="L930"/>
      <c r="M930"/>
      <c r="N930"/>
      <c r="O930"/>
      <c r="P930"/>
    </row>
    <row r="931" spans="1:16">
      <c r="A931"/>
      <c r="B931"/>
      <c r="C931"/>
      <c r="D931"/>
      <c r="E931"/>
      <c r="F931"/>
      <c r="G931"/>
      <c r="H931"/>
      <c r="I931"/>
      <c r="J931"/>
      <c r="K931"/>
      <c r="L931"/>
      <c r="M931"/>
      <c r="N931"/>
      <c r="O931"/>
      <c r="P931"/>
    </row>
    <row r="932" spans="1:16">
      <c r="A932"/>
      <c r="B932"/>
      <c r="C932"/>
      <c r="D932"/>
      <c r="E932"/>
      <c r="F932"/>
      <c r="G932"/>
      <c r="H932"/>
      <c r="I932"/>
      <c r="J932"/>
      <c r="K932"/>
      <c r="L932"/>
      <c r="M932"/>
      <c r="N932"/>
      <c r="O932"/>
      <c r="P932"/>
    </row>
    <row r="933" spans="1:16">
      <c r="A933"/>
      <c r="B933"/>
      <c r="C933"/>
      <c r="D933"/>
      <c r="E933"/>
      <c r="F933"/>
      <c r="G933"/>
      <c r="H933"/>
      <c r="I933"/>
      <c r="J933"/>
      <c r="K933"/>
      <c r="L933"/>
      <c r="M933"/>
      <c r="N933"/>
      <c r="O933"/>
      <c r="P933"/>
    </row>
    <row r="934" spans="1:16">
      <c r="A934"/>
      <c r="B934"/>
      <c r="C934"/>
      <c r="D934"/>
      <c r="E934"/>
      <c r="F934"/>
      <c r="G934"/>
      <c r="H934"/>
      <c r="I934"/>
      <c r="J934"/>
      <c r="K934"/>
      <c r="L934"/>
      <c r="M934"/>
      <c r="N934"/>
      <c r="O934"/>
      <c r="P934"/>
    </row>
    <row r="935" spans="1:16">
      <c r="A935"/>
      <c r="B935"/>
      <c r="C935"/>
      <c r="D935"/>
      <c r="E935"/>
      <c r="F935"/>
      <c r="G935"/>
      <c r="H935"/>
      <c r="I935"/>
      <c r="J935"/>
      <c r="K935"/>
      <c r="L935"/>
      <c r="M935"/>
      <c r="N935"/>
      <c r="O935"/>
      <c r="P935"/>
    </row>
    <row r="936" spans="1:16">
      <c r="A936"/>
      <c r="B936"/>
      <c r="C936"/>
      <c r="D936"/>
      <c r="E936"/>
      <c r="F936"/>
      <c r="G936"/>
      <c r="H936"/>
      <c r="I936"/>
      <c r="J936"/>
      <c r="K936"/>
      <c r="L936"/>
      <c r="M936"/>
      <c r="N936"/>
      <c r="O936"/>
      <c r="P936"/>
    </row>
    <row r="937" spans="1:16">
      <c r="A937"/>
      <c r="B937"/>
      <c r="C937"/>
      <c r="D937"/>
      <c r="E937"/>
      <c r="F937"/>
      <c r="G937"/>
      <c r="H937"/>
      <c r="I937"/>
      <c r="J937"/>
      <c r="K937"/>
      <c r="L937"/>
      <c r="M937"/>
      <c r="N937"/>
      <c r="O937"/>
      <c r="P937"/>
    </row>
    <row r="938" spans="1:16">
      <c r="A938"/>
      <c r="B938"/>
      <c r="C938"/>
      <c r="D938"/>
      <c r="E938"/>
      <c r="F938"/>
      <c r="G938"/>
      <c r="H938"/>
      <c r="I938"/>
      <c r="J938"/>
      <c r="K938"/>
      <c r="L938"/>
      <c r="M938"/>
      <c r="N938"/>
      <c r="O938"/>
      <c r="P938"/>
    </row>
    <row r="939" spans="1:16">
      <c r="A939"/>
      <c r="B939"/>
      <c r="C939"/>
      <c r="D939"/>
      <c r="E939"/>
      <c r="F939"/>
      <c r="G939"/>
      <c r="H939"/>
      <c r="I939"/>
      <c r="J939"/>
      <c r="K939"/>
      <c r="L939"/>
      <c r="M939"/>
      <c r="N939"/>
      <c r="O939"/>
      <c r="P939"/>
    </row>
    <row r="940" spans="1:16">
      <c r="A940"/>
      <c r="B940"/>
      <c r="C940"/>
      <c r="D940"/>
      <c r="E940"/>
      <c r="F940"/>
      <c r="G940"/>
      <c r="H940"/>
      <c r="I940"/>
      <c r="J940"/>
      <c r="K940"/>
      <c r="L940"/>
      <c r="M940"/>
      <c r="N940"/>
      <c r="O940"/>
      <c r="P940"/>
    </row>
    <row r="941" spans="1:16">
      <c r="A941"/>
      <c r="B941"/>
      <c r="C941"/>
      <c r="D941"/>
      <c r="E941"/>
      <c r="F941"/>
      <c r="G941"/>
      <c r="H941"/>
      <c r="I941"/>
      <c r="J941"/>
      <c r="K941"/>
      <c r="L941"/>
      <c r="M941"/>
      <c r="N941"/>
      <c r="O941"/>
      <c r="P941"/>
    </row>
    <row r="942" spans="1:16">
      <c r="A942"/>
      <c r="B942"/>
      <c r="C942"/>
      <c r="D942"/>
      <c r="E942"/>
      <c r="F942"/>
      <c r="G942"/>
      <c r="H942"/>
      <c r="I942"/>
      <c r="J942"/>
      <c r="K942"/>
      <c r="L942"/>
      <c r="M942"/>
      <c r="N942"/>
      <c r="O942"/>
      <c r="P942"/>
    </row>
    <row r="943" spans="1:16">
      <c r="A943"/>
      <c r="B943"/>
      <c r="C943"/>
      <c r="D943"/>
      <c r="E943"/>
      <c r="F943"/>
      <c r="G943"/>
      <c r="H943"/>
      <c r="I943"/>
      <c r="J943"/>
      <c r="K943"/>
      <c r="L943"/>
      <c r="M943"/>
      <c r="N943"/>
      <c r="O943"/>
      <c r="P943"/>
    </row>
    <row r="944" spans="1:16">
      <c r="A944"/>
      <c r="B944"/>
      <c r="C944"/>
      <c r="D944"/>
      <c r="E944"/>
      <c r="F944"/>
      <c r="G944"/>
      <c r="H944"/>
      <c r="I944"/>
      <c r="J944"/>
      <c r="K944"/>
      <c r="L944"/>
      <c r="M944"/>
      <c r="N944"/>
      <c r="O944"/>
      <c r="P944"/>
    </row>
    <row r="945" spans="1:16">
      <c r="A945"/>
      <c r="B945"/>
      <c r="C945"/>
      <c r="D945"/>
      <c r="E945"/>
      <c r="F945"/>
      <c r="G945"/>
      <c r="H945"/>
      <c r="I945"/>
      <c r="J945"/>
      <c r="K945"/>
      <c r="L945"/>
      <c r="M945"/>
      <c r="N945"/>
      <c r="O945"/>
      <c r="P945"/>
    </row>
    <row r="946" spans="1:16">
      <c r="A946"/>
      <c r="B946"/>
      <c r="C946"/>
      <c r="D946"/>
      <c r="E946"/>
      <c r="F946"/>
      <c r="G946"/>
      <c r="H946"/>
      <c r="I946"/>
      <c r="J946"/>
      <c r="K946"/>
      <c r="L946"/>
      <c r="M946"/>
      <c r="N946"/>
      <c r="O946"/>
      <c r="P946"/>
    </row>
    <row r="947" spans="1:16">
      <c r="A947"/>
      <c r="B947"/>
      <c r="C947"/>
      <c r="D947"/>
      <c r="E947"/>
      <c r="F947"/>
      <c r="G947"/>
      <c r="H947"/>
      <c r="I947"/>
      <c r="J947"/>
      <c r="K947"/>
      <c r="L947"/>
      <c r="M947"/>
      <c r="N947"/>
      <c r="O947"/>
      <c r="P947"/>
    </row>
    <row r="948" spans="1:16">
      <c r="A948"/>
      <c r="B948"/>
      <c r="C948"/>
      <c r="D948"/>
      <c r="E948"/>
      <c r="F948"/>
      <c r="G948"/>
      <c r="H948"/>
      <c r="I948"/>
      <c r="J948"/>
      <c r="K948"/>
      <c r="L948"/>
      <c r="M948"/>
      <c r="N948"/>
      <c r="O948"/>
      <c r="P948"/>
    </row>
    <row r="949" spans="1:16">
      <c r="A949"/>
      <c r="B949"/>
      <c r="C949"/>
      <c r="D949"/>
      <c r="E949"/>
      <c r="F949"/>
      <c r="G949"/>
      <c r="H949"/>
      <c r="I949"/>
      <c r="J949"/>
      <c r="K949"/>
      <c r="L949"/>
      <c r="M949"/>
      <c r="N949"/>
      <c r="O949"/>
      <c r="P949"/>
    </row>
    <row r="950" spans="1:16">
      <c r="A950"/>
      <c r="B950"/>
      <c r="C950"/>
      <c r="D950"/>
      <c r="E950"/>
      <c r="F950"/>
      <c r="G950"/>
      <c r="H950"/>
      <c r="I950"/>
      <c r="J950"/>
      <c r="K950"/>
      <c r="L950"/>
      <c r="M950"/>
      <c r="N950"/>
      <c r="O950"/>
      <c r="P950"/>
    </row>
    <row r="951" spans="1:16">
      <c r="A951"/>
      <c r="B951"/>
      <c r="C951"/>
      <c r="D951"/>
      <c r="E951"/>
      <c r="F951"/>
      <c r="G951"/>
      <c r="H951"/>
      <c r="I951"/>
      <c r="J951"/>
      <c r="K951"/>
      <c r="L951"/>
      <c r="M951"/>
      <c r="N951"/>
      <c r="O951"/>
      <c r="P951"/>
    </row>
    <row r="952" spans="1:16">
      <c r="A952"/>
      <c r="B952"/>
      <c r="C952"/>
      <c r="D952"/>
      <c r="E952"/>
      <c r="F952"/>
      <c r="G952"/>
      <c r="H952"/>
      <c r="I952"/>
      <c r="J952"/>
      <c r="K952"/>
      <c r="L952"/>
      <c r="M952"/>
      <c r="N952"/>
      <c r="O952"/>
      <c r="P952"/>
    </row>
    <row r="953" spans="1:16">
      <c r="A953"/>
      <c r="B953"/>
      <c r="C953"/>
      <c r="D953"/>
      <c r="E953"/>
      <c r="F953"/>
      <c r="G953"/>
      <c r="H953"/>
      <c r="I953"/>
      <c r="J953"/>
      <c r="K953"/>
      <c r="L953"/>
      <c r="M953"/>
      <c r="N953"/>
      <c r="O953"/>
      <c r="P953"/>
    </row>
    <row r="954" spans="1:16">
      <c r="A954"/>
      <c r="B954"/>
      <c r="C954"/>
      <c r="D954"/>
      <c r="E954"/>
      <c r="F954"/>
      <c r="G954"/>
      <c r="H954"/>
      <c r="I954"/>
      <c r="J954"/>
      <c r="K954"/>
      <c r="L954"/>
      <c r="M954"/>
      <c r="N954"/>
      <c r="O954"/>
      <c r="P954"/>
    </row>
    <row r="955" spans="1:16">
      <c r="A955"/>
      <c r="B955"/>
      <c r="C955"/>
      <c r="D955"/>
      <c r="E955"/>
      <c r="F955"/>
      <c r="G955"/>
      <c r="H955"/>
      <c r="I955"/>
      <c r="J955"/>
      <c r="K955"/>
      <c r="L955"/>
      <c r="M955"/>
      <c r="N955"/>
      <c r="O955"/>
      <c r="P955"/>
    </row>
    <row r="956" spans="1:16">
      <c r="A956"/>
      <c r="B956"/>
      <c r="C956"/>
      <c r="D956"/>
      <c r="E956"/>
      <c r="F956"/>
      <c r="G956"/>
      <c r="H956"/>
      <c r="I956"/>
      <c r="J956"/>
      <c r="K956"/>
      <c r="L956"/>
      <c r="M956"/>
      <c r="N956"/>
      <c r="O956"/>
      <c r="P956"/>
    </row>
    <row r="957" spans="1:16">
      <c r="A957"/>
      <c r="B957"/>
      <c r="C957"/>
      <c r="D957"/>
      <c r="E957"/>
      <c r="F957"/>
      <c r="G957"/>
      <c r="H957"/>
      <c r="I957"/>
      <c r="J957"/>
      <c r="K957"/>
      <c r="L957"/>
      <c r="M957"/>
      <c r="N957"/>
      <c r="O957"/>
      <c r="P957"/>
    </row>
    <row r="958" spans="1:16">
      <c r="A958"/>
      <c r="B958"/>
      <c r="C958"/>
      <c r="D958"/>
      <c r="E958"/>
      <c r="F958"/>
      <c r="G958"/>
      <c r="H958"/>
      <c r="I958"/>
      <c r="J958"/>
      <c r="K958"/>
      <c r="L958"/>
      <c r="M958"/>
      <c r="N958"/>
      <c r="O958"/>
      <c r="P958"/>
    </row>
    <row r="959" spans="1:16">
      <c r="A959"/>
      <c r="B959"/>
      <c r="C959"/>
      <c r="D959"/>
      <c r="E959"/>
      <c r="F959"/>
      <c r="G959"/>
      <c r="H959"/>
      <c r="I959"/>
      <c r="J959"/>
      <c r="K959"/>
      <c r="L959"/>
      <c r="M959"/>
      <c r="N959"/>
      <c r="O959"/>
      <c r="P959"/>
    </row>
    <row r="960" spans="1:16">
      <c r="A960"/>
      <c r="B960"/>
      <c r="C960"/>
      <c r="D960"/>
      <c r="E960"/>
      <c r="F960"/>
      <c r="G960"/>
      <c r="H960"/>
      <c r="I960"/>
      <c r="J960"/>
      <c r="K960"/>
      <c r="L960"/>
      <c r="M960"/>
      <c r="N960"/>
      <c r="O960"/>
      <c r="P960"/>
    </row>
    <row r="961" spans="1:16">
      <c r="A961"/>
      <c r="B961"/>
      <c r="C961"/>
      <c r="D961"/>
      <c r="E961"/>
      <c r="F961"/>
      <c r="G961"/>
      <c r="H961"/>
      <c r="I961"/>
      <c r="J961"/>
      <c r="K961"/>
      <c r="L961"/>
      <c r="M961"/>
      <c r="N961"/>
      <c r="O961"/>
      <c r="P961"/>
    </row>
    <row r="962" spans="1:16">
      <c r="A962"/>
      <c r="B962"/>
      <c r="C962"/>
      <c r="D962"/>
      <c r="E962"/>
      <c r="F962"/>
      <c r="G962"/>
      <c r="H962"/>
      <c r="I962"/>
      <c r="J962"/>
      <c r="K962"/>
      <c r="L962"/>
      <c r="M962"/>
      <c r="N962"/>
      <c r="O962"/>
      <c r="P962"/>
    </row>
    <row r="963" spans="1:16">
      <c r="A963"/>
      <c r="B963"/>
      <c r="C963"/>
      <c r="D963"/>
      <c r="E963"/>
      <c r="F963"/>
      <c r="G963"/>
      <c r="H963"/>
      <c r="I963"/>
      <c r="J963"/>
      <c r="K963"/>
      <c r="L963"/>
      <c r="M963"/>
      <c r="N963"/>
      <c r="O963"/>
      <c r="P963"/>
    </row>
    <row r="964" spans="1:16">
      <c r="A964"/>
      <c r="B964"/>
      <c r="C964"/>
      <c r="D964"/>
      <c r="E964"/>
      <c r="F964"/>
      <c r="G964"/>
      <c r="H964"/>
      <c r="I964"/>
      <c r="J964"/>
      <c r="K964"/>
      <c r="L964"/>
      <c r="M964"/>
      <c r="N964"/>
      <c r="O964"/>
      <c r="P964"/>
    </row>
    <row r="965" spans="1:16">
      <c r="A965"/>
      <c r="B965"/>
      <c r="C965"/>
      <c r="D965"/>
      <c r="E965"/>
      <c r="F965"/>
      <c r="G965"/>
      <c r="H965"/>
      <c r="I965"/>
      <c r="J965"/>
      <c r="K965"/>
      <c r="L965"/>
      <c r="M965"/>
      <c r="N965"/>
      <c r="O965"/>
      <c r="P965"/>
    </row>
    <row r="966" spans="1:16">
      <c r="A966"/>
      <c r="B966"/>
      <c r="C966"/>
      <c r="D966"/>
      <c r="E966"/>
      <c r="F966"/>
      <c r="G966"/>
      <c r="H966"/>
      <c r="I966"/>
      <c r="J966"/>
      <c r="K966"/>
      <c r="L966"/>
      <c r="M966"/>
      <c r="N966"/>
      <c r="O966"/>
      <c r="P966"/>
    </row>
    <row r="967" spans="1:16">
      <c r="A967"/>
      <c r="B967"/>
      <c r="C967"/>
      <c r="D967"/>
      <c r="E967"/>
      <c r="F967"/>
      <c r="G967"/>
      <c r="H967"/>
      <c r="I967"/>
      <c r="J967"/>
      <c r="K967"/>
      <c r="L967"/>
      <c r="M967"/>
      <c r="N967"/>
      <c r="O967"/>
      <c r="P967"/>
    </row>
    <row r="968" spans="1:16">
      <c r="A968"/>
      <c r="B968"/>
      <c r="C968"/>
      <c r="D968"/>
      <c r="E968"/>
      <c r="F968"/>
      <c r="G968"/>
      <c r="H968"/>
      <c r="I968"/>
      <c r="J968"/>
      <c r="K968"/>
      <c r="L968"/>
      <c r="M968"/>
      <c r="N968"/>
      <c r="O968"/>
      <c r="P968"/>
    </row>
    <row r="969" spans="1:16">
      <c r="A969"/>
      <c r="B969"/>
      <c r="C969"/>
      <c r="D969"/>
      <c r="E969"/>
      <c r="F969"/>
      <c r="G969"/>
      <c r="H969"/>
      <c r="I969"/>
      <c r="J969"/>
      <c r="K969"/>
      <c r="L969"/>
      <c r="M969"/>
      <c r="N969"/>
      <c r="O969"/>
      <c r="P969"/>
    </row>
    <row r="970" spans="1:16">
      <c r="A970"/>
      <c r="B970"/>
      <c r="C970"/>
      <c r="D970"/>
      <c r="E970"/>
      <c r="F970"/>
      <c r="G970"/>
      <c r="H970"/>
      <c r="I970"/>
      <c r="J970"/>
      <c r="K970"/>
      <c r="L970"/>
      <c r="M970"/>
      <c r="N970"/>
      <c r="O970"/>
      <c r="P970"/>
    </row>
    <row r="971" spans="1:16">
      <c r="A971"/>
      <c r="B971"/>
      <c r="C971"/>
      <c r="D971"/>
      <c r="E971"/>
      <c r="F971"/>
      <c r="G971"/>
      <c r="H971"/>
      <c r="I971"/>
      <c r="J971"/>
      <c r="K971"/>
      <c r="L971"/>
      <c r="M971"/>
      <c r="N971"/>
      <c r="O971"/>
      <c r="P971"/>
    </row>
    <row r="972" spans="1:16">
      <c r="A972"/>
      <c r="B972"/>
      <c r="C972"/>
      <c r="D972"/>
      <c r="E972"/>
      <c r="F972"/>
      <c r="G972"/>
      <c r="H972"/>
      <c r="I972"/>
      <c r="J972"/>
      <c r="K972"/>
      <c r="L972"/>
      <c r="M972"/>
      <c r="N972"/>
      <c r="O972"/>
      <c r="P972"/>
    </row>
    <row r="973" spans="1:16">
      <c r="A973"/>
      <c r="B973"/>
      <c r="C973"/>
      <c r="D973"/>
      <c r="E973"/>
      <c r="F973"/>
      <c r="G973"/>
      <c r="H973"/>
      <c r="I973"/>
      <c r="J973"/>
      <c r="K973"/>
      <c r="L973"/>
      <c r="M973"/>
      <c r="N973"/>
      <c r="O973"/>
      <c r="P973"/>
    </row>
    <row r="974" spans="1:16">
      <c r="A974"/>
      <c r="B974"/>
      <c r="C974"/>
      <c r="D974"/>
      <c r="E974"/>
      <c r="F974"/>
      <c r="G974"/>
      <c r="H974"/>
      <c r="I974"/>
      <c r="J974"/>
      <c r="K974"/>
      <c r="L974"/>
      <c r="M974"/>
      <c r="N974"/>
      <c r="O974"/>
      <c r="P974"/>
    </row>
    <row r="975" spans="1:16">
      <c r="A975"/>
      <c r="B975"/>
      <c r="C975"/>
      <c r="D975"/>
      <c r="E975"/>
      <c r="F975"/>
      <c r="G975"/>
      <c r="H975"/>
      <c r="I975"/>
      <c r="J975"/>
      <c r="K975"/>
      <c r="L975"/>
      <c r="M975"/>
      <c r="N975"/>
      <c r="O975"/>
      <c r="P975"/>
    </row>
    <row r="976" spans="1:16">
      <c r="A976"/>
      <c r="B976"/>
      <c r="C976"/>
      <c r="D976"/>
      <c r="E976"/>
      <c r="F976"/>
      <c r="G976"/>
      <c r="H976"/>
      <c r="I976"/>
      <c r="J976"/>
      <c r="K976"/>
      <c r="L976"/>
      <c r="M976"/>
      <c r="N976"/>
      <c r="O976"/>
      <c r="P976"/>
    </row>
    <row r="977" spans="1:16">
      <c r="A977"/>
      <c r="B977"/>
      <c r="C977"/>
      <c r="D977"/>
      <c r="E977"/>
      <c r="F977"/>
      <c r="G977"/>
      <c r="H977"/>
      <c r="I977"/>
      <c r="J977"/>
      <c r="K977"/>
      <c r="L977"/>
      <c r="M977"/>
      <c r="N977"/>
      <c r="O977"/>
      <c r="P977"/>
    </row>
    <row r="978" spans="1:16">
      <c r="A978"/>
      <c r="B978"/>
      <c r="C978"/>
      <c r="D978"/>
      <c r="E978"/>
      <c r="F978"/>
      <c r="G978"/>
      <c r="H978"/>
      <c r="I978"/>
      <c r="J978"/>
      <c r="K978"/>
      <c r="L978"/>
      <c r="M978"/>
      <c r="N978"/>
      <c r="O978"/>
      <c r="P978"/>
    </row>
    <row r="979" spans="1:16">
      <c r="A979"/>
      <c r="B979"/>
      <c r="C979"/>
      <c r="D979"/>
      <c r="E979"/>
      <c r="F979"/>
      <c r="G979"/>
      <c r="H979"/>
      <c r="I979"/>
      <c r="J979"/>
      <c r="K979"/>
      <c r="L979"/>
      <c r="M979"/>
      <c r="N979"/>
      <c r="O979"/>
      <c r="P979"/>
    </row>
    <row r="980" spans="1:16">
      <c r="A980"/>
      <c r="B980"/>
      <c r="C980"/>
      <c r="D980"/>
      <c r="E980"/>
      <c r="F980"/>
      <c r="G980"/>
      <c r="H980"/>
      <c r="I980"/>
      <c r="J980"/>
      <c r="K980"/>
      <c r="L980"/>
      <c r="M980"/>
      <c r="N980"/>
      <c r="O980"/>
      <c r="P980"/>
    </row>
    <row r="981" spans="1:16">
      <c r="A981"/>
      <c r="B981"/>
      <c r="C981"/>
      <c r="D981"/>
      <c r="E981"/>
      <c r="F981"/>
      <c r="G981"/>
      <c r="H981"/>
      <c r="I981"/>
      <c r="J981"/>
      <c r="K981"/>
      <c r="L981"/>
      <c r="M981"/>
      <c r="N981"/>
      <c r="O981"/>
      <c r="P981"/>
    </row>
    <row r="982" spans="1:16">
      <c r="A982"/>
      <c r="B982"/>
      <c r="C982"/>
      <c r="D982"/>
      <c r="E982"/>
      <c r="F982"/>
      <c r="G982"/>
      <c r="H982"/>
      <c r="I982"/>
      <c r="J982"/>
      <c r="K982"/>
      <c r="L982"/>
      <c r="M982"/>
      <c r="N982"/>
      <c r="O982"/>
      <c r="P982"/>
    </row>
    <row r="983" spans="1:16">
      <c r="A983"/>
      <c r="B983"/>
      <c r="C983"/>
      <c r="D983"/>
      <c r="E983"/>
      <c r="F983"/>
      <c r="G983"/>
      <c r="H983"/>
      <c r="I983"/>
      <c r="J983"/>
      <c r="K983"/>
      <c r="L983"/>
      <c r="M983"/>
      <c r="N983"/>
      <c r="O983"/>
      <c r="P983"/>
    </row>
    <row r="984" spans="1:16">
      <c r="A984"/>
      <c r="B984"/>
      <c r="C984"/>
      <c r="D984"/>
      <c r="E984"/>
      <c r="F984"/>
      <c r="G984"/>
      <c r="H984"/>
      <c r="I984"/>
      <c r="J984"/>
      <c r="K984"/>
      <c r="L984"/>
      <c r="M984"/>
      <c r="N984"/>
      <c r="O984"/>
      <c r="P984"/>
    </row>
    <row r="985" spans="1:16">
      <c r="A985"/>
      <c r="B985"/>
      <c r="C985"/>
      <c r="D985"/>
      <c r="E985"/>
      <c r="F985"/>
      <c r="G985"/>
      <c r="H985"/>
      <c r="I985"/>
      <c r="J985"/>
      <c r="K985"/>
      <c r="L985"/>
      <c r="M985"/>
      <c r="N985"/>
      <c r="O985"/>
      <c r="P985"/>
    </row>
    <row r="986" spans="1:16">
      <c r="A986"/>
      <c r="B986"/>
      <c r="C986"/>
      <c r="D986"/>
      <c r="E986"/>
      <c r="F986"/>
      <c r="G986"/>
      <c r="H986"/>
      <c r="I986"/>
      <c r="J986"/>
      <c r="K986"/>
      <c r="L986"/>
      <c r="M986"/>
      <c r="N986"/>
      <c r="O986"/>
      <c r="P986"/>
    </row>
    <row r="987" spans="1:16">
      <c r="A987"/>
      <c r="B987"/>
      <c r="C987"/>
      <c r="D987"/>
      <c r="E987"/>
      <c r="F987"/>
      <c r="G987"/>
      <c r="H987"/>
      <c r="I987"/>
      <c r="J987"/>
      <c r="K987"/>
      <c r="L987"/>
      <c r="M987"/>
      <c r="N987"/>
      <c r="O987"/>
      <c r="P987"/>
    </row>
    <row r="988" spans="1:16">
      <c r="A988"/>
      <c r="B988"/>
      <c r="C988"/>
      <c r="D988"/>
      <c r="E988"/>
      <c r="F988"/>
      <c r="G988"/>
      <c r="H988"/>
      <c r="I988"/>
      <c r="J988"/>
      <c r="K988"/>
      <c r="L988"/>
      <c r="M988"/>
      <c r="N988"/>
      <c r="O988"/>
      <c r="P988"/>
    </row>
    <row r="989" spans="1:16">
      <c r="A989"/>
      <c r="B989"/>
      <c r="C989"/>
      <c r="D989"/>
      <c r="E989"/>
      <c r="F989"/>
      <c r="G989"/>
      <c r="H989"/>
      <c r="I989"/>
      <c r="J989"/>
      <c r="K989"/>
      <c r="L989"/>
      <c r="M989"/>
      <c r="N989"/>
      <c r="O989"/>
      <c r="P989"/>
    </row>
    <row r="990" spans="1:16">
      <c r="A990"/>
      <c r="B990"/>
      <c r="C990"/>
      <c r="D990"/>
      <c r="E990"/>
      <c r="F990"/>
      <c r="G990"/>
      <c r="H990"/>
      <c r="I990"/>
      <c r="J990"/>
      <c r="K990"/>
      <c r="L990"/>
      <c r="M990"/>
      <c r="N990"/>
      <c r="O990"/>
      <c r="P990"/>
    </row>
    <row r="991" spans="1:16">
      <c r="A991"/>
      <c r="B991"/>
      <c r="C991"/>
      <c r="D991"/>
      <c r="E991"/>
      <c r="F991"/>
      <c r="G991"/>
      <c r="H991"/>
      <c r="I991"/>
      <c r="J991"/>
      <c r="K991"/>
      <c r="L991"/>
      <c r="M991"/>
      <c r="N991"/>
      <c r="O991"/>
      <c r="P991"/>
    </row>
    <row r="992" spans="1:16">
      <c r="A992"/>
      <c r="B992"/>
      <c r="C992"/>
      <c r="D992"/>
      <c r="E992"/>
      <c r="F992"/>
      <c r="G992"/>
      <c r="H992"/>
      <c r="I992"/>
      <c r="J992"/>
      <c r="K992"/>
      <c r="L992"/>
      <c r="M992"/>
      <c r="N992"/>
      <c r="O992"/>
      <c r="P992"/>
    </row>
    <row r="993" spans="1:16">
      <c r="A993"/>
      <c r="B993"/>
      <c r="C993"/>
      <c r="D993"/>
      <c r="E993"/>
      <c r="F993"/>
      <c r="G993"/>
      <c r="H993"/>
      <c r="I993"/>
      <c r="J993"/>
      <c r="K993"/>
      <c r="L993"/>
      <c r="M993"/>
      <c r="N993"/>
      <c r="O993"/>
      <c r="P993"/>
    </row>
    <row r="994" spans="1:16">
      <c r="A994"/>
      <c r="B994"/>
      <c r="C994"/>
      <c r="D994"/>
      <c r="E994"/>
      <c r="F994"/>
      <c r="G994"/>
      <c r="H994"/>
      <c r="I994"/>
      <c r="J994"/>
      <c r="K994"/>
      <c r="L994"/>
      <c r="M994"/>
      <c r="N994"/>
      <c r="O994"/>
      <c r="P994"/>
    </row>
    <row r="995" spans="1:16">
      <c r="A995"/>
      <c r="B995"/>
      <c r="C995"/>
      <c r="D995"/>
      <c r="E995"/>
      <c r="F995"/>
      <c r="G995"/>
      <c r="H995"/>
      <c r="I995"/>
      <c r="J995"/>
      <c r="K995"/>
      <c r="L995"/>
      <c r="M995"/>
      <c r="N995"/>
      <c r="O995"/>
      <c r="P995"/>
    </row>
    <row r="996" spans="1:16">
      <c r="A996"/>
      <c r="B996"/>
      <c r="C996"/>
      <c r="D996"/>
      <c r="E996"/>
      <c r="F996"/>
      <c r="G996"/>
      <c r="H996"/>
      <c r="I996"/>
      <c r="J996"/>
      <c r="K996"/>
      <c r="L996"/>
      <c r="M996"/>
      <c r="N996"/>
      <c r="O996"/>
      <c r="P996"/>
    </row>
    <row r="997" spans="1:16">
      <c r="A997"/>
      <c r="B997"/>
      <c r="C997"/>
      <c r="D997"/>
      <c r="E997"/>
      <c r="F997"/>
      <c r="G997"/>
      <c r="H997"/>
      <c r="I997"/>
      <c r="J997"/>
      <c r="K997"/>
      <c r="L997"/>
      <c r="M997"/>
      <c r="N997"/>
      <c r="O997"/>
      <c r="P997"/>
    </row>
    <row r="998" spans="1:16">
      <c r="A998"/>
      <c r="B998"/>
      <c r="C998"/>
      <c r="D998"/>
      <c r="E998"/>
      <c r="F998"/>
      <c r="G998"/>
      <c r="H998"/>
      <c r="I998"/>
      <c r="J998"/>
      <c r="K998"/>
      <c r="L998"/>
      <c r="M998"/>
      <c r="N998"/>
      <c r="O998"/>
      <c r="P998"/>
    </row>
    <row r="999" spans="1:16">
      <c r="A999"/>
      <c r="B999"/>
      <c r="C999"/>
      <c r="D999"/>
      <c r="E999"/>
      <c r="F999"/>
      <c r="G999"/>
      <c r="H999"/>
      <c r="I999"/>
      <c r="J999"/>
      <c r="K999"/>
      <c r="L999"/>
      <c r="M999"/>
      <c r="N999"/>
      <c r="O999"/>
      <c r="P999"/>
    </row>
    <row r="1000" spans="1:16">
      <c r="A1000"/>
      <c r="B1000"/>
      <c r="C1000"/>
      <c r="D1000"/>
      <c r="E1000"/>
      <c r="F1000"/>
      <c r="G1000"/>
      <c r="H1000"/>
      <c r="I1000"/>
      <c r="J1000"/>
      <c r="K1000"/>
      <c r="L1000"/>
      <c r="M1000"/>
      <c r="N1000"/>
      <c r="O1000"/>
      <c r="P1000"/>
    </row>
    <row r="1001" spans="1:16">
      <c r="A1001"/>
      <c r="B1001"/>
      <c r="C1001"/>
      <c r="D1001"/>
      <c r="E1001"/>
      <c r="F1001"/>
      <c r="G1001"/>
      <c r="H1001"/>
      <c r="I1001"/>
      <c r="J1001"/>
      <c r="K1001"/>
      <c r="L1001"/>
      <c r="M1001"/>
      <c r="N1001"/>
      <c r="O1001"/>
      <c r="P1001"/>
    </row>
    <row r="1002" spans="1:16">
      <c r="A1002"/>
      <c r="B1002"/>
      <c r="C1002"/>
      <c r="D1002"/>
      <c r="E1002"/>
      <c r="F1002"/>
      <c r="G1002"/>
      <c r="H1002"/>
      <c r="I1002"/>
      <c r="J1002"/>
      <c r="K1002"/>
      <c r="L1002"/>
      <c r="M1002"/>
      <c r="N1002"/>
      <c r="O1002"/>
      <c r="P1002"/>
    </row>
    <row r="1003" spans="1:16">
      <c r="A1003"/>
      <c r="B1003"/>
      <c r="C1003"/>
      <c r="D1003"/>
      <c r="E1003"/>
      <c r="F1003"/>
      <c r="G1003"/>
      <c r="H1003"/>
      <c r="I1003"/>
      <c r="J1003"/>
      <c r="K1003"/>
      <c r="L1003"/>
      <c r="M1003"/>
      <c r="N1003"/>
      <c r="O1003"/>
      <c r="P1003"/>
    </row>
    <row r="1004" spans="1:16">
      <c r="A1004"/>
      <c r="B1004"/>
      <c r="C1004"/>
      <c r="D1004"/>
      <c r="E1004"/>
      <c r="F1004"/>
      <c r="G1004"/>
      <c r="H1004"/>
      <c r="I1004"/>
      <c r="J1004"/>
      <c r="K1004"/>
      <c r="L1004"/>
      <c r="M1004"/>
      <c r="N1004"/>
      <c r="O1004"/>
      <c r="P1004"/>
    </row>
    <row r="1005" spans="1:16">
      <c r="A1005"/>
      <c r="B1005"/>
      <c r="C1005"/>
      <c r="D1005"/>
      <c r="E1005"/>
      <c r="F1005"/>
      <c r="G1005"/>
      <c r="H1005"/>
      <c r="I1005"/>
      <c r="J1005"/>
      <c r="K1005"/>
      <c r="L1005"/>
      <c r="M1005"/>
      <c r="N1005"/>
      <c r="O1005"/>
      <c r="P1005"/>
    </row>
    <row r="1006" spans="1:16">
      <c r="A1006"/>
      <c r="B1006"/>
      <c r="C1006"/>
      <c r="D1006"/>
      <c r="E1006"/>
      <c r="F1006"/>
      <c r="G1006"/>
      <c r="H1006"/>
      <c r="I1006"/>
      <c r="J1006"/>
      <c r="K1006"/>
      <c r="L1006"/>
      <c r="M1006"/>
      <c r="N1006"/>
      <c r="O1006"/>
      <c r="P1006"/>
    </row>
    <row r="1007" spans="1:16">
      <c r="A1007"/>
      <c r="B1007"/>
      <c r="C1007"/>
      <c r="D1007"/>
      <c r="E1007"/>
      <c r="F1007"/>
      <c r="G1007"/>
      <c r="H1007"/>
      <c r="I1007"/>
      <c r="J1007"/>
      <c r="K1007"/>
      <c r="L1007"/>
      <c r="M1007"/>
      <c r="N1007"/>
      <c r="O1007"/>
      <c r="P1007"/>
    </row>
    <row r="1008" spans="1:16">
      <c r="A1008"/>
      <c r="B1008"/>
      <c r="C1008"/>
      <c r="D1008"/>
      <c r="E1008"/>
      <c r="F1008"/>
      <c r="G1008"/>
      <c r="H1008"/>
      <c r="I1008"/>
      <c r="J1008"/>
      <c r="K1008"/>
      <c r="L1008"/>
      <c r="M1008"/>
      <c r="N1008"/>
      <c r="O1008"/>
      <c r="P1008"/>
    </row>
    <row r="1009" spans="1:16">
      <c r="A1009"/>
      <c r="B1009"/>
      <c r="C1009"/>
      <c r="D1009"/>
      <c r="E1009"/>
      <c r="F1009"/>
      <c r="G1009"/>
      <c r="H1009"/>
      <c r="I1009"/>
      <c r="J1009"/>
      <c r="K1009"/>
      <c r="L1009"/>
      <c r="M1009"/>
      <c r="N1009"/>
      <c r="O1009"/>
      <c r="P1009"/>
    </row>
    <row r="1010" spans="1:16">
      <c r="A1010"/>
      <c r="B1010"/>
      <c r="C1010"/>
      <c r="D1010"/>
      <c r="E1010"/>
      <c r="F1010"/>
      <c r="G1010"/>
      <c r="H1010"/>
      <c r="I1010"/>
      <c r="J1010"/>
      <c r="K1010"/>
      <c r="L1010"/>
      <c r="M1010"/>
      <c r="N1010"/>
      <c r="O1010"/>
      <c r="P1010"/>
    </row>
    <row r="1011" spans="1:16">
      <c r="A1011"/>
      <c r="B1011"/>
      <c r="C1011"/>
      <c r="D1011"/>
      <c r="E1011"/>
      <c r="F1011"/>
      <c r="G1011"/>
      <c r="H1011"/>
      <c r="I1011"/>
      <c r="J1011"/>
      <c r="K1011"/>
      <c r="L1011"/>
      <c r="M1011"/>
      <c r="N1011"/>
      <c r="O1011"/>
      <c r="P1011"/>
    </row>
    <row r="1012" spans="1:16">
      <c r="A1012"/>
      <c r="B1012"/>
      <c r="C1012"/>
      <c r="D1012"/>
      <c r="E1012"/>
      <c r="F1012"/>
      <c r="G1012"/>
      <c r="H1012"/>
      <c r="I1012"/>
      <c r="J1012"/>
      <c r="K1012"/>
      <c r="L1012"/>
      <c r="M1012"/>
      <c r="N1012"/>
      <c r="O1012"/>
      <c r="P1012"/>
    </row>
    <row r="1013" spans="1:16">
      <c r="A1013"/>
      <c r="B1013"/>
      <c r="C1013"/>
      <c r="D1013"/>
      <c r="E1013"/>
      <c r="F1013"/>
      <c r="G1013"/>
      <c r="H1013"/>
      <c r="I1013"/>
      <c r="J1013"/>
      <c r="K1013"/>
      <c r="L1013"/>
      <c r="M1013"/>
      <c r="N1013"/>
      <c r="O1013"/>
      <c r="P1013"/>
    </row>
    <row r="1014" spans="1:16">
      <c r="A1014"/>
      <c r="B1014"/>
      <c r="C1014"/>
      <c r="D1014"/>
      <c r="E1014"/>
      <c r="F1014"/>
      <c r="G1014"/>
      <c r="H1014"/>
      <c r="I1014"/>
      <c r="J1014"/>
      <c r="K1014"/>
      <c r="L1014"/>
      <c r="M1014"/>
      <c r="N1014"/>
      <c r="O1014"/>
      <c r="P1014"/>
    </row>
    <row r="1015" spans="1:16">
      <c r="A1015"/>
      <c r="B1015"/>
      <c r="C1015"/>
      <c r="D1015"/>
      <c r="E1015"/>
      <c r="F1015"/>
      <c r="G1015"/>
      <c r="H1015"/>
      <c r="I1015"/>
      <c r="J1015"/>
      <c r="K1015"/>
      <c r="L1015"/>
      <c r="M1015"/>
      <c r="N1015"/>
      <c r="O1015"/>
      <c r="P1015"/>
    </row>
    <row r="1016" spans="1:16">
      <c r="A1016"/>
      <c r="B1016"/>
      <c r="C1016"/>
      <c r="D1016"/>
      <c r="E1016"/>
      <c r="F1016"/>
      <c r="G1016"/>
      <c r="H1016"/>
      <c r="I1016"/>
      <c r="J1016"/>
      <c r="K1016"/>
      <c r="L1016"/>
      <c r="M1016"/>
      <c r="N1016"/>
      <c r="O1016"/>
      <c r="P1016"/>
    </row>
  </sheetData>
  <phoneticPr fontId="6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4:R1009"/>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44140625" customWidth="1"/>
    <col min="9" max="9" width="13.44140625" style="304" customWidth="1"/>
    <col min="10" max="10" width="15.109375" style="304" customWidth="1"/>
    <col min="11" max="12" width="12" customWidth="1"/>
    <col min="13" max="18" width="9.21875" customWidth="1"/>
  </cols>
  <sheetData>
    <row r="4" spans="1:18" ht="15" thickBot="1"/>
    <row r="5" spans="1:18" ht="15" thickBot="1">
      <c r="F5" t="s">
        <v>1252</v>
      </c>
      <c r="H5" s="306"/>
      <c r="I5" s="306"/>
      <c r="J5" s="306"/>
    </row>
    <row r="6" spans="1:18" ht="15" thickBot="1">
      <c r="B6" s="305"/>
      <c r="C6" s="305" t="s">
        <v>1253</v>
      </c>
      <c r="E6" s="305" t="s">
        <v>1254</v>
      </c>
      <c r="F6" s="305" t="s">
        <v>1255</v>
      </c>
      <c r="G6" s="305" t="s">
        <v>1256</v>
      </c>
      <c r="H6" s="306"/>
      <c r="I6" s="306"/>
      <c r="J6" s="306"/>
    </row>
    <row r="7" spans="1:18" s="303" customFormat="1" ht="28.8">
      <c r="A7" s="303" t="s">
        <v>1257</v>
      </c>
      <c r="B7" s="303" t="s">
        <v>1258</v>
      </c>
      <c r="C7" s="359" t="s">
        <v>1259</v>
      </c>
      <c r="D7" s="303" t="s">
        <v>1260</v>
      </c>
      <c r="E7" s="303" t="s">
        <v>1261</v>
      </c>
      <c r="F7" s="303" t="s">
        <v>1262</v>
      </c>
      <c r="G7" s="303" t="s">
        <v>1263</v>
      </c>
      <c r="H7" t="s">
        <v>1264</v>
      </c>
      <c r="I7" s="303" t="s">
        <v>1265</v>
      </c>
      <c r="J7" s="303" t="s">
        <v>1266</v>
      </c>
      <c r="K7" s="359" t="s">
        <v>1267</v>
      </c>
      <c r="M7" s="303" t="s">
        <v>1268</v>
      </c>
      <c r="N7" s="303" t="s">
        <v>1269</v>
      </c>
      <c r="O7" s="303" t="s">
        <v>1270</v>
      </c>
      <c r="P7" s="303" t="s">
        <v>1271</v>
      </c>
      <c r="Q7" s="303" t="s">
        <v>1272</v>
      </c>
      <c r="R7" s="303" t="s">
        <v>1273</v>
      </c>
    </row>
    <row r="8" spans="1:18">
      <c r="A8">
        <v>1</v>
      </c>
      <c r="B8" t="s">
        <v>1274</v>
      </c>
      <c r="C8" t="str">
        <f>VLOOKUP(N8,tbl_TaskCodeX,4,FALSE)</f>
        <v>3. 50p</v>
      </c>
      <c r="D8" t="s">
        <v>1275</v>
      </c>
      <c r="E8" t="str">
        <f>VLOOKUP(O8,tbl_TaskStatusX,4,FALSE)</f>
        <v>3. WIP</v>
      </c>
      <c r="F8" t="str">
        <f>VLOOKUP(P8,tbl_StaffX,4,FALSE)</f>
        <v>3. Joan van Zyl</v>
      </c>
      <c r="G8" t="str">
        <f>VLOOKUP(Q8,tbl_StaffRoleX,4,FALSE)</f>
        <v>2. ATL</v>
      </c>
      <c r="H8" s="307">
        <v>44768</v>
      </c>
      <c r="I8" s="307">
        <v>44782</v>
      </c>
      <c r="J8" s="307">
        <v>44796</v>
      </c>
      <c r="N8">
        <v>3</v>
      </c>
      <c r="O8">
        <v>3</v>
      </c>
      <c r="P8">
        <v>3</v>
      </c>
      <c r="Q8">
        <v>2</v>
      </c>
    </row>
    <row r="9" spans="1:18">
      <c r="A9">
        <v>2</v>
      </c>
      <c r="B9" t="s">
        <v>1276</v>
      </c>
      <c r="C9" t="str">
        <f>VLOOKUP(N9,tbl_TaskCodeX,4,FALSE)</f>
        <v>2. 30p</v>
      </c>
      <c r="D9" t="s">
        <v>1277</v>
      </c>
      <c r="E9" t="str">
        <f>VLOOKUP(O9,tbl_TaskStatusX,4,FALSE)</f>
        <v>3. WIP</v>
      </c>
      <c r="F9" t="str">
        <f>VLOOKUP(P9,tbl_StaffX,4,FALSE)</f>
        <v>2. Pieter van Zyl</v>
      </c>
      <c r="G9" t="str">
        <f>VLOOKUP(Q9,tbl_StaffRoleX,4,FALSE)</f>
        <v>1. None</v>
      </c>
      <c r="H9" s="307">
        <v>44775</v>
      </c>
      <c r="I9" s="307">
        <v>44775</v>
      </c>
      <c r="J9" s="307">
        <v>44775</v>
      </c>
      <c r="N9">
        <v>2</v>
      </c>
      <c r="O9">
        <v>3</v>
      </c>
      <c r="P9">
        <v>2</v>
      </c>
      <c r="Q9">
        <v>1</v>
      </c>
    </row>
    <row r="10" spans="1:18">
      <c r="A10">
        <v>3</v>
      </c>
      <c r="B10" t="s">
        <v>1276</v>
      </c>
      <c r="C10" t="str">
        <f>VLOOKUP(N10,tbl_TaskCodeX,4,FALSE)</f>
        <v>2. 30p</v>
      </c>
      <c r="D10" t="s">
        <v>1278</v>
      </c>
      <c r="E10" t="str">
        <f>VLOOKUP(O10,tbl_TaskStatusX,4,FALSE)</f>
        <v>3. WIP</v>
      </c>
      <c r="F10" t="str">
        <f>VLOOKUP(P10,tbl_StaffX,4,FALSE)</f>
        <v>2. Pieter van Zyl</v>
      </c>
      <c r="G10" t="str">
        <f>VLOOKUP(Q10,tbl_StaffRoleX,4,FALSE)</f>
        <v>1. None</v>
      </c>
      <c r="H10" s="307">
        <v>44775</v>
      </c>
      <c r="I10" s="307">
        <v>44775</v>
      </c>
      <c r="J10"/>
      <c r="N10">
        <v>2</v>
      </c>
      <c r="O10">
        <v>3</v>
      </c>
      <c r="P10">
        <v>2</v>
      </c>
      <c r="Q10">
        <v>1</v>
      </c>
    </row>
    <row r="11" spans="1:18">
      <c r="A11">
        <v>4</v>
      </c>
      <c r="B11" t="s">
        <v>1279</v>
      </c>
      <c r="C11" t="str">
        <f>VLOOKUP(N11,tbl_TaskCodeX,4,FALSE)</f>
        <v>2. 30p</v>
      </c>
      <c r="D11" t="s">
        <v>1280</v>
      </c>
      <c r="E11" t="str">
        <f>VLOOKUP(O11,tbl_TaskStatusX,4,FALSE)</f>
        <v>2. Not started</v>
      </c>
      <c r="F11" t="str">
        <f>VLOOKUP(P11,tbl_StaffX,4,FALSE)</f>
        <v>2. Pieter van Zyl</v>
      </c>
      <c r="G11" t="str">
        <f>VLOOKUP(Q11,tbl_StaffRoleX,4,FALSE)</f>
        <v>2. ATL</v>
      </c>
      <c r="H11" s="307">
        <v>44775</v>
      </c>
      <c r="I11" s="307">
        <v>44782</v>
      </c>
      <c r="J11"/>
      <c r="N11">
        <v>2</v>
      </c>
      <c r="O11">
        <v>2</v>
      </c>
      <c r="P11">
        <v>2</v>
      </c>
      <c r="Q11">
        <v>2</v>
      </c>
    </row>
    <row r="12" spans="1:18">
      <c r="I12"/>
      <c r="J12"/>
    </row>
    <row r="13" spans="1:18">
      <c r="I13"/>
      <c r="J13"/>
    </row>
    <row r="14" spans="1:18">
      <c r="I14"/>
      <c r="J14"/>
    </row>
    <row r="15" spans="1:18">
      <c r="I15"/>
      <c r="J15"/>
    </row>
    <row r="16" spans="1:18">
      <c r="I16"/>
      <c r="J16"/>
    </row>
    <row r="17" spans="9:10">
      <c r="I17"/>
      <c r="J17"/>
    </row>
    <row r="18" spans="9:10">
      <c r="I18"/>
      <c r="J18"/>
    </row>
    <row r="19" spans="9:10">
      <c r="I19"/>
      <c r="J19"/>
    </row>
    <row r="20" spans="9:10">
      <c r="I20"/>
      <c r="J20"/>
    </row>
    <row r="21" spans="9:10">
      <c r="I21"/>
      <c r="J21"/>
    </row>
    <row r="22" spans="9:10">
      <c r="I22"/>
      <c r="J22"/>
    </row>
    <row r="23" spans="9:10">
      <c r="I23"/>
      <c r="J23"/>
    </row>
    <row r="24" spans="9:10">
      <c r="I24"/>
      <c r="J24"/>
    </row>
    <row r="25" spans="9:10">
      <c r="I25"/>
      <c r="J25"/>
    </row>
    <row r="26" spans="9:10">
      <c r="I26"/>
      <c r="J26"/>
    </row>
    <row r="27" spans="9:10">
      <c r="I27"/>
      <c r="J27"/>
    </row>
    <row r="28" spans="9:10">
      <c r="I28"/>
      <c r="J28"/>
    </row>
    <row r="29" spans="9:10">
      <c r="I29"/>
      <c r="J29"/>
    </row>
    <row r="30" spans="9:10">
      <c r="I30"/>
      <c r="J30"/>
    </row>
    <row r="31" spans="9:10">
      <c r="I31"/>
      <c r="J31"/>
    </row>
    <row r="32" spans="9: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row r="391" spans="9:10">
      <c r="I391"/>
      <c r="J391"/>
    </row>
    <row r="392" spans="9:10">
      <c r="I392"/>
      <c r="J392"/>
    </row>
    <row r="393" spans="9:10">
      <c r="I393"/>
      <c r="J393"/>
    </row>
    <row r="394" spans="9:10">
      <c r="I394"/>
      <c r="J394"/>
    </row>
    <row r="395" spans="9:10">
      <c r="I395"/>
      <c r="J395"/>
    </row>
    <row r="396" spans="9:10">
      <c r="I396"/>
      <c r="J396"/>
    </row>
    <row r="397" spans="9:10">
      <c r="I397"/>
      <c r="J397"/>
    </row>
    <row r="398" spans="9:10">
      <c r="I398"/>
      <c r="J398"/>
    </row>
    <row r="399" spans="9:10">
      <c r="I399"/>
      <c r="J399"/>
    </row>
    <row r="400" spans="9:10">
      <c r="I400"/>
      <c r="J400"/>
    </row>
    <row r="401" spans="9:10">
      <c r="I401"/>
      <c r="J401"/>
    </row>
    <row r="402" spans="9:10">
      <c r="I402"/>
      <c r="J402"/>
    </row>
    <row r="403" spans="9:10">
      <c r="I403"/>
      <c r="J403"/>
    </row>
    <row r="404" spans="9:10">
      <c r="I404"/>
      <c r="J404"/>
    </row>
    <row r="405" spans="9:10">
      <c r="I405"/>
      <c r="J405"/>
    </row>
    <row r="406" spans="9:10">
      <c r="I406"/>
      <c r="J406"/>
    </row>
    <row r="407" spans="9:10">
      <c r="I407"/>
      <c r="J407"/>
    </row>
    <row r="408" spans="9:10">
      <c r="I408"/>
      <c r="J408"/>
    </row>
    <row r="409" spans="9:10">
      <c r="I409"/>
      <c r="J409"/>
    </row>
    <row r="410" spans="9:10">
      <c r="I410"/>
      <c r="J410"/>
    </row>
    <row r="411" spans="9:10">
      <c r="I411"/>
      <c r="J411"/>
    </row>
    <row r="412" spans="9:10">
      <c r="I412"/>
      <c r="J412"/>
    </row>
    <row r="413" spans="9:10">
      <c r="I413"/>
      <c r="J413"/>
    </row>
    <row r="414" spans="9:10">
      <c r="I414"/>
      <c r="J414"/>
    </row>
    <row r="415" spans="9:10">
      <c r="I415"/>
      <c r="J415"/>
    </row>
    <row r="416" spans="9:10">
      <c r="I416"/>
      <c r="J416"/>
    </row>
    <row r="417" spans="9:10">
      <c r="I417"/>
      <c r="J417"/>
    </row>
    <row r="418" spans="9:10">
      <c r="I418"/>
      <c r="J418"/>
    </row>
    <row r="419" spans="9:10">
      <c r="I419"/>
      <c r="J419"/>
    </row>
    <row r="420" spans="9:10">
      <c r="I420"/>
      <c r="J420"/>
    </row>
    <row r="421" spans="9:10">
      <c r="I421"/>
      <c r="J421"/>
    </row>
    <row r="422" spans="9:10">
      <c r="I422"/>
      <c r="J422"/>
    </row>
    <row r="423" spans="9:10">
      <c r="I423"/>
      <c r="J423"/>
    </row>
    <row r="424" spans="9:10">
      <c r="I424"/>
      <c r="J424"/>
    </row>
    <row r="425" spans="9:10">
      <c r="I425"/>
      <c r="J425"/>
    </row>
    <row r="426" spans="9:10">
      <c r="I426"/>
      <c r="J426"/>
    </row>
    <row r="427" spans="9:10">
      <c r="I427"/>
      <c r="J427"/>
    </row>
    <row r="428" spans="9:10">
      <c r="I428"/>
      <c r="J428"/>
    </row>
    <row r="429" spans="9:10">
      <c r="I429"/>
      <c r="J429"/>
    </row>
    <row r="430" spans="9:10">
      <c r="I430"/>
      <c r="J430"/>
    </row>
    <row r="431" spans="9:10">
      <c r="I431"/>
      <c r="J431"/>
    </row>
    <row r="432" spans="9:10">
      <c r="I432"/>
      <c r="J432"/>
    </row>
    <row r="433" spans="9:10">
      <c r="I433"/>
      <c r="J433"/>
    </row>
    <row r="434" spans="9:10">
      <c r="I434"/>
      <c r="J434"/>
    </row>
    <row r="435" spans="9:10">
      <c r="I435"/>
      <c r="J435"/>
    </row>
    <row r="436" spans="9:10">
      <c r="I436"/>
      <c r="J436"/>
    </row>
    <row r="437" spans="9:10">
      <c r="I437"/>
      <c r="J437"/>
    </row>
    <row r="438" spans="9:10">
      <c r="I438"/>
      <c r="J438"/>
    </row>
    <row r="439" spans="9:10">
      <c r="I439"/>
      <c r="J439"/>
    </row>
    <row r="440" spans="9:10">
      <c r="I440"/>
      <c r="J440"/>
    </row>
    <row r="441" spans="9:10">
      <c r="I441"/>
      <c r="J441"/>
    </row>
    <row r="442" spans="9:10">
      <c r="I442"/>
      <c r="J442"/>
    </row>
    <row r="443" spans="9:10">
      <c r="I443"/>
      <c r="J443"/>
    </row>
    <row r="444" spans="9:10">
      <c r="I444"/>
      <c r="J444"/>
    </row>
    <row r="445" spans="9:10">
      <c r="I445"/>
      <c r="J445"/>
    </row>
    <row r="446" spans="9:10">
      <c r="I446"/>
      <c r="J446"/>
    </row>
    <row r="447" spans="9:10">
      <c r="I447"/>
      <c r="J447"/>
    </row>
    <row r="448" spans="9:10">
      <c r="I448"/>
      <c r="J448"/>
    </row>
    <row r="449" spans="9:10">
      <c r="I449"/>
      <c r="J449"/>
    </row>
    <row r="450" spans="9:10">
      <c r="I450"/>
      <c r="J450"/>
    </row>
    <row r="451" spans="9:10">
      <c r="I451"/>
      <c r="J451"/>
    </row>
    <row r="452" spans="9:10">
      <c r="I452"/>
      <c r="J452"/>
    </row>
    <row r="453" spans="9:10">
      <c r="I453"/>
      <c r="J453"/>
    </row>
    <row r="454" spans="9:10">
      <c r="I454"/>
      <c r="J454"/>
    </row>
    <row r="455" spans="9:10">
      <c r="I455"/>
      <c r="J455"/>
    </row>
    <row r="456" spans="9:10">
      <c r="I456"/>
      <c r="J456"/>
    </row>
    <row r="457" spans="9:10">
      <c r="I457"/>
      <c r="J457"/>
    </row>
    <row r="458" spans="9:10">
      <c r="I458"/>
      <c r="J458"/>
    </row>
    <row r="459" spans="9:10">
      <c r="I459"/>
      <c r="J459"/>
    </row>
    <row r="460" spans="9:10">
      <c r="I460"/>
      <c r="J460"/>
    </row>
    <row r="461" spans="9:10">
      <c r="I461"/>
      <c r="J461"/>
    </row>
    <row r="462" spans="9:10">
      <c r="I462"/>
      <c r="J462"/>
    </row>
    <row r="463" spans="9:10">
      <c r="I463"/>
      <c r="J463"/>
    </row>
    <row r="464" spans="9:10">
      <c r="I464"/>
      <c r="J464"/>
    </row>
    <row r="465" spans="9:10">
      <c r="I465"/>
      <c r="J465"/>
    </row>
    <row r="466" spans="9:10">
      <c r="I466"/>
      <c r="J466"/>
    </row>
    <row r="467" spans="9:10">
      <c r="I467"/>
      <c r="J467"/>
    </row>
    <row r="468" spans="9:10">
      <c r="I468"/>
      <c r="J468"/>
    </row>
    <row r="469" spans="9:10">
      <c r="I469"/>
      <c r="J469"/>
    </row>
    <row r="470" spans="9:10">
      <c r="I470"/>
      <c r="J470"/>
    </row>
    <row r="471" spans="9:10">
      <c r="I471"/>
      <c r="J471"/>
    </row>
    <row r="472" spans="9:10">
      <c r="I472"/>
      <c r="J472"/>
    </row>
    <row r="473" spans="9:10">
      <c r="I473"/>
      <c r="J473"/>
    </row>
    <row r="474" spans="9:10">
      <c r="I474"/>
      <c r="J474"/>
    </row>
    <row r="475" spans="9:10">
      <c r="I475"/>
      <c r="J475"/>
    </row>
    <row r="476" spans="9:10">
      <c r="I476"/>
      <c r="J476"/>
    </row>
    <row r="477" spans="9:10">
      <c r="I477"/>
      <c r="J477"/>
    </row>
    <row r="478" spans="9:10">
      <c r="I478"/>
      <c r="J478"/>
    </row>
    <row r="479" spans="9:10">
      <c r="I479"/>
      <c r="J479"/>
    </row>
    <row r="480" spans="9:10">
      <c r="I480"/>
      <c r="J480"/>
    </row>
    <row r="481" spans="9:10">
      <c r="I481"/>
      <c r="J481"/>
    </row>
    <row r="482" spans="9:10">
      <c r="I482"/>
      <c r="J482"/>
    </row>
    <row r="483" spans="9:10">
      <c r="I483"/>
      <c r="J483"/>
    </row>
    <row r="484" spans="9:10">
      <c r="I484"/>
      <c r="J484"/>
    </row>
    <row r="485" spans="9:10">
      <c r="I485"/>
      <c r="J485"/>
    </row>
    <row r="486" spans="9:10">
      <c r="I486"/>
      <c r="J486"/>
    </row>
    <row r="487" spans="9:10">
      <c r="I487"/>
      <c r="J487"/>
    </row>
    <row r="488" spans="9:10">
      <c r="I488"/>
      <c r="J488"/>
    </row>
    <row r="489" spans="9:10">
      <c r="I489"/>
      <c r="J489"/>
    </row>
    <row r="490" spans="9:10">
      <c r="I490"/>
      <c r="J490"/>
    </row>
    <row r="491" spans="9:10">
      <c r="I491"/>
      <c r="J491"/>
    </row>
    <row r="492" spans="9:10">
      <c r="I492"/>
      <c r="J492"/>
    </row>
    <row r="493" spans="9:10">
      <c r="I493"/>
      <c r="J493"/>
    </row>
    <row r="494" spans="9:10">
      <c r="I494"/>
      <c r="J494"/>
    </row>
    <row r="495" spans="9:10">
      <c r="I495"/>
      <c r="J495"/>
    </row>
    <row r="496" spans="9:10">
      <c r="I496"/>
      <c r="J496"/>
    </row>
    <row r="497" spans="9:10">
      <c r="I497"/>
      <c r="J497"/>
    </row>
    <row r="498" spans="9:10">
      <c r="I498"/>
      <c r="J498"/>
    </row>
    <row r="499" spans="9:10">
      <c r="I499"/>
      <c r="J499"/>
    </row>
    <row r="500" spans="9:10">
      <c r="I500"/>
      <c r="J500"/>
    </row>
    <row r="501" spans="9:10">
      <c r="I501"/>
      <c r="J501"/>
    </row>
    <row r="502" spans="9:10">
      <c r="I502"/>
      <c r="J502"/>
    </row>
    <row r="503" spans="9:10">
      <c r="I503"/>
      <c r="J503"/>
    </row>
    <row r="504" spans="9:10">
      <c r="I504"/>
      <c r="J504"/>
    </row>
    <row r="505" spans="9:10">
      <c r="I505"/>
      <c r="J505"/>
    </row>
    <row r="506" spans="9:10">
      <c r="I506"/>
      <c r="J506"/>
    </row>
    <row r="507" spans="9:10">
      <c r="I507"/>
      <c r="J507"/>
    </row>
    <row r="508" spans="9:10">
      <c r="I508"/>
      <c r="J508"/>
    </row>
    <row r="509" spans="9:10">
      <c r="I509"/>
      <c r="J509"/>
    </row>
    <row r="510" spans="9:10">
      <c r="I510"/>
      <c r="J510"/>
    </row>
    <row r="511" spans="9:10">
      <c r="I511"/>
      <c r="J511"/>
    </row>
    <row r="512" spans="9:10">
      <c r="I512"/>
      <c r="J512"/>
    </row>
    <row r="513" spans="9:10">
      <c r="I513"/>
      <c r="J513"/>
    </row>
    <row r="514" spans="9:10">
      <c r="I514"/>
      <c r="J514"/>
    </row>
    <row r="515" spans="9:10">
      <c r="I515"/>
      <c r="J515"/>
    </row>
    <row r="516" spans="9:10">
      <c r="I516"/>
      <c r="J516"/>
    </row>
    <row r="517" spans="9:10">
      <c r="I517"/>
      <c r="J517"/>
    </row>
    <row r="518" spans="9:10">
      <c r="I518"/>
      <c r="J518"/>
    </row>
    <row r="519" spans="9:10">
      <c r="I519"/>
      <c r="J519"/>
    </row>
    <row r="520" spans="9:10">
      <c r="I520"/>
      <c r="J520"/>
    </row>
    <row r="521" spans="9:10">
      <c r="I521"/>
      <c r="J521"/>
    </row>
    <row r="522" spans="9:10">
      <c r="I522"/>
      <c r="J522"/>
    </row>
    <row r="523" spans="9:10">
      <c r="I523"/>
      <c r="J523"/>
    </row>
    <row r="524" spans="9:10">
      <c r="I524"/>
      <c r="J524"/>
    </row>
    <row r="525" spans="9:10">
      <c r="I525"/>
      <c r="J525"/>
    </row>
    <row r="526" spans="9:10">
      <c r="I526"/>
      <c r="J526"/>
    </row>
    <row r="527" spans="9:10">
      <c r="I527"/>
      <c r="J527"/>
    </row>
    <row r="528" spans="9:10">
      <c r="I528"/>
      <c r="J528"/>
    </row>
    <row r="529" spans="9:10">
      <c r="I529"/>
      <c r="J529"/>
    </row>
    <row r="530" spans="9:10">
      <c r="I530"/>
      <c r="J530"/>
    </row>
    <row r="531" spans="9:10">
      <c r="I531"/>
      <c r="J531"/>
    </row>
    <row r="532" spans="9:10">
      <c r="I532"/>
      <c r="J532"/>
    </row>
    <row r="533" spans="9:10">
      <c r="I533"/>
      <c r="J533"/>
    </row>
    <row r="534" spans="9:10">
      <c r="I534"/>
      <c r="J534"/>
    </row>
    <row r="535" spans="9:10">
      <c r="I535"/>
      <c r="J535"/>
    </row>
    <row r="536" spans="9:10">
      <c r="I536"/>
      <c r="J536"/>
    </row>
    <row r="537" spans="9:10">
      <c r="I537"/>
      <c r="J537"/>
    </row>
    <row r="538" spans="9:10">
      <c r="I538"/>
      <c r="J538"/>
    </row>
    <row r="539" spans="9:10">
      <c r="I539"/>
      <c r="J539"/>
    </row>
    <row r="540" spans="9:10">
      <c r="I540"/>
      <c r="J540"/>
    </row>
    <row r="541" spans="9:10">
      <c r="I541"/>
      <c r="J541"/>
    </row>
    <row r="542" spans="9:10">
      <c r="I542"/>
      <c r="J542"/>
    </row>
    <row r="543" spans="9:10">
      <c r="I543"/>
      <c r="J543"/>
    </row>
    <row r="544" spans="9:10">
      <c r="I544"/>
      <c r="J544"/>
    </row>
    <row r="545" spans="9:10">
      <c r="I545"/>
      <c r="J545"/>
    </row>
    <row r="546" spans="9:10">
      <c r="I546"/>
      <c r="J546"/>
    </row>
    <row r="547" spans="9:10">
      <c r="I547"/>
      <c r="J547"/>
    </row>
    <row r="548" spans="9:10">
      <c r="I548"/>
      <c r="J548"/>
    </row>
    <row r="549" spans="9:10">
      <c r="I549"/>
      <c r="J549"/>
    </row>
    <row r="550" spans="9:10">
      <c r="I550"/>
      <c r="J550"/>
    </row>
    <row r="551" spans="9:10">
      <c r="I551"/>
      <c r="J551"/>
    </row>
    <row r="552" spans="9:10">
      <c r="I552"/>
      <c r="J552"/>
    </row>
    <row r="553" spans="9:10">
      <c r="I553"/>
      <c r="J553"/>
    </row>
    <row r="554" spans="9:10">
      <c r="I554"/>
      <c r="J554"/>
    </row>
    <row r="555" spans="9:10">
      <c r="I555"/>
      <c r="J555"/>
    </row>
    <row r="556" spans="9:10">
      <c r="I556"/>
      <c r="J556"/>
    </row>
    <row r="557" spans="9:10">
      <c r="I557"/>
      <c r="J557"/>
    </row>
    <row r="558" spans="9:10">
      <c r="I558"/>
      <c r="J558"/>
    </row>
    <row r="559" spans="9:10">
      <c r="I559"/>
      <c r="J559"/>
    </row>
    <row r="560" spans="9:10">
      <c r="I560"/>
      <c r="J560"/>
    </row>
    <row r="561" spans="9:10">
      <c r="I561"/>
      <c r="J561"/>
    </row>
    <row r="562" spans="9:10">
      <c r="I562"/>
      <c r="J562"/>
    </row>
    <row r="563" spans="9:10">
      <c r="I563"/>
      <c r="J563"/>
    </row>
    <row r="564" spans="9:10">
      <c r="I564"/>
      <c r="J564"/>
    </row>
    <row r="565" spans="9:10">
      <c r="I565"/>
      <c r="J565"/>
    </row>
    <row r="566" spans="9:10">
      <c r="I566"/>
      <c r="J566"/>
    </row>
    <row r="567" spans="9:10">
      <c r="I567"/>
      <c r="J567"/>
    </row>
    <row r="568" spans="9:10">
      <c r="I568"/>
      <c r="J568"/>
    </row>
    <row r="569" spans="9:10">
      <c r="I569"/>
      <c r="J569"/>
    </row>
    <row r="570" spans="9:10">
      <c r="I570"/>
      <c r="J570"/>
    </row>
    <row r="571" spans="9:10">
      <c r="I571"/>
      <c r="J571"/>
    </row>
    <row r="572" spans="9:10">
      <c r="I572"/>
      <c r="J572"/>
    </row>
    <row r="573" spans="9:10">
      <c r="I573"/>
      <c r="J573"/>
    </row>
    <row r="574" spans="9:10">
      <c r="I574"/>
      <c r="J574"/>
    </row>
    <row r="575" spans="9:10">
      <c r="I575"/>
      <c r="J575"/>
    </row>
    <row r="576" spans="9:10">
      <c r="I576"/>
      <c r="J576"/>
    </row>
    <row r="577" spans="9:10">
      <c r="I577"/>
      <c r="J577"/>
    </row>
    <row r="578" spans="9:10">
      <c r="I578"/>
      <c r="J578"/>
    </row>
    <row r="579" spans="9:10">
      <c r="I579"/>
      <c r="J579"/>
    </row>
    <row r="580" spans="9:10">
      <c r="I580"/>
      <c r="J580"/>
    </row>
    <row r="581" spans="9:10">
      <c r="I581"/>
      <c r="J581"/>
    </row>
    <row r="582" spans="9:10">
      <c r="I582"/>
      <c r="J582"/>
    </row>
    <row r="583" spans="9:10">
      <c r="I583"/>
      <c r="J583"/>
    </row>
    <row r="584" spans="9:10">
      <c r="I584"/>
      <c r="J584"/>
    </row>
    <row r="585" spans="9:10">
      <c r="I585"/>
      <c r="J585"/>
    </row>
    <row r="586" spans="9:10">
      <c r="I586"/>
      <c r="J586"/>
    </row>
    <row r="587" spans="9:10">
      <c r="I587"/>
      <c r="J587"/>
    </row>
    <row r="588" spans="9:10">
      <c r="I588"/>
      <c r="J588"/>
    </row>
    <row r="589" spans="9:10">
      <c r="I589"/>
      <c r="J589"/>
    </row>
    <row r="590" spans="9:10">
      <c r="I590"/>
      <c r="J590"/>
    </row>
    <row r="591" spans="9:10">
      <c r="I591"/>
      <c r="J591"/>
    </row>
    <row r="592" spans="9:10">
      <c r="I592"/>
      <c r="J592"/>
    </row>
    <row r="593" spans="9:10">
      <c r="I593"/>
      <c r="J593"/>
    </row>
    <row r="594" spans="9:10">
      <c r="I594"/>
      <c r="J594"/>
    </row>
    <row r="595" spans="9:10">
      <c r="I595"/>
      <c r="J595"/>
    </row>
    <row r="596" spans="9:10">
      <c r="I596"/>
      <c r="J596"/>
    </row>
    <row r="597" spans="9:10">
      <c r="I597"/>
      <c r="J597"/>
    </row>
    <row r="598" spans="9:10">
      <c r="I598"/>
      <c r="J598"/>
    </row>
    <row r="599" spans="9:10">
      <c r="I599"/>
      <c r="J599"/>
    </row>
    <row r="600" spans="9:10">
      <c r="I600"/>
      <c r="J600"/>
    </row>
    <row r="601" spans="9:10">
      <c r="I601"/>
      <c r="J601"/>
    </row>
    <row r="602" spans="9:10">
      <c r="I602"/>
      <c r="J602"/>
    </row>
    <row r="603" spans="9:10">
      <c r="I603"/>
      <c r="J603"/>
    </row>
    <row r="604" spans="9:10">
      <c r="I604"/>
      <c r="J604"/>
    </row>
    <row r="605" spans="9:10">
      <c r="I605"/>
      <c r="J605"/>
    </row>
    <row r="606" spans="9:10">
      <c r="I606"/>
      <c r="J606"/>
    </row>
    <row r="607" spans="9:10">
      <c r="I607"/>
      <c r="J607"/>
    </row>
    <row r="608" spans="9:10">
      <c r="I608"/>
      <c r="J608"/>
    </row>
    <row r="609" spans="9:10">
      <c r="I609"/>
      <c r="J609"/>
    </row>
    <row r="610" spans="9:10">
      <c r="I610"/>
      <c r="J610"/>
    </row>
    <row r="611" spans="9:10">
      <c r="I611"/>
      <c r="J611"/>
    </row>
    <row r="612" spans="9:10">
      <c r="I612"/>
      <c r="J612"/>
    </row>
    <row r="613" spans="9:10">
      <c r="I613"/>
      <c r="J613"/>
    </row>
    <row r="614" spans="9:10">
      <c r="I614"/>
      <c r="J614"/>
    </row>
    <row r="615" spans="9:10">
      <c r="I615"/>
      <c r="J615"/>
    </row>
    <row r="616" spans="9:10">
      <c r="I616"/>
      <c r="J616"/>
    </row>
    <row r="617" spans="9:10">
      <c r="I617"/>
      <c r="J617"/>
    </row>
    <row r="618" spans="9:10">
      <c r="I618"/>
      <c r="J618"/>
    </row>
    <row r="619" spans="9:10">
      <c r="I619"/>
      <c r="J619"/>
    </row>
    <row r="620" spans="9:10">
      <c r="I620"/>
      <c r="J620"/>
    </row>
    <row r="621" spans="9:10">
      <c r="I621"/>
      <c r="J621"/>
    </row>
    <row r="622" spans="9:10">
      <c r="I622"/>
      <c r="J622"/>
    </row>
    <row r="623" spans="9:10">
      <c r="I623"/>
      <c r="J623"/>
    </row>
    <row r="624" spans="9:10">
      <c r="I624"/>
      <c r="J624"/>
    </row>
    <row r="625" spans="9:10">
      <c r="I625"/>
      <c r="J625"/>
    </row>
    <row r="626" spans="9:10">
      <c r="I626"/>
      <c r="J626"/>
    </row>
    <row r="627" spans="9:10">
      <c r="I627"/>
      <c r="J627"/>
    </row>
    <row r="628" spans="9:10">
      <c r="I628"/>
      <c r="J628"/>
    </row>
    <row r="629" spans="9:10">
      <c r="I629"/>
      <c r="J629"/>
    </row>
    <row r="630" spans="9:10">
      <c r="I630"/>
      <c r="J630"/>
    </row>
    <row r="631" spans="9:10">
      <c r="I631"/>
      <c r="J631"/>
    </row>
    <row r="632" spans="9:10">
      <c r="I632"/>
      <c r="J632"/>
    </row>
    <row r="633" spans="9:10">
      <c r="I633"/>
      <c r="J633"/>
    </row>
    <row r="634" spans="9:10">
      <c r="I634"/>
      <c r="J634"/>
    </row>
    <row r="635" spans="9:10">
      <c r="I635"/>
      <c r="J635"/>
    </row>
    <row r="636" spans="9:10">
      <c r="I636"/>
      <c r="J636"/>
    </row>
    <row r="637" spans="9:10">
      <c r="I637"/>
      <c r="J637"/>
    </row>
    <row r="638" spans="9:10">
      <c r="I638"/>
      <c r="J638"/>
    </row>
    <row r="639" spans="9:10">
      <c r="I639"/>
      <c r="J639"/>
    </row>
    <row r="640" spans="9:10">
      <c r="I640"/>
      <c r="J640"/>
    </row>
    <row r="641" spans="9:10">
      <c r="I641"/>
      <c r="J641"/>
    </row>
    <row r="642" spans="9:10">
      <c r="I642"/>
      <c r="J642"/>
    </row>
    <row r="643" spans="9:10">
      <c r="I643"/>
      <c r="J643"/>
    </row>
    <row r="644" spans="9:10">
      <c r="I644"/>
      <c r="J644"/>
    </row>
    <row r="645" spans="9:10">
      <c r="I645"/>
      <c r="J645"/>
    </row>
    <row r="646" spans="9:10">
      <c r="I646"/>
      <c r="J646"/>
    </row>
    <row r="647" spans="9:10">
      <c r="I647"/>
      <c r="J647"/>
    </row>
    <row r="648" spans="9:10">
      <c r="I648"/>
      <c r="J648"/>
    </row>
    <row r="649" spans="9:10">
      <c r="I649"/>
      <c r="J649"/>
    </row>
    <row r="650" spans="9:10">
      <c r="I650"/>
      <c r="J650"/>
    </row>
    <row r="651" spans="9:10">
      <c r="I651"/>
      <c r="J651"/>
    </row>
    <row r="652" spans="9:10">
      <c r="I652"/>
      <c r="J652"/>
    </row>
    <row r="653" spans="9:10">
      <c r="I653"/>
      <c r="J653"/>
    </row>
    <row r="654" spans="9:10">
      <c r="I654"/>
      <c r="J654"/>
    </row>
    <row r="655" spans="9:10">
      <c r="I655"/>
      <c r="J655"/>
    </row>
    <row r="656" spans="9:10">
      <c r="I656"/>
      <c r="J656"/>
    </row>
    <row r="657" spans="9:10">
      <c r="I657"/>
      <c r="J657"/>
    </row>
    <row r="658" spans="9:10">
      <c r="I658"/>
      <c r="J658"/>
    </row>
    <row r="659" spans="9:10">
      <c r="I659"/>
      <c r="J659"/>
    </row>
    <row r="660" spans="9:10">
      <c r="I660"/>
      <c r="J660"/>
    </row>
    <row r="661" spans="9:10">
      <c r="I661"/>
      <c r="J661"/>
    </row>
    <row r="662" spans="9:10">
      <c r="I662"/>
      <c r="J662"/>
    </row>
    <row r="663" spans="9:10">
      <c r="I663"/>
      <c r="J663"/>
    </row>
    <row r="664" spans="9:10">
      <c r="I664"/>
      <c r="J664"/>
    </row>
    <row r="665" spans="9:10">
      <c r="I665"/>
      <c r="J665"/>
    </row>
    <row r="666" spans="9:10">
      <c r="I666"/>
      <c r="J666"/>
    </row>
    <row r="667" spans="9:10">
      <c r="I667"/>
      <c r="J667"/>
    </row>
    <row r="668" spans="9:10">
      <c r="I668"/>
      <c r="J668"/>
    </row>
    <row r="669" spans="9:10">
      <c r="I669"/>
      <c r="J669"/>
    </row>
    <row r="670" spans="9:10">
      <c r="I670"/>
      <c r="J670"/>
    </row>
    <row r="671" spans="9:10">
      <c r="I671"/>
      <c r="J671"/>
    </row>
    <row r="672" spans="9:10">
      <c r="I672"/>
      <c r="J672"/>
    </row>
    <row r="673" spans="9:10">
      <c r="I673"/>
      <c r="J673"/>
    </row>
    <row r="674" spans="9:10">
      <c r="I674"/>
      <c r="J674"/>
    </row>
    <row r="675" spans="9:10">
      <c r="I675"/>
      <c r="J675"/>
    </row>
    <row r="676" spans="9:10">
      <c r="I676"/>
      <c r="J676"/>
    </row>
    <row r="677" spans="9:10">
      <c r="I677"/>
      <c r="J677"/>
    </row>
    <row r="678" spans="9:10">
      <c r="I678"/>
      <c r="J678"/>
    </row>
    <row r="679" spans="9:10">
      <c r="I679"/>
      <c r="J679"/>
    </row>
    <row r="680" spans="9:10">
      <c r="I680"/>
      <c r="J680"/>
    </row>
    <row r="681" spans="9:10">
      <c r="I681"/>
      <c r="J681"/>
    </row>
    <row r="682" spans="9:10">
      <c r="I682"/>
      <c r="J682"/>
    </row>
    <row r="683" spans="9:10">
      <c r="I683"/>
      <c r="J683"/>
    </row>
    <row r="684" spans="9:10">
      <c r="I684"/>
      <c r="J684"/>
    </row>
    <row r="685" spans="9:10">
      <c r="I685"/>
      <c r="J685"/>
    </row>
    <row r="686" spans="9:10">
      <c r="I686"/>
      <c r="J686"/>
    </row>
    <row r="687" spans="9:10">
      <c r="I687"/>
      <c r="J687"/>
    </row>
    <row r="688" spans="9:10">
      <c r="I688"/>
      <c r="J688"/>
    </row>
    <row r="689" spans="9:10">
      <c r="I689"/>
      <c r="J689"/>
    </row>
    <row r="690" spans="9:10">
      <c r="I690"/>
      <c r="J690"/>
    </row>
    <row r="691" spans="9:10">
      <c r="I691"/>
      <c r="J691"/>
    </row>
    <row r="692" spans="9:10">
      <c r="I692"/>
      <c r="J692"/>
    </row>
    <row r="693" spans="9:10">
      <c r="I693"/>
      <c r="J693"/>
    </row>
    <row r="694" spans="9:10">
      <c r="I694"/>
      <c r="J694"/>
    </row>
    <row r="695" spans="9:10">
      <c r="I695"/>
      <c r="J695"/>
    </row>
    <row r="696" spans="9:10">
      <c r="I696"/>
      <c r="J696"/>
    </row>
    <row r="697" spans="9:10">
      <c r="I697"/>
      <c r="J697"/>
    </row>
    <row r="698" spans="9:10">
      <c r="I698"/>
      <c r="J698"/>
    </row>
    <row r="699" spans="9:10">
      <c r="I699"/>
      <c r="J699"/>
    </row>
    <row r="700" spans="9:10">
      <c r="I700"/>
      <c r="J700"/>
    </row>
    <row r="701" spans="9:10">
      <c r="I701"/>
      <c r="J701"/>
    </row>
    <row r="702" spans="9:10">
      <c r="I702"/>
      <c r="J702"/>
    </row>
    <row r="703" spans="9:10">
      <c r="I703"/>
      <c r="J703"/>
    </row>
    <row r="704" spans="9:10">
      <c r="I704"/>
      <c r="J704"/>
    </row>
    <row r="705" spans="9:10">
      <c r="I705"/>
      <c r="J705"/>
    </row>
    <row r="706" spans="9:10">
      <c r="I706"/>
      <c r="J706"/>
    </row>
    <row r="707" spans="9:10">
      <c r="I707"/>
      <c r="J707"/>
    </row>
    <row r="708" spans="9:10">
      <c r="I708"/>
      <c r="J708"/>
    </row>
    <row r="709" spans="9:10">
      <c r="I709"/>
      <c r="J709"/>
    </row>
    <row r="710" spans="9:10">
      <c r="I710"/>
      <c r="J710"/>
    </row>
    <row r="711" spans="9:10">
      <c r="I711"/>
      <c r="J711"/>
    </row>
    <row r="712" spans="9:10">
      <c r="I712"/>
      <c r="J712"/>
    </row>
    <row r="713" spans="9:10">
      <c r="I713"/>
      <c r="J713"/>
    </row>
    <row r="714" spans="9:10">
      <c r="I714"/>
      <c r="J714"/>
    </row>
    <row r="715" spans="9:10">
      <c r="I715"/>
      <c r="J715"/>
    </row>
    <row r="716" spans="9:10">
      <c r="I716"/>
      <c r="J716"/>
    </row>
    <row r="717" spans="9:10">
      <c r="I717"/>
      <c r="J717"/>
    </row>
    <row r="718" spans="9:10">
      <c r="I718"/>
      <c r="J718"/>
    </row>
    <row r="719" spans="9:10">
      <c r="I719"/>
      <c r="J719"/>
    </row>
    <row r="720" spans="9:10">
      <c r="I720"/>
      <c r="J720"/>
    </row>
    <row r="721" spans="9:10">
      <c r="I721"/>
      <c r="J721"/>
    </row>
    <row r="722" spans="9:10">
      <c r="I722"/>
      <c r="J722"/>
    </row>
    <row r="723" spans="9:10">
      <c r="I723"/>
      <c r="J723"/>
    </row>
    <row r="724" spans="9:10">
      <c r="I724"/>
      <c r="J724"/>
    </row>
    <row r="725" spans="9:10">
      <c r="I725"/>
      <c r="J725"/>
    </row>
    <row r="726" spans="9:10">
      <c r="I726"/>
      <c r="J726"/>
    </row>
    <row r="727" spans="9:10">
      <c r="I727"/>
      <c r="J727"/>
    </row>
    <row r="728" spans="9:10">
      <c r="I728"/>
      <c r="J728"/>
    </row>
    <row r="729" spans="9:10">
      <c r="I729"/>
      <c r="J729"/>
    </row>
    <row r="730" spans="9:10">
      <c r="I730"/>
      <c r="J730"/>
    </row>
    <row r="731" spans="9:10">
      <c r="I731"/>
      <c r="J731"/>
    </row>
    <row r="732" spans="9:10">
      <c r="I732"/>
      <c r="J732"/>
    </row>
    <row r="733" spans="9:10">
      <c r="I733"/>
      <c r="J733"/>
    </row>
    <row r="734" spans="9:10">
      <c r="I734"/>
      <c r="J734"/>
    </row>
    <row r="735" spans="9:10">
      <c r="I735"/>
      <c r="J735"/>
    </row>
    <row r="736" spans="9:10">
      <c r="I736"/>
      <c r="J736"/>
    </row>
    <row r="737" spans="9:10">
      <c r="I737"/>
      <c r="J737"/>
    </row>
    <row r="738" spans="9:10">
      <c r="I738"/>
      <c r="J738"/>
    </row>
    <row r="739" spans="9:10">
      <c r="I739"/>
      <c r="J739"/>
    </row>
    <row r="740" spans="9:10">
      <c r="I740"/>
      <c r="J740"/>
    </row>
    <row r="741" spans="9:10">
      <c r="I741"/>
      <c r="J741"/>
    </row>
    <row r="742" spans="9:10">
      <c r="I742"/>
      <c r="J742"/>
    </row>
    <row r="743" spans="9:10">
      <c r="I743"/>
      <c r="J743"/>
    </row>
    <row r="744" spans="9:10">
      <c r="I744"/>
      <c r="J744"/>
    </row>
    <row r="745" spans="9:10">
      <c r="I745"/>
      <c r="J745"/>
    </row>
    <row r="746" spans="9:10">
      <c r="I746"/>
      <c r="J746"/>
    </row>
    <row r="747" spans="9:10">
      <c r="I747"/>
      <c r="J747"/>
    </row>
    <row r="748" spans="9:10">
      <c r="I748"/>
      <c r="J748"/>
    </row>
    <row r="749" spans="9:10">
      <c r="I749"/>
      <c r="J749"/>
    </row>
    <row r="750" spans="9:10">
      <c r="I750"/>
      <c r="J750"/>
    </row>
    <row r="751" spans="9:10">
      <c r="I751"/>
      <c r="J751"/>
    </row>
    <row r="752" spans="9:10">
      <c r="I752"/>
      <c r="J752"/>
    </row>
    <row r="753" spans="9:10">
      <c r="I753"/>
      <c r="J753"/>
    </row>
    <row r="754" spans="9:10">
      <c r="I754"/>
      <c r="J754"/>
    </row>
    <row r="755" spans="9:10">
      <c r="I755"/>
      <c r="J755"/>
    </row>
    <row r="756" spans="9:10">
      <c r="I756"/>
      <c r="J756"/>
    </row>
    <row r="757" spans="9:10">
      <c r="I757"/>
      <c r="J757"/>
    </row>
    <row r="758" spans="9:10">
      <c r="I758"/>
      <c r="J758"/>
    </row>
    <row r="759" spans="9:10">
      <c r="I759"/>
      <c r="J759"/>
    </row>
    <row r="760" spans="9:10">
      <c r="I760"/>
      <c r="J760"/>
    </row>
    <row r="761" spans="9:10">
      <c r="I761"/>
      <c r="J761"/>
    </row>
    <row r="762" spans="9:10">
      <c r="I762"/>
      <c r="J762"/>
    </row>
    <row r="763" spans="9:10">
      <c r="I763"/>
      <c r="J763"/>
    </row>
    <row r="764" spans="9:10">
      <c r="I764"/>
      <c r="J764"/>
    </row>
    <row r="765" spans="9:10">
      <c r="I765"/>
      <c r="J765"/>
    </row>
    <row r="766" spans="9:10">
      <c r="I766"/>
      <c r="J766"/>
    </row>
    <row r="767" spans="9:10">
      <c r="I767"/>
      <c r="J767"/>
    </row>
    <row r="768" spans="9:10">
      <c r="I768"/>
      <c r="J768"/>
    </row>
    <row r="769" spans="9:10">
      <c r="I769"/>
      <c r="J769"/>
    </row>
    <row r="770" spans="9:10">
      <c r="I770"/>
      <c r="J770"/>
    </row>
    <row r="771" spans="9:10">
      <c r="I771"/>
      <c r="J771"/>
    </row>
    <row r="772" spans="9:10">
      <c r="I772"/>
      <c r="J772"/>
    </row>
    <row r="773" spans="9:10">
      <c r="I773"/>
      <c r="J773"/>
    </row>
    <row r="774" spans="9:10">
      <c r="I774"/>
      <c r="J774"/>
    </row>
    <row r="775" spans="9:10">
      <c r="I775"/>
      <c r="J775"/>
    </row>
    <row r="776" spans="9:10">
      <c r="I776"/>
      <c r="J776"/>
    </row>
    <row r="777" spans="9:10">
      <c r="I777"/>
      <c r="J777"/>
    </row>
    <row r="778" spans="9:10">
      <c r="I778"/>
      <c r="J778"/>
    </row>
    <row r="779" spans="9:10">
      <c r="I779"/>
      <c r="J779"/>
    </row>
    <row r="780" spans="9:10">
      <c r="I780"/>
      <c r="J780"/>
    </row>
    <row r="781" spans="9:10">
      <c r="I781"/>
      <c r="J781"/>
    </row>
    <row r="782" spans="9:10">
      <c r="I782"/>
      <c r="J782"/>
    </row>
    <row r="783" spans="9:10">
      <c r="I783"/>
      <c r="J783"/>
    </row>
    <row r="784" spans="9:10">
      <c r="I784"/>
      <c r="J784"/>
    </row>
    <row r="785" spans="9:10">
      <c r="I785"/>
      <c r="J785"/>
    </row>
    <row r="786" spans="9:10">
      <c r="I786"/>
      <c r="J786"/>
    </row>
    <row r="787" spans="9:10">
      <c r="I787"/>
      <c r="J787"/>
    </row>
    <row r="788" spans="9:10">
      <c r="I788"/>
      <c r="J788"/>
    </row>
    <row r="789" spans="9:10">
      <c r="I789"/>
      <c r="J789"/>
    </row>
    <row r="790" spans="9:10">
      <c r="I790"/>
      <c r="J790"/>
    </row>
    <row r="791" spans="9:10">
      <c r="I791"/>
      <c r="J791"/>
    </row>
    <row r="792" spans="9:10">
      <c r="I792"/>
      <c r="J792"/>
    </row>
    <row r="793" spans="9:10">
      <c r="I793"/>
      <c r="J793"/>
    </row>
    <row r="794" spans="9:10">
      <c r="I794"/>
      <c r="J794"/>
    </row>
    <row r="795" spans="9:10">
      <c r="I795"/>
      <c r="J795"/>
    </row>
    <row r="796" spans="9:10">
      <c r="I796"/>
      <c r="J796"/>
    </row>
    <row r="797" spans="9:10">
      <c r="I797"/>
      <c r="J797"/>
    </row>
    <row r="798" spans="9:10">
      <c r="I798"/>
      <c r="J798"/>
    </row>
    <row r="799" spans="9:10">
      <c r="I799"/>
      <c r="J799"/>
    </row>
    <row r="800" spans="9:10">
      <c r="I800"/>
      <c r="J800"/>
    </row>
    <row r="801" spans="9:10">
      <c r="I801"/>
      <c r="J801"/>
    </row>
    <row r="802" spans="9:10">
      <c r="I802"/>
      <c r="J802"/>
    </row>
    <row r="803" spans="9:10">
      <c r="I803"/>
      <c r="J803"/>
    </row>
    <row r="804" spans="9:10">
      <c r="I804"/>
      <c r="J804"/>
    </row>
    <row r="805" spans="9:10">
      <c r="I805"/>
      <c r="J805"/>
    </row>
    <row r="806" spans="9:10">
      <c r="I806"/>
      <c r="J806"/>
    </row>
    <row r="807" spans="9:10">
      <c r="I807"/>
      <c r="J807"/>
    </row>
    <row r="808" spans="9:10">
      <c r="I808"/>
      <c r="J808"/>
    </row>
    <row r="809" spans="9:10">
      <c r="I809"/>
      <c r="J809"/>
    </row>
    <row r="810" spans="9:10">
      <c r="I810"/>
      <c r="J810"/>
    </row>
    <row r="811" spans="9:10">
      <c r="I811"/>
      <c r="J811"/>
    </row>
    <row r="812" spans="9:10">
      <c r="I812"/>
      <c r="J812"/>
    </row>
    <row r="813" spans="9:10">
      <c r="I813"/>
      <c r="J813"/>
    </row>
    <row r="814" spans="9:10">
      <c r="I814"/>
      <c r="J814"/>
    </row>
    <row r="815" spans="9:10">
      <c r="I815"/>
      <c r="J815"/>
    </row>
    <row r="816" spans="9:10">
      <c r="I816"/>
      <c r="J816"/>
    </row>
    <row r="817" spans="9:10">
      <c r="I817"/>
      <c r="J817"/>
    </row>
    <row r="818" spans="9:10">
      <c r="I818"/>
      <c r="J818"/>
    </row>
    <row r="819" spans="9:10">
      <c r="I819"/>
      <c r="J819"/>
    </row>
    <row r="820" spans="9:10">
      <c r="I820"/>
      <c r="J820"/>
    </row>
    <row r="821" spans="9:10">
      <c r="I821"/>
      <c r="J821"/>
    </row>
    <row r="822" spans="9:10">
      <c r="I822"/>
      <c r="J822"/>
    </row>
    <row r="823" spans="9:10">
      <c r="I823"/>
      <c r="J823"/>
    </row>
    <row r="824" spans="9:10">
      <c r="I824"/>
      <c r="J824"/>
    </row>
    <row r="825" spans="9:10">
      <c r="I825"/>
      <c r="J825"/>
    </row>
    <row r="826" spans="9:10">
      <c r="I826"/>
      <c r="J826"/>
    </row>
    <row r="827" spans="9:10">
      <c r="I827"/>
      <c r="J827"/>
    </row>
    <row r="828" spans="9:10">
      <c r="I828"/>
      <c r="J828"/>
    </row>
    <row r="829" spans="9:10">
      <c r="I829"/>
      <c r="J829"/>
    </row>
    <row r="830" spans="9:10">
      <c r="I830"/>
      <c r="J830"/>
    </row>
    <row r="831" spans="9:10">
      <c r="I831"/>
      <c r="J831"/>
    </row>
    <row r="832" spans="9:10">
      <c r="I832"/>
      <c r="J832"/>
    </row>
    <row r="833" spans="9:10">
      <c r="I833"/>
      <c r="J833"/>
    </row>
    <row r="834" spans="9:10">
      <c r="I834"/>
      <c r="J834"/>
    </row>
    <row r="835" spans="9:10">
      <c r="I835"/>
      <c r="J835"/>
    </row>
    <row r="836" spans="9:10">
      <c r="I836"/>
      <c r="J836"/>
    </row>
    <row r="837" spans="9:10">
      <c r="I837"/>
      <c r="J837"/>
    </row>
    <row r="838" spans="9:10">
      <c r="I838"/>
      <c r="J838"/>
    </row>
    <row r="839" spans="9:10">
      <c r="I839"/>
      <c r="J839"/>
    </row>
    <row r="840" spans="9:10">
      <c r="I840"/>
      <c r="J840"/>
    </row>
    <row r="841" spans="9:10">
      <c r="I841"/>
      <c r="J841"/>
    </row>
    <row r="842" spans="9:10">
      <c r="I842"/>
      <c r="J842"/>
    </row>
    <row r="843" spans="9:10">
      <c r="I843"/>
      <c r="J843"/>
    </row>
    <row r="844" spans="9:10">
      <c r="I844"/>
      <c r="J844"/>
    </row>
    <row r="845" spans="9:10">
      <c r="I845"/>
      <c r="J845"/>
    </row>
    <row r="846" spans="9:10">
      <c r="I846"/>
      <c r="J846"/>
    </row>
    <row r="847" spans="9:10">
      <c r="I847"/>
      <c r="J847"/>
    </row>
    <row r="848" spans="9:10">
      <c r="I848"/>
      <c r="J848"/>
    </row>
    <row r="849" spans="9:10">
      <c r="I849"/>
      <c r="J849"/>
    </row>
    <row r="850" spans="9:10">
      <c r="I850"/>
      <c r="J850"/>
    </row>
    <row r="851" spans="9:10">
      <c r="I851"/>
      <c r="J851"/>
    </row>
    <row r="852" spans="9:10">
      <c r="I852"/>
      <c r="J852"/>
    </row>
    <row r="853" spans="9:10">
      <c r="I853"/>
      <c r="J853"/>
    </row>
    <row r="854" spans="9:10">
      <c r="I854"/>
      <c r="J854"/>
    </row>
    <row r="855" spans="9:10">
      <c r="I855"/>
      <c r="J855"/>
    </row>
    <row r="856" spans="9:10">
      <c r="I856"/>
      <c r="J856"/>
    </row>
    <row r="857" spans="9:10">
      <c r="I857"/>
      <c r="J857"/>
    </row>
    <row r="858" spans="9:10">
      <c r="I858"/>
      <c r="J858"/>
    </row>
    <row r="859" spans="9:10">
      <c r="I859"/>
      <c r="J859"/>
    </row>
    <row r="860" spans="9:10">
      <c r="I860"/>
      <c r="J860"/>
    </row>
    <row r="861" spans="9:10">
      <c r="I861"/>
      <c r="J861"/>
    </row>
    <row r="862" spans="9:10">
      <c r="I862"/>
      <c r="J862"/>
    </row>
    <row r="863" spans="9:10">
      <c r="I863"/>
      <c r="J863"/>
    </row>
    <row r="864" spans="9:10">
      <c r="I864"/>
      <c r="J864"/>
    </row>
    <row r="865" spans="9:10">
      <c r="I865"/>
      <c r="J865"/>
    </row>
    <row r="866" spans="9:10">
      <c r="I866"/>
      <c r="J866"/>
    </row>
    <row r="867" spans="9:10">
      <c r="I867"/>
      <c r="J867"/>
    </row>
    <row r="868" spans="9:10">
      <c r="I868"/>
      <c r="J868"/>
    </row>
    <row r="869" spans="9:10">
      <c r="I869"/>
      <c r="J869"/>
    </row>
    <row r="870" spans="9:10">
      <c r="I870"/>
      <c r="J870"/>
    </row>
    <row r="871" spans="9:10">
      <c r="I871"/>
      <c r="J871"/>
    </row>
    <row r="872" spans="9:10">
      <c r="I872"/>
      <c r="J872"/>
    </row>
    <row r="873" spans="9:10">
      <c r="I873"/>
      <c r="J873"/>
    </row>
    <row r="874" spans="9:10">
      <c r="I874"/>
      <c r="J874"/>
    </row>
    <row r="875" spans="9:10">
      <c r="I875"/>
      <c r="J875"/>
    </row>
    <row r="876" spans="9:10">
      <c r="I876"/>
      <c r="J876"/>
    </row>
    <row r="877" spans="9:10">
      <c r="I877"/>
      <c r="J877"/>
    </row>
    <row r="878" spans="9:10">
      <c r="I878"/>
      <c r="J878"/>
    </row>
    <row r="879" spans="9:10">
      <c r="I879"/>
      <c r="J879"/>
    </row>
    <row r="880" spans="9:10">
      <c r="I880"/>
      <c r="J880"/>
    </row>
    <row r="881" spans="9:10">
      <c r="I881"/>
      <c r="J881"/>
    </row>
    <row r="882" spans="9:10">
      <c r="I882"/>
      <c r="J882"/>
    </row>
    <row r="883" spans="9:10">
      <c r="I883"/>
      <c r="J883"/>
    </row>
    <row r="884" spans="9:10">
      <c r="I884"/>
      <c r="J884"/>
    </row>
    <row r="885" spans="9:10">
      <c r="I885"/>
      <c r="J885"/>
    </row>
    <row r="886" spans="9:10">
      <c r="I886"/>
      <c r="J886"/>
    </row>
    <row r="887" spans="9:10">
      <c r="I887"/>
      <c r="J887"/>
    </row>
    <row r="888" spans="9:10">
      <c r="I888"/>
      <c r="J888"/>
    </row>
    <row r="889" spans="9:10">
      <c r="I889"/>
      <c r="J889"/>
    </row>
    <row r="890" spans="9:10">
      <c r="I890"/>
      <c r="J890"/>
    </row>
    <row r="891" spans="9:10">
      <c r="I891"/>
      <c r="J891"/>
    </row>
    <row r="892" spans="9:10">
      <c r="I892"/>
      <c r="J892"/>
    </row>
    <row r="893" spans="9:10">
      <c r="I893"/>
      <c r="J893"/>
    </row>
    <row r="894" spans="9:10">
      <c r="I894"/>
      <c r="J894"/>
    </row>
    <row r="895" spans="9:10">
      <c r="I895"/>
      <c r="J895"/>
    </row>
    <row r="896" spans="9:10">
      <c r="I896"/>
      <c r="J896"/>
    </row>
    <row r="897" spans="9:10">
      <c r="I897"/>
      <c r="J897"/>
    </row>
    <row r="898" spans="9:10">
      <c r="I898"/>
      <c r="J898"/>
    </row>
    <row r="899" spans="9:10">
      <c r="I899"/>
      <c r="J899"/>
    </row>
    <row r="900" spans="9:10">
      <c r="I900"/>
      <c r="J900"/>
    </row>
    <row r="901" spans="9:10">
      <c r="I901"/>
      <c r="J901"/>
    </row>
    <row r="902" spans="9:10">
      <c r="I902"/>
      <c r="J902"/>
    </row>
    <row r="903" spans="9:10">
      <c r="I903"/>
      <c r="J903"/>
    </row>
    <row r="904" spans="9:10">
      <c r="I904"/>
      <c r="J904"/>
    </row>
    <row r="905" spans="9:10">
      <c r="I905"/>
      <c r="J905"/>
    </row>
    <row r="906" spans="9:10">
      <c r="I906"/>
      <c r="J906"/>
    </row>
    <row r="907" spans="9:10">
      <c r="I907"/>
      <c r="J907"/>
    </row>
    <row r="908" spans="9:10">
      <c r="I908"/>
      <c r="J908"/>
    </row>
    <row r="909" spans="9:10">
      <c r="I909"/>
      <c r="J909"/>
    </row>
    <row r="910" spans="9:10">
      <c r="I910"/>
      <c r="J910"/>
    </row>
    <row r="911" spans="9:10">
      <c r="I911"/>
      <c r="J911"/>
    </row>
    <row r="912" spans="9:10">
      <c r="I912"/>
      <c r="J912"/>
    </row>
    <row r="913" spans="9:10">
      <c r="I913"/>
      <c r="J913"/>
    </row>
    <row r="914" spans="9:10">
      <c r="I914"/>
      <c r="J914"/>
    </row>
    <row r="915" spans="9:10">
      <c r="I915"/>
      <c r="J915"/>
    </row>
    <row r="916" spans="9:10">
      <c r="I916"/>
      <c r="J916"/>
    </row>
    <row r="917" spans="9:10">
      <c r="I917"/>
      <c r="J917"/>
    </row>
    <row r="918" spans="9:10">
      <c r="I918"/>
      <c r="J918"/>
    </row>
    <row r="919" spans="9:10">
      <c r="I919"/>
      <c r="J919"/>
    </row>
    <row r="920" spans="9:10">
      <c r="I920"/>
      <c r="J920"/>
    </row>
    <row r="921" spans="9:10">
      <c r="I921"/>
      <c r="J921"/>
    </row>
    <row r="922" spans="9:10">
      <c r="I922"/>
      <c r="J922"/>
    </row>
    <row r="923" spans="9:10">
      <c r="I923"/>
      <c r="J923"/>
    </row>
    <row r="924" spans="9:10">
      <c r="I924"/>
      <c r="J924"/>
    </row>
    <row r="925" spans="9:10">
      <c r="I925"/>
      <c r="J925"/>
    </row>
    <row r="926" spans="9:10">
      <c r="I926"/>
      <c r="J926"/>
    </row>
    <row r="927" spans="9:10">
      <c r="I927"/>
      <c r="J927"/>
    </row>
    <row r="928" spans="9:10">
      <c r="I928"/>
      <c r="J928"/>
    </row>
    <row r="929" spans="9:10">
      <c r="I929"/>
      <c r="J929"/>
    </row>
    <row r="930" spans="9:10">
      <c r="I930"/>
      <c r="J930"/>
    </row>
    <row r="931" spans="9:10">
      <c r="I931"/>
      <c r="J931"/>
    </row>
    <row r="932" spans="9:10">
      <c r="I932"/>
      <c r="J932"/>
    </row>
    <row r="933" spans="9:10">
      <c r="I933"/>
      <c r="J933"/>
    </row>
    <row r="934" spans="9:10">
      <c r="I934"/>
      <c r="J934"/>
    </row>
    <row r="935" spans="9:10">
      <c r="I935"/>
      <c r="J935"/>
    </row>
    <row r="936" spans="9:10">
      <c r="I936"/>
      <c r="J936"/>
    </row>
    <row r="937" spans="9:10">
      <c r="I937"/>
      <c r="J937"/>
    </row>
    <row r="938" spans="9:10">
      <c r="I938"/>
      <c r="J938"/>
    </row>
    <row r="939" spans="9:10">
      <c r="I939"/>
      <c r="J939"/>
    </row>
    <row r="940" spans="9:10">
      <c r="I940"/>
      <c r="J940"/>
    </row>
    <row r="941" spans="9:10">
      <c r="I941"/>
      <c r="J941"/>
    </row>
    <row r="942" spans="9:10">
      <c r="I942"/>
      <c r="J942"/>
    </row>
    <row r="943" spans="9:10">
      <c r="I943"/>
      <c r="J943"/>
    </row>
    <row r="944" spans="9:10">
      <c r="I944"/>
      <c r="J944"/>
    </row>
    <row r="945" spans="9:10">
      <c r="I945"/>
      <c r="J945"/>
    </row>
    <row r="946" spans="9:10">
      <c r="I946"/>
      <c r="J946"/>
    </row>
    <row r="947" spans="9:10">
      <c r="I947"/>
      <c r="J947"/>
    </row>
    <row r="948" spans="9:10">
      <c r="I948"/>
      <c r="J948"/>
    </row>
    <row r="949" spans="9:10">
      <c r="I949"/>
      <c r="J949"/>
    </row>
    <row r="950" spans="9:10">
      <c r="I950"/>
      <c r="J950"/>
    </row>
    <row r="951" spans="9:10">
      <c r="I951"/>
      <c r="J951"/>
    </row>
    <row r="952" spans="9:10">
      <c r="I952"/>
      <c r="J952"/>
    </row>
    <row r="953" spans="9:10">
      <c r="I953"/>
      <c r="J953"/>
    </row>
    <row r="954" spans="9:10">
      <c r="I954"/>
      <c r="J954"/>
    </row>
    <row r="955" spans="9:10">
      <c r="I955"/>
      <c r="J955"/>
    </row>
    <row r="956" spans="9:10">
      <c r="I956"/>
      <c r="J956"/>
    </row>
    <row r="957" spans="9:10">
      <c r="I957"/>
      <c r="J957"/>
    </row>
    <row r="958" spans="9:10">
      <c r="I958"/>
      <c r="J958"/>
    </row>
    <row r="959" spans="9:10">
      <c r="I959"/>
      <c r="J959"/>
    </row>
    <row r="960" spans="9:10">
      <c r="I960"/>
      <c r="J960"/>
    </row>
    <row r="961" spans="9:10">
      <c r="I961"/>
      <c r="J961"/>
    </row>
    <row r="962" spans="9:10">
      <c r="I962"/>
      <c r="J962"/>
    </row>
    <row r="963" spans="9:10">
      <c r="I963"/>
      <c r="J963"/>
    </row>
    <row r="964" spans="9:10">
      <c r="I964"/>
      <c r="J964"/>
    </row>
    <row r="965" spans="9:10">
      <c r="I965"/>
      <c r="J965"/>
    </row>
    <row r="966" spans="9:10">
      <c r="I966"/>
      <c r="J966"/>
    </row>
    <row r="967" spans="9:10">
      <c r="I967"/>
      <c r="J967"/>
    </row>
    <row r="968" spans="9:10">
      <c r="I968"/>
      <c r="J968"/>
    </row>
    <row r="969" spans="9:10">
      <c r="I969"/>
      <c r="J969"/>
    </row>
    <row r="970" spans="9:10">
      <c r="I970"/>
      <c r="J970"/>
    </row>
    <row r="971" spans="9:10">
      <c r="I971"/>
      <c r="J971"/>
    </row>
    <row r="972" spans="9:10">
      <c r="I972"/>
      <c r="J972"/>
    </row>
    <row r="973" spans="9:10">
      <c r="I973"/>
      <c r="J973"/>
    </row>
    <row r="974" spans="9:10">
      <c r="I974"/>
      <c r="J974"/>
    </row>
    <row r="975" spans="9:10">
      <c r="I975"/>
      <c r="J975"/>
    </row>
    <row r="976" spans="9:10">
      <c r="I976"/>
      <c r="J976"/>
    </row>
    <row r="977" spans="9:10">
      <c r="I977"/>
      <c r="J977"/>
    </row>
    <row r="978" spans="9:10">
      <c r="I978"/>
      <c r="J978"/>
    </row>
    <row r="979" spans="9:10">
      <c r="I979"/>
      <c r="J979"/>
    </row>
    <row r="980" spans="9:10">
      <c r="I980"/>
      <c r="J980"/>
    </row>
    <row r="981" spans="9:10">
      <c r="I981"/>
      <c r="J981"/>
    </row>
    <row r="982" spans="9:10">
      <c r="I982"/>
      <c r="J982"/>
    </row>
    <row r="983" spans="9:10">
      <c r="I983"/>
      <c r="J983"/>
    </row>
    <row r="984" spans="9:10">
      <c r="I984"/>
      <c r="J984"/>
    </row>
    <row r="985" spans="9:10">
      <c r="I985"/>
      <c r="J985"/>
    </row>
    <row r="986" spans="9:10">
      <c r="I986"/>
      <c r="J986"/>
    </row>
    <row r="987" spans="9:10">
      <c r="I987"/>
      <c r="J987"/>
    </row>
    <row r="988" spans="9:10">
      <c r="I988"/>
      <c r="J988"/>
    </row>
    <row r="989" spans="9:10">
      <c r="I989"/>
      <c r="J989"/>
    </row>
    <row r="990" spans="9:10">
      <c r="I990"/>
      <c r="J990"/>
    </row>
    <row r="991" spans="9:10">
      <c r="I991"/>
      <c r="J991"/>
    </row>
    <row r="992" spans="9:10">
      <c r="I992"/>
      <c r="J992"/>
    </row>
    <row r="993" spans="9:10">
      <c r="I993"/>
      <c r="J993"/>
    </row>
    <row r="994" spans="9:10">
      <c r="I994"/>
      <c r="J994"/>
    </row>
    <row r="995" spans="9:10">
      <c r="I995"/>
      <c r="J995"/>
    </row>
    <row r="996" spans="9:10">
      <c r="I996"/>
      <c r="J996"/>
    </row>
    <row r="997" spans="9:10">
      <c r="I997"/>
      <c r="J997"/>
    </row>
    <row r="998" spans="9:10">
      <c r="I998"/>
      <c r="J998"/>
    </row>
    <row r="999" spans="9:10">
      <c r="I999"/>
      <c r="J999"/>
    </row>
    <row r="1000" spans="9:10">
      <c r="I1000"/>
      <c r="J1000"/>
    </row>
    <row r="1001" spans="9:10">
      <c r="I1001"/>
      <c r="J1001"/>
    </row>
    <row r="1002" spans="9:10">
      <c r="I1002"/>
      <c r="J1002"/>
    </row>
    <row r="1003" spans="9:10">
      <c r="I1003"/>
      <c r="J1003"/>
    </row>
    <row r="1004" spans="9:10">
      <c r="I1004"/>
      <c r="J1004"/>
    </row>
    <row r="1005" spans="9:10">
      <c r="I1005"/>
      <c r="J1005"/>
    </row>
    <row r="1006" spans="9:10">
      <c r="I1006"/>
      <c r="J1006"/>
    </row>
    <row r="1007" spans="9:10">
      <c r="I1007"/>
      <c r="J1007"/>
    </row>
    <row r="1008" spans="9:10">
      <c r="I1008"/>
      <c r="J1008"/>
    </row>
    <row r="1009" spans="9:10">
      <c r="I1009"/>
      <c r="J1009"/>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44140625" style="14" customWidth="1"/>
    <col min="8" max="16384" width="8.88671875" style="16"/>
  </cols>
  <sheetData>
    <row r="2" spans="1:7">
      <c r="D2" s="66" t="s">
        <v>1281</v>
      </c>
      <c r="E2" s="67"/>
    </row>
    <row r="4" spans="1:7">
      <c r="A4" s="14" t="s">
        <v>1282</v>
      </c>
      <c r="B4" s="14" t="s">
        <v>1283</v>
      </c>
      <c r="C4" s="14" t="s">
        <v>1284</v>
      </c>
      <c r="D4" s="14" t="s">
        <v>1285</v>
      </c>
      <c r="E4" s="14" t="s">
        <v>1286</v>
      </c>
      <c r="F4" s="14" t="s">
        <v>1287</v>
      </c>
      <c r="G4" s="14" t="s">
        <v>1288</v>
      </c>
    </row>
  </sheetData>
  <autoFilter ref="A4:G1675" xr:uid="{40A19692-D842-4C28-989E-F405CE04BE98}"/>
  <sortState xmlns:xlrd2="http://schemas.microsoft.com/office/spreadsheetml/2017/richdata2" ref="A5:H2010">
    <sortCondition ref="D5:D2010"/>
  </sortState>
  <phoneticPr fontId="6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44140625" style="14" customWidth="1"/>
    <col min="10" max="16384" width="8.88671875" style="16"/>
  </cols>
  <sheetData>
    <row r="2" spans="1:9">
      <c r="F2" s="66" t="s">
        <v>1281</v>
      </c>
      <c r="G2" s="67"/>
    </row>
    <row r="4" spans="1:9" ht="28.8">
      <c r="A4" s="14" t="s">
        <v>1282</v>
      </c>
      <c r="B4" s="14" t="s">
        <v>1283</v>
      </c>
      <c r="C4" s="14" t="s">
        <v>1289</v>
      </c>
      <c r="D4" s="14" t="s">
        <v>1290</v>
      </c>
      <c r="E4" s="14" t="s">
        <v>1291</v>
      </c>
      <c r="F4" s="14" t="s">
        <v>1292</v>
      </c>
      <c r="G4" s="14" t="s">
        <v>1293</v>
      </c>
      <c r="H4" s="14" t="s">
        <v>1287</v>
      </c>
      <c r="I4" s="14" t="s">
        <v>1288</v>
      </c>
    </row>
  </sheetData>
  <autoFilter ref="A4:I10" xr:uid="{47DA7E70-79D5-4AF1-BEE4-5F8747C66CC6}"/>
  <phoneticPr fontId="6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D50"/>
  <sheetViews>
    <sheetView workbookViewId="0"/>
  </sheetViews>
  <sheetFormatPr defaultRowHeight="14.4"/>
  <sheetData>
    <row r="50" spans="4:4">
      <c r="D50" s="294"/>
    </row>
  </sheetData>
  <sortState xmlns:xlrd2="http://schemas.microsoft.com/office/spreadsheetml/2017/richdata2" ref="C1:C19">
    <sortCondition ref="C1:C19"/>
  </sortState>
  <phoneticPr fontId="6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workbookViewId="0">
      <selection activeCell="A26" sqref="A26:XFD26"/>
    </sheetView>
  </sheetViews>
  <sheetFormatPr defaultColWidth="8.6640625" defaultRowHeight="15.6"/>
  <cols>
    <col min="1" max="16384" width="8.6640625" style="21"/>
  </cols>
  <sheetData>
    <row r="2" spans="2:3">
      <c r="B2" s="21" t="s">
        <v>1294</v>
      </c>
    </row>
    <row r="3" spans="2:3">
      <c r="C3" s="21" t="s">
        <v>1295</v>
      </c>
    </row>
    <row r="4" spans="2:3">
      <c r="C4" s="21" t="s">
        <v>1296</v>
      </c>
    </row>
    <row r="5" spans="2:3">
      <c r="C5" s="21" t="s">
        <v>1297</v>
      </c>
    </row>
    <row r="6" spans="2:3">
      <c r="C6" s="21" t="s">
        <v>1298</v>
      </c>
    </row>
    <row r="7" spans="2:3">
      <c r="C7" s="21" t="s">
        <v>1299</v>
      </c>
    </row>
    <row r="8" spans="2:3">
      <c r="C8" s="21" t="s">
        <v>1300</v>
      </c>
    </row>
    <row r="9" spans="2:3">
      <c r="C9" s="21" t="s">
        <v>1301</v>
      </c>
    </row>
    <row r="10" spans="2:3">
      <c r="C10" s="21" t="s">
        <v>1302</v>
      </c>
    </row>
    <row r="11" spans="2:3">
      <c r="C11" s="21" t="s">
        <v>1303</v>
      </c>
    </row>
    <row r="13" spans="2:3">
      <c r="B13" s="21" t="s">
        <v>1304</v>
      </c>
    </row>
    <row r="14" spans="2:3">
      <c r="C14" s="21" t="s">
        <v>1305</v>
      </c>
    </row>
    <row r="15" spans="2:3">
      <c r="C15" s="22" t="s">
        <v>1306</v>
      </c>
    </row>
    <row r="16" spans="2:3">
      <c r="C16" s="22" t="s">
        <v>1307</v>
      </c>
    </row>
    <row r="17" spans="2:3">
      <c r="C17" s="21" t="s">
        <v>1308</v>
      </c>
    </row>
    <row r="18" spans="2:3">
      <c r="C18" s="22" t="s">
        <v>1309</v>
      </c>
    </row>
    <row r="19" spans="2:3">
      <c r="C19" s="22" t="s">
        <v>1310</v>
      </c>
    </row>
    <row r="20" spans="2:3">
      <c r="C20" s="21" t="s">
        <v>1311</v>
      </c>
    </row>
    <row r="21" spans="2:3">
      <c r="C21" s="21" t="s">
        <v>1312</v>
      </c>
    </row>
    <row r="22" spans="2:3">
      <c r="C22" s="21" t="s">
        <v>1313</v>
      </c>
    </row>
    <row r="25" spans="2:3">
      <c r="B25" s="21" t="s">
        <v>1314</v>
      </c>
    </row>
    <row r="26" spans="2:3">
      <c r="C26" s="23" t="s">
        <v>20</v>
      </c>
    </row>
    <row r="27" spans="2:3">
      <c r="C27" s="15" t="s">
        <v>19</v>
      </c>
    </row>
  </sheetData>
  <phoneticPr fontId="62"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4"/>
  <sheetViews>
    <sheetView workbookViewId="0">
      <selection activeCell="D5" sqref="D5"/>
    </sheetView>
  </sheetViews>
  <sheetFormatPr defaultColWidth="8.6640625" defaultRowHeight="14.4"/>
  <cols>
    <col min="1" max="21" width="8.6640625" style="27"/>
    <col min="22" max="22" width="8.6640625" style="27" hidden="1" customWidth="1"/>
    <col min="23" max="16384" width="8.6640625" style="27"/>
  </cols>
  <sheetData>
    <row r="2" spans="1:22" ht="93.6">
      <c r="A2" s="368" t="s">
        <v>1315</v>
      </c>
      <c r="B2" s="368" t="s">
        <v>1316</v>
      </c>
      <c r="C2" s="366" t="s">
        <v>1317</v>
      </c>
      <c r="D2" s="366"/>
      <c r="E2" s="367" t="s">
        <v>1318</v>
      </c>
      <c r="F2" s="367"/>
      <c r="G2" s="366" t="s">
        <v>1319</v>
      </c>
      <c r="H2" s="366"/>
      <c r="I2" s="366"/>
      <c r="J2" s="366"/>
      <c r="K2" s="367" t="s">
        <v>1320</v>
      </c>
      <c r="L2" s="367"/>
      <c r="M2" s="367"/>
      <c r="N2" s="24" t="s">
        <v>1321</v>
      </c>
      <c r="O2" s="25" t="s">
        <v>1322</v>
      </c>
      <c r="P2" s="366" t="s">
        <v>1323</v>
      </c>
      <c r="Q2" s="366"/>
      <c r="R2" s="366"/>
      <c r="S2" s="367" t="s">
        <v>1324</v>
      </c>
      <c r="T2" s="367"/>
      <c r="U2" s="367"/>
      <c r="V2" s="26" t="s">
        <v>1325</v>
      </c>
    </row>
    <row r="3" spans="1:22" ht="15.6">
      <c r="A3" s="368"/>
      <c r="B3" s="368"/>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65" t="s">
        <v>1346</v>
      </c>
      <c r="B4" s="30" t="s">
        <v>27</v>
      </c>
      <c r="C4" s="31" t="s">
        <v>1347</v>
      </c>
      <c r="D4" s="31" t="s">
        <v>1347</v>
      </c>
      <c r="E4" s="31" t="s">
        <v>1347</v>
      </c>
      <c r="F4" s="31" t="s">
        <v>1347</v>
      </c>
      <c r="G4" s="31" t="s">
        <v>1347</v>
      </c>
      <c r="H4" s="31" t="s">
        <v>1347</v>
      </c>
      <c r="I4" s="31" t="s">
        <v>1347</v>
      </c>
      <c r="J4" s="31" t="s">
        <v>1347</v>
      </c>
      <c r="K4" s="31" t="s">
        <v>1347</v>
      </c>
      <c r="L4" s="31" t="s">
        <v>1347</v>
      </c>
      <c r="M4" s="31" t="s">
        <v>1347</v>
      </c>
      <c r="N4" s="31" t="s">
        <v>1347</v>
      </c>
      <c r="O4" s="31" t="s">
        <v>1347</v>
      </c>
      <c r="P4" s="31" t="s">
        <v>1347</v>
      </c>
      <c r="Q4" s="31" t="s">
        <v>1347</v>
      </c>
      <c r="R4" s="31" t="s">
        <v>1347</v>
      </c>
      <c r="S4" s="31" t="s">
        <v>1347</v>
      </c>
      <c r="T4" s="31" t="s">
        <v>1347</v>
      </c>
      <c r="U4" s="31" t="s">
        <v>1347</v>
      </c>
      <c r="V4" s="32" t="s">
        <v>1348</v>
      </c>
    </row>
    <row r="5" spans="1:22" ht="15.6">
      <c r="A5" s="365"/>
      <c r="B5" s="29">
        <v>1.1000000000000001</v>
      </c>
      <c r="C5" s="33" t="s">
        <v>1349</v>
      </c>
      <c r="D5" s="33" t="s">
        <v>1349</v>
      </c>
      <c r="E5" s="33" t="s">
        <v>1349</v>
      </c>
      <c r="F5" s="33" t="s">
        <v>1349</v>
      </c>
      <c r="G5" s="33" t="s">
        <v>1349</v>
      </c>
      <c r="H5" s="33" t="s">
        <v>1349</v>
      </c>
      <c r="I5" s="33" t="s">
        <v>1349</v>
      </c>
      <c r="J5" s="33" t="s">
        <v>1349</v>
      </c>
      <c r="K5" s="33" t="s">
        <v>1349</v>
      </c>
      <c r="L5" s="33" t="s">
        <v>1349</v>
      </c>
      <c r="M5" s="33" t="s">
        <v>1349</v>
      </c>
      <c r="N5" s="33" t="s">
        <v>1349</v>
      </c>
      <c r="O5" s="33" t="s">
        <v>1349</v>
      </c>
      <c r="P5" s="33" t="s">
        <v>1349</v>
      </c>
      <c r="Q5" s="33" t="s">
        <v>1349</v>
      </c>
      <c r="R5" s="33" t="s">
        <v>1349</v>
      </c>
      <c r="S5" s="33" t="s">
        <v>1349</v>
      </c>
      <c r="T5" s="33" t="s">
        <v>1349</v>
      </c>
      <c r="U5" s="33" t="s">
        <v>1349</v>
      </c>
      <c r="V5" s="32" t="s">
        <v>1198</v>
      </c>
    </row>
    <row r="6" spans="1:22" ht="15.6">
      <c r="A6" s="365"/>
      <c r="B6" s="29">
        <v>1.2</v>
      </c>
      <c r="C6" s="33"/>
      <c r="D6" s="33"/>
      <c r="E6" s="33"/>
      <c r="F6" s="33"/>
      <c r="G6" s="33"/>
      <c r="H6" s="33" t="s">
        <v>1349</v>
      </c>
      <c r="I6" s="33"/>
      <c r="J6" s="33"/>
      <c r="K6" s="33" t="s">
        <v>1349</v>
      </c>
      <c r="L6" s="33"/>
      <c r="M6" s="33" t="s">
        <v>1349</v>
      </c>
      <c r="N6" s="33"/>
      <c r="O6" s="33"/>
      <c r="P6" s="33" t="s">
        <v>1349</v>
      </c>
      <c r="Q6" s="33" t="s">
        <v>1349</v>
      </c>
      <c r="R6" s="33"/>
      <c r="S6" s="33"/>
      <c r="T6" s="33" t="s">
        <v>1349</v>
      </c>
      <c r="U6" s="33"/>
      <c r="V6" s="32" t="s">
        <v>1195</v>
      </c>
    </row>
    <row r="7" spans="1:22" ht="15.6">
      <c r="A7" s="365"/>
      <c r="B7" s="29">
        <v>1.3</v>
      </c>
      <c r="C7" s="33"/>
      <c r="D7" s="33"/>
      <c r="E7" s="33"/>
      <c r="F7" s="33"/>
      <c r="G7" s="33"/>
      <c r="H7" s="33"/>
      <c r="I7" s="33"/>
      <c r="J7" s="33"/>
      <c r="K7" s="33" t="s">
        <v>1349</v>
      </c>
      <c r="L7" s="33"/>
      <c r="M7" s="33"/>
      <c r="N7" s="33"/>
      <c r="O7" s="33"/>
      <c r="P7" s="33"/>
      <c r="Q7" s="33"/>
      <c r="R7" s="33"/>
      <c r="S7" s="33"/>
      <c r="T7" s="33"/>
      <c r="U7" s="33"/>
      <c r="V7" s="32" t="s">
        <v>1192</v>
      </c>
    </row>
    <row r="8" spans="1:22" ht="15.6">
      <c r="A8" s="365" t="s">
        <v>28</v>
      </c>
      <c r="B8" s="30" t="s">
        <v>28</v>
      </c>
      <c r="C8" s="31" t="s">
        <v>1347</v>
      </c>
      <c r="D8" s="31" t="s">
        <v>1347</v>
      </c>
      <c r="E8" s="31" t="s">
        <v>1347</v>
      </c>
      <c r="F8" s="31" t="s">
        <v>1347</v>
      </c>
      <c r="G8" s="31" t="s">
        <v>1347</v>
      </c>
      <c r="H8" s="31" t="s">
        <v>1347</v>
      </c>
      <c r="I8" s="31" t="s">
        <v>1347</v>
      </c>
      <c r="J8" s="31" t="s">
        <v>1347</v>
      </c>
      <c r="K8" s="31" t="s">
        <v>1347</v>
      </c>
      <c r="L8" s="31" t="s">
        <v>1347</v>
      </c>
      <c r="M8" s="31" t="s">
        <v>1347</v>
      </c>
      <c r="N8" s="31" t="s">
        <v>1347</v>
      </c>
      <c r="O8" s="31" t="s">
        <v>1347</v>
      </c>
      <c r="P8" s="31" t="s">
        <v>1347</v>
      </c>
      <c r="Q8" s="31" t="s">
        <v>1347</v>
      </c>
      <c r="R8" s="31" t="s">
        <v>1347</v>
      </c>
      <c r="S8" s="31" t="s">
        <v>1347</v>
      </c>
      <c r="T8" s="31" t="s">
        <v>1347</v>
      </c>
      <c r="U8" s="31" t="s">
        <v>1347</v>
      </c>
      <c r="V8" s="32"/>
    </row>
    <row r="9" spans="1:22" ht="15.6">
      <c r="A9" s="365"/>
      <c r="B9" s="29">
        <v>2.1</v>
      </c>
      <c r="C9" s="33" t="s">
        <v>1349</v>
      </c>
      <c r="D9" s="33" t="s">
        <v>1349</v>
      </c>
      <c r="E9" s="33" t="s">
        <v>1349</v>
      </c>
      <c r="F9" s="33" t="s">
        <v>1349</v>
      </c>
      <c r="G9" s="33" t="s">
        <v>1349</v>
      </c>
      <c r="H9" s="33" t="s">
        <v>1349</v>
      </c>
      <c r="I9" s="33" t="s">
        <v>1349</v>
      </c>
      <c r="J9" s="33" t="s">
        <v>1349</v>
      </c>
      <c r="K9" s="33" t="s">
        <v>1349</v>
      </c>
      <c r="L9" s="33" t="s">
        <v>1349</v>
      </c>
      <c r="M9" s="33" t="s">
        <v>1349</v>
      </c>
      <c r="N9" s="33" t="s">
        <v>1349</v>
      </c>
      <c r="O9" s="33" t="s">
        <v>1349</v>
      </c>
      <c r="P9" s="33" t="s">
        <v>1349</v>
      </c>
      <c r="Q9" s="33" t="s">
        <v>1349</v>
      </c>
      <c r="R9" s="33" t="s">
        <v>1349</v>
      </c>
      <c r="S9" s="33" t="s">
        <v>1349</v>
      </c>
      <c r="T9" s="33" t="s">
        <v>1349</v>
      </c>
      <c r="U9" s="33" t="s">
        <v>1349</v>
      </c>
      <c r="V9" s="32" t="s">
        <v>1198</v>
      </c>
    </row>
    <row r="10" spans="1:22" ht="15.6">
      <c r="A10" s="365"/>
      <c r="B10" s="29">
        <v>2.2000000000000002</v>
      </c>
      <c r="C10" s="33" t="s">
        <v>1349</v>
      </c>
      <c r="D10" s="33" t="s">
        <v>1349</v>
      </c>
      <c r="E10" s="33" t="s">
        <v>1349</v>
      </c>
      <c r="F10" s="33" t="s">
        <v>1349</v>
      </c>
      <c r="G10" s="33" t="s">
        <v>1349</v>
      </c>
      <c r="H10" s="33" t="s">
        <v>1349</v>
      </c>
      <c r="I10" s="33" t="s">
        <v>1349</v>
      </c>
      <c r="J10" s="33" t="s">
        <v>1349</v>
      </c>
      <c r="K10" s="33" t="s">
        <v>1349</v>
      </c>
      <c r="L10" s="33" t="s">
        <v>1349</v>
      </c>
      <c r="M10" s="33" t="s">
        <v>1349</v>
      </c>
      <c r="N10" s="33" t="s">
        <v>1349</v>
      </c>
      <c r="O10" s="33" t="s">
        <v>1349</v>
      </c>
      <c r="P10" s="33" t="s">
        <v>1349</v>
      </c>
      <c r="Q10" s="33" t="s">
        <v>1349</v>
      </c>
      <c r="R10" s="33" t="s">
        <v>1349</v>
      </c>
      <c r="S10" s="33" t="s">
        <v>1349</v>
      </c>
      <c r="T10" s="33" t="s">
        <v>1349</v>
      </c>
      <c r="U10" s="33" t="s">
        <v>1349</v>
      </c>
      <c r="V10" s="32" t="s">
        <v>1198</v>
      </c>
    </row>
    <row r="11" spans="1:22" ht="15.6">
      <c r="A11" s="365"/>
      <c r="B11" s="29">
        <v>2.2999999999999998</v>
      </c>
      <c r="C11" s="33" t="s">
        <v>1349</v>
      </c>
      <c r="D11" s="33"/>
      <c r="E11" s="33" t="s">
        <v>1349</v>
      </c>
      <c r="F11" s="33" t="s">
        <v>1349</v>
      </c>
      <c r="G11" s="33" t="s">
        <v>1349</v>
      </c>
      <c r="H11" s="33" t="s">
        <v>1349</v>
      </c>
      <c r="I11" s="33" t="s">
        <v>1349</v>
      </c>
      <c r="J11" s="33" t="s">
        <v>1349</v>
      </c>
      <c r="K11" s="33"/>
      <c r="L11" s="33" t="s">
        <v>1349</v>
      </c>
      <c r="M11" s="33" t="s">
        <v>1349</v>
      </c>
      <c r="N11" s="33"/>
      <c r="O11" s="33"/>
      <c r="P11" s="33" t="s">
        <v>1349</v>
      </c>
      <c r="Q11" s="33" t="s">
        <v>1349</v>
      </c>
      <c r="R11" s="33" t="s">
        <v>1349</v>
      </c>
      <c r="S11" s="33"/>
      <c r="T11" s="33" t="s">
        <v>1349</v>
      </c>
      <c r="U11" s="33" t="s">
        <v>1349</v>
      </c>
      <c r="V11" s="32" t="s">
        <v>1189</v>
      </c>
    </row>
    <row r="12" spans="1:22" ht="15.6">
      <c r="A12" s="365"/>
      <c r="B12" s="29">
        <v>2.4</v>
      </c>
      <c r="C12" s="33" t="s">
        <v>1349</v>
      </c>
      <c r="D12" s="33"/>
      <c r="E12" s="33"/>
      <c r="F12" s="33" t="s">
        <v>1349</v>
      </c>
      <c r="G12" s="33" t="s">
        <v>1349</v>
      </c>
      <c r="H12" s="33"/>
      <c r="I12" s="33" t="s">
        <v>1349</v>
      </c>
      <c r="J12" s="33" t="s">
        <v>1349</v>
      </c>
      <c r="K12" s="33"/>
      <c r="L12" s="33"/>
      <c r="M12" s="33" t="s">
        <v>1349</v>
      </c>
      <c r="N12" s="33"/>
      <c r="O12" s="33"/>
      <c r="P12" s="33" t="s">
        <v>1349</v>
      </c>
      <c r="Q12" s="33" t="s">
        <v>1349</v>
      </c>
      <c r="R12" s="33"/>
      <c r="S12" s="33"/>
      <c r="T12" s="33" t="s">
        <v>1349</v>
      </c>
      <c r="U12" s="33" t="s">
        <v>1349</v>
      </c>
      <c r="V12" s="32" t="s">
        <v>1192</v>
      </c>
    </row>
    <row r="13" spans="1:22" ht="15.6">
      <c r="A13" s="365"/>
      <c r="B13" s="29">
        <v>2.5</v>
      </c>
      <c r="C13" s="33"/>
      <c r="D13" s="33"/>
      <c r="E13" s="33"/>
      <c r="F13" s="33" t="s">
        <v>1349</v>
      </c>
      <c r="G13" s="33"/>
      <c r="H13" s="33"/>
      <c r="I13" s="33"/>
      <c r="J13" s="33" t="s">
        <v>1349</v>
      </c>
      <c r="K13" s="33"/>
      <c r="L13" s="33"/>
      <c r="M13" s="33" t="s">
        <v>1349</v>
      </c>
      <c r="N13" s="33"/>
      <c r="O13" s="33"/>
      <c r="P13" s="33"/>
      <c r="Q13" s="33" t="s">
        <v>1349</v>
      </c>
      <c r="R13" s="33"/>
      <c r="S13" s="33"/>
      <c r="T13" s="33" t="s">
        <v>1349</v>
      </c>
      <c r="U13" s="33" t="s">
        <v>1349</v>
      </c>
      <c r="V13" s="32"/>
    </row>
    <row r="14" spans="1:22" ht="15.6">
      <c r="A14" s="365"/>
      <c r="B14" s="29">
        <v>2.6</v>
      </c>
      <c r="C14" s="33"/>
      <c r="D14" s="33"/>
      <c r="E14" s="33"/>
      <c r="F14" s="33" t="s">
        <v>1349</v>
      </c>
      <c r="G14" s="33"/>
      <c r="H14" s="33"/>
      <c r="I14" s="33"/>
      <c r="J14" s="33" t="s">
        <v>1349</v>
      </c>
      <c r="K14" s="33"/>
      <c r="L14" s="33"/>
      <c r="M14" s="33" t="s">
        <v>1349</v>
      </c>
      <c r="N14" s="33"/>
      <c r="O14" s="33"/>
      <c r="P14" s="33"/>
      <c r="Q14" s="33" t="s">
        <v>1349</v>
      </c>
      <c r="R14" s="33"/>
      <c r="S14" s="33"/>
      <c r="T14" s="33"/>
      <c r="U14" s="33" t="s">
        <v>1349</v>
      </c>
      <c r="V14" s="32"/>
    </row>
    <row r="15" spans="1:22" ht="15.6">
      <c r="A15" s="365"/>
      <c r="B15" s="29">
        <v>2.7</v>
      </c>
      <c r="C15" s="33"/>
      <c r="D15" s="33"/>
      <c r="E15" s="33"/>
      <c r="F15" s="33"/>
      <c r="G15" s="33"/>
      <c r="H15" s="33"/>
      <c r="I15" s="33"/>
      <c r="J15" s="33"/>
      <c r="K15" s="33"/>
      <c r="L15" s="33"/>
      <c r="M15" s="33"/>
      <c r="N15" s="33"/>
      <c r="O15" s="33"/>
      <c r="P15" s="33"/>
      <c r="Q15" s="33" t="s">
        <v>1349</v>
      </c>
      <c r="R15" s="33"/>
      <c r="S15" s="33"/>
      <c r="T15" s="33"/>
      <c r="U15" s="33"/>
      <c r="V15" s="32"/>
    </row>
    <row r="16" spans="1:22" ht="15.6">
      <c r="A16" s="365"/>
      <c r="B16" s="29">
        <v>2.8</v>
      </c>
      <c r="C16" s="33"/>
      <c r="D16" s="33"/>
      <c r="E16" s="33"/>
      <c r="F16" s="33"/>
      <c r="G16" s="33"/>
      <c r="H16" s="33"/>
      <c r="I16" s="33"/>
      <c r="J16" s="33"/>
      <c r="K16" s="33"/>
      <c r="L16" s="33"/>
      <c r="M16" s="33"/>
      <c r="N16" s="33"/>
      <c r="O16" s="33"/>
      <c r="P16" s="33"/>
      <c r="Q16" s="33" t="s">
        <v>1349</v>
      </c>
      <c r="R16" s="33"/>
      <c r="S16" s="33"/>
      <c r="T16" s="33"/>
      <c r="U16" s="33"/>
      <c r="V16" s="32"/>
    </row>
    <row r="17" spans="1:22" ht="15.6">
      <c r="A17" s="365" t="s">
        <v>29</v>
      </c>
      <c r="B17" s="30" t="s">
        <v>29</v>
      </c>
      <c r="C17" s="31" t="s">
        <v>1347</v>
      </c>
      <c r="D17" s="31" t="s">
        <v>1347</v>
      </c>
      <c r="E17" s="31" t="s">
        <v>1347</v>
      </c>
      <c r="F17" s="31" t="s">
        <v>1347</v>
      </c>
      <c r="G17" s="31" t="s">
        <v>1347</v>
      </c>
      <c r="H17" s="31" t="s">
        <v>1347</v>
      </c>
      <c r="I17" s="31" t="s">
        <v>1347</v>
      </c>
      <c r="J17" s="31" t="s">
        <v>1347</v>
      </c>
      <c r="K17" s="31" t="s">
        <v>1347</v>
      </c>
      <c r="L17" s="31" t="s">
        <v>1347</v>
      </c>
      <c r="M17" s="31" t="s">
        <v>1347</v>
      </c>
      <c r="N17" s="31" t="s">
        <v>1347</v>
      </c>
      <c r="O17" s="31" t="s">
        <v>1347</v>
      </c>
      <c r="P17" s="31" t="s">
        <v>1347</v>
      </c>
      <c r="Q17" s="31" t="s">
        <v>1347</v>
      </c>
      <c r="R17" s="31" t="s">
        <v>1347</v>
      </c>
      <c r="S17" s="31" t="s">
        <v>1347</v>
      </c>
      <c r="T17" s="31" t="s">
        <v>1347</v>
      </c>
      <c r="U17" s="33"/>
      <c r="V17" s="32"/>
    </row>
    <row r="18" spans="1:22" ht="15.6">
      <c r="A18" s="365"/>
      <c r="B18" s="29">
        <v>3.1</v>
      </c>
      <c r="C18" s="33" t="s">
        <v>1349</v>
      </c>
      <c r="D18" s="33" t="s">
        <v>1349</v>
      </c>
      <c r="E18" s="33" t="s">
        <v>1349</v>
      </c>
      <c r="F18" s="33" t="s">
        <v>1349</v>
      </c>
      <c r="G18" s="33" t="s">
        <v>1349</v>
      </c>
      <c r="H18" s="33" t="s">
        <v>1349</v>
      </c>
      <c r="I18" s="33" t="s">
        <v>1349</v>
      </c>
      <c r="J18" s="33" t="s">
        <v>1349</v>
      </c>
      <c r="K18" s="33" t="s">
        <v>1349</v>
      </c>
      <c r="L18" s="33" t="s">
        <v>1349</v>
      </c>
      <c r="M18" s="33" t="s">
        <v>1349</v>
      </c>
      <c r="N18" s="33" t="s">
        <v>1349</v>
      </c>
      <c r="O18" s="33" t="s">
        <v>1349</v>
      </c>
      <c r="P18" s="33" t="s">
        <v>1349</v>
      </c>
      <c r="Q18" s="33" t="s">
        <v>1349</v>
      </c>
      <c r="R18" s="33" t="s">
        <v>1349</v>
      </c>
      <c r="S18" s="33" t="s">
        <v>1349</v>
      </c>
      <c r="T18" s="33" t="s">
        <v>1349</v>
      </c>
      <c r="U18" s="33"/>
      <c r="V18" s="32" t="s">
        <v>1198</v>
      </c>
    </row>
    <row r="19" spans="1:22" ht="15.6">
      <c r="A19" s="365"/>
      <c r="B19" s="29">
        <v>3.2</v>
      </c>
      <c r="C19" s="33" t="s">
        <v>1349</v>
      </c>
      <c r="D19" s="33" t="s">
        <v>1349</v>
      </c>
      <c r="E19" s="33" t="s">
        <v>1349</v>
      </c>
      <c r="F19" s="33" t="s">
        <v>1349</v>
      </c>
      <c r="G19" s="33"/>
      <c r="H19" s="33" t="s">
        <v>1349</v>
      </c>
      <c r="I19" s="33"/>
      <c r="J19" s="33" t="s">
        <v>1349</v>
      </c>
      <c r="K19" s="33" t="s">
        <v>1349</v>
      </c>
      <c r="L19" s="33" t="s">
        <v>1349</v>
      </c>
      <c r="M19" s="33" t="s">
        <v>1349</v>
      </c>
      <c r="N19" s="33" t="s">
        <v>1349</v>
      </c>
      <c r="O19" s="33" t="s">
        <v>1349</v>
      </c>
      <c r="P19" s="33" t="s">
        <v>1349</v>
      </c>
      <c r="Q19" s="33" t="s">
        <v>1349</v>
      </c>
      <c r="R19" s="33" t="s">
        <v>1349</v>
      </c>
      <c r="S19" s="33" t="s">
        <v>1349</v>
      </c>
      <c r="T19" s="33"/>
      <c r="U19" s="33"/>
      <c r="V19" s="32" t="s">
        <v>1198</v>
      </c>
    </row>
    <row r="20" spans="1:22" ht="15.6">
      <c r="A20" s="365"/>
      <c r="B20" s="29">
        <v>3.3</v>
      </c>
      <c r="C20" s="33"/>
      <c r="D20" s="33" t="s">
        <v>1349</v>
      </c>
      <c r="E20" s="33" t="s">
        <v>1349</v>
      </c>
      <c r="F20" s="33" t="s">
        <v>1349</v>
      </c>
      <c r="G20" s="33"/>
      <c r="H20" s="33"/>
      <c r="I20" s="33"/>
      <c r="J20" s="33" t="s">
        <v>1349</v>
      </c>
      <c r="K20" s="33" t="s">
        <v>1349</v>
      </c>
      <c r="L20" s="33" t="s">
        <v>1349</v>
      </c>
      <c r="M20" s="33" t="s">
        <v>1349</v>
      </c>
      <c r="N20" s="33" t="s">
        <v>1349</v>
      </c>
      <c r="O20" s="33" t="s">
        <v>1349</v>
      </c>
      <c r="P20" s="33" t="s">
        <v>1349</v>
      </c>
      <c r="Q20" s="33" t="s">
        <v>1349</v>
      </c>
      <c r="R20" s="33"/>
      <c r="S20" s="33" t="s">
        <v>1349</v>
      </c>
      <c r="T20" s="33"/>
      <c r="U20" s="33"/>
      <c r="V20" s="32"/>
    </row>
    <row r="21" spans="1:22" ht="15.6">
      <c r="A21" s="365"/>
      <c r="B21" s="29">
        <v>3.4</v>
      </c>
      <c r="C21" s="33"/>
      <c r="D21" s="33"/>
      <c r="E21" s="33" t="s">
        <v>1349</v>
      </c>
      <c r="F21" s="33"/>
      <c r="G21" s="33"/>
      <c r="H21" s="33"/>
      <c r="I21" s="33"/>
      <c r="J21" s="33" t="s">
        <v>1349</v>
      </c>
      <c r="K21" s="33" t="s">
        <v>1349</v>
      </c>
      <c r="L21" s="33" t="s">
        <v>1349</v>
      </c>
      <c r="M21" s="33" t="s">
        <v>1349</v>
      </c>
      <c r="N21" s="33" t="s">
        <v>1349</v>
      </c>
      <c r="O21" s="33" t="s">
        <v>1349</v>
      </c>
      <c r="P21" s="33" t="s">
        <v>1349</v>
      </c>
      <c r="Q21" s="33" t="s">
        <v>1349</v>
      </c>
      <c r="R21" s="33"/>
      <c r="S21" s="33" t="s">
        <v>1349</v>
      </c>
      <c r="T21" s="33"/>
      <c r="U21" s="33"/>
      <c r="V21" s="32"/>
    </row>
    <row r="22" spans="1:22" ht="15.6">
      <c r="A22" s="365"/>
      <c r="B22" s="29">
        <v>3.5</v>
      </c>
      <c r="C22" s="33"/>
      <c r="D22" s="33"/>
      <c r="E22" s="33" t="s">
        <v>1349</v>
      </c>
      <c r="F22" s="33"/>
      <c r="G22" s="33"/>
      <c r="H22" s="33"/>
      <c r="I22" s="33"/>
      <c r="J22" s="33" t="s">
        <v>1349</v>
      </c>
      <c r="K22" s="33" t="s">
        <v>1349</v>
      </c>
      <c r="L22" s="33" t="s">
        <v>1349</v>
      </c>
      <c r="M22" s="33" t="s">
        <v>1349</v>
      </c>
      <c r="N22" s="33" t="s">
        <v>1349</v>
      </c>
      <c r="O22" s="33" t="s">
        <v>1349</v>
      </c>
      <c r="P22" s="33"/>
      <c r="Q22" s="33"/>
      <c r="R22" s="33"/>
      <c r="S22" s="33" t="s">
        <v>1349</v>
      </c>
      <c r="T22" s="33"/>
      <c r="U22" s="33"/>
      <c r="V22" s="32"/>
    </row>
    <row r="23" spans="1:22" ht="15.6">
      <c r="A23" s="365"/>
      <c r="B23" s="29">
        <v>3.6</v>
      </c>
      <c r="C23" s="33"/>
      <c r="D23" s="33"/>
      <c r="E23" s="33" t="s">
        <v>1349</v>
      </c>
      <c r="F23" s="33"/>
      <c r="G23" s="33"/>
      <c r="H23" s="33"/>
      <c r="I23" s="33"/>
      <c r="J23" s="33" t="s">
        <v>1349</v>
      </c>
      <c r="K23" s="33" t="s">
        <v>1349</v>
      </c>
      <c r="L23" s="33" t="s">
        <v>1349</v>
      </c>
      <c r="M23" s="33" t="s">
        <v>1349</v>
      </c>
      <c r="N23" s="33"/>
      <c r="O23" s="33" t="s">
        <v>1349</v>
      </c>
      <c r="P23" s="33"/>
      <c r="Q23" s="33"/>
      <c r="R23" s="33"/>
      <c r="S23" s="33"/>
      <c r="T23" s="33"/>
      <c r="U23" s="33"/>
      <c r="V23" s="32"/>
    </row>
    <row r="24" spans="1:22" ht="15.6">
      <c r="A24" s="365"/>
      <c r="B24" s="29">
        <v>3.7</v>
      </c>
      <c r="C24" s="33"/>
      <c r="D24" s="33"/>
      <c r="E24" s="33"/>
      <c r="F24" s="33"/>
      <c r="G24" s="33"/>
      <c r="H24" s="33"/>
      <c r="I24" s="33"/>
      <c r="J24" s="33" t="s">
        <v>1349</v>
      </c>
      <c r="K24" s="33"/>
      <c r="L24" s="33" t="s">
        <v>1349</v>
      </c>
      <c r="M24" s="33"/>
      <c r="N24" s="33"/>
      <c r="O24" s="33"/>
      <c r="P24" s="33"/>
      <c r="Q24" s="33"/>
      <c r="R24" s="33"/>
      <c r="S24" s="33"/>
      <c r="T24" s="33"/>
      <c r="U24" s="33"/>
      <c r="V24" s="32"/>
    </row>
    <row r="25" spans="1:22" ht="15.6">
      <c r="A25" s="365" t="s">
        <v>1350</v>
      </c>
      <c r="B25" s="30" t="s">
        <v>371</v>
      </c>
      <c r="C25" s="31" t="s">
        <v>1347</v>
      </c>
      <c r="D25" s="33"/>
      <c r="E25" s="33"/>
      <c r="F25" s="33"/>
      <c r="G25" s="33"/>
      <c r="H25" s="33"/>
      <c r="I25" s="33"/>
      <c r="J25" s="33"/>
      <c r="K25" s="31" t="s">
        <v>1347</v>
      </c>
      <c r="L25" s="33"/>
      <c r="M25" s="31" t="s">
        <v>1347</v>
      </c>
      <c r="N25" s="33"/>
      <c r="O25" s="33"/>
      <c r="P25" s="33"/>
      <c r="Q25" s="31" t="s">
        <v>1347</v>
      </c>
      <c r="R25" s="33"/>
      <c r="S25" s="31" t="s">
        <v>1347</v>
      </c>
      <c r="T25" s="33"/>
      <c r="U25" s="33"/>
      <c r="V25" s="32"/>
    </row>
    <row r="26" spans="1:22" ht="15.6">
      <c r="A26" s="365"/>
      <c r="B26" s="29">
        <v>4.0999999999999996</v>
      </c>
      <c r="C26" s="33" t="s">
        <v>1349</v>
      </c>
      <c r="D26" s="33"/>
      <c r="E26" s="33"/>
      <c r="F26" s="33"/>
      <c r="G26" s="33"/>
      <c r="H26" s="33"/>
      <c r="I26" s="33"/>
      <c r="J26" s="33"/>
      <c r="K26" s="33" t="s">
        <v>1349</v>
      </c>
      <c r="L26" s="33"/>
      <c r="M26" s="33" t="s">
        <v>1349</v>
      </c>
      <c r="N26" s="33"/>
      <c r="O26" s="33"/>
      <c r="P26" s="33"/>
      <c r="Q26" s="33" t="s">
        <v>1349</v>
      </c>
      <c r="R26" s="33"/>
      <c r="S26" s="33" t="s">
        <v>1349</v>
      </c>
      <c r="T26" s="33"/>
      <c r="U26" s="33"/>
      <c r="V26" s="32" t="s">
        <v>1198</v>
      </c>
    </row>
    <row r="27" spans="1:22" ht="15.6">
      <c r="A27" s="365"/>
      <c r="B27" s="29">
        <v>4.2</v>
      </c>
      <c r="C27" s="33"/>
      <c r="D27" s="33"/>
      <c r="E27" s="33"/>
      <c r="F27" s="33"/>
      <c r="G27" s="33"/>
      <c r="H27" s="33"/>
      <c r="I27" s="33"/>
      <c r="J27" s="33"/>
      <c r="K27" s="33"/>
      <c r="L27" s="33"/>
      <c r="M27" s="33" t="s">
        <v>1349</v>
      </c>
      <c r="N27" s="33"/>
      <c r="O27" s="33"/>
      <c r="P27" s="33"/>
      <c r="Q27" s="33"/>
      <c r="R27" s="33"/>
      <c r="S27" s="33" t="s">
        <v>1349</v>
      </c>
      <c r="T27" s="33"/>
      <c r="U27" s="33"/>
      <c r="V27" s="32"/>
    </row>
    <row r="28" spans="1:22" ht="15.6">
      <c r="A28" s="365"/>
      <c r="B28" s="29">
        <v>4.3</v>
      </c>
      <c r="C28" s="33"/>
      <c r="D28" s="33"/>
      <c r="E28" s="33"/>
      <c r="F28" s="33"/>
      <c r="G28" s="33"/>
      <c r="H28" s="33"/>
      <c r="I28" s="33"/>
      <c r="J28" s="33"/>
      <c r="K28" s="33"/>
      <c r="L28" s="33"/>
      <c r="M28" s="33" t="s">
        <v>1349</v>
      </c>
      <c r="N28" s="33"/>
      <c r="O28" s="33"/>
      <c r="P28" s="33"/>
      <c r="Q28" s="33"/>
      <c r="R28" s="33"/>
      <c r="S28" s="33"/>
      <c r="T28" s="33"/>
      <c r="U28" s="33"/>
      <c r="V28" s="32"/>
    </row>
    <row r="29" spans="1:22" ht="15.6">
      <c r="A29" s="365"/>
      <c r="B29" s="29">
        <v>4.4000000000000004</v>
      </c>
      <c r="C29" s="33"/>
      <c r="D29" s="33"/>
      <c r="E29" s="33"/>
      <c r="F29" s="33"/>
      <c r="G29" s="33"/>
      <c r="H29" s="33"/>
      <c r="I29" s="33"/>
      <c r="J29" s="33"/>
      <c r="K29" s="33"/>
      <c r="L29" s="33"/>
      <c r="M29" s="33" t="s">
        <v>1349</v>
      </c>
      <c r="N29" s="33"/>
      <c r="O29" s="33"/>
      <c r="P29" s="33"/>
      <c r="Q29" s="33"/>
      <c r="R29" s="33"/>
      <c r="S29" s="33"/>
      <c r="T29" s="33"/>
      <c r="U29" s="33"/>
      <c r="V29" s="32"/>
    </row>
    <row r="30" spans="1:22" ht="15.6">
      <c r="A30" s="365"/>
      <c r="B30" s="29">
        <v>4.5</v>
      </c>
      <c r="C30" s="33"/>
      <c r="D30" s="33"/>
      <c r="E30" s="33"/>
      <c r="F30" s="33"/>
      <c r="G30" s="33"/>
      <c r="H30" s="33"/>
      <c r="I30" s="33"/>
      <c r="J30" s="33"/>
      <c r="K30" s="33"/>
      <c r="L30" s="33"/>
      <c r="M30" s="33" t="s">
        <v>1349</v>
      </c>
      <c r="N30" s="33"/>
      <c r="O30" s="33"/>
      <c r="P30" s="33"/>
      <c r="Q30" s="33"/>
      <c r="R30" s="33"/>
      <c r="S30" s="33"/>
      <c r="T30" s="33"/>
      <c r="U30" s="33"/>
      <c r="V30" s="32"/>
    </row>
    <row r="31" spans="1:22" ht="15.6">
      <c r="A31" s="365" t="s">
        <v>511</v>
      </c>
      <c r="B31" s="30" t="s">
        <v>511</v>
      </c>
      <c r="C31" s="33"/>
      <c r="D31" s="33"/>
      <c r="E31" s="33"/>
      <c r="F31" s="33"/>
      <c r="G31" s="33"/>
      <c r="H31" s="33"/>
      <c r="I31" s="33"/>
      <c r="J31" s="33"/>
      <c r="K31" s="33"/>
      <c r="L31" s="33"/>
      <c r="M31" s="31" t="s">
        <v>1347</v>
      </c>
      <c r="N31" s="33"/>
      <c r="O31" s="33"/>
      <c r="P31" s="33"/>
      <c r="Q31" s="33"/>
      <c r="R31" s="33"/>
      <c r="S31" s="31" t="s">
        <v>1347</v>
      </c>
      <c r="T31" s="33"/>
      <c r="U31" s="33"/>
      <c r="V31" s="32"/>
    </row>
    <row r="32" spans="1:22" ht="15.6">
      <c r="A32" s="365"/>
      <c r="B32" s="29">
        <v>5.0999999999999996</v>
      </c>
      <c r="C32" s="33"/>
      <c r="D32" s="33"/>
      <c r="E32" s="33"/>
      <c r="F32" s="33"/>
      <c r="G32" s="33"/>
      <c r="H32" s="33"/>
      <c r="I32" s="33"/>
      <c r="J32" s="33"/>
      <c r="K32" s="33"/>
      <c r="L32" s="33"/>
      <c r="M32" s="33" t="s">
        <v>1349</v>
      </c>
      <c r="N32" s="33"/>
      <c r="O32" s="33"/>
      <c r="P32" s="33"/>
      <c r="Q32" s="33"/>
      <c r="R32" s="33"/>
      <c r="S32" s="33" t="s">
        <v>1349</v>
      </c>
      <c r="T32" s="33"/>
      <c r="U32" s="33"/>
      <c r="V32" s="32"/>
    </row>
    <row r="33" spans="1:22" ht="15.6">
      <c r="A33" s="365"/>
      <c r="B33" s="29">
        <v>5.2</v>
      </c>
      <c r="C33" s="33"/>
      <c r="D33" s="33"/>
      <c r="E33" s="33"/>
      <c r="F33" s="33"/>
      <c r="G33" s="33"/>
      <c r="H33" s="33"/>
      <c r="I33" s="33"/>
      <c r="J33" s="33"/>
      <c r="K33" s="33"/>
      <c r="L33" s="33"/>
      <c r="M33" s="33" t="s">
        <v>1349</v>
      </c>
      <c r="N33" s="33"/>
      <c r="O33" s="33"/>
      <c r="P33" s="33"/>
      <c r="Q33" s="33"/>
      <c r="R33" s="33"/>
      <c r="S33" s="33"/>
      <c r="T33" s="33"/>
      <c r="U33" s="33"/>
      <c r="V33" s="32"/>
    </row>
    <row r="34" spans="1:22" ht="15.6">
      <c r="A34" s="365"/>
      <c r="B34" s="29">
        <v>5.3</v>
      </c>
      <c r="C34" s="33"/>
      <c r="D34" s="33"/>
      <c r="E34" s="33"/>
      <c r="F34" s="33"/>
      <c r="G34" s="33"/>
      <c r="H34" s="33"/>
      <c r="I34" s="33"/>
      <c r="J34" s="33"/>
      <c r="K34" s="33"/>
      <c r="L34" s="33"/>
      <c r="M34" s="33" t="s">
        <v>1349</v>
      </c>
      <c r="N34" s="33"/>
      <c r="O34" s="33"/>
      <c r="P34" s="33"/>
      <c r="Q34" s="33"/>
      <c r="R34" s="33"/>
      <c r="S34" s="33"/>
      <c r="T34" s="33"/>
      <c r="U34" s="33"/>
      <c r="V34" s="32"/>
    </row>
  </sheetData>
  <mergeCells count="13">
    <mergeCell ref="A31:A34"/>
    <mergeCell ref="P2:R2"/>
    <mergeCell ref="S2:U2"/>
    <mergeCell ref="A4:A7"/>
    <mergeCell ref="A8:A16"/>
    <mergeCell ref="A17:A24"/>
    <mergeCell ref="A25:A30"/>
    <mergeCell ref="A2:A3"/>
    <mergeCell ref="B2:B3"/>
    <mergeCell ref="C2:D2"/>
    <mergeCell ref="E2:F2"/>
    <mergeCell ref="G2:J2"/>
    <mergeCell ref="K2:M2"/>
  </mergeCells>
  <phoneticPr fontId="62" type="noConversion"/>
  <conditionalFormatting sqref="C4:V34">
    <cfRule type="cellIs" dxfId="289" priority="31" operator="equal">
      <formula>"S"</formula>
    </cfRule>
    <cfRule type="cellIs" dxfId="288" priority="32" stopIfTrue="1" operator="equal">
      <formula>"FM"</formula>
    </cfRule>
    <cfRule type="cellIs" dxfId="287" priority="33" stopIfTrue="1" operator="equal">
      <formula>"LM"</formula>
    </cfRule>
    <cfRule type="cellIs" dxfId="286" priority="34" stopIfTrue="1" operator="equal">
      <formula>"PM"</formula>
    </cfRule>
    <cfRule type="cellIs" dxfId="285" priority="35" stopIfTrue="1" operator="equal">
      <formula>"DM"</formula>
    </cfRule>
  </conditionalFormatting>
  <conditionalFormatting sqref="B4">
    <cfRule type="cellIs" dxfId="284" priority="26" operator="equal">
      <formula>"S"</formula>
    </cfRule>
    <cfRule type="cellIs" dxfId="283" priority="27" stopIfTrue="1" operator="equal">
      <formula>"FM"</formula>
    </cfRule>
    <cfRule type="cellIs" dxfId="282" priority="28" stopIfTrue="1" operator="equal">
      <formula>"LM"</formula>
    </cfRule>
    <cfRule type="cellIs" dxfId="281" priority="29" stopIfTrue="1" operator="equal">
      <formula>"PM"</formula>
    </cfRule>
    <cfRule type="cellIs" dxfId="280" priority="30" stopIfTrue="1" operator="equal">
      <formula>"DM"</formula>
    </cfRule>
  </conditionalFormatting>
  <conditionalFormatting sqref="B8">
    <cfRule type="cellIs" dxfId="279" priority="21" operator="equal">
      <formula>"S"</formula>
    </cfRule>
    <cfRule type="cellIs" dxfId="278" priority="22" stopIfTrue="1" operator="equal">
      <formula>"FM"</formula>
    </cfRule>
    <cfRule type="cellIs" dxfId="277" priority="23" stopIfTrue="1" operator="equal">
      <formula>"LM"</formula>
    </cfRule>
    <cfRule type="cellIs" dxfId="276" priority="24" stopIfTrue="1" operator="equal">
      <formula>"PM"</formula>
    </cfRule>
    <cfRule type="cellIs" dxfId="275" priority="25" stopIfTrue="1" operator="equal">
      <formula>"DM"</formula>
    </cfRule>
  </conditionalFormatting>
  <conditionalFormatting sqref="B17">
    <cfRule type="cellIs" dxfId="274" priority="16" operator="equal">
      <formula>"S"</formula>
    </cfRule>
    <cfRule type="cellIs" dxfId="273" priority="17" stopIfTrue="1" operator="equal">
      <formula>"FM"</formula>
    </cfRule>
    <cfRule type="cellIs" dxfId="272" priority="18" stopIfTrue="1" operator="equal">
      <formula>"LM"</formula>
    </cfRule>
    <cfRule type="cellIs" dxfId="271" priority="19" stopIfTrue="1" operator="equal">
      <formula>"PM"</formula>
    </cfRule>
    <cfRule type="cellIs" dxfId="270" priority="20" stopIfTrue="1" operator="equal">
      <formula>"DM"</formula>
    </cfRule>
  </conditionalFormatting>
  <conditionalFormatting sqref="B25">
    <cfRule type="cellIs" dxfId="269" priority="11" operator="equal">
      <formula>"S"</formula>
    </cfRule>
    <cfRule type="cellIs" dxfId="268" priority="12" stopIfTrue="1" operator="equal">
      <formula>"FM"</formula>
    </cfRule>
    <cfRule type="cellIs" dxfId="267" priority="13" stopIfTrue="1" operator="equal">
      <formula>"LM"</formula>
    </cfRule>
    <cfRule type="cellIs" dxfId="266" priority="14" stopIfTrue="1" operator="equal">
      <formula>"PM"</formula>
    </cfRule>
    <cfRule type="cellIs" dxfId="265" priority="15" stopIfTrue="1" operator="equal">
      <formula>"DM"</formula>
    </cfRule>
  </conditionalFormatting>
  <conditionalFormatting sqref="B31">
    <cfRule type="cellIs" dxfId="264" priority="6" operator="equal">
      <formula>"S"</formula>
    </cfRule>
    <cfRule type="cellIs" dxfId="263" priority="7" stopIfTrue="1" operator="equal">
      <formula>"FM"</formula>
    </cfRule>
    <cfRule type="cellIs" dxfId="262" priority="8" stopIfTrue="1" operator="equal">
      <formula>"LM"</formula>
    </cfRule>
    <cfRule type="cellIs" dxfId="261" priority="9" stopIfTrue="1" operator="equal">
      <formula>"PM"</formula>
    </cfRule>
    <cfRule type="cellIs" dxfId="260" priority="10"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5"/>
  <sheetViews>
    <sheetView zoomScale="70" zoomScaleNormal="70" workbookViewId="0">
      <selection activeCell="L18" sqref="L18"/>
    </sheetView>
  </sheetViews>
  <sheetFormatPr defaultColWidth="8.6640625" defaultRowHeight="14.4"/>
  <cols>
    <col min="1" max="21" width="8.6640625" style="27"/>
    <col min="22" max="22" width="8.6640625" style="27" hidden="1" customWidth="1"/>
    <col min="23" max="16384" width="8.6640625" style="27"/>
  </cols>
  <sheetData>
    <row r="1" spans="1:22" s="34" customFormat="1" ht="18">
      <c r="A1" s="34" t="s">
        <v>1351</v>
      </c>
    </row>
    <row r="2" spans="1:22" ht="93.6">
      <c r="A2" s="368" t="s">
        <v>1315</v>
      </c>
      <c r="B2" s="368" t="s">
        <v>1316</v>
      </c>
      <c r="C2" s="366" t="s">
        <v>1317</v>
      </c>
      <c r="D2" s="366"/>
      <c r="E2" s="367" t="s">
        <v>1318</v>
      </c>
      <c r="F2" s="367"/>
      <c r="G2" s="366" t="s">
        <v>1319</v>
      </c>
      <c r="H2" s="366"/>
      <c r="I2" s="366"/>
      <c r="J2" s="366"/>
      <c r="K2" s="367" t="s">
        <v>1320</v>
      </c>
      <c r="L2" s="367"/>
      <c r="M2" s="367"/>
      <c r="N2" s="24" t="s">
        <v>1321</v>
      </c>
      <c r="O2" s="25" t="s">
        <v>1322</v>
      </c>
      <c r="P2" s="366" t="s">
        <v>1323</v>
      </c>
      <c r="Q2" s="366"/>
      <c r="R2" s="366"/>
      <c r="S2" s="367" t="s">
        <v>1324</v>
      </c>
      <c r="T2" s="367"/>
      <c r="U2" s="367"/>
      <c r="V2" s="26" t="s">
        <v>1325</v>
      </c>
    </row>
    <row r="3" spans="1:22" ht="15.6">
      <c r="A3" s="368"/>
      <c r="B3" s="368"/>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65" t="s">
        <v>1346</v>
      </c>
      <c r="B4" s="30" t="s">
        <v>27</v>
      </c>
      <c r="C4" s="31" t="str">
        <f>'ou-gov&amp;ii'!C4</f>
        <v>S</v>
      </c>
      <c r="D4" s="31" t="str">
        <f>'ou-gov&amp;ii'!K4</f>
        <v>S</v>
      </c>
      <c r="E4" s="31"/>
      <c r="F4" s="31"/>
      <c r="G4" s="31"/>
      <c r="H4" s="31"/>
      <c r="I4" s="31"/>
      <c r="J4" s="31"/>
      <c r="K4" s="31"/>
      <c r="L4" s="31"/>
      <c r="M4" s="31"/>
      <c r="N4" s="31"/>
      <c r="O4" s="31"/>
      <c r="P4" s="31"/>
      <c r="Q4" s="31"/>
      <c r="R4" s="31"/>
      <c r="S4" s="31"/>
      <c r="T4" s="31"/>
      <c r="U4" s="31"/>
      <c r="V4" s="32" t="s">
        <v>1348</v>
      </c>
    </row>
    <row r="5" spans="1:22" ht="15.6">
      <c r="A5" s="365"/>
      <c r="B5" s="29">
        <v>1.1000000000000001</v>
      </c>
      <c r="C5" s="31" t="str">
        <f>'ou-gov&amp;ii'!C5</f>
        <v>FM</v>
      </c>
      <c r="D5" s="31" t="str">
        <f>'ou-gov&amp;ii'!K5</f>
        <v>FM</v>
      </c>
      <c r="E5" s="33"/>
      <c r="F5" s="33"/>
      <c r="G5" s="33"/>
      <c r="H5" s="33"/>
      <c r="I5" s="33"/>
      <c r="J5" s="33"/>
      <c r="K5" s="33"/>
      <c r="L5" s="33"/>
      <c r="M5" s="33"/>
      <c r="N5" s="33"/>
      <c r="O5" s="33"/>
      <c r="P5" s="33"/>
      <c r="Q5" s="33"/>
      <c r="R5" s="33"/>
      <c r="S5" s="33"/>
      <c r="T5" s="33"/>
      <c r="U5" s="33"/>
      <c r="V5" s="32" t="s">
        <v>1198</v>
      </c>
    </row>
    <row r="6" spans="1:22" ht="15.6">
      <c r="A6" s="365"/>
      <c r="B6" s="29">
        <v>1.2</v>
      </c>
      <c r="C6" s="31"/>
      <c r="D6" s="31"/>
      <c r="E6" s="33"/>
      <c r="F6" s="33"/>
      <c r="G6" s="33"/>
      <c r="H6" s="33"/>
      <c r="I6" s="33"/>
      <c r="J6" s="33"/>
      <c r="K6" s="33"/>
      <c r="L6" s="33"/>
      <c r="M6" s="33"/>
      <c r="N6" s="33"/>
      <c r="O6" s="33"/>
      <c r="P6" s="33"/>
      <c r="Q6" s="33"/>
      <c r="R6" s="33"/>
      <c r="S6" s="33"/>
      <c r="T6" s="33"/>
      <c r="U6" s="33"/>
      <c r="V6" s="32" t="s">
        <v>1195</v>
      </c>
    </row>
    <row r="7" spans="1:22" ht="15.6">
      <c r="A7" s="365"/>
      <c r="B7" s="29">
        <v>1.3</v>
      </c>
      <c r="C7" s="31"/>
      <c r="D7" s="31"/>
      <c r="E7" s="33"/>
      <c r="F7" s="33"/>
      <c r="G7" s="33"/>
      <c r="H7" s="33"/>
      <c r="I7" s="33"/>
      <c r="J7" s="33"/>
      <c r="K7" s="33"/>
      <c r="L7" s="33"/>
      <c r="M7" s="33"/>
      <c r="N7" s="33"/>
      <c r="O7" s="33"/>
      <c r="P7" s="33"/>
      <c r="Q7" s="33"/>
      <c r="R7" s="33"/>
      <c r="S7" s="33"/>
      <c r="T7" s="33"/>
      <c r="U7" s="33"/>
      <c r="V7" s="32" t="s">
        <v>1192</v>
      </c>
    </row>
    <row r="8" spans="1:22" ht="15.6">
      <c r="A8" s="365" t="s">
        <v>28</v>
      </c>
      <c r="B8" s="30" t="s">
        <v>28</v>
      </c>
      <c r="C8" s="31" t="str">
        <f>'ou-gov&amp;ii'!C8</f>
        <v>S</v>
      </c>
      <c r="D8" s="31" t="str">
        <f>'ou-gov&amp;ii'!K8</f>
        <v>S</v>
      </c>
      <c r="E8" s="31"/>
      <c r="F8" s="31"/>
      <c r="G8" s="31"/>
      <c r="H8" s="31"/>
      <c r="I8" s="31"/>
      <c r="J8" s="31"/>
      <c r="K8" s="31"/>
      <c r="L8" s="31"/>
      <c r="M8" s="31"/>
      <c r="N8" s="31"/>
      <c r="O8" s="31"/>
      <c r="P8" s="31"/>
      <c r="Q8" s="31"/>
      <c r="R8" s="31"/>
      <c r="S8" s="31"/>
      <c r="T8" s="31"/>
      <c r="U8" s="31"/>
      <c r="V8" s="32"/>
    </row>
    <row r="9" spans="1:22" ht="15.6">
      <c r="A9" s="365"/>
      <c r="B9" s="29">
        <v>2.1</v>
      </c>
      <c r="C9" s="31" t="str">
        <f>'ou-gov&amp;ii'!C9</f>
        <v>FM</v>
      </c>
      <c r="D9" s="31" t="str">
        <f>'ou-gov&amp;ii'!K9</f>
        <v>FM</v>
      </c>
      <c r="E9" s="33"/>
      <c r="F9" s="33"/>
      <c r="G9" s="33"/>
      <c r="H9" s="33"/>
      <c r="I9" s="33"/>
      <c r="J9" s="33"/>
      <c r="K9" s="33"/>
      <c r="L9" s="33"/>
      <c r="M9" s="33"/>
      <c r="N9" s="33"/>
      <c r="O9" s="33"/>
      <c r="P9" s="33"/>
      <c r="Q9" s="33"/>
      <c r="R9" s="33"/>
      <c r="S9" s="33"/>
      <c r="T9" s="33"/>
      <c r="U9" s="33"/>
      <c r="V9" s="32" t="s">
        <v>1198</v>
      </c>
    </row>
    <row r="10" spans="1:22" ht="15.6">
      <c r="A10" s="365"/>
      <c r="B10" s="29">
        <v>2.2000000000000002</v>
      </c>
      <c r="C10" s="31" t="str">
        <f>'ou-gov&amp;ii'!C10</f>
        <v>FM</v>
      </c>
      <c r="D10" s="31" t="str">
        <f>'ou-gov&amp;ii'!K10</f>
        <v>FM</v>
      </c>
      <c r="E10" s="33"/>
      <c r="F10" s="33"/>
      <c r="G10" s="33"/>
      <c r="H10" s="33"/>
      <c r="I10" s="33"/>
      <c r="J10" s="33"/>
      <c r="K10" s="33"/>
      <c r="L10" s="33"/>
      <c r="M10" s="33"/>
      <c r="N10" s="33"/>
      <c r="O10" s="33"/>
      <c r="P10" s="33"/>
      <c r="Q10" s="33"/>
      <c r="R10" s="33"/>
      <c r="S10" s="33"/>
      <c r="T10" s="33"/>
      <c r="U10" s="33"/>
      <c r="V10" s="32" t="s">
        <v>1198</v>
      </c>
    </row>
    <row r="11" spans="1:22" ht="15.6">
      <c r="A11" s="365"/>
      <c r="B11" s="29">
        <v>2.2999999999999998</v>
      </c>
      <c r="C11" s="31" t="str">
        <f>'ou-gov&amp;ii'!C11</f>
        <v>FM</v>
      </c>
      <c r="D11" s="31"/>
      <c r="E11" s="33"/>
      <c r="F11" s="33"/>
      <c r="G11" s="33"/>
      <c r="H11" s="33"/>
      <c r="I11" s="33"/>
      <c r="J11" s="33"/>
      <c r="K11" s="33"/>
      <c r="L11" s="33"/>
      <c r="M11" s="33"/>
      <c r="N11" s="33"/>
      <c r="O11" s="33"/>
      <c r="P11" s="33"/>
      <c r="Q11" s="33"/>
      <c r="R11" s="33"/>
      <c r="S11" s="33"/>
      <c r="T11" s="33"/>
      <c r="U11" s="33"/>
      <c r="V11" s="32" t="s">
        <v>1189</v>
      </c>
    </row>
    <row r="12" spans="1:22" ht="15.6">
      <c r="A12" s="365"/>
      <c r="B12" s="29">
        <v>2.4</v>
      </c>
      <c r="C12" s="31" t="str">
        <f>'ou-gov&amp;ii'!C12</f>
        <v>FM</v>
      </c>
      <c r="D12" s="31"/>
      <c r="E12" s="33"/>
      <c r="F12" s="33"/>
      <c r="G12" s="33"/>
      <c r="H12" s="33"/>
      <c r="I12" s="33"/>
      <c r="J12" s="33"/>
      <c r="K12" s="33"/>
      <c r="L12" s="33"/>
      <c r="M12" s="33"/>
      <c r="N12" s="33"/>
      <c r="O12" s="33"/>
      <c r="P12" s="33"/>
      <c r="Q12" s="33"/>
      <c r="R12" s="33"/>
      <c r="S12" s="33"/>
      <c r="T12" s="33"/>
      <c r="U12" s="33"/>
      <c r="V12" s="32" t="s">
        <v>1192</v>
      </c>
    </row>
    <row r="13" spans="1:22" ht="15.6">
      <c r="A13" s="365"/>
      <c r="B13" s="29">
        <v>2.5</v>
      </c>
      <c r="C13" s="31"/>
      <c r="D13" s="31"/>
      <c r="E13" s="33"/>
      <c r="F13" s="33"/>
      <c r="G13" s="33"/>
      <c r="H13" s="33"/>
      <c r="I13" s="33"/>
      <c r="J13" s="33"/>
      <c r="K13" s="33"/>
      <c r="L13" s="33"/>
      <c r="M13" s="33"/>
      <c r="N13" s="33"/>
      <c r="O13" s="33"/>
      <c r="P13" s="33"/>
      <c r="Q13" s="33"/>
      <c r="R13" s="33"/>
      <c r="S13" s="33"/>
      <c r="T13" s="33"/>
      <c r="U13" s="33"/>
      <c r="V13" s="32"/>
    </row>
    <row r="14" spans="1:22" ht="15.6">
      <c r="A14" s="365"/>
      <c r="B14" s="29">
        <v>2.6</v>
      </c>
      <c r="C14" s="31"/>
      <c r="D14" s="31"/>
      <c r="E14" s="33"/>
      <c r="F14" s="33"/>
      <c r="G14" s="33"/>
      <c r="H14" s="33"/>
      <c r="I14" s="33"/>
      <c r="J14" s="33"/>
      <c r="K14" s="33"/>
      <c r="L14" s="33"/>
      <c r="M14" s="33"/>
      <c r="N14" s="33"/>
      <c r="O14" s="33"/>
      <c r="P14" s="33"/>
      <c r="Q14" s="33"/>
      <c r="R14" s="33"/>
      <c r="S14" s="33"/>
      <c r="T14" s="33"/>
      <c r="U14" s="33"/>
      <c r="V14" s="32"/>
    </row>
    <row r="15" spans="1:22" ht="15.6">
      <c r="A15" s="365"/>
      <c r="B15" s="29">
        <v>2.7</v>
      </c>
      <c r="C15" s="31"/>
      <c r="D15" s="31"/>
      <c r="E15" s="33"/>
      <c r="F15" s="33"/>
      <c r="G15" s="33"/>
      <c r="H15" s="33"/>
      <c r="I15" s="33"/>
      <c r="J15" s="33"/>
      <c r="K15" s="33"/>
      <c r="L15" s="33"/>
      <c r="M15" s="33"/>
      <c r="N15" s="33"/>
      <c r="O15" s="33"/>
      <c r="P15" s="33"/>
      <c r="Q15" s="33"/>
      <c r="R15" s="33"/>
      <c r="S15" s="33"/>
      <c r="T15" s="33"/>
      <c r="U15" s="33"/>
      <c r="V15" s="32"/>
    </row>
    <row r="16" spans="1:22" ht="15.6">
      <c r="A16" s="365"/>
      <c r="B16" s="29">
        <v>2.8</v>
      </c>
      <c r="C16" s="31"/>
      <c r="D16" s="31"/>
      <c r="E16" s="33"/>
      <c r="F16" s="33"/>
      <c r="G16" s="33"/>
      <c r="H16" s="33"/>
      <c r="I16" s="33"/>
      <c r="J16" s="33"/>
      <c r="K16" s="33"/>
      <c r="L16" s="33"/>
      <c r="M16" s="33"/>
      <c r="N16" s="33"/>
      <c r="O16" s="33"/>
      <c r="P16" s="33"/>
      <c r="Q16" s="33"/>
      <c r="R16" s="33"/>
      <c r="S16" s="33"/>
      <c r="T16" s="33"/>
      <c r="U16" s="33"/>
      <c r="V16" s="32"/>
    </row>
    <row r="17" spans="1:22" ht="15.6">
      <c r="A17" s="365" t="s">
        <v>29</v>
      </c>
      <c r="B17" s="30" t="s">
        <v>29</v>
      </c>
      <c r="C17" s="31" t="str">
        <f>'ou-gov&amp;ii'!C17</f>
        <v>S</v>
      </c>
      <c r="D17" s="31" t="str">
        <f>'ou-gov&amp;ii'!K17</f>
        <v>S</v>
      </c>
      <c r="E17" s="31"/>
      <c r="F17" s="31"/>
      <c r="G17" s="31"/>
      <c r="H17" s="31"/>
      <c r="I17" s="31"/>
      <c r="J17" s="31"/>
      <c r="K17" s="31"/>
      <c r="L17" s="31"/>
      <c r="M17" s="31"/>
      <c r="N17" s="31"/>
      <c r="O17" s="31"/>
      <c r="P17" s="31"/>
      <c r="Q17" s="31"/>
      <c r="R17" s="31"/>
      <c r="S17" s="31"/>
      <c r="T17" s="31"/>
      <c r="U17" s="33"/>
      <c r="V17" s="32"/>
    </row>
    <row r="18" spans="1:22" ht="15.6">
      <c r="A18" s="365"/>
      <c r="B18" s="29">
        <v>3.1</v>
      </c>
      <c r="C18" s="31" t="str">
        <f>'ou-gov&amp;ii'!C18</f>
        <v>FM</v>
      </c>
      <c r="D18" s="31" t="str">
        <f>'ou-gov&amp;ii'!K18</f>
        <v>FM</v>
      </c>
      <c r="E18" s="33"/>
      <c r="F18" s="33"/>
      <c r="G18" s="33"/>
      <c r="H18" s="33"/>
      <c r="I18" s="33"/>
      <c r="J18" s="33"/>
      <c r="K18" s="33"/>
      <c r="L18" s="33"/>
      <c r="M18" s="33"/>
      <c r="N18" s="33"/>
      <c r="O18" s="33"/>
      <c r="P18" s="33"/>
      <c r="Q18" s="33"/>
      <c r="R18" s="33"/>
      <c r="S18" s="33"/>
      <c r="T18" s="33"/>
      <c r="U18" s="33"/>
      <c r="V18" s="32" t="s">
        <v>1198</v>
      </c>
    </row>
    <row r="19" spans="1:22" ht="15.6">
      <c r="A19" s="365"/>
      <c r="B19" s="29">
        <v>3.2</v>
      </c>
      <c r="C19" s="31" t="str">
        <f>'ou-gov&amp;ii'!C19</f>
        <v>FM</v>
      </c>
      <c r="D19" s="31" t="str">
        <f>'ou-gov&amp;ii'!K19</f>
        <v>FM</v>
      </c>
      <c r="E19" s="33"/>
      <c r="F19" s="33"/>
      <c r="G19" s="33"/>
      <c r="H19" s="33"/>
      <c r="I19" s="33"/>
      <c r="J19" s="33"/>
      <c r="K19" s="33"/>
      <c r="L19" s="33"/>
      <c r="M19" s="33"/>
      <c r="N19" s="33"/>
      <c r="O19" s="33"/>
      <c r="P19" s="33"/>
      <c r="Q19" s="33"/>
      <c r="R19" s="33"/>
      <c r="S19" s="33"/>
      <c r="T19" s="33"/>
      <c r="U19" s="33"/>
      <c r="V19" s="32" t="s">
        <v>1198</v>
      </c>
    </row>
    <row r="20" spans="1:22" ht="15.6">
      <c r="A20" s="365"/>
      <c r="B20" s="29">
        <v>3.3</v>
      </c>
      <c r="C20" s="31"/>
      <c r="D20" s="31" t="str">
        <f>'ou-gov&amp;ii'!K20</f>
        <v>FM</v>
      </c>
      <c r="E20" s="33"/>
      <c r="F20" s="33"/>
      <c r="G20" s="33"/>
      <c r="H20" s="33"/>
      <c r="I20" s="33"/>
      <c r="J20" s="33"/>
      <c r="K20" s="33"/>
      <c r="L20" s="33"/>
      <c r="M20" s="33"/>
      <c r="N20" s="33"/>
      <c r="O20" s="33"/>
      <c r="P20" s="33"/>
      <c r="Q20" s="33"/>
      <c r="R20" s="33"/>
      <c r="S20" s="33"/>
      <c r="T20" s="33"/>
      <c r="U20" s="33"/>
      <c r="V20" s="32"/>
    </row>
    <row r="21" spans="1:22" ht="15.6">
      <c r="A21" s="365"/>
      <c r="B21" s="29">
        <v>3.4</v>
      </c>
      <c r="C21" s="31"/>
      <c r="D21" s="31"/>
      <c r="E21" s="33"/>
      <c r="F21" s="33"/>
      <c r="G21" s="33"/>
      <c r="H21" s="33"/>
      <c r="I21" s="33"/>
      <c r="J21" s="33"/>
      <c r="K21" s="33"/>
      <c r="L21" s="33"/>
      <c r="M21" s="33"/>
      <c r="N21" s="33"/>
      <c r="O21" s="33"/>
      <c r="P21" s="33"/>
      <c r="Q21" s="33"/>
      <c r="R21" s="33"/>
      <c r="S21" s="33"/>
      <c r="T21" s="33"/>
      <c r="U21" s="33"/>
      <c r="V21" s="32"/>
    </row>
    <row r="22" spans="1:22" ht="15.6">
      <c r="A22" s="365"/>
      <c r="B22" s="29">
        <v>3.5</v>
      </c>
      <c r="C22" s="31"/>
      <c r="D22" s="31"/>
      <c r="E22" s="33"/>
      <c r="F22" s="33"/>
      <c r="G22" s="33"/>
      <c r="H22" s="33"/>
      <c r="I22" s="33"/>
      <c r="J22" s="33"/>
      <c r="K22" s="33"/>
      <c r="L22" s="33"/>
      <c r="M22" s="33"/>
      <c r="N22" s="33"/>
      <c r="O22" s="33"/>
      <c r="P22" s="33"/>
      <c r="Q22" s="33"/>
      <c r="R22" s="33"/>
      <c r="S22" s="33"/>
      <c r="T22" s="33"/>
      <c r="U22" s="33"/>
      <c r="V22" s="32"/>
    </row>
    <row r="23" spans="1:22" ht="15.6">
      <c r="A23" s="365"/>
      <c r="B23" s="29">
        <v>3.6</v>
      </c>
      <c r="C23" s="31"/>
      <c r="D23" s="31"/>
      <c r="E23" s="33"/>
      <c r="F23" s="33"/>
      <c r="G23" s="33"/>
      <c r="H23" s="33"/>
      <c r="I23" s="33"/>
      <c r="J23" s="33"/>
      <c r="K23" s="33"/>
      <c r="L23" s="33"/>
      <c r="M23" s="33"/>
      <c r="N23" s="33"/>
      <c r="O23" s="33"/>
      <c r="P23" s="33"/>
      <c r="Q23" s="33"/>
      <c r="R23" s="33"/>
      <c r="S23" s="33"/>
      <c r="T23" s="33"/>
      <c r="U23" s="33"/>
      <c r="V23" s="32"/>
    </row>
    <row r="24" spans="1:22" ht="15.6">
      <c r="A24" s="365"/>
      <c r="B24" s="29">
        <v>3.7</v>
      </c>
      <c r="C24" s="31"/>
      <c r="D24" s="31"/>
      <c r="E24" s="33"/>
      <c r="F24" s="33"/>
      <c r="G24" s="33"/>
      <c r="H24" s="33"/>
      <c r="I24" s="33"/>
      <c r="J24" s="33"/>
      <c r="K24" s="33"/>
      <c r="L24" s="33"/>
      <c r="M24" s="33"/>
      <c r="N24" s="33"/>
      <c r="O24" s="33"/>
      <c r="P24" s="33"/>
      <c r="Q24" s="33"/>
      <c r="R24" s="33"/>
      <c r="S24" s="33"/>
      <c r="T24" s="33"/>
      <c r="U24" s="33"/>
      <c r="V24" s="32"/>
    </row>
    <row r="25" spans="1:22" ht="15.6">
      <c r="A25" s="365" t="s">
        <v>1350</v>
      </c>
      <c r="B25" s="30" t="s">
        <v>371</v>
      </c>
      <c r="C25" s="31" t="str">
        <f>'ou-gov&amp;ii'!C25</f>
        <v>S</v>
      </c>
      <c r="D25" s="31" t="str">
        <f>'ou-gov&amp;ii'!K25</f>
        <v>S</v>
      </c>
      <c r="E25" s="33"/>
      <c r="F25" s="33"/>
      <c r="G25" s="33"/>
      <c r="H25" s="33"/>
      <c r="I25" s="33"/>
      <c r="J25" s="33"/>
      <c r="K25" s="31"/>
      <c r="L25" s="33"/>
      <c r="M25" s="31"/>
      <c r="N25" s="33"/>
      <c r="O25" s="33"/>
      <c r="P25" s="33"/>
      <c r="Q25" s="31"/>
      <c r="R25" s="33"/>
      <c r="S25" s="31"/>
      <c r="T25" s="33"/>
      <c r="U25" s="33"/>
      <c r="V25" s="32"/>
    </row>
    <row r="26" spans="1:22" ht="15.6">
      <c r="A26" s="365"/>
      <c r="B26" s="29">
        <v>4.0999999999999996</v>
      </c>
      <c r="C26" s="31" t="str">
        <f>'ou-gov&amp;ii'!C26</f>
        <v>FM</v>
      </c>
      <c r="D26" s="31" t="str">
        <f>'ou-gov&amp;ii'!K26</f>
        <v>FM</v>
      </c>
      <c r="E26" s="33"/>
      <c r="F26" s="33"/>
      <c r="G26" s="33"/>
      <c r="H26" s="33"/>
      <c r="I26" s="33"/>
      <c r="J26" s="33"/>
      <c r="K26" s="33"/>
      <c r="L26" s="33"/>
      <c r="M26" s="33"/>
      <c r="N26" s="33"/>
      <c r="O26" s="33"/>
      <c r="P26" s="33"/>
      <c r="Q26" s="33"/>
      <c r="R26" s="33"/>
      <c r="S26" s="33"/>
      <c r="T26" s="33"/>
      <c r="U26" s="33"/>
      <c r="V26" s="32" t="s">
        <v>1198</v>
      </c>
    </row>
    <row r="27" spans="1:22" ht="15.6">
      <c r="A27" s="365"/>
      <c r="B27" s="29">
        <v>4.2</v>
      </c>
      <c r="C27" s="31"/>
      <c r="D27" s="31"/>
      <c r="E27" s="33"/>
      <c r="F27" s="33"/>
      <c r="G27" s="33"/>
      <c r="H27" s="33"/>
      <c r="I27" s="33"/>
      <c r="J27" s="33"/>
      <c r="K27" s="33"/>
      <c r="L27" s="33"/>
      <c r="M27" s="33"/>
      <c r="N27" s="33"/>
      <c r="O27" s="33"/>
      <c r="P27" s="33"/>
      <c r="Q27" s="33"/>
      <c r="R27" s="33"/>
      <c r="S27" s="33"/>
      <c r="T27" s="33"/>
      <c r="U27" s="33"/>
      <c r="V27" s="32"/>
    </row>
    <row r="28" spans="1:22" ht="15.6">
      <c r="A28" s="365"/>
      <c r="B28" s="29">
        <v>4.3</v>
      </c>
      <c r="C28" s="31"/>
      <c r="D28" s="31"/>
      <c r="E28" s="33"/>
      <c r="F28" s="33"/>
      <c r="G28" s="33"/>
      <c r="H28" s="33"/>
      <c r="I28" s="33"/>
      <c r="J28" s="33"/>
      <c r="K28" s="33"/>
      <c r="L28" s="33"/>
      <c r="M28" s="33"/>
      <c r="N28" s="33"/>
      <c r="O28" s="33"/>
      <c r="P28" s="33"/>
      <c r="Q28" s="33"/>
      <c r="R28" s="33"/>
      <c r="S28" s="33"/>
      <c r="T28" s="33"/>
      <c r="U28" s="33"/>
      <c r="V28" s="32"/>
    </row>
    <row r="29" spans="1:22" ht="15.6">
      <c r="A29" s="365"/>
      <c r="B29" s="29">
        <v>4.4000000000000004</v>
      </c>
      <c r="C29" s="31"/>
      <c r="D29" s="31"/>
      <c r="E29" s="33"/>
      <c r="F29" s="33"/>
      <c r="G29" s="33"/>
      <c r="H29" s="33"/>
      <c r="I29" s="33"/>
      <c r="J29" s="33"/>
      <c r="K29" s="33"/>
      <c r="L29" s="33"/>
      <c r="M29" s="33"/>
      <c r="N29" s="33"/>
      <c r="O29" s="33"/>
      <c r="P29" s="33"/>
      <c r="Q29" s="33"/>
      <c r="R29" s="33"/>
      <c r="S29" s="33"/>
      <c r="T29" s="33"/>
      <c r="U29" s="33"/>
      <c r="V29" s="32"/>
    </row>
    <row r="30" spans="1:22" ht="15.6">
      <c r="A30" s="365"/>
      <c r="B30" s="29">
        <v>4.5</v>
      </c>
      <c r="C30" s="31"/>
      <c r="D30" s="31"/>
      <c r="E30" s="33"/>
      <c r="F30" s="33"/>
      <c r="G30" s="33"/>
      <c r="H30" s="33"/>
      <c r="I30" s="33"/>
      <c r="J30" s="33"/>
      <c r="K30" s="33"/>
      <c r="L30" s="33"/>
      <c r="M30" s="33"/>
      <c r="N30" s="33"/>
      <c r="O30" s="33"/>
      <c r="P30" s="33"/>
      <c r="Q30" s="33"/>
      <c r="R30" s="33"/>
      <c r="S30" s="33"/>
      <c r="T30" s="33"/>
      <c r="U30" s="33"/>
      <c r="V30" s="32"/>
    </row>
    <row r="31" spans="1:22" ht="15.6">
      <c r="A31" s="365" t="s">
        <v>511</v>
      </c>
      <c r="B31" s="30" t="s">
        <v>511</v>
      </c>
      <c r="C31" s="31"/>
      <c r="D31" s="31"/>
      <c r="E31" s="33"/>
      <c r="F31" s="33"/>
      <c r="G31" s="33"/>
      <c r="H31" s="33"/>
      <c r="I31" s="33"/>
      <c r="J31" s="33"/>
      <c r="K31" s="33"/>
      <c r="L31" s="33"/>
      <c r="M31" s="31"/>
      <c r="N31" s="33"/>
      <c r="O31" s="33"/>
      <c r="P31" s="33"/>
      <c r="Q31" s="33"/>
      <c r="R31" s="33"/>
      <c r="S31" s="31"/>
      <c r="T31" s="33"/>
      <c r="U31" s="33"/>
      <c r="V31" s="32"/>
    </row>
    <row r="32" spans="1:22" ht="15.6">
      <c r="A32" s="365"/>
      <c r="B32" s="29">
        <v>5.0999999999999996</v>
      </c>
      <c r="C32" s="31"/>
      <c r="D32" s="31"/>
      <c r="E32" s="33"/>
      <c r="F32" s="33"/>
      <c r="G32" s="33"/>
      <c r="H32" s="33"/>
      <c r="I32" s="33"/>
      <c r="J32" s="33"/>
      <c r="K32" s="33"/>
      <c r="L32" s="33"/>
      <c r="M32" s="33"/>
      <c r="N32" s="33"/>
      <c r="O32" s="33"/>
      <c r="P32" s="33"/>
      <c r="Q32" s="33"/>
      <c r="R32" s="33"/>
      <c r="S32" s="33"/>
      <c r="T32" s="33"/>
      <c r="U32" s="33"/>
      <c r="V32" s="32"/>
    </row>
    <row r="33" spans="1:22" ht="15.6">
      <c r="A33" s="365"/>
      <c r="B33" s="29">
        <v>5.2</v>
      </c>
      <c r="C33" s="31"/>
      <c r="D33" s="31"/>
      <c r="E33" s="33"/>
      <c r="F33" s="33"/>
      <c r="G33" s="33"/>
      <c r="H33" s="33"/>
      <c r="I33" s="33"/>
      <c r="J33" s="33"/>
      <c r="K33" s="33"/>
      <c r="L33" s="33"/>
      <c r="M33" s="33"/>
      <c r="N33" s="33"/>
      <c r="O33" s="33"/>
      <c r="P33" s="33"/>
      <c r="Q33" s="33"/>
      <c r="R33" s="33"/>
      <c r="S33" s="33"/>
      <c r="T33" s="33"/>
      <c r="U33" s="33"/>
      <c r="V33" s="32"/>
    </row>
    <row r="34" spans="1:22" ht="15.6">
      <c r="A34" s="365"/>
      <c r="B34" s="29">
        <v>5.3</v>
      </c>
      <c r="C34" s="33"/>
      <c r="D34" s="33"/>
      <c r="E34" s="33"/>
      <c r="F34" s="33"/>
      <c r="G34" s="33"/>
      <c r="H34" s="33"/>
      <c r="I34" s="33"/>
      <c r="J34" s="33"/>
      <c r="K34" s="33"/>
      <c r="L34" s="33"/>
      <c r="M34" s="33"/>
      <c r="N34" s="33"/>
      <c r="O34" s="33"/>
      <c r="P34" s="33"/>
      <c r="Q34" s="33"/>
      <c r="R34" s="33"/>
      <c r="S34" s="33"/>
      <c r="T34" s="33"/>
      <c r="U34" s="33"/>
      <c r="V34" s="32"/>
    </row>
    <row r="36" spans="1:22" s="35" customFormat="1" ht="21">
      <c r="C36" s="36" t="s">
        <v>1326</v>
      </c>
      <c r="D36" s="36" t="s">
        <v>1327</v>
      </c>
      <c r="E36" s="37" t="s">
        <v>1328</v>
      </c>
      <c r="F36" s="37" t="s">
        <v>1329</v>
      </c>
      <c r="G36" s="36" t="s">
        <v>1330</v>
      </c>
      <c r="H36" s="36" t="s">
        <v>1331</v>
      </c>
      <c r="I36" s="36" t="s">
        <v>1332</v>
      </c>
      <c r="J36" s="36" t="s">
        <v>1333</v>
      </c>
      <c r="K36" s="37" t="s">
        <v>1334</v>
      </c>
      <c r="L36" s="37" t="s">
        <v>1335</v>
      </c>
      <c r="M36" s="37" t="s">
        <v>1336</v>
      </c>
      <c r="N36" s="36" t="s">
        <v>1337</v>
      </c>
      <c r="O36" s="37" t="s">
        <v>1338</v>
      </c>
      <c r="P36" s="36" t="s">
        <v>1339</v>
      </c>
      <c r="Q36" s="36" t="s">
        <v>1340</v>
      </c>
      <c r="R36" s="36" t="s">
        <v>1341</v>
      </c>
      <c r="S36" s="37" t="s">
        <v>1342</v>
      </c>
      <c r="T36" s="37" t="s">
        <v>1343</v>
      </c>
      <c r="U36" s="37" t="s">
        <v>1344</v>
      </c>
      <c r="V36" s="38" t="s">
        <v>1345</v>
      </c>
    </row>
    <row r="37" spans="1:22" s="39" customFormat="1" ht="23.4">
      <c r="A37" s="39" t="s">
        <v>1352</v>
      </c>
      <c r="C37" s="40">
        <v>4</v>
      </c>
      <c r="D37" s="40">
        <v>3</v>
      </c>
      <c r="E37" s="40">
        <v>3</v>
      </c>
      <c r="F37" s="40">
        <v>3</v>
      </c>
      <c r="G37" s="40">
        <v>3</v>
      </c>
      <c r="H37" s="40">
        <v>3</v>
      </c>
      <c r="I37" s="40">
        <v>3</v>
      </c>
      <c r="J37" s="40">
        <v>3</v>
      </c>
      <c r="K37" s="40">
        <v>4</v>
      </c>
      <c r="L37" s="40">
        <v>3</v>
      </c>
      <c r="M37" s="40">
        <v>5</v>
      </c>
      <c r="N37" s="40">
        <v>3</v>
      </c>
      <c r="O37" s="40">
        <v>3</v>
      </c>
      <c r="P37" s="40">
        <v>3</v>
      </c>
      <c r="Q37" s="40">
        <v>4</v>
      </c>
      <c r="R37" s="40">
        <v>3</v>
      </c>
      <c r="S37" s="40">
        <v>5</v>
      </c>
      <c r="T37" s="40">
        <v>3</v>
      </c>
      <c r="U37" s="40">
        <v>2</v>
      </c>
      <c r="V37" s="40">
        <v>4</v>
      </c>
    </row>
    <row r="42" spans="1:22" ht="18">
      <c r="A42" s="41" t="s">
        <v>1353</v>
      </c>
      <c r="C42" s="42"/>
      <c r="D42" s="42"/>
      <c r="E42" s="42"/>
      <c r="F42" s="42"/>
      <c r="G42" s="42"/>
      <c r="H42" s="42"/>
      <c r="I42" s="42"/>
      <c r="K42" s="42"/>
      <c r="L42" s="42"/>
      <c r="M42" s="42"/>
      <c r="N42" s="42"/>
      <c r="O42" s="42"/>
      <c r="P42" s="42"/>
      <c r="Q42" s="42"/>
      <c r="R42" s="42"/>
    </row>
    <row r="44" spans="1:22" ht="15.6">
      <c r="C44" s="43" t="s">
        <v>1342</v>
      </c>
      <c r="D44" s="43" t="s">
        <v>1344</v>
      </c>
      <c r="E44" s="44" t="s">
        <v>1343</v>
      </c>
      <c r="F44" s="44" t="s">
        <v>1341</v>
      </c>
      <c r="G44" s="43" t="s">
        <v>1326</v>
      </c>
      <c r="H44" s="43" t="s">
        <v>1327</v>
      </c>
      <c r="I44" s="43" t="s">
        <v>1339</v>
      </c>
      <c r="J44" s="43" t="s">
        <v>1336</v>
      </c>
      <c r="K44" s="44" t="s">
        <v>1338</v>
      </c>
      <c r="L44" s="44" t="s">
        <v>1335</v>
      </c>
      <c r="M44" s="44" t="s">
        <v>1334</v>
      </c>
      <c r="N44" s="43" t="s">
        <v>1329</v>
      </c>
      <c r="O44" s="44" t="s">
        <v>1340</v>
      </c>
      <c r="P44" s="43" t="s">
        <v>1332</v>
      </c>
      <c r="Q44" s="43" t="s">
        <v>1330</v>
      </c>
      <c r="R44" s="43" t="s">
        <v>1333</v>
      </c>
      <c r="S44" s="44" t="s">
        <v>1337</v>
      </c>
      <c r="T44" s="44" t="s">
        <v>1328</v>
      </c>
      <c r="U44" s="44" t="s">
        <v>1331</v>
      </c>
      <c r="V44" s="26" t="s">
        <v>1345</v>
      </c>
    </row>
    <row r="45" spans="1:22">
      <c r="A45" s="365" t="s">
        <v>1346</v>
      </c>
      <c r="B45" s="30" t="s">
        <v>27</v>
      </c>
      <c r="C45" s="31">
        <f>S4</f>
        <v>0</v>
      </c>
      <c r="D45" s="31">
        <f>U4</f>
        <v>0</v>
      </c>
      <c r="E45" s="31">
        <f>T4</f>
        <v>0</v>
      </c>
      <c r="F45" s="31">
        <f>R4</f>
        <v>0</v>
      </c>
      <c r="G45" s="31" t="str">
        <f>C4</f>
        <v>S</v>
      </c>
      <c r="H45" s="31" t="str">
        <f>D4</f>
        <v>S</v>
      </c>
      <c r="I45" s="31">
        <f>P4</f>
        <v>0</v>
      </c>
      <c r="J45" s="31">
        <f>M4</f>
        <v>0</v>
      </c>
      <c r="K45" s="31">
        <f>O4</f>
        <v>0</v>
      </c>
      <c r="L45" s="31">
        <f>L4</f>
        <v>0</v>
      </c>
      <c r="M45" s="31">
        <f>K4</f>
        <v>0</v>
      </c>
      <c r="N45" s="31">
        <f>F4</f>
        <v>0</v>
      </c>
      <c r="O45" s="31">
        <f>Q4</f>
        <v>0</v>
      </c>
      <c r="P45" s="31">
        <f>I4</f>
        <v>0</v>
      </c>
      <c r="Q45" s="31">
        <f>G4</f>
        <v>0</v>
      </c>
      <c r="R45" s="31">
        <f>J4</f>
        <v>0</v>
      </c>
      <c r="S45" s="31">
        <f>N4</f>
        <v>0</v>
      </c>
      <c r="T45" s="31">
        <f>E4</f>
        <v>0</v>
      </c>
      <c r="U45" s="31">
        <f>H4</f>
        <v>0</v>
      </c>
      <c r="V45" s="31" t="str">
        <f>V4</f>
        <v>U</v>
      </c>
    </row>
    <row r="46" spans="1:22">
      <c r="A46" s="365"/>
      <c r="B46" s="29">
        <v>1.1000000000000001</v>
      </c>
      <c r="C46" s="31">
        <f>S5</f>
        <v>0</v>
      </c>
      <c r="D46" s="31">
        <f>U5</f>
        <v>0</v>
      </c>
      <c r="E46" s="31">
        <f>T5</f>
        <v>0</v>
      </c>
      <c r="F46" s="31">
        <f>R5</f>
        <v>0</v>
      </c>
      <c r="G46" s="31" t="str">
        <f>C5</f>
        <v>FM</v>
      </c>
      <c r="H46" s="31" t="str">
        <f>D5</f>
        <v>FM</v>
      </c>
      <c r="I46" s="31">
        <f>P5</f>
        <v>0</v>
      </c>
      <c r="J46" s="31">
        <f>M5</f>
        <v>0</v>
      </c>
      <c r="K46" s="31">
        <f>O5</f>
        <v>0</v>
      </c>
      <c r="L46" s="31">
        <f>L5</f>
        <v>0</v>
      </c>
      <c r="M46" s="31">
        <f>K5</f>
        <v>0</v>
      </c>
      <c r="N46" s="31">
        <f>F5</f>
        <v>0</v>
      </c>
      <c r="O46" s="31">
        <f>Q5</f>
        <v>0</v>
      </c>
      <c r="P46" s="31">
        <f>I5</f>
        <v>0</v>
      </c>
      <c r="Q46" s="31">
        <f>G5</f>
        <v>0</v>
      </c>
      <c r="R46" s="31">
        <f>J5</f>
        <v>0</v>
      </c>
      <c r="S46" s="31">
        <f>N5</f>
        <v>0</v>
      </c>
      <c r="T46" s="31">
        <f>E5</f>
        <v>0</v>
      </c>
      <c r="U46" s="31">
        <f>H5</f>
        <v>0</v>
      </c>
      <c r="V46" s="31" t="str">
        <f>V5</f>
        <v>DM</v>
      </c>
    </row>
    <row r="47" spans="1:22">
      <c r="A47" s="365"/>
      <c r="B47" s="29">
        <v>1.2</v>
      </c>
      <c r="C47" s="31"/>
      <c r="D47" s="31"/>
      <c r="E47" s="31">
        <f>T6</f>
        <v>0</v>
      </c>
      <c r="F47" s="31"/>
      <c r="G47" s="31"/>
      <c r="H47" s="31"/>
      <c r="I47" s="31">
        <f>P6</f>
        <v>0</v>
      </c>
      <c r="J47" s="31">
        <f>M6</f>
        <v>0</v>
      </c>
      <c r="K47" s="31"/>
      <c r="L47" s="31"/>
      <c r="M47" s="31">
        <f>K6</f>
        <v>0</v>
      </c>
      <c r="N47" s="31"/>
      <c r="O47" s="31">
        <f>Q6</f>
        <v>0</v>
      </c>
      <c r="P47" s="31"/>
      <c r="Q47" s="31"/>
      <c r="R47" s="31"/>
      <c r="S47" s="31"/>
      <c r="T47" s="31"/>
      <c r="U47" s="31">
        <f>H6</f>
        <v>0</v>
      </c>
      <c r="V47" s="31" t="str">
        <f>V6</f>
        <v>PM</v>
      </c>
    </row>
    <row r="48" spans="1:22">
      <c r="A48" s="365"/>
      <c r="B48" s="29">
        <v>1.3</v>
      </c>
      <c r="C48" s="31"/>
      <c r="D48" s="31"/>
      <c r="E48" s="31"/>
      <c r="F48" s="31"/>
      <c r="G48" s="31"/>
      <c r="H48" s="31"/>
      <c r="I48" s="31"/>
      <c r="J48" s="31"/>
      <c r="K48" s="31"/>
      <c r="L48" s="31"/>
      <c r="M48" s="31">
        <f>K7</f>
        <v>0</v>
      </c>
      <c r="N48" s="31"/>
      <c r="O48" s="31"/>
      <c r="P48" s="31"/>
      <c r="Q48" s="31"/>
      <c r="R48" s="31"/>
      <c r="S48" s="31"/>
      <c r="T48" s="31"/>
      <c r="U48" s="31"/>
      <c r="V48" s="31" t="e">
        <f>#REF!</f>
        <v>#REF!</v>
      </c>
    </row>
    <row r="49" spans="1:22">
      <c r="A49" s="365" t="s">
        <v>28</v>
      </c>
      <c r="B49" s="30" t="s">
        <v>28</v>
      </c>
      <c r="C49" s="31">
        <f t="shared" ref="C49:C73" si="0">S8</f>
        <v>0</v>
      </c>
      <c r="D49" s="31">
        <f t="shared" ref="D49:D55" si="1">U8</f>
        <v>0</v>
      </c>
      <c r="E49" s="31">
        <f t="shared" ref="E49:E59" si="2">T8</f>
        <v>0</v>
      </c>
      <c r="F49" s="31">
        <f t="shared" ref="F49:F60" si="3">R8</f>
        <v>0</v>
      </c>
      <c r="G49" s="31" t="str">
        <f t="shared" ref="G49:H67" si="4">C8</f>
        <v>S</v>
      </c>
      <c r="H49" s="31" t="str">
        <f t="shared" si="4"/>
        <v>S</v>
      </c>
      <c r="I49" s="31">
        <f t="shared" ref="I49:I62" si="5">P8</f>
        <v>0</v>
      </c>
      <c r="J49" s="31">
        <f t="shared" ref="J49:J75" si="6">M8</f>
        <v>0</v>
      </c>
      <c r="K49" s="31">
        <f t="shared" ref="K49:K64" si="7">O8</f>
        <v>0</v>
      </c>
      <c r="L49" s="31">
        <f t="shared" ref="L49:L64" si="8">L8</f>
        <v>0</v>
      </c>
      <c r="M49" s="31">
        <f t="shared" ref="M49:M67" si="9">K8</f>
        <v>0</v>
      </c>
      <c r="N49" s="31">
        <f t="shared" ref="N49:N61" si="10">F8</f>
        <v>0</v>
      </c>
      <c r="O49" s="31">
        <f t="shared" ref="O49:O67" si="11">Q8</f>
        <v>0</v>
      </c>
      <c r="P49" s="31">
        <f t="shared" ref="P49:P59" si="12">I8</f>
        <v>0</v>
      </c>
      <c r="Q49" s="31">
        <f t="shared" ref="Q49:Q59" si="13">G8</f>
        <v>0</v>
      </c>
      <c r="R49" s="31">
        <f t="shared" ref="R49:R65" si="14">J8</f>
        <v>0</v>
      </c>
      <c r="S49" s="31">
        <f t="shared" ref="S49:S63" si="15">N8</f>
        <v>0</v>
      </c>
      <c r="T49" s="31">
        <f t="shared" ref="T49:T64" si="16">E8</f>
        <v>0</v>
      </c>
      <c r="U49" s="31">
        <f t="shared" ref="U49:U60" si="17">H8</f>
        <v>0</v>
      </c>
      <c r="V49" s="31"/>
    </row>
    <row r="50" spans="1:22">
      <c r="A50" s="365"/>
      <c r="B50" s="29">
        <v>2.1</v>
      </c>
      <c r="C50" s="31">
        <f t="shared" si="0"/>
        <v>0</v>
      </c>
      <c r="D50" s="31">
        <f t="shared" si="1"/>
        <v>0</v>
      </c>
      <c r="E50" s="31">
        <f t="shared" si="2"/>
        <v>0</v>
      </c>
      <c r="F50" s="31">
        <f t="shared" si="3"/>
        <v>0</v>
      </c>
      <c r="G50" s="31" t="str">
        <f t="shared" si="4"/>
        <v>FM</v>
      </c>
      <c r="H50" s="31" t="str">
        <f t="shared" si="4"/>
        <v>FM</v>
      </c>
      <c r="I50" s="31">
        <f t="shared" si="5"/>
        <v>0</v>
      </c>
      <c r="J50" s="31">
        <f t="shared" si="6"/>
        <v>0</v>
      </c>
      <c r="K50" s="31">
        <f t="shared" si="7"/>
        <v>0</v>
      </c>
      <c r="L50" s="31">
        <f t="shared" si="8"/>
        <v>0</v>
      </c>
      <c r="M50" s="31">
        <f t="shared" si="9"/>
        <v>0</v>
      </c>
      <c r="N50" s="31">
        <f t="shared" si="10"/>
        <v>0</v>
      </c>
      <c r="O50" s="31">
        <f t="shared" si="11"/>
        <v>0</v>
      </c>
      <c r="P50" s="31">
        <f t="shared" si="12"/>
        <v>0</v>
      </c>
      <c r="Q50" s="31">
        <f t="shared" si="13"/>
        <v>0</v>
      </c>
      <c r="R50" s="31">
        <f t="shared" si="14"/>
        <v>0</v>
      </c>
      <c r="S50" s="31">
        <f t="shared" si="15"/>
        <v>0</v>
      </c>
      <c r="T50" s="31">
        <f t="shared" si="16"/>
        <v>0</v>
      </c>
      <c r="U50" s="31">
        <f t="shared" si="17"/>
        <v>0</v>
      </c>
      <c r="V50" s="31" t="str">
        <f t="shared" ref="V50:V67" si="18">V9</f>
        <v>DM</v>
      </c>
    </row>
    <row r="51" spans="1:22">
      <c r="A51" s="365"/>
      <c r="B51" s="29">
        <v>2.2000000000000002</v>
      </c>
      <c r="C51" s="31">
        <f t="shared" si="0"/>
        <v>0</v>
      </c>
      <c r="D51" s="31">
        <f t="shared" si="1"/>
        <v>0</v>
      </c>
      <c r="E51" s="31">
        <f t="shared" si="2"/>
        <v>0</v>
      </c>
      <c r="F51" s="31">
        <f t="shared" si="3"/>
        <v>0</v>
      </c>
      <c r="G51" s="31" t="str">
        <f t="shared" si="4"/>
        <v>FM</v>
      </c>
      <c r="H51" s="31" t="str">
        <f t="shared" si="4"/>
        <v>FM</v>
      </c>
      <c r="I51" s="31">
        <f t="shared" si="5"/>
        <v>0</v>
      </c>
      <c r="J51" s="31">
        <f t="shared" si="6"/>
        <v>0</v>
      </c>
      <c r="K51" s="31">
        <f t="shared" si="7"/>
        <v>0</v>
      </c>
      <c r="L51" s="31">
        <f t="shared" si="8"/>
        <v>0</v>
      </c>
      <c r="M51" s="31">
        <f t="shared" si="9"/>
        <v>0</v>
      </c>
      <c r="N51" s="31">
        <f t="shared" si="10"/>
        <v>0</v>
      </c>
      <c r="O51" s="31">
        <f t="shared" si="11"/>
        <v>0</v>
      </c>
      <c r="P51" s="31">
        <f t="shared" si="12"/>
        <v>0</v>
      </c>
      <c r="Q51" s="31">
        <f t="shared" si="13"/>
        <v>0</v>
      </c>
      <c r="R51" s="31">
        <f t="shared" si="14"/>
        <v>0</v>
      </c>
      <c r="S51" s="31">
        <f t="shared" si="15"/>
        <v>0</v>
      </c>
      <c r="T51" s="31">
        <f t="shared" si="16"/>
        <v>0</v>
      </c>
      <c r="U51" s="31">
        <f t="shared" si="17"/>
        <v>0</v>
      </c>
      <c r="V51" s="31" t="str">
        <f t="shared" si="18"/>
        <v>DM</v>
      </c>
    </row>
    <row r="52" spans="1:22">
      <c r="A52" s="365"/>
      <c r="B52" s="29">
        <v>2.2999999999999998</v>
      </c>
      <c r="C52" s="31"/>
      <c r="D52" s="31">
        <f t="shared" si="1"/>
        <v>0</v>
      </c>
      <c r="E52" s="31">
        <f t="shared" si="2"/>
        <v>0</v>
      </c>
      <c r="F52" s="31">
        <f t="shared" si="3"/>
        <v>0</v>
      </c>
      <c r="G52" s="31" t="str">
        <f t="shared" si="4"/>
        <v>FM</v>
      </c>
      <c r="H52" s="31"/>
      <c r="I52" s="31">
        <f t="shared" si="5"/>
        <v>0</v>
      </c>
      <c r="J52" s="31">
        <f t="shared" si="6"/>
        <v>0</v>
      </c>
      <c r="K52" s="31"/>
      <c r="L52" s="31">
        <f t="shared" si="8"/>
        <v>0</v>
      </c>
      <c r="M52" s="31"/>
      <c r="N52" s="31">
        <f t="shared" si="10"/>
        <v>0</v>
      </c>
      <c r="O52" s="31">
        <f t="shared" si="11"/>
        <v>0</v>
      </c>
      <c r="P52" s="31">
        <f t="shared" si="12"/>
        <v>0</v>
      </c>
      <c r="Q52" s="31">
        <f t="shared" si="13"/>
        <v>0</v>
      </c>
      <c r="R52" s="31">
        <f t="shared" si="14"/>
        <v>0</v>
      </c>
      <c r="S52" s="31"/>
      <c r="T52" s="31">
        <f t="shared" si="16"/>
        <v>0</v>
      </c>
      <c r="U52" s="31">
        <f t="shared" si="17"/>
        <v>0</v>
      </c>
      <c r="V52" s="31" t="str">
        <f t="shared" si="18"/>
        <v>FM</v>
      </c>
    </row>
    <row r="53" spans="1:22">
      <c r="A53" s="365"/>
      <c r="B53" s="29">
        <v>2.4</v>
      </c>
      <c r="C53" s="31"/>
      <c r="D53" s="31">
        <f t="shared" si="1"/>
        <v>0</v>
      </c>
      <c r="E53" s="31">
        <f t="shared" si="2"/>
        <v>0</v>
      </c>
      <c r="F53" s="31"/>
      <c r="G53" s="31" t="str">
        <f t="shared" si="4"/>
        <v>FM</v>
      </c>
      <c r="H53" s="31"/>
      <c r="I53" s="31">
        <f t="shared" si="5"/>
        <v>0</v>
      </c>
      <c r="J53" s="31">
        <f t="shared" si="6"/>
        <v>0</v>
      </c>
      <c r="K53" s="31"/>
      <c r="L53" s="31"/>
      <c r="M53" s="31"/>
      <c r="N53" s="31">
        <f t="shared" si="10"/>
        <v>0</v>
      </c>
      <c r="O53" s="31">
        <f t="shared" si="11"/>
        <v>0</v>
      </c>
      <c r="P53" s="31">
        <f t="shared" si="12"/>
        <v>0</v>
      </c>
      <c r="Q53" s="31">
        <f t="shared" si="13"/>
        <v>0</v>
      </c>
      <c r="R53" s="31">
        <f t="shared" si="14"/>
        <v>0</v>
      </c>
      <c r="S53" s="31"/>
      <c r="T53" s="31"/>
      <c r="U53" s="31"/>
      <c r="V53" s="31" t="str">
        <f t="shared" si="18"/>
        <v>LM</v>
      </c>
    </row>
    <row r="54" spans="1:22">
      <c r="A54" s="365"/>
      <c r="B54" s="29">
        <v>2.5</v>
      </c>
      <c r="C54" s="31"/>
      <c r="D54" s="31">
        <f t="shared" si="1"/>
        <v>0</v>
      </c>
      <c r="E54" s="31">
        <f t="shared" si="2"/>
        <v>0</v>
      </c>
      <c r="F54" s="31"/>
      <c r="G54" s="31"/>
      <c r="H54" s="31"/>
      <c r="I54" s="31"/>
      <c r="J54" s="31">
        <f t="shared" si="6"/>
        <v>0</v>
      </c>
      <c r="K54" s="31"/>
      <c r="L54" s="31"/>
      <c r="M54" s="31"/>
      <c r="N54" s="31">
        <f t="shared" si="10"/>
        <v>0</v>
      </c>
      <c r="O54" s="31">
        <f t="shared" si="11"/>
        <v>0</v>
      </c>
      <c r="P54" s="31"/>
      <c r="Q54" s="31"/>
      <c r="R54" s="31">
        <f t="shared" si="14"/>
        <v>0</v>
      </c>
      <c r="S54" s="31"/>
      <c r="T54" s="31"/>
      <c r="U54" s="31"/>
      <c r="V54" s="31"/>
    </row>
    <row r="55" spans="1:22">
      <c r="A55" s="365"/>
      <c r="B55" s="29">
        <v>2.6</v>
      </c>
      <c r="C55" s="31"/>
      <c r="D55" s="31">
        <f t="shared" si="1"/>
        <v>0</v>
      </c>
      <c r="E55" s="31"/>
      <c r="F55" s="31"/>
      <c r="G55" s="31"/>
      <c r="H55" s="31"/>
      <c r="I55" s="31"/>
      <c r="J55" s="31">
        <f t="shared" si="6"/>
        <v>0</v>
      </c>
      <c r="K55" s="31"/>
      <c r="L55" s="31"/>
      <c r="M55" s="31"/>
      <c r="N55" s="31">
        <f t="shared" si="10"/>
        <v>0</v>
      </c>
      <c r="O55" s="31">
        <f t="shared" si="11"/>
        <v>0</v>
      </c>
      <c r="P55" s="31"/>
      <c r="Q55" s="31"/>
      <c r="R55" s="31">
        <f t="shared" si="14"/>
        <v>0</v>
      </c>
      <c r="S55" s="31"/>
      <c r="T55" s="31"/>
      <c r="U55" s="31"/>
      <c r="V55" s="31"/>
    </row>
    <row r="56" spans="1:22">
      <c r="A56" s="365"/>
      <c r="B56" s="29">
        <v>2.7</v>
      </c>
      <c r="C56" s="31"/>
      <c r="D56" s="31"/>
      <c r="E56" s="31"/>
      <c r="F56" s="31"/>
      <c r="G56" s="31"/>
      <c r="H56" s="31"/>
      <c r="I56" s="31"/>
      <c r="J56" s="31"/>
      <c r="K56" s="31"/>
      <c r="L56" s="31"/>
      <c r="M56" s="31"/>
      <c r="N56" s="31"/>
      <c r="O56" s="31">
        <f t="shared" si="11"/>
        <v>0</v>
      </c>
      <c r="P56" s="31"/>
      <c r="Q56" s="31"/>
      <c r="R56" s="31"/>
      <c r="S56" s="31"/>
      <c r="T56" s="31"/>
      <c r="U56" s="31"/>
      <c r="V56" s="31"/>
    </row>
    <row r="57" spans="1:22">
      <c r="A57" s="365"/>
      <c r="B57" s="29">
        <v>2.8</v>
      </c>
      <c r="C57" s="31"/>
      <c r="D57" s="31"/>
      <c r="E57" s="31"/>
      <c r="F57" s="31"/>
      <c r="G57" s="31"/>
      <c r="H57" s="31"/>
      <c r="I57" s="31"/>
      <c r="J57" s="31"/>
      <c r="K57" s="31"/>
      <c r="L57" s="31"/>
      <c r="M57" s="31"/>
      <c r="N57" s="31"/>
      <c r="O57" s="31">
        <f t="shared" si="11"/>
        <v>0</v>
      </c>
      <c r="P57" s="31"/>
      <c r="Q57" s="31"/>
      <c r="R57" s="31"/>
      <c r="S57" s="31"/>
      <c r="T57" s="31"/>
      <c r="U57" s="31"/>
      <c r="V57" s="31"/>
    </row>
    <row r="58" spans="1:22">
      <c r="A58" s="365" t="s">
        <v>29</v>
      </c>
      <c r="B58" s="30" t="s">
        <v>29</v>
      </c>
      <c r="C58" s="31">
        <f t="shared" si="0"/>
        <v>0</v>
      </c>
      <c r="D58" s="31"/>
      <c r="E58" s="31">
        <f t="shared" si="2"/>
        <v>0</v>
      </c>
      <c r="F58" s="31">
        <f t="shared" si="3"/>
        <v>0</v>
      </c>
      <c r="G58" s="31" t="str">
        <f t="shared" si="4"/>
        <v>S</v>
      </c>
      <c r="H58" s="31" t="str">
        <f t="shared" si="4"/>
        <v>S</v>
      </c>
      <c r="I58" s="31">
        <f t="shared" si="5"/>
        <v>0</v>
      </c>
      <c r="J58" s="31">
        <f t="shared" si="6"/>
        <v>0</v>
      </c>
      <c r="K58" s="31">
        <f t="shared" si="7"/>
        <v>0</v>
      </c>
      <c r="L58" s="31">
        <f t="shared" si="8"/>
        <v>0</v>
      </c>
      <c r="M58" s="31">
        <f t="shared" si="9"/>
        <v>0</v>
      </c>
      <c r="N58" s="31">
        <f t="shared" si="10"/>
        <v>0</v>
      </c>
      <c r="O58" s="31">
        <f t="shared" si="11"/>
        <v>0</v>
      </c>
      <c r="P58" s="31">
        <f t="shared" si="12"/>
        <v>0</v>
      </c>
      <c r="Q58" s="31">
        <f t="shared" si="13"/>
        <v>0</v>
      </c>
      <c r="R58" s="31">
        <f t="shared" si="14"/>
        <v>0</v>
      </c>
      <c r="S58" s="31">
        <f t="shared" si="15"/>
        <v>0</v>
      </c>
      <c r="T58" s="31">
        <f t="shared" si="16"/>
        <v>0</v>
      </c>
      <c r="U58" s="31">
        <f t="shared" si="17"/>
        <v>0</v>
      </c>
      <c r="V58" s="31">
        <f t="shared" si="18"/>
        <v>0</v>
      </c>
    </row>
    <row r="59" spans="1:22">
      <c r="A59" s="365"/>
      <c r="B59" s="29">
        <v>3.1</v>
      </c>
      <c r="C59" s="31">
        <f t="shared" si="0"/>
        <v>0</v>
      </c>
      <c r="D59" s="31"/>
      <c r="E59" s="31">
        <f t="shared" si="2"/>
        <v>0</v>
      </c>
      <c r="F59" s="31">
        <f t="shared" si="3"/>
        <v>0</v>
      </c>
      <c r="G59" s="31" t="str">
        <f t="shared" si="4"/>
        <v>FM</v>
      </c>
      <c r="H59" s="31" t="str">
        <f t="shared" si="4"/>
        <v>FM</v>
      </c>
      <c r="I59" s="31">
        <f t="shared" si="5"/>
        <v>0</v>
      </c>
      <c r="J59" s="31">
        <f t="shared" si="6"/>
        <v>0</v>
      </c>
      <c r="K59" s="31">
        <f t="shared" si="7"/>
        <v>0</v>
      </c>
      <c r="L59" s="31">
        <f t="shared" si="8"/>
        <v>0</v>
      </c>
      <c r="M59" s="31">
        <f t="shared" si="9"/>
        <v>0</v>
      </c>
      <c r="N59" s="31">
        <f t="shared" si="10"/>
        <v>0</v>
      </c>
      <c r="O59" s="31">
        <f t="shared" si="11"/>
        <v>0</v>
      </c>
      <c r="P59" s="31">
        <f t="shared" si="12"/>
        <v>0</v>
      </c>
      <c r="Q59" s="31">
        <f t="shared" si="13"/>
        <v>0</v>
      </c>
      <c r="R59" s="31">
        <f t="shared" si="14"/>
        <v>0</v>
      </c>
      <c r="S59" s="31">
        <f t="shared" si="15"/>
        <v>0</v>
      </c>
      <c r="T59" s="31">
        <f t="shared" si="16"/>
        <v>0</v>
      </c>
      <c r="U59" s="31">
        <f t="shared" si="17"/>
        <v>0</v>
      </c>
      <c r="V59" s="31" t="str">
        <f t="shared" si="18"/>
        <v>DM</v>
      </c>
    </row>
    <row r="60" spans="1:22">
      <c r="A60" s="365"/>
      <c r="B60" s="29">
        <v>3.2</v>
      </c>
      <c r="C60" s="31">
        <f t="shared" si="0"/>
        <v>0</v>
      </c>
      <c r="D60" s="31"/>
      <c r="E60" s="31"/>
      <c r="F60" s="31">
        <f t="shared" si="3"/>
        <v>0</v>
      </c>
      <c r="G60" s="31" t="str">
        <f t="shared" si="4"/>
        <v>FM</v>
      </c>
      <c r="H60" s="31" t="str">
        <f t="shared" si="4"/>
        <v>FM</v>
      </c>
      <c r="I60" s="31">
        <f t="shared" si="5"/>
        <v>0</v>
      </c>
      <c r="J60" s="31">
        <f t="shared" si="6"/>
        <v>0</v>
      </c>
      <c r="K60" s="31">
        <f t="shared" si="7"/>
        <v>0</v>
      </c>
      <c r="L60" s="31">
        <f t="shared" si="8"/>
        <v>0</v>
      </c>
      <c r="M60" s="31">
        <f t="shared" si="9"/>
        <v>0</v>
      </c>
      <c r="N60" s="31">
        <f t="shared" si="10"/>
        <v>0</v>
      </c>
      <c r="O60" s="31">
        <f t="shared" si="11"/>
        <v>0</v>
      </c>
      <c r="P60" s="31"/>
      <c r="Q60" s="31"/>
      <c r="R60" s="31">
        <f t="shared" si="14"/>
        <v>0</v>
      </c>
      <c r="S60" s="31">
        <f t="shared" si="15"/>
        <v>0</v>
      </c>
      <c r="T60" s="31">
        <f t="shared" si="16"/>
        <v>0</v>
      </c>
      <c r="U60" s="31">
        <f t="shared" si="17"/>
        <v>0</v>
      </c>
      <c r="V60" s="31" t="str">
        <f t="shared" si="18"/>
        <v>DM</v>
      </c>
    </row>
    <row r="61" spans="1:22">
      <c r="A61" s="365"/>
      <c r="B61" s="29">
        <v>3.3</v>
      </c>
      <c r="C61" s="31">
        <f t="shared" si="0"/>
        <v>0</v>
      </c>
      <c r="D61" s="31"/>
      <c r="E61" s="31"/>
      <c r="F61" s="31"/>
      <c r="G61" s="31"/>
      <c r="H61" s="31" t="str">
        <f t="shared" si="4"/>
        <v>FM</v>
      </c>
      <c r="I61" s="31">
        <f t="shared" si="5"/>
        <v>0</v>
      </c>
      <c r="J61" s="31">
        <f t="shared" si="6"/>
        <v>0</v>
      </c>
      <c r="K61" s="31">
        <f t="shared" si="7"/>
        <v>0</v>
      </c>
      <c r="L61" s="31">
        <f t="shared" si="8"/>
        <v>0</v>
      </c>
      <c r="M61" s="31">
        <f t="shared" si="9"/>
        <v>0</v>
      </c>
      <c r="N61" s="31">
        <f t="shared" si="10"/>
        <v>0</v>
      </c>
      <c r="O61" s="31">
        <f t="shared" si="11"/>
        <v>0</v>
      </c>
      <c r="P61" s="31"/>
      <c r="Q61" s="31"/>
      <c r="R61" s="31">
        <f t="shared" si="14"/>
        <v>0</v>
      </c>
      <c r="S61" s="31">
        <f t="shared" si="15"/>
        <v>0</v>
      </c>
      <c r="T61" s="31">
        <f t="shared" si="16"/>
        <v>0</v>
      </c>
      <c r="U61" s="31"/>
      <c r="V61" s="31"/>
    </row>
    <row r="62" spans="1:22">
      <c r="A62" s="365"/>
      <c r="B62" s="29">
        <v>3.4</v>
      </c>
      <c r="C62" s="31">
        <f t="shared" si="0"/>
        <v>0</v>
      </c>
      <c r="D62" s="31"/>
      <c r="E62" s="31"/>
      <c r="F62" s="31"/>
      <c r="G62" s="31"/>
      <c r="H62" s="31"/>
      <c r="I62" s="31">
        <f t="shared" si="5"/>
        <v>0</v>
      </c>
      <c r="J62" s="31">
        <f t="shared" si="6"/>
        <v>0</v>
      </c>
      <c r="K62" s="31">
        <f t="shared" si="7"/>
        <v>0</v>
      </c>
      <c r="L62" s="31">
        <f t="shared" si="8"/>
        <v>0</v>
      </c>
      <c r="M62" s="31">
        <f t="shared" si="9"/>
        <v>0</v>
      </c>
      <c r="N62" s="31"/>
      <c r="O62" s="31">
        <f t="shared" si="11"/>
        <v>0</v>
      </c>
      <c r="P62" s="31"/>
      <c r="Q62" s="31"/>
      <c r="R62" s="31">
        <f t="shared" si="14"/>
        <v>0</v>
      </c>
      <c r="S62" s="31">
        <f t="shared" si="15"/>
        <v>0</v>
      </c>
      <c r="T62" s="31">
        <f t="shared" si="16"/>
        <v>0</v>
      </c>
      <c r="U62" s="31"/>
      <c r="V62" s="31"/>
    </row>
    <row r="63" spans="1:22">
      <c r="A63" s="365"/>
      <c r="B63" s="29">
        <v>3.5</v>
      </c>
      <c r="C63" s="31">
        <f t="shared" si="0"/>
        <v>0</v>
      </c>
      <c r="D63" s="31"/>
      <c r="E63" s="31"/>
      <c r="F63" s="31"/>
      <c r="G63" s="31"/>
      <c r="H63" s="31"/>
      <c r="I63" s="31"/>
      <c r="J63" s="31">
        <f t="shared" si="6"/>
        <v>0</v>
      </c>
      <c r="K63" s="31">
        <f t="shared" si="7"/>
        <v>0</v>
      </c>
      <c r="L63" s="31">
        <f t="shared" si="8"/>
        <v>0</v>
      </c>
      <c r="M63" s="31">
        <f t="shared" si="9"/>
        <v>0</v>
      </c>
      <c r="N63" s="31"/>
      <c r="O63" s="31"/>
      <c r="P63" s="31"/>
      <c r="Q63" s="31"/>
      <c r="R63" s="31">
        <f t="shared" si="14"/>
        <v>0</v>
      </c>
      <c r="S63" s="31">
        <f t="shared" si="15"/>
        <v>0</v>
      </c>
      <c r="T63" s="31">
        <f t="shared" si="16"/>
        <v>0</v>
      </c>
      <c r="U63" s="31"/>
      <c r="V63" s="31"/>
    </row>
    <row r="64" spans="1:22">
      <c r="A64" s="365"/>
      <c r="B64" s="29">
        <v>3.6</v>
      </c>
      <c r="C64" s="31"/>
      <c r="D64" s="31"/>
      <c r="E64" s="31"/>
      <c r="F64" s="31"/>
      <c r="G64" s="31"/>
      <c r="H64" s="31"/>
      <c r="I64" s="31"/>
      <c r="J64" s="31">
        <f t="shared" si="6"/>
        <v>0</v>
      </c>
      <c r="K64" s="31">
        <f t="shared" si="7"/>
        <v>0</v>
      </c>
      <c r="L64" s="31">
        <f t="shared" si="8"/>
        <v>0</v>
      </c>
      <c r="M64" s="31">
        <f t="shared" si="9"/>
        <v>0</v>
      </c>
      <c r="N64" s="31"/>
      <c r="O64" s="31"/>
      <c r="P64" s="31"/>
      <c r="Q64" s="31"/>
      <c r="R64" s="31">
        <f t="shared" si="14"/>
        <v>0</v>
      </c>
      <c r="S64" s="31"/>
      <c r="T64" s="31">
        <f t="shared" si="16"/>
        <v>0</v>
      </c>
      <c r="U64" s="31"/>
      <c r="V64" s="31"/>
    </row>
    <row r="65" spans="1:22">
      <c r="A65" s="365"/>
      <c r="B65" s="29">
        <v>3.7</v>
      </c>
      <c r="C65" s="31"/>
      <c r="D65" s="31"/>
      <c r="E65" s="31"/>
      <c r="F65" s="31"/>
      <c r="G65" s="31"/>
      <c r="H65" s="31"/>
      <c r="I65" s="31"/>
      <c r="J65" s="31"/>
      <c r="K65" s="31"/>
      <c r="L65" s="31"/>
      <c r="M65" s="31"/>
      <c r="N65" s="31"/>
      <c r="O65" s="31"/>
      <c r="P65" s="31"/>
      <c r="Q65" s="31"/>
      <c r="R65" s="31">
        <f t="shared" si="14"/>
        <v>0</v>
      </c>
      <c r="S65" s="31"/>
      <c r="T65" s="31"/>
      <c r="U65" s="31"/>
      <c r="V65" s="31"/>
    </row>
    <row r="66" spans="1:22">
      <c r="A66" s="365" t="s">
        <v>1350</v>
      </c>
      <c r="B66" s="30" t="s">
        <v>371</v>
      </c>
      <c r="C66" s="31">
        <f t="shared" si="0"/>
        <v>0</v>
      </c>
      <c r="D66" s="31"/>
      <c r="E66" s="31"/>
      <c r="F66" s="31"/>
      <c r="G66" s="31" t="str">
        <f t="shared" si="4"/>
        <v>S</v>
      </c>
      <c r="H66" s="31" t="str">
        <f t="shared" si="4"/>
        <v>S</v>
      </c>
      <c r="I66" s="31"/>
      <c r="J66" s="31">
        <f t="shared" si="6"/>
        <v>0</v>
      </c>
      <c r="K66" s="31"/>
      <c r="L66" s="31"/>
      <c r="M66" s="31">
        <f t="shared" si="9"/>
        <v>0</v>
      </c>
      <c r="N66" s="31"/>
      <c r="O66" s="31">
        <f t="shared" si="11"/>
        <v>0</v>
      </c>
      <c r="P66" s="31"/>
      <c r="Q66" s="31"/>
      <c r="R66" s="31"/>
      <c r="S66" s="31"/>
      <c r="T66" s="31"/>
      <c r="U66" s="31"/>
      <c r="V66" s="31"/>
    </row>
    <row r="67" spans="1:22">
      <c r="A67" s="365"/>
      <c r="B67" s="29">
        <v>4.0999999999999996</v>
      </c>
      <c r="C67" s="31">
        <f t="shared" si="0"/>
        <v>0</v>
      </c>
      <c r="D67" s="31"/>
      <c r="E67" s="31"/>
      <c r="F67" s="31"/>
      <c r="G67" s="31" t="str">
        <f t="shared" si="4"/>
        <v>FM</v>
      </c>
      <c r="H67" s="31" t="str">
        <f t="shared" si="4"/>
        <v>FM</v>
      </c>
      <c r="I67" s="31"/>
      <c r="J67" s="31">
        <f t="shared" si="6"/>
        <v>0</v>
      </c>
      <c r="K67" s="31"/>
      <c r="L67" s="31"/>
      <c r="M67" s="31">
        <f t="shared" si="9"/>
        <v>0</v>
      </c>
      <c r="N67" s="31"/>
      <c r="O67" s="31">
        <f t="shared" si="11"/>
        <v>0</v>
      </c>
      <c r="P67" s="31"/>
      <c r="Q67" s="31"/>
      <c r="R67" s="31"/>
      <c r="S67" s="31"/>
      <c r="T67" s="31"/>
      <c r="U67" s="31"/>
      <c r="V67" s="31" t="str">
        <f t="shared" si="18"/>
        <v>DM</v>
      </c>
    </row>
    <row r="68" spans="1:22">
      <c r="A68" s="365"/>
      <c r="B68" s="29">
        <v>4.2</v>
      </c>
      <c r="C68" s="31">
        <f t="shared" si="0"/>
        <v>0</v>
      </c>
      <c r="D68" s="31"/>
      <c r="E68" s="31"/>
      <c r="F68" s="31"/>
      <c r="G68" s="31"/>
      <c r="H68" s="31"/>
      <c r="I68" s="31"/>
      <c r="J68" s="31">
        <f t="shared" si="6"/>
        <v>0</v>
      </c>
      <c r="K68" s="31"/>
      <c r="L68" s="31"/>
      <c r="M68" s="31"/>
      <c r="N68" s="31"/>
      <c r="O68" s="31"/>
      <c r="P68" s="31"/>
      <c r="Q68" s="31"/>
      <c r="R68" s="31"/>
      <c r="S68" s="31"/>
      <c r="T68" s="31"/>
      <c r="U68" s="31"/>
      <c r="V68" s="31"/>
    </row>
    <row r="69" spans="1:22">
      <c r="A69" s="365"/>
      <c r="B69" s="29">
        <v>4.3</v>
      </c>
      <c r="C69" s="31"/>
      <c r="D69" s="31"/>
      <c r="E69" s="31"/>
      <c r="F69" s="31"/>
      <c r="G69" s="31"/>
      <c r="H69" s="31"/>
      <c r="I69" s="31"/>
      <c r="J69" s="31">
        <f t="shared" si="6"/>
        <v>0</v>
      </c>
      <c r="K69" s="31"/>
      <c r="L69" s="31"/>
      <c r="M69" s="31"/>
      <c r="N69" s="31"/>
      <c r="O69" s="31"/>
      <c r="P69" s="31"/>
      <c r="Q69" s="31"/>
      <c r="R69" s="31"/>
      <c r="S69" s="31"/>
      <c r="T69" s="31"/>
      <c r="U69" s="31"/>
      <c r="V69" s="31"/>
    </row>
    <row r="70" spans="1:22">
      <c r="A70" s="365"/>
      <c r="B70" s="29">
        <v>4.4000000000000004</v>
      </c>
      <c r="C70" s="31"/>
      <c r="D70" s="31"/>
      <c r="E70" s="31"/>
      <c r="F70" s="31"/>
      <c r="G70" s="31"/>
      <c r="H70" s="31"/>
      <c r="I70" s="31"/>
      <c r="J70" s="31">
        <f t="shared" si="6"/>
        <v>0</v>
      </c>
      <c r="K70" s="31"/>
      <c r="L70" s="31"/>
      <c r="M70" s="31"/>
      <c r="N70" s="31"/>
      <c r="O70" s="31"/>
      <c r="P70" s="31"/>
      <c r="Q70" s="31"/>
      <c r="R70" s="31"/>
      <c r="S70" s="31"/>
      <c r="T70" s="31"/>
      <c r="U70" s="31"/>
      <c r="V70" s="31"/>
    </row>
    <row r="71" spans="1:22">
      <c r="A71" s="365"/>
      <c r="B71" s="29">
        <v>4.5</v>
      </c>
      <c r="C71" s="31"/>
      <c r="D71" s="31"/>
      <c r="E71" s="31"/>
      <c r="F71" s="31"/>
      <c r="G71" s="31"/>
      <c r="H71" s="31"/>
      <c r="I71" s="31"/>
      <c r="J71" s="31">
        <f t="shared" si="6"/>
        <v>0</v>
      </c>
      <c r="K71" s="31"/>
      <c r="L71" s="31"/>
      <c r="M71" s="31"/>
      <c r="N71" s="31"/>
      <c r="O71" s="31"/>
      <c r="P71" s="31"/>
      <c r="Q71" s="31"/>
      <c r="R71" s="31"/>
      <c r="S71" s="31"/>
      <c r="T71" s="31"/>
      <c r="U71" s="31"/>
      <c r="V71" s="31"/>
    </row>
    <row r="72" spans="1:22">
      <c r="A72" s="365" t="s">
        <v>511</v>
      </c>
      <c r="B72" s="30" t="s">
        <v>511</v>
      </c>
      <c r="C72" s="31">
        <f t="shared" si="0"/>
        <v>0</v>
      </c>
      <c r="D72" s="31"/>
      <c r="E72" s="31"/>
      <c r="F72" s="31"/>
      <c r="G72" s="31"/>
      <c r="H72" s="31"/>
      <c r="I72" s="31"/>
      <c r="J72" s="31">
        <f t="shared" si="6"/>
        <v>0</v>
      </c>
      <c r="K72" s="31"/>
      <c r="L72" s="31"/>
      <c r="M72" s="31"/>
      <c r="N72" s="31"/>
      <c r="O72" s="31"/>
      <c r="P72" s="31"/>
      <c r="Q72" s="31"/>
      <c r="R72" s="31"/>
      <c r="S72" s="31"/>
      <c r="T72" s="31"/>
      <c r="U72" s="31"/>
      <c r="V72" s="31"/>
    </row>
    <row r="73" spans="1:22">
      <c r="A73" s="365"/>
      <c r="B73" s="29">
        <v>5.0999999999999996</v>
      </c>
      <c r="C73" s="31">
        <f t="shared" si="0"/>
        <v>0</v>
      </c>
      <c r="D73" s="31"/>
      <c r="E73" s="31"/>
      <c r="F73" s="31"/>
      <c r="G73" s="31"/>
      <c r="H73" s="31"/>
      <c r="I73" s="31"/>
      <c r="J73" s="31">
        <f t="shared" si="6"/>
        <v>0</v>
      </c>
      <c r="K73" s="31"/>
      <c r="L73" s="31"/>
      <c r="M73" s="31"/>
      <c r="N73" s="31"/>
      <c r="O73" s="31"/>
      <c r="P73" s="31"/>
      <c r="Q73" s="31"/>
      <c r="R73" s="31"/>
      <c r="S73" s="31"/>
      <c r="T73" s="31"/>
      <c r="U73" s="31"/>
      <c r="V73" s="31"/>
    </row>
    <row r="74" spans="1:22">
      <c r="A74" s="365"/>
      <c r="B74" s="29">
        <v>5.2</v>
      </c>
      <c r="C74" s="31"/>
      <c r="D74" s="31"/>
      <c r="E74" s="31"/>
      <c r="F74" s="31"/>
      <c r="G74" s="31"/>
      <c r="H74" s="31"/>
      <c r="I74" s="31"/>
      <c r="J74" s="31">
        <f t="shared" si="6"/>
        <v>0</v>
      </c>
      <c r="K74" s="31"/>
      <c r="L74" s="31"/>
      <c r="M74" s="31"/>
      <c r="N74" s="31"/>
      <c r="O74" s="31"/>
      <c r="P74" s="31"/>
      <c r="Q74" s="31"/>
      <c r="R74" s="31"/>
      <c r="S74" s="31"/>
      <c r="T74" s="31"/>
      <c r="U74" s="31"/>
      <c r="V74" s="31"/>
    </row>
    <row r="75" spans="1:22">
      <c r="A75" s="365"/>
      <c r="B75" s="29">
        <v>5.3</v>
      </c>
      <c r="C75" s="31"/>
      <c r="D75" s="31"/>
      <c r="E75" s="31"/>
      <c r="F75" s="31"/>
      <c r="G75" s="31"/>
      <c r="H75" s="31"/>
      <c r="I75" s="31"/>
      <c r="J75" s="31">
        <f t="shared" si="6"/>
        <v>0</v>
      </c>
      <c r="K75" s="31"/>
      <c r="L75" s="31"/>
      <c r="M75" s="31"/>
      <c r="N75" s="31"/>
      <c r="O75" s="31"/>
      <c r="P75" s="31"/>
      <c r="Q75" s="31"/>
      <c r="R75" s="31"/>
      <c r="S75" s="31"/>
      <c r="T75" s="31"/>
      <c r="U75" s="31"/>
      <c r="V75" s="31"/>
    </row>
  </sheetData>
  <mergeCells count="18">
    <mergeCell ref="A45:A48"/>
    <mergeCell ref="A49:A57"/>
    <mergeCell ref="A58:A65"/>
    <mergeCell ref="A66:A71"/>
    <mergeCell ref="A72:A75"/>
    <mergeCell ref="E2:F2"/>
    <mergeCell ref="P2:R2"/>
    <mergeCell ref="S2:U2"/>
    <mergeCell ref="A4:A7"/>
    <mergeCell ref="A8:A16"/>
    <mergeCell ref="G2:J2"/>
    <mergeCell ref="K2:M2"/>
    <mergeCell ref="A31:A34"/>
    <mergeCell ref="A25:A30"/>
    <mergeCell ref="A2:A3"/>
    <mergeCell ref="B2:B3"/>
    <mergeCell ref="C2:D2"/>
    <mergeCell ref="A17:A24"/>
  </mergeCells>
  <phoneticPr fontId="62" type="noConversion"/>
  <conditionalFormatting sqref="C4:V34">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8">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7">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5">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1">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5:C75">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5">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49">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8">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6">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2">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5:D75">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5:E75">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5:F75">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5:G75">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5:H75">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5:I75">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5:J75">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5:K75">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5:L75">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5:M75">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5:N75">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5:O75">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5:P75">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5:Q75">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5:R75">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5:S75">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5:T75">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5:U75">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5:V75">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39"/>
  <sheetViews>
    <sheetView topLeftCell="A3" workbookViewId="0">
      <selection activeCell="K27" sqref="K27"/>
    </sheetView>
  </sheetViews>
  <sheetFormatPr defaultColWidth="8.6640625" defaultRowHeight="14.4"/>
  <cols>
    <col min="1" max="2" width="8.6640625" style="27"/>
    <col min="3" max="9" width="7.6640625" style="42" customWidth="1"/>
    <col min="10" max="10" width="3.44140625" style="27" customWidth="1"/>
    <col min="11" max="18" width="7.6640625" style="42" customWidth="1"/>
    <col min="19" max="16384" width="8.6640625" style="27"/>
  </cols>
  <sheetData>
    <row r="1" spans="1:18" s="45" customFormat="1" ht="18">
      <c r="A1" s="45" t="s">
        <v>1354</v>
      </c>
      <c r="C1" s="46"/>
      <c r="D1" s="46"/>
      <c r="E1" s="46"/>
      <c r="F1" s="46"/>
      <c r="G1" s="46"/>
      <c r="H1" s="46"/>
      <c r="I1" s="46"/>
      <c r="K1" s="46"/>
      <c r="L1" s="46"/>
      <c r="M1" s="46"/>
      <c r="N1" s="46"/>
      <c r="O1" s="46"/>
      <c r="P1" s="46"/>
      <c r="Q1" s="46"/>
      <c r="R1" s="46"/>
    </row>
    <row r="2" spans="1:18" ht="68.099999999999994" customHeight="1">
      <c r="A2" s="368" t="s">
        <v>1315</v>
      </c>
      <c r="B2" s="368" t="s">
        <v>1316</v>
      </c>
      <c r="C2" s="28" t="s">
        <v>1355</v>
      </c>
      <c r="D2" s="47" t="s">
        <v>1356</v>
      </c>
      <c r="E2" s="47" t="s">
        <v>1357</v>
      </c>
      <c r="F2" s="47" t="s">
        <v>1358</v>
      </c>
      <c r="G2" s="47" t="s">
        <v>1359</v>
      </c>
      <c r="H2" s="47" t="s">
        <v>1360</v>
      </c>
      <c r="I2" s="47" t="s">
        <v>1361</v>
      </c>
      <c r="J2" s="29"/>
      <c r="K2" s="28" t="s">
        <v>1355</v>
      </c>
      <c r="L2" s="47" t="s">
        <v>1356</v>
      </c>
      <c r="M2" s="47" t="s">
        <v>1357</v>
      </c>
      <c r="N2" s="47" t="s">
        <v>1358</v>
      </c>
      <c r="O2" s="47" t="s">
        <v>1359</v>
      </c>
      <c r="P2" s="47" t="s">
        <v>1362</v>
      </c>
      <c r="Q2" s="47" t="s">
        <v>1360</v>
      </c>
      <c r="R2" s="47" t="s">
        <v>1361</v>
      </c>
    </row>
    <row r="3" spans="1:18">
      <c r="A3" s="368"/>
      <c r="B3" s="368"/>
      <c r="C3" s="28" t="s">
        <v>1326</v>
      </c>
      <c r="D3" s="28" t="s">
        <v>1326</v>
      </c>
      <c r="E3" s="28" t="s">
        <v>1326</v>
      </c>
      <c r="F3" s="28" t="s">
        <v>1326</v>
      </c>
      <c r="G3" s="28" t="s">
        <v>1326</v>
      </c>
      <c r="H3" s="28" t="s">
        <v>1326</v>
      </c>
      <c r="I3" s="28" t="s">
        <v>1326</v>
      </c>
      <c r="J3" s="29"/>
      <c r="K3" s="28" t="s">
        <v>1327</v>
      </c>
      <c r="L3" s="28" t="s">
        <v>1327</v>
      </c>
      <c r="M3" s="28" t="s">
        <v>1327</v>
      </c>
      <c r="N3" s="28" t="s">
        <v>1327</v>
      </c>
      <c r="O3" s="28" t="s">
        <v>1327</v>
      </c>
      <c r="P3" s="28" t="s">
        <v>1327</v>
      </c>
      <c r="Q3" s="28" t="s">
        <v>1327</v>
      </c>
      <c r="R3" s="28" t="s">
        <v>1327</v>
      </c>
    </row>
    <row r="4" spans="1:18">
      <c r="A4" s="365" t="s">
        <v>1346</v>
      </c>
      <c r="B4" s="30" t="s">
        <v>27</v>
      </c>
      <c r="C4" s="48" t="s">
        <v>1363</v>
      </c>
      <c r="D4" s="48"/>
      <c r="E4" s="48"/>
      <c r="F4" s="48"/>
      <c r="G4" s="48"/>
      <c r="H4" s="48"/>
      <c r="I4" s="48"/>
      <c r="J4" s="29"/>
      <c r="K4" s="48" t="s">
        <v>1363</v>
      </c>
      <c r="L4" s="48"/>
      <c r="M4" s="48"/>
      <c r="N4" s="48"/>
      <c r="O4" s="48"/>
      <c r="P4" s="48"/>
      <c r="Q4" s="48"/>
      <c r="R4" s="48"/>
    </row>
    <row r="5" spans="1:18">
      <c r="A5" s="365"/>
      <c r="B5" s="29">
        <v>1.1000000000000001</v>
      </c>
      <c r="C5" s="48" t="s">
        <v>1189</v>
      </c>
      <c r="D5" s="48" t="s">
        <v>1189</v>
      </c>
      <c r="E5" s="48" t="s">
        <v>1189</v>
      </c>
      <c r="F5" s="48" t="s">
        <v>1189</v>
      </c>
      <c r="G5" s="48" t="s">
        <v>1189</v>
      </c>
      <c r="H5" s="48" t="s">
        <v>1189</v>
      </c>
      <c r="I5" s="48" t="s">
        <v>1189</v>
      </c>
      <c r="J5" s="29"/>
      <c r="K5" s="48" t="s">
        <v>1189</v>
      </c>
      <c r="L5" s="48" t="s">
        <v>1189</v>
      </c>
      <c r="M5" s="48" t="s">
        <v>1189</v>
      </c>
      <c r="N5" s="48" t="s">
        <v>1189</v>
      </c>
      <c r="O5" s="48" t="s">
        <v>1189</v>
      </c>
      <c r="P5" s="48" t="s">
        <v>1189</v>
      </c>
      <c r="Q5" s="48" t="s">
        <v>1189</v>
      </c>
      <c r="R5" s="48" t="s">
        <v>1189</v>
      </c>
    </row>
    <row r="6" spans="1:18">
      <c r="A6" s="365"/>
      <c r="B6" s="29">
        <v>1.2</v>
      </c>
      <c r="C6" s="30"/>
      <c r="D6" s="30"/>
      <c r="E6" s="30"/>
      <c r="F6" s="30"/>
      <c r="G6" s="30"/>
      <c r="H6" s="30"/>
      <c r="I6" s="30"/>
      <c r="J6" s="29"/>
      <c r="K6" s="30"/>
      <c r="L6" s="30"/>
      <c r="M6" s="30"/>
      <c r="N6" s="30"/>
      <c r="O6" s="30"/>
      <c r="P6" s="30"/>
      <c r="Q6" s="30"/>
      <c r="R6" s="30"/>
    </row>
    <row r="7" spans="1:18">
      <c r="A7" s="365"/>
      <c r="B7" s="29">
        <v>1.3</v>
      </c>
      <c r="C7" s="30"/>
      <c r="D7" s="30"/>
      <c r="E7" s="30"/>
      <c r="F7" s="30"/>
      <c r="G7" s="30"/>
      <c r="H7" s="30"/>
      <c r="I7" s="30"/>
      <c r="J7" s="29"/>
      <c r="K7" s="30"/>
      <c r="L7" s="30"/>
      <c r="M7" s="30"/>
      <c r="N7" s="30"/>
      <c r="O7" s="30"/>
      <c r="P7" s="30"/>
      <c r="Q7" s="30"/>
      <c r="R7" s="30"/>
    </row>
    <row r="8" spans="1:18">
      <c r="A8" s="365" t="s">
        <v>28</v>
      </c>
      <c r="B8" s="30" t="s">
        <v>28</v>
      </c>
      <c r="C8" s="48" t="s">
        <v>1363</v>
      </c>
      <c r="D8" s="48"/>
      <c r="E8" s="48"/>
      <c r="F8" s="48"/>
      <c r="G8" s="48"/>
      <c r="H8" s="48"/>
      <c r="I8" s="48"/>
      <c r="J8" s="29"/>
      <c r="K8" s="48" t="s">
        <v>1363</v>
      </c>
      <c r="L8" s="48"/>
      <c r="M8" s="48"/>
      <c r="N8" s="48"/>
      <c r="O8" s="48"/>
      <c r="P8" s="48"/>
      <c r="Q8" s="48"/>
      <c r="R8" s="48"/>
    </row>
    <row r="9" spans="1:18">
      <c r="A9" s="365"/>
      <c r="B9" s="29">
        <v>2.1</v>
      </c>
      <c r="C9" s="48" t="s">
        <v>1189</v>
      </c>
      <c r="D9" s="48" t="s">
        <v>1189</v>
      </c>
      <c r="E9" s="48" t="s">
        <v>1189</v>
      </c>
      <c r="F9" s="48" t="s">
        <v>1189</v>
      </c>
      <c r="G9" s="48" t="s">
        <v>1189</v>
      </c>
      <c r="H9" s="48" t="s">
        <v>1189</v>
      </c>
      <c r="I9" s="48" t="s">
        <v>1189</v>
      </c>
      <c r="J9" s="29"/>
      <c r="K9" s="48" t="s">
        <v>1189</v>
      </c>
      <c r="L9" s="48" t="s">
        <v>1189</v>
      </c>
      <c r="M9" s="48" t="s">
        <v>1189</v>
      </c>
      <c r="N9" s="48" t="s">
        <v>1189</v>
      </c>
      <c r="O9" s="48" t="s">
        <v>1189</v>
      </c>
      <c r="P9" s="48" t="s">
        <v>1189</v>
      </c>
      <c r="Q9" s="48" t="s">
        <v>1189</v>
      </c>
      <c r="R9" s="48" t="s">
        <v>1189</v>
      </c>
    </row>
    <row r="10" spans="1:18">
      <c r="A10" s="365"/>
      <c r="B10" s="29">
        <v>2.2000000000000002</v>
      </c>
      <c r="C10" s="48" t="s">
        <v>1189</v>
      </c>
      <c r="D10" s="48" t="s">
        <v>1189</v>
      </c>
      <c r="E10" s="48" t="s">
        <v>1189</v>
      </c>
      <c r="F10" s="48" t="s">
        <v>1189</v>
      </c>
      <c r="G10" s="48" t="s">
        <v>1189</v>
      </c>
      <c r="H10" s="48" t="s">
        <v>1189</v>
      </c>
      <c r="I10" s="48" t="s">
        <v>1189</v>
      </c>
      <c r="J10" s="29"/>
      <c r="K10" s="48" t="s">
        <v>1189</v>
      </c>
      <c r="L10" s="48"/>
      <c r="M10" s="48"/>
      <c r="N10" s="48"/>
      <c r="O10" s="48"/>
      <c r="P10" s="48"/>
      <c r="Q10" s="48"/>
      <c r="R10" s="48"/>
    </row>
    <row r="11" spans="1:18">
      <c r="A11" s="365"/>
      <c r="B11" s="29">
        <v>2.2999999999999998</v>
      </c>
      <c r="C11" s="48" t="s">
        <v>1189</v>
      </c>
      <c r="D11" s="48" t="s">
        <v>1189</v>
      </c>
      <c r="E11" s="48" t="s">
        <v>1189</v>
      </c>
      <c r="F11" s="48" t="s">
        <v>1189</v>
      </c>
      <c r="G11" s="48" t="s">
        <v>1189</v>
      </c>
      <c r="H11" s="48" t="s">
        <v>1189</v>
      </c>
      <c r="I11" s="48" t="s">
        <v>1189</v>
      </c>
      <c r="J11" s="29"/>
      <c r="K11" s="30"/>
      <c r="L11" s="30"/>
      <c r="M11" s="30"/>
      <c r="N11" s="30"/>
      <c r="O11" s="30"/>
      <c r="P11" s="30"/>
      <c r="Q11" s="30"/>
      <c r="R11" s="30"/>
    </row>
    <row r="12" spans="1:18">
      <c r="A12" s="365"/>
      <c r="B12" s="29">
        <v>2.4</v>
      </c>
      <c r="C12" s="48" t="s">
        <v>1189</v>
      </c>
      <c r="D12" s="48" t="s">
        <v>1189</v>
      </c>
      <c r="E12" s="48" t="s">
        <v>1189</v>
      </c>
      <c r="F12" s="48" t="s">
        <v>1189</v>
      </c>
      <c r="G12" s="48" t="s">
        <v>1189</v>
      </c>
      <c r="H12" s="48" t="s">
        <v>1189</v>
      </c>
      <c r="I12" s="48" t="s">
        <v>1189</v>
      </c>
      <c r="J12" s="29"/>
      <c r="K12" s="30"/>
      <c r="L12" s="30"/>
      <c r="M12" s="30"/>
      <c r="N12" s="30"/>
      <c r="O12" s="30"/>
      <c r="P12" s="30"/>
      <c r="Q12" s="30"/>
      <c r="R12" s="30"/>
    </row>
    <row r="13" spans="1:18">
      <c r="A13" s="365"/>
      <c r="B13" s="29">
        <v>2.5</v>
      </c>
      <c r="C13" s="30"/>
      <c r="D13" s="30"/>
      <c r="E13" s="30"/>
      <c r="F13" s="30"/>
      <c r="G13" s="30"/>
      <c r="H13" s="30"/>
      <c r="I13" s="30"/>
      <c r="J13" s="29"/>
      <c r="K13" s="30"/>
      <c r="L13" s="30"/>
      <c r="M13" s="30"/>
      <c r="N13" s="30"/>
      <c r="O13" s="30"/>
      <c r="P13" s="30"/>
      <c r="Q13" s="30"/>
      <c r="R13" s="30"/>
    </row>
    <row r="14" spans="1:18">
      <c r="A14" s="365"/>
      <c r="B14" s="29">
        <v>2.6</v>
      </c>
      <c r="C14" s="30"/>
      <c r="D14" s="30"/>
      <c r="E14" s="30"/>
      <c r="F14" s="30"/>
      <c r="G14" s="30"/>
      <c r="H14" s="30"/>
      <c r="I14" s="30"/>
      <c r="J14" s="29"/>
      <c r="K14" s="30"/>
      <c r="L14" s="30"/>
      <c r="M14" s="30"/>
      <c r="N14" s="30"/>
      <c r="O14" s="30"/>
      <c r="P14" s="30"/>
      <c r="Q14" s="30"/>
      <c r="R14" s="30"/>
    </row>
    <row r="15" spans="1:18">
      <c r="A15" s="365"/>
      <c r="B15" s="29">
        <v>2.7</v>
      </c>
      <c r="C15" s="30"/>
      <c r="D15" s="30"/>
      <c r="E15" s="30"/>
      <c r="F15" s="30"/>
      <c r="G15" s="30"/>
      <c r="H15" s="30"/>
      <c r="I15" s="30"/>
      <c r="J15" s="29"/>
      <c r="K15" s="30"/>
      <c r="L15" s="30"/>
      <c r="M15" s="30"/>
      <c r="N15" s="30"/>
      <c r="O15" s="30"/>
      <c r="P15" s="30"/>
      <c r="Q15" s="30"/>
      <c r="R15" s="30"/>
    </row>
    <row r="16" spans="1:18">
      <c r="A16" s="365"/>
      <c r="B16" s="29">
        <v>2.8</v>
      </c>
      <c r="C16" s="30"/>
      <c r="D16" s="30"/>
      <c r="E16" s="30"/>
      <c r="F16" s="30"/>
      <c r="G16" s="30"/>
      <c r="H16" s="30"/>
      <c r="I16" s="30"/>
      <c r="J16" s="29"/>
      <c r="K16" s="30"/>
      <c r="L16" s="30"/>
      <c r="M16" s="30"/>
      <c r="N16" s="30"/>
      <c r="O16" s="30"/>
      <c r="P16" s="30"/>
      <c r="Q16" s="30"/>
      <c r="R16" s="30"/>
    </row>
    <row r="17" spans="1:18">
      <c r="A17" s="365" t="s">
        <v>29</v>
      </c>
      <c r="B17" s="30" t="s">
        <v>29</v>
      </c>
      <c r="C17" s="48" t="s">
        <v>1363</v>
      </c>
      <c r="D17" s="48"/>
      <c r="E17" s="48"/>
      <c r="F17" s="48"/>
      <c r="G17" s="48"/>
      <c r="H17" s="48"/>
      <c r="I17" s="48"/>
      <c r="J17" s="29"/>
      <c r="K17" s="48" t="s">
        <v>1363</v>
      </c>
      <c r="L17" s="48"/>
      <c r="M17" s="48"/>
      <c r="N17" s="48"/>
      <c r="O17" s="48"/>
      <c r="P17" s="48"/>
      <c r="Q17" s="48"/>
      <c r="R17" s="48"/>
    </row>
    <row r="18" spans="1:18">
      <c r="A18" s="365"/>
      <c r="B18" s="29">
        <v>3.1</v>
      </c>
      <c r="C18" s="48" t="s">
        <v>1189</v>
      </c>
      <c r="D18" s="48" t="s">
        <v>1189</v>
      </c>
      <c r="E18" s="48" t="s">
        <v>1189</v>
      </c>
      <c r="F18" s="48" t="s">
        <v>1189</v>
      </c>
      <c r="G18" s="48" t="s">
        <v>1189</v>
      </c>
      <c r="H18" s="48" t="s">
        <v>1189</v>
      </c>
      <c r="I18" s="48" t="s">
        <v>1189</v>
      </c>
      <c r="J18" s="29"/>
      <c r="K18" s="48" t="s">
        <v>1189</v>
      </c>
      <c r="L18" s="48" t="s">
        <v>1189</v>
      </c>
      <c r="M18" s="48" t="s">
        <v>1189</v>
      </c>
      <c r="N18" s="48" t="s">
        <v>1189</v>
      </c>
      <c r="O18" s="48" t="s">
        <v>1189</v>
      </c>
      <c r="P18" s="48" t="s">
        <v>1189</v>
      </c>
      <c r="Q18" s="48" t="s">
        <v>1189</v>
      </c>
      <c r="R18" s="48" t="s">
        <v>1189</v>
      </c>
    </row>
    <row r="19" spans="1:18">
      <c r="A19" s="365"/>
      <c r="B19" s="29">
        <v>3.2</v>
      </c>
      <c r="C19" s="48" t="s">
        <v>1189</v>
      </c>
      <c r="D19" s="48" t="s">
        <v>1189</v>
      </c>
      <c r="E19" s="48" t="s">
        <v>1189</v>
      </c>
      <c r="F19" s="48" t="s">
        <v>1189</v>
      </c>
      <c r="G19" s="48" t="s">
        <v>1189</v>
      </c>
      <c r="H19" s="48" t="s">
        <v>1189</v>
      </c>
      <c r="I19" s="48" t="s">
        <v>1189</v>
      </c>
      <c r="J19" s="29"/>
      <c r="K19" s="48" t="s">
        <v>1189</v>
      </c>
      <c r="L19" s="48" t="s">
        <v>1189</v>
      </c>
      <c r="M19" s="48" t="s">
        <v>1189</v>
      </c>
      <c r="N19" s="48" t="s">
        <v>1189</v>
      </c>
      <c r="O19" s="48" t="s">
        <v>1189</v>
      </c>
      <c r="P19" s="48" t="s">
        <v>1189</v>
      </c>
      <c r="Q19" s="48" t="s">
        <v>1189</v>
      </c>
      <c r="R19" s="48" t="s">
        <v>1189</v>
      </c>
    </row>
    <row r="20" spans="1:18">
      <c r="A20" s="365"/>
      <c r="B20" s="29">
        <v>3.3</v>
      </c>
      <c r="C20" s="30"/>
      <c r="D20" s="30"/>
      <c r="E20" s="30"/>
      <c r="F20" s="30"/>
      <c r="G20" s="30"/>
      <c r="H20" s="30"/>
      <c r="I20" s="30"/>
      <c r="J20" s="29"/>
      <c r="K20" s="48" t="s">
        <v>1189</v>
      </c>
      <c r="L20" s="48" t="s">
        <v>1189</v>
      </c>
      <c r="M20" s="48" t="s">
        <v>1189</v>
      </c>
      <c r="N20" s="48" t="s">
        <v>1189</v>
      </c>
      <c r="O20" s="48" t="s">
        <v>1189</v>
      </c>
      <c r="P20" s="48" t="s">
        <v>1189</v>
      </c>
      <c r="Q20" s="48" t="s">
        <v>1189</v>
      </c>
      <c r="R20" s="48" t="s">
        <v>1189</v>
      </c>
    </row>
    <row r="21" spans="1:18">
      <c r="A21" s="365"/>
      <c r="B21" s="29">
        <v>3.4</v>
      </c>
      <c r="C21" s="30"/>
      <c r="D21" s="30"/>
      <c r="E21" s="30"/>
      <c r="F21" s="30"/>
      <c r="G21" s="30"/>
      <c r="H21" s="30"/>
      <c r="I21" s="30"/>
      <c r="J21" s="29"/>
      <c r="K21" s="30"/>
      <c r="L21" s="30"/>
      <c r="M21" s="30"/>
      <c r="N21" s="30"/>
      <c r="O21" s="30"/>
      <c r="P21" s="30"/>
      <c r="Q21" s="30"/>
      <c r="R21" s="30"/>
    </row>
    <row r="22" spans="1:18">
      <c r="A22" s="365"/>
      <c r="B22" s="29">
        <v>3.5</v>
      </c>
      <c r="C22" s="30"/>
      <c r="D22" s="30"/>
      <c r="E22" s="30"/>
      <c r="F22" s="30"/>
      <c r="G22" s="30"/>
      <c r="H22" s="30"/>
      <c r="I22" s="30"/>
      <c r="J22" s="29"/>
      <c r="K22" s="30"/>
      <c r="L22" s="30"/>
      <c r="M22" s="30"/>
      <c r="N22" s="30"/>
      <c r="O22" s="30"/>
      <c r="P22" s="30"/>
      <c r="Q22" s="30"/>
      <c r="R22" s="30"/>
    </row>
    <row r="23" spans="1:18">
      <c r="A23" s="365"/>
      <c r="B23" s="29">
        <v>3.6</v>
      </c>
      <c r="C23" s="30"/>
      <c r="D23" s="30"/>
      <c r="E23" s="30"/>
      <c r="F23" s="30"/>
      <c r="G23" s="30"/>
      <c r="H23" s="30"/>
      <c r="I23" s="30"/>
      <c r="J23" s="29"/>
      <c r="K23" s="30"/>
      <c r="L23" s="30"/>
      <c r="M23" s="30"/>
      <c r="N23" s="30"/>
      <c r="O23" s="30"/>
      <c r="P23" s="30"/>
      <c r="Q23" s="30"/>
      <c r="R23" s="30"/>
    </row>
    <row r="24" spans="1:18">
      <c r="A24" s="365"/>
      <c r="B24" s="29">
        <v>3.7</v>
      </c>
      <c r="C24" s="30"/>
      <c r="D24" s="30"/>
      <c r="E24" s="30"/>
      <c r="F24" s="30"/>
      <c r="G24" s="30"/>
      <c r="H24" s="30"/>
      <c r="I24" s="30"/>
      <c r="J24" s="29"/>
      <c r="K24" s="30"/>
      <c r="L24" s="30"/>
      <c r="M24" s="30"/>
      <c r="N24" s="30"/>
      <c r="O24" s="30"/>
      <c r="P24" s="30"/>
      <c r="Q24" s="30"/>
      <c r="R24" s="30"/>
    </row>
    <row r="25" spans="1:18">
      <c r="A25" s="365" t="s">
        <v>1350</v>
      </c>
      <c r="B25" s="30" t="s">
        <v>371</v>
      </c>
      <c r="C25" s="48" t="s">
        <v>1363</v>
      </c>
      <c r="D25" s="48"/>
      <c r="E25" s="48"/>
      <c r="F25" s="48"/>
      <c r="G25" s="48"/>
      <c r="H25" s="48"/>
      <c r="I25" s="48"/>
      <c r="J25" s="29"/>
      <c r="K25" s="48" t="s">
        <v>1363</v>
      </c>
      <c r="L25" s="48"/>
      <c r="M25" s="48"/>
      <c r="N25" s="48"/>
      <c r="O25" s="48"/>
      <c r="P25" s="48"/>
      <c r="Q25" s="48"/>
      <c r="R25" s="48"/>
    </row>
    <row r="26" spans="1:18">
      <c r="A26" s="365"/>
      <c r="B26" s="29">
        <v>4.0999999999999996</v>
      </c>
      <c r="C26" s="48" t="s">
        <v>1189</v>
      </c>
      <c r="D26" s="48" t="s">
        <v>1189</v>
      </c>
      <c r="E26" s="48" t="s">
        <v>1189</v>
      </c>
      <c r="F26" s="48" t="s">
        <v>1189</v>
      </c>
      <c r="G26" s="48" t="s">
        <v>1189</v>
      </c>
      <c r="H26" s="48" t="s">
        <v>1189</v>
      </c>
      <c r="I26" s="48" t="s">
        <v>1189</v>
      </c>
      <c r="J26" s="29"/>
      <c r="K26" s="30" t="s">
        <v>1189</v>
      </c>
      <c r="L26" s="30"/>
      <c r="M26" s="30"/>
      <c r="N26" s="30"/>
      <c r="O26" s="30"/>
      <c r="P26" s="30"/>
      <c r="Q26" s="30"/>
      <c r="R26" s="30"/>
    </row>
    <row r="27" spans="1:18">
      <c r="A27" s="365"/>
      <c r="B27" s="29">
        <v>4.2</v>
      </c>
      <c r="C27" s="30"/>
      <c r="D27" s="30"/>
      <c r="E27" s="30"/>
      <c r="F27" s="30"/>
      <c r="G27" s="30"/>
      <c r="H27" s="30"/>
      <c r="I27" s="30"/>
      <c r="J27" s="29"/>
      <c r="K27" s="30"/>
      <c r="L27" s="30"/>
      <c r="M27" s="30"/>
      <c r="N27" s="30"/>
      <c r="O27" s="30"/>
      <c r="P27" s="30"/>
      <c r="Q27" s="30"/>
      <c r="R27" s="30"/>
    </row>
    <row r="28" spans="1:18">
      <c r="A28" s="365"/>
      <c r="B28" s="29">
        <v>4.3</v>
      </c>
      <c r="C28" s="30"/>
      <c r="D28" s="30"/>
      <c r="E28" s="30"/>
      <c r="F28" s="30"/>
      <c r="G28" s="30"/>
      <c r="H28" s="30"/>
      <c r="I28" s="30"/>
      <c r="J28" s="29"/>
      <c r="K28" s="30"/>
      <c r="L28" s="30"/>
      <c r="M28" s="30"/>
      <c r="N28" s="30"/>
      <c r="O28" s="30"/>
      <c r="P28" s="30"/>
      <c r="Q28" s="30"/>
      <c r="R28" s="30"/>
    </row>
    <row r="29" spans="1:18">
      <c r="A29" s="365"/>
      <c r="B29" s="29">
        <v>4.4000000000000004</v>
      </c>
      <c r="C29" s="30"/>
      <c r="D29" s="30"/>
      <c r="E29" s="30"/>
      <c r="F29" s="30"/>
      <c r="G29" s="30"/>
      <c r="H29" s="30"/>
      <c r="I29" s="30"/>
      <c r="J29" s="29"/>
      <c r="K29" s="30"/>
      <c r="L29" s="30"/>
      <c r="M29" s="30"/>
      <c r="N29" s="30"/>
      <c r="O29" s="30"/>
      <c r="P29" s="30"/>
      <c r="Q29" s="30"/>
      <c r="R29" s="30"/>
    </row>
    <row r="30" spans="1:18">
      <c r="A30" s="365"/>
      <c r="B30" s="29">
        <v>4.5</v>
      </c>
      <c r="C30" s="30"/>
      <c r="D30" s="30"/>
      <c r="E30" s="30"/>
      <c r="F30" s="30"/>
      <c r="G30" s="30"/>
      <c r="H30" s="30"/>
      <c r="I30" s="30"/>
      <c r="J30" s="29"/>
      <c r="K30" s="30"/>
      <c r="L30" s="30"/>
      <c r="M30" s="30"/>
      <c r="N30" s="30"/>
      <c r="O30" s="30"/>
      <c r="P30" s="30"/>
      <c r="Q30" s="30"/>
      <c r="R30" s="30"/>
    </row>
    <row r="31" spans="1:18">
      <c r="A31" s="365" t="s">
        <v>511</v>
      </c>
      <c r="B31" s="30" t="s">
        <v>511</v>
      </c>
      <c r="C31" s="30"/>
      <c r="D31" s="30"/>
      <c r="E31" s="30"/>
      <c r="F31" s="30"/>
      <c r="G31" s="30"/>
      <c r="H31" s="30"/>
      <c r="I31" s="30"/>
      <c r="J31" s="29"/>
      <c r="K31" s="30"/>
      <c r="L31" s="30"/>
      <c r="M31" s="30"/>
      <c r="N31" s="30"/>
      <c r="O31" s="30"/>
      <c r="P31" s="30"/>
      <c r="Q31" s="30"/>
      <c r="R31" s="30"/>
    </row>
    <row r="32" spans="1:18">
      <c r="A32" s="365"/>
      <c r="B32" s="29">
        <v>5.0999999999999996</v>
      </c>
      <c r="C32" s="30"/>
      <c r="D32" s="30"/>
      <c r="E32" s="30"/>
      <c r="F32" s="30"/>
      <c r="G32" s="30"/>
      <c r="H32" s="30"/>
      <c r="I32" s="30"/>
      <c r="J32" s="29"/>
      <c r="K32" s="30"/>
      <c r="L32" s="30"/>
      <c r="M32" s="30"/>
      <c r="N32" s="30"/>
      <c r="O32" s="30"/>
      <c r="P32" s="30"/>
      <c r="Q32" s="30"/>
      <c r="R32" s="30"/>
    </row>
    <row r="33" spans="1:18">
      <c r="A33" s="365"/>
      <c r="B33" s="29">
        <v>5.2</v>
      </c>
      <c r="C33" s="30"/>
      <c r="D33" s="30"/>
      <c r="E33" s="30"/>
      <c r="F33" s="30"/>
      <c r="G33" s="30"/>
      <c r="H33" s="30"/>
      <c r="I33" s="30"/>
      <c r="J33" s="29"/>
      <c r="K33" s="30"/>
      <c r="L33" s="30"/>
      <c r="M33" s="30"/>
      <c r="N33" s="30"/>
      <c r="O33" s="30"/>
      <c r="P33" s="30"/>
      <c r="Q33" s="30"/>
      <c r="R33" s="30"/>
    </row>
    <row r="34" spans="1:18">
      <c r="A34" s="365"/>
      <c r="B34" s="29">
        <v>5.3</v>
      </c>
      <c r="C34" s="30"/>
      <c r="D34" s="30"/>
      <c r="E34" s="30"/>
      <c r="F34" s="30"/>
      <c r="G34" s="30"/>
      <c r="H34" s="30"/>
      <c r="I34" s="30"/>
      <c r="J34" s="29"/>
      <c r="K34" s="30"/>
      <c r="L34" s="30"/>
      <c r="M34" s="30"/>
      <c r="N34" s="30"/>
      <c r="O34" s="30"/>
      <c r="P34" s="30"/>
      <c r="Q34" s="30"/>
      <c r="R34" s="30"/>
    </row>
    <row r="38" spans="1:18" ht="15.6">
      <c r="A38" s="49" t="s">
        <v>1364</v>
      </c>
    </row>
    <row r="39" spans="1:18" ht="15.6">
      <c r="A39" s="49" t="s">
        <v>1365</v>
      </c>
    </row>
  </sheetData>
  <mergeCells count="7">
    <mergeCell ref="A31:A34"/>
    <mergeCell ref="A2:A3"/>
    <mergeCell ref="B2:B3"/>
    <mergeCell ref="A4:A7"/>
    <mergeCell ref="A8:A16"/>
    <mergeCell ref="A17:A24"/>
    <mergeCell ref="A25:A30"/>
  </mergeCells>
  <phoneticPr fontId="62" type="noConversion"/>
  <conditionalFormatting sqref="C4:D4 C27:D34 C13:I17 C20:D25 C26:I26 C5:I8 K6:R8">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8">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7">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5">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1">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0:I25 E27:I34">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1:L17 K21:L34">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1:O17 M21:O34 Q21:R34 Q11:R17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9:I12">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8:I19">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Q9:R10 K9:O10">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8:O20 Q18:R20">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1:P17 P21:P34">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9:P10">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8:P20">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26"/>
  <sheetViews>
    <sheetView workbookViewId="0">
      <selection activeCell="B11" sqref="B11"/>
    </sheetView>
  </sheetViews>
  <sheetFormatPr defaultColWidth="8.6640625" defaultRowHeight="14.4"/>
  <cols>
    <col min="2" max="2" width="16" customWidth="1"/>
    <col min="3" max="3" width="131.6640625" customWidth="1"/>
    <col min="4" max="16384" width="8.6640625" style="50"/>
  </cols>
  <sheetData>
    <row r="1" spans="1:3">
      <c r="A1" t="s">
        <v>1366</v>
      </c>
      <c r="B1" t="s">
        <v>1367</v>
      </c>
      <c r="C1" t="s">
        <v>1368</v>
      </c>
    </row>
    <row r="2" spans="1:3">
      <c r="C2" s="302"/>
    </row>
    <row r="3" spans="1:3">
      <c r="C3" s="302"/>
    </row>
    <row r="4" spans="1:3">
      <c r="C4" s="302"/>
    </row>
    <row r="5" spans="1:3">
      <c r="C5" s="302"/>
    </row>
    <row r="6" spans="1:3">
      <c r="C6" s="302"/>
    </row>
    <row r="9" spans="1:3">
      <c r="C9" s="302"/>
    </row>
    <row r="10" spans="1:3">
      <c r="C10" s="356"/>
    </row>
    <row r="12" spans="1:3">
      <c r="C12" s="302"/>
    </row>
    <row r="13" spans="1:3">
      <c r="C13" s="302"/>
    </row>
    <row r="14" spans="1:3">
      <c r="C14" s="356"/>
    </row>
    <row r="16" spans="1:3">
      <c r="C16" s="302"/>
    </row>
    <row r="18" spans="3:3">
      <c r="C18" s="302"/>
    </row>
    <row r="19" spans="3:3">
      <c r="C19" s="302"/>
    </row>
    <row r="20" spans="3:3">
      <c r="C20" s="302"/>
    </row>
    <row r="21" spans="3:3">
      <c r="C21" s="302"/>
    </row>
    <row r="24" spans="3:3">
      <c r="C24" s="302"/>
    </row>
    <row r="26" spans="3:3">
      <c r="C26" s="302"/>
    </row>
  </sheetData>
  <phoneticPr fontId="6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7" customWidth="1"/>
    <col min="2" max="2" width="16.44140625" style="27" customWidth="1"/>
    <col min="3" max="3" width="28.33203125" style="27" customWidth="1"/>
    <col min="4" max="7" width="8.6640625" style="27"/>
    <col min="8" max="8" width="23.6640625" style="27" customWidth="1"/>
    <col min="9" max="10" width="19.88671875" style="27" customWidth="1"/>
    <col min="11" max="11" width="22.33203125" style="27" customWidth="1"/>
    <col min="12" max="14" width="18.44140625" style="27" customWidth="1"/>
    <col min="15" max="15" width="7.33203125" style="42" customWidth="1"/>
    <col min="16" max="16" width="24.6640625" style="27" customWidth="1"/>
    <col min="17" max="17" width="7.33203125" style="27" customWidth="1"/>
    <col min="18" max="16384" width="8.6640625" style="27"/>
  </cols>
  <sheetData>
    <row r="2" spans="1:17" ht="55.2">
      <c r="A2" s="1" t="s">
        <v>1369</v>
      </c>
      <c r="B2" s="51" t="s">
        <v>1370</v>
      </c>
      <c r="C2" s="51" t="s">
        <v>1371</v>
      </c>
      <c r="D2" s="52" t="s">
        <v>1372</v>
      </c>
      <c r="E2" s="52" t="s">
        <v>1373</v>
      </c>
      <c r="F2" s="52" t="s">
        <v>1374</v>
      </c>
      <c r="G2" s="52" t="s">
        <v>1375</v>
      </c>
      <c r="H2" s="2" t="s">
        <v>1376</v>
      </c>
      <c r="I2" s="51" t="s">
        <v>1377</v>
      </c>
      <c r="J2" s="51" t="s">
        <v>1378</v>
      </c>
      <c r="K2" s="2" t="s">
        <v>86</v>
      </c>
      <c r="L2" s="51" t="s">
        <v>1379</v>
      </c>
      <c r="M2" s="51" t="s">
        <v>1380</v>
      </c>
      <c r="N2" s="2" t="s">
        <v>1381</v>
      </c>
      <c r="O2" s="53" t="s">
        <v>1382</v>
      </c>
      <c r="P2" s="2" t="s">
        <v>1383</v>
      </c>
      <c r="Q2" s="13" t="s">
        <v>1384</v>
      </c>
    </row>
    <row r="3" spans="1:17" s="55" customFormat="1" ht="13.8">
      <c r="A3" s="54" t="s">
        <v>1385</v>
      </c>
      <c r="B3" s="17" t="s">
        <v>27</v>
      </c>
      <c r="C3" s="18"/>
      <c r="D3" s="18"/>
      <c r="E3" s="18"/>
      <c r="F3" s="18"/>
      <c r="G3" s="18"/>
      <c r="H3" s="18"/>
      <c r="I3" s="18"/>
      <c r="J3" s="18"/>
      <c r="K3" s="18"/>
      <c r="L3" s="8"/>
      <c r="M3" s="8"/>
      <c r="N3" s="8"/>
      <c r="O3" s="9"/>
      <c r="P3" s="10"/>
      <c r="Q3" s="9"/>
    </row>
    <row r="4" spans="1:17" s="57" customFormat="1" ht="51.6" customHeight="1">
      <c r="A4" s="56" t="s">
        <v>1386</v>
      </c>
      <c r="B4" s="3" t="s">
        <v>1141</v>
      </c>
      <c r="C4" s="369" t="s">
        <v>1387</v>
      </c>
      <c r="D4" s="369"/>
      <c r="E4" s="369"/>
      <c r="F4" s="369"/>
      <c r="G4" s="369"/>
      <c r="H4" s="369"/>
      <c r="I4" s="20" t="s">
        <v>1388</v>
      </c>
      <c r="J4" s="20" t="s">
        <v>65</v>
      </c>
      <c r="K4" s="11" t="s">
        <v>86</v>
      </c>
      <c r="L4" s="11"/>
      <c r="M4" s="11"/>
      <c r="N4" s="11"/>
      <c r="O4" s="9"/>
      <c r="P4" s="10"/>
      <c r="Q4" s="9"/>
    </row>
    <row r="5" spans="1:17" s="58" customFormat="1" ht="13.8">
      <c r="A5" s="54" t="s">
        <v>1389</v>
      </c>
      <c r="B5" s="20" t="s">
        <v>1141</v>
      </c>
      <c r="C5" s="370" t="s">
        <v>1390</v>
      </c>
      <c r="D5" s="371"/>
      <c r="E5" s="371"/>
      <c r="F5" s="371"/>
      <c r="G5" s="371"/>
      <c r="H5" s="371"/>
      <c r="I5" s="371"/>
      <c r="J5" s="371"/>
      <c r="K5" s="372"/>
      <c r="L5" s="9"/>
      <c r="M5" s="9"/>
      <c r="N5" s="9"/>
      <c r="O5" s="9"/>
      <c r="P5" s="9"/>
      <c r="Q5" s="9"/>
    </row>
    <row r="6" spans="1:17" s="58" customFormat="1" ht="13.8">
      <c r="A6" s="54" t="s">
        <v>1391</v>
      </c>
      <c r="B6" s="19" t="s">
        <v>1141</v>
      </c>
      <c r="C6" s="373" t="s">
        <v>1392</v>
      </c>
      <c r="D6" s="374"/>
      <c r="E6" s="374"/>
      <c r="F6" s="374"/>
      <c r="G6" s="375"/>
      <c r="H6" s="4" t="s">
        <v>1393</v>
      </c>
      <c r="I6" s="9"/>
      <c r="J6" s="9"/>
      <c r="K6" s="9"/>
      <c r="L6" s="9"/>
      <c r="M6" s="9"/>
      <c r="N6" s="9"/>
      <c r="O6" s="9"/>
      <c r="P6" s="9"/>
      <c r="Q6" s="9"/>
    </row>
    <row r="7" spans="1:17" s="58" customFormat="1" ht="13.8">
      <c r="A7" s="5" t="s">
        <v>1394</v>
      </c>
      <c r="B7" s="5" t="s">
        <v>1392</v>
      </c>
      <c r="C7" s="59" t="s">
        <v>1395</v>
      </c>
      <c r="D7" s="6" t="s">
        <v>97</v>
      </c>
      <c r="E7" s="6" t="s">
        <v>98</v>
      </c>
      <c r="F7" s="6" t="s">
        <v>1396</v>
      </c>
      <c r="G7" s="6" t="s">
        <v>1397</v>
      </c>
      <c r="H7" s="7"/>
      <c r="I7" s="9"/>
      <c r="J7" s="7"/>
      <c r="K7" s="12"/>
      <c r="L7" s="6"/>
      <c r="M7" s="6"/>
      <c r="N7" s="12"/>
      <c r="O7" s="7"/>
      <c r="P7" s="9"/>
      <c r="Q7" s="9"/>
    </row>
    <row r="8" spans="1:17" s="55" customFormat="1" ht="13.8">
      <c r="O8" s="58"/>
    </row>
    <row r="9" spans="1:17" s="55" customFormat="1" ht="13.8">
      <c r="O9" s="58"/>
    </row>
    <row r="19" spans="1:17" ht="54.6" customHeight="1">
      <c r="A19" s="56" t="s">
        <v>1398</v>
      </c>
      <c r="B19" s="3" t="s">
        <v>1141</v>
      </c>
      <c r="C19" s="369" t="s">
        <v>1387</v>
      </c>
      <c r="D19" s="369"/>
      <c r="E19" s="369"/>
      <c r="F19" s="369"/>
      <c r="G19" s="369"/>
      <c r="H19" s="369"/>
      <c r="I19" s="20" t="s">
        <v>1388</v>
      </c>
      <c r="J19" s="20" t="s">
        <v>65</v>
      </c>
      <c r="K19" s="11" t="s">
        <v>86</v>
      </c>
      <c r="L19" s="11"/>
      <c r="M19" s="11"/>
      <c r="N19" s="11"/>
      <c r="O19" s="376"/>
      <c r="P19" s="377"/>
      <c r="Q19" s="378"/>
    </row>
  </sheetData>
  <mergeCells count="5">
    <mergeCell ref="C4:H4"/>
    <mergeCell ref="C5:K5"/>
    <mergeCell ref="C6:G6"/>
    <mergeCell ref="C19:H19"/>
    <mergeCell ref="O19:Q19"/>
  </mergeCells>
  <phoneticPr fontId="62"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49"/>
  <sheetViews>
    <sheetView topLeftCell="A18" zoomScale="70" zoomScaleNormal="70" workbookViewId="0">
      <selection activeCell="B19" sqref="B19"/>
    </sheetView>
  </sheetViews>
  <sheetFormatPr defaultColWidth="8.77734375" defaultRowHeight="13.8"/>
  <cols>
    <col min="1" max="1" width="10.21875" style="316" customWidth="1"/>
    <col min="2" max="2" width="67.21875" style="316" customWidth="1"/>
    <col min="3" max="4" width="21.44140625" style="316" customWidth="1"/>
    <col min="5" max="6" width="80.44140625" style="316" customWidth="1"/>
    <col min="7" max="7" width="21.44140625" style="311" customWidth="1"/>
    <col min="8" max="16384" width="8.77734375" style="316"/>
  </cols>
  <sheetData>
    <row r="1" spans="1:7" s="309" customFormat="1" ht="25.8">
      <c r="A1" s="308" t="s">
        <v>1399</v>
      </c>
      <c r="C1" s="310"/>
      <c r="G1" s="311"/>
    </row>
    <row r="2" spans="1:7" s="309" customFormat="1" ht="25.8">
      <c r="A2" s="308" t="s">
        <v>1400</v>
      </c>
      <c r="C2" s="310"/>
      <c r="G2" s="311"/>
    </row>
    <row r="3" spans="1:7" s="309" customFormat="1">
      <c r="A3" s="312" t="s">
        <v>1401</v>
      </c>
      <c r="B3" s="309" t="s">
        <v>1402</v>
      </c>
      <c r="G3" s="311"/>
    </row>
    <row r="4" spans="1:7" s="309" customFormat="1">
      <c r="A4" s="312" t="s">
        <v>1403</v>
      </c>
      <c r="B4" s="309" t="s">
        <v>1404</v>
      </c>
      <c r="G4" s="311"/>
    </row>
    <row r="5" spans="1:7" s="309" customFormat="1">
      <c r="A5" s="309" t="s">
        <v>1405</v>
      </c>
      <c r="B5" s="309" t="s">
        <v>1406</v>
      </c>
      <c r="G5" s="311"/>
    </row>
    <row r="6" spans="1:7" s="309" customFormat="1">
      <c r="A6" s="309" t="s">
        <v>1407</v>
      </c>
      <c r="B6" s="309" t="s">
        <v>1408</v>
      </c>
      <c r="G6" s="311"/>
    </row>
    <row r="8" spans="1:7" s="309" customFormat="1">
      <c r="A8" s="337"/>
      <c r="B8" s="337"/>
      <c r="C8" s="337" t="s">
        <v>65</v>
      </c>
      <c r="D8" s="337" t="s">
        <v>54</v>
      </c>
      <c r="E8" s="337" t="s">
        <v>86</v>
      </c>
      <c r="F8" s="337"/>
      <c r="G8" s="337" t="s">
        <v>1409</v>
      </c>
    </row>
    <row r="9" spans="1:7" s="312" customFormat="1">
      <c r="A9" s="317" t="s">
        <v>27</v>
      </c>
      <c r="B9" s="317"/>
      <c r="C9" s="318"/>
      <c r="D9" s="318"/>
      <c r="E9" s="318"/>
      <c r="F9" s="318"/>
      <c r="G9" s="318"/>
    </row>
    <row r="10" spans="1:7" s="312" customFormat="1" ht="82.8">
      <c r="A10" s="3" t="s">
        <v>936</v>
      </c>
      <c r="B10" s="3" t="s">
        <v>1410</v>
      </c>
      <c r="C10" s="323" t="s">
        <v>1411</v>
      </c>
      <c r="D10" s="323" t="s">
        <v>1412</v>
      </c>
      <c r="E10" s="323" t="s">
        <v>1413</v>
      </c>
      <c r="F10" s="323"/>
      <c r="G10" s="3"/>
    </row>
    <row r="11" spans="1:7" s="145" customFormat="1">
      <c r="A11" s="317" t="s">
        <v>28</v>
      </c>
      <c r="B11" s="317"/>
      <c r="C11" s="318"/>
      <c r="D11" s="318"/>
      <c r="E11" s="318"/>
      <c r="F11" s="318"/>
      <c r="G11" s="318"/>
    </row>
    <row r="12" spans="1:7" s="145" customFormat="1" ht="82.8">
      <c r="A12" s="3" t="s">
        <v>937</v>
      </c>
      <c r="B12" s="3" t="s">
        <v>1414</v>
      </c>
      <c r="C12" s="323" t="s">
        <v>1415</v>
      </c>
      <c r="D12" s="323" t="s">
        <v>1416</v>
      </c>
      <c r="E12" s="323" t="s">
        <v>1417</v>
      </c>
      <c r="F12" s="323"/>
      <c r="G12" s="3"/>
    </row>
    <row r="13" spans="1:7" s="145" customFormat="1" ht="82.8">
      <c r="A13" s="3" t="s">
        <v>938</v>
      </c>
      <c r="B13" s="3" t="s">
        <v>1418</v>
      </c>
      <c r="C13" s="323" t="s">
        <v>1419</v>
      </c>
      <c r="D13" s="323" t="s">
        <v>1420</v>
      </c>
      <c r="E13" s="323" t="s">
        <v>1421</v>
      </c>
      <c r="F13" s="323"/>
      <c r="G13" s="3"/>
    </row>
    <row r="14" spans="1:7" s="312" customFormat="1">
      <c r="A14" s="317" t="s">
        <v>29</v>
      </c>
      <c r="B14" s="317"/>
      <c r="C14" s="318"/>
      <c r="D14" s="318"/>
      <c r="E14" s="318"/>
      <c r="F14" s="318"/>
      <c r="G14" s="318"/>
    </row>
    <row r="15" spans="1:7" s="145" customFormat="1" ht="82.8">
      <c r="A15" s="3" t="s">
        <v>939</v>
      </c>
      <c r="B15" s="3" t="s">
        <v>1422</v>
      </c>
      <c r="C15" s="323" t="s">
        <v>1423</v>
      </c>
      <c r="D15" s="323" t="s">
        <v>1424</v>
      </c>
      <c r="E15" s="323" t="s">
        <v>1425</v>
      </c>
      <c r="F15" s="323"/>
      <c r="G15" s="3"/>
    </row>
    <row r="16" spans="1:7" s="145" customFormat="1" ht="82.8">
      <c r="A16" s="3" t="s">
        <v>940</v>
      </c>
      <c r="B16" s="3" t="s">
        <v>1426</v>
      </c>
      <c r="C16" s="323" t="s">
        <v>1427</v>
      </c>
      <c r="D16" s="323" t="s">
        <v>1428</v>
      </c>
      <c r="E16" s="323" t="s">
        <v>1429</v>
      </c>
      <c r="F16" s="323"/>
      <c r="G16" s="3"/>
    </row>
    <row r="17" spans="1:7" s="145" customFormat="1" ht="69">
      <c r="A17" s="3" t="s">
        <v>941</v>
      </c>
      <c r="B17" s="3" t="s">
        <v>1430</v>
      </c>
      <c r="C17" s="323" t="s">
        <v>1431</v>
      </c>
      <c r="D17" s="323" t="s">
        <v>1432</v>
      </c>
      <c r="E17" s="323" t="s">
        <v>1433</v>
      </c>
      <c r="F17" s="323"/>
      <c r="G17" s="3"/>
    </row>
    <row r="18" spans="1:7" s="145" customFormat="1" ht="82.8">
      <c r="A18" s="3" t="s">
        <v>942</v>
      </c>
      <c r="B18" s="3" t="s">
        <v>1434</v>
      </c>
      <c r="C18" s="323" t="s">
        <v>1435</v>
      </c>
      <c r="D18" s="323" t="s">
        <v>1436</v>
      </c>
      <c r="E18" s="323" t="s">
        <v>1437</v>
      </c>
      <c r="F18" s="323"/>
      <c r="G18" s="3"/>
    </row>
    <row r="19" spans="1:7" s="145" customFormat="1" ht="96.6">
      <c r="A19" s="3" t="s">
        <v>943</v>
      </c>
      <c r="B19" s="3" t="s">
        <v>1438</v>
      </c>
      <c r="C19" s="323" t="s">
        <v>1439</v>
      </c>
      <c r="D19" s="323" t="s">
        <v>1440</v>
      </c>
      <c r="E19" s="323" t="s">
        <v>1441</v>
      </c>
      <c r="F19" s="323"/>
      <c r="G19" s="3"/>
    </row>
    <row r="20" spans="1:7" s="145" customFormat="1">
      <c r="A20" s="317" t="s">
        <v>371</v>
      </c>
      <c r="B20" s="317"/>
      <c r="C20" s="318"/>
      <c r="D20" s="318"/>
      <c r="E20" s="318"/>
      <c r="F20" s="318"/>
      <c r="G20" s="318"/>
    </row>
    <row r="21" spans="1:7" s="145" customFormat="1" ht="82.8">
      <c r="A21" s="3" t="s">
        <v>944</v>
      </c>
      <c r="B21" s="3" t="s">
        <v>1442</v>
      </c>
      <c r="C21" s="323" t="s">
        <v>1443</v>
      </c>
      <c r="D21" s="323" t="s">
        <v>1444</v>
      </c>
      <c r="E21" s="323" t="s">
        <v>1445</v>
      </c>
      <c r="F21" s="323"/>
      <c r="G21" s="3"/>
    </row>
    <row r="22" spans="1:7" s="312" customFormat="1" ht="82.8">
      <c r="A22" s="341" t="s">
        <v>945</v>
      </c>
      <c r="B22" s="342" t="s">
        <v>1446</v>
      </c>
      <c r="C22" s="343" t="s">
        <v>1447</v>
      </c>
      <c r="D22" s="343" t="s">
        <v>1448</v>
      </c>
      <c r="E22" s="343" t="s">
        <v>1449</v>
      </c>
      <c r="F22" s="343"/>
      <c r="G22" s="3"/>
    </row>
    <row r="23" spans="1:7" s="312" customFormat="1">
      <c r="A23" s="317" t="s">
        <v>511</v>
      </c>
      <c r="B23" s="317"/>
      <c r="C23" s="318"/>
      <c r="D23" s="318"/>
      <c r="E23" s="318"/>
      <c r="F23" s="318"/>
      <c r="G23" s="318"/>
    </row>
    <row r="24" spans="1:7" s="145" customFormat="1" ht="96.6">
      <c r="A24" s="3" t="s">
        <v>946</v>
      </c>
      <c r="B24" s="3" t="s">
        <v>1450</v>
      </c>
      <c r="C24" s="323" t="s">
        <v>1451</v>
      </c>
      <c r="D24" s="323" t="s">
        <v>1452</v>
      </c>
      <c r="E24" s="323" t="s">
        <v>1453</v>
      </c>
      <c r="F24" s="323"/>
      <c r="G24" s="3"/>
    </row>
    <row r="25" spans="1:7" s="326" customFormat="1">
      <c r="G25" s="311"/>
    </row>
    <row r="26" spans="1:7" s="326" customFormat="1">
      <c r="G26" s="311"/>
    </row>
    <row r="27" spans="1:7" s="326" customFormat="1">
      <c r="G27" s="311"/>
    </row>
    <row r="28" spans="1:7" s="326" customFormat="1">
      <c r="G28" s="311"/>
    </row>
    <row r="29" spans="1:7" s="327" customFormat="1">
      <c r="G29" s="311"/>
    </row>
    <row r="30" spans="1:7" s="327" customFormat="1">
      <c r="G30" s="311"/>
    </row>
    <row r="31" spans="1:7" s="327" customFormat="1">
      <c r="G31" s="311"/>
    </row>
    <row r="32" spans="1:7" s="327" customFormat="1">
      <c r="G32" s="311"/>
    </row>
    <row r="33" spans="7:7" s="327" customFormat="1">
      <c r="G33" s="311"/>
    </row>
    <row r="34" spans="7:7" s="327" customFormat="1">
      <c r="G34" s="311"/>
    </row>
    <row r="35" spans="7:7" s="327" customFormat="1">
      <c r="G35" s="311"/>
    </row>
    <row r="36" spans="7:7" s="327" customFormat="1">
      <c r="G36" s="311"/>
    </row>
    <row r="37" spans="7:7" s="327" customFormat="1">
      <c r="G37" s="311"/>
    </row>
    <row r="38" spans="7:7" s="327" customFormat="1">
      <c r="G38" s="311"/>
    </row>
    <row r="39" spans="7:7" s="327" customFormat="1">
      <c r="G39" s="311"/>
    </row>
    <row r="40" spans="7:7" s="327" customFormat="1">
      <c r="G40" s="311"/>
    </row>
    <row r="41" spans="7:7" s="327" customFormat="1">
      <c r="G41" s="311"/>
    </row>
    <row r="42" spans="7:7" s="327" customFormat="1">
      <c r="G42" s="311"/>
    </row>
    <row r="43" spans="7:7" s="327" customFormat="1">
      <c r="G43" s="311"/>
    </row>
    <row r="44" spans="7:7" s="327" customFormat="1">
      <c r="G44" s="311"/>
    </row>
    <row r="45" spans="7:7" s="327" customFormat="1">
      <c r="G45" s="311"/>
    </row>
    <row r="46" spans="7:7" s="327" customFormat="1">
      <c r="G46" s="311"/>
    </row>
    <row r="47" spans="7:7" s="327" customFormat="1">
      <c r="G47" s="311"/>
    </row>
    <row r="48" spans="7:7" s="327" customFormat="1">
      <c r="G48" s="311"/>
    </row>
    <row r="49" spans="7:7" s="327" customFormat="1">
      <c r="G49" s="311"/>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58"/>
  <sheetViews>
    <sheetView topLeftCell="A13" zoomScale="55" zoomScaleNormal="55" workbookViewId="0">
      <selection activeCell="E18" sqref="E18"/>
    </sheetView>
  </sheetViews>
  <sheetFormatPr defaultColWidth="8.77734375" defaultRowHeight="13.8"/>
  <cols>
    <col min="1" max="1" width="10.21875" style="316" customWidth="1"/>
    <col min="2" max="2" width="87.21875" style="316" customWidth="1"/>
    <col min="3" max="4" width="22" style="316" customWidth="1"/>
    <col min="5" max="6" width="82.77734375" style="316" customWidth="1"/>
    <col min="7" max="7" width="24.21875" style="311" customWidth="1"/>
    <col min="8" max="8" width="8.77734375" style="311"/>
    <col min="9" max="9" width="8.77734375" style="309"/>
    <col min="10" max="22" width="8.77734375" style="311"/>
    <col min="23" max="16384" width="8.77734375" style="316"/>
  </cols>
  <sheetData>
    <row r="1" spans="1:22" s="309" customFormat="1" ht="25.8">
      <c r="A1" s="308" t="s">
        <v>1454</v>
      </c>
      <c r="C1" s="310"/>
      <c r="G1" s="311"/>
      <c r="H1" s="311"/>
      <c r="J1" s="311"/>
      <c r="K1" s="311"/>
      <c r="L1" s="311"/>
      <c r="M1" s="311"/>
      <c r="N1" s="311"/>
      <c r="O1" s="311"/>
      <c r="P1" s="311"/>
      <c r="Q1" s="311"/>
      <c r="R1" s="311"/>
      <c r="S1" s="311"/>
      <c r="T1" s="311"/>
      <c r="U1" s="311"/>
      <c r="V1" s="311"/>
    </row>
    <row r="2" spans="1:22" s="309" customFormat="1" ht="25.8">
      <c r="A2" s="308" t="s">
        <v>1455</v>
      </c>
      <c r="C2" s="310"/>
      <c r="G2" s="311"/>
      <c r="H2" s="311"/>
      <c r="J2" s="311"/>
      <c r="K2" s="311"/>
      <c r="L2" s="311"/>
      <c r="M2" s="311"/>
      <c r="N2" s="311"/>
      <c r="O2" s="311"/>
      <c r="P2" s="311"/>
      <c r="Q2" s="311"/>
      <c r="R2" s="311"/>
      <c r="S2" s="311"/>
      <c r="T2" s="311"/>
      <c r="U2" s="311"/>
      <c r="V2" s="311"/>
    </row>
    <row r="3" spans="1:22" s="309" customFormat="1">
      <c r="A3" s="312" t="s">
        <v>1401</v>
      </c>
      <c r="B3" s="309" t="s">
        <v>1456</v>
      </c>
      <c r="G3" s="311"/>
      <c r="H3" s="311"/>
      <c r="J3" s="311"/>
      <c r="K3" s="311"/>
      <c r="L3" s="311"/>
      <c r="M3" s="311"/>
      <c r="N3" s="311"/>
      <c r="O3" s="311"/>
      <c r="P3" s="311"/>
      <c r="Q3" s="311"/>
      <c r="R3" s="311"/>
      <c r="S3" s="311"/>
      <c r="T3" s="311"/>
      <c r="U3" s="311"/>
      <c r="V3" s="311"/>
    </row>
    <row r="4" spans="1:22" s="309" customFormat="1">
      <c r="A4" s="312" t="s">
        <v>1403</v>
      </c>
      <c r="B4" s="309" t="s">
        <v>1457</v>
      </c>
      <c r="G4" s="311"/>
      <c r="H4" s="311"/>
      <c r="J4" s="311"/>
      <c r="K4" s="311"/>
      <c r="L4" s="311"/>
      <c r="M4" s="311"/>
      <c r="N4" s="311"/>
      <c r="O4" s="311"/>
      <c r="P4" s="311"/>
      <c r="Q4" s="311"/>
      <c r="R4" s="311"/>
      <c r="S4" s="311"/>
      <c r="T4" s="311"/>
      <c r="U4" s="311"/>
      <c r="V4" s="311"/>
    </row>
    <row r="5" spans="1:22" s="309" customFormat="1">
      <c r="A5" s="309" t="s">
        <v>1405</v>
      </c>
      <c r="B5" s="309" t="s">
        <v>1458</v>
      </c>
      <c r="G5" s="311"/>
      <c r="H5" s="311"/>
      <c r="J5" s="311"/>
      <c r="K5" s="311"/>
      <c r="L5" s="311"/>
      <c r="M5" s="311"/>
      <c r="N5" s="311"/>
      <c r="O5" s="311"/>
      <c r="P5" s="311"/>
      <c r="Q5" s="311"/>
      <c r="R5" s="311"/>
      <c r="S5" s="311"/>
      <c r="T5" s="311"/>
      <c r="U5" s="311"/>
      <c r="V5" s="311"/>
    </row>
    <row r="6" spans="1:22" s="309" customFormat="1">
      <c r="A6" s="309" t="s">
        <v>1407</v>
      </c>
      <c r="B6" s="309" t="s">
        <v>1459</v>
      </c>
      <c r="G6" s="311"/>
      <c r="H6" s="311"/>
      <c r="J6" s="311"/>
      <c r="K6" s="311"/>
      <c r="L6" s="311"/>
      <c r="M6" s="311"/>
      <c r="N6" s="311"/>
      <c r="O6" s="311"/>
      <c r="P6" s="311"/>
      <c r="Q6" s="311"/>
      <c r="R6" s="311"/>
      <c r="S6" s="311"/>
      <c r="T6" s="311"/>
      <c r="U6" s="311"/>
      <c r="V6" s="311"/>
    </row>
    <row r="8" spans="1:22" s="309" customFormat="1">
      <c r="A8" s="337"/>
      <c r="B8" s="337"/>
      <c r="C8" s="337" t="s">
        <v>65</v>
      </c>
      <c r="D8" s="337" t="s">
        <v>54</v>
      </c>
      <c r="E8" s="337" t="s">
        <v>86</v>
      </c>
      <c r="F8" s="337"/>
      <c r="G8" s="337" t="s">
        <v>1409</v>
      </c>
    </row>
    <row r="9" spans="1:22" s="312" customFormat="1">
      <c r="A9" s="338" t="s">
        <v>27</v>
      </c>
      <c r="B9" s="339"/>
      <c r="C9" s="340"/>
      <c r="D9" s="340"/>
      <c r="E9" s="340"/>
      <c r="F9" s="340"/>
      <c r="G9" s="340"/>
      <c r="I9" s="309"/>
    </row>
    <row r="10" spans="1:22" s="312" customFormat="1" ht="124.2">
      <c r="A10" s="3" t="s">
        <v>1053</v>
      </c>
      <c r="B10" s="3" t="s">
        <v>1460</v>
      </c>
      <c r="C10" s="323" t="s">
        <v>1461</v>
      </c>
      <c r="D10" s="323" t="s">
        <v>1462</v>
      </c>
      <c r="E10" s="323" t="s">
        <v>1463</v>
      </c>
      <c r="F10" s="323"/>
      <c r="G10" s="3"/>
      <c r="I10" s="309"/>
    </row>
    <row r="11" spans="1:22" s="145" customFormat="1">
      <c r="A11" s="317" t="s">
        <v>28</v>
      </c>
      <c r="B11" s="317"/>
      <c r="C11" s="318"/>
      <c r="D11" s="318"/>
      <c r="E11" s="318"/>
      <c r="F11" s="318"/>
      <c r="G11" s="318"/>
      <c r="H11" s="312"/>
      <c r="I11" s="309"/>
      <c r="J11" s="312"/>
      <c r="K11" s="312"/>
      <c r="L11" s="312"/>
      <c r="M11" s="312"/>
      <c r="N11" s="312"/>
      <c r="O11" s="312"/>
      <c r="P11" s="312"/>
      <c r="Q11" s="312"/>
      <c r="R11" s="312"/>
      <c r="S11" s="312"/>
      <c r="T11" s="312"/>
      <c r="U11" s="312"/>
      <c r="V11" s="312"/>
    </row>
    <row r="12" spans="1:22" s="145" customFormat="1" ht="151.80000000000001">
      <c r="A12" s="3" t="s">
        <v>1054</v>
      </c>
      <c r="B12" s="3" t="s">
        <v>1464</v>
      </c>
      <c r="C12" s="323" t="s">
        <v>1465</v>
      </c>
      <c r="D12" s="323" t="s">
        <v>1466</v>
      </c>
      <c r="E12" s="323" t="s">
        <v>1467</v>
      </c>
      <c r="F12" s="323"/>
      <c r="G12" s="3"/>
      <c r="H12" s="312"/>
      <c r="I12" s="309"/>
      <c r="J12" s="312"/>
      <c r="K12" s="312"/>
      <c r="L12" s="312"/>
      <c r="M12" s="312"/>
      <c r="N12" s="312"/>
      <c r="O12" s="312"/>
      <c r="P12" s="312"/>
      <c r="Q12" s="312"/>
      <c r="R12" s="312"/>
      <c r="S12" s="312"/>
      <c r="T12" s="312"/>
      <c r="U12" s="312"/>
      <c r="V12" s="312"/>
    </row>
    <row r="13" spans="1:22" s="90" customFormat="1" ht="207">
      <c r="A13" s="3" t="s">
        <v>1055</v>
      </c>
      <c r="B13" s="3" t="s">
        <v>1468</v>
      </c>
      <c r="C13" s="323" t="s">
        <v>1469</v>
      </c>
      <c r="D13" s="323" t="s">
        <v>1470</v>
      </c>
      <c r="E13" s="323" t="s">
        <v>1471</v>
      </c>
      <c r="F13" s="323"/>
      <c r="G13" s="3"/>
      <c r="H13" s="312"/>
      <c r="I13" s="309"/>
      <c r="J13" s="312"/>
      <c r="K13" s="312"/>
      <c r="L13" s="312"/>
      <c r="M13" s="312"/>
      <c r="N13" s="312"/>
      <c r="O13" s="312"/>
      <c r="P13" s="312"/>
      <c r="Q13" s="312"/>
      <c r="R13" s="312"/>
      <c r="S13" s="312"/>
      <c r="T13" s="312"/>
      <c r="U13" s="312"/>
      <c r="V13" s="312"/>
    </row>
    <row r="14" spans="1:22" s="312" customFormat="1" ht="124.2">
      <c r="A14" s="341" t="s">
        <v>1056</v>
      </c>
      <c r="B14" s="342" t="s">
        <v>1472</v>
      </c>
      <c r="C14" s="323" t="s">
        <v>1473</v>
      </c>
      <c r="D14" s="323" t="s">
        <v>1474</v>
      </c>
      <c r="E14" s="323" t="s">
        <v>1475</v>
      </c>
      <c r="F14" s="323" t="s">
        <v>1476</v>
      </c>
      <c r="G14" s="3"/>
      <c r="I14" s="309"/>
    </row>
    <row r="15" spans="1:22" s="312" customFormat="1" ht="124.2">
      <c r="A15" s="3" t="s">
        <v>1057</v>
      </c>
      <c r="B15" s="3" t="s">
        <v>1477</v>
      </c>
      <c r="C15" s="323" t="s">
        <v>1478</v>
      </c>
      <c r="D15" s="323" t="s">
        <v>1479</v>
      </c>
      <c r="E15" s="323" t="s">
        <v>1480</v>
      </c>
      <c r="F15" s="323"/>
      <c r="G15" s="3"/>
      <c r="I15" s="309"/>
    </row>
    <row r="16" spans="1:22" s="145" customFormat="1" ht="151.80000000000001">
      <c r="A16" s="3" t="s">
        <v>1058</v>
      </c>
      <c r="B16" s="3" t="s">
        <v>1481</v>
      </c>
      <c r="C16" s="323" t="s">
        <v>1482</v>
      </c>
      <c r="D16" s="323" t="s">
        <v>1483</v>
      </c>
      <c r="E16" s="323" t="s">
        <v>1484</v>
      </c>
      <c r="F16" s="323"/>
      <c r="G16" s="3"/>
      <c r="H16" s="312"/>
      <c r="I16" s="309"/>
      <c r="J16" s="312"/>
      <c r="K16" s="312"/>
      <c r="L16" s="312"/>
      <c r="M16" s="312"/>
      <c r="N16" s="312"/>
      <c r="O16" s="312"/>
      <c r="P16" s="312"/>
      <c r="Q16" s="312"/>
      <c r="R16" s="312"/>
      <c r="S16" s="312"/>
      <c r="T16" s="312"/>
      <c r="U16" s="312"/>
      <c r="V16" s="312"/>
    </row>
    <row r="17" spans="1:22" s="145" customFormat="1" ht="138">
      <c r="A17" s="3" t="s">
        <v>1059</v>
      </c>
      <c r="B17" s="3" t="s">
        <v>1485</v>
      </c>
      <c r="C17" s="323" t="s">
        <v>1486</v>
      </c>
      <c r="D17" s="323" t="s">
        <v>1487</v>
      </c>
      <c r="E17" s="323" t="s">
        <v>1488</v>
      </c>
      <c r="F17" s="323"/>
      <c r="G17" s="3"/>
      <c r="H17" s="312"/>
      <c r="I17" s="309"/>
      <c r="J17" s="312"/>
      <c r="K17" s="312"/>
      <c r="L17" s="312"/>
      <c r="M17" s="312"/>
      <c r="N17" s="312"/>
      <c r="O17" s="312"/>
      <c r="P17" s="312"/>
      <c r="Q17" s="312"/>
      <c r="R17" s="312"/>
      <c r="S17" s="312"/>
      <c r="T17" s="312"/>
      <c r="U17" s="312"/>
      <c r="V17" s="312"/>
    </row>
    <row r="18" spans="1:22" s="309" customFormat="1"/>
    <row r="19" spans="1:22" s="326" customFormat="1">
      <c r="G19" s="311"/>
      <c r="H19" s="311"/>
      <c r="I19" s="309"/>
      <c r="J19" s="311"/>
      <c r="K19" s="311"/>
      <c r="L19" s="311"/>
      <c r="M19" s="311"/>
      <c r="N19" s="311"/>
      <c r="O19" s="311"/>
      <c r="P19" s="311"/>
      <c r="Q19" s="311"/>
      <c r="R19" s="311"/>
      <c r="S19" s="311"/>
      <c r="T19" s="311"/>
      <c r="U19" s="311"/>
      <c r="V19" s="311"/>
    </row>
    <row r="20" spans="1:22" s="326" customFormat="1">
      <c r="G20" s="311"/>
      <c r="H20" s="311"/>
      <c r="I20" s="309"/>
      <c r="J20" s="311"/>
      <c r="K20" s="311"/>
      <c r="L20" s="311"/>
      <c r="M20" s="311"/>
      <c r="N20" s="311"/>
      <c r="O20" s="311"/>
      <c r="P20" s="311"/>
      <c r="Q20" s="311"/>
      <c r="R20" s="311"/>
      <c r="S20" s="311"/>
      <c r="T20" s="311"/>
      <c r="U20" s="311"/>
      <c r="V20" s="311"/>
    </row>
    <row r="21" spans="1:22" s="326" customFormat="1">
      <c r="G21" s="311"/>
      <c r="H21" s="311"/>
      <c r="I21" s="309"/>
      <c r="J21" s="311"/>
      <c r="K21" s="311"/>
      <c r="L21" s="311"/>
      <c r="M21" s="311"/>
      <c r="N21" s="311"/>
      <c r="O21" s="311"/>
      <c r="P21" s="311"/>
      <c r="Q21" s="311"/>
      <c r="R21" s="311"/>
      <c r="S21" s="311"/>
      <c r="T21" s="311"/>
      <c r="U21" s="311"/>
      <c r="V21" s="311"/>
    </row>
    <row r="22" spans="1:22" s="326" customFormat="1">
      <c r="G22" s="311"/>
      <c r="H22" s="311"/>
      <c r="I22" s="309"/>
      <c r="J22" s="311"/>
      <c r="K22" s="311"/>
      <c r="L22" s="311"/>
      <c r="M22" s="311"/>
      <c r="N22" s="311"/>
      <c r="O22" s="311"/>
      <c r="P22" s="311"/>
      <c r="Q22" s="311"/>
      <c r="R22" s="311"/>
      <c r="S22" s="311"/>
      <c r="T22" s="311"/>
      <c r="U22" s="311"/>
      <c r="V22" s="311"/>
    </row>
    <row r="23" spans="1:22" s="326" customFormat="1">
      <c r="G23" s="311"/>
      <c r="H23" s="311"/>
      <c r="I23" s="309"/>
      <c r="J23" s="311"/>
      <c r="K23" s="311"/>
      <c r="L23" s="311"/>
      <c r="M23" s="311"/>
      <c r="N23" s="311"/>
      <c r="O23" s="311"/>
      <c r="P23" s="311"/>
      <c r="Q23" s="311"/>
      <c r="R23" s="311"/>
      <c r="S23" s="311"/>
      <c r="T23" s="311"/>
      <c r="U23" s="311"/>
      <c r="V23" s="311"/>
    </row>
    <row r="24" spans="1:22" s="326" customFormat="1">
      <c r="G24" s="311"/>
      <c r="H24" s="311"/>
      <c r="I24" s="309"/>
      <c r="J24" s="311"/>
      <c r="K24" s="311"/>
      <c r="L24" s="311"/>
      <c r="M24" s="311"/>
      <c r="N24" s="311"/>
      <c r="O24" s="311"/>
      <c r="P24" s="311"/>
      <c r="Q24" s="311"/>
      <c r="R24" s="311"/>
      <c r="S24" s="311"/>
      <c r="T24" s="311"/>
      <c r="U24" s="311"/>
      <c r="V24" s="311"/>
    </row>
    <row r="25" spans="1:22" s="326" customFormat="1">
      <c r="G25" s="311"/>
      <c r="H25" s="311"/>
      <c r="I25" s="309"/>
      <c r="J25" s="311"/>
      <c r="K25" s="311"/>
      <c r="L25" s="311"/>
      <c r="M25" s="311"/>
      <c r="N25" s="311"/>
      <c r="O25" s="311"/>
      <c r="P25" s="311"/>
      <c r="Q25" s="311"/>
      <c r="R25" s="311"/>
      <c r="S25" s="311"/>
      <c r="T25" s="311"/>
      <c r="U25" s="311"/>
      <c r="V25" s="311"/>
    </row>
    <row r="26" spans="1:22" s="326" customFormat="1">
      <c r="G26" s="311"/>
      <c r="H26" s="311"/>
      <c r="I26" s="309"/>
      <c r="J26" s="311"/>
      <c r="K26" s="311"/>
      <c r="L26" s="311"/>
      <c r="M26" s="311"/>
      <c r="N26" s="311"/>
      <c r="O26" s="311"/>
      <c r="P26" s="311"/>
      <c r="Q26" s="311"/>
      <c r="R26" s="311"/>
      <c r="S26" s="311"/>
      <c r="T26" s="311"/>
      <c r="U26" s="311"/>
      <c r="V26" s="311"/>
    </row>
    <row r="27" spans="1:22" s="326" customFormat="1">
      <c r="G27" s="311"/>
      <c r="H27" s="311"/>
      <c r="I27" s="309"/>
      <c r="J27" s="311"/>
      <c r="K27" s="311"/>
      <c r="L27" s="311"/>
      <c r="M27" s="311"/>
      <c r="N27" s="311"/>
      <c r="O27" s="311"/>
      <c r="P27" s="311"/>
      <c r="Q27" s="311"/>
      <c r="R27" s="311"/>
      <c r="S27" s="311"/>
      <c r="T27" s="311"/>
      <c r="U27" s="311"/>
      <c r="V27" s="311"/>
    </row>
    <row r="28" spans="1:22" s="326" customFormat="1">
      <c r="G28" s="311"/>
      <c r="H28" s="311"/>
      <c r="I28" s="309"/>
      <c r="J28" s="311"/>
      <c r="K28" s="311"/>
      <c r="L28" s="311"/>
      <c r="M28" s="311"/>
      <c r="N28" s="311"/>
      <c r="O28" s="311"/>
      <c r="P28" s="311"/>
      <c r="Q28" s="311"/>
      <c r="R28" s="311"/>
      <c r="S28" s="311"/>
      <c r="T28" s="311"/>
      <c r="U28" s="311"/>
      <c r="V28" s="311"/>
    </row>
    <row r="29" spans="1:22" s="326" customFormat="1">
      <c r="G29" s="311"/>
      <c r="H29" s="311"/>
      <c r="I29" s="309"/>
      <c r="J29" s="311"/>
      <c r="K29" s="311"/>
      <c r="L29" s="311"/>
      <c r="M29" s="311"/>
      <c r="N29" s="311"/>
      <c r="O29" s="311"/>
      <c r="P29" s="311"/>
      <c r="Q29" s="311"/>
      <c r="R29" s="311"/>
      <c r="S29" s="311"/>
      <c r="T29" s="311"/>
      <c r="U29" s="311"/>
      <c r="V29" s="311"/>
    </row>
    <row r="30" spans="1:22" s="326" customFormat="1">
      <c r="G30" s="311"/>
      <c r="H30" s="311"/>
      <c r="I30" s="309"/>
      <c r="J30" s="311"/>
      <c r="K30" s="311"/>
      <c r="L30" s="311"/>
      <c r="M30" s="311"/>
      <c r="N30" s="311"/>
      <c r="O30" s="311"/>
      <c r="P30" s="311"/>
      <c r="Q30" s="311"/>
      <c r="R30" s="311"/>
      <c r="S30" s="311"/>
      <c r="T30" s="311"/>
      <c r="U30" s="311"/>
      <c r="V30" s="311"/>
    </row>
    <row r="31" spans="1:22" s="326" customFormat="1">
      <c r="G31" s="311"/>
      <c r="H31" s="311"/>
      <c r="I31" s="309"/>
      <c r="J31" s="311"/>
      <c r="K31" s="311"/>
      <c r="L31" s="311"/>
      <c r="M31" s="311"/>
      <c r="N31" s="311"/>
      <c r="O31" s="311"/>
      <c r="P31" s="311"/>
      <c r="Q31" s="311"/>
      <c r="R31" s="311"/>
      <c r="S31" s="311"/>
      <c r="T31" s="311"/>
      <c r="U31" s="311"/>
      <c r="V31" s="311"/>
    </row>
    <row r="32" spans="1:22" s="326" customFormat="1">
      <c r="G32" s="311"/>
      <c r="H32" s="311"/>
      <c r="I32" s="309"/>
      <c r="J32" s="311"/>
      <c r="K32" s="311"/>
      <c r="L32" s="311"/>
      <c r="M32" s="311"/>
      <c r="N32" s="311"/>
      <c r="O32" s="311"/>
      <c r="P32" s="311"/>
      <c r="Q32" s="311"/>
      <c r="R32" s="311"/>
      <c r="S32" s="311"/>
      <c r="T32" s="311"/>
      <c r="U32" s="311"/>
      <c r="V32" s="311"/>
    </row>
    <row r="33" spans="7:22" s="326" customFormat="1">
      <c r="G33" s="311"/>
      <c r="H33" s="311"/>
      <c r="I33" s="309"/>
      <c r="J33" s="311"/>
      <c r="K33" s="311"/>
      <c r="L33" s="311"/>
      <c r="M33" s="311"/>
      <c r="N33" s="311"/>
      <c r="O33" s="311"/>
      <c r="P33" s="311"/>
      <c r="Q33" s="311"/>
      <c r="R33" s="311"/>
      <c r="S33" s="311"/>
      <c r="T33" s="311"/>
      <c r="U33" s="311"/>
      <c r="V33" s="311"/>
    </row>
    <row r="34" spans="7:22" s="326" customFormat="1">
      <c r="G34" s="311"/>
      <c r="H34" s="311"/>
      <c r="I34" s="309"/>
      <c r="J34" s="311"/>
      <c r="K34" s="311"/>
      <c r="L34" s="311"/>
      <c r="M34" s="311"/>
      <c r="N34" s="311"/>
      <c r="O34" s="311"/>
      <c r="P34" s="311"/>
      <c r="Q34" s="311"/>
      <c r="R34" s="311"/>
      <c r="S34" s="311"/>
      <c r="T34" s="311"/>
      <c r="U34" s="311"/>
      <c r="V34" s="311"/>
    </row>
    <row r="35" spans="7:22" s="326" customFormat="1">
      <c r="G35" s="311"/>
      <c r="H35" s="311"/>
      <c r="I35" s="309"/>
      <c r="J35" s="311"/>
      <c r="K35" s="311"/>
      <c r="L35" s="311"/>
      <c r="M35" s="311"/>
      <c r="N35" s="311"/>
      <c r="O35" s="311"/>
      <c r="P35" s="311"/>
      <c r="Q35" s="311"/>
      <c r="R35" s="311"/>
      <c r="S35" s="311"/>
      <c r="T35" s="311"/>
      <c r="U35" s="311"/>
      <c r="V35" s="311"/>
    </row>
    <row r="36" spans="7:22" s="326" customFormat="1">
      <c r="G36" s="311"/>
      <c r="H36" s="311"/>
      <c r="I36" s="309"/>
      <c r="J36" s="311"/>
      <c r="K36" s="311"/>
      <c r="L36" s="311"/>
      <c r="M36" s="311"/>
      <c r="N36" s="311"/>
      <c r="O36" s="311"/>
      <c r="P36" s="311"/>
      <c r="Q36" s="311"/>
      <c r="R36" s="311"/>
      <c r="S36" s="311"/>
      <c r="T36" s="311"/>
      <c r="U36" s="311"/>
      <c r="V36" s="311"/>
    </row>
    <row r="37" spans="7:22" s="326" customFormat="1">
      <c r="G37" s="311"/>
      <c r="H37" s="311"/>
      <c r="I37" s="309"/>
      <c r="J37" s="311"/>
      <c r="K37" s="311"/>
      <c r="L37" s="311"/>
      <c r="M37" s="311"/>
      <c r="N37" s="311"/>
      <c r="O37" s="311"/>
      <c r="P37" s="311"/>
      <c r="Q37" s="311"/>
      <c r="R37" s="311"/>
      <c r="S37" s="311"/>
      <c r="T37" s="311"/>
      <c r="U37" s="311"/>
      <c r="V37" s="311"/>
    </row>
    <row r="38" spans="7:22" s="327" customFormat="1">
      <c r="G38" s="311"/>
      <c r="H38" s="311"/>
      <c r="I38" s="309"/>
      <c r="J38" s="311"/>
      <c r="K38" s="311"/>
      <c r="L38" s="311"/>
      <c r="M38" s="311"/>
      <c r="N38" s="311"/>
      <c r="O38" s="311"/>
      <c r="P38" s="311"/>
      <c r="Q38" s="311"/>
      <c r="R38" s="311"/>
      <c r="S38" s="311"/>
      <c r="T38" s="311"/>
      <c r="U38" s="311"/>
      <c r="V38" s="311"/>
    </row>
    <row r="39" spans="7:22" s="327" customFormat="1">
      <c r="G39" s="311"/>
      <c r="H39" s="311"/>
      <c r="I39" s="309"/>
      <c r="J39" s="311"/>
      <c r="K39" s="311"/>
      <c r="L39" s="311"/>
      <c r="M39" s="311"/>
      <c r="N39" s="311"/>
      <c r="O39" s="311"/>
      <c r="P39" s="311"/>
      <c r="Q39" s="311"/>
      <c r="R39" s="311"/>
      <c r="S39" s="311"/>
      <c r="T39" s="311"/>
      <c r="U39" s="311"/>
      <c r="V39" s="311"/>
    </row>
    <row r="40" spans="7:22" s="327" customFormat="1">
      <c r="G40" s="311"/>
      <c r="H40" s="311"/>
      <c r="I40" s="309"/>
      <c r="J40" s="311"/>
      <c r="K40" s="311"/>
      <c r="L40" s="311"/>
      <c r="M40" s="311"/>
      <c r="N40" s="311"/>
      <c r="O40" s="311"/>
      <c r="P40" s="311"/>
      <c r="Q40" s="311"/>
      <c r="R40" s="311"/>
      <c r="S40" s="311"/>
      <c r="T40" s="311"/>
      <c r="U40" s="311"/>
      <c r="V40" s="311"/>
    </row>
    <row r="41" spans="7:22" s="327" customFormat="1">
      <c r="G41" s="311"/>
      <c r="H41" s="311"/>
      <c r="I41" s="309"/>
      <c r="J41" s="311"/>
      <c r="K41" s="311"/>
      <c r="L41" s="311"/>
      <c r="M41" s="311"/>
      <c r="N41" s="311"/>
      <c r="O41" s="311"/>
      <c r="P41" s="311"/>
      <c r="Q41" s="311"/>
      <c r="R41" s="311"/>
      <c r="S41" s="311"/>
      <c r="T41" s="311"/>
      <c r="U41" s="311"/>
      <c r="V41" s="311"/>
    </row>
    <row r="42" spans="7:22" s="327" customFormat="1">
      <c r="G42" s="311"/>
      <c r="H42" s="311"/>
      <c r="I42" s="309"/>
      <c r="J42" s="311"/>
      <c r="K42" s="311"/>
      <c r="L42" s="311"/>
      <c r="M42" s="311"/>
      <c r="N42" s="311"/>
      <c r="O42" s="311"/>
      <c r="P42" s="311"/>
      <c r="Q42" s="311"/>
      <c r="R42" s="311"/>
      <c r="S42" s="311"/>
      <c r="T42" s="311"/>
      <c r="U42" s="311"/>
      <c r="V42" s="311"/>
    </row>
    <row r="43" spans="7:22" s="327" customFormat="1">
      <c r="G43" s="311"/>
      <c r="H43" s="311"/>
      <c r="I43" s="309"/>
      <c r="J43" s="311"/>
      <c r="K43" s="311"/>
      <c r="L43" s="311"/>
      <c r="M43" s="311"/>
      <c r="N43" s="311"/>
      <c r="O43" s="311"/>
      <c r="P43" s="311"/>
      <c r="Q43" s="311"/>
      <c r="R43" s="311"/>
      <c r="S43" s="311"/>
      <c r="T43" s="311"/>
      <c r="U43" s="311"/>
      <c r="V43" s="311"/>
    </row>
    <row r="44" spans="7:22" s="327" customFormat="1">
      <c r="G44" s="311"/>
      <c r="H44" s="311"/>
      <c r="I44" s="309"/>
      <c r="J44" s="311"/>
      <c r="K44" s="311"/>
      <c r="L44" s="311"/>
      <c r="M44" s="311"/>
      <c r="N44" s="311"/>
      <c r="O44" s="311"/>
      <c r="P44" s="311"/>
      <c r="Q44" s="311"/>
      <c r="R44" s="311"/>
      <c r="S44" s="311"/>
      <c r="T44" s="311"/>
      <c r="U44" s="311"/>
      <c r="V44" s="311"/>
    </row>
    <row r="45" spans="7:22" s="327" customFormat="1">
      <c r="G45" s="311"/>
      <c r="H45" s="311"/>
      <c r="I45" s="309"/>
      <c r="J45" s="311"/>
      <c r="K45" s="311"/>
      <c r="L45" s="311"/>
      <c r="M45" s="311"/>
      <c r="N45" s="311"/>
      <c r="O45" s="311"/>
      <c r="P45" s="311"/>
      <c r="Q45" s="311"/>
      <c r="R45" s="311"/>
      <c r="S45" s="311"/>
      <c r="T45" s="311"/>
      <c r="U45" s="311"/>
      <c r="V45" s="311"/>
    </row>
    <row r="46" spans="7:22" s="327" customFormat="1">
      <c r="G46" s="311"/>
      <c r="H46" s="311"/>
      <c r="I46" s="309"/>
      <c r="J46" s="311"/>
      <c r="K46" s="311"/>
      <c r="L46" s="311"/>
      <c r="M46" s="311"/>
      <c r="N46" s="311"/>
      <c r="O46" s="311"/>
      <c r="P46" s="311"/>
      <c r="Q46" s="311"/>
      <c r="R46" s="311"/>
      <c r="S46" s="311"/>
      <c r="T46" s="311"/>
      <c r="U46" s="311"/>
      <c r="V46" s="311"/>
    </row>
    <row r="47" spans="7:22" s="327" customFormat="1">
      <c r="G47" s="311"/>
      <c r="H47" s="311"/>
      <c r="I47" s="309"/>
      <c r="J47" s="311"/>
      <c r="K47" s="311"/>
      <c r="L47" s="311"/>
      <c r="M47" s="311"/>
      <c r="N47" s="311"/>
      <c r="O47" s="311"/>
      <c r="P47" s="311"/>
      <c r="Q47" s="311"/>
      <c r="R47" s="311"/>
      <c r="S47" s="311"/>
      <c r="T47" s="311"/>
      <c r="U47" s="311"/>
      <c r="V47" s="311"/>
    </row>
    <row r="48" spans="7:22" s="327" customFormat="1">
      <c r="G48" s="311"/>
      <c r="H48" s="311"/>
      <c r="I48" s="309"/>
      <c r="J48" s="311"/>
      <c r="K48" s="311"/>
      <c r="L48" s="311"/>
      <c r="M48" s="311"/>
      <c r="N48" s="311"/>
      <c r="O48" s="311"/>
      <c r="P48" s="311"/>
      <c r="Q48" s="311"/>
      <c r="R48" s="311"/>
      <c r="S48" s="311"/>
      <c r="T48" s="311"/>
      <c r="U48" s="311"/>
      <c r="V48" s="311"/>
    </row>
    <row r="49" spans="7:22" s="327" customFormat="1">
      <c r="G49" s="311"/>
      <c r="H49" s="311"/>
      <c r="I49" s="309"/>
      <c r="J49" s="311"/>
      <c r="K49" s="311"/>
      <c r="L49" s="311"/>
      <c r="M49" s="311"/>
      <c r="N49" s="311"/>
      <c r="O49" s="311"/>
      <c r="P49" s="311"/>
      <c r="Q49" s="311"/>
      <c r="R49" s="311"/>
      <c r="S49" s="311"/>
      <c r="T49" s="311"/>
      <c r="U49" s="311"/>
      <c r="V49" s="311"/>
    </row>
    <row r="50" spans="7:22" s="327" customFormat="1">
      <c r="G50" s="311"/>
      <c r="H50" s="311"/>
      <c r="I50" s="309"/>
      <c r="J50" s="311"/>
      <c r="K50" s="311"/>
      <c r="L50" s="311"/>
      <c r="M50" s="311"/>
      <c r="N50" s="311"/>
      <c r="O50" s="311"/>
      <c r="P50" s="311"/>
      <c r="Q50" s="311"/>
      <c r="R50" s="311"/>
      <c r="S50" s="311"/>
      <c r="T50" s="311"/>
      <c r="U50" s="311"/>
      <c r="V50" s="311"/>
    </row>
    <row r="51" spans="7:22" s="327" customFormat="1">
      <c r="G51" s="311"/>
      <c r="H51" s="311"/>
      <c r="I51" s="309"/>
      <c r="J51" s="311"/>
      <c r="K51" s="311"/>
      <c r="L51" s="311"/>
      <c r="M51" s="311"/>
      <c r="N51" s="311"/>
      <c r="O51" s="311"/>
      <c r="P51" s="311"/>
      <c r="Q51" s="311"/>
      <c r="R51" s="311"/>
      <c r="S51" s="311"/>
      <c r="T51" s="311"/>
      <c r="U51" s="311"/>
      <c r="V51" s="311"/>
    </row>
    <row r="52" spans="7:22" s="327" customFormat="1">
      <c r="G52" s="311"/>
      <c r="H52" s="311"/>
      <c r="I52" s="309"/>
      <c r="J52" s="311"/>
      <c r="K52" s="311"/>
      <c r="L52" s="311"/>
      <c r="M52" s="311"/>
      <c r="N52" s="311"/>
      <c r="O52" s="311"/>
      <c r="P52" s="311"/>
      <c r="Q52" s="311"/>
      <c r="R52" s="311"/>
      <c r="S52" s="311"/>
      <c r="T52" s="311"/>
      <c r="U52" s="311"/>
      <c r="V52" s="311"/>
    </row>
    <row r="53" spans="7:22" s="327" customFormat="1">
      <c r="G53" s="311"/>
      <c r="H53" s="311"/>
      <c r="I53" s="309"/>
      <c r="J53" s="311"/>
      <c r="K53" s="311"/>
      <c r="L53" s="311"/>
      <c r="M53" s="311"/>
      <c r="N53" s="311"/>
      <c r="O53" s="311"/>
      <c r="P53" s="311"/>
      <c r="Q53" s="311"/>
      <c r="R53" s="311"/>
      <c r="S53" s="311"/>
      <c r="T53" s="311"/>
      <c r="U53" s="311"/>
      <c r="V53" s="311"/>
    </row>
    <row r="54" spans="7:22" s="327" customFormat="1">
      <c r="G54" s="311"/>
      <c r="H54" s="311"/>
      <c r="I54" s="309"/>
      <c r="J54" s="311"/>
      <c r="K54" s="311"/>
      <c r="L54" s="311"/>
      <c r="M54" s="311"/>
      <c r="N54" s="311"/>
      <c r="O54" s="311"/>
      <c r="P54" s="311"/>
      <c r="Q54" s="311"/>
      <c r="R54" s="311"/>
      <c r="S54" s="311"/>
      <c r="T54" s="311"/>
      <c r="U54" s="311"/>
      <c r="V54" s="311"/>
    </row>
    <row r="55" spans="7:22" s="327" customFormat="1">
      <c r="G55" s="311"/>
      <c r="H55" s="311"/>
      <c r="I55" s="309"/>
      <c r="J55" s="311"/>
      <c r="K55" s="311"/>
      <c r="L55" s="311"/>
      <c r="M55" s="311"/>
      <c r="N55" s="311"/>
      <c r="O55" s="311"/>
      <c r="P55" s="311"/>
      <c r="Q55" s="311"/>
      <c r="R55" s="311"/>
      <c r="S55" s="311"/>
      <c r="T55" s="311"/>
      <c r="U55" s="311"/>
      <c r="V55" s="311"/>
    </row>
    <row r="56" spans="7:22" s="327" customFormat="1">
      <c r="G56" s="311"/>
      <c r="H56" s="311"/>
      <c r="I56" s="309"/>
      <c r="J56" s="311"/>
      <c r="K56" s="311"/>
      <c r="L56" s="311"/>
      <c r="M56" s="311"/>
      <c r="N56" s="311"/>
      <c r="O56" s="311"/>
      <c r="P56" s="311"/>
      <c r="Q56" s="311"/>
      <c r="R56" s="311"/>
      <c r="S56" s="311"/>
      <c r="T56" s="311"/>
      <c r="U56" s="311"/>
      <c r="V56" s="311"/>
    </row>
    <row r="57" spans="7:22" s="327" customFormat="1">
      <c r="G57" s="311"/>
      <c r="H57" s="311"/>
      <c r="I57" s="309"/>
      <c r="J57" s="311"/>
      <c r="K57" s="311"/>
      <c r="L57" s="311"/>
      <c r="M57" s="311"/>
      <c r="N57" s="311"/>
      <c r="O57" s="311"/>
      <c r="P57" s="311"/>
      <c r="Q57" s="311"/>
      <c r="R57" s="311"/>
      <c r="S57" s="311"/>
      <c r="T57" s="311"/>
      <c r="U57" s="311"/>
      <c r="V57" s="311"/>
    </row>
    <row r="58" spans="7:22" s="327" customFormat="1">
      <c r="G58" s="311"/>
      <c r="H58" s="311"/>
      <c r="I58" s="309"/>
      <c r="J58" s="311"/>
      <c r="K58" s="311"/>
      <c r="L58" s="311"/>
      <c r="M58" s="311"/>
      <c r="N58" s="311"/>
      <c r="O58" s="311"/>
      <c r="P58" s="311"/>
      <c r="Q58" s="311"/>
      <c r="R58" s="311"/>
      <c r="S58" s="311"/>
      <c r="T58" s="311"/>
      <c r="U58" s="311"/>
      <c r="V58" s="311"/>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58"/>
  <sheetViews>
    <sheetView topLeftCell="A16" workbookViewId="0">
      <selection activeCell="E20" sqref="E20"/>
    </sheetView>
  </sheetViews>
  <sheetFormatPr defaultColWidth="8.77734375" defaultRowHeight="13.8"/>
  <cols>
    <col min="1" max="1" width="10.21875" style="316" customWidth="1"/>
    <col min="2" max="2" width="57.44140625" style="316" customWidth="1"/>
    <col min="3" max="4" width="21.44140625" style="316" customWidth="1"/>
    <col min="5" max="5" width="60.21875" style="316" customWidth="1"/>
    <col min="6" max="6" width="41.77734375" style="316" customWidth="1"/>
    <col min="7" max="7" width="21.44140625" style="311" customWidth="1"/>
    <col min="8" max="10" width="8.77734375" style="309"/>
    <col min="11" max="18" width="8.77734375" style="311"/>
    <col min="19" max="16384" width="8.77734375" style="316"/>
  </cols>
  <sheetData>
    <row r="1" spans="1:18" s="134" customFormat="1" ht="25.8">
      <c r="A1" s="308" t="s">
        <v>1489</v>
      </c>
      <c r="B1" s="309"/>
      <c r="C1" s="310"/>
      <c r="D1" s="309"/>
      <c r="E1" s="309"/>
      <c r="F1" s="309"/>
      <c r="G1" s="311"/>
      <c r="H1" s="309"/>
      <c r="I1" s="309"/>
      <c r="J1" s="309"/>
      <c r="K1" s="311"/>
      <c r="L1" s="311"/>
      <c r="M1" s="311"/>
      <c r="N1" s="311"/>
      <c r="O1" s="311"/>
      <c r="P1" s="311"/>
      <c r="Q1" s="311"/>
      <c r="R1" s="311"/>
    </row>
    <row r="2" spans="1:18" s="333" customFormat="1" ht="25.8">
      <c r="A2" s="308" t="s">
        <v>1490</v>
      </c>
      <c r="B2" s="309"/>
      <c r="C2" s="310"/>
      <c r="D2" s="309"/>
      <c r="E2" s="309"/>
      <c r="F2" s="309"/>
      <c r="G2" s="311"/>
      <c r="H2" s="309"/>
      <c r="I2" s="309"/>
      <c r="J2" s="309"/>
      <c r="K2" s="311"/>
      <c r="L2" s="311"/>
      <c r="M2" s="311"/>
      <c r="N2" s="311"/>
      <c r="O2" s="311"/>
      <c r="P2" s="311"/>
      <c r="Q2" s="311"/>
      <c r="R2" s="311"/>
    </row>
    <row r="3" spans="1:18" s="333" customFormat="1">
      <c r="A3" s="312" t="s">
        <v>1401</v>
      </c>
      <c r="B3" s="309" t="s">
        <v>1491</v>
      </c>
      <c r="C3" s="309"/>
      <c r="D3" s="309"/>
      <c r="E3" s="309"/>
      <c r="F3" s="309"/>
      <c r="G3" s="311"/>
      <c r="H3" s="309"/>
      <c r="I3" s="309"/>
      <c r="J3" s="309"/>
      <c r="K3" s="311"/>
      <c r="L3" s="311"/>
      <c r="M3" s="311"/>
      <c r="N3" s="311"/>
      <c r="O3" s="311"/>
      <c r="P3" s="311"/>
      <c r="Q3" s="311"/>
      <c r="R3" s="311"/>
    </row>
    <row r="4" spans="1:18" s="136" customFormat="1">
      <c r="A4" s="312" t="s">
        <v>1403</v>
      </c>
      <c r="B4" s="309" t="s">
        <v>1492</v>
      </c>
      <c r="C4" s="309"/>
      <c r="D4" s="309"/>
      <c r="E4" s="309"/>
      <c r="F4" s="309"/>
      <c r="G4" s="311"/>
      <c r="H4" s="309"/>
      <c r="I4" s="309"/>
      <c r="J4" s="309"/>
      <c r="K4" s="311"/>
      <c r="L4" s="311"/>
      <c r="M4" s="311"/>
      <c r="N4" s="311"/>
      <c r="O4" s="311"/>
      <c r="P4" s="311"/>
      <c r="Q4" s="311"/>
      <c r="R4" s="311"/>
    </row>
    <row r="5" spans="1:18" s="136" customFormat="1">
      <c r="A5" s="309" t="s">
        <v>1405</v>
      </c>
      <c r="B5" s="309" t="s">
        <v>1493</v>
      </c>
      <c r="C5" s="309"/>
      <c r="D5" s="309"/>
      <c r="E5" s="309"/>
      <c r="F5" s="309"/>
      <c r="G5" s="311"/>
      <c r="H5" s="309"/>
      <c r="I5" s="309"/>
      <c r="J5" s="309"/>
      <c r="K5" s="311"/>
      <c r="L5" s="311"/>
      <c r="M5" s="311"/>
      <c r="N5" s="311"/>
      <c r="O5" s="311"/>
      <c r="P5" s="311"/>
      <c r="Q5" s="311"/>
      <c r="R5" s="311"/>
    </row>
    <row r="6" spans="1:18" s="134" customFormat="1">
      <c r="A6" s="309" t="s">
        <v>1407</v>
      </c>
      <c r="B6" s="309" t="s">
        <v>1494</v>
      </c>
      <c r="C6" s="309"/>
      <c r="D6" s="309"/>
      <c r="E6" s="309"/>
      <c r="F6" s="309"/>
      <c r="G6" s="311"/>
      <c r="H6" s="309"/>
      <c r="I6" s="309"/>
      <c r="J6" s="309"/>
      <c r="K6" s="311"/>
      <c r="L6" s="311"/>
      <c r="M6" s="311"/>
      <c r="N6" s="311"/>
      <c r="O6" s="311"/>
      <c r="P6" s="311"/>
      <c r="Q6" s="311"/>
      <c r="R6" s="311"/>
    </row>
    <row r="7" spans="1:18" s="333" customFormat="1">
      <c r="A7" s="316"/>
      <c r="B7" s="316"/>
      <c r="C7" s="316"/>
      <c r="D7" s="316"/>
      <c r="E7" s="309"/>
      <c r="F7" s="309"/>
      <c r="G7" s="346"/>
      <c r="H7" s="309"/>
      <c r="I7" s="309"/>
      <c r="J7" s="309"/>
      <c r="K7" s="311"/>
      <c r="L7" s="311"/>
      <c r="M7" s="311"/>
      <c r="N7" s="311"/>
      <c r="O7" s="311"/>
      <c r="P7" s="311"/>
      <c r="Q7" s="311"/>
      <c r="R7" s="311"/>
    </row>
    <row r="8" spans="1:18" s="145"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45" customFormat="1">
      <c r="A9" s="317" t="s">
        <v>27</v>
      </c>
      <c r="B9" s="317"/>
      <c r="C9" s="318"/>
      <c r="D9" s="318"/>
      <c r="E9" s="318"/>
      <c r="F9" s="318"/>
      <c r="G9" s="318"/>
      <c r="H9" s="309"/>
      <c r="I9" s="309"/>
      <c r="J9" s="309"/>
      <c r="K9" s="312"/>
      <c r="L9" s="312"/>
      <c r="M9" s="312"/>
      <c r="N9" s="312"/>
      <c r="O9" s="312"/>
      <c r="P9" s="312"/>
      <c r="Q9" s="312"/>
      <c r="R9" s="312"/>
    </row>
    <row r="10" spans="1:18" s="90" customFormat="1" ht="138">
      <c r="A10" s="3" t="s">
        <v>1002</v>
      </c>
      <c r="B10" s="3" t="s">
        <v>1496</v>
      </c>
      <c r="C10" s="323" t="s">
        <v>1497</v>
      </c>
      <c r="D10" s="323" t="s">
        <v>1498</v>
      </c>
      <c r="E10" s="323" t="s">
        <v>1499</v>
      </c>
      <c r="F10" s="323"/>
      <c r="G10" s="3"/>
      <c r="H10" s="309"/>
      <c r="I10" s="309"/>
      <c r="J10" s="309"/>
      <c r="K10" s="312"/>
      <c r="L10" s="312"/>
      <c r="M10" s="312"/>
      <c r="N10" s="312"/>
      <c r="O10" s="312"/>
      <c r="P10" s="312"/>
      <c r="Q10" s="312"/>
      <c r="R10" s="312"/>
    </row>
    <row r="11" spans="1:18" s="312" customFormat="1" ht="124.2">
      <c r="A11" s="3" t="s">
        <v>1003</v>
      </c>
      <c r="B11" s="3" t="s">
        <v>1500</v>
      </c>
      <c r="C11" s="323" t="s">
        <v>1501</v>
      </c>
      <c r="D11" s="323" t="s">
        <v>1502</v>
      </c>
      <c r="E11" s="323" t="s">
        <v>1503</v>
      </c>
      <c r="F11" s="323"/>
      <c r="G11" s="3"/>
      <c r="H11" s="309"/>
      <c r="I11" s="309"/>
      <c r="J11" s="309"/>
    </row>
    <row r="12" spans="1:18" s="145" customFormat="1">
      <c r="A12" s="317" t="s">
        <v>28</v>
      </c>
      <c r="B12" s="317"/>
      <c r="C12" s="318"/>
      <c r="D12" s="318"/>
      <c r="E12" s="318" t="s">
        <v>1504</v>
      </c>
      <c r="F12" s="318"/>
      <c r="G12" s="318"/>
      <c r="H12" s="309"/>
      <c r="I12" s="309"/>
      <c r="J12" s="309"/>
      <c r="K12" s="312"/>
      <c r="L12" s="312"/>
      <c r="M12" s="312"/>
      <c r="N12" s="312"/>
      <c r="O12" s="312"/>
      <c r="P12" s="312"/>
      <c r="Q12" s="312"/>
      <c r="R12" s="312"/>
    </row>
    <row r="13" spans="1:18" s="145" customFormat="1" ht="165.6">
      <c r="A13" s="3" t="s">
        <v>1004</v>
      </c>
      <c r="B13" s="3" t="s">
        <v>1505</v>
      </c>
      <c r="C13" s="323" t="s">
        <v>1506</v>
      </c>
      <c r="D13" s="323" t="s">
        <v>1507</v>
      </c>
      <c r="E13" s="323" t="s">
        <v>1508</v>
      </c>
      <c r="F13" s="323"/>
      <c r="G13" s="3"/>
      <c r="H13" s="309"/>
      <c r="I13" s="309"/>
      <c r="J13" s="309"/>
      <c r="K13" s="312"/>
      <c r="L13" s="312"/>
      <c r="M13" s="312"/>
      <c r="N13" s="312"/>
      <c r="O13" s="312"/>
      <c r="P13" s="312"/>
      <c r="Q13" s="312"/>
      <c r="R13" s="312"/>
    </row>
    <row r="14" spans="1:18" s="90" customFormat="1" ht="138">
      <c r="A14" s="3" t="s">
        <v>1005</v>
      </c>
      <c r="B14" s="3" t="s">
        <v>1509</v>
      </c>
      <c r="C14" s="323" t="s">
        <v>1510</v>
      </c>
      <c r="D14" s="323" t="s">
        <v>1511</v>
      </c>
      <c r="E14" s="323" t="s">
        <v>1512</v>
      </c>
      <c r="F14" s="323"/>
      <c r="G14" s="3"/>
      <c r="H14" s="309"/>
      <c r="I14" s="309"/>
      <c r="J14" s="309"/>
      <c r="K14" s="312"/>
      <c r="L14" s="312"/>
      <c r="M14" s="312"/>
      <c r="N14" s="312"/>
      <c r="O14" s="312"/>
      <c r="P14" s="312"/>
      <c r="Q14" s="312"/>
      <c r="R14" s="312"/>
    </row>
    <row r="15" spans="1:18" s="312" customFormat="1" ht="138">
      <c r="A15" s="3" t="s">
        <v>1006</v>
      </c>
      <c r="B15" s="3" t="s">
        <v>1513</v>
      </c>
      <c r="C15" s="323" t="s">
        <v>1514</v>
      </c>
      <c r="D15" s="323" t="s">
        <v>1515</v>
      </c>
      <c r="E15" s="323" t="s">
        <v>1516</v>
      </c>
      <c r="F15" s="323"/>
      <c r="G15" s="3"/>
      <c r="H15" s="309"/>
      <c r="I15" s="309"/>
      <c r="J15" s="309"/>
    </row>
    <row r="16" spans="1:18" s="312" customFormat="1" ht="220.8">
      <c r="A16" s="3" t="s">
        <v>1007</v>
      </c>
      <c r="B16" s="3" t="s">
        <v>1517</v>
      </c>
      <c r="C16" s="323" t="s">
        <v>1518</v>
      </c>
      <c r="D16" s="323" t="s">
        <v>1519</v>
      </c>
      <c r="E16" s="323" t="s">
        <v>1520</v>
      </c>
      <c r="F16" s="323"/>
      <c r="G16" s="3"/>
      <c r="H16" s="309"/>
      <c r="I16" s="309"/>
      <c r="J16" s="309"/>
    </row>
    <row r="17" spans="1:18" s="145" customFormat="1" ht="220.8">
      <c r="A17" s="3" t="s">
        <v>1008</v>
      </c>
      <c r="B17" s="3" t="s">
        <v>1521</v>
      </c>
      <c r="C17" s="323" t="s">
        <v>1522</v>
      </c>
      <c r="D17" s="323" t="s">
        <v>1523</v>
      </c>
      <c r="E17" s="323" t="s">
        <v>1524</v>
      </c>
      <c r="F17" s="323"/>
      <c r="G17" s="3"/>
      <c r="H17" s="309"/>
      <c r="I17" s="309"/>
      <c r="J17" s="309"/>
      <c r="K17" s="312"/>
      <c r="L17" s="312"/>
      <c r="M17" s="312"/>
      <c r="N17" s="312"/>
      <c r="O17" s="312"/>
      <c r="P17" s="312"/>
      <c r="Q17" s="312"/>
      <c r="R17" s="312"/>
    </row>
    <row r="18" spans="1:18" s="145" customFormat="1">
      <c r="A18" s="317" t="s">
        <v>29</v>
      </c>
      <c r="B18" s="317"/>
      <c r="C18" s="318"/>
      <c r="D18" s="318"/>
      <c r="E18" s="318"/>
      <c r="F18" s="318"/>
      <c r="G18" s="318"/>
      <c r="H18" s="309"/>
      <c r="I18" s="309"/>
      <c r="J18" s="309"/>
      <c r="K18" s="312"/>
      <c r="L18" s="312"/>
      <c r="M18" s="312"/>
      <c r="N18" s="312"/>
      <c r="O18" s="312"/>
      <c r="P18" s="312"/>
      <c r="Q18" s="312"/>
      <c r="R18" s="312"/>
    </row>
    <row r="19" spans="1:18" s="90" customFormat="1" ht="165.6">
      <c r="A19" s="3" t="s">
        <v>1009</v>
      </c>
      <c r="B19" s="3" t="s">
        <v>1525</v>
      </c>
      <c r="C19" s="323" t="s">
        <v>1526</v>
      </c>
      <c r="D19" s="323" t="s">
        <v>1527</v>
      </c>
      <c r="E19" s="323" t="s">
        <v>1528</v>
      </c>
      <c r="F19" s="323"/>
      <c r="G19" s="3"/>
      <c r="H19" s="309"/>
      <c r="I19" s="309"/>
      <c r="J19" s="309"/>
      <c r="K19" s="312"/>
      <c r="L19" s="312"/>
      <c r="M19" s="312"/>
      <c r="N19" s="312"/>
      <c r="O19" s="312"/>
      <c r="P19" s="312"/>
      <c r="Q19" s="312"/>
      <c r="R19" s="312"/>
    </row>
    <row r="20" spans="1:18" s="326" customFormat="1">
      <c r="G20" s="311"/>
      <c r="H20" s="309"/>
      <c r="I20" s="309"/>
      <c r="J20" s="309"/>
      <c r="K20" s="311"/>
      <c r="L20" s="311"/>
      <c r="M20" s="311"/>
      <c r="N20" s="311"/>
      <c r="O20" s="311"/>
      <c r="P20" s="311"/>
      <c r="Q20" s="311"/>
      <c r="R20" s="311"/>
    </row>
    <row r="21" spans="1:18" s="326" customFormat="1">
      <c r="G21" s="311"/>
      <c r="H21" s="309"/>
      <c r="I21" s="309"/>
      <c r="J21" s="309"/>
      <c r="K21" s="311"/>
      <c r="L21" s="311"/>
      <c r="M21" s="311"/>
      <c r="N21" s="311"/>
      <c r="O21" s="311"/>
      <c r="P21" s="311"/>
      <c r="Q21" s="311"/>
      <c r="R21" s="311"/>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7" customFormat="1">
      <c r="G38" s="311"/>
      <c r="H38" s="309"/>
      <c r="I38" s="309"/>
      <c r="J38" s="309"/>
      <c r="K38" s="311"/>
      <c r="L38" s="311"/>
      <c r="M38" s="311"/>
      <c r="N38" s="311"/>
      <c r="O38" s="311"/>
      <c r="P38" s="311"/>
      <c r="Q38" s="311"/>
      <c r="R38" s="311"/>
    </row>
    <row r="39" spans="7:18" s="327" customFormat="1">
      <c r="G39" s="311"/>
      <c r="H39" s="309"/>
      <c r="I39" s="309"/>
      <c r="J39" s="309"/>
      <c r="K39" s="311"/>
      <c r="L39" s="311"/>
      <c r="M39" s="311"/>
      <c r="N39" s="311"/>
      <c r="O39" s="311"/>
      <c r="P39" s="311"/>
      <c r="Q39" s="311"/>
      <c r="R39" s="311"/>
    </row>
    <row r="40" spans="7:18" s="327" customFormat="1">
      <c r="G40" s="311"/>
      <c r="H40" s="309"/>
      <c r="I40" s="309"/>
      <c r="J40" s="309"/>
      <c r="K40" s="311"/>
      <c r="L40" s="311"/>
      <c r="M40" s="311"/>
      <c r="N40" s="311"/>
      <c r="O40" s="311"/>
      <c r="P40" s="311"/>
      <c r="Q40" s="311"/>
      <c r="R40" s="311"/>
    </row>
    <row r="41" spans="7:18" s="327" customFormat="1">
      <c r="G41" s="311"/>
      <c r="H41" s="309"/>
      <c r="I41" s="309"/>
      <c r="J41" s="309"/>
      <c r="K41" s="311"/>
      <c r="L41" s="311"/>
      <c r="M41" s="311"/>
      <c r="N41" s="311"/>
      <c r="O41" s="311"/>
      <c r="P41" s="311"/>
      <c r="Q41" s="311"/>
      <c r="R41" s="311"/>
    </row>
    <row r="42" spans="7:18" s="327" customFormat="1">
      <c r="G42" s="311"/>
      <c r="H42" s="309"/>
      <c r="I42" s="309"/>
      <c r="J42" s="309"/>
      <c r="K42" s="311"/>
      <c r="L42" s="311"/>
      <c r="M42" s="311"/>
      <c r="N42" s="311"/>
      <c r="O42" s="311"/>
      <c r="P42" s="311"/>
      <c r="Q42" s="311"/>
      <c r="R42" s="311"/>
    </row>
    <row r="43" spans="7:18" s="327" customFormat="1">
      <c r="G43" s="311"/>
      <c r="H43" s="309"/>
      <c r="I43" s="309"/>
      <c r="J43" s="309"/>
      <c r="K43" s="311"/>
      <c r="L43" s="311"/>
      <c r="M43" s="311"/>
      <c r="N43" s="311"/>
      <c r="O43" s="311"/>
      <c r="P43" s="311"/>
      <c r="Q43" s="311"/>
      <c r="R43" s="311"/>
    </row>
    <row r="44" spans="7:18" s="327" customFormat="1">
      <c r="G44" s="311"/>
      <c r="H44" s="309"/>
      <c r="I44" s="309"/>
      <c r="J44" s="309"/>
      <c r="K44" s="311"/>
      <c r="L44" s="311"/>
      <c r="M44" s="311"/>
      <c r="N44" s="311"/>
      <c r="O44" s="311"/>
      <c r="P44" s="311"/>
      <c r="Q44" s="311"/>
      <c r="R44" s="311"/>
    </row>
    <row r="45" spans="7:18" s="327" customFormat="1">
      <c r="G45" s="311"/>
      <c r="H45" s="309"/>
      <c r="I45" s="309"/>
      <c r="J45" s="309"/>
      <c r="K45" s="311"/>
      <c r="L45" s="311"/>
      <c r="M45" s="311"/>
      <c r="N45" s="311"/>
      <c r="O45" s="311"/>
      <c r="P45" s="311"/>
      <c r="Q45" s="311"/>
      <c r="R45" s="311"/>
    </row>
    <row r="46" spans="7:18" s="327" customFormat="1">
      <c r="G46" s="311"/>
      <c r="H46" s="309"/>
      <c r="I46" s="309"/>
      <c r="J46" s="309"/>
      <c r="K46" s="311"/>
      <c r="L46" s="311"/>
      <c r="M46" s="311"/>
      <c r="N46" s="311"/>
      <c r="O46" s="311"/>
      <c r="P46" s="311"/>
      <c r="Q46" s="311"/>
      <c r="R46" s="311"/>
    </row>
    <row r="47" spans="7:18" s="327"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70C0"/>
  </sheetPr>
  <dimension ref="A1:R64"/>
  <sheetViews>
    <sheetView topLeftCell="A2" workbookViewId="0">
      <selection activeCell="C19" sqref="C19"/>
    </sheetView>
  </sheetViews>
  <sheetFormatPr defaultColWidth="8.77734375" defaultRowHeight="13.8"/>
  <cols>
    <col min="1" max="1" width="10.21875" style="316" customWidth="1"/>
    <col min="2" max="2" width="59.88671875" style="316" customWidth="1"/>
    <col min="3" max="4" width="21.44140625" style="316" customWidth="1"/>
    <col min="5" max="5" width="56.33203125" style="316" customWidth="1"/>
    <col min="6" max="6" width="56.44140625" style="316" customWidth="1"/>
    <col min="7" max="7" width="21.44140625" style="311" customWidth="1"/>
    <col min="8" max="9" width="8.77734375" style="309" customWidth="1"/>
    <col min="10" max="10" width="8.77734375" style="311" customWidth="1"/>
    <col min="11" max="11" width="8.77734375" style="311"/>
    <col min="12" max="12" width="8.77734375" style="309"/>
    <col min="13" max="18" width="8.77734375" style="311"/>
    <col min="19" max="16384" width="8.77734375" style="316"/>
  </cols>
  <sheetData>
    <row r="1" spans="1:18" s="134" customFormat="1" ht="25.8">
      <c r="A1" s="308" t="s">
        <v>1529</v>
      </c>
      <c r="B1" s="309"/>
      <c r="C1" s="310"/>
      <c r="D1" s="309"/>
      <c r="E1" s="309"/>
      <c r="F1" s="309"/>
      <c r="G1" s="311"/>
      <c r="H1" s="309"/>
      <c r="I1" s="309"/>
      <c r="J1" s="311"/>
      <c r="K1" s="311"/>
      <c r="L1" s="309"/>
      <c r="M1" s="311"/>
      <c r="N1" s="311"/>
      <c r="O1" s="311"/>
      <c r="P1" s="311"/>
      <c r="Q1" s="311"/>
      <c r="R1" s="311"/>
    </row>
    <row r="2" spans="1:18" s="333" customFormat="1" ht="25.8">
      <c r="A2" s="308" t="s">
        <v>1530</v>
      </c>
      <c r="B2" s="309"/>
      <c r="C2" s="310"/>
      <c r="D2" s="309"/>
      <c r="E2" s="309"/>
      <c r="F2" s="309"/>
      <c r="G2" s="311"/>
      <c r="H2" s="309"/>
      <c r="I2" s="309"/>
      <c r="J2" s="311"/>
      <c r="K2" s="311"/>
      <c r="L2" s="309"/>
      <c r="M2" s="311"/>
      <c r="N2" s="311"/>
      <c r="O2" s="311"/>
      <c r="P2" s="311"/>
      <c r="Q2" s="311"/>
      <c r="R2" s="311"/>
    </row>
    <row r="3" spans="1:18" s="333" customFormat="1">
      <c r="A3" s="312" t="s">
        <v>1531</v>
      </c>
      <c r="B3" s="309" t="s">
        <v>1532</v>
      </c>
      <c r="C3" s="309"/>
      <c r="D3" s="309"/>
      <c r="E3" s="309"/>
      <c r="F3" s="309"/>
      <c r="G3" s="311"/>
      <c r="H3" s="309"/>
      <c r="I3" s="309"/>
      <c r="J3" s="311"/>
      <c r="K3" s="311"/>
      <c r="L3" s="309"/>
      <c r="M3" s="311"/>
      <c r="N3" s="311"/>
      <c r="O3" s="311"/>
      <c r="P3" s="311"/>
      <c r="Q3" s="311"/>
      <c r="R3" s="311"/>
    </row>
    <row r="4" spans="1:18" s="136" customFormat="1">
      <c r="A4" s="312" t="s">
        <v>1403</v>
      </c>
      <c r="B4" s="309" t="s">
        <v>1533</v>
      </c>
      <c r="C4" s="309"/>
      <c r="D4" s="309"/>
      <c r="E4" s="309"/>
      <c r="F4" s="309"/>
      <c r="G4" s="311"/>
      <c r="H4" s="309"/>
      <c r="I4" s="309"/>
      <c r="J4" s="311"/>
      <c r="K4" s="311"/>
      <c r="L4" s="309"/>
      <c r="M4" s="311"/>
      <c r="N4" s="311"/>
      <c r="O4" s="311"/>
      <c r="P4" s="311"/>
      <c r="Q4" s="311"/>
      <c r="R4" s="311"/>
    </row>
    <row r="5" spans="1:18" s="136" customFormat="1">
      <c r="A5" s="309" t="s">
        <v>1534</v>
      </c>
      <c r="B5" s="309" t="s">
        <v>1535</v>
      </c>
      <c r="C5" s="309"/>
      <c r="D5" s="309"/>
      <c r="E5" s="309"/>
      <c r="F5" s="309"/>
      <c r="G5" s="311"/>
      <c r="H5" s="309"/>
      <c r="I5" s="309"/>
      <c r="J5" s="311"/>
      <c r="K5" s="311"/>
      <c r="L5" s="309"/>
      <c r="M5" s="311"/>
      <c r="N5" s="311"/>
      <c r="O5" s="311"/>
      <c r="P5" s="311"/>
      <c r="Q5" s="311"/>
      <c r="R5" s="311"/>
    </row>
    <row r="6" spans="1:18" s="134" customFormat="1">
      <c r="A6" s="309" t="s">
        <v>1407</v>
      </c>
      <c r="B6" s="309" t="s">
        <v>1536</v>
      </c>
      <c r="C6" s="309"/>
      <c r="D6" s="309"/>
      <c r="E6" s="309"/>
      <c r="F6" s="309"/>
      <c r="G6" s="311"/>
      <c r="H6" s="309"/>
      <c r="I6" s="309"/>
      <c r="J6" s="311"/>
      <c r="K6" s="311"/>
      <c r="L6" s="309"/>
      <c r="M6" s="311"/>
      <c r="N6" s="311"/>
      <c r="O6" s="311"/>
      <c r="P6" s="311"/>
      <c r="Q6" s="311"/>
      <c r="R6" s="311"/>
    </row>
    <row r="7" spans="1:18" s="333" customFormat="1">
      <c r="A7" s="316"/>
      <c r="B7" s="316"/>
      <c r="C7" s="316"/>
      <c r="D7" s="316"/>
      <c r="E7" s="309"/>
      <c r="F7" s="309"/>
      <c r="G7" s="346" t="e">
        <f>#REF!</f>
        <v>#REF!</v>
      </c>
      <c r="H7" s="309"/>
      <c r="I7" s="309"/>
      <c r="J7" s="311"/>
      <c r="K7" s="311"/>
      <c r="L7" s="309"/>
      <c r="M7" s="311"/>
      <c r="N7" s="311"/>
      <c r="O7" s="311"/>
      <c r="P7" s="311"/>
      <c r="Q7" s="311"/>
      <c r="R7" s="311"/>
    </row>
    <row r="8" spans="1:18" s="136" customFormat="1">
      <c r="A8" s="337"/>
      <c r="B8" s="337"/>
      <c r="C8" s="337" t="s">
        <v>65</v>
      </c>
      <c r="D8" s="337" t="s">
        <v>54</v>
      </c>
      <c r="E8" s="337" t="s">
        <v>86</v>
      </c>
      <c r="F8" s="337"/>
      <c r="G8" s="337" t="s">
        <v>1409</v>
      </c>
      <c r="H8" s="309"/>
      <c r="I8" s="309"/>
      <c r="J8" s="309"/>
      <c r="K8" s="309"/>
      <c r="L8" s="309"/>
      <c r="M8" s="309"/>
      <c r="N8" s="309"/>
      <c r="O8" s="309"/>
      <c r="P8" s="309"/>
      <c r="Q8" s="309"/>
      <c r="R8" s="309"/>
    </row>
    <row r="9" spans="1:18" s="136" customFormat="1">
      <c r="A9" s="329" t="s">
        <v>27</v>
      </c>
      <c r="B9" s="329"/>
      <c r="C9" s="330"/>
      <c r="D9" s="330"/>
      <c r="E9" s="330"/>
      <c r="F9" s="330"/>
      <c r="G9" s="331"/>
      <c r="H9" s="309"/>
      <c r="I9" s="309"/>
      <c r="J9" s="332"/>
      <c r="K9" s="332"/>
      <c r="L9" s="309"/>
      <c r="M9" s="332"/>
      <c r="N9" s="332"/>
      <c r="O9" s="332"/>
      <c r="P9" s="332"/>
      <c r="Q9" s="332"/>
      <c r="R9" s="332"/>
    </row>
    <row r="10" spans="1:18" s="134" customFormat="1" ht="234.6">
      <c r="A10" s="20" t="s">
        <v>895</v>
      </c>
      <c r="B10" s="20" t="s">
        <v>1537</v>
      </c>
      <c r="C10" s="334" t="s">
        <v>1538</v>
      </c>
      <c r="D10" s="334" t="s">
        <v>1539</v>
      </c>
      <c r="E10" s="334" t="s">
        <v>1540</v>
      </c>
      <c r="F10" s="334"/>
      <c r="G10" s="335"/>
      <c r="H10" s="322"/>
      <c r="I10" s="309"/>
      <c r="J10" s="332"/>
      <c r="K10" s="332"/>
      <c r="L10" s="309"/>
      <c r="M10" s="332"/>
      <c r="N10" s="332"/>
      <c r="O10" s="332"/>
      <c r="P10" s="332"/>
      <c r="Q10" s="332"/>
      <c r="R10" s="332"/>
    </row>
    <row r="11" spans="1:18" s="333" customFormat="1">
      <c r="A11" s="329" t="s">
        <v>28</v>
      </c>
      <c r="B11" s="329"/>
      <c r="C11" s="330"/>
      <c r="D11" s="330"/>
      <c r="E11" s="330" t="s">
        <v>1504</v>
      </c>
      <c r="F11" s="330"/>
      <c r="G11" s="331"/>
      <c r="H11" s="309"/>
      <c r="I11" s="309"/>
      <c r="J11" s="332"/>
      <c r="K11" s="332"/>
      <c r="L11" s="309"/>
      <c r="M11" s="332"/>
      <c r="N11" s="332"/>
      <c r="O11" s="332"/>
      <c r="P11" s="332"/>
      <c r="Q11" s="332"/>
      <c r="R11" s="332"/>
    </row>
    <row r="12" spans="1:18" s="136" customFormat="1" ht="193.2">
      <c r="A12" s="20" t="s">
        <v>896</v>
      </c>
      <c r="B12" s="20" t="s">
        <v>1541</v>
      </c>
      <c r="C12" s="334" t="s">
        <v>1542</v>
      </c>
      <c r="D12" s="334" t="s">
        <v>1543</v>
      </c>
      <c r="E12" s="334" t="s">
        <v>1544</v>
      </c>
      <c r="F12" s="334"/>
      <c r="G12" s="335"/>
      <c r="H12" s="309"/>
      <c r="I12" s="309"/>
      <c r="J12" s="332"/>
      <c r="K12" s="332"/>
      <c r="L12" s="309"/>
      <c r="M12" s="332"/>
      <c r="N12" s="332"/>
      <c r="O12" s="332"/>
      <c r="P12" s="332"/>
      <c r="Q12" s="332"/>
      <c r="R12" s="332"/>
    </row>
    <row r="13" spans="1:18" s="134" customFormat="1" ht="234.6">
      <c r="A13" s="20" t="s">
        <v>897</v>
      </c>
      <c r="B13" s="20" t="s">
        <v>1545</v>
      </c>
      <c r="C13" s="334" t="s">
        <v>1546</v>
      </c>
      <c r="D13" s="334" t="s">
        <v>1547</v>
      </c>
      <c r="E13" s="334" t="s">
        <v>1548</v>
      </c>
      <c r="F13" s="334"/>
      <c r="G13" s="335"/>
      <c r="H13" s="309"/>
      <c r="I13" s="347"/>
      <c r="J13" s="332"/>
      <c r="K13" s="332"/>
      <c r="L13" s="309"/>
      <c r="M13" s="332"/>
      <c r="N13" s="332"/>
      <c r="O13" s="332"/>
      <c r="P13" s="332"/>
      <c r="Q13" s="332"/>
      <c r="R13" s="332"/>
    </row>
    <row r="14" spans="1:18" s="333" customFormat="1" ht="248.4">
      <c r="A14" s="20" t="s">
        <v>898</v>
      </c>
      <c r="B14" s="20" t="s">
        <v>1549</v>
      </c>
      <c r="C14" s="334" t="s">
        <v>1550</v>
      </c>
      <c r="D14" s="334" t="s">
        <v>1551</v>
      </c>
      <c r="E14" s="334" t="s">
        <v>1552</v>
      </c>
      <c r="F14" s="334"/>
      <c r="G14" s="335"/>
      <c r="H14" s="309"/>
      <c r="I14" s="309"/>
      <c r="J14" s="332"/>
      <c r="K14" s="332"/>
      <c r="L14" s="309"/>
      <c r="M14" s="332"/>
      <c r="N14" s="332"/>
      <c r="O14" s="332"/>
      <c r="P14" s="332"/>
      <c r="Q14" s="332"/>
      <c r="R14" s="332"/>
    </row>
    <row r="15" spans="1:18" s="136" customFormat="1">
      <c r="A15" s="329" t="s">
        <v>29</v>
      </c>
      <c r="B15" s="329"/>
      <c r="C15" s="330"/>
      <c r="D15" s="330"/>
      <c r="E15" s="330" t="s">
        <v>1504</v>
      </c>
      <c r="F15" s="330"/>
      <c r="G15" s="331"/>
      <c r="H15" s="309"/>
      <c r="I15" s="309"/>
      <c r="J15" s="332"/>
      <c r="K15" s="332"/>
      <c r="L15" s="309"/>
      <c r="M15" s="332"/>
      <c r="N15" s="332"/>
      <c r="O15" s="332"/>
      <c r="P15" s="332"/>
      <c r="Q15" s="332"/>
      <c r="R15" s="332"/>
    </row>
    <row r="16" spans="1:18" s="136" customFormat="1" ht="220.8">
      <c r="A16" s="20" t="s">
        <v>899</v>
      </c>
      <c r="B16" s="20" t="s">
        <v>1553</v>
      </c>
      <c r="C16" s="334" t="s">
        <v>1554</v>
      </c>
      <c r="D16" s="334" t="s">
        <v>1555</v>
      </c>
      <c r="E16" s="334" t="s">
        <v>1556</v>
      </c>
      <c r="F16" s="334"/>
      <c r="G16" s="335"/>
      <c r="H16" s="309"/>
      <c r="I16" s="309"/>
      <c r="J16" s="332"/>
      <c r="K16" s="332"/>
      <c r="L16" s="309"/>
      <c r="M16" s="332"/>
      <c r="N16" s="332"/>
      <c r="O16" s="332"/>
      <c r="P16" s="332"/>
      <c r="Q16" s="332"/>
      <c r="R16" s="332"/>
    </row>
    <row r="17" spans="1:18" s="134" customFormat="1" ht="248.4">
      <c r="A17" s="20" t="s">
        <v>900</v>
      </c>
      <c r="B17" s="20" t="s">
        <v>1557</v>
      </c>
      <c r="C17" s="334" t="s">
        <v>1558</v>
      </c>
      <c r="D17" s="334" t="s">
        <v>1559</v>
      </c>
      <c r="E17" s="334" t="s">
        <v>1560</v>
      </c>
      <c r="F17" s="334"/>
      <c r="G17" s="335"/>
      <c r="H17" s="309"/>
      <c r="I17" s="309"/>
      <c r="J17" s="332"/>
      <c r="K17" s="332"/>
      <c r="L17" s="309"/>
      <c r="M17" s="332"/>
      <c r="N17" s="332"/>
      <c r="O17" s="332"/>
      <c r="P17" s="332"/>
      <c r="Q17" s="332"/>
      <c r="R17" s="332"/>
    </row>
    <row r="18" spans="1:18" s="326" customFormat="1">
      <c r="G18" s="311"/>
      <c r="H18" s="309"/>
      <c r="I18" s="309"/>
      <c r="J18" s="311"/>
      <c r="K18" s="311"/>
      <c r="L18" s="309"/>
      <c r="M18" s="311"/>
      <c r="N18" s="311"/>
      <c r="O18" s="311"/>
      <c r="P18" s="311"/>
      <c r="Q18" s="311"/>
      <c r="R18" s="311"/>
    </row>
    <row r="19" spans="1:18" s="326" customFormat="1">
      <c r="G19" s="311"/>
      <c r="H19" s="309"/>
      <c r="I19" s="309"/>
      <c r="J19" s="311"/>
      <c r="K19" s="311"/>
      <c r="L19" s="309"/>
      <c r="M19" s="311"/>
      <c r="N19" s="311"/>
      <c r="O19" s="311"/>
      <c r="P19" s="311"/>
      <c r="Q19" s="311"/>
      <c r="R19" s="311"/>
    </row>
    <row r="20" spans="1:18" s="326" customFormat="1">
      <c r="G20" s="311"/>
      <c r="H20" s="309"/>
      <c r="I20" s="309"/>
      <c r="J20" s="311"/>
      <c r="K20" s="311"/>
      <c r="L20" s="309"/>
      <c r="M20" s="311"/>
      <c r="N20" s="311"/>
      <c r="O20" s="311"/>
      <c r="P20" s="311"/>
      <c r="Q20" s="311"/>
      <c r="R20" s="311"/>
    </row>
    <row r="21" spans="1:18" s="326" customFormat="1">
      <c r="G21" s="311"/>
      <c r="H21" s="309"/>
      <c r="I21" s="309"/>
      <c r="J21" s="311"/>
      <c r="K21" s="311"/>
      <c r="L21" s="309"/>
      <c r="M21" s="311"/>
      <c r="N21" s="311"/>
      <c r="O21" s="311"/>
      <c r="P21" s="311"/>
      <c r="Q21" s="311"/>
      <c r="R21" s="311"/>
    </row>
    <row r="22" spans="1:18" s="326" customFormat="1">
      <c r="G22" s="311"/>
      <c r="H22" s="309"/>
      <c r="I22" s="309"/>
      <c r="J22" s="311"/>
      <c r="K22" s="311"/>
      <c r="L22" s="309"/>
      <c r="M22" s="311"/>
      <c r="N22" s="311"/>
      <c r="O22" s="311"/>
      <c r="P22" s="311"/>
      <c r="Q22" s="311"/>
      <c r="R22" s="311"/>
    </row>
    <row r="23" spans="1:18" s="326" customFormat="1">
      <c r="G23" s="311"/>
      <c r="H23" s="309"/>
      <c r="I23" s="309"/>
      <c r="J23" s="311"/>
      <c r="K23" s="311"/>
      <c r="L23" s="309"/>
      <c r="M23" s="311"/>
      <c r="N23" s="311"/>
      <c r="O23" s="311"/>
      <c r="P23" s="311"/>
      <c r="Q23" s="311"/>
      <c r="R23" s="311"/>
    </row>
    <row r="24" spans="1:18" s="326" customFormat="1">
      <c r="G24" s="311"/>
      <c r="H24" s="309"/>
      <c r="I24" s="309"/>
      <c r="J24" s="311"/>
      <c r="K24" s="311"/>
      <c r="L24" s="309"/>
      <c r="M24" s="311"/>
      <c r="N24" s="311"/>
      <c r="O24" s="311"/>
      <c r="P24" s="311"/>
      <c r="Q24" s="311"/>
      <c r="R24" s="311"/>
    </row>
    <row r="25" spans="1:18" s="326" customFormat="1">
      <c r="G25" s="311"/>
      <c r="H25" s="309"/>
      <c r="I25" s="309"/>
      <c r="J25" s="311"/>
      <c r="K25" s="311"/>
      <c r="L25" s="309"/>
      <c r="M25" s="311"/>
      <c r="N25" s="311"/>
      <c r="O25" s="311"/>
      <c r="P25" s="311"/>
      <c r="Q25" s="311"/>
      <c r="R25" s="311"/>
    </row>
    <row r="26" spans="1:18" s="326" customFormat="1">
      <c r="G26" s="311"/>
      <c r="H26" s="309"/>
      <c r="I26" s="309"/>
      <c r="J26" s="311"/>
      <c r="K26" s="311"/>
      <c r="L26" s="309"/>
      <c r="M26" s="311"/>
      <c r="N26" s="311"/>
      <c r="O26" s="311"/>
      <c r="P26" s="311"/>
      <c r="Q26" s="311"/>
      <c r="R26" s="311"/>
    </row>
    <row r="27" spans="1:18" s="326" customFormat="1">
      <c r="G27" s="311"/>
      <c r="H27" s="309"/>
      <c r="I27" s="309"/>
      <c r="J27" s="311"/>
      <c r="K27" s="311"/>
      <c r="L27" s="309"/>
      <c r="M27" s="311"/>
      <c r="N27" s="311"/>
      <c r="O27" s="311"/>
      <c r="P27" s="311"/>
      <c r="Q27" s="311"/>
      <c r="R27" s="311"/>
    </row>
    <row r="28" spans="1:18" s="326" customFormat="1">
      <c r="G28" s="311"/>
      <c r="H28" s="309"/>
      <c r="I28" s="309"/>
      <c r="J28" s="311"/>
      <c r="K28" s="311"/>
      <c r="L28" s="309"/>
      <c r="M28" s="311"/>
      <c r="N28" s="311"/>
      <c r="O28" s="311"/>
      <c r="P28" s="311"/>
      <c r="Q28" s="311"/>
      <c r="R28" s="311"/>
    </row>
    <row r="29" spans="1:18" s="326" customFormat="1">
      <c r="G29" s="311"/>
      <c r="H29" s="309"/>
      <c r="I29" s="309"/>
      <c r="J29" s="311"/>
      <c r="K29" s="311"/>
      <c r="L29" s="309"/>
      <c r="M29" s="311"/>
      <c r="N29" s="311"/>
      <c r="O29" s="311"/>
      <c r="P29" s="311"/>
      <c r="Q29" s="311"/>
      <c r="R29" s="311"/>
    </row>
    <row r="30" spans="1:18" s="326" customFormat="1">
      <c r="G30" s="311"/>
      <c r="H30" s="309"/>
      <c r="I30" s="309"/>
      <c r="J30" s="311"/>
      <c r="K30" s="311"/>
      <c r="L30" s="309"/>
      <c r="M30" s="311"/>
      <c r="N30" s="311"/>
      <c r="O30" s="311"/>
      <c r="P30" s="311"/>
      <c r="Q30" s="311"/>
      <c r="R30" s="311"/>
    </row>
    <row r="31" spans="1:18" s="326" customFormat="1">
      <c r="G31" s="311"/>
      <c r="H31" s="309"/>
      <c r="I31" s="309"/>
      <c r="J31" s="311"/>
      <c r="K31" s="311"/>
      <c r="L31" s="309"/>
      <c r="M31" s="311"/>
      <c r="N31" s="311"/>
      <c r="O31" s="311"/>
      <c r="P31" s="311"/>
      <c r="Q31" s="311"/>
      <c r="R31" s="311"/>
    </row>
    <row r="32" spans="1:18" s="326" customFormat="1">
      <c r="G32" s="311"/>
      <c r="H32" s="309"/>
      <c r="I32" s="309"/>
      <c r="J32" s="311"/>
      <c r="K32" s="311"/>
      <c r="L32" s="309"/>
      <c r="M32" s="311"/>
      <c r="N32" s="311"/>
      <c r="O32" s="311"/>
      <c r="P32" s="311"/>
      <c r="Q32" s="311"/>
      <c r="R32" s="311"/>
    </row>
    <row r="33" spans="7:18" s="326" customFormat="1">
      <c r="G33" s="311"/>
      <c r="H33" s="309"/>
      <c r="I33" s="309"/>
      <c r="J33" s="311"/>
      <c r="K33" s="311"/>
      <c r="L33" s="309"/>
      <c r="M33" s="311"/>
      <c r="N33" s="311"/>
      <c r="O33" s="311"/>
      <c r="P33" s="311"/>
      <c r="Q33" s="311"/>
      <c r="R33" s="311"/>
    </row>
    <row r="34" spans="7:18" s="326" customFormat="1">
      <c r="G34" s="311"/>
      <c r="H34" s="309"/>
      <c r="I34" s="309"/>
      <c r="J34" s="311"/>
      <c r="K34" s="311"/>
      <c r="L34" s="309"/>
      <c r="M34" s="311"/>
      <c r="N34" s="311"/>
      <c r="O34" s="311"/>
      <c r="P34" s="311"/>
      <c r="Q34" s="311"/>
      <c r="R34" s="311"/>
    </row>
    <row r="35" spans="7:18" s="326" customFormat="1">
      <c r="G35" s="311"/>
      <c r="H35" s="309"/>
      <c r="I35" s="309"/>
      <c r="J35" s="311"/>
      <c r="K35" s="311"/>
      <c r="L35" s="309"/>
      <c r="M35" s="311"/>
      <c r="N35" s="311"/>
      <c r="O35" s="311"/>
      <c r="P35" s="311"/>
      <c r="Q35" s="311"/>
      <c r="R35" s="311"/>
    </row>
    <row r="36" spans="7:18" s="326" customFormat="1">
      <c r="G36" s="311"/>
      <c r="H36" s="309"/>
      <c r="I36" s="309"/>
      <c r="J36" s="311"/>
      <c r="K36" s="311"/>
      <c r="L36" s="309"/>
      <c r="M36" s="311"/>
      <c r="N36" s="311"/>
      <c r="O36" s="311"/>
      <c r="P36" s="311"/>
      <c r="Q36" s="311"/>
      <c r="R36" s="311"/>
    </row>
    <row r="37" spans="7:18" s="326" customFormat="1">
      <c r="G37" s="311"/>
      <c r="H37" s="309"/>
      <c r="I37" s="309"/>
      <c r="J37" s="311"/>
      <c r="K37" s="311"/>
      <c r="L37" s="309"/>
      <c r="M37" s="311"/>
      <c r="N37" s="311"/>
      <c r="O37" s="311"/>
      <c r="P37" s="311"/>
      <c r="Q37" s="311"/>
      <c r="R37" s="311"/>
    </row>
    <row r="38" spans="7:18" s="326" customFormat="1">
      <c r="G38" s="311"/>
      <c r="H38" s="309"/>
      <c r="I38" s="309"/>
      <c r="J38" s="311"/>
      <c r="K38" s="311"/>
      <c r="L38" s="309"/>
      <c r="M38" s="311"/>
      <c r="N38" s="311"/>
      <c r="O38" s="311"/>
      <c r="P38" s="311"/>
      <c r="Q38" s="311"/>
      <c r="R38" s="311"/>
    </row>
    <row r="39" spans="7:18" s="326" customFormat="1">
      <c r="G39" s="311"/>
      <c r="H39" s="309"/>
      <c r="I39" s="309"/>
      <c r="J39" s="311"/>
      <c r="K39" s="311"/>
      <c r="L39" s="309"/>
      <c r="M39" s="311"/>
      <c r="N39" s="311"/>
      <c r="O39" s="311"/>
      <c r="P39" s="311"/>
      <c r="Q39" s="311"/>
      <c r="R39" s="311"/>
    </row>
    <row r="40" spans="7:18" s="326" customFormat="1">
      <c r="G40" s="311"/>
      <c r="H40" s="309"/>
      <c r="I40" s="309"/>
      <c r="J40" s="311"/>
      <c r="K40" s="311"/>
      <c r="L40" s="309"/>
      <c r="M40" s="311"/>
      <c r="N40" s="311"/>
      <c r="O40" s="311"/>
      <c r="P40" s="311"/>
      <c r="Q40" s="311"/>
      <c r="R40" s="311"/>
    </row>
    <row r="41" spans="7:18" s="326" customFormat="1">
      <c r="G41" s="311"/>
      <c r="H41" s="309"/>
      <c r="I41" s="309"/>
      <c r="J41" s="311"/>
      <c r="K41" s="311"/>
      <c r="L41" s="309"/>
      <c r="M41" s="311"/>
      <c r="N41" s="311"/>
      <c r="O41" s="311"/>
      <c r="P41" s="311"/>
      <c r="Q41" s="311"/>
      <c r="R41" s="311"/>
    </row>
    <row r="42" spans="7:18" s="326" customFormat="1">
      <c r="G42" s="311"/>
      <c r="H42" s="309"/>
      <c r="I42" s="309"/>
      <c r="J42" s="311"/>
      <c r="K42" s="311"/>
      <c r="L42" s="309"/>
      <c r="M42" s="311"/>
      <c r="N42" s="311"/>
      <c r="O42" s="311"/>
      <c r="P42" s="311"/>
      <c r="Q42" s="311"/>
      <c r="R42" s="311"/>
    </row>
    <row r="43" spans="7:18" s="326" customFormat="1">
      <c r="G43" s="311"/>
      <c r="H43" s="309"/>
      <c r="I43" s="309"/>
      <c r="J43" s="311"/>
      <c r="K43" s="311"/>
      <c r="L43" s="309"/>
      <c r="M43" s="311"/>
      <c r="N43" s="311"/>
      <c r="O43" s="311"/>
      <c r="P43" s="311"/>
      <c r="Q43" s="311"/>
      <c r="R43" s="311"/>
    </row>
    <row r="44" spans="7:18" s="327" customFormat="1">
      <c r="G44" s="311"/>
      <c r="H44" s="309"/>
      <c r="I44" s="309"/>
      <c r="J44" s="311"/>
      <c r="K44" s="311"/>
      <c r="L44" s="309"/>
      <c r="M44" s="311"/>
      <c r="N44" s="311"/>
      <c r="O44" s="311"/>
      <c r="P44" s="311"/>
      <c r="Q44" s="311"/>
      <c r="R44" s="311"/>
    </row>
    <row r="45" spans="7:18" s="327" customFormat="1">
      <c r="G45" s="311"/>
      <c r="H45" s="309"/>
      <c r="I45" s="309"/>
      <c r="J45" s="311"/>
      <c r="K45" s="311"/>
      <c r="L45" s="309"/>
      <c r="M45" s="311"/>
      <c r="N45" s="311"/>
      <c r="O45" s="311"/>
      <c r="P45" s="311"/>
      <c r="Q45" s="311"/>
      <c r="R45" s="311"/>
    </row>
    <row r="46" spans="7:18" s="327" customFormat="1">
      <c r="G46" s="311"/>
      <c r="H46" s="309"/>
      <c r="I46" s="309"/>
      <c r="J46" s="311"/>
      <c r="K46" s="311"/>
      <c r="L46" s="309"/>
      <c r="M46" s="311"/>
      <c r="N46" s="311"/>
      <c r="O46" s="311"/>
      <c r="P46" s="311"/>
      <c r="Q46" s="311"/>
      <c r="R46" s="311"/>
    </row>
    <row r="47" spans="7:18" s="327" customFormat="1">
      <c r="G47" s="311"/>
      <c r="H47" s="309"/>
      <c r="I47" s="309"/>
      <c r="J47" s="311"/>
      <c r="K47" s="311"/>
      <c r="L47" s="309"/>
      <c r="M47" s="311"/>
      <c r="N47" s="311"/>
      <c r="O47" s="311"/>
      <c r="P47" s="311"/>
      <c r="Q47" s="311"/>
      <c r="R47" s="311"/>
    </row>
    <row r="48" spans="7:18" s="327" customFormat="1">
      <c r="G48" s="311"/>
      <c r="H48" s="309"/>
      <c r="I48" s="309"/>
      <c r="J48" s="311"/>
      <c r="K48" s="311"/>
      <c r="L48" s="309"/>
      <c r="M48" s="311"/>
      <c r="N48" s="311"/>
      <c r="O48" s="311"/>
      <c r="P48" s="311"/>
      <c r="Q48" s="311"/>
      <c r="R48" s="311"/>
    </row>
    <row r="49" spans="7:18" s="327" customFormat="1">
      <c r="G49" s="311"/>
      <c r="H49" s="309"/>
      <c r="I49" s="309"/>
      <c r="J49" s="311"/>
      <c r="K49" s="311"/>
      <c r="L49" s="309"/>
      <c r="M49" s="311"/>
      <c r="N49" s="311"/>
      <c r="O49" s="311"/>
      <c r="P49" s="311"/>
      <c r="Q49" s="311"/>
      <c r="R49" s="311"/>
    </row>
    <row r="50" spans="7:18" s="327" customFormat="1">
      <c r="G50" s="311"/>
      <c r="H50" s="309"/>
      <c r="I50" s="309"/>
      <c r="J50" s="311"/>
      <c r="K50" s="311"/>
      <c r="L50" s="309"/>
      <c r="M50" s="311"/>
      <c r="N50" s="311"/>
      <c r="O50" s="311"/>
      <c r="P50" s="311"/>
      <c r="Q50" s="311"/>
      <c r="R50" s="311"/>
    </row>
    <row r="51" spans="7:18" s="327" customFormat="1">
      <c r="G51" s="311"/>
      <c r="H51" s="309"/>
      <c r="I51" s="309"/>
      <c r="J51" s="311"/>
      <c r="K51" s="311"/>
      <c r="L51" s="309"/>
      <c r="M51" s="311"/>
      <c r="N51" s="311"/>
      <c r="O51" s="311"/>
      <c r="P51" s="311"/>
      <c r="Q51" s="311"/>
      <c r="R51" s="311"/>
    </row>
    <row r="52" spans="7:18" s="327" customFormat="1">
      <c r="G52" s="311"/>
      <c r="H52" s="309"/>
      <c r="I52" s="309"/>
      <c r="J52" s="311"/>
      <c r="K52" s="311"/>
      <c r="L52" s="309"/>
      <c r="M52" s="311"/>
      <c r="N52" s="311"/>
      <c r="O52" s="311"/>
      <c r="P52" s="311"/>
      <c r="Q52" s="311"/>
      <c r="R52" s="311"/>
    </row>
    <row r="53" spans="7:18" s="327" customFormat="1">
      <c r="G53" s="311"/>
      <c r="H53" s="309"/>
      <c r="I53" s="309"/>
      <c r="J53" s="311"/>
      <c r="K53" s="311"/>
      <c r="L53" s="309"/>
      <c r="M53" s="311"/>
      <c r="N53" s="311"/>
      <c r="O53" s="311"/>
      <c r="P53" s="311"/>
      <c r="Q53" s="311"/>
      <c r="R53" s="311"/>
    </row>
    <row r="54" spans="7:18" s="327" customFormat="1">
      <c r="G54" s="311"/>
      <c r="H54" s="309"/>
      <c r="I54" s="309"/>
      <c r="J54" s="311"/>
      <c r="K54" s="311"/>
      <c r="L54" s="309"/>
      <c r="M54" s="311"/>
      <c r="N54" s="311"/>
      <c r="O54" s="311"/>
      <c r="P54" s="311"/>
      <c r="Q54" s="311"/>
      <c r="R54" s="311"/>
    </row>
    <row r="55" spans="7:18" s="327" customFormat="1">
      <c r="G55" s="311"/>
      <c r="H55" s="309"/>
      <c r="I55" s="309"/>
      <c r="J55" s="311"/>
      <c r="K55" s="311"/>
      <c r="L55" s="309"/>
      <c r="M55" s="311"/>
      <c r="N55" s="311"/>
      <c r="O55" s="311"/>
      <c r="P55" s="311"/>
      <c r="Q55" s="311"/>
      <c r="R55" s="311"/>
    </row>
    <row r="56" spans="7:18" s="327" customFormat="1">
      <c r="G56" s="311"/>
      <c r="H56" s="309"/>
      <c r="I56" s="309"/>
      <c r="J56" s="311"/>
      <c r="K56" s="311"/>
      <c r="L56" s="309"/>
      <c r="M56" s="311"/>
      <c r="N56" s="311"/>
      <c r="O56" s="311"/>
      <c r="P56" s="311"/>
      <c r="Q56" s="311"/>
      <c r="R56" s="311"/>
    </row>
    <row r="57" spans="7:18" s="327" customFormat="1">
      <c r="G57" s="311"/>
      <c r="H57" s="309"/>
      <c r="I57" s="309"/>
      <c r="J57" s="311"/>
      <c r="K57" s="311"/>
      <c r="L57" s="309"/>
      <c r="M57" s="311"/>
      <c r="N57" s="311"/>
      <c r="O57" s="311"/>
      <c r="P57" s="311"/>
      <c r="Q57" s="311"/>
      <c r="R57" s="311"/>
    </row>
    <row r="58" spans="7:18" s="327" customFormat="1">
      <c r="G58" s="311"/>
      <c r="H58" s="309"/>
      <c r="I58" s="309"/>
      <c r="J58" s="311"/>
      <c r="K58" s="311"/>
      <c r="L58" s="309"/>
      <c r="M58" s="311"/>
      <c r="N58" s="311"/>
      <c r="O58" s="311"/>
      <c r="P58" s="311"/>
      <c r="Q58" s="311"/>
      <c r="R58" s="311"/>
    </row>
    <row r="59" spans="7:18" s="327" customFormat="1">
      <c r="G59" s="311"/>
      <c r="H59" s="309"/>
      <c r="I59" s="309"/>
      <c r="J59" s="311"/>
      <c r="K59" s="311"/>
      <c r="L59" s="309"/>
      <c r="M59" s="311"/>
      <c r="N59" s="311"/>
      <c r="O59" s="311"/>
      <c r="P59" s="311"/>
      <c r="Q59" s="311"/>
      <c r="R59" s="311"/>
    </row>
    <row r="60" spans="7:18" s="327" customFormat="1">
      <c r="G60" s="311"/>
      <c r="H60" s="309"/>
      <c r="I60" s="309"/>
      <c r="J60" s="311"/>
      <c r="K60" s="311"/>
      <c r="L60" s="309"/>
      <c r="M60" s="311"/>
      <c r="N60" s="311"/>
      <c r="O60" s="311"/>
      <c r="P60" s="311"/>
      <c r="Q60" s="311"/>
      <c r="R60" s="311"/>
    </row>
    <row r="61" spans="7:18" s="327" customFormat="1">
      <c r="G61" s="311"/>
      <c r="H61" s="309"/>
      <c r="I61" s="309"/>
      <c r="J61" s="311"/>
      <c r="K61" s="311"/>
      <c r="L61" s="309"/>
      <c r="M61" s="311"/>
      <c r="N61" s="311"/>
      <c r="O61" s="311"/>
      <c r="P61" s="311"/>
      <c r="Q61" s="311"/>
      <c r="R61" s="311"/>
    </row>
    <row r="62" spans="7:18" s="327" customFormat="1">
      <c r="G62" s="311"/>
      <c r="H62" s="309"/>
      <c r="I62" s="309"/>
      <c r="J62" s="311"/>
      <c r="K62" s="311"/>
      <c r="L62" s="309"/>
      <c r="M62" s="311"/>
      <c r="N62" s="311"/>
      <c r="O62" s="311"/>
      <c r="P62" s="311"/>
      <c r="Q62" s="311"/>
      <c r="R62" s="311"/>
    </row>
    <row r="63" spans="7:18" s="327" customFormat="1">
      <c r="G63" s="311"/>
      <c r="H63" s="309"/>
      <c r="I63" s="309"/>
      <c r="J63" s="311"/>
      <c r="K63" s="311"/>
      <c r="L63" s="309"/>
      <c r="M63" s="311"/>
      <c r="N63" s="311"/>
      <c r="O63" s="311"/>
      <c r="P63" s="311"/>
      <c r="Q63" s="311"/>
      <c r="R63" s="311"/>
    </row>
    <row r="64" spans="7:18" s="327" customFormat="1">
      <c r="G64" s="311"/>
      <c r="H64" s="309"/>
      <c r="I64" s="309"/>
      <c r="J64" s="311"/>
      <c r="K64" s="311"/>
      <c r="L64" s="309"/>
      <c r="M64" s="311"/>
      <c r="N64" s="311"/>
      <c r="O64" s="311"/>
      <c r="P64" s="311"/>
      <c r="Q64" s="311"/>
      <c r="R64" s="311"/>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0070C0"/>
  </sheetPr>
  <dimension ref="A1:R58"/>
  <sheetViews>
    <sheetView topLeftCell="A17" zoomScale="85" zoomScaleNormal="85" workbookViewId="0">
      <selection activeCell="E21" sqref="E21"/>
    </sheetView>
  </sheetViews>
  <sheetFormatPr defaultColWidth="8.77734375" defaultRowHeight="13.8"/>
  <cols>
    <col min="1" max="1" width="10.21875" style="316" customWidth="1"/>
    <col min="2" max="2" width="88.77734375" style="316" customWidth="1"/>
    <col min="3" max="4" width="22" style="316" customWidth="1"/>
    <col min="5" max="5" width="84.21875" style="316" bestFit="1" customWidth="1"/>
    <col min="6" max="6" width="84.21875" style="316" customWidth="1"/>
    <col min="7" max="7" width="20.77734375" style="311" customWidth="1"/>
    <col min="8" max="11" width="8.77734375" style="311" customWidth="1"/>
    <col min="12" max="12" width="8.77734375" style="311"/>
    <col min="13" max="13" width="38.77734375" style="311" customWidth="1"/>
    <col min="14" max="18" width="8.77734375" style="311"/>
    <col min="19" max="16384" width="8.77734375" style="316"/>
  </cols>
  <sheetData>
    <row r="1" spans="1:18" s="309" customFormat="1" ht="25.8">
      <c r="A1" s="308" t="s">
        <v>1561</v>
      </c>
      <c r="C1" s="310"/>
      <c r="G1" s="311"/>
      <c r="H1" s="311"/>
      <c r="I1" s="311"/>
      <c r="J1" s="311"/>
      <c r="K1" s="311"/>
      <c r="L1" s="311"/>
      <c r="M1" s="311"/>
      <c r="N1" s="311"/>
      <c r="O1" s="311"/>
      <c r="P1" s="311"/>
      <c r="Q1" s="311"/>
      <c r="R1" s="311"/>
    </row>
    <row r="2" spans="1:18" s="309" customFormat="1" ht="25.8">
      <c r="A2" s="308" t="s">
        <v>1562</v>
      </c>
      <c r="C2" s="310"/>
      <c r="G2" s="311"/>
      <c r="H2" s="311"/>
      <c r="I2" s="311"/>
      <c r="J2" s="311"/>
      <c r="K2" s="311"/>
      <c r="L2" s="311"/>
      <c r="M2" s="311"/>
      <c r="N2" s="311"/>
      <c r="O2" s="311"/>
      <c r="P2" s="311"/>
      <c r="Q2" s="311"/>
      <c r="R2" s="311"/>
    </row>
    <row r="3" spans="1:18" s="309" customFormat="1">
      <c r="A3" s="312" t="s">
        <v>1531</v>
      </c>
      <c r="B3" s="309" t="s">
        <v>1563</v>
      </c>
      <c r="G3" s="311"/>
      <c r="H3" s="311"/>
      <c r="I3" s="311"/>
      <c r="J3" s="311"/>
      <c r="K3" s="311"/>
      <c r="L3" s="311"/>
      <c r="M3" s="311"/>
      <c r="N3" s="311"/>
      <c r="O3" s="311"/>
      <c r="P3" s="311"/>
      <c r="Q3" s="311"/>
      <c r="R3" s="311"/>
    </row>
    <row r="4" spans="1:18" s="309" customFormat="1">
      <c r="A4" s="312" t="s">
        <v>1403</v>
      </c>
      <c r="B4" s="309" t="s">
        <v>1564</v>
      </c>
      <c r="G4" s="311"/>
      <c r="H4" s="311"/>
      <c r="I4" s="311"/>
      <c r="J4" s="311"/>
      <c r="K4" s="311"/>
      <c r="L4" s="311"/>
      <c r="M4" s="311"/>
      <c r="N4" s="311"/>
      <c r="O4" s="311"/>
      <c r="P4" s="311"/>
      <c r="Q4" s="311"/>
      <c r="R4" s="311"/>
    </row>
    <row r="5" spans="1:18" s="309" customFormat="1">
      <c r="A5" s="309" t="s">
        <v>1534</v>
      </c>
      <c r="B5" s="309" t="s">
        <v>1565</v>
      </c>
      <c r="G5" s="311"/>
      <c r="H5" s="311"/>
      <c r="I5" s="311"/>
      <c r="J5" s="311"/>
      <c r="K5" s="311"/>
      <c r="L5" s="311"/>
      <c r="M5" s="311"/>
      <c r="N5" s="311"/>
      <c r="O5" s="311"/>
      <c r="P5" s="311"/>
      <c r="Q5" s="311"/>
      <c r="R5" s="311"/>
    </row>
    <row r="6" spans="1:18" s="309" customFormat="1">
      <c r="A6" s="309" t="s">
        <v>1407</v>
      </c>
      <c r="B6" s="309" t="s">
        <v>1566</v>
      </c>
      <c r="G6" s="311"/>
      <c r="H6" s="311"/>
      <c r="I6" s="311"/>
      <c r="J6" s="311"/>
      <c r="K6" s="311"/>
      <c r="L6" s="311"/>
      <c r="M6" s="311"/>
      <c r="N6" s="311"/>
      <c r="O6" s="311"/>
      <c r="P6" s="311"/>
      <c r="Q6" s="311"/>
      <c r="R6" s="311"/>
    </row>
    <row r="7" spans="1:18" s="309" customFormat="1">
      <c r="G7" s="311"/>
      <c r="H7" s="311"/>
      <c r="I7" s="311"/>
      <c r="J7" s="311"/>
      <c r="K7" s="311"/>
      <c r="L7" s="311"/>
      <c r="M7" s="311"/>
      <c r="N7" s="311"/>
      <c r="O7" s="311"/>
      <c r="P7" s="311"/>
      <c r="Q7" s="311"/>
      <c r="R7" s="311"/>
    </row>
    <row r="8" spans="1:18">
      <c r="A8" s="313"/>
      <c r="B8" s="313"/>
      <c r="C8" s="313" t="s">
        <v>65</v>
      </c>
      <c r="D8" s="313" t="s">
        <v>54</v>
      </c>
      <c r="E8" s="313" t="s">
        <v>86</v>
      </c>
      <c r="F8" s="314" t="s">
        <v>1495</v>
      </c>
      <c r="G8" s="315"/>
    </row>
    <row r="9" spans="1:18" s="322" customFormat="1">
      <c r="A9" s="317" t="s">
        <v>27</v>
      </c>
      <c r="B9" s="317"/>
      <c r="C9" s="318"/>
      <c r="D9" s="318"/>
      <c r="E9" s="318"/>
      <c r="F9" s="319"/>
      <c r="G9" s="320"/>
      <c r="H9" s="321"/>
      <c r="I9" s="321"/>
      <c r="J9" s="321"/>
      <c r="K9" s="321"/>
      <c r="L9" s="320"/>
      <c r="M9" s="320"/>
      <c r="N9" s="320"/>
      <c r="O9" s="320"/>
      <c r="P9" s="320"/>
      <c r="Q9" s="320"/>
      <c r="R9" s="320"/>
    </row>
    <row r="10" spans="1:18" s="312" customFormat="1" ht="138">
      <c r="A10" s="3" t="s">
        <v>1141</v>
      </c>
      <c r="B10" s="3" t="s">
        <v>1567</v>
      </c>
      <c r="C10" s="323" t="s">
        <v>1568</v>
      </c>
      <c r="D10" s="323" t="s">
        <v>1569</v>
      </c>
      <c r="E10" s="323" t="s">
        <v>1570</v>
      </c>
      <c r="F10" s="324" t="s">
        <v>1571</v>
      </c>
      <c r="G10" s="320"/>
      <c r="H10" s="321"/>
      <c r="I10" s="321"/>
      <c r="J10" s="321"/>
      <c r="K10" s="321"/>
      <c r="L10" s="320"/>
      <c r="M10" s="320"/>
      <c r="N10" s="320"/>
      <c r="O10" s="320"/>
      <c r="P10" s="320"/>
      <c r="Q10" s="320"/>
      <c r="R10" s="320"/>
    </row>
    <row r="11" spans="1:18" s="312" customFormat="1">
      <c r="A11" s="317" t="s">
        <v>28</v>
      </c>
      <c r="B11" s="317"/>
      <c r="C11" s="318"/>
      <c r="D11" s="318"/>
      <c r="E11" s="318"/>
      <c r="F11" s="319"/>
      <c r="G11" s="320"/>
      <c r="H11" s="321"/>
      <c r="I11" s="321"/>
      <c r="J11" s="321"/>
      <c r="K11" s="321"/>
      <c r="L11" s="320"/>
      <c r="M11" s="320"/>
      <c r="N11" s="320"/>
      <c r="O11" s="320"/>
      <c r="P11" s="320"/>
      <c r="Q11" s="320"/>
      <c r="R11" s="320"/>
    </row>
    <row r="12" spans="1:18" s="312" customFormat="1" ht="165.6">
      <c r="A12" s="3" t="s">
        <v>1142</v>
      </c>
      <c r="B12" s="3" t="s">
        <v>1572</v>
      </c>
      <c r="C12" s="323" t="s">
        <v>1573</v>
      </c>
      <c r="D12" s="323" t="s">
        <v>1574</v>
      </c>
      <c r="E12" s="323" t="s">
        <v>1575</v>
      </c>
      <c r="F12" s="324" t="s">
        <v>1576</v>
      </c>
      <c r="G12" s="320"/>
      <c r="H12" s="321"/>
      <c r="I12" s="321"/>
      <c r="J12" s="321"/>
      <c r="K12" s="321"/>
      <c r="L12" s="320"/>
      <c r="M12" s="320"/>
      <c r="N12" s="320"/>
      <c r="O12" s="320"/>
      <c r="P12" s="320"/>
      <c r="Q12" s="320"/>
      <c r="R12" s="320"/>
    </row>
    <row r="13" spans="1:18" s="312" customFormat="1" ht="124.2">
      <c r="A13" s="3" t="s">
        <v>1143</v>
      </c>
      <c r="B13" s="3" t="s">
        <v>1577</v>
      </c>
      <c r="C13" s="323" t="s">
        <v>1578</v>
      </c>
      <c r="D13" s="323" t="s">
        <v>1579</v>
      </c>
      <c r="E13" s="323" t="s">
        <v>1580</v>
      </c>
      <c r="F13" s="324" t="s">
        <v>1581</v>
      </c>
      <c r="G13" s="320"/>
      <c r="H13" s="321"/>
      <c r="I13" s="321"/>
      <c r="J13" s="321"/>
      <c r="K13" s="321"/>
      <c r="L13" s="320"/>
      <c r="M13" s="320"/>
      <c r="N13" s="320"/>
      <c r="O13" s="320"/>
      <c r="P13" s="320"/>
      <c r="Q13" s="320"/>
      <c r="R13" s="320"/>
    </row>
    <row r="14" spans="1:18" s="145" customFormat="1" ht="138">
      <c r="A14" s="3" t="s">
        <v>1144</v>
      </c>
      <c r="B14" s="3" t="s">
        <v>1582</v>
      </c>
      <c r="C14" s="323" t="s">
        <v>1583</v>
      </c>
      <c r="D14" s="323" t="s">
        <v>1584</v>
      </c>
      <c r="E14" s="323" t="s">
        <v>1585</v>
      </c>
      <c r="F14" s="324" t="s">
        <v>1586</v>
      </c>
      <c r="G14" s="320"/>
      <c r="H14" s="321"/>
      <c r="I14" s="321"/>
      <c r="J14" s="321"/>
      <c r="K14" s="321"/>
      <c r="L14" s="320"/>
      <c r="M14" s="320"/>
      <c r="N14" s="320"/>
      <c r="O14" s="320"/>
      <c r="P14" s="320"/>
      <c r="Q14" s="320"/>
      <c r="R14" s="320"/>
    </row>
    <row r="15" spans="1:18" s="145" customFormat="1" ht="124.2">
      <c r="A15" s="3" t="s">
        <v>1145</v>
      </c>
      <c r="B15" s="3" t="s">
        <v>1587</v>
      </c>
      <c r="C15" s="323" t="s">
        <v>1588</v>
      </c>
      <c r="D15" s="323" t="s">
        <v>1589</v>
      </c>
      <c r="E15" s="323" t="s">
        <v>1590</v>
      </c>
      <c r="F15" s="324" t="s">
        <v>1586</v>
      </c>
      <c r="G15" s="320"/>
      <c r="H15" s="321"/>
      <c r="I15" s="321"/>
      <c r="J15" s="321"/>
      <c r="K15" s="321"/>
      <c r="L15" s="320"/>
      <c r="M15" s="320"/>
      <c r="N15" s="320"/>
      <c r="O15" s="320"/>
      <c r="P15" s="320"/>
      <c r="Q15" s="320"/>
      <c r="R15" s="320"/>
    </row>
    <row r="16" spans="1:18" s="90" customFormat="1">
      <c r="A16" s="317" t="s">
        <v>29</v>
      </c>
      <c r="B16" s="317"/>
      <c r="C16" s="325"/>
      <c r="D16" s="318"/>
      <c r="E16" s="318"/>
      <c r="F16" s="319"/>
      <c r="G16" s="320"/>
      <c r="H16" s="321"/>
      <c r="I16" s="321"/>
      <c r="J16" s="321"/>
      <c r="K16" s="321"/>
      <c r="L16" s="320"/>
      <c r="M16" s="320"/>
      <c r="N16" s="320"/>
      <c r="O16" s="320"/>
      <c r="P16" s="320"/>
      <c r="Q16" s="320"/>
      <c r="R16" s="320"/>
    </row>
    <row r="17" spans="1:18" s="312" customFormat="1" ht="124.2">
      <c r="A17" s="3" t="s">
        <v>1146</v>
      </c>
      <c r="B17" s="3" t="s">
        <v>1591</v>
      </c>
      <c r="C17" s="323" t="s">
        <v>1592</v>
      </c>
      <c r="D17" s="323" t="s">
        <v>1593</v>
      </c>
      <c r="E17" s="323" t="s">
        <v>1594</v>
      </c>
      <c r="F17" s="324" t="s">
        <v>1595</v>
      </c>
      <c r="G17" s="320"/>
      <c r="H17" s="321"/>
      <c r="I17" s="321"/>
      <c r="J17" s="321"/>
      <c r="K17" s="321"/>
      <c r="L17" s="320"/>
      <c r="M17" s="320"/>
      <c r="N17" s="320"/>
      <c r="O17" s="320"/>
      <c r="P17" s="320"/>
      <c r="Q17" s="320"/>
      <c r="R17" s="320"/>
    </row>
    <row r="18" spans="1:18" s="145" customFormat="1" ht="138">
      <c r="A18" s="3" t="s">
        <v>1147</v>
      </c>
      <c r="B18" s="3" t="s">
        <v>1596</v>
      </c>
      <c r="C18" s="323" t="s">
        <v>1597</v>
      </c>
      <c r="D18" s="323" t="s">
        <v>1598</v>
      </c>
      <c r="E18" s="323" t="s">
        <v>1599</v>
      </c>
      <c r="F18" s="324" t="s">
        <v>1600</v>
      </c>
      <c r="G18" s="320"/>
      <c r="H18" s="321"/>
      <c r="I18" s="321"/>
      <c r="J18" s="321"/>
      <c r="K18" s="321"/>
      <c r="L18" s="320"/>
      <c r="M18" s="320"/>
      <c r="N18" s="320"/>
      <c r="O18" s="320"/>
      <c r="P18" s="320"/>
      <c r="Q18" s="320"/>
      <c r="R18" s="320"/>
    </row>
    <row r="19" spans="1:18" s="145" customFormat="1">
      <c r="A19" s="317" t="s">
        <v>371</v>
      </c>
      <c r="B19" s="317"/>
      <c r="C19" s="318"/>
      <c r="D19" s="318"/>
      <c r="E19" s="318"/>
      <c r="F19" s="319"/>
      <c r="G19" s="320"/>
      <c r="H19" s="321"/>
      <c r="I19" s="321"/>
      <c r="J19" s="321"/>
      <c r="K19" s="321"/>
      <c r="L19" s="320"/>
      <c r="M19" s="320"/>
      <c r="N19" s="320"/>
      <c r="O19" s="320"/>
      <c r="P19" s="320"/>
      <c r="Q19" s="320"/>
      <c r="R19" s="320"/>
    </row>
    <row r="20" spans="1:18" s="90" customFormat="1" ht="110.4">
      <c r="A20" s="3" t="s">
        <v>1148</v>
      </c>
      <c r="B20" s="3" t="s">
        <v>1601</v>
      </c>
      <c r="C20" s="323" t="s">
        <v>1602</v>
      </c>
      <c r="D20" s="323" t="s">
        <v>1602</v>
      </c>
      <c r="E20" s="323" t="s">
        <v>1603</v>
      </c>
      <c r="F20" s="324" t="s">
        <v>1604</v>
      </c>
      <c r="G20" s="320"/>
      <c r="H20" s="321"/>
      <c r="I20" s="321"/>
      <c r="J20" s="321"/>
      <c r="K20" s="321"/>
      <c r="L20" s="320"/>
      <c r="M20" s="320"/>
      <c r="N20" s="320"/>
      <c r="O20" s="320"/>
      <c r="P20" s="320"/>
      <c r="Q20" s="320"/>
      <c r="R20" s="320"/>
    </row>
    <row r="21" spans="1:18" s="326" customFormat="1">
      <c r="G21" s="311"/>
      <c r="H21" s="311"/>
      <c r="I21" s="311"/>
      <c r="J21" s="311"/>
      <c r="K21" s="311"/>
      <c r="L21" s="311"/>
      <c r="M21" s="311"/>
      <c r="N21" s="311"/>
      <c r="O21" s="311"/>
      <c r="P21" s="311"/>
      <c r="Q21" s="311"/>
      <c r="R21" s="311"/>
    </row>
    <row r="22" spans="1:18" s="326" customFormat="1">
      <c r="G22" s="311"/>
      <c r="H22" s="311"/>
      <c r="I22" s="311"/>
      <c r="J22" s="311"/>
      <c r="K22" s="311"/>
      <c r="L22" s="311"/>
      <c r="M22" s="311"/>
      <c r="N22" s="311"/>
      <c r="O22" s="311"/>
      <c r="P22" s="311"/>
      <c r="Q22" s="311"/>
      <c r="R22" s="311"/>
    </row>
    <row r="23" spans="1:18" s="326" customFormat="1">
      <c r="G23" s="311"/>
      <c r="H23" s="311"/>
      <c r="I23" s="311"/>
      <c r="J23" s="311"/>
      <c r="K23" s="311"/>
      <c r="L23" s="311"/>
      <c r="M23" s="311"/>
      <c r="N23" s="311"/>
      <c r="O23" s="311"/>
      <c r="P23" s="311"/>
      <c r="Q23" s="311"/>
      <c r="R23" s="311"/>
    </row>
    <row r="24" spans="1:18" s="326" customFormat="1">
      <c r="G24" s="311"/>
      <c r="H24" s="311"/>
      <c r="I24" s="311"/>
      <c r="J24" s="311"/>
      <c r="K24" s="311"/>
      <c r="L24" s="311"/>
      <c r="M24" s="311"/>
      <c r="N24" s="311"/>
      <c r="O24" s="311"/>
      <c r="P24" s="311"/>
      <c r="Q24" s="311"/>
      <c r="R24" s="311"/>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6" customFormat="1">
      <c r="G28" s="311"/>
      <c r="H28" s="311"/>
      <c r="I28" s="311"/>
      <c r="J28" s="311"/>
      <c r="K28" s="311"/>
      <c r="L28" s="311"/>
      <c r="M28" s="311"/>
      <c r="N28" s="311"/>
      <c r="O28" s="311"/>
      <c r="P28" s="311"/>
      <c r="Q28" s="311"/>
      <c r="R28" s="311"/>
    </row>
    <row r="29" spans="1:18" s="326" customFormat="1">
      <c r="G29" s="311"/>
      <c r="H29" s="311"/>
      <c r="I29" s="311"/>
      <c r="J29" s="311"/>
      <c r="K29" s="311"/>
      <c r="L29" s="311"/>
      <c r="M29" s="311"/>
      <c r="N29" s="311"/>
      <c r="O29" s="311"/>
      <c r="P29" s="311"/>
      <c r="Q29" s="311"/>
      <c r="R29" s="311"/>
    </row>
    <row r="30" spans="1:18" s="326" customFormat="1">
      <c r="G30" s="311"/>
      <c r="H30" s="311"/>
      <c r="I30" s="311"/>
      <c r="J30" s="311"/>
      <c r="K30" s="311"/>
      <c r="L30" s="311"/>
      <c r="M30" s="311"/>
      <c r="N30" s="311"/>
      <c r="O30" s="311"/>
      <c r="P30" s="311"/>
      <c r="Q30" s="311"/>
      <c r="R30" s="311"/>
    </row>
    <row r="31" spans="1:18" s="326" customFormat="1">
      <c r="G31" s="311"/>
      <c r="H31" s="311"/>
      <c r="I31" s="311"/>
      <c r="J31" s="311"/>
      <c r="K31" s="311"/>
      <c r="L31" s="311"/>
      <c r="M31" s="311"/>
      <c r="N31" s="311"/>
      <c r="O31" s="311"/>
      <c r="P31" s="311"/>
      <c r="Q31" s="311"/>
      <c r="R31" s="311"/>
    </row>
    <row r="32" spans="1:18" s="326" customFormat="1">
      <c r="G32" s="311"/>
      <c r="H32" s="311"/>
      <c r="I32" s="311"/>
      <c r="J32" s="311"/>
      <c r="K32" s="311"/>
      <c r="L32" s="311"/>
      <c r="M32" s="311"/>
      <c r="N32" s="311"/>
      <c r="O32" s="311"/>
      <c r="P32" s="311"/>
      <c r="Q32" s="311"/>
      <c r="R32" s="311"/>
    </row>
    <row r="33" spans="7:18" s="326" customFormat="1">
      <c r="G33" s="311"/>
      <c r="H33" s="311"/>
      <c r="I33" s="311"/>
      <c r="J33" s="311"/>
      <c r="K33" s="311"/>
      <c r="L33" s="311"/>
      <c r="M33" s="311"/>
      <c r="N33" s="311"/>
      <c r="O33" s="311"/>
      <c r="P33" s="311"/>
      <c r="Q33" s="311"/>
      <c r="R33" s="311"/>
    </row>
    <row r="34" spans="7:18" s="326" customFormat="1">
      <c r="G34" s="311"/>
      <c r="H34" s="311"/>
      <c r="I34" s="311"/>
      <c r="J34" s="311"/>
      <c r="K34" s="311"/>
      <c r="L34" s="311"/>
      <c r="M34" s="311"/>
      <c r="N34" s="311"/>
      <c r="O34" s="311"/>
      <c r="P34" s="311"/>
      <c r="Q34" s="311"/>
      <c r="R34" s="311"/>
    </row>
    <row r="35" spans="7:18" s="326" customFormat="1">
      <c r="G35" s="311"/>
      <c r="H35" s="311"/>
      <c r="I35" s="311"/>
      <c r="J35" s="311"/>
      <c r="K35" s="311"/>
      <c r="L35" s="311"/>
      <c r="M35" s="311"/>
      <c r="N35" s="311"/>
      <c r="O35" s="311"/>
      <c r="P35" s="311"/>
      <c r="Q35" s="311"/>
      <c r="R35" s="311"/>
    </row>
    <row r="36" spans="7:18" s="326" customFormat="1">
      <c r="G36" s="311"/>
      <c r="H36" s="311"/>
      <c r="I36" s="311"/>
      <c r="J36" s="311"/>
      <c r="K36" s="311"/>
      <c r="L36" s="311"/>
      <c r="M36" s="311"/>
      <c r="N36" s="311"/>
      <c r="O36" s="311"/>
      <c r="P36" s="311"/>
      <c r="Q36" s="311"/>
      <c r="R36" s="311"/>
    </row>
    <row r="37" spans="7:18" s="326"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row r="41" spans="7:18" s="327" customFormat="1">
      <c r="G41" s="311"/>
      <c r="H41" s="311"/>
      <c r="I41" s="311"/>
      <c r="J41" s="311"/>
      <c r="K41" s="311"/>
      <c r="L41" s="311"/>
      <c r="M41" s="311"/>
      <c r="N41" s="311"/>
      <c r="O41" s="311"/>
      <c r="P41" s="311"/>
      <c r="Q41" s="311"/>
      <c r="R41" s="311"/>
    </row>
    <row r="42" spans="7:18" s="327" customFormat="1">
      <c r="G42" s="311"/>
      <c r="H42" s="311"/>
      <c r="I42" s="311"/>
      <c r="J42" s="311"/>
      <c r="K42" s="311"/>
      <c r="L42" s="311"/>
      <c r="M42" s="311"/>
      <c r="N42" s="311"/>
      <c r="O42" s="311"/>
      <c r="P42" s="311"/>
      <c r="Q42" s="311"/>
      <c r="R42" s="311"/>
    </row>
    <row r="43" spans="7:18" s="327"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row r="49" spans="7:18" s="327" customFormat="1">
      <c r="G49" s="311"/>
      <c r="H49" s="311"/>
      <c r="I49" s="311"/>
      <c r="J49" s="311"/>
      <c r="K49" s="311"/>
      <c r="L49" s="311"/>
      <c r="M49" s="311"/>
      <c r="N49" s="311"/>
      <c r="O49" s="311"/>
      <c r="P49" s="311"/>
      <c r="Q49" s="311"/>
      <c r="R49" s="311"/>
    </row>
    <row r="50" spans="7:18" s="327" customFormat="1">
      <c r="G50" s="311"/>
      <c r="H50" s="311"/>
      <c r="I50" s="311"/>
      <c r="J50" s="311"/>
      <c r="K50" s="311"/>
      <c r="L50" s="311"/>
      <c r="M50" s="311"/>
      <c r="N50" s="311"/>
      <c r="O50" s="311"/>
      <c r="P50" s="311"/>
      <c r="Q50" s="311"/>
      <c r="R50" s="311"/>
    </row>
    <row r="51" spans="7:18" s="327" customFormat="1">
      <c r="G51" s="311"/>
      <c r="H51" s="311"/>
      <c r="I51" s="311"/>
      <c r="J51" s="311"/>
      <c r="K51" s="311"/>
      <c r="L51" s="311"/>
      <c r="M51" s="311"/>
      <c r="N51" s="311"/>
      <c r="O51" s="311"/>
      <c r="P51" s="311"/>
      <c r="Q51" s="311"/>
      <c r="R51" s="311"/>
    </row>
    <row r="52" spans="7:18" s="327" customFormat="1">
      <c r="G52" s="311"/>
      <c r="H52" s="311"/>
      <c r="I52" s="311"/>
      <c r="J52" s="311"/>
      <c r="K52" s="311"/>
      <c r="L52" s="311"/>
      <c r="M52" s="311"/>
      <c r="N52" s="311"/>
      <c r="O52" s="311"/>
      <c r="P52" s="311"/>
      <c r="Q52" s="311"/>
      <c r="R52" s="311"/>
    </row>
    <row r="53" spans="7:18" s="327" customFormat="1">
      <c r="G53" s="311"/>
      <c r="H53" s="311"/>
      <c r="I53" s="311"/>
      <c r="J53" s="311"/>
      <c r="K53" s="311"/>
      <c r="L53" s="311"/>
      <c r="M53" s="311"/>
      <c r="N53" s="311"/>
      <c r="O53" s="311"/>
      <c r="P53" s="311"/>
      <c r="Q53" s="311"/>
      <c r="R53" s="311"/>
    </row>
    <row r="54" spans="7:18" s="327" customFormat="1">
      <c r="G54" s="311"/>
      <c r="H54" s="311"/>
      <c r="I54" s="311"/>
      <c r="J54" s="311"/>
      <c r="K54" s="311"/>
      <c r="L54" s="311"/>
      <c r="M54" s="311"/>
      <c r="N54" s="311"/>
      <c r="O54" s="311"/>
      <c r="P54" s="311"/>
      <c r="Q54" s="311"/>
      <c r="R54" s="311"/>
    </row>
    <row r="55" spans="7:18" s="327" customFormat="1">
      <c r="G55" s="311"/>
      <c r="H55" s="311"/>
      <c r="I55" s="311"/>
      <c r="J55" s="311"/>
      <c r="K55" s="311"/>
      <c r="L55" s="311"/>
      <c r="M55" s="311"/>
      <c r="N55" s="311"/>
      <c r="O55" s="311"/>
      <c r="P55" s="311"/>
      <c r="Q55" s="311"/>
      <c r="R55" s="311"/>
    </row>
    <row r="56" spans="7:18" s="327" customFormat="1">
      <c r="G56" s="311"/>
      <c r="H56" s="311"/>
      <c r="I56" s="311"/>
      <c r="J56" s="311"/>
      <c r="K56" s="311"/>
      <c r="L56" s="311"/>
      <c r="M56" s="311"/>
      <c r="N56" s="311"/>
      <c r="O56" s="311"/>
      <c r="P56" s="311"/>
      <c r="Q56" s="311"/>
      <c r="R56" s="311"/>
    </row>
    <row r="57" spans="7:18" s="327" customFormat="1">
      <c r="G57" s="311"/>
      <c r="H57" s="311"/>
      <c r="I57" s="311"/>
      <c r="J57" s="311"/>
      <c r="K57" s="311"/>
      <c r="L57" s="311"/>
      <c r="M57" s="311"/>
      <c r="N57" s="311"/>
      <c r="O57" s="311"/>
      <c r="P57" s="311"/>
      <c r="Q57" s="311"/>
      <c r="R57" s="311"/>
    </row>
    <row r="58" spans="7:18" s="327" customFormat="1">
      <c r="G58" s="311"/>
      <c r="H58" s="311"/>
      <c r="I58" s="311"/>
      <c r="J58" s="311"/>
      <c r="K58" s="311"/>
      <c r="L58" s="311"/>
      <c r="M58" s="311"/>
      <c r="N58" s="311"/>
      <c r="O58" s="311"/>
      <c r="P58" s="311"/>
      <c r="Q58" s="311"/>
      <c r="R58" s="311"/>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0070C0"/>
  </sheetPr>
  <dimension ref="A1:W66"/>
  <sheetViews>
    <sheetView topLeftCell="A15" zoomScale="70" zoomScaleNormal="70" workbookViewId="0">
      <selection activeCell="E20" sqref="E20"/>
    </sheetView>
  </sheetViews>
  <sheetFormatPr defaultColWidth="8.77734375" defaultRowHeight="13.8"/>
  <cols>
    <col min="1" max="1" width="10.21875" style="316" customWidth="1"/>
    <col min="2" max="2" width="67.21875" style="316" customWidth="1"/>
    <col min="3" max="4" width="29.6640625" style="316" customWidth="1"/>
    <col min="5" max="5" width="83.44140625" style="316" customWidth="1"/>
    <col min="6" max="6" width="31.21875" style="316" customWidth="1"/>
    <col min="7" max="7" width="24.77734375" style="311" customWidth="1"/>
    <col min="8" max="11" width="8.77734375" style="309"/>
    <col min="12" max="23" width="8.77734375" style="311"/>
    <col min="24" max="16384" width="8.77734375" style="316"/>
  </cols>
  <sheetData>
    <row r="1" spans="1:23" s="309" customFormat="1" ht="25.8">
      <c r="A1" s="308" t="s">
        <v>1605</v>
      </c>
      <c r="C1" s="310"/>
      <c r="G1" s="311"/>
      <c r="L1" s="311"/>
      <c r="M1" s="311"/>
      <c r="N1" s="311"/>
      <c r="O1" s="311"/>
      <c r="P1" s="311"/>
      <c r="Q1" s="311"/>
      <c r="R1" s="311"/>
      <c r="S1" s="311"/>
      <c r="T1" s="311"/>
      <c r="U1" s="311"/>
      <c r="V1" s="311"/>
      <c r="W1" s="311"/>
    </row>
    <row r="2" spans="1:23" s="309" customFormat="1" ht="25.8">
      <c r="A2" s="308" t="s">
        <v>1606</v>
      </c>
      <c r="C2" s="310"/>
      <c r="G2" s="311"/>
      <c r="L2" s="311"/>
      <c r="M2" s="311"/>
      <c r="N2" s="311"/>
      <c r="O2" s="311"/>
      <c r="P2" s="311"/>
      <c r="Q2" s="311"/>
      <c r="R2" s="311"/>
      <c r="S2" s="311"/>
      <c r="T2" s="311"/>
      <c r="U2" s="311"/>
      <c r="V2" s="311"/>
      <c r="W2" s="311"/>
    </row>
    <row r="3" spans="1:23" s="309" customFormat="1">
      <c r="A3" s="312" t="s">
        <v>1401</v>
      </c>
      <c r="B3" s="309" t="s">
        <v>1607</v>
      </c>
      <c r="G3" s="311"/>
      <c r="L3" s="311"/>
      <c r="M3" s="311"/>
      <c r="N3" s="311"/>
      <c r="O3" s="311"/>
      <c r="P3" s="311"/>
      <c r="Q3" s="311"/>
      <c r="R3" s="311"/>
      <c r="S3" s="311"/>
      <c r="T3" s="311"/>
      <c r="U3" s="311"/>
      <c r="V3" s="311"/>
      <c r="W3" s="311"/>
    </row>
    <row r="4" spans="1:23" s="309" customFormat="1">
      <c r="A4" s="312" t="s">
        <v>1403</v>
      </c>
      <c r="B4" s="309" t="s">
        <v>1608</v>
      </c>
      <c r="G4" s="311"/>
      <c r="L4" s="311"/>
      <c r="M4" s="311"/>
      <c r="N4" s="311"/>
      <c r="O4" s="311"/>
      <c r="P4" s="311"/>
      <c r="Q4" s="311"/>
      <c r="R4" s="311"/>
      <c r="S4" s="311"/>
      <c r="T4" s="311"/>
      <c r="U4" s="311"/>
      <c r="V4" s="311"/>
      <c r="W4" s="311"/>
    </row>
    <row r="5" spans="1:23" s="309" customFormat="1">
      <c r="A5" s="309" t="s">
        <v>1405</v>
      </c>
      <c r="B5" s="309" t="s">
        <v>1609</v>
      </c>
      <c r="G5" s="311"/>
      <c r="L5" s="311"/>
      <c r="M5" s="311"/>
      <c r="N5" s="311"/>
      <c r="O5" s="311"/>
      <c r="P5" s="311"/>
      <c r="Q5" s="311"/>
      <c r="R5" s="311"/>
      <c r="S5" s="311"/>
      <c r="T5" s="311"/>
      <c r="U5" s="311"/>
      <c r="V5" s="311"/>
      <c r="W5" s="311"/>
    </row>
    <row r="6" spans="1:23" s="309" customFormat="1">
      <c r="A6" s="309" t="s">
        <v>1407</v>
      </c>
      <c r="B6" s="309" t="s">
        <v>1610</v>
      </c>
      <c r="G6" s="311"/>
      <c r="L6" s="311"/>
      <c r="M6" s="311"/>
      <c r="N6" s="311"/>
      <c r="O6" s="311"/>
      <c r="P6" s="311"/>
      <c r="Q6" s="311"/>
      <c r="R6" s="311"/>
      <c r="S6" s="311"/>
      <c r="T6" s="311"/>
      <c r="U6" s="311"/>
      <c r="V6" s="311"/>
      <c r="W6" s="311"/>
    </row>
    <row r="8" spans="1:23">
      <c r="A8" s="313"/>
      <c r="B8" s="313"/>
      <c r="C8" s="313" t="s">
        <v>65</v>
      </c>
      <c r="D8" s="313" t="s">
        <v>54</v>
      </c>
      <c r="E8" s="313" t="s">
        <v>86</v>
      </c>
      <c r="F8" s="313" t="s">
        <v>1495</v>
      </c>
      <c r="G8" s="328" t="s">
        <v>1409</v>
      </c>
      <c r="L8" s="316"/>
      <c r="M8" s="316"/>
      <c r="N8" s="316"/>
      <c r="O8" s="316"/>
      <c r="P8" s="316"/>
      <c r="Q8" s="316"/>
      <c r="R8" s="316"/>
      <c r="S8" s="316"/>
      <c r="T8" s="316"/>
      <c r="U8" s="316"/>
      <c r="V8" s="316"/>
      <c r="W8" s="316"/>
    </row>
    <row r="9" spans="1:23" s="333" customFormat="1">
      <c r="A9" s="329" t="s">
        <v>27</v>
      </c>
      <c r="B9" s="329"/>
      <c r="C9" s="330"/>
      <c r="D9" s="330"/>
      <c r="E9" s="330"/>
      <c r="F9" s="330"/>
      <c r="G9" s="331"/>
      <c r="H9" s="309"/>
      <c r="I9" s="309"/>
      <c r="J9" s="309"/>
      <c r="K9" s="309"/>
      <c r="L9" s="332"/>
      <c r="M9" s="332"/>
      <c r="N9" s="332"/>
      <c r="O9" s="332"/>
      <c r="P9" s="332"/>
      <c r="Q9" s="332"/>
      <c r="R9" s="332"/>
      <c r="S9" s="332"/>
      <c r="T9" s="332"/>
      <c r="U9" s="332"/>
      <c r="V9" s="332"/>
      <c r="W9" s="332"/>
    </row>
    <row r="10" spans="1:23" s="333" customFormat="1" ht="96.6">
      <c r="A10" s="20" t="s">
        <v>1097</v>
      </c>
      <c r="B10" s="20" t="s">
        <v>1611</v>
      </c>
      <c r="C10" s="334" t="s">
        <v>1612</v>
      </c>
      <c r="D10" s="334" t="s">
        <v>1613</v>
      </c>
      <c r="E10" s="334" t="s">
        <v>1614</v>
      </c>
      <c r="F10" s="334"/>
      <c r="G10" s="335"/>
      <c r="H10" s="309"/>
      <c r="I10" s="309"/>
      <c r="J10" s="309"/>
      <c r="K10" s="309"/>
      <c r="L10" s="332"/>
      <c r="M10" s="332"/>
      <c r="N10" s="332"/>
      <c r="O10" s="332"/>
      <c r="P10" s="332"/>
      <c r="Q10" s="332"/>
      <c r="R10" s="332"/>
      <c r="S10" s="332"/>
      <c r="T10" s="332"/>
      <c r="U10" s="332"/>
      <c r="V10" s="332"/>
      <c r="W10" s="332"/>
    </row>
    <row r="11" spans="1:23" s="136" customFormat="1">
      <c r="A11" s="329" t="s">
        <v>28</v>
      </c>
      <c r="B11" s="329"/>
      <c r="C11" s="330"/>
      <c r="D11" s="330"/>
      <c r="E11" s="330"/>
      <c r="F11" s="330"/>
      <c r="G11" s="331"/>
      <c r="H11" s="309"/>
      <c r="I11" s="309"/>
      <c r="J11" s="309"/>
      <c r="K11" s="309"/>
      <c r="L11" s="332"/>
      <c r="M11" s="332"/>
      <c r="N11" s="332"/>
      <c r="O11" s="332"/>
      <c r="P11" s="332"/>
      <c r="Q11" s="332"/>
      <c r="R11" s="332"/>
      <c r="S11" s="332"/>
      <c r="T11" s="332"/>
      <c r="U11" s="332"/>
      <c r="V11" s="332"/>
      <c r="W11" s="332"/>
    </row>
    <row r="12" spans="1:23" s="136" customFormat="1" ht="110.4">
      <c r="A12" s="20" t="s">
        <v>1098</v>
      </c>
      <c r="B12" s="20" t="s">
        <v>1615</v>
      </c>
      <c r="C12" s="334" t="s">
        <v>1616</v>
      </c>
      <c r="D12" s="334" t="s">
        <v>1617</v>
      </c>
      <c r="E12" s="334" t="s">
        <v>1618</v>
      </c>
      <c r="F12" s="20"/>
      <c r="G12" s="335" t="s">
        <v>1619</v>
      </c>
      <c r="H12" s="309"/>
      <c r="I12" s="309"/>
      <c r="J12" s="309"/>
      <c r="K12" s="309"/>
      <c r="L12" s="332"/>
      <c r="M12" s="332"/>
      <c r="N12" s="332"/>
      <c r="O12" s="332"/>
      <c r="P12" s="332"/>
      <c r="Q12" s="332"/>
      <c r="R12" s="332"/>
      <c r="S12" s="332"/>
      <c r="T12" s="332"/>
      <c r="U12" s="332"/>
      <c r="V12" s="332"/>
      <c r="W12" s="332"/>
    </row>
    <row r="13" spans="1:23" s="134" customFormat="1" ht="110.4">
      <c r="A13" s="20" t="s">
        <v>1099</v>
      </c>
      <c r="B13" s="20" t="s">
        <v>1620</v>
      </c>
      <c r="C13" s="334" t="s">
        <v>1621</v>
      </c>
      <c r="D13" s="334" t="s">
        <v>1622</v>
      </c>
      <c r="E13" s="334" t="s">
        <v>1623</v>
      </c>
      <c r="F13" s="334"/>
      <c r="G13" s="335"/>
      <c r="H13" s="309"/>
      <c r="I13" s="309"/>
      <c r="J13" s="309"/>
      <c r="K13" s="309"/>
      <c r="L13" s="332"/>
      <c r="M13" s="332"/>
      <c r="N13" s="332"/>
      <c r="O13" s="332"/>
      <c r="P13" s="332"/>
      <c r="Q13" s="332"/>
      <c r="R13" s="332"/>
      <c r="S13" s="332"/>
      <c r="T13" s="332"/>
      <c r="U13" s="332"/>
      <c r="V13" s="332"/>
      <c r="W13" s="332"/>
    </row>
    <row r="14" spans="1:23" s="333" customFormat="1">
      <c r="A14" s="329" t="s">
        <v>29</v>
      </c>
      <c r="B14" s="329"/>
      <c r="C14" s="330"/>
      <c r="D14" s="330"/>
      <c r="E14" s="330"/>
      <c r="F14" s="330"/>
      <c r="G14" s="331"/>
      <c r="H14" s="309"/>
      <c r="I14" s="309"/>
      <c r="J14" s="309"/>
      <c r="K14" s="309"/>
      <c r="L14" s="332"/>
      <c r="M14" s="332"/>
      <c r="N14" s="332"/>
      <c r="O14" s="332"/>
      <c r="P14" s="332"/>
      <c r="Q14" s="332"/>
      <c r="R14" s="332"/>
      <c r="S14" s="332"/>
      <c r="T14" s="332"/>
      <c r="U14" s="332"/>
      <c r="V14" s="332"/>
      <c r="W14" s="332"/>
    </row>
    <row r="15" spans="1:23" s="333" customFormat="1" ht="110.4">
      <c r="A15" s="20" t="s">
        <v>1100</v>
      </c>
      <c r="B15" s="20" t="s">
        <v>1624</v>
      </c>
      <c r="C15" s="334" t="s">
        <v>1625</v>
      </c>
      <c r="D15" s="334" t="s">
        <v>1626</v>
      </c>
      <c r="E15" s="334" t="s">
        <v>1627</v>
      </c>
      <c r="F15" s="334" t="s">
        <v>1628</v>
      </c>
      <c r="G15" s="336" t="s">
        <v>1629</v>
      </c>
      <c r="H15" s="309"/>
      <c r="I15" s="309"/>
      <c r="J15" s="309"/>
      <c r="K15" s="309"/>
      <c r="L15" s="332"/>
      <c r="M15" s="332"/>
      <c r="N15" s="332"/>
      <c r="O15" s="332"/>
      <c r="P15" s="332"/>
      <c r="Q15" s="332"/>
      <c r="R15" s="332"/>
      <c r="S15" s="332"/>
      <c r="T15" s="332"/>
      <c r="U15" s="332"/>
      <c r="V15" s="332"/>
      <c r="W15" s="332"/>
    </row>
    <row r="16" spans="1:23" s="136" customFormat="1" ht="110.4">
      <c r="A16" s="20" t="s">
        <v>1101</v>
      </c>
      <c r="B16" s="20" t="s">
        <v>1630</v>
      </c>
      <c r="C16" s="334" t="s">
        <v>1631</v>
      </c>
      <c r="D16" s="334" t="s">
        <v>1632</v>
      </c>
      <c r="E16" s="334" t="s">
        <v>1633</v>
      </c>
      <c r="F16" s="334"/>
      <c r="G16" s="336" t="s">
        <v>1634</v>
      </c>
      <c r="H16" s="309"/>
      <c r="I16" s="309"/>
      <c r="J16" s="309"/>
      <c r="K16" s="309"/>
      <c r="L16" s="332"/>
      <c r="M16" s="332"/>
      <c r="N16" s="332"/>
      <c r="O16" s="332"/>
      <c r="P16" s="332"/>
      <c r="Q16" s="332"/>
      <c r="R16" s="332"/>
      <c r="S16" s="332"/>
      <c r="T16" s="332"/>
      <c r="U16" s="332"/>
      <c r="V16" s="332"/>
      <c r="W16" s="332"/>
    </row>
    <row r="17" spans="1:23" s="136" customFormat="1" ht="110.4">
      <c r="A17" s="20" t="s">
        <v>1102</v>
      </c>
      <c r="B17" s="20" t="s">
        <v>1635</v>
      </c>
      <c r="C17" s="334" t="s">
        <v>1636</v>
      </c>
      <c r="D17" s="334" t="s">
        <v>1637</v>
      </c>
      <c r="E17" s="334" t="s">
        <v>1638</v>
      </c>
      <c r="F17" s="334"/>
      <c r="G17" s="335"/>
      <c r="H17" s="309"/>
      <c r="I17" s="309"/>
      <c r="J17" s="309"/>
      <c r="K17" s="309"/>
      <c r="L17" s="332"/>
      <c r="M17" s="332"/>
      <c r="N17" s="332"/>
      <c r="O17" s="332"/>
      <c r="P17" s="332"/>
      <c r="Q17" s="332"/>
      <c r="R17" s="332"/>
      <c r="S17" s="332"/>
      <c r="T17" s="332"/>
      <c r="U17" s="332"/>
      <c r="V17" s="332"/>
      <c r="W17" s="332"/>
    </row>
    <row r="18" spans="1:23" s="333" customFormat="1">
      <c r="A18" s="329" t="s">
        <v>371</v>
      </c>
      <c r="B18" s="329"/>
      <c r="C18" s="330"/>
      <c r="D18" s="330"/>
      <c r="E18" s="330"/>
      <c r="F18" s="330"/>
      <c r="G18" s="331"/>
      <c r="H18" s="309"/>
      <c r="I18" s="309"/>
      <c r="J18" s="309"/>
      <c r="K18" s="309"/>
      <c r="L18" s="332"/>
      <c r="M18" s="332"/>
      <c r="N18" s="332"/>
      <c r="O18" s="332"/>
      <c r="P18" s="332"/>
      <c r="Q18" s="332"/>
      <c r="R18" s="332"/>
      <c r="S18" s="332"/>
      <c r="T18" s="332"/>
      <c r="U18" s="332"/>
      <c r="V18" s="332"/>
      <c r="W18" s="332"/>
    </row>
    <row r="19" spans="1:23" s="333" customFormat="1" ht="110.4">
      <c r="A19" s="20" t="s">
        <v>1639</v>
      </c>
      <c r="B19" s="20" t="s">
        <v>1640</v>
      </c>
      <c r="C19" s="334" t="s">
        <v>1641</v>
      </c>
      <c r="D19" s="334" t="s">
        <v>1642</v>
      </c>
      <c r="E19" s="334" t="s">
        <v>1643</v>
      </c>
      <c r="F19" s="334" t="s">
        <v>1628</v>
      </c>
      <c r="G19" s="336" t="s">
        <v>1629</v>
      </c>
      <c r="H19" s="309"/>
      <c r="I19" s="309"/>
      <c r="J19" s="309"/>
      <c r="K19" s="309"/>
      <c r="L19" s="332"/>
      <c r="M19" s="332"/>
      <c r="N19" s="332"/>
      <c r="O19" s="332"/>
      <c r="P19" s="332"/>
      <c r="Q19" s="332"/>
      <c r="R19" s="332"/>
      <c r="S19" s="332"/>
      <c r="T19" s="332"/>
      <c r="U19" s="332"/>
      <c r="V19" s="332"/>
      <c r="W19" s="332"/>
    </row>
    <row r="20" spans="1:23" s="326" customFormat="1">
      <c r="G20" s="311"/>
      <c r="H20" s="309"/>
      <c r="I20" s="309"/>
      <c r="J20" s="309"/>
      <c r="K20" s="309"/>
      <c r="L20" s="311"/>
      <c r="M20" s="311"/>
      <c r="N20" s="311"/>
      <c r="O20" s="311"/>
      <c r="P20" s="311"/>
      <c r="Q20" s="311"/>
      <c r="R20" s="311"/>
      <c r="S20" s="311"/>
      <c r="T20" s="311"/>
      <c r="U20" s="311"/>
      <c r="V20" s="311"/>
      <c r="W20" s="311"/>
    </row>
    <row r="21" spans="1:23" s="326" customFormat="1">
      <c r="G21" s="311"/>
      <c r="H21" s="309"/>
      <c r="I21" s="309"/>
      <c r="J21" s="309"/>
      <c r="K21" s="309"/>
      <c r="L21" s="311"/>
      <c r="M21" s="311"/>
      <c r="N21" s="311"/>
      <c r="O21" s="311"/>
      <c r="P21" s="311"/>
      <c r="Q21" s="311"/>
      <c r="R21" s="311"/>
      <c r="S21" s="311"/>
      <c r="T21" s="311"/>
      <c r="U21" s="311"/>
      <c r="V21" s="311"/>
      <c r="W21" s="311"/>
    </row>
    <row r="22" spans="1:23" s="326" customFormat="1">
      <c r="G22" s="311"/>
      <c r="H22" s="309"/>
      <c r="I22" s="309"/>
      <c r="J22" s="309"/>
      <c r="K22" s="309"/>
      <c r="L22" s="311"/>
      <c r="M22" s="311"/>
      <c r="N22" s="311"/>
      <c r="O22" s="311"/>
      <c r="P22" s="311"/>
      <c r="Q22" s="311"/>
      <c r="R22" s="311"/>
      <c r="S22" s="311"/>
      <c r="T22" s="311"/>
      <c r="U22" s="311"/>
      <c r="V22" s="311"/>
      <c r="W22" s="311"/>
    </row>
    <row r="23" spans="1:23" s="326" customFormat="1">
      <c r="G23" s="311"/>
      <c r="H23" s="309"/>
      <c r="I23" s="309"/>
      <c r="J23" s="309"/>
      <c r="K23" s="309"/>
      <c r="L23" s="311"/>
      <c r="M23" s="311"/>
      <c r="N23" s="311"/>
      <c r="O23" s="311"/>
      <c r="P23" s="311"/>
      <c r="Q23" s="311"/>
      <c r="R23" s="311"/>
      <c r="S23" s="311"/>
      <c r="T23" s="311"/>
      <c r="U23" s="311"/>
      <c r="V23" s="311"/>
      <c r="W23" s="311"/>
    </row>
    <row r="24" spans="1:23" s="326" customFormat="1">
      <c r="G24" s="311"/>
      <c r="H24" s="309"/>
      <c r="I24" s="309"/>
      <c r="J24" s="309"/>
      <c r="K24" s="309"/>
      <c r="L24" s="311"/>
      <c r="M24" s="311"/>
      <c r="N24" s="311"/>
      <c r="O24" s="311"/>
      <c r="P24" s="311"/>
      <c r="Q24" s="311"/>
      <c r="R24" s="311"/>
      <c r="S24" s="311"/>
      <c r="T24" s="311"/>
      <c r="U24" s="311"/>
      <c r="V24" s="311"/>
      <c r="W24" s="311"/>
    </row>
    <row r="25" spans="1:23" s="326" customFormat="1">
      <c r="G25" s="311"/>
      <c r="H25" s="309"/>
      <c r="I25" s="309"/>
      <c r="J25" s="309"/>
      <c r="K25" s="309"/>
      <c r="L25" s="311"/>
      <c r="M25" s="311"/>
      <c r="N25" s="311"/>
      <c r="O25" s="311"/>
      <c r="P25" s="311"/>
      <c r="Q25" s="311"/>
      <c r="R25" s="311"/>
      <c r="S25" s="311"/>
      <c r="T25" s="311"/>
      <c r="U25" s="311"/>
      <c r="V25" s="311"/>
      <c r="W25" s="311"/>
    </row>
    <row r="26" spans="1:23" s="326" customFormat="1">
      <c r="G26" s="311"/>
      <c r="H26" s="309"/>
      <c r="I26" s="309"/>
      <c r="J26" s="309"/>
      <c r="K26" s="309"/>
      <c r="L26" s="311"/>
      <c r="M26" s="311"/>
      <c r="N26" s="311"/>
      <c r="O26" s="311"/>
      <c r="P26" s="311"/>
      <c r="Q26" s="311"/>
      <c r="R26" s="311"/>
      <c r="S26" s="311"/>
      <c r="T26" s="311"/>
      <c r="U26" s="311"/>
      <c r="V26" s="311"/>
      <c r="W26" s="311"/>
    </row>
    <row r="27" spans="1:23" s="326" customFormat="1">
      <c r="G27" s="311"/>
      <c r="H27" s="309"/>
      <c r="I27" s="309"/>
      <c r="J27" s="309"/>
      <c r="K27" s="309"/>
      <c r="L27" s="311"/>
      <c r="M27" s="311"/>
      <c r="N27" s="311"/>
      <c r="O27" s="311"/>
      <c r="P27" s="311"/>
      <c r="Q27" s="311"/>
      <c r="R27" s="311"/>
      <c r="S27" s="311"/>
      <c r="T27" s="311"/>
      <c r="U27" s="311"/>
      <c r="V27" s="311"/>
      <c r="W27" s="311"/>
    </row>
    <row r="28" spans="1:23" s="326" customFormat="1">
      <c r="G28" s="311"/>
      <c r="H28" s="309"/>
      <c r="I28" s="309"/>
      <c r="J28" s="309"/>
      <c r="K28" s="309"/>
      <c r="L28" s="311"/>
      <c r="M28" s="311"/>
      <c r="N28" s="311"/>
      <c r="O28" s="311"/>
      <c r="P28" s="311"/>
      <c r="Q28" s="311"/>
      <c r="R28" s="311"/>
      <c r="S28" s="311"/>
      <c r="T28" s="311"/>
      <c r="U28" s="311"/>
      <c r="V28" s="311"/>
      <c r="W28" s="311"/>
    </row>
    <row r="29" spans="1:23" s="326" customFormat="1">
      <c r="G29" s="311"/>
      <c r="H29" s="309"/>
      <c r="I29" s="309"/>
      <c r="J29" s="309"/>
      <c r="K29" s="309"/>
      <c r="L29" s="311"/>
      <c r="M29" s="311"/>
      <c r="N29" s="311"/>
      <c r="O29" s="311"/>
      <c r="P29" s="311"/>
      <c r="Q29" s="311"/>
      <c r="R29" s="311"/>
      <c r="S29" s="311"/>
      <c r="T29" s="311"/>
      <c r="U29" s="311"/>
      <c r="V29" s="311"/>
      <c r="W29" s="311"/>
    </row>
    <row r="30" spans="1:23" s="326" customFormat="1">
      <c r="G30" s="311"/>
      <c r="H30" s="309"/>
      <c r="I30" s="309"/>
      <c r="J30" s="309"/>
      <c r="K30" s="309"/>
      <c r="L30" s="311"/>
      <c r="M30" s="311"/>
      <c r="N30" s="311"/>
      <c r="O30" s="311"/>
      <c r="P30" s="311"/>
      <c r="Q30" s="311"/>
      <c r="R30" s="311"/>
      <c r="S30" s="311"/>
      <c r="T30" s="311"/>
      <c r="U30" s="311"/>
      <c r="V30" s="311"/>
      <c r="W30" s="311"/>
    </row>
    <row r="31" spans="1:23" s="326" customFormat="1">
      <c r="G31" s="311"/>
      <c r="H31" s="309"/>
      <c r="I31" s="309"/>
      <c r="J31" s="309"/>
      <c r="K31" s="309"/>
      <c r="L31" s="311"/>
      <c r="M31" s="311"/>
      <c r="N31" s="311"/>
      <c r="O31" s="311"/>
      <c r="P31" s="311"/>
      <c r="Q31" s="311"/>
      <c r="R31" s="311"/>
      <c r="S31" s="311"/>
      <c r="T31" s="311"/>
      <c r="U31" s="311"/>
      <c r="V31" s="311"/>
      <c r="W31" s="311"/>
    </row>
    <row r="32" spans="1:23" s="326" customFormat="1">
      <c r="G32" s="311"/>
      <c r="H32" s="309"/>
      <c r="I32" s="309"/>
      <c r="J32" s="309"/>
      <c r="K32" s="309"/>
      <c r="L32" s="311"/>
      <c r="M32" s="311"/>
      <c r="N32" s="311"/>
      <c r="O32" s="311"/>
      <c r="P32" s="311"/>
      <c r="Q32" s="311"/>
      <c r="R32" s="311"/>
      <c r="S32" s="311"/>
      <c r="T32" s="311"/>
      <c r="U32" s="311"/>
      <c r="V32" s="311"/>
      <c r="W32" s="311"/>
    </row>
    <row r="33" spans="7:23" s="326" customFormat="1">
      <c r="G33" s="311"/>
      <c r="H33" s="309"/>
      <c r="I33" s="309"/>
      <c r="J33" s="309"/>
      <c r="K33" s="309"/>
      <c r="L33" s="311"/>
      <c r="M33" s="311"/>
      <c r="N33" s="311"/>
      <c r="O33" s="311"/>
      <c r="P33" s="311"/>
      <c r="Q33" s="311"/>
      <c r="R33" s="311"/>
      <c r="S33" s="311"/>
      <c r="T33" s="311"/>
      <c r="U33" s="311"/>
      <c r="V33" s="311"/>
      <c r="W33" s="311"/>
    </row>
    <row r="34" spans="7:23" s="326" customFormat="1">
      <c r="G34" s="311"/>
      <c r="H34" s="309"/>
      <c r="I34" s="309"/>
      <c r="J34" s="309"/>
      <c r="K34" s="309"/>
      <c r="L34" s="311"/>
      <c r="M34" s="311"/>
      <c r="N34" s="311"/>
      <c r="O34" s="311"/>
      <c r="P34" s="311"/>
      <c r="Q34" s="311"/>
      <c r="R34" s="311"/>
      <c r="S34" s="311"/>
      <c r="T34" s="311"/>
      <c r="U34" s="311"/>
      <c r="V34" s="311"/>
      <c r="W34" s="311"/>
    </row>
    <row r="35" spans="7:23" s="326" customFormat="1">
      <c r="G35" s="311"/>
      <c r="H35" s="309"/>
      <c r="I35" s="309"/>
      <c r="J35" s="309"/>
      <c r="K35" s="309"/>
      <c r="L35" s="311"/>
      <c r="M35" s="311"/>
      <c r="N35" s="311"/>
      <c r="O35" s="311"/>
      <c r="P35" s="311"/>
      <c r="Q35" s="311"/>
      <c r="R35" s="311"/>
      <c r="S35" s="311"/>
      <c r="T35" s="311"/>
      <c r="U35" s="311"/>
      <c r="V35" s="311"/>
      <c r="W35" s="311"/>
    </row>
    <row r="36" spans="7:23" s="326" customFormat="1">
      <c r="G36" s="311"/>
      <c r="H36" s="309"/>
      <c r="I36" s="309"/>
      <c r="J36" s="309"/>
      <c r="K36" s="309"/>
      <c r="L36" s="311"/>
      <c r="M36" s="311"/>
      <c r="N36" s="311"/>
      <c r="O36" s="311"/>
      <c r="P36" s="311"/>
      <c r="Q36" s="311"/>
      <c r="R36" s="311"/>
      <c r="S36" s="311"/>
      <c r="T36" s="311"/>
      <c r="U36" s="311"/>
      <c r="V36" s="311"/>
      <c r="W36" s="311"/>
    </row>
    <row r="37" spans="7:23" s="326" customFormat="1">
      <c r="G37" s="311"/>
      <c r="H37" s="309"/>
      <c r="I37" s="309"/>
      <c r="J37" s="309"/>
      <c r="K37" s="309"/>
      <c r="L37" s="311"/>
      <c r="M37" s="311"/>
      <c r="N37" s="311"/>
      <c r="O37" s="311"/>
      <c r="P37" s="311"/>
      <c r="Q37" s="311"/>
      <c r="R37" s="311"/>
      <c r="S37" s="311"/>
      <c r="T37" s="311"/>
      <c r="U37" s="311"/>
      <c r="V37" s="311"/>
      <c r="W37" s="311"/>
    </row>
    <row r="38" spans="7:23" s="326" customFormat="1">
      <c r="G38" s="311"/>
      <c r="H38" s="309"/>
      <c r="I38" s="309"/>
      <c r="J38" s="309"/>
      <c r="K38" s="309"/>
      <c r="L38" s="311"/>
      <c r="M38" s="311"/>
      <c r="N38" s="311"/>
      <c r="O38" s="311"/>
      <c r="P38" s="311"/>
      <c r="Q38" s="311"/>
      <c r="R38" s="311"/>
      <c r="S38" s="311"/>
      <c r="T38" s="311"/>
      <c r="U38" s="311"/>
      <c r="V38" s="311"/>
      <c r="W38" s="311"/>
    </row>
    <row r="39" spans="7:23" s="326" customFormat="1">
      <c r="G39" s="311"/>
      <c r="H39" s="309"/>
      <c r="I39" s="309"/>
      <c r="J39" s="309"/>
      <c r="K39" s="309"/>
      <c r="L39" s="311"/>
      <c r="M39" s="311"/>
      <c r="N39" s="311"/>
      <c r="O39" s="311"/>
      <c r="P39" s="311"/>
      <c r="Q39" s="311"/>
      <c r="R39" s="311"/>
      <c r="S39" s="311"/>
      <c r="T39" s="311"/>
      <c r="U39" s="311"/>
      <c r="V39" s="311"/>
      <c r="W39" s="311"/>
    </row>
    <row r="40" spans="7:23" s="326" customFormat="1">
      <c r="G40" s="311"/>
      <c r="H40" s="309"/>
      <c r="I40" s="309"/>
      <c r="J40" s="309"/>
      <c r="K40" s="309"/>
      <c r="L40" s="311"/>
      <c r="M40" s="311"/>
      <c r="N40" s="311"/>
      <c r="O40" s="311"/>
      <c r="P40" s="311"/>
      <c r="Q40" s="311"/>
      <c r="R40" s="311"/>
      <c r="S40" s="311"/>
      <c r="T40" s="311"/>
      <c r="U40" s="311"/>
      <c r="V40" s="311"/>
      <c r="W40" s="311"/>
    </row>
    <row r="41" spans="7:23" s="326" customFormat="1">
      <c r="G41" s="311"/>
      <c r="H41" s="309"/>
      <c r="I41" s="309"/>
      <c r="J41" s="309"/>
      <c r="K41" s="309"/>
      <c r="L41" s="311"/>
      <c r="M41" s="311"/>
      <c r="N41" s="311"/>
      <c r="O41" s="311"/>
      <c r="P41" s="311"/>
      <c r="Q41" s="311"/>
      <c r="R41" s="311"/>
      <c r="S41" s="311"/>
      <c r="T41" s="311"/>
      <c r="U41" s="311"/>
      <c r="V41" s="311"/>
      <c r="W41" s="311"/>
    </row>
    <row r="42" spans="7:23" s="326" customFormat="1">
      <c r="G42" s="311"/>
      <c r="H42" s="309"/>
      <c r="I42" s="309"/>
      <c r="J42" s="309"/>
      <c r="K42" s="309"/>
      <c r="L42" s="311"/>
      <c r="M42" s="311"/>
      <c r="N42" s="311"/>
      <c r="O42" s="311"/>
      <c r="P42" s="311"/>
      <c r="Q42" s="311"/>
      <c r="R42" s="311"/>
      <c r="S42" s="311"/>
      <c r="T42" s="311"/>
      <c r="U42" s="311"/>
      <c r="V42" s="311"/>
      <c r="W42" s="311"/>
    </row>
    <row r="43" spans="7:23" s="326" customFormat="1">
      <c r="G43" s="311"/>
      <c r="H43" s="309"/>
      <c r="I43" s="309"/>
      <c r="J43" s="309"/>
      <c r="K43" s="309"/>
      <c r="L43" s="311"/>
      <c r="M43" s="311"/>
      <c r="N43" s="311"/>
      <c r="O43" s="311"/>
      <c r="P43" s="311"/>
      <c r="Q43" s="311"/>
      <c r="R43" s="311"/>
      <c r="S43" s="311"/>
      <c r="T43" s="311"/>
      <c r="U43" s="311"/>
      <c r="V43" s="311"/>
      <c r="W43" s="311"/>
    </row>
    <row r="44" spans="7:23" s="326" customFormat="1">
      <c r="G44" s="311"/>
      <c r="H44" s="309"/>
      <c r="I44" s="309"/>
      <c r="J44" s="309"/>
      <c r="K44" s="309"/>
      <c r="L44" s="311"/>
      <c r="M44" s="311"/>
      <c r="N44" s="311"/>
      <c r="O44" s="311"/>
      <c r="P44" s="311"/>
      <c r="Q44" s="311"/>
      <c r="R44" s="311"/>
      <c r="S44" s="311"/>
      <c r="T44" s="311"/>
      <c r="U44" s="311"/>
      <c r="V44" s="311"/>
      <c r="W44" s="311"/>
    </row>
    <row r="45" spans="7:23" s="326" customFormat="1">
      <c r="G45" s="311"/>
      <c r="H45" s="309"/>
      <c r="I45" s="309"/>
      <c r="J45" s="309"/>
      <c r="K45" s="309"/>
      <c r="L45" s="311"/>
      <c r="M45" s="311"/>
      <c r="N45" s="311"/>
      <c r="O45" s="311"/>
      <c r="P45" s="311"/>
      <c r="Q45" s="311"/>
      <c r="R45" s="311"/>
      <c r="S45" s="311"/>
      <c r="T45" s="311"/>
      <c r="U45" s="311"/>
      <c r="V45" s="311"/>
      <c r="W45" s="311"/>
    </row>
    <row r="46" spans="7:23" s="327" customFormat="1">
      <c r="G46" s="311"/>
      <c r="H46" s="309"/>
      <c r="I46" s="309"/>
      <c r="J46" s="309"/>
      <c r="K46" s="309"/>
      <c r="L46" s="311"/>
      <c r="M46" s="311"/>
      <c r="N46" s="311"/>
      <c r="O46" s="311"/>
      <c r="P46" s="311"/>
      <c r="Q46" s="311"/>
      <c r="R46" s="311"/>
      <c r="S46" s="311"/>
      <c r="T46" s="311"/>
      <c r="U46" s="311"/>
      <c r="V46" s="311"/>
      <c r="W46" s="311"/>
    </row>
    <row r="47" spans="7:23" s="327" customFormat="1">
      <c r="G47" s="311"/>
      <c r="H47" s="309"/>
      <c r="I47" s="309"/>
      <c r="J47" s="309"/>
      <c r="K47" s="309"/>
      <c r="L47" s="311"/>
      <c r="M47" s="311"/>
      <c r="N47" s="311"/>
      <c r="O47" s="311"/>
      <c r="P47" s="311"/>
      <c r="Q47" s="311"/>
      <c r="R47" s="311"/>
      <c r="S47" s="311"/>
      <c r="T47" s="311"/>
      <c r="U47" s="311"/>
      <c r="V47" s="311"/>
      <c r="W47" s="311"/>
    </row>
    <row r="48" spans="7:23" s="327" customFormat="1">
      <c r="G48" s="311"/>
      <c r="H48" s="309"/>
      <c r="I48" s="309"/>
      <c r="J48" s="309"/>
      <c r="K48" s="309"/>
      <c r="L48" s="311"/>
      <c r="M48" s="311"/>
      <c r="N48" s="311"/>
      <c r="O48" s="311"/>
      <c r="P48" s="311"/>
      <c r="Q48" s="311"/>
      <c r="R48" s="311"/>
      <c r="S48" s="311"/>
      <c r="T48" s="311"/>
      <c r="U48" s="311"/>
      <c r="V48" s="311"/>
      <c r="W48" s="311"/>
    </row>
    <row r="49" spans="7:23" s="327" customFormat="1">
      <c r="G49" s="311"/>
      <c r="H49" s="309"/>
      <c r="I49" s="309"/>
      <c r="J49" s="309"/>
      <c r="K49" s="309"/>
      <c r="L49" s="311"/>
      <c r="M49" s="311"/>
      <c r="N49" s="311"/>
      <c r="O49" s="311"/>
      <c r="P49" s="311"/>
      <c r="Q49" s="311"/>
      <c r="R49" s="311"/>
      <c r="S49" s="311"/>
      <c r="T49" s="311"/>
      <c r="U49" s="311"/>
      <c r="V49" s="311"/>
      <c r="W49" s="311"/>
    </row>
    <row r="50" spans="7:23" s="327" customFormat="1">
      <c r="G50" s="311"/>
      <c r="H50" s="309"/>
      <c r="I50" s="309"/>
      <c r="J50" s="309"/>
      <c r="K50" s="309"/>
      <c r="L50" s="311"/>
      <c r="M50" s="311"/>
      <c r="N50" s="311"/>
      <c r="O50" s="311"/>
      <c r="P50" s="311"/>
      <c r="Q50" s="311"/>
      <c r="R50" s="311"/>
      <c r="S50" s="311"/>
      <c r="T50" s="311"/>
      <c r="U50" s="311"/>
      <c r="V50" s="311"/>
      <c r="W50" s="311"/>
    </row>
    <row r="51" spans="7:23" s="327" customFormat="1">
      <c r="G51" s="311"/>
      <c r="H51" s="309"/>
      <c r="I51" s="309"/>
      <c r="J51" s="309"/>
      <c r="K51" s="309"/>
      <c r="L51" s="311"/>
      <c r="M51" s="311"/>
      <c r="N51" s="311"/>
      <c r="O51" s="311"/>
      <c r="P51" s="311"/>
      <c r="Q51" s="311"/>
      <c r="R51" s="311"/>
      <c r="S51" s="311"/>
      <c r="T51" s="311"/>
      <c r="U51" s="311"/>
      <c r="V51" s="311"/>
      <c r="W51" s="311"/>
    </row>
    <row r="52" spans="7:23" s="327" customFormat="1">
      <c r="G52" s="311"/>
      <c r="H52" s="309"/>
      <c r="I52" s="309"/>
      <c r="J52" s="309"/>
      <c r="K52" s="309"/>
      <c r="L52" s="311"/>
      <c r="M52" s="311"/>
      <c r="N52" s="311"/>
      <c r="O52" s="311"/>
      <c r="P52" s="311"/>
      <c r="Q52" s="311"/>
      <c r="R52" s="311"/>
      <c r="S52" s="311"/>
      <c r="T52" s="311"/>
      <c r="U52" s="311"/>
      <c r="V52" s="311"/>
      <c r="W52" s="311"/>
    </row>
    <row r="53" spans="7:23" s="327" customFormat="1">
      <c r="G53" s="311"/>
      <c r="H53" s="309"/>
      <c r="I53" s="309"/>
      <c r="J53" s="309"/>
      <c r="K53" s="309"/>
      <c r="L53" s="311"/>
      <c r="M53" s="311"/>
      <c r="N53" s="311"/>
      <c r="O53" s="311"/>
      <c r="P53" s="311"/>
      <c r="Q53" s="311"/>
      <c r="R53" s="311"/>
      <c r="S53" s="311"/>
      <c r="T53" s="311"/>
      <c r="U53" s="311"/>
      <c r="V53" s="311"/>
      <c r="W53" s="311"/>
    </row>
    <row r="54" spans="7:23" s="327" customFormat="1">
      <c r="G54" s="311"/>
      <c r="H54" s="309"/>
      <c r="I54" s="309"/>
      <c r="J54" s="309"/>
      <c r="K54" s="309"/>
      <c r="L54" s="311"/>
      <c r="M54" s="311"/>
      <c r="N54" s="311"/>
      <c r="O54" s="311"/>
      <c r="P54" s="311"/>
      <c r="Q54" s="311"/>
      <c r="R54" s="311"/>
      <c r="S54" s="311"/>
      <c r="T54" s="311"/>
      <c r="U54" s="311"/>
      <c r="V54" s="311"/>
      <c r="W54" s="311"/>
    </row>
    <row r="55" spans="7:23" s="327" customFormat="1">
      <c r="G55" s="311"/>
      <c r="H55" s="309"/>
      <c r="I55" s="309"/>
      <c r="J55" s="309"/>
      <c r="K55" s="309"/>
      <c r="L55" s="311"/>
      <c r="M55" s="311"/>
      <c r="N55" s="311"/>
      <c r="O55" s="311"/>
      <c r="P55" s="311"/>
      <c r="Q55" s="311"/>
      <c r="R55" s="311"/>
      <c r="S55" s="311"/>
      <c r="T55" s="311"/>
      <c r="U55" s="311"/>
      <c r="V55" s="311"/>
      <c r="W55" s="311"/>
    </row>
    <row r="56" spans="7:23" s="327" customFormat="1">
      <c r="G56" s="311"/>
      <c r="H56" s="309"/>
      <c r="I56" s="309"/>
      <c r="J56" s="309"/>
      <c r="K56" s="309"/>
      <c r="L56" s="311"/>
      <c r="M56" s="311"/>
      <c r="N56" s="311"/>
      <c r="O56" s="311"/>
      <c r="P56" s="311"/>
      <c r="Q56" s="311"/>
      <c r="R56" s="311"/>
      <c r="S56" s="311"/>
      <c r="T56" s="311"/>
      <c r="U56" s="311"/>
      <c r="V56" s="311"/>
      <c r="W56" s="311"/>
    </row>
    <row r="57" spans="7:23" s="327" customFormat="1">
      <c r="G57" s="311"/>
      <c r="H57" s="309"/>
      <c r="I57" s="309"/>
      <c r="J57" s="309"/>
      <c r="K57" s="309"/>
      <c r="L57" s="311"/>
      <c r="M57" s="311"/>
      <c r="N57" s="311"/>
      <c r="O57" s="311"/>
      <c r="P57" s="311"/>
      <c r="Q57" s="311"/>
      <c r="R57" s="311"/>
      <c r="S57" s="311"/>
      <c r="T57" s="311"/>
      <c r="U57" s="311"/>
      <c r="V57" s="311"/>
      <c r="W57" s="311"/>
    </row>
    <row r="58" spans="7:23" s="327" customFormat="1">
      <c r="G58" s="311"/>
      <c r="H58" s="309"/>
      <c r="I58" s="309"/>
      <c r="J58" s="309"/>
      <c r="K58" s="309"/>
      <c r="L58" s="311"/>
      <c r="M58" s="311"/>
      <c r="N58" s="311"/>
      <c r="O58" s="311"/>
      <c r="P58" s="311"/>
      <c r="Q58" s="311"/>
      <c r="R58" s="311"/>
      <c r="S58" s="311"/>
      <c r="T58" s="311"/>
      <c r="U58" s="311"/>
      <c r="V58" s="311"/>
      <c r="W58" s="311"/>
    </row>
    <row r="59" spans="7:23" s="327" customFormat="1">
      <c r="G59" s="311"/>
      <c r="H59" s="309"/>
      <c r="I59" s="309"/>
      <c r="J59" s="309"/>
      <c r="K59" s="309"/>
      <c r="L59" s="311"/>
      <c r="M59" s="311"/>
      <c r="N59" s="311"/>
      <c r="O59" s="311"/>
      <c r="P59" s="311"/>
      <c r="Q59" s="311"/>
      <c r="R59" s="311"/>
      <c r="S59" s="311"/>
      <c r="T59" s="311"/>
      <c r="U59" s="311"/>
      <c r="V59" s="311"/>
      <c r="W59" s="311"/>
    </row>
    <row r="60" spans="7:23" s="327" customFormat="1">
      <c r="G60" s="311"/>
      <c r="H60" s="309"/>
      <c r="I60" s="309"/>
      <c r="J60" s="309"/>
      <c r="K60" s="309"/>
      <c r="L60" s="311"/>
      <c r="M60" s="311"/>
      <c r="N60" s="311"/>
      <c r="O60" s="311"/>
      <c r="P60" s="311"/>
      <c r="Q60" s="311"/>
      <c r="R60" s="311"/>
      <c r="S60" s="311"/>
      <c r="T60" s="311"/>
      <c r="U60" s="311"/>
      <c r="V60" s="311"/>
      <c r="W60" s="311"/>
    </row>
    <row r="61" spans="7:23" s="327" customFormat="1">
      <c r="G61" s="311"/>
      <c r="H61" s="309"/>
      <c r="I61" s="309"/>
      <c r="J61" s="309"/>
      <c r="K61" s="309"/>
      <c r="L61" s="311"/>
      <c r="M61" s="311"/>
      <c r="N61" s="311"/>
      <c r="O61" s="311"/>
      <c r="P61" s="311"/>
      <c r="Q61" s="311"/>
      <c r="R61" s="311"/>
      <c r="S61" s="311"/>
      <c r="T61" s="311"/>
      <c r="U61" s="311"/>
      <c r="V61" s="311"/>
      <c r="W61" s="311"/>
    </row>
    <row r="62" spans="7:23" s="327" customFormat="1">
      <c r="G62" s="311"/>
      <c r="H62" s="309"/>
      <c r="I62" s="309"/>
      <c r="J62" s="309"/>
      <c r="K62" s="309"/>
      <c r="L62" s="311"/>
      <c r="M62" s="311"/>
      <c r="N62" s="311"/>
      <c r="O62" s="311"/>
      <c r="P62" s="311"/>
      <c r="Q62" s="311"/>
      <c r="R62" s="311"/>
      <c r="S62" s="311"/>
      <c r="T62" s="311"/>
      <c r="U62" s="311"/>
      <c r="V62" s="311"/>
      <c r="W62" s="311"/>
    </row>
    <row r="63" spans="7:23" s="327" customFormat="1">
      <c r="G63" s="311"/>
      <c r="H63" s="309"/>
      <c r="I63" s="309"/>
      <c r="J63" s="309"/>
      <c r="K63" s="309"/>
      <c r="L63" s="311"/>
      <c r="M63" s="311"/>
      <c r="N63" s="311"/>
      <c r="O63" s="311"/>
      <c r="P63" s="311"/>
      <c r="Q63" s="311"/>
      <c r="R63" s="311"/>
      <c r="S63" s="311"/>
      <c r="T63" s="311"/>
      <c r="U63" s="311"/>
      <c r="V63" s="311"/>
      <c r="W63" s="311"/>
    </row>
    <row r="64" spans="7:23" s="327" customFormat="1">
      <c r="G64" s="311"/>
      <c r="H64" s="309"/>
      <c r="I64" s="309"/>
      <c r="J64" s="309"/>
      <c r="K64" s="309"/>
      <c r="L64" s="311"/>
      <c r="M64" s="311"/>
      <c r="N64" s="311"/>
      <c r="O64" s="311"/>
      <c r="P64" s="311"/>
      <c r="Q64" s="311"/>
      <c r="R64" s="311"/>
      <c r="S64" s="311"/>
      <c r="T64" s="311"/>
      <c r="U64" s="311"/>
      <c r="V64" s="311"/>
      <c r="W64" s="311"/>
    </row>
    <row r="65" spans="7:23" s="327" customFormat="1">
      <c r="G65" s="311"/>
      <c r="H65" s="309"/>
      <c r="I65" s="309"/>
      <c r="J65" s="309"/>
      <c r="K65" s="309"/>
      <c r="L65" s="311"/>
      <c r="M65" s="311"/>
      <c r="N65" s="311"/>
      <c r="O65" s="311"/>
      <c r="P65" s="311"/>
      <c r="Q65" s="311"/>
      <c r="R65" s="311"/>
      <c r="S65" s="311"/>
      <c r="T65" s="311"/>
      <c r="U65" s="311"/>
      <c r="V65" s="311"/>
      <c r="W65" s="311"/>
    </row>
    <row r="66" spans="7:23" s="327" customFormat="1">
      <c r="G66" s="311"/>
      <c r="H66" s="309"/>
      <c r="I66" s="309"/>
      <c r="J66" s="309"/>
      <c r="K66" s="309"/>
      <c r="L66" s="311"/>
      <c r="M66" s="311"/>
      <c r="N66" s="311"/>
      <c r="O66" s="311"/>
      <c r="P66" s="311"/>
      <c r="Q66" s="311"/>
      <c r="R66" s="311"/>
      <c r="S66" s="311"/>
      <c r="T66" s="311"/>
      <c r="U66" s="311"/>
      <c r="V66" s="311"/>
      <c r="W66" s="311"/>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0070C0"/>
  </sheetPr>
  <dimension ref="A1:V40"/>
  <sheetViews>
    <sheetView zoomScale="70" zoomScaleNormal="70" workbookViewId="0">
      <selection activeCell="E36" sqref="E36"/>
    </sheetView>
  </sheetViews>
  <sheetFormatPr defaultColWidth="8.77734375" defaultRowHeight="13.8"/>
  <cols>
    <col min="1" max="1" width="10.21875" style="316" customWidth="1"/>
    <col min="2" max="2" width="88.77734375" style="316" customWidth="1"/>
    <col min="3" max="4" width="21.44140625" style="316" customWidth="1"/>
    <col min="5" max="6" width="81.21875" style="316" customWidth="1"/>
    <col min="7" max="7" width="23.77734375" style="311" customWidth="1"/>
    <col min="8" max="22" width="8.77734375" style="311"/>
    <col min="23" max="16384" width="8.77734375" style="316"/>
  </cols>
  <sheetData>
    <row r="1" spans="1:22" s="309" customFormat="1" ht="25.8">
      <c r="A1" s="308" t="s">
        <v>508</v>
      </c>
      <c r="C1" s="310"/>
      <c r="G1" s="311"/>
      <c r="H1" s="311"/>
      <c r="I1" s="311"/>
      <c r="J1" s="311"/>
      <c r="K1" s="311"/>
      <c r="L1" s="311"/>
      <c r="M1" s="311"/>
      <c r="N1" s="311"/>
      <c r="O1" s="311"/>
      <c r="P1" s="311"/>
      <c r="Q1" s="311"/>
      <c r="R1" s="311"/>
      <c r="S1" s="311"/>
      <c r="T1" s="311"/>
      <c r="U1" s="311"/>
      <c r="V1" s="311"/>
    </row>
    <row r="2" spans="1:22" s="309" customFormat="1" ht="25.8">
      <c r="A2" s="308" t="s">
        <v>1644</v>
      </c>
      <c r="C2" s="310"/>
      <c r="G2" s="311"/>
      <c r="H2" s="311"/>
      <c r="I2" s="311"/>
      <c r="J2" s="311"/>
      <c r="K2" s="311"/>
      <c r="L2" s="311"/>
      <c r="M2" s="311"/>
      <c r="N2" s="311"/>
      <c r="O2" s="311"/>
      <c r="P2" s="311"/>
      <c r="Q2" s="311"/>
      <c r="R2" s="311"/>
      <c r="S2" s="311"/>
      <c r="T2" s="311"/>
      <c r="U2" s="311"/>
      <c r="V2" s="311"/>
    </row>
    <row r="3" spans="1:22" s="309" customFormat="1">
      <c r="A3" s="312" t="s">
        <v>23</v>
      </c>
      <c r="B3" s="309" t="s">
        <v>1645</v>
      </c>
      <c r="G3" s="311"/>
      <c r="H3" s="311"/>
      <c r="I3" s="311"/>
      <c r="J3" s="311"/>
      <c r="K3" s="311"/>
      <c r="L3" s="311"/>
      <c r="M3" s="311"/>
      <c r="N3" s="311"/>
      <c r="O3" s="311"/>
      <c r="P3" s="311"/>
      <c r="Q3" s="311"/>
      <c r="R3" s="311"/>
      <c r="S3" s="311"/>
      <c r="T3" s="311"/>
      <c r="U3" s="311"/>
      <c r="V3" s="311"/>
    </row>
    <row r="4" spans="1:22" s="309" customFormat="1">
      <c r="A4" s="312" t="s">
        <v>1646</v>
      </c>
      <c r="B4" s="309" t="s">
        <v>1647</v>
      </c>
      <c r="G4" s="311"/>
      <c r="H4" s="311"/>
      <c r="I4" s="311"/>
      <c r="J4" s="311"/>
      <c r="K4" s="311"/>
      <c r="L4" s="311"/>
      <c r="M4" s="311"/>
      <c r="N4" s="311"/>
      <c r="O4" s="311"/>
      <c r="P4" s="311"/>
      <c r="Q4" s="311"/>
      <c r="R4" s="311"/>
      <c r="S4" s="311"/>
      <c r="T4" s="311"/>
      <c r="U4" s="311"/>
      <c r="V4" s="311"/>
    </row>
    <row r="5" spans="1:22" s="309" customFormat="1">
      <c r="A5" s="309" t="s">
        <v>25</v>
      </c>
      <c r="B5" s="309" t="s">
        <v>510</v>
      </c>
      <c r="G5" s="311"/>
      <c r="H5" s="311"/>
      <c r="I5" s="311"/>
      <c r="J5" s="311"/>
      <c r="K5" s="311"/>
      <c r="L5" s="311"/>
      <c r="M5" s="311"/>
      <c r="N5" s="311"/>
      <c r="O5" s="311"/>
      <c r="P5" s="311"/>
      <c r="Q5" s="311"/>
      <c r="R5" s="311"/>
      <c r="S5" s="311"/>
      <c r="T5" s="311"/>
      <c r="U5" s="311"/>
      <c r="V5" s="311"/>
    </row>
    <row r="6" spans="1:22" s="309" customFormat="1">
      <c r="A6" s="309" t="s">
        <v>1648</v>
      </c>
      <c r="B6" s="309" t="s">
        <v>1649</v>
      </c>
      <c r="G6" s="311"/>
      <c r="H6" s="311"/>
      <c r="I6" s="311"/>
      <c r="J6" s="311"/>
      <c r="K6" s="311"/>
      <c r="L6" s="311"/>
      <c r="M6" s="311"/>
      <c r="N6" s="311"/>
      <c r="O6" s="311"/>
      <c r="P6" s="311"/>
      <c r="Q6" s="311"/>
      <c r="R6" s="311"/>
      <c r="S6" s="311"/>
      <c r="T6" s="311"/>
      <c r="U6" s="311"/>
      <c r="V6" s="311"/>
    </row>
    <row r="8" spans="1:22" s="309" customFormat="1">
      <c r="A8" s="337"/>
      <c r="B8" s="337"/>
      <c r="C8" s="337" t="s">
        <v>65</v>
      </c>
      <c r="D8" s="337" t="s">
        <v>54</v>
      </c>
      <c r="E8" s="337" t="s">
        <v>86</v>
      </c>
      <c r="F8" s="337" t="s">
        <v>1495</v>
      </c>
      <c r="G8" s="337" t="s">
        <v>1409</v>
      </c>
    </row>
    <row r="9" spans="1:22" s="312" customFormat="1">
      <c r="A9" s="338" t="s">
        <v>27</v>
      </c>
      <c r="B9" s="339"/>
      <c r="C9" s="340"/>
      <c r="D9" s="340"/>
      <c r="E9" s="340"/>
      <c r="F9" s="340"/>
      <c r="G9" s="340"/>
    </row>
    <row r="10" spans="1:22" s="312" customFormat="1" ht="96.6">
      <c r="A10" s="3" t="s">
        <v>513</v>
      </c>
      <c r="B10" s="3" t="s">
        <v>1650</v>
      </c>
      <c r="C10" s="323" t="s">
        <v>1651</v>
      </c>
      <c r="D10" s="323" t="s">
        <v>1652</v>
      </c>
      <c r="E10" s="323" t="s">
        <v>1653</v>
      </c>
      <c r="F10" s="323"/>
      <c r="G10" s="3"/>
    </row>
    <row r="11" spans="1:22" s="145" customFormat="1" ht="96.6">
      <c r="A11" s="3" t="s">
        <v>514</v>
      </c>
      <c r="B11" s="3" t="s">
        <v>1654</v>
      </c>
      <c r="C11" s="323" t="s">
        <v>1655</v>
      </c>
      <c r="D11" s="323" t="s">
        <v>1656</v>
      </c>
      <c r="E11" s="323" t="s">
        <v>1657</v>
      </c>
      <c r="F11" s="323"/>
      <c r="G11" s="3"/>
      <c r="H11" s="312"/>
      <c r="I11" s="312"/>
      <c r="J11" s="312"/>
      <c r="K11" s="312"/>
      <c r="L11" s="312"/>
      <c r="M11" s="312"/>
      <c r="N11" s="312"/>
      <c r="O11" s="312"/>
      <c r="P11" s="312"/>
      <c r="Q11" s="312"/>
      <c r="R11" s="312"/>
      <c r="S11" s="312"/>
      <c r="T11" s="312"/>
      <c r="U11" s="312"/>
      <c r="V11" s="312"/>
    </row>
    <row r="12" spans="1:22" s="145" customFormat="1">
      <c r="A12" s="317" t="s">
        <v>28</v>
      </c>
      <c r="B12" s="317"/>
      <c r="C12" s="318"/>
      <c r="D12" s="318"/>
      <c r="E12" s="318"/>
      <c r="F12" s="318"/>
      <c r="G12" s="318"/>
      <c r="H12" s="312"/>
      <c r="I12" s="312"/>
      <c r="J12" s="312"/>
      <c r="K12" s="312"/>
      <c r="L12" s="312"/>
      <c r="M12" s="312"/>
      <c r="N12" s="312"/>
      <c r="O12" s="312"/>
      <c r="P12" s="312"/>
      <c r="Q12" s="312"/>
      <c r="R12" s="312"/>
      <c r="S12" s="312"/>
      <c r="T12" s="312"/>
      <c r="U12" s="312"/>
      <c r="V12" s="312"/>
    </row>
    <row r="13" spans="1:22" s="312" customFormat="1" ht="82.8">
      <c r="A13" s="3" t="s">
        <v>515</v>
      </c>
      <c r="B13" s="3" t="s">
        <v>1658</v>
      </c>
      <c r="C13" s="323" t="s">
        <v>1659</v>
      </c>
      <c r="D13" s="323" t="s">
        <v>1660</v>
      </c>
      <c r="E13" s="323" t="s">
        <v>1661</v>
      </c>
      <c r="F13" s="323"/>
      <c r="G13" s="3"/>
    </row>
    <row r="14" spans="1:22" s="312" customFormat="1" ht="82.8">
      <c r="A14" s="3" t="s">
        <v>516</v>
      </c>
      <c r="B14" s="3" t="s">
        <v>1662</v>
      </c>
      <c r="C14" s="323" t="s">
        <v>1663</v>
      </c>
      <c r="D14" s="323" t="s">
        <v>1664</v>
      </c>
      <c r="E14" s="323" t="s">
        <v>1665</v>
      </c>
      <c r="F14" s="323"/>
      <c r="G14" s="3"/>
    </row>
    <row r="15" spans="1:22" s="145" customFormat="1" ht="96.6">
      <c r="A15" s="3" t="s">
        <v>517</v>
      </c>
      <c r="B15" s="3" t="s">
        <v>1666</v>
      </c>
      <c r="C15" s="323" t="s">
        <v>1667</v>
      </c>
      <c r="D15" s="323" t="s">
        <v>1668</v>
      </c>
      <c r="E15" s="323" t="s">
        <v>1669</v>
      </c>
      <c r="F15" s="323"/>
      <c r="G15" s="3"/>
      <c r="H15" s="312"/>
      <c r="I15" s="312"/>
      <c r="J15" s="312"/>
      <c r="K15" s="312"/>
      <c r="L15" s="312"/>
      <c r="M15" s="312"/>
      <c r="N15" s="312"/>
      <c r="O15" s="312"/>
      <c r="P15" s="312"/>
      <c r="Q15" s="312"/>
      <c r="R15" s="312"/>
      <c r="S15" s="312"/>
      <c r="T15" s="312"/>
      <c r="U15" s="312"/>
      <c r="V15" s="312"/>
    </row>
    <row r="16" spans="1:22" s="145" customFormat="1" ht="151.80000000000001">
      <c r="A16" s="3" t="s">
        <v>518</v>
      </c>
      <c r="B16" s="3" t="s">
        <v>1670</v>
      </c>
      <c r="C16" s="323" t="s">
        <v>1671</v>
      </c>
      <c r="D16" s="323" t="s">
        <v>1672</v>
      </c>
      <c r="E16" s="323" t="s">
        <v>1673</v>
      </c>
      <c r="F16" s="323"/>
      <c r="G16" s="3"/>
      <c r="H16" s="312"/>
      <c r="I16" s="312"/>
      <c r="J16" s="312"/>
      <c r="K16" s="312"/>
      <c r="L16" s="312"/>
      <c r="M16" s="312"/>
      <c r="N16" s="312"/>
      <c r="O16" s="312"/>
      <c r="P16" s="312"/>
      <c r="Q16" s="312"/>
      <c r="R16" s="312"/>
      <c r="S16" s="312"/>
      <c r="T16" s="312"/>
      <c r="U16" s="312"/>
      <c r="V16" s="312"/>
    </row>
    <row r="17" spans="1:22" s="312" customFormat="1" ht="165.6">
      <c r="A17" s="3" t="s">
        <v>519</v>
      </c>
      <c r="B17" s="3" t="s">
        <v>1674</v>
      </c>
      <c r="C17" s="323" t="s">
        <v>1675</v>
      </c>
      <c r="D17" s="323" t="s">
        <v>1676</v>
      </c>
      <c r="E17" s="323" t="s">
        <v>1677</v>
      </c>
      <c r="F17" s="323"/>
      <c r="G17" s="3"/>
    </row>
    <row r="18" spans="1:22" s="312" customFormat="1" ht="151.80000000000001">
      <c r="A18" s="341" t="s">
        <v>520</v>
      </c>
      <c r="B18" s="342" t="s">
        <v>1678</v>
      </c>
      <c r="C18" s="343" t="s">
        <v>1679</v>
      </c>
      <c r="D18" s="343" t="s">
        <v>1680</v>
      </c>
      <c r="E18" s="343" t="s">
        <v>1681</v>
      </c>
      <c r="F18" s="341"/>
      <c r="G18" s="341"/>
    </row>
    <row r="19" spans="1:22" s="312" customFormat="1">
      <c r="A19" s="317" t="s">
        <v>29</v>
      </c>
      <c r="B19" s="317"/>
      <c r="C19" s="318"/>
      <c r="D19" s="318"/>
      <c r="E19" s="318"/>
      <c r="F19" s="318"/>
      <c r="G19" s="318"/>
    </row>
    <row r="20" spans="1:22" s="145" customFormat="1" ht="110.4">
      <c r="A20" s="3" t="s">
        <v>521</v>
      </c>
      <c r="B20" s="3" t="s">
        <v>1682</v>
      </c>
      <c r="C20" s="323" t="s">
        <v>1683</v>
      </c>
      <c r="D20" s="323" t="s">
        <v>1684</v>
      </c>
      <c r="E20" s="323" t="s">
        <v>1685</v>
      </c>
      <c r="F20" s="3"/>
      <c r="G20" s="3"/>
      <c r="H20" s="312"/>
      <c r="I20" s="312"/>
      <c r="J20" s="312"/>
      <c r="K20" s="312"/>
      <c r="L20" s="312"/>
      <c r="M20" s="312"/>
      <c r="N20" s="312"/>
      <c r="O20" s="312"/>
      <c r="P20" s="312"/>
      <c r="Q20" s="312"/>
      <c r="R20" s="312"/>
      <c r="S20" s="312"/>
      <c r="T20" s="312"/>
      <c r="U20" s="312"/>
      <c r="V20" s="312"/>
    </row>
    <row r="21" spans="1:22" s="145" customFormat="1" ht="110.4">
      <c r="A21" s="3" t="s">
        <v>522</v>
      </c>
      <c r="B21" s="3" t="s">
        <v>1686</v>
      </c>
      <c r="C21" s="323" t="s">
        <v>1687</v>
      </c>
      <c r="D21" s="323" t="s">
        <v>1688</v>
      </c>
      <c r="E21" s="323" t="s">
        <v>1689</v>
      </c>
      <c r="F21" s="3"/>
      <c r="G21" s="3"/>
      <c r="H21" s="312"/>
      <c r="I21" s="312"/>
      <c r="J21" s="312"/>
      <c r="K21" s="312"/>
      <c r="L21" s="312"/>
      <c r="M21" s="312"/>
      <c r="N21" s="312"/>
      <c r="O21" s="312"/>
      <c r="P21" s="312"/>
      <c r="Q21" s="312"/>
      <c r="R21" s="312"/>
      <c r="S21" s="312"/>
      <c r="T21" s="312"/>
      <c r="U21" s="312"/>
      <c r="V21" s="312"/>
    </row>
    <row r="22" spans="1:22" s="312" customFormat="1" ht="82.8">
      <c r="A22" s="3" t="s">
        <v>523</v>
      </c>
      <c r="B22" s="3" t="s">
        <v>1690</v>
      </c>
      <c r="C22" s="323" t="s">
        <v>1691</v>
      </c>
      <c r="D22" s="323" t="s">
        <v>1692</v>
      </c>
      <c r="E22" s="323" t="s">
        <v>1693</v>
      </c>
      <c r="F22" s="3"/>
      <c r="G22" s="3"/>
    </row>
    <row r="23" spans="1:22" s="312" customFormat="1" ht="165.6">
      <c r="A23" s="3" t="s">
        <v>524</v>
      </c>
      <c r="B23" s="3" t="s">
        <v>1694</v>
      </c>
      <c r="C23" s="323" t="s">
        <v>1695</v>
      </c>
      <c r="D23" s="323" t="s">
        <v>1696</v>
      </c>
      <c r="E23" s="323" t="s">
        <v>1697</v>
      </c>
      <c r="F23" s="3"/>
      <c r="G23" s="3"/>
    </row>
    <row r="24" spans="1:22" s="145" customFormat="1" ht="151.80000000000001">
      <c r="A24" s="3" t="s">
        <v>525</v>
      </c>
      <c r="B24" s="3" t="s">
        <v>1698</v>
      </c>
      <c r="C24" s="323" t="s">
        <v>1699</v>
      </c>
      <c r="D24" s="323" t="s">
        <v>1700</v>
      </c>
      <c r="E24" s="323" t="s">
        <v>1701</v>
      </c>
      <c r="F24" s="3"/>
      <c r="G24" s="3"/>
      <c r="H24" s="312"/>
      <c r="I24" s="312"/>
      <c r="J24" s="312"/>
      <c r="K24" s="312"/>
      <c r="L24" s="312"/>
      <c r="M24" s="312"/>
      <c r="N24" s="312"/>
      <c r="O24" s="312"/>
      <c r="P24" s="312"/>
      <c r="Q24" s="312"/>
      <c r="R24" s="312"/>
      <c r="S24" s="312"/>
      <c r="T24" s="312"/>
      <c r="U24" s="312"/>
      <c r="V24" s="312"/>
    </row>
    <row r="25" spans="1:22" s="145" customFormat="1" ht="151.80000000000001">
      <c r="A25" s="3" t="s">
        <v>526</v>
      </c>
      <c r="B25" s="3" t="s">
        <v>1702</v>
      </c>
      <c r="C25" s="323" t="s">
        <v>1703</v>
      </c>
      <c r="D25" s="323" t="s">
        <v>1704</v>
      </c>
      <c r="E25" s="323" t="s">
        <v>1705</v>
      </c>
      <c r="F25" s="3"/>
      <c r="G25" s="3"/>
      <c r="H25" s="312"/>
      <c r="I25" s="312"/>
      <c r="J25" s="312"/>
      <c r="K25" s="312"/>
      <c r="L25" s="312"/>
      <c r="M25" s="312"/>
      <c r="N25" s="312"/>
      <c r="O25" s="312"/>
      <c r="P25" s="312"/>
      <c r="Q25" s="312"/>
      <c r="R25" s="312"/>
      <c r="S25" s="312"/>
      <c r="T25" s="312"/>
      <c r="U25" s="312"/>
      <c r="V25" s="312"/>
    </row>
    <row r="26" spans="1:22" s="312" customFormat="1">
      <c r="A26" s="317" t="s">
        <v>371</v>
      </c>
      <c r="B26" s="317"/>
      <c r="C26" s="318"/>
      <c r="D26" s="318"/>
      <c r="E26" s="318"/>
      <c r="F26" s="318"/>
      <c r="G26" s="318"/>
    </row>
    <row r="27" spans="1:22" s="312" customFormat="1" ht="82.8">
      <c r="A27" s="3" t="s">
        <v>527</v>
      </c>
      <c r="B27" s="3" t="s">
        <v>1706</v>
      </c>
      <c r="C27" s="323" t="s">
        <v>1707</v>
      </c>
      <c r="D27" s="323" t="s">
        <v>1708</v>
      </c>
      <c r="E27" s="323" t="s">
        <v>1709</v>
      </c>
      <c r="F27" s="3"/>
      <c r="G27" s="3"/>
    </row>
    <row r="28" spans="1:22" s="145" customFormat="1" ht="96.6">
      <c r="A28" s="3" t="s">
        <v>528</v>
      </c>
      <c r="B28" s="3" t="s">
        <v>1710</v>
      </c>
      <c r="C28" s="323" t="s">
        <v>1711</v>
      </c>
      <c r="D28" s="323" t="s">
        <v>1712</v>
      </c>
      <c r="E28" s="323" t="s">
        <v>1713</v>
      </c>
      <c r="F28" s="3"/>
      <c r="G28" s="3"/>
      <c r="H28" s="312"/>
      <c r="I28" s="312"/>
      <c r="J28" s="312"/>
      <c r="K28" s="312"/>
      <c r="L28" s="312"/>
      <c r="M28" s="312"/>
      <c r="N28" s="312"/>
      <c r="O28" s="312"/>
      <c r="P28" s="312"/>
      <c r="Q28" s="312"/>
      <c r="R28" s="312"/>
      <c r="S28" s="312"/>
      <c r="T28" s="312"/>
      <c r="U28" s="312"/>
      <c r="V28" s="312"/>
    </row>
    <row r="29" spans="1:22" s="145" customFormat="1" ht="82.8">
      <c r="A29" s="3" t="s">
        <v>529</v>
      </c>
      <c r="B29" s="3" t="s">
        <v>1714</v>
      </c>
      <c r="C29" s="323" t="s">
        <v>1715</v>
      </c>
      <c r="D29" s="323" t="s">
        <v>1716</v>
      </c>
      <c r="E29" s="323" t="s">
        <v>1717</v>
      </c>
      <c r="F29" s="3"/>
      <c r="G29" s="3"/>
      <c r="H29" s="312"/>
      <c r="I29" s="312"/>
      <c r="J29" s="312"/>
      <c r="K29" s="312"/>
      <c r="L29" s="312"/>
      <c r="M29" s="312"/>
      <c r="N29" s="312"/>
      <c r="O29" s="312"/>
      <c r="P29" s="312"/>
      <c r="Q29" s="312"/>
      <c r="R29" s="312"/>
      <c r="S29" s="312"/>
      <c r="T29" s="312"/>
      <c r="U29" s="312"/>
      <c r="V29" s="312"/>
    </row>
    <row r="30" spans="1:22" s="145" customFormat="1" ht="193.2">
      <c r="A30" s="3" t="s">
        <v>530</v>
      </c>
      <c r="B30" s="3" t="s">
        <v>1718</v>
      </c>
      <c r="C30" s="323" t="s">
        <v>1719</v>
      </c>
      <c r="D30" s="323" t="s">
        <v>1720</v>
      </c>
      <c r="E30" s="323" t="s">
        <v>1721</v>
      </c>
      <c r="F30" s="3"/>
      <c r="G30" s="3"/>
      <c r="H30" s="312"/>
      <c r="I30" s="312"/>
      <c r="J30" s="312"/>
      <c r="K30" s="312"/>
      <c r="L30" s="312"/>
      <c r="M30" s="312"/>
      <c r="N30" s="312"/>
      <c r="O30" s="312"/>
      <c r="P30" s="312"/>
      <c r="Q30" s="312"/>
      <c r="R30" s="312"/>
      <c r="S30" s="312"/>
      <c r="T30" s="312"/>
      <c r="U30" s="312"/>
      <c r="V30" s="312"/>
    </row>
    <row r="31" spans="1:22" s="312" customFormat="1" ht="179.4">
      <c r="A31" s="3" t="s">
        <v>531</v>
      </c>
      <c r="B31" s="3" t="s">
        <v>1722</v>
      </c>
      <c r="C31" s="323" t="s">
        <v>1723</v>
      </c>
      <c r="D31" s="323" t="s">
        <v>1724</v>
      </c>
      <c r="E31" s="323" t="s">
        <v>1725</v>
      </c>
      <c r="F31" s="3"/>
      <c r="G31" s="3"/>
    </row>
    <row r="32" spans="1:22" s="145" customFormat="1">
      <c r="A32" s="317" t="s">
        <v>511</v>
      </c>
      <c r="B32" s="317"/>
      <c r="C32" s="318"/>
      <c r="D32" s="318"/>
      <c r="E32" s="318"/>
      <c r="F32" s="318"/>
      <c r="G32" s="318"/>
      <c r="H32" s="312"/>
      <c r="I32" s="312"/>
      <c r="J32" s="312"/>
      <c r="K32" s="312"/>
      <c r="L32" s="312"/>
      <c r="M32" s="312"/>
      <c r="N32" s="312"/>
      <c r="O32" s="312"/>
      <c r="P32" s="312"/>
      <c r="Q32" s="312"/>
      <c r="R32" s="312"/>
      <c r="S32" s="312"/>
      <c r="T32" s="312"/>
      <c r="U32" s="312"/>
      <c r="V32" s="312"/>
    </row>
    <row r="33" spans="1:22" s="145" customFormat="1" ht="82.8">
      <c r="A33" s="3" t="s">
        <v>532</v>
      </c>
      <c r="B33" s="3" t="s">
        <v>1726</v>
      </c>
      <c r="C33" s="323" t="s">
        <v>1727</v>
      </c>
      <c r="D33" s="323" t="s">
        <v>1728</v>
      </c>
      <c r="E33" s="323" t="s">
        <v>1729</v>
      </c>
      <c r="F33" s="3"/>
      <c r="G33" s="3"/>
      <c r="H33" s="312"/>
      <c r="I33" s="312"/>
      <c r="J33" s="312"/>
      <c r="K33" s="312"/>
      <c r="L33" s="312"/>
      <c r="M33" s="312"/>
      <c r="N33" s="312"/>
      <c r="O33" s="312"/>
      <c r="P33" s="312"/>
      <c r="Q33" s="312"/>
      <c r="R33" s="312"/>
      <c r="S33" s="312"/>
      <c r="T33" s="312"/>
      <c r="U33" s="312"/>
      <c r="V33" s="312"/>
    </row>
    <row r="34" spans="1:22" s="145" customFormat="1" ht="96.6">
      <c r="A34" s="3" t="s">
        <v>533</v>
      </c>
      <c r="B34" s="3" t="s">
        <v>1730</v>
      </c>
      <c r="C34" s="323" t="s">
        <v>1731</v>
      </c>
      <c r="D34" s="323" t="s">
        <v>1732</v>
      </c>
      <c r="E34" s="323" t="s">
        <v>1733</v>
      </c>
      <c r="F34" s="3"/>
      <c r="G34" s="3"/>
      <c r="H34" s="312"/>
      <c r="I34" s="312"/>
      <c r="J34" s="312"/>
      <c r="K34" s="312"/>
      <c r="L34" s="312"/>
      <c r="M34" s="312"/>
      <c r="N34" s="312"/>
      <c r="O34" s="312"/>
      <c r="P34" s="312"/>
      <c r="Q34" s="312"/>
      <c r="R34" s="312"/>
      <c r="S34" s="312"/>
      <c r="T34" s="312"/>
      <c r="U34" s="312"/>
      <c r="V34" s="312"/>
    </row>
    <row r="35" spans="1:22" s="312" customFormat="1" ht="110.4">
      <c r="A35" s="3" t="s">
        <v>534</v>
      </c>
      <c r="B35" s="3" t="s">
        <v>1734</v>
      </c>
      <c r="C35" s="323" t="s">
        <v>1735</v>
      </c>
      <c r="D35" s="323" t="s">
        <v>1736</v>
      </c>
      <c r="E35" s="323" t="s">
        <v>1737</v>
      </c>
      <c r="F35" s="3"/>
      <c r="G35" s="3"/>
    </row>
    <row r="40" spans="1:22">
      <c r="B40" s="360"/>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70C0"/>
  </sheetPr>
  <dimension ref="A1:R52"/>
  <sheetViews>
    <sheetView topLeftCell="A10" zoomScale="85" zoomScaleNormal="85" workbookViewId="0">
      <selection activeCell="C11" sqref="C11"/>
    </sheetView>
  </sheetViews>
  <sheetFormatPr defaultColWidth="8.77734375" defaultRowHeight="13.8"/>
  <cols>
    <col min="1" max="1" width="10.21875" style="316" customWidth="1"/>
    <col min="2" max="2" width="65.21875" style="349" customWidth="1"/>
    <col min="3" max="3" width="30.33203125" style="316" customWidth="1"/>
    <col min="4" max="4" width="28.21875" style="316" customWidth="1"/>
    <col min="5" max="5" width="48.77734375" style="316" customWidth="1"/>
    <col min="6" max="6" width="34.77734375" style="316" customWidth="1"/>
    <col min="7" max="7" width="21.44140625" style="311" customWidth="1"/>
    <col min="8" max="9" width="17.77734375" style="326" customWidth="1"/>
    <col min="10" max="18" width="8.77734375" style="311"/>
    <col min="19" max="16384" width="8.77734375" style="316"/>
  </cols>
  <sheetData>
    <row r="1" spans="1:18" s="136" customFormat="1" ht="25.8">
      <c r="A1" s="308" t="s">
        <v>1738</v>
      </c>
      <c r="B1" s="312"/>
      <c r="C1" s="310"/>
      <c r="D1" s="309"/>
      <c r="E1" s="309"/>
      <c r="F1" s="309"/>
      <c r="G1" s="311"/>
      <c r="H1" s="326"/>
      <c r="I1" s="326"/>
      <c r="J1" s="311"/>
      <c r="K1" s="311"/>
      <c r="L1" s="311"/>
      <c r="M1" s="311"/>
      <c r="N1" s="311"/>
      <c r="O1" s="311"/>
      <c r="P1" s="311"/>
      <c r="Q1" s="311"/>
      <c r="R1" s="311"/>
    </row>
    <row r="2" spans="1:18" s="134" customFormat="1" ht="25.8">
      <c r="A2" s="308" t="s">
        <v>1739</v>
      </c>
      <c r="B2" s="312"/>
      <c r="C2" s="310"/>
      <c r="D2" s="309"/>
      <c r="E2" s="309"/>
      <c r="F2" s="309"/>
      <c r="G2" s="311"/>
      <c r="H2" s="326"/>
      <c r="I2" s="326"/>
      <c r="J2" s="311"/>
      <c r="K2" s="311"/>
      <c r="L2" s="311"/>
      <c r="M2" s="311"/>
      <c r="N2" s="311"/>
      <c r="O2" s="311"/>
      <c r="P2" s="311"/>
      <c r="Q2" s="311"/>
      <c r="R2" s="311"/>
    </row>
    <row r="3" spans="1:18" s="333" customFormat="1" ht="27.6">
      <c r="A3" s="312" t="s">
        <v>23</v>
      </c>
      <c r="B3" s="312" t="s">
        <v>1740</v>
      </c>
      <c r="C3" s="309"/>
      <c r="D3" s="309"/>
      <c r="E3" s="309"/>
      <c r="F3" s="309"/>
      <c r="G3" s="311"/>
      <c r="H3" s="326"/>
      <c r="I3" s="326"/>
      <c r="J3" s="311"/>
      <c r="K3" s="311"/>
      <c r="L3" s="311"/>
      <c r="M3" s="311"/>
      <c r="N3" s="311"/>
      <c r="O3" s="311"/>
      <c r="P3" s="311"/>
      <c r="Q3" s="311"/>
      <c r="R3" s="311"/>
    </row>
    <row r="4" spans="1:18" s="136" customFormat="1" ht="27.6">
      <c r="A4" s="312" t="s">
        <v>1646</v>
      </c>
      <c r="B4" s="312" t="s">
        <v>1741</v>
      </c>
      <c r="C4" s="309"/>
      <c r="D4" s="309"/>
      <c r="E4" s="309"/>
      <c r="F4" s="309"/>
      <c r="G4" s="311"/>
      <c r="H4" s="326"/>
      <c r="I4" s="326"/>
      <c r="J4" s="311"/>
      <c r="K4" s="311"/>
      <c r="L4" s="311"/>
      <c r="M4" s="311"/>
      <c r="N4" s="311"/>
      <c r="O4" s="311"/>
      <c r="P4" s="311"/>
      <c r="Q4" s="311"/>
      <c r="R4" s="311"/>
    </row>
    <row r="5" spans="1:18" s="136" customFormat="1" ht="27.6">
      <c r="A5" s="309" t="s">
        <v>25</v>
      </c>
      <c r="B5" s="312" t="s">
        <v>744</v>
      </c>
      <c r="C5" s="309"/>
      <c r="D5" s="309"/>
      <c r="E5" s="309"/>
      <c r="F5" s="309"/>
      <c r="G5" s="311"/>
      <c r="H5" s="326"/>
      <c r="I5" s="326"/>
      <c r="J5" s="311"/>
      <c r="K5" s="311"/>
      <c r="L5" s="311"/>
      <c r="M5" s="311"/>
      <c r="N5" s="311"/>
      <c r="O5" s="311"/>
      <c r="P5" s="311"/>
      <c r="Q5" s="311"/>
      <c r="R5" s="311"/>
    </row>
    <row r="6" spans="1:18" s="134" customFormat="1">
      <c r="A6" s="309" t="s">
        <v>1648</v>
      </c>
      <c r="B6" s="312" t="s">
        <v>1742</v>
      </c>
      <c r="C6" s="309"/>
      <c r="D6" s="309"/>
      <c r="E6" s="309"/>
      <c r="F6" s="309"/>
      <c r="G6" s="311"/>
      <c r="H6" s="326"/>
      <c r="I6" s="326"/>
      <c r="J6" s="311"/>
      <c r="K6" s="311"/>
      <c r="L6" s="311"/>
      <c r="M6" s="311"/>
      <c r="N6" s="311"/>
      <c r="O6" s="311"/>
      <c r="P6" s="311"/>
      <c r="Q6" s="311"/>
      <c r="R6" s="311"/>
    </row>
    <row r="7" spans="1:18" s="333" customFormat="1">
      <c r="A7" s="316"/>
      <c r="B7" s="349"/>
      <c r="C7" s="316"/>
      <c r="D7" s="316"/>
      <c r="E7" s="309"/>
      <c r="F7" s="309"/>
      <c r="G7" s="346"/>
      <c r="H7" s="326"/>
      <c r="I7" s="326"/>
      <c r="J7" s="311"/>
      <c r="K7" s="311"/>
      <c r="L7" s="311"/>
      <c r="M7" s="311"/>
      <c r="N7" s="311"/>
      <c r="O7" s="311"/>
      <c r="P7" s="311"/>
      <c r="Q7" s="311"/>
      <c r="R7" s="311"/>
    </row>
    <row r="8" spans="1:18" s="136" customFormat="1">
      <c r="A8" s="337"/>
      <c r="B8" s="350"/>
      <c r="C8" s="337" t="s">
        <v>65</v>
      </c>
      <c r="D8" s="337" t="s">
        <v>54</v>
      </c>
      <c r="E8" s="337" t="s">
        <v>86</v>
      </c>
      <c r="F8" s="337" t="s">
        <v>1495</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26"/>
      <c r="I9" s="326"/>
      <c r="J9" s="332"/>
      <c r="K9" s="332"/>
      <c r="L9" s="332"/>
      <c r="M9" s="332"/>
      <c r="N9" s="332"/>
      <c r="O9" s="332"/>
      <c r="P9" s="332"/>
      <c r="Q9" s="332"/>
      <c r="R9" s="332"/>
    </row>
    <row r="10" spans="1:18" s="134" customFormat="1" ht="82.8">
      <c r="A10" s="20" t="s">
        <v>745</v>
      </c>
      <c r="B10" s="20" t="s">
        <v>1743</v>
      </c>
      <c r="C10" s="334" t="s">
        <v>1744</v>
      </c>
      <c r="D10" s="334" t="s">
        <v>1745</v>
      </c>
      <c r="E10" s="334" t="s">
        <v>1746</v>
      </c>
      <c r="F10" s="334"/>
      <c r="G10" s="335"/>
      <c r="H10" s="326"/>
      <c r="I10" s="326"/>
      <c r="J10" s="332"/>
      <c r="K10" s="332"/>
      <c r="L10" s="332"/>
      <c r="M10" s="332"/>
      <c r="N10" s="332"/>
      <c r="O10" s="332"/>
      <c r="P10" s="332"/>
      <c r="Q10" s="332"/>
      <c r="R10" s="332"/>
    </row>
    <row r="11" spans="1:18" s="333" customFormat="1" ht="98.25" customHeight="1">
      <c r="A11" s="20" t="s">
        <v>746</v>
      </c>
      <c r="B11" s="20" t="s">
        <v>1747</v>
      </c>
      <c r="C11" s="334" t="s">
        <v>1748</v>
      </c>
      <c r="D11" s="334" t="s">
        <v>1749</v>
      </c>
      <c r="E11" s="334" t="s">
        <v>1750</v>
      </c>
      <c r="F11" s="334"/>
      <c r="G11" s="335"/>
      <c r="H11" s="326"/>
      <c r="I11" s="326"/>
      <c r="J11" s="332"/>
      <c r="K11" s="332"/>
      <c r="L11" s="332"/>
      <c r="M11" s="332"/>
      <c r="N11" s="332"/>
      <c r="O11" s="332"/>
      <c r="P11" s="332"/>
      <c r="Q11" s="332"/>
      <c r="R11" s="332"/>
    </row>
    <row r="12" spans="1:18" s="136" customFormat="1">
      <c r="A12" s="329" t="s">
        <v>28</v>
      </c>
      <c r="B12" s="329"/>
      <c r="C12" s="330"/>
      <c r="D12" s="330"/>
      <c r="E12" s="330" t="s">
        <v>1504</v>
      </c>
      <c r="F12" s="330"/>
      <c r="G12" s="331"/>
      <c r="H12" s="326"/>
      <c r="I12" s="326"/>
      <c r="J12" s="332"/>
      <c r="K12" s="332"/>
      <c r="L12" s="332"/>
      <c r="M12" s="332"/>
      <c r="N12" s="332"/>
      <c r="O12" s="332"/>
      <c r="P12" s="332"/>
      <c r="Q12" s="332"/>
      <c r="R12" s="332"/>
    </row>
    <row r="13" spans="1:18" s="136" customFormat="1" ht="138">
      <c r="A13" s="20" t="s">
        <v>747</v>
      </c>
      <c r="B13" s="20" t="s">
        <v>1751</v>
      </c>
      <c r="C13" s="334" t="s">
        <v>1752</v>
      </c>
      <c r="D13" s="334" t="s">
        <v>1753</v>
      </c>
      <c r="E13" s="334" t="s">
        <v>1754</v>
      </c>
      <c r="F13" s="334"/>
      <c r="G13" s="335"/>
      <c r="H13" s="326"/>
      <c r="I13" s="326"/>
      <c r="J13" s="332"/>
      <c r="K13" s="332"/>
      <c r="L13" s="332"/>
      <c r="M13" s="332"/>
      <c r="N13" s="332"/>
      <c r="O13" s="332"/>
      <c r="P13" s="332"/>
      <c r="Q13" s="332"/>
      <c r="R13" s="332"/>
    </row>
    <row r="14" spans="1:18" s="134" customFormat="1" ht="138">
      <c r="A14" s="20" t="s">
        <v>748</v>
      </c>
      <c r="B14" s="20" t="s">
        <v>1755</v>
      </c>
      <c r="C14" s="334" t="s">
        <v>1756</v>
      </c>
      <c r="D14" s="334" t="s">
        <v>1757</v>
      </c>
      <c r="E14" s="334" t="s">
        <v>1758</v>
      </c>
      <c r="F14" s="334"/>
      <c r="G14" s="335"/>
      <c r="H14" s="326"/>
      <c r="I14" s="326"/>
      <c r="J14" s="332"/>
      <c r="K14" s="332"/>
      <c r="L14" s="332"/>
      <c r="M14" s="332"/>
      <c r="N14" s="332"/>
      <c r="O14" s="332"/>
      <c r="P14" s="332"/>
      <c r="Q14" s="332"/>
      <c r="R14" s="332"/>
    </row>
    <row r="15" spans="1:18" s="333" customFormat="1" ht="110.4">
      <c r="A15" s="20" t="s">
        <v>749</v>
      </c>
      <c r="B15" s="20" t="s">
        <v>1759</v>
      </c>
      <c r="C15" s="334" t="s">
        <v>1760</v>
      </c>
      <c r="D15" s="334" t="s">
        <v>1761</v>
      </c>
      <c r="E15" s="334" t="s">
        <v>1762</v>
      </c>
      <c r="F15" s="334"/>
      <c r="G15" s="335"/>
      <c r="H15" s="326"/>
      <c r="I15" s="326"/>
      <c r="J15" s="332"/>
      <c r="K15" s="332"/>
      <c r="L15" s="332"/>
      <c r="M15" s="332"/>
      <c r="N15" s="332"/>
      <c r="O15" s="332"/>
      <c r="P15" s="332"/>
      <c r="Q15" s="332"/>
      <c r="R15" s="332"/>
    </row>
    <row r="16" spans="1:18" s="136" customFormat="1" ht="131.25" customHeight="1">
      <c r="A16" s="20" t="s">
        <v>750</v>
      </c>
      <c r="B16" s="20" t="s">
        <v>1763</v>
      </c>
      <c r="C16" s="334" t="s">
        <v>1764</v>
      </c>
      <c r="D16" s="334" t="s">
        <v>1765</v>
      </c>
      <c r="E16" s="334" t="s">
        <v>1766</v>
      </c>
      <c r="F16" s="334"/>
      <c r="G16" s="335"/>
      <c r="H16" s="326"/>
      <c r="I16" s="326"/>
      <c r="J16" s="332"/>
      <c r="K16" s="332"/>
      <c r="L16" s="332"/>
      <c r="M16" s="332"/>
      <c r="N16" s="332"/>
      <c r="O16" s="332"/>
      <c r="P16" s="332"/>
      <c r="Q16" s="332"/>
      <c r="R16" s="332"/>
    </row>
    <row r="17" spans="1:18" s="134" customFormat="1">
      <c r="A17" s="329" t="s">
        <v>29</v>
      </c>
      <c r="B17" s="329"/>
      <c r="C17" s="330"/>
      <c r="D17" s="330"/>
      <c r="E17" s="330" t="s">
        <v>1504</v>
      </c>
      <c r="F17" s="330"/>
      <c r="G17" s="331"/>
      <c r="H17" s="326"/>
      <c r="I17" s="326"/>
      <c r="J17" s="332"/>
      <c r="K17" s="332"/>
      <c r="L17" s="332"/>
      <c r="M17" s="332"/>
      <c r="N17" s="332"/>
      <c r="O17" s="332"/>
      <c r="P17" s="332"/>
      <c r="Q17" s="332"/>
      <c r="R17" s="332"/>
    </row>
    <row r="18" spans="1:18" s="333" customFormat="1" ht="132" customHeight="1">
      <c r="A18" s="20" t="s">
        <v>751</v>
      </c>
      <c r="B18" s="20" t="s">
        <v>1767</v>
      </c>
      <c r="C18" s="334" t="s">
        <v>1768</v>
      </c>
      <c r="D18" s="334" t="s">
        <v>1769</v>
      </c>
      <c r="E18" s="334" t="s">
        <v>1770</v>
      </c>
      <c r="F18" s="334"/>
      <c r="G18" s="335"/>
      <c r="H18" s="352"/>
      <c r="I18" s="352"/>
      <c r="J18" s="332"/>
      <c r="K18" s="332"/>
      <c r="L18" s="332"/>
      <c r="M18" s="332"/>
      <c r="N18" s="332"/>
      <c r="O18" s="332"/>
      <c r="P18" s="332"/>
      <c r="Q18" s="332"/>
      <c r="R18" s="332"/>
    </row>
    <row r="19" spans="1:18" s="136" customFormat="1" ht="138">
      <c r="A19" s="20" t="s">
        <v>752</v>
      </c>
      <c r="B19" s="20" t="s">
        <v>1771</v>
      </c>
      <c r="C19" s="334" t="s">
        <v>1772</v>
      </c>
      <c r="D19" s="334" t="s">
        <v>1773</v>
      </c>
      <c r="E19" s="334" t="s">
        <v>1774</v>
      </c>
      <c r="F19" s="334"/>
      <c r="G19" s="335"/>
      <c r="H19" s="326"/>
      <c r="I19" s="326"/>
      <c r="J19" s="332"/>
      <c r="K19" s="332"/>
      <c r="L19" s="332"/>
      <c r="M19" s="332"/>
      <c r="N19" s="332"/>
      <c r="O19" s="332"/>
      <c r="P19" s="332"/>
      <c r="Q19" s="332"/>
      <c r="R19" s="332"/>
    </row>
    <row r="20" spans="1:18" s="136" customFormat="1" ht="142.5" customHeight="1">
      <c r="A20" s="20" t="s">
        <v>753</v>
      </c>
      <c r="B20" s="20" t="s">
        <v>1775</v>
      </c>
      <c r="C20" s="334" t="s">
        <v>1776</v>
      </c>
      <c r="D20" s="334" t="s">
        <v>1777</v>
      </c>
      <c r="E20" s="334" t="s">
        <v>1778</v>
      </c>
      <c r="F20" s="334"/>
      <c r="G20" s="335"/>
      <c r="H20" s="326"/>
      <c r="I20" s="326"/>
      <c r="J20" s="332"/>
      <c r="K20" s="332"/>
      <c r="L20" s="332"/>
      <c r="M20" s="332"/>
      <c r="N20" s="332"/>
      <c r="O20" s="332"/>
      <c r="P20" s="332"/>
      <c r="Q20" s="332"/>
      <c r="R20" s="332"/>
    </row>
    <row r="21" spans="1:18" s="134" customFormat="1" ht="151.80000000000001">
      <c r="A21" s="20" t="s">
        <v>754</v>
      </c>
      <c r="B21" s="20" t="s">
        <v>1779</v>
      </c>
      <c r="C21" s="334" t="s">
        <v>1780</v>
      </c>
      <c r="D21" s="334" t="s">
        <v>1781</v>
      </c>
      <c r="E21" s="334" t="s">
        <v>1782</v>
      </c>
      <c r="F21" s="334"/>
      <c r="G21" s="335"/>
      <c r="H21" s="352"/>
      <c r="I21" s="326"/>
      <c r="J21" s="332"/>
      <c r="K21" s="332"/>
      <c r="L21" s="332"/>
      <c r="M21" s="332"/>
      <c r="N21" s="332"/>
      <c r="O21" s="332"/>
      <c r="P21" s="332"/>
      <c r="Q21" s="332"/>
      <c r="R21" s="332"/>
    </row>
    <row r="22" spans="1:18" s="326" customFormat="1">
      <c r="B22" s="333"/>
      <c r="G22" s="311"/>
      <c r="H22" s="352"/>
      <c r="I22" s="352"/>
      <c r="J22" s="311"/>
      <c r="K22" s="311"/>
      <c r="L22" s="311"/>
      <c r="M22" s="311"/>
      <c r="N22" s="311"/>
      <c r="O22" s="311"/>
      <c r="P22" s="311"/>
      <c r="Q22" s="311"/>
      <c r="R22" s="311"/>
    </row>
    <row r="23" spans="1:18" s="326" customFormat="1">
      <c r="B23" s="333"/>
      <c r="G23" s="311"/>
      <c r="J23" s="311"/>
      <c r="K23" s="311"/>
      <c r="L23" s="311"/>
      <c r="M23" s="311"/>
      <c r="N23" s="311"/>
      <c r="O23" s="311"/>
      <c r="P23" s="311"/>
      <c r="Q23" s="311"/>
      <c r="R23" s="311"/>
    </row>
    <row r="24" spans="1:18" s="326" customFormat="1">
      <c r="B24" s="333"/>
      <c r="G24" s="311"/>
      <c r="J24" s="311"/>
      <c r="K24" s="311"/>
      <c r="L24" s="311"/>
      <c r="M24" s="311"/>
      <c r="N24" s="311"/>
      <c r="O24" s="311"/>
      <c r="P24" s="311"/>
      <c r="Q24" s="311"/>
      <c r="R24" s="311"/>
    </row>
    <row r="25" spans="1:18" s="326" customFormat="1">
      <c r="B25" s="333"/>
      <c r="G25" s="311"/>
      <c r="J25" s="311"/>
      <c r="K25" s="311"/>
      <c r="L25" s="311"/>
      <c r="M25" s="311"/>
      <c r="N25" s="311"/>
      <c r="O25" s="311"/>
      <c r="P25" s="311"/>
      <c r="Q25" s="311"/>
      <c r="R25" s="311"/>
    </row>
    <row r="26" spans="1:18" s="326" customFormat="1">
      <c r="B26" s="333"/>
      <c r="G26" s="311"/>
      <c r="J26" s="311"/>
      <c r="K26" s="311"/>
      <c r="L26" s="311"/>
      <c r="M26" s="311"/>
      <c r="N26" s="311"/>
      <c r="O26" s="311"/>
      <c r="P26" s="311"/>
      <c r="Q26" s="311"/>
      <c r="R26" s="311"/>
    </row>
    <row r="27" spans="1:18" s="326" customFormat="1">
      <c r="B27" s="333"/>
      <c r="G27" s="311"/>
      <c r="J27" s="311"/>
      <c r="K27" s="311"/>
      <c r="L27" s="311"/>
      <c r="M27" s="311"/>
      <c r="N27" s="311"/>
      <c r="O27" s="311"/>
      <c r="P27" s="311"/>
      <c r="Q27" s="311"/>
      <c r="R27" s="311"/>
    </row>
    <row r="28" spans="1:18" s="326" customFormat="1">
      <c r="B28" s="333"/>
      <c r="G28" s="311"/>
      <c r="J28" s="311"/>
      <c r="K28" s="311"/>
      <c r="L28" s="311"/>
      <c r="M28" s="311"/>
      <c r="N28" s="311"/>
      <c r="O28" s="311"/>
      <c r="P28" s="311"/>
      <c r="Q28" s="311"/>
      <c r="R28" s="311"/>
    </row>
    <row r="29" spans="1:18" s="326" customFormat="1">
      <c r="B29" s="333"/>
      <c r="G29" s="311"/>
      <c r="J29" s="311"/>
      <c r="K29" s="311"/>
      <c r="L29" s="311"/>
      <c r="M29" s="311"/>
      <c r="N29" s="311"/>
      <c r="O29" s="311"/>
      <c r="P29" s="311"/>
      <c r="Q29" s="311"/>
      <c r="R29" s="311"/>
    </row>
    <row r="30" spans="1:18" s="326" customFormat="1">
      <c r="B30" s="333"/>
      <c r="G30" s="311"/>
      <c r="J30" s="311"/>
      <c r="K30" s="311"/>
      <c r="L30" s="311"/>
      <c r="M30" s="311"/>
      <c r="N30" s="311"/>
      <c r="O30" s="311"/>
      <c r="P30" s="311"/>
      <c r="Q30" s="311"/>
      <c r="R30" s="311"/>
    </row>
    <row r="31" spans="1:18" s="326" customFormat="1">
      <c r="B31" s="333"/>
      <c r="G31" s="311"/>
      <c r="J31" s="311"/>
      <c r="K31" s="311"/>
      <c r="L31" s="311"/>
      <c r="M31" s="311"/>
      <c r="N31" s="311"/>
      <c r="O31" s="311"/>
      <c r="P31" s="311"/>
      <c r="Q31" s="311"/>
      <c r="R31" s="311"/>
    </row>
    <row r="32" spans="1:18" s="327" customFormat="1">
      <c r="B32" s="351"/>
      <c r="G32" s="311"/>
      <c r="H32" s="326"/>
      <c r="I32" s="326"/>
      <c r="J32" s="311"/>
      <c r="K32" s="311"/>
      <c r="L32" s="311"/>
      <c r="M32" s="311"/>
      <c r="N32" s="311"/>
      <c r="O32" s="311"/>
      <c r="P32" s="311"/>
      <c r="Q32" s="311"/>
      <c r="R32" s="311"/>
    </row>
    <row r="33" spans="2:18" s="327" customFormat="1">
      <c r="B33" s="351"/>
      <c r="G33" s="311"/>
      <c r="H33" s="326"/>
      <c r="I33" s="326"/>
      <c r="J33" s="311"/>
      <c r="K33" s="311"/>
      <c r="L33" s="311"/>
      <c r="M33" s="311"/>
      <c r="N33" s="311"/>
      <c r="O33" s="311"/>
      <c r="P33" s="311"/>
      <c r="Q33" s="311"/>
      <c r="R33" s="311"/>
    </row>
    <row r="34" spans="2:18" s="327" customFormat="1">
      <c r="B34" s="351"/>
      <c r="G34" s="311"/>
      <c r="H34" s="326"/>
      <c r="I34" s="326"/>
      <c r="J34" s="311"/>
      <c r="K34" s="311"/>
      <c r="L34" s="311"/>
      <c r="M34" s="311"/>
      <c r="N34" s="311"/>
      <c r="O34" s="311"/>
      <c r="P34" s="311"/>
      <c r="Q34" s="311"/>
      <c r="R34" s="311"/>
    </row>
    <row r="35" spans="2:18" s="327" customFormat="1">
      <c r="B35" s="351"/>
      <c r="G35" s="311"/>
      <c r="H35" s="326"/>
      <c r="I35" s="326"/>
      <c r="J35" s="311"/>
      <c r="K35" s="311"/>
      <c r="L35" s="311"/>
      <c r="M35" s="311"/>
      <c r="N35" s="311"/>
      <c r="O35" s="311"/>
      <c r="P35" s="311"/>
      <c r="Q35" s="311"/>
      <c r="R35" s="311"/>
    </row>
    <row r="36" spans="2:18" s="327" customFormat="1">
      <c r="B36" s="351"/>
      <c r="G36" s="311"/>
      <c r="H36" s="326"/>
      <c r="I36" s="326"/>
      <c r="J36" s="311"/>
      <c r="K36" s="311"/>
      <c r="L36" s="311"/>
      <c r="M36" s="311"/>
      <c r="N36" s="311"/>
      <c r="O36" s="311"/>
      <c r="P36" s="311"/>
      <c r="Q36" s="311"/>
      <c r="R36" s="311"/>
    </row>
    <row r="37" spans="2:18" s="327" customFormat="1">
      <c r="B37" s="351"/>
      <c r="G37" s="311"/>
      <c r="H37" s="326"/>
      <c r="I37" s="326"/>
      <c r="J37" s="311"/>
      <c r="K37" s="311"/>
      <c r="L37" s="311"/>
      <c r="M37" s="311"/>
      <c r="N37" s="311"/>
      <c r="O37" s="311"/>
      <c r="P37" s="311"/>
      <c r="Q37" s="311"/>
      <c r="R37" s="311"/>
    </row>
    <row r="38" spans="2:18" s="327" customFormat="1">
      <c r="B38" s="351"/>
      <c r="G38" s="311"/>
      <c r="H38" s="326"/>
      <c r="I38" s="326"/>
      <c r="J38" s="311"/>
      <c r="K38" s="311"/>
      <c r="L38" s="311"/>
      <c r="M38" s="311"/>
      <c r="N38" s="311"/>
      <c r="O38" s="311"/>
      <c r="P38" s="311"/>
      <c r="Q38" s="311"/>
      <c r="R38" s="311"/>
    </row>
    <row r="39" spans="2:18" s="327" customFormat="1">
      <c r="B39" s="351"/>
      <c r="G39" s="311"/>
      <c r="H39" s="326"/>
      <c r="I39" s="326"/>
      <c r="J39" s="311"/>
      <c r="K39" s="311"/>
      <c r="L39" s="311"/>
      <c r="M39" s="311"/>
      <c r="N39" s="311"/>
      <c r="O39" s="311"/>
      <c r="P39" s="311"/>
      <c r="Q39" s="311"/>
      <c r="R39" s="311"/>
    </row>
    <row r="40" spans="2:18" s="327" customFormat="1">
      <c r="B40" s="351"/>
      <c r="G40" s="311"/>
      <c r="H40" s="326"/>
      <c r="I40" s="326"/>
      <c r="J40" s="311"/>
      <c r="K40" s="311"/>
      <c r="L40" s="311"/>
      <c r="M40" s="311"/>
      <c r="N40" s="311"/>
      <c r="O40" s="311"/>
      <c r="P40" s="311"/>
      <c r="Q40" s="311"/>
      <c r="R40" s="311"/>
    </row>
    <row r="41" spans="2:18" s="327" customFormat="1">
      <c r="B41" s="351"/>
      <c r="G41" s="311"/>
      <c r="H41" s="326"/>
      <c r="I41" s="326"/>
      <c r="J41" s="311"/>
      <c r="K41" s="311"/>
      <c r="L41" s="311"/>
      <c r="M41" s="311"/>
      <c r="N41" s="311"/>
      <c r="O41" s="311"/>
      <c r="P41" s="311"/>
      <c r="Q41" s="311"/>
      <c r="R41" s="311"/>
    </row>
    <row r="42" spans="2:18" s="327" customFormat="1">
      <c r="B42" s="351"/>
      <c r="G42" s="311"/>
      <c r="H42" s="326"/>
      <c r="I42" s="326"/>
      <c r="J42" s="311"/>
      <c r="K42" s="311"/>
      <c r="L42" s="311"/>
      <c r="M42" s="311"/>
      <c r="N42" s="311"/>
      <c r="O42" s="311"/>
      <c r="P42" s="311"/>
      <c r="Q42" s="311"/>
      <c r="R42" s="311"/>
    </row>
    <row r="43" spans="2:18" s="327" customFormat="1">
      <c r="B43" s="351"/>
      <c r="G43" s="311"/>
      <c r="H43" s="326"/>
      <c r="I43" s="326"/>
      <c r="J43" s="311"/>
      <c r="K43" s="311"/>
      <c r="L43" s="311"/>
      <c r="M43" s="311"/>
      <c r="N43" s="311"/>
      <c r="O43" s="311"/>
      <c r="P43" s="311"/>
      <c r="Q43" s="311"/>
      <c r="R43" s="311"/>
    </row>
    <row r="44" spans="2:18" s="327" customFormat="1">
      <c r="B44" s="351"/>
      <c r="G44" s="311"/>
      <c r="H44" s="326"/>
      <c r="I44" s="326"/>
      <c r="J44" s="311"/>
      <c r="K44" s="311"/>
      <c r="L44" s="311"/>
      <c r="M44" s="311"/>
      <c r="N44" s="311"/>
      <c r="O44" s="311"/>
      <c r="P44" s="311"/>
      <c r="Q44" s="311"/>
      <c r="R44" s="311"/>
    </row>
    <row r="45" spans="2:18" s="327" customFormat="1">
      <c r="B45" s="351"/>
      <c r="G45" s="311"/>
      <c r="H45" s="326"/>
      <c r="I45" s="326"/>
      <c r="J45" s="311"/>
      <c r="K45" s="311"/>
      <c r="L45" s="311"/>
      <c r="M45" s="311"/>
      <c r="N45" s="311"/>
      <c r="O45" s="311"/>
      <c r="P45" s="311"/>
      <c r="Q45" s="311"/>
      <c r="R45" s="311"/>
    </row>
    <row r="46" spans="2:18" s="327" customFormat="1">
      <c r="B46" s="351"/>
      <c r="G46" s="311"/>
      <c r="H46" s="326"/>
      <c r="I46" s="326"/>
      <c r="J46" s="311"/>
      <c r="K46" s="311"/>
      <c r="L46" s="311"/>
      <c r="M46" s="311"/>
      <c r="N46" s="311"/>
      <c r="O46" s="311"/>
      <c r="P46" s="311"/>
      <c r="Q46" s="311"/>
      <c r="R46" s="311"/>
    </row>
    <row r="47" spans="2:18" s="327" customFormat="1">
      <c r="B47" s="351"/>
      <c r="G47" s="311"/>
      <c r="H47" s="326"/>
      <c r="I47" s="326"/>
      <c r="J47" s="311"/>
      <c r="K47" s="311"/>
      <c r="L47" s="311"/>
      <c r="M47" s="311"/>
      <c r="N47" s="311"/>
      <c r="O47" s="311"/>
      <c r="P47" s="311"/>
      <c r="Q47" s="311"/>
      <c r="R47" s="311"/>
    </row>
    <row r="48" spans="2:18" s="327" customFormat="1">
      <c r="B48" s="351"/>
      <c r="G48" s="311"/>
      <c r="H48" s="326"/>
      <c r="I48" s="326"/>
      <c r="J48" s="311"/>
      <c r="K48" s="311"/>
      <c r="L48" s="311"/>
      <c r="M48" s="311"/>
      <c r="N48" s="311"/>
      <c r="O48" s="311"/>
      <c r="P48" s="311"/>
      <c r="Q48" s="311"/>
      <c r="R48" s="311"/>
    </row>
    <row r="49" spans="2:18" s="327" customFormat="1">
      <c r="B49" s="351"/>
      <c r="G49" s="311"/>
      <c r="H49" s="326"/>
      <c r="I49" s="326"/>
      <c r="J49" s="311"/>
      <c r="K49" s="311"/>
      <c r="L49" s="311"/>
      <c r="M49" s="311"/>
      <c r="N49" s="311"/>
      <c r="O49" s="311"/>
      <c r="P49" s="311"/>
      <c r="Q49" s="311"/>
      <c r="R49" s="311"/>
    </row>
    <row r="50" spans="2:18" s="327" customFormat="1">
      <c r="B50" s="351"/>
      <c r="G50" s="311"/>
      <c r="H50" s="326"/>
      <c r="I50" s="326"/>
      <c r="J50" s="311"/>
      <c r="K50" s="311"/>
      <c r="L50" s="311"/>
      <c r="M50" s="311"/>
      <c r="N50" s="311"/>
      <c r="O50" s="311"/>
      <c r="P50" s="311"/>
      <c r="Q50" s="311"/>
      <c r="R50" s="311"/>
    </row>
    <row r="51" spans="2:18" s="327" customFormat="1">
      <c r="B51" s="351"/>
      <c r="G51" s="311"/>
      <c r="H51" s="326"/>
      <c r="I51" s="326"/>
      <c r="J51" s="311"/>
      <c r="K51" s="311"/>
      <c r="L51" s="311"/>
      <c r="M51" s="311"/>
      <c r="N51" s="311"/>
      <c r="O51" s="311"/>
      <c r="P51" s="311"/>
      <c r="Q51" s="311"/>
      <c r="R51" s="311"/>
    </row>
    <row r="52" spans="2:18" s="327" customFormat="1">
      <c r="B52" s="351"/>
      <c r="G52" s="311"/>
      <c r="H52" s="326"/>
      <c r="I52" s="326"/>
      <c r="J52" s="311"/>
      <c r="K52" s="311"/>
      <c r="L52" s="311"/>
      <c r="M52" s="311"/>
      <c r="N52" s="311"/>
      <c r="O52" s="311"/>
      <c r="P52" s="311"/>
      <c r="Q52" s="311"/>
      <c r="R52" s="311"/>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0070C0"/>
  </sheetPr>
  <dimension ref="A1:I55"/>
  <sheetViews>
    <sheetView workbookViewId="0">
      <selection sqref="A1:XFD1048576"/>
    </sheetView>
  </sheetViews>
  <sheetFormatPr defaultColWidth="8.77734375" defaultRowHeight="13.8"/>
  <cols>
    <col min="1" max="1" width="10.21875" style="316" customWidth="1"/>
    <col min="2" max="2" width="88.77734375" style="316" customWidth="1"/>
    <col min="3" max="3" width="24.6640625" style="316" customWidth="1"/>
    <col min="4" max="4" width="21.44140625" style="316" customWidth="1"/>
    <col min="5" max="5" width="57.21875" style="349" customWidth="1"/>
    <col min="6" max="6" width="80.44140625" style="316" customWidth="1"/>
    <col min="7" max="7" width="21.44140625" style="311" customWidth="1"/>
    <col min="8" max="9" width="8.77734375" style="311"/>
    <col min="10" max="16384" width="8.77734375" style="316"/>
  </cols>
  <sheetData>
    <row r="1" spans="1:9" s="333" customFormat="1" ht="25.8">
      <c r="A1" s="308" t="s">
        <v>1783</v>
      </c>
      <c r="B1" s="309"/>
      <c r="C1" s="310"/>
      <c r="D1" s="309"/>
      <c r="E1" s="312"/>
      <c r="F1" s="309"/>
      <c r="G1" s="311"/>
      <c r="H1" s="311"/>
      <c r="I1" s="311"/>
    </row>
    <row r="2" spans="1:9" s="136" customFormat="1" ht="25.8">
      <c r="A2" s="308" t="s">
        <v>1784</v>
      </c>
      <c r="B2" s="309"/>
      <c r="C2" s="310"/>
      <c r="D2" s="309"/>
      <c r="E2" s="312"/>
      <c r="F2" s="309"/>
      <c r="G2" s="311"/>
      <c r="H2" s="311"/>
      <c r="I2" s="311"/>
    </row>
    <row r="3" spans="1:9" s="136" customFormat="1">
      <c r="A3" s="312" t="s">
        <v>23</v>
      </c>
      <c r="B3" s="309" t="s">
        <v>1785</v>
      </c>
      <c r="C3" s="309"/>
      <c r="D3" s="309"/>
      <c r="E3" s="312"/>
      <c r="F3" s="309"/>
      <c r="G3" s="311"/>
      <c r="H3" s="311"/>
      <c r="I3" s="311"/>
    </row>
    <row r="4" spans="1:9" s="134" customFormat="1">
      <c r="A4" s="312" t="s">
        <v>1646</v>
      </c>
      <c r="B4" s="309" t="s">
        <v>1786</v>
      </c>
      <c r="C4" s="309"/>
      <c r="D4" s="309"/>
      <c r="E4" s="312"/>
      <c r="F4" s="309"/>
      <c r="G4" s="311"/>
      <c r="H4" s="311"/>
      <c r="I4" s="311"/>
    </row>
    <row r="5" spans="1:9" s="333" customFormat="1">
      <c r="A5" s="309" t="s">
        <v>25</v>
      </c>
      <c r="B5" s="309" t="s">
        <v>689</v>
      </c>
      <c r="C5" s="309"/>
      <c r="D5" s="309"/>
      <c r="E5" s="312"/>
      <c r="F5" s="309"/>
      <c r="G5" s="311"/>
      <c r="H5" s="311"/>
      <c r="I5" s="311"/>
    </row>
    <row r="6" spans="1:9" s="333" customFormat="1">
      <c r="A6" s="309" t="s">
        <v>1648</v>
      </c>
      <c r="B6" s="309" t="s">
        <v>1787</v>
      </c>
      <c r="C6" s="309"/>
      <c r="D6" s="309"/>
      <c r="E6" s="312"/>
      <c r="F6" s="309"/>
      <c r="G6" s="311"/>
      <c r="H6" s="311"/>
      <c r="I6" s="311"/>
    </row>
    <row r="7" spans="1:9" s="136" customFormat="1">
      <c r="A7" s="316"/>
      <c r="B7" s="316"/>
      <c r="C7" s="316"/>
      <c r="D7" s="316"/>
      <c r="E7" s="349"/>
      <c r="F7" s="316"/>
      <c r="G7" s="311"/>
      <c r="H7" s="311"/>
      <c r="I7" s="311"/>
    </row>
    <row r="8" spans="1:9" s="136" customFormat="1">
      <c r="A8" s="337"/>
      <c r="B8" s="337"/>
      <c r="C8" s="337" t="s">
        <v>65</v>
      </c>
      <c r="D8" s="337" t="s">
        <v>54</v>
      </c>
      <c r="E8" s="350" t="s">
        <v>86</v>
      </c>
      <c r="F8" s="337" t="s">
        <v>1495</v>
      </c>
      <c r="G8" s="337" t="s">
        <v>1409</v>
      </c>
      <c r="H8" s="309"/>
      <c r="I8" s="309"/>
    </row>
    <row r="9" spans="1:9" s="134" customFormat="1">
      <c r="A9" s="329" t="s">
        <v>27</v>
      </c>
      <c r="B9" s="329"/>
      <c r="C9" s="330"/>
      <c r="D9" s="330"/>
      <c r="E9" s="330"/>
      <c r="F9" s="330"/>
      <c r="G9" s="331"/>
      <c r="H9" s="332"/>
      <c r="I9" s="332"/>
    </row>
    <row r="10" spans="1:9" s="333" customFormat="1" ht="173.25" customHeight="1">
      <c r="A10" s="20" t="s">
        <v>690</v>
      </c>
      <c r="B10" s="20" t="s">
        <v>1788</v>
      </c>
      <c r="C10" s="334" t="s">
        <v>1789</v>
      </c>
      <c r="D10" s="334" t="s">
        <v>1790</v>
      </c>
      <c r="E10" s="334" t="s">
        <v>1791</v>
      </c>
      <c r="F10" s="334"/>
      <c r="G10" s="335"/>
      <c r="H10" s="332"/>
      <c r="I10" s="332"/>
    </row>
    <row r="11" spans="1:9" s="136" customFormat="1">
      <c r="A11" s="329" t="s">
        <v>28</v>
      </c>
      <c r="B11" s="329"/>
      <c r="C11" s="330"/>
      <c r="D11" s="330"/>
      <c r="E11" s="330"/>
      <c r="F11" s="330"/>
      <c r="G11" s="331"/>
      <c r="H11" s="332"/>
      <c r="I11" s="332"/>
    </row>
    <row r="12" spans="1:9" s="136" customFormat="1" ht="193.2">
      <c r="A12" s="20" t="s">
        <v>691</v>
      </c>
      <c r="B12" s="20" t="s">
        <v>1792</v>
      </c>
      <c r="C12" s="334" t="s">
        <v>1793</v>
      </c>
      <c r="D12" s="334" t="s">
        <v>1794</v>
      </c>
      <c r="E12" s="334" t="s">
        <v>1795</v>
      </c>
      <c r="F12" s="334"/>
      <c r="G12" s="335"/>
      <c r="H12" s="332"/>
      <c r="I12" s="332"/>
    </row>
    <row r="13" spans="1:9" s="134" customFormat="1" ht="165.6">
      <c r="A13" s="20" t="s">
        <v>692</v>
      </c>
      <c r="B13" s="20" t="s">
        <v>1796</v>
      </c>
      <c r="C13" s="334" t="s">
        <v>1797</v>
      </c>
      <c r="D13" s="334" t="s">
        <v>1798</v>
      </c>
      <c r="E13" s="334" t="s">
        <v>1799</v>
      </c>
      <c r="F13" s="334"/>
      <c r="G13" s="335"/>
      <c r="H13" s="332"/>
      <c r="I13" s="332"/>
    </row>
    <row r="14" spans="1:9" s="333" customFormat="1">
      <c r="A14" s="329" t="s">
        <v>29</v>
      </c>
      <c r="B14" s="329"/>
      <c r="C14" s="330"/>
      <c r="D14" s="330"/>
      <c r="E14" s="330" t="s">
        <v>1504</v>
      </c>
      <c r="F14" s="330"/>
      <c r="G14" s="331"/>
      <c r="H14" s="332"/>
      <c r="I14" s="332"/>
    </row>
    <row r="15" spans="1:9" s="136" customFormat="1" ht="179.4">
      <c r="A15" s="20" t="s">
        <v>693</v>
      </c>
      <c r="B15" s="20" t="s">
        <v>1800</v>
      </c>
      <c r="C15" s="334" t="s">
        <v>1801</v>
      </c>
      <c r="D15" s="334" t="s">
        <v>1802</v>
      </c>
      <c r="E15" s="334" t="s">
        <v>1803</v>
      </c>
      <c r="F15" s="334"/>
      <c r="G15" s="335"/>
      <c r="H15" s="332"/>
      <c r="I15" s="332"/>
    </row>
    <row r="16" spans="1:9" s="134" customFormat="1" ht="179.4">
      <c r="A16" s="20" t="s">
        <v>694</v>
      </c>
      <c r="B16" s="20" t="s">
        <v>1804</v>
      </c>
      <c r="C16" s="334" t="s">
        <v>1805</v>
      </c>
      <c r="D16" s="334" t="s">
        <v>1806</v>
      </c>
      <c r="E16" s="334" t="s">
        <v>1807</v>
      </c>
      <c r="F16" s="334"/>
      <c r="G16" s="335"/>
      <c r="H16" s="332"/>
      <c r="I16" s="332"/>
    </row>
    <row r="17" spans="1:9" s="333" customFormat="1" ht="179.4">
      <c r="A17" s="20" t="s">
        <v>695</v>
      </c>
      <c r="B17" s="20" t="s">
        <v>1808</v>
      </c>
      <c r="C17" s="334" t="s">
        <v>1809</v>
      </c>
      <c r="D17" s="334" t="s">
        <v>1810</v>
      </c>
      <c r="E17" s="334" t="s">
        <v>1811</v>
      </c>
      <c r="F17" s="334"/>
      <c r="G17" s="335"/>
      <c r="H17" s="332"/>
      <c r="I17" s="332"/>
    </row>
    <row r="18" spans="1:9" s="136" customFormat="1" ht="165.6">
      <c r="A18" s="20" t="s">
        <v>696</v>
      </c>
      <c r="B18" s="20" t="s">
        <v>1812</v>
      </c>
      <c r="C18" s="334" t="s">
        <v>1813</v>
      </c>
      <c r="D18" s="334" t="s">
        <v>1814</v>
      </c>
      <c r="E18" s="334" t="s">
        <v>1815</v>
      </c>
      <c r="F18" s="334"/>
      <c r="G18" s="335"/>
      <c r="H18" s="332"/>
      <c r="I18" s="332"/>
    </row>
    <row r="19" spans="1:9" s="136" customFormat="1" ht="193.2">
      <c r="A19" s="20" t="s">
        <v>697</v>
      </c>
      <c r="B19" s="20" t="s">
        <v>1816</v>
      </c>
      <c r="C19" s="334" t="s">
        <v>1817</v>
      </c>
      <c r="D19" s="334" t="s">
        <v>1818</v>
      </c>
      <c r="E19" s="334" t="s">
        <v>1819</v>
      </c>
      <c r="F19" s="334"/>
      <c r="G19" s="335"/>
      <c r="H19" s="332"/>
      <c r="I19" s="332"/>
    </row>
    <row r="20" spans="1:9" s="134" customFormat="1" ht="220.8">
      <c r="A20" s="20" t="s">
        <v>698</v>
      </c>
      <c r="B20" s="20" t="s">
        <v>1820</v>
      </c>
      <c r="C20" s="334" t="s">
        <v>1821</v>
      </c>
      <c r="D20" s="334" t="s">
        <v>1822</v>
      </c>
      <c r="E20" s="334" t="s">
        <v>1823</v>
      </c>
      <c r="F20" s="334"/>
      <c r="G20" s="335"/>
      <c r="H20" s="332"/>
      <c r="I20" s="332"/>
    </row>
    <row r="21" spans="1:9" s="326" customFormat="1">
      <c r="E21" s="333"/>
      <c r="G21" s="311"/>
      <c r="H21" s="311"/>
      <c r="I21" s="311"/>
    </row>
    <row r="22" spans="1:9" s="326" customFormat="1">
      <c r="E22" s="333"/>
      <c r="G22" s="311"/>
      <c r="H22" s="311"/>
      <c r="I22" s="311"/>
    </row>
    <row r="23" spans="1:9" s="326" customFormat="1">
      <c r="E23" s="333"/>
      <c r="G23" s="311"/>
      <c r="H23" s="311"/>
      <c r="I23" s="311"/>
    </row>
    <row r="24" spans="1:9" s="326" customFormat="1">
      <c r="E24" s="333"/>
      <c r="G24" s="311"/>
      <c r="H24" s="311"/>
      <c r="I24" s="311"/>
    </row>
    <row r="25" spans="1:9" s="326" customFormat="1">
      <c r="E25" s="333"/>
      <c r="G25" s="311"/>
      <c r="H25" s="311"/>
      <c r="I25" s="311"/>
    </row>
    <row r="26" spans="1:9" s="326" customFormat="1">
      <c r="E26" s="333"/>
      <c r="G26" s="311"/>
      <c r="H26" s="311"/>
      <c r="I26" s="311"/>
    </row>
    <row r="27" spans="1:9" s="326" customFormat="1">
      <c r="E27" s="333"/>
      <c r="G27" s="311"/>
      <c r="H27" s="311"/>
      <c r="I27" s="311"/>
    </row>
    <row r="28" spans="1:9" s="326" customFormat="1">
      <c r="E28" s="333"/>
      <c r="G28" s="311"/>
      <c r="H28" s="311"/>
      <c r="I28" s="311"/>
    </row>
    <row r="29" spans="1:9" s="326" customFormat="1">
      <c r="E29" s="333"/>
      <c r="G29" s="311"/>
      <c r="H29" s="311"/>
      <c r="I29" s="311"/>
    </row>
    <row r="30" spans="1:9" s="326" customFormat="1">
      <c r="E30" s="333"/>
      <c r="G30" s="311"/>
      <c r="H30" s="311"/>
      <c r="I30" s="311"/>
    </row>
    <row r="31" spans="1:9" s="326" customFormat="1">
      <c r="E31" s="333"/>
      <c r="G31" s="311"/>
      <c r="H31" s="311"/>
      <c r="I31" s="311"/>
    </row>
    <row r="32" spans="1:9" s="326" customFormat="1">
      <c r="E32" s="333"/>
      <c r="G32" s="311"/>
      <c r="H32" s="311"/>
      <c r="I32" s="311"/>
    </row>
    <row r="33" spans="5:9" s="326" customFormat="1">
      <c r="E33" s="333"/>
      <c r="G33" s="311"/>
      <c r="H33" s="311"/>
      <c r="I33" s="311"/>
    </row>
    <row r="34" spans="5:9" s="326" customFormat="1">
      <c r="E34" s="333"/>
      <c r="G34" s="311"/>
      <c r="H34" s="311"/>
      <c r="I34" s="311"/>
    </row>
    <row r="35" spans="5:9" s="327" customFormat="1">
      <c r="E35" s="351"/>
      <c r="G35" s="311"/>
      <c r="H35" s="311"/>
      <c r="I35" s="311"/>
    </row>
    <row r="36" spans="5:9" s="327" customFormat="1">
      <c r="E36" s="351"/>
      <c r="G36" s="311"/>
      <c r="H36" s="311"/>
      <c r="I36" s="311"/>
    </row>
    <row r="37" spans="5:9" s="327" customFormat="1">
      <c r="E37" s="351"/>
      <c r="G37" s="311"/>
      <c r="H37" s="311"/>
      <c r="I37" s="311"/>
    </row>
    <row r="38" spans="5:9" s="327" customFormat="1">
      <c r="E38" s="351"/>
      <c r="G38" s="311"/>
      <c r="H38" s="311"/>
      <c r="I38" s="311"/>
    </row>
    <row r="39" spans="5:9" s="327" customFormat="1">
      <c r="E39" s="351"/>
      <c r="G39" s="311"/>
      <c r="H39" s="311"/>
      <c r="I39" s="311"/>
    </row>
    <row r="40" spans="5:9" s="327" customFormat="1">
      <c r="E40" s="351"/>
      <c r="G40" s="311"/>
      <c r="H40" s="311"/>
      <c r="I40" s="311"/>
    </row>
    <row r="41" spans="5:9" s="327" customFormat="1">
      <c r="E41" s="351"/>
      <c r="G41" s="311"/>
      <c r="H41" s="311"/>
      <c r="I41" s="311"/>
    </row>
    <row r="42" spans="5:9" s="327" customFormat="1">
      <c r="E42" s="351"/>
      <c r="G42" s="311"/>
      <c r="H42" s="311"/>
      <c r="I42" s="311"/>
    </row>
    <row r="43" spans="5:9" s="327" customFormat="1">
      <c r="E43" s="351"/>
      <c r="G43" s="311"/>
      <c r="H43" s="311"/>
      <c r="I43" s="311"/>
    </row>
    <row r="44" spans="5:9" s="327" customFormat="1">
      <c r="E44" s="351"/>
      <c r="G44" s="311"/>
      <c r="H44" s="311"/>
      <c r="I44" s="311"/>
    </row>
    <row r="45" spans="5:9" s="327" customFormat="1">
      <c r="E45" s="351"/>
      <c r="G45" s="311"/>
      <c r="H45" s="311"/>
      <c r="I45" s="311"/>
    </row>
    <row r="46" spans="5:9" s="327" customFormat="1">
      <c r="E46" s="351"/>
      <c r="G46" s="311"/>
      <c r="H46" s="311"/>
      <c r="I46" s="311"/>
    </row>
    <row r="47" spans="5:9" s="327" customFormat="1">
      <c r="E47" s="351"/>
      <c r="G47" s="311"/>
      <c r="H47" s="311"/>
      <c r="I47" s="311"/>
    </row>
    <row r="48" spans="5:9" s="327" customFormat="1">
      <c r="E48" s="351"/>
      <c r="G48" s="311"/>
      <c r="H48" s="311"/>
      <c r="I48" s="311"/>
    </row>
    <row r="49" spans="5:9" s="327" customFormat="1">
      <c r="E49" s="351"/>
      <c r="G49" s="311"/>
      <c r="H49" s="311"/>
      <c r="I49" s="311"/>
    </row>
    <row r="50" spans="5:9" s="327" customFormat="1">
      <c r="E50" s="351"/>
      <c r="G50" s="311"/>
      <c r="H50" s="311"/>
      <c r="I50" s="311"/>
    </row>
    <row r="51" spans="5:9" s="327" customFormat="1">
      <c r="E51" s="351"/>
      <c r="G51" s="311"/>
      <c r="H51" s="311"/>
      <c r="I51" s="311"/>
    </row>
    <row r="52" spans="5:9" s="327" customFormat="1">
      <c r="E52" s="351"/>
      <c r="G52" s="311"/>
      <c r="H52" s="311"/>
      <c r="I52" s="311"/>
    </row>
    <row r="53" spans="5:9" s="327" customFormat="1">
      <c r="E53" s="351"/>
      <c r="G53" s="311"/>
      <c r="H53" s="311"/>
      <c r="I53" s="311"/>
    </row>
    <row r="54" spans="5:9" s="327" customFormat="1">
      <c r="E54" s="351"/>
      <c r="G54" s="311"/>
      <c r="H54" s="311"/>
      <c r="I54" s="311"/>
    </row>
    <row r="55" spans="5:9" s="327" customFormat="1">
      <c r="E55" s="351"/>
      <c r="G55" s="311"/>
      <c r="H55" s="311"/>
      <c r="I55" s="311"/>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0070C0"/>
  </sheetPr>
  <dimension ref="A1:R64"/>
  <sheetViews>
    <sheetView topLeftCell="A12" workbookViewId="0">
      <selection activeCell="A12" sqref="A1:XFD1048576"/>
    </sheetView>
  </sheetViews>
  <sheetFormatPr defaultColWidth="8.77734375" defaultRowHeight="13.8"/>
  <cols>
    <col min="1" max="1" width="10.21875" style="316" customWidth="1"/>
    <col min="2" max="2" width="58.21875" style="316" customWidth="1"/>
    <col min="3" max="4" width="21.44140625" style="316" customWidth="1"/>
    <col min="5" max="6" width="37.44140625" style="316" customWidth="1"/>
    <col min="7" max="7" width="21.44140625" style="311" customWidth="1"/>
    <col min="8" max="18" width="8.77734375" style="311"/>
    <col min="19" max="16384" width="8.77734375" style="316"/>
  </cols>
  <sheetData>
    <row r="1" spans="1:18" s="134" customFormat="1" ht="25.8">
      <c r="A1" s="308" t="s">
        <v>1824</v>
      </c>
      <c r="B1" s="309"/>
      <c r="C1" s="310"/>
      <c r="D1" s="309"/>
      <c r="E1" s="309"/>
      <c r="F1" s="309"/>
      <c r="G1" s="311"/>
      <c r="H1" s="311"/>
      <c r="I1" s="311"/>
      <c r="J1" s="311"/>
      <c r="K1" s="311"/>
      <c r="L1" s="311"/>
      <c r="M1" s="311"/>
      <c r="N1" s="311"/>
      <c r="O1" s="311"/>
      <c r="P1" s="311"/>
      <c r="Q1" s="311"/>
      <c r="R1" s="311"/>
    </row>
    <row r="2" spans="1:18" s="333" customFormat="1" ht="25.8">
      <c r="A2" s="308" t="s">
        <v>1825</v>
      </c>
      <c r="B2" s="309"/>
      <c r="C2" s="310"/>
      <c r="D2" s="309"/>
      <c r="E2" s="309"/>
      <c r="F2" s="309"/>
      <c r="G2" s="311"/>
      <c r="H2" s="311"/>
      <c r="I2" s="311"/>
      <c r="J2" s="311"/>
      <c r="K2" s="311"/>
      <c r="L2" s="311"/>
      <c r="M2" s="311"/>
      <c r="N2" s="311"/>
      <c r="O2" s="311"/>
      <c r="P2" s="311"/>
      <c r="Q2" s="311"/>
      <c r="R2" s="311"/>
    </row>
    <row r="3" spans="1:18" s="333" customFormat="1">
      <c r="A3" s="312" t="s">
        <v>23</v>
      </c>
      <c r="B3" s="309" t="s">
        <v>1826</v>
      </c>
      <c r="C3" s="309"/>
      <c r="D3" s="309"/>
      <c r="E3" s="309"/>
      <c r="F3" s="309"/>
      <c r="G3" s="311"/>
      <c r="H3" s="311"/>
      <c r="I3" s="311"/>
      <c r="J3" s="311"/>
      <c r="K3" s="311"/>
      <c r="L3" s="311"/>
      <c r="M3" s="311"/>
      <c r="N3" s="311"/>
      <c r="O3" s="311"/>
      <c r="P3" s="311"/>
      <c r="Q3" s="311"/>
      <c r="R3" s="311"/>
    </row>
    <row r="4" spans="1:18" s="136" customFormat="1">
      <c r="A4" s="312" t="s">
        <v>1646</v>
      </c>
      <c r="B4" s="309" t="s">
        <v>1827</v>
      </c>
      <c r="C4" s="309"/>
      <c r="D4" s="309"/>
      <c r="E4" s="309"/>
      <c r="F4" s="309"/>
      <c r="G4" s="311"/>
      <c r="H4" s="311"/>
      <c r="I4" s="311"/>
      <c r="J4" s="311"/>
      <c r="K4" s="311"/>
      <c r="L4" s="311"/>
      <c r="M4" s="311"/>
      <c r="N4" s="311"/>
      <c r="O4" s="311"/>
      <c r="P4" s="311"/>
      <c r="Q4" s="311"/>
      <c r="R4" s="311"/>
    </row>
    <row r="5" spans="1:18" s="333" customFormat="1">
      <c r="A5" s="309" t="s">
        <v>25</v>
      </c>
      <c r="B5" s="309" t="s">
        <v>1828</v>
      </c>
      <c r="C5" s="309"/>
      <c r="D5" s="309"/>
      <c r="E5" s="309"/>
      <c r="F5" s="309"/>
      <c r="G5" s="311"/>
      <c r="H5" s="311"/>
      <c r="I5" s="311"/>
      <c r="J5" s="311"/>
      <c r="K5" s="311"/>
      <c r="L5" s="311"/>
      <c r="M5" s="311"/>
      <c r="N5" s="311"/>
      <c r="O5" s="311"/>
      <c r="P5" s="311"/>
      <c r="Q5" s="311"/>
      <c r="R5" s="311"/>
    </row>
    <row r="6" spans="1:18" s="136" customFormat="1">
      <c r="A6" s="309" t="s">
        <v>1648</v>
      </c>
      <c r="B6" s="309" t="s">
        <v>1829</v>
      </c>
      <c r="C6" s="309"/>
      <c r="D6" s="309"/>
      <c r="E6" s="309"/>
      <c r="F6" s="309"/>
      <c r="G6" s="311"/>
      <c r="H6" s="311"/>
      <c r="I6" s="311"/>
      <c r="J6" s="311"/>
      <c r="K6" s="311"/>
      <c r="L6" s="311"/>
      <c r="M6" s="311"/>
      <c r="N6" s="311"/>
      <c r="O6" s="311"/>
      <c r="P6" s="311"/>
      <c r="Q6" s="311"/>
      <c r="R6" s="311"/>
    </row>
    <row r="7" spans="1:18" s="136" customFormat="1">
      <c r="A7" s="316"/>
      <c r="B7" s="316"/>
      <c r="C7" s="316"/>
      <c r="D7" s="316"/>
      <c r="E7" s="309"/>
      <c r="F7" s="309"/>
      <c r="G7" s="346" t="e">
        <f>CONCATENATE(#REF!," | ",#REF!," | ",#REF!)</f>
        <v>#REF!</v>
      </c>
      <c r="H7" s="311"/>
      <c r="I7" s="311"/>
      <c r="J7" s="311"/>
      <c r="K7" s="311"/>
      <c r="L7" s="311"/>
      <c r="M7" s="311"/>
      <c r="N7" s="311"/>
      <c r="O7" s="311"/>
      <c r="P7" s="311"/>
      <c r="Q7" s="311"/>
      <c r="R7" s="311"/>
    </row>
    <row r="8" spans="1:18" s="90"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312" customFormat="1">
      <c r="A9" s="317" t="s">
        <v>27</v>
      </c>
      <c r="B9" s="317"/>
      <c r="C9" s="318"/>
      <c r="D9" s="318"/>
      <c r="E9" s="318"/>
      <c r="F9" s="318"/>
      <c r="G9" s="318"/>
    </row>
    <row r="10" spans="1:18" s="145" customFormat="1" ht="132" customHeight="1">
      <c r="A10" s="3" t="s">
        <v>168</v>
      </c>
      <c r="B10" s="3" t="s">
        <v>1830</v>
      </c>
      <c r="C10" s="323" t="s">
        <v>1831</v>
      </c>
      <c r="D10" s="323" t="s">
        <v>1832</v>
      </c>
      <c r="E10" s="323" t="s">
        <v>1833</v>
      </c>
      <c r="F10" s="323"/>
      <c r="G10" s="3"/>
      <c r="H10" s="312"/>
      <c r="I10" s="312"/>
      <c r="J10" s="312"/>
      <c r="K10" s="312"/>
      <c r="L10" s="312"/>
      <c r="M10" s="312"/>
      <c r="N10" s="312"/>
      <c r="O10" s="312"/>
      <c r="P10" s="312"/>
      <c r="Q10" s="312"/>
      <c r="R10" s="312"/>
    </row>
    <row r="11" spans="1:18" s="145" customFormat="1">
      <c r="A11" s="317" t="s">
        <v>28</v>
      </c>
      <c r="B11" s="317"/>
      <c r="C11" s="318"/>
      <c r="D11" s="318"/>
      <c r="E11" s="318"/>
      <c r="F11" s="318"/>
      <c r="G11" s="318"/>
      <c r="H11" s="312"/>
      <c r="I11" s="312"/>
      <c r="J11" s="312"/>
      <c r="K11" s="312"/>
      <c r="L11" s="312"/>
      <c r="M11" s="312"/>
      <c r="N11" s="312"/>
      <c r="O11" s="312"/>
      <c r="P11" s="312"/>
      <c r="Q11" s="312"/>
      <c r="R11" s="312"/>
    </row>
    <row r="12" spans="1:18" s="90" customFormat="1" ht="165" customHeight="1">
      <c r="A12" s="3" t="s">
        <v>169</v>
      </c>
      <c r="B12" s="3" t="s">
        <v>1834</v>
      </c>
      <c r="C12" s="323" t="s">
        <v>1835</v>
      </c>
      <c r="D12" s="323" t="s">
        <v>1836</v>
      </c>
      <c r="E12" s="323" t="s">
        <v>1837</v>
      </c>
      <c r="F12" s="323"/>
      <c r="G12" s="3"/>
      <c r="H12" s="312"/>
      <c r="I12" s="312"/>
      <c r="J12" s="312"/>
      <c r="K12" s="312"/>
      <c r="L12" s="312"/>
      <c r="M12" s="312"/>
      <c r="N12" s="312"/>
      <c r="O12" s="312"/>
      <c r="P12" s="312"/>
      <c r="Q12" s="312"/>
      <c r="R12" s="312"/>
    </row>
    <row r="13" spans="1:18" s="312" customFormat="1" ht="193.2">
      <c r="A13" s="3" t="s">
        <v>170</v>
      </c>
      <c r="B13" s="3" t="s">
        <v>1838</v>
      </c>
      <c r="C13" s="323" t="s">
        <v>1839</v>
      </c>
      <c r="D13" s="323" t="s">
        <v>1840</v>
      </c>
      <c r="E13" s="323" t="s">
        <v>1841</v>
      </c>
      <c r="F13" s="323"/>
      <c r="G13" s="3"/>
    </row>
    <row r="14" spans="1:18" s="312" customFormat="1" ht="207">
      <c r="A14" s="3" t="s">
        <v>171</v>
      </c>
      <c r="B14" s="3" t="s">
        <v>1842</v>
      </c>
      <c r="C14" s="323" t="s">
        <v>1843</v>
      </c>
      <c r="D14" s="323" t="s">
        <v>1844</v>
      </c>
      <c r="E14" s="323" t="s">
        <v>1845</v>
      </c>
      <c r="F14" s="323"/>
      <c r="G14" s="3"/>
    </row>
    <row r="15" spans="1:18" s="145" customFormat="1" ht="179.4">
      <c r="A15" s="3" t="s">
        <v>172</v>
      </c>
      <c r="B15" s="3" t="s">
        <v>1846</v>
      </c>
      <c r="C15" s="323" t="s">
        <v>1847</v>
      </c>
      <c r="D15" s="323" t="s">
        <v>1848</v>
      </c>
      <c r="E15" s="323" t="s">
        <v>1849</v>
      </c>
      <c r="F15" s="323"/>
      <c r="G15" s="3"/>
      <c r="H15" s="312"/>
      <c r="I15" s="312"/>
      <c r="J15" s="312"/>
      <c r="K15" s="312"/>
      <c r="L15" s="312"/>
      <c r="M15" s="312"/>
      <c r="N15" s="312"/>
      <c r="O15" s="312"/>
      <c r="P15" s="312"/>
      <c r="Q15" s="312"/>
      <c r="R15" s="312"/>
    </row>
    <row r="16" spans="1:18" s="145" customFormat="1">
      <c r="A16" s="317" t="s">
        <v>29</v>
      </c>
      <c r="B16" s="317"/>
      <c r="C16" s="318"/>
      <c r="D16" s="318"/>
      <c r="E16" s="318"/>
      <c r="F16" s="318"/>
      <c r="G16" s="318"/>
      <c r="H16" s="312"/>
      <c r="I16" s="312"/>
      <c r="J16" s="312"/>
      <c r="K16" s="312"/>
      <c r="L16" s="312"/>
      <c r="M16" s="312"/>
      <c r="N16" s="312"/>
      <c r="O16" s="312"/>
      <c r="P16" s="312"/>
      <c r="Q16" s="312"/>
      <c r="R16" s="312"/>
    </row>
    <row r="17" spans="1:18" s="90" customFormat="1" ht="101.25" customHeight="1">
      <c r="A17" s="3" t="s">
        <v>173</v>
      </c>
      <c r="B17" s="3" t="s">
        <v>1850</v>
      </c>
      <c r="C17" s="323" t="s">
        <v>1851</v>
      </c>
      <c r="D17" s="323" t="s">
        <v>1852</v>
      </c>
      <c r="E17" s="323" t="s">
        <v>1853</v>
      </c>
      <c r="F17" s="323"/>
      <c r="G17" s="3"/>
      <c r="H17" s="312"/>
      <c r="I17" s="312"/>
      <c r="J17" s="312"/>
      <c r="K17" s="312"/>
      <c r="L17" s="312"/>
      <c r="M17" s="312"/>
      <c r="N17" s="312"/>
      <c r="O17" s="312"/>
      <c r="P17" s="312"/>
      <c r="Q17" s="312"/>
      <c r="R17" s="312"/>
    </row>
    <row r="18" spans="1:18" s="326" customFormat="1">
      <c r="G18" s="311"/>
      <c r="H18" s="311"/>
      <c r="I18" s="311"/>
      <c r="J18" s="311"/>
      <c r="K18" s="311"/>
      <c r="L18" s="311"/>
      <c r="M18" s="311"/>
      <c r="N18" s="311"/>
      <c r="O18" s="311"/>
      <c r="P18" s="311"/>
      <c r="Q18" s="311"/>
      <c r="R18" s="311"/>
    </row>
    <row r="19" spans="1:18" s="326" customFormat="1">
      <c r="G19" s="311"/>
      <c r="H19" s="311"/>
      <c r="I19" s="311"/>
      <c r="J19" s="311"/>
      <c r="K19" s="311"/>
      <c r="L19" s="311"/>
      <c r="M19" s="311"/>
      <c r="N19" s="311"/>
      <c r="O19" s="311"/>
      <c r="P19" s="311"/>
      <c r="Q19" s="311"/>
      <c r="R19" s="311"/>
    </row>
    <row r="20" spans="1:18" s="326" customFormat="1">
      <c r="G20" s="311"/>
      <c r="H20" s="311"/>
      <c r="I20" s="311"/>
      <c r="J20" s="311"/>
      <c r="K20" s="311"/>
      <c r="L20" s="311"/>
      <c r="M20" s="311"/>
      <c r="N20" s="311"/>
      <c r="O20" s="311"/>
      <c r="P20" s="311"/>
      <c r="Q20" s="311"/>
      <c r="R20" s="311"/>
    </row>
    <row r="21" spans="1:18" s="326" customFormat="1">
      <c r="G21" s="311"/>
      <c r="H21" s="311"/>
      <c r="I21" s="311"/>
      <c r="J21" s="311"/>
      <c r="K21" s="311"/>
      <c r="L21" s="311"/>
      <c r="M21" s="311"/>
      <c r="N21" s="311"/>
      <c r="O21" s="311"/>
      <c r="P21" s="311"/>
      <c r="Q21" s="311"/>
      <c r="R21" s="311"/>
    </row>
    <row r="22" spans="1:18" s="326" customFormat="1">
      <c r="G22" s="311"/>
      <c r="H22" s="311"/>
      <c r="I22" s="311"/>
      <c r="J22" s="311"/>
      <c r="K22" s="311"/>
      <c r="L22" s="311"/>
      <c r="M22" s="311"/>
      <c r="N22" s="311"/>
      <c r="O22" s="311"/>
      <c r="P22" s="311"/>
      <c r="Q22" s="311"/>
      <c r="R22" s="311"/>
    </row>
    <row r="23" spans="1:18" s="326" customFormat="1">
      <c r="G23" s="311"/>
      <c r="H23" s="311"/>
      <c r="I23" s="311"/>
      <c r="J23" s="311"/>
      <c r="K23" s="311"/>
      <c r="L23" s="311"/>
      <c r="M23" s="311"/>
      <c r="N23" s="311"/>
      <c r="O23" s="311"/>
      <c r="P23" s="311"/>
      <c r="Q23" s="311"/>
      <c r="R23" s="311"/>
    </row>
    <row r="24" spans="1:18" s="326" customFormat="1">
      <c r="G24" s="311"/>
      <c r="H24" s="311"/>
      <c r="I24" s="311"/>
      <c r="J24" s="311"/>
      <c r="K24" s="311"/>
      <c r="L24" s="311"/>
      <c r="M24" s="311"/>
      <c r="N24" s="311"/>
      <c r="O24" s="311"/>
      <c r="P24" s="311"/>
      <c r="Q24" s="311"/>
      <c r="R24" s="311"/>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6" customFormat="1">
      <c r="G28" s="311"/>
      <c r="H28" s="311"/>
      <c r="I28" s="311"/>
      <c r="J28" s="311"/>
      <c r="K28" s="311"/>
      <c r="L28" s="311"/>
      <c r="M28" s="311"/>
      <c r="N28" s="311"/>
      <c r="O28" s="311"/>
      <c r="P28" s="311"/>
      <c r="Q28" s="311"/>
      <c r="R28" s="311"/>
    </row>
    <row r="29" spans="1:18" s="326" customFormat="1">
      <c r="G29" s="311"/>
      <c r="H29" s="311"/>
      <c r="I29" s="311"/>
      <c r="J29" s="311"/>
      <c r="K29" s="311"/>
      <c r="L29" s="311"/>
      <c r="M29" s="311"/>
      <c r="N29" s="311"/>
      <c r="O29" s="311"/>
      <c r="P29" s="311"/>
      <c r="Q29" s="311"/>
      <c r="R29" s="311"/>
    </row>
    <row r="30" spans="1:18" s="326" customFormat="1">
      <c r="G30" s="311"/>
      <c r="H30" s="311"/>
      <c r="I30" s="311"/>
      <c r="J30" s="311"/>
      <c r="K30" s="311"/>
      <c r="L30" s="311"/>
      <c r="M30" s="311"/>
      <c r="N30" s="311"/>
      <c r="O30" s="311"/>
      <c r="P30" s="311"/>
      <c r="Q30" s="311"/>
      <c r="R30" s="311"/>
    </row>
    <row r="31" spans="1:18" s="326" customFormat="1">
      <c r="G31" s="311"/>
      <c r="H31" s="311"/>
      <c r="I31" s="311"/>
      <c r="J31" s="311"/>
      <c r="K31" s="311"/>
      <c r="L31" s="311"/>
      <c r="M31" s="311"/>
      <c r="N31" s="311"/>
      <c r="O31" s="311"/>
      <c r="P31" s="311"/>
      <c r="Q31" s="311"/>
      <c r="R31" s="311"/>
    </row>
    <row r="32" spans="1:18" s="326" customFormat="1">
      <c r="G32" s="311"/>
      <c r="H32" s="311"/>
      <c r="I32" s="311"/>
      <c r="J32" s="311"/>
      <c r="K32" s="311"/>
      <c r="L32" s="311"/>
      <c r="M32" s="311"/>
      <c r="N32" s="311"/>
      <c r="O32" s="311"/>
      <c r="P32" s="311"/>
      <c r="Q32" s="311"/>
      <c r="R32" s="311"/>
    </row>
    <row r="33" spans="7:18" s="326" customFormat="1">
      <c r="G33" s="311"/>
      <c r="H33" s="311"/>
      <c r="I33" s="311"/>
      <c r="J33" s="311"/>
      <c r="K33" s="311"/>
      <c r="L33" s="311"/>
      <c r="M33" s="311"/>
      <c r="N33" s="311"/>
      <c r="O33" s="311"/>
      <c r="P33" s="311"/>
      <c r="Q33" s="311"/>
      <c r="R33" s="311"/>
    </row>
    <row r="34" spans="7:18" s="326" customFormat="1">
      <c r="G34" s="311"/>
      <c r="H34" s="311"/>
      <c r="I34" s="311"/>
      <c r="J34" s="311"/>
      <c r="K34" s="311"/>
      <c r="L34" s="311"/>
      <c r="M34" s="311"/>
      <c r="N34" s="311"/>
      <c r="O34" s="311"/>
      <c r="P34" s="311"/>
      <c r="Q34" s="311"/>
      <c r="R34" s="311"/>
    </row>
    <row r="35" spans="7:18" s="326" customFormat="1">
      <c r="G35" s="311"/>
      <c r="H35" s="311"/>
      <c r="I35" s="311"/>
      <c r="J35" s="311"/>
      <c r="K35" s="311"/>
      <c r="L35" s="311"/>
      <c r="M35" s="311"/>
      <c r="N35" s="311"/>
      <c r="O35" s="311"/>
      <c r="P35" s="311"/>
      <c r="Q35" s="311"/>
      <c r="R35" s="311"/>
    </row>
    <row r="36" spans="7:18" s="326" customFormat="1">
      <c r="G36" s="311"/>
      <c r="H36" s="311"/>
      <c r="I36" s="311"/>
      <c r="J36" s="311"/>
      <c r="K36" s="311"/>
      <c r="L36" s="311"/>
      <c r="M36" s="311"/>
      <c r="N36" s="311"/>
      <c r="O36" s="311"/>
      <c r="P36" s="311"/>
      <c r="Q36" s="311"/>
      <c r="R36" s="311"/>
    </row>
    <row r="37" spans="7:18" s="326" customFormat="1">
      <c r="G37" s="311"/>
      <c r="H37" s="311"/>
      <c r="I37" s="311"/>
      <c r="J37" s="311"/>
      <c r="K37" s="311"/>
      <c r="L37" s="311"/>
      <c r="M37" s="311"/>
      <c r="N37" s="311"/>
      <c r="O37" s="311"/>
      <c r="P37" s="311"/>
      <c r="Q37" s="311"/>
      <c r="R37" s="311"/>
    </row>
    <row r="38" spans="7:18" s="326" customFormat="1">
      <c r="G38" s="311"/>
      <c r="H38" s="311"/>
      <c r="I38" s="311"/>
      <c r="J38" s="311"/>
      <c r="K38" s="311"/>
      <c r="L38" s="311"/>
      <c r="M38" s="311"/>
      <c r="N38" s="311"/>
      <c r="O38" s="311"/>
      <c r="P38" s="311"/>
      <c r="Q38" s="311"/>
      <c r="R38" s="311"/>
    </row>
    <row r="39" spans="7:18" s="326" customFormat="1">
      <c r="G39" s="311"/>
      <c r="H39" s="311"/>
      <c r="I39" s="311"/>
      <c r="J39" s="311"/>
      <c r="K39" s="311"/>
      <c r="L39" s="311"/>
      <c r="M39" s="311"/>
      <c r="N39" s="311"/>
      <c r="O39" s="311"/>
      <c r="P39" s="311"/>
      <c r="Q39" s="311"/>
      <c r="R39" s="311"/>
    </row>
    <row r="40" spans="7:18" s="326" customFormat="1">
      <c r="G40" s="311"/>
      <c r="H40" s="311"/>
      <c r="I40" s="311"/>
      <c r="J40" s="311"/>
      <c r="K40" s="311"/>
      <c r="L40" s="311"/>
      <c r="M40" s="311"/>
      <c r="N40" s="311"/>
      <c r="O40" s="311"/>
      <c r="P40" s="311"/>
      <c r="Q40" s="311"/>
      <c r="R40" s="311"/>
    </row>
    <row r="41" spans="7:18" s="326" customFormat="1">
      <c r="G41" s="311"/>
      <c r="H41" s="311"/>
      <c r="I41" s="311"/>
      <c r="J41" s="311"/>
      <c r="K41" s="311"/>
      <c r="L41" s="311"/>
      <c r="M41" s="311"/>
      <c r="N41" s="311"/>
      <c r="O41" s="311"/>
      <c r="P41" s="311"/>
      <c r="Q41" s="311"/>
      <c r="R41" s="311"/>
    </row>
    <row r="42" spans="7:18" s="326" customFormat="1">
      <c r="G42" s="311"/>
      <c r="H42" s="311"/>
      <c r="I42" s="311"/>
      <c r="J42" s="311"/>
      <c r="K42" s="311"/>
      <c r="L42" s="311"/>
      <c r="M42" s="311"/>
      <c r="N42" s="311"/>
      <c r="O42" s="311"/>
      <c r="P42" s="311"/>
      <c r="Q42" s="311"/>
      <c r="R42" s="311"/>
    </row>
    <row r="43" spans="7:18" s="326"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row r="49" spans="7:18" s="327" customFormat="1">
      <c r="G49" s="311"/>
      <c r="H49" s="311"/>
      <c r="I49" s="311"/>
      <c r="J49" s="311"/>
      <c r="K49" s="311"/>
      <c r="L49" s="311"/>
      <c r="M49" s="311"/>
      <c r="N49" s="311"/>
      <c r="O49" s="311"/>
      <c r="P49" s="311"/>
      <c r="Q49" s="311"/>
      <c r="R49" s="311"/>
    </row>
    <row r="50" spans="7:18" s="327" customFormat="1">
      <c r="G50" s="311"/>
      <c r="H50" s="311"/>
      <c r="I50" s="311"/>
      <c r="J50" s="311"/>
      <c r="K50" s="311"/>
      <c r="L50" s="311"/>
      <c r="M50" s="311"/>
      <c r="N50" s="311"/>
      <c r="O50" s="311"/>
      <c r="P50" s="311"/>
      <c r="Q50" s="311"/>
      <c r="R50" s="311"/>
    </row>
    <row r="51" spans="7:18" s="327" customFormat="1">
      <c r="G51" s="311"/>
      <c r="H51" s="311"/>
      <c r="I51" s="311"/>
      <c r="J51" s="311"/>
      <c r="K51" s="311"/>
      <c r="L51" s="311"/>
      <c r="M51" s="311"/>
      <c r="N51" s="311"/>
      <c r="O51" s="311"/>
      <c r="P51" s="311"/>
      <c r="Q51" s="311"/>
      <c r="R51" s="311"/>
    </row>
    <row r="52" spans="7:18" s="327" customFormat="1">
      <c r="G52" s="311"/>
      <c r="H52" s="311"/>
      <c r="I52" s="311"/>
      <c r="J52" s="311"/>
      <c r="K52" s="311"/>
      <c r="L52" s="311"/>
      <c r="M52" s="311"/>
      <c r="N52" s="311"/>
      <c r="O52" s="311"/>
      <c r="P52" s="311"/>
      <c r="Q52" s="311"/>
      <c r="R52" s="311"/>
    </row>
    <row r="53" spans="7:18" s="327" customFormat="1">
      <c r="G53" s="311"/>
      <c r="H53" s="311"/>
      <c r="I53" s="311"/>
      <c r="J53" s="311"/>
      <c r="K53" s="311"/>
      <c r="L53" s="311"/>
      <c r="M53" s="311"/>
      <c r="N53" s="311"/>
      <c r="O53" s="311"/>
      <c r="P53" s="311"/>
      <c r="Q53" s="311"/>
      <c r="R53" s="311"/>
    </row>
    <row r="54" spans="7:18" s="327" customFormat="1">
      <c r="G54" s="311"/>
      <c r="H54" s="311"/>
      <c r="I54" s="311"/>
      <c r="J54" s="311"/>
      <c r="K54" s="311"/>
      <c r="L54" s="311"/>
      <c r="M54" s="311"/>
      <c r="N54" s="311"/>
      <c r="O54" s="311"/>
      <c r="P54" s="311"/>
      <c r="Q54" s="311"/>
      <c r="R54" s="311"/>
    </row>
    <row r="55" spans="7:18" s="327" customFormat="1">
      <c r="G55" s="311"/>
      <c r="H55" s="311"/>
      <c r="I55" s="311"/>
      <c r="J55" s="311"/>
      <c r="K55" s="311"/>
      <c r="L55" s="311"/>
      <c r="M55" s="311"/>
      <c r="N55" s="311"/>
      <c r="O55" s="311"/>
      <c r="P55" s="311"/>
      <c r="Q55" s="311"/>
      <c r="R55" s="311"/>
    </row>
    <row r="56" spans="7:18" s="327" customFormat="1">
      <c r="G56" s="311"/>
      <c r="H56" s="311"/>
      <c r="I56" s="311"/>
      <c r="J56" s="311"/>
      <c r="K56" s="311"/>
      <c r="L56" s="311"/>
      <c r="M56" s="311"/>
      <c r="N56" s="311"/>
      <c r="O56" s="311"/>
      <c r="P56" s="311"/>
      <c r="Q56" s="311"/>
      <c r="R56" s="311"/>
    </row>
    <row r="57" spans="7:18" s="327" customFormat="1">
      <c r="G57" s="311"/>
      <c r="H57" s="311"/>
      <c r="I57" s="311"/>
      <c r="J57" s="311"/>
      <c r="K57" s="311"/>
      <c r="L57" s="311"/>
      <c r="M57" s="311"/>
      <c r="N57" s="311"/>
      <c r="O57" s="311"/>
      <c r="P57" s="311"/>
      <c r="Q57" s="311"/>
      <c r="R57" s="311"/>
    </row>
    <row r="58" spans="7:18" s="327" customFormat="1">
      <c r="G58" s="311"/>
      <c r="H58" s="311"/>
      <c r="I58" s="311"/>
      <c r="J58" s="311"/>
      <c r="K58" s="311"/>
      <c r="L58" s="311"/>
      <c r="M58" s="311"/>
      <c r="N58" s="311"/>
      <c r="O58" s="311"/>
      <c r="P58" s="311"/>
      <c r="Q58" s="311"/>
      <c r="R58" s="311"/>
    </row>
    <row r="59" spans="7:18" s="327" customFormat="1">
      <c r="G59" s="311"/>
      <c r="H59" s="311"/>
      <c r="I59" s="311"/>
      <c r="J59" s="311"/>
      <c r="K59" s="311"/>
      <c r="L59" s="311"/>
      <c r="M59" s="311"/>
      <c r="N59" s="311"/>
      <c r="O59" s="311"/>
      <c r="P59" s="311"/>
      <c r="Q59" s="311"/>
      <c r="R59" s="311"/>
    </row>
    <row r="60" spans="7:18" s="327" customFormat="1">
      <c r="G60" s="311"/>
      <c r="H60" s="311"/>
      <c r="I60" s="311"/>
      <c r="J60" s="311"/>
      <c r="K60" s="311"/>
      <c r="L60" s="311"/>
      <c r="M60" s="311"/>
      <c r="N60" s="311"/>
      <c r="O60" s="311"/>
      <c r="P60" s="311"/>
      <c r="Q60" s="311"/>
      <c r="R60" s="311"/>
    </row>
    <row r="61" spans="7:18" s="327" customFormat="1">
      <c r="G61" s="311"/>
      <c r="H61" s="311"/>
      <c r="I61" s="311"/>
      <c r="J61" s="311"/>
      <c r="K61" s="311"/>
      <c r="L61" s="311"/>
      <c r="M61" s="311"/>
      <c r="N61" s="311"/>
      <c r="O61" s="311"/>
      <c r="P61" s="311"/>
      <c r="Q61" s="311"/>
      <c r="R61" s="311"/>
    </row>
    <row r="62" spans="7:18" s="327" customFormat="1">
      <c r="G62" s="311"/>
      <c r="H62" s="311"/>
      <c r="I62" s="311"/>
      <c r="J62" s="311"/>
      <c r="K62" s="311"/>
      <c r="L62" s="311"/>
      <c r="M62" s="311"/>
      <c r="N62" s="311"/>
      <c r="O62" s="311"/>
      <c r="P62" s="311"/>
      <c r="Q62" s="311"/>
      <c r="R62" s="311"/>
    </row>
    <row r="63" spans="7:18" s="327" customFormat="1">
      <c r="G63" s="311"/>
      <c r="H63" s="311"/>
      <c r="I63" s="311"/>
      <c r="J63" s="311"/>
      <c r="K63" s="311"/>
      <c r="L63" s="311"/>
      <c r="M63" s="311"/>
      <c r="N63" s="311"/>
      <c r="O63" s="311"/>
      <c r="P63" s="311"/>
      <c r="Q63" s="311"/>
      <c r="R63" s="311"/>
    </row>
    <row r="64" spans="7:18" s="327" customFormat="1">
      <c r="G64" s="311"/>
      <c r="H64" s="311"/>
      <c r="I64" s="311"/>
      <c r="J64" s="311"/>
      <c r="K64" s="311"/>
      <c r="L64" s="311"/>
      <c r="M64" s="311"/>
      <c r="N64" s="311"/>
      <c r="O64" s="311"/>
      <c r="P64" s="311"/>
      <c r="Q64" s="311"/>
      <c r="R64" s="311"/>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70C0"/>
  </sheetPr>
  <dimension ref="A1:R53"/>
  <sheetViews>
    <sheetView topLeftCell="A20" workbookViewId="0">
      <selection activeCell="D22" sqref="D22"/>
    </sheetView>
  </sheetViews>
  <sheetFormatPr defaultColWidth="8.77734375" defaultRowHeight="13.8"/>
  <cols>
    <col min="1" max="1" width="10.21875" style="309" customWidth="1"/>
    <col min="2" max="2" width="61" style="309" customWidth="1"/>
    <col min="3" max="3" width="27.88671875" style="309" customWidth="1"/>
    <col min="4" max="4" width="31.33203125" style="309" customWidth="1"/>
    <col min="5" max="6" width="35.44140625" style="309" customWidth="1"/>
    <col min="7" max="7" width="21.44140625" style="311" customWidth="1"/>
    <col min="8" max="10" width="8.77734375" style="309" customWidth="1"/>
    <col min="11" max="11" width="8.77734375" style="311"/>
    <col min="12" max="12" width="8.77734375" style="309"/>
    <col min="13" max="18" width="8.77734375" style="311"/>
    <col min="19" max="16384" width="8.77734375" style="309"/>
  </cols>
  <sheetData>
    <row r="1" spans="1:18" s="333" customFormat="1" ht="25.8">
      <c r="A1" s="308" t="s">
        <v>1854</v>
      </c>
      <c r="B1" s="309"/>
      <c r="C1" s="310"/>
      <c r="D1" s="309"/>
      <c r="E1" s="309"/>
      <c r="F1" s="309"/>
      <c r="G1" s="311"/>
      <c r="H1" s="309"/>
      <c r="I1" s="309"/>
      <c r="J1" s="309"/>
      <c r="K1" s="311"/>
      <c r="L1" s="309"/>
      <c r="M1" s="311"/>
      <c r="N1" s="311"/>
      <c r="O1" s="311"/>
      <c r="P1" s="311"/>
      <c r="Q1" s="311"/>
      <c r="R1" s="311"/>
    </row>
    <row r="2" spans="1:18" s="136" customFormat="1" ht="25.8">
      <c r="A2" s="308" t="s">
        <v>1855</v>
      </c>
      <c r="B2" s="309"/>
      <c r="C2" s="310"/>
      <c r="D2" s="309"/>
      <c r="E2" s="309"/>
      <c r="F2" s="309"/>
      <c r="G2" s="311"/>
      <c r="H2" s="309"/>
      <c r="I2" s="309"/>
      <c r="J2" s="309"/>
      <c r="K2" s="311"/>
      <c r="L2" s="309"/>
      <c r="M2" s="311"/>
      <c r="N2" s="311"/>
      <c r="O2" s="311"/>
      <c r="P2" s="311"/>
      <c r="Q2" s="311"/>
      <c r="R2" s="311"/>
    </row>
    <row r="3" spans="1:18" s="353" customFormat="1">
      <c r="A3" s="309" t="s">
        <v>23</v>
      </c>
      <c r="B3" s="309" t="s">
        <v>1856</v>
      </c>
      <c r="C3" s="309"/>
      <c r="D3" s="309"/>
      <c r="E3" s="309"/>
      <c r="F3" s="309"/>
      <c r="G3" s="309"/>
      <c r="H3" s="309"/>
      <c r="I3" s="309"/>
      <c r="J3" s="309"/>
      <c r="K3" s="309"/>
      <c r="L3" s="309"/>
      <c r="M3" s="309"/>
      <c r="N3" s="309"/>
      <c r="O3" s="309"/>
      <c r="P3" s="309"/>
      <c r="Q3" s="309"/>
      <c r="R3" s="309"/>
    </row>
    <row r="4" spans="1:18" s="322" customFormat="1">
      <c r="A4" s="309" t="s">
        <v>1646</v>
      </c>
      <c r="B4" s="309" t="s">
        <v>1857</v>
      </c>
      <c r="C4" s="309"/>
      <c r="D4" s="309"/>
      <c r="E4" s="309"/>
      <c r="F4" s="309"/>
      <c r="G4" s="309"/>
      <c r="H4" s="309"/>
      <c r="I4" s="309"/>
      <c r="J4" s="309"/>
      <c r="K4" s="309"/>
      <c r="L4" s="309"/>
      <c r="M4" s="309"/>
      <c r="N4" s="309"/>
      <c r="O4" s="309"/>
      <c r="P4" s="309"/>
      <c r="Q4" s="309"/>
      <c r="R4" s="309"/>
    </row>
    <row r="5" spans="1:18" s="333" customFormat="1">
      <c r="A5" s="309" t="s">
        <v>25</v>
      </c>
      <c r="B5" s="309" t="s">
        <v>805</v>
      </c>
      <c r="C5" s="309"/>
      <c r="D5" s="309"/>
      <c r="E5" s="309"/>
      <c r="F5" s="309"/>
      <c r="G5" s="311"/>
      <c r="H5" s="309"/>
      <c r="I5" s="309"/>
      <c r="J5" s="309"/>
      <c r="K5" s="311"/>
      <c r="L5" s="309"/>
      <c r="M5" s="311"/>
      <c r="N5" s="311"/>
      <c r="O5" s="311"/>
      <c r="P5" s="311"/>
      <c r="Q5" s="311"/>
      <c r="R5" s="311"/>
    </row>
    <row r="6" spans="1:18" s="333" customFormat="1">
      <c r="A6" s="309" t="s">
        <v>1648</v>
      </c>
      <c r="B6" s="309" t="s">
        <v>1858</v>
      </c>
      <c r="C6" s="309"/>
      <c r="D6" s="309"/>
      <c r="E6" s="309"/>
      <c r="F6" s="309"/>
      <c r="G6" s="311"/>
      <c r="H6" s="309"/>
      <c r="I6" s="309"/>
      <c r="J6" s="309"/>
      <c r="K6" s="311"/>
      <c r="L6" s="309"/>
      <c r="M6" s="311"/>
      <c r="N6" s="311"/>
      <c r="O6" s="311"/>
      <c r="P6" s="311"/>
      <c r="Q6" s="311"/>
      <c r="R6" s="311"/>
    </row>
    <row r="7" spans="1:18" s="333" customFormat="1">
      <c r="A7" s="309"/>
      <c r="B7" s="309"/>
      <c r="C7" s="309"/>
      <c r="D7" s="309"/>
      <c r="E7" s="309"/>
      <c r="F7" s="309"/>
      <c r="G7" s="346"/>
      <c r="H7" s="309"/>
      <c r="I7" s="309"/>
      <c r="J7" s="309"/>
      <c r="K7" s="311"/>
      <c r="L7" s="309"/>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09"/>
      <c r="I9" s="309"/>
      <c r="J9" s="309"/>
      <c r="K9" s="332"/>
      <c r="L9" s="309"/>
      <c r="M9" s="332"/>
      <c r="N9" s="332"/>
      <c r="O9" s="332"/>
      <c r="P9" s="332"/>
      <c r="Q9" s="332"/>
      <c r="R9" s="332"/>
    </row>
    <row r="10" spans="1:18" s="134" customFormat="1" ht="110.4">
      <c r="A10" s="20" t="s">
        <v>806</v>
      </c>
      <c r="B10" s="20" t="s">
        <v>1859</v>
      </c>
      <c r="C10" s="334" t="s">
        <v>1860</v>
      </c>
      <c r="D10" s="334" t="s">
        <v>1861</v>
      </c>
      <c r="E10" s="334" t="s">
        <v>1862</v>
      </c>
      <c r="F10" s="334"/>
      <c r="G10" s="335"/>
      <c r="H10" s="309"/>
      <c r="I10" s="309"/>
      <c r="J10" s="309"/>
      <c r="K10" s="332"/>
      <c r="L10" s="309"/>
      <c r="M10" s="332"/>
      <c r="N10" s="332"/>
      <c r="O10" s="332"/>
      <c r="P10" s="332"/>
      <c r="Q10" s="332"/>
      <c r="R10" s="332"/>
    </row>
    <row r="11" spans="1:18" s="333" customFormat="1" ht="124.2">
      <c r="A11" s="20" t="s">
        <v>807</v>
      </c>
      <c r="B11" s="20" t="s">
        <v>1863</v>
      </c>
      <c r="C11" s="334" t="s">
        <v>1864</v>
      </c>
      <c r="D11" s="334" t="s">
        <v>1865</v>
      </c>
      <c r="E11" s="334" t="s">
        <v>1866</v>
      </c>
      <c r="F11" s="334"/>
      <c r="G11" s="335"/>
      <c r="H11" s="309"/>
      <c r="I11" s="309"/>
      <c r="J11" s="309"/>
      <c r="K11" s="332"/>
      <c r="L11" s="309"/>
      <c r="M11" s="332"/>
      <c r="N11" s="332"/>
      <c r="O11" s="332"/>
      <c r="P11" s="332"/>
      <c r="Q11" s="332"/>
      <c r="R11" s="332"/>
    </row>
    <row r="12" spans="1:18" s="136" customFormat="1">
      <c r="A12" s="329" t="s">
        <v>28</v>
      </c>
      <c r="B12" s="329"/>
      <c r="C12" s="330"/>
      <c r="D12" s="330"/>
      <c r="E12" s="330" t="s">
        <v>1504</v>
      </c>
      <c r="F12" s="330"/>
      <c r="G12" s="331"/>
      <c r="H12" s="309"/>
      <c r="I12" s="309"/>
      <c r="J12" s="309"/>
      <c r="K12" s="332"/>
      <c r="L12" s="309"/>
      <c r="M12" s="332"/>
      <c r="N12" s="332"/>
      <c r="O12" s="332"/>
      <c r="P12" s="332"/>
      <c r="Q12" s="332"/>
      <c r="R12" s="332"/>
    </row>
    <row r="13" spans="1:18" s="136" customFormat="1" ht="144" customHeight="1">
      <c r="A13" s="20" t="s">
        <v>808</v>
      </c>
      <c r="B13" s="20" t="s">
        <v>1867</v>
      </c>
      <c r="C13" s="334" t="s">
        <v>1868</v>
      </c>
      <c r="D13" s="334" t="s">
        <v>1869</v>
      </c>
      <c r="E13" s="334" t="s">
        <v>1870</v>
      </c>
      <c r="F13" s="334"/>
      <c r="G13" s="335"/>
      <c r="H13" s="309"/>
      <c r="I13" s="309"/>
      <c r="J13" s="309"/>
      <c r="K13" s="332"/>
      <c r="L13" s="309"/>
      <c r="M13" s="332"/>
      <c r="N13" s="332"/>
      <c r="O13" s="332"/>
      <c r="P13" s="332"/>
      <c r="Q13" s="332"/>
      <c r="R13" s="332"/>
    </row>
    <row r="14" spans="1:18" s="134" customFormat="1" ht="110.4">
      <c r="A14" s="20" t="s">
        <v>809</v>
      </c>
      <c r="B14" s="20" t="s">
        <v>1871</v>
      </c>
      <c r="C14" s="334" t="s">
        <v>1872</v>
      </c>
      <c r="D14" s="334" t="s">
        <v>1873</v>
      </c>
      <c r="E14" s="334" t="s">
        <v>1874</v>
      </c>
      <c r="F14" s="334"/>
      <c r="G14" s="335"/>
      <c r="H14" s="309"/>
      <c r="I14" s="309"/>
      <c r="J14" s="309"/>
      <c r="K14" s="332"/>
      <c r="L14" s="309"/>
      <c r="M14" s="332"/>
      <c r="N14" s="332"/>
      <c r="O14" s="332"/>
      <c r="P14" s="332"/>
      <c r="Q14" s="332"/>
      <c r="R14" s="332"/>
    </row>
    <row r="15" spans="1:18" s="333" customFormat="1" ht="124.2">
      <c r="A15" s="20" t="s">
        <v>810</v>
      </c>
      <c r="B15" s="20" t="s">
        <v>1875</v>
      </c>
      <c r="C15" s="334" t="s">
        <v>1876</v>
      </c>
      <c r="D15" s="334" t="s">
        <v>1877</v>
      </c>
      <c r="E15" s="334" t="s">
        <v>1878</v>
      </c>
      <c r="F15" s="334"/>
      <c r="G15" s="335"/>
      <c r="H15" s="309"/>
      <c r="I15" s="309"/>
      <c r="J15" s="309"/>
      <c r="K15" s="332"/>
      <c r="L15" s="309"/>
      <c r="M15" s="332"/>
      <c r="N15" s="332"/>
      <c r="O15" s="332"/>
      <c r="P15" s="332"/>
      <c r="Q15" s="332"/>
      <c r="R15" s="332"/>
    </row>
    <row r="16" spans="1:18" s="136" customFormat="1" ht="151.80000000000001">
      <c r="A16" s="20" t="s">
        <v>811</v>
      </c>
      <c r="B16" s="20" t="s">
        <v>1879</v>
      </c>
      <c r="C16" s="334" t="s">
        <v>1880</v>
      </c>
      <c r="D16" s="334" t="s">
        <v>1881</v>
      </c>
      <c r="E16" s="334" t="s">
        <v>1882</v>
      </c>
      <c r="F16" s="334"/>
      <c r="G16" s="335"/>
      <c r="H16" s="309"/>
      <c r="I16" s="309"/>
      <c r="J16" s="309"/>
      <c r="K16" s="332"/>
      <c r="L16" s="309"/>
      <c r="M16" s="332"/>
      <c r="N16" s="332"/>
      <c r="O16" s="332"/>
      <c r="P16" s="332"/>
      <c r="Q16" s="332"/>
      <c r="R16" s="332"/>
    </row>
    <row r="17" spans="1:18" s="136" customFormat="1" ht="153" customHeight="1">
      <c r="A17" s="20" t="s">
        <v>812</v>
      </c>
      <c r="B17" s="20" t="s">
        <v>1883</v>
      </c>
      <c r="C17" s="334" t="s">
        <v>1884</v>
      </c>
      <c r="D17" s="334" t="s">
        <v>1885</v>
      </c>
      <c r="E17" s="334" t="s">
        <v>1886</v>
      </c>
      <c r="F17" s="334"/>
      <c r="G17" s="335"/>
      <c r="H17" s="309"/>
      <c r="I17" s="309"/>
      <c r="J17" s="309"/>
      <c r="K17" s="332"/>
      <c r="L17" s="309"/>
      <c r="M17" s="332"/>
      <c r="N17" s="332"/>
      <c r="O17" s="332"/>
      <c r="P17" s="332"/>
      <c r="Q17" s="332"/>
      <c r="R17" s="332"/>
    </row>
    <row r="18" spans="1:18" s="134" customFormat="1" ht="138">
      <c r="A18" s="20" t="s">
        <v>813</v>
      </c>
      <c r="B18" s="20" t="s">
        <v>1887</v>
      </c>
      <c r="C18" s="334" t="s">
        <v>1888</v>
      </c>
      <c r="D18" s="334" t="s">
        <v>1889</v>
      </c>
      <c r="E18" s="334" t="s">
        <v>1890</v>
      </c>
      <c r="F18" s="334"/>
      <c r="G18" s="335"/>
      <c r="H18" s="309"/>
      <c r="I18" s="309"/>
      <c r="J18" s="309"/>
      <c r="K18" s="332"/>
      <c r="L18" s="309"/>
      <c r="M18" s="332"/>
      <c r="N18" s="332"/>
      <c r="O18" s="332"/>
      <c r="P18" s="332"/>
      <c r="Q18" s="332"/>
      <c r="R18" s="332"/>
    </row>
    <row r="19" spans="1:18" s="333" customFormat="1" ht="124.2">
      <c r="A19" s="20" t="s">
        <v>814</v>
      </c>
      <c r="B19" s="20" t="s">
        <v>1891</v>
      </c>
      <c r="C19" s="334" t="s">
        <v>1892</v>
      </c>
      <c r="D19" s="334" t="s">
        <v>1893</v>
      </c>
      <c r="E19" s="334" t="s">
        <v>1894</v>
      </c>
      <c r="F19" s="334"/>
      <c r="G19" s="335"/>
      <c r="H19" s="309"/>
      <c r="I19" s="309"/>
      <c r="J19" s="309"/>
      <c r="K19" s="332"/>
      <c r="L19" s="309"/>
      <c r="M19" s="332"/>
      <c r="N19" s="332"/>
      <c r="O19" s="332"/>
      <c r="P19" s="332"/>
      <c r="Q19" s="332"/>
      <c r="R19" s="332"/>
    </row>
    <row r="20" spans="1:18" s="136" customFormat="1" ht="138">
      <c r="A20" s="20" t="s">
        <v>815</v>
      </c>
      <c r="B20" s="20" t="s">
        <v>1895</v>
      </c>
      <c r="C20" s="334" t="s">
        <v>1896</v>
      </c>
      <c r="D20" s="334" t="s">
        <v>1897</v>
      </c>
      <c r="E20" s="334" t="s">
        <v>1898</v>
      </c>
      <c r="F20" s="334"/>
      <c r="G20" s="335"/>
      <c r="H20" s="309"/>
      <c r="I20" s="309"/>
      <c r="J20" s="309"/>
      <c r="K20" s="332"/>
      <c r="L20" s="309"/>
      <c r="M20" s="332"/>
      <c r="N20" s="332"/>
      <c r="O20" s="332"/>
      <c r="P20" s="332"/>
      <c r="Q20" s="332"/>
      <c r="R20" s="332"/>
    </row>
    <row r="21" spans="1:18" s="136" customFormat="1">
      <c r="A21" s="329" t="s">
        <v>29</v>
      </c>
      <c r="B21" s="329"/>
      <c r="C21" s="330"/>
      <c r="D21" s="330"/>
      <c r="E21" s="330" t="s">
        <v>1504</v>
      </c>
      <c r="F21" s="330"/>
      <c r="G21" s="331"/>
      <c r="H21" s="309"/>
      <c r="I21" s="309"/>
      <c r="J21" s="309"/>
      <c r="K21" s="332"/>
      <c r="L21" s="309"/>
      <c r="M21" s="332"/>
      <c r="N21" s="332"/>
      <c r="O21" s="332"/>
      <c r="P21" s="332"/>
      <c r="Q21" s="332"/>
      <c r="R21" s="332"/>
    </row>
    <row r="22" spans="1:18" s="134" customFormat="1" ht="120.75" customHeight="1">
      <c r="A22" s="20" t="s">
        <v>816</v>
      </c>
      <c r="B22" s="20" t="s">
        <v>1899</v>
      </c>
      <c r="C22" s="334" t="s">
        <v>1900</v>
      </c>
      <c r="D22" s="334" t="s">
        <v>1901</v>
      </c>
      <c r="E22" s="334" t="s">
        <v>1902</v>
      </c>
      <c r="F22" s="334"/>
      <c r="G22" s="335"/>
      <c r="H22" s="309"/>
      <c r="I22" s="309"/>
      <c r="J22" s="309"/>
      <c r="K22" s="332"/>
      <c r="L22" s="309"/>
      <c r="M22" s="332"/>
      <c r="N22" s="332"/>
      <c r="O22" s="332"/>
      <c r="P22" s="332"/>
      <c r="Q22" s="332"/>
      <c r="R22" s="332"/>
    </row>
    <row r="23" spans="1:18" s="333" customFormat="1" ht="120" customHeight="1">
      <c r="A23" s="20" t="s">
        <v>817</v>
      </c>
      <c r="B23" s="20" t="s">
        <v>1903</v>
      </c>
      <c r="C23" s="334" t="s">
        <v>1904</v>
      </c>
      <c r="D23" s="334" t="s">
        <v>1905</v>
      </c>
      <c r="E23" s="334" t="s">
        <v>1906</v>
      </c>
      <c r="F23" s="334"/>
      <c r="G23" s="335"/>
      <c r="H23" s="309"/>
      <c r="I23" s="309"/>
      <c r="J23" s="309"/>
      <c r="K23" s="332"/>
      <c r="L23" s="309"/>
      <c r="M23" s="332"/>
      <c r="N23" s="332"/>
      <c r="O23" s="332"/>
      <c r="P23" s="332"/>
      <c r="Q23" s="332"/>
      <c r="R23" s="332"/>
    </row>
    <row r="24" spans="1:18" s="333" customFormat="1" ht="110.4">
      <c r="A24" s="20" t="s">
        <v>818</v>
      </c>
      <c r="B24" s="20" t="s">
        <v>1907</v>
      </c>
      <c r="C24" s="334" t="s">
        <v>1908</v>
      </c>
      <c r="D24" s="334" t="s">
        <v>1909</v>
      </c>
      <c r="E24" s="334" t="s">
        <v>1910</v>
      </c>
      <c r="F24" s="334"/>
      <c r="G24" s="335"/>
      <c r="H24" s="309"/>
      <c r="I24" s="309"/>
      <c r="J24" s="309"/>
      <c r="K24" s="332"/>
      <c r="L24" s="309"/>
      <c r="M24" s="332"/>
      <c r="N24" s="332"/>
      <c r="O24" s="332"/>
      <c r="P24" s="332"/>
      <c r="Q24" s="332"/>
      <c r="R24" s="332"/>
    </row>
    <row r="25" spans="1:18" s="136" customFormat="1" ht="138">
      <c r="A25" s="20" t="s">
        <v>819</v>
      </c>
      <c r="B25" s="20" t="s">
        <v>1911</v>
      </c>
      <c r="C25" s="334" t="s">
        <v>1912</v>
      </c>
      <c r="D25" s="334" t="s">
        <v>1913</v>
      </c>
      <c r="E25" s="334" t="s">
        <v>1914</v>
      </c>
      <c r="F25" s="334"/>
      <c r="G25" s="335"/>
      <c r="H25" s="309"/>
      <c r="I25" s="309"/>
      <c r="J25" s="309"/>
      <c r="K25" s="332"/>
      <c r="L25" s="309"/>
      <c r="M25" s="332"/>
      <c r="N25" s="332"/>
      <c r="O25" s="332"/>
      <c r="P25" s="332"/>
      <c r="Q25" s="332"/>
      <c r="R25" s="332"/>
    </row>
    <row r="26" spans="1:18" s="136" customFormat="1">
      <c r="A26" s="329" t="s">
        <v>371</v>
      </c>
      <c r="B26" s="329"/>
      <c r="C26" s="330"/>
      <c r="D26" s="330"/>
      <c r="E26" s="330" t="s">
        <v>1504</v>
      </c>
      <c r="F26" s="330"/>
      <c r="G26" s="331"/>
      <c r="H26" s="309"/>
      <c r="I26" s="309"/>
      <c r="J26" s="309"/>
      <c r="K26" s="332"/>
      <c r="L26" s="309"/>
      <c r="M26" s="332"/>
      <c r="N26" s="332"/>
      <c r="O26" s="332"/>
      <c r="P26" s="332"/>
      <c r="Q26" s="332"/>
      <c r="R26" s="332"/>
    </row>
    <row r="27" spans="1:18" s="134" customFormat="1" ht="124.2">
      <c r="A27" s="20" t="s">
        <v>820</v>
      </c>
      <c r="B27" s="20" t="s">
        <v>1915</v>
      </c>
      <c r="C27" s="334" t="s">
        <v>1916</v>
      </c>
      <c r="D27" s="334" t="s">
        <v>1917</v>
      </c>
      <c r="E27" s="334" t="s">
        <v>1918</v>
      </c>
      <c r="F27" s="334"/>
      <c r="G27" s="335"/>
      <c r="H27" s="309"/>
      <c r="I27" s="309"/>
      <c r="J27" s="309"/>
      <c r="K27" s="332"/>
      <c r="L27" s="309"/>
      <c r="M27" s="332"/>
      <c r="N27" s="332"/>
      <c r="O27" s="332"/>
      <c r="P27" s="332"/>
      <c r="Q27" s="332"/>
      <c r="R27" s="332"/>
    </row>
    <row r="28" spans="1:18" s="326" customFormat="1">
      <c r="G28" s="311"/>
      <c r="H28" s="309"/>
      <c r="I28" s="309"/>
      <c r="J28" s="309"/>
      <c r="K28" s="311"/>
      <c r="L28" s="309"/>
      <c r="M28" s="311"/>
      <c r="N28" s="311"/>
      <c r="O28" s="311"/>
      <c r="P28" s="311"/>
      <c r="Q28" s="311"/>
      <c r="R28" s="311"/>
    </row>
    <row r="29" spans="1:18" s="326" customFormat="1">
      <c r="G29" s="311"/>
      <c r="H29" s="309"/>
      <c r="I29" s="309"/>
      <c r="J29" s="309"/>
      <c r="K29" s="311"/>
      <c r="L29" s="309"/>
      <c r="M29" s="311"/>
      <c r="N29" s="311"/>
      <c r="O29" s="311"/>
      <c r="P29" s="311"/>
      <c r="Q29" s="311"/>
      <c r="R29" s="311"/>
    </row>
    <row r="30" spans="1:18" s="326" customFormat="1">
      <c r="G30" s="311"/>
      <c r="H30" s="309"/>
      <c r="I30" s="309"/>
      <c r="J30" s="309"/>
      <c r="K30" s="311"/>
      <c r="L30" s="309"/>
      <c r="M30" s="311"/>
      <c r="N30" s="311"/>
      <c r="O30" s="311"/>
      <c r="P30" s="311"/>
      <c r="Q30" s="311"/>
      <c r="R30" s="311"/>
    </row>
    <row r="31" spans="1:18" s="326" customFormat="1">
      <c r="G31" s="311"/>
      <c r="H31" s="309"/>
      <c r="I31" s="309"/>
      <c r="J31" s="309"/>
      <c r="K31" s="311"/>
      <c r="L31" s="309"/>
      <c r="M31" s="311"/>
      <c r="N31" s="311"/>
      <c r="O31" s="311"/>
      <c r="P31" s="311"/>
      <c r="Q31" s="311"/>
      <c r="R31" s="311"/>
    </row>
    <row r="32" spans="1:18" s="326" customFormat="1">
      <c r="G32" s="311"/>
      <c r="H32" s="309"/>
      <c r="I32" s="309"/>
      <c r="J32" s="309"/>
      <c r="K32" s="311"/>
      <c r="L32" s="309"/>
      <c r="M32" s="311"/>
      <c r="N32" s="311"/>
      <c r="O32" s="311"/>
      <c r="P32" s="311"/>
      <c r="Q32" s="311"/>
      <c r="R32" s="311"/>
    </row>
    <row r="33" spans="7:18" s="326" customFormat="1">
      <c r="G33" s="311"/>
      <c r="H33" s="309"/>
      <c r="I33" s="309"/>
      <c r="J33" s="309"/>
      <c r="K33" s="311"/>
      <c r="L33" s="309"/>
      <c r="M33" s="311"/>
      <c r="N33" s="311"/>
      <c r="O33" s="311"/>
      <c r="P33" s="311"/>
      <c r="Q33" s="311"/>
      <c r="R33" s="311"/>
    </row>
    <row r="34" spans="7:18" s="326" customFormat="1">
      <c r="G34" s="311"/>
      <c r="H34" s="309"/>
      <c r="I34" s="309"/>
      <c r="J34" s="309"/>
      <c r="K34" s="311"/>
      <c r="L34" s="309"/>
      <c r="M34" s="311"/>
      <c r="N34" s="311"/>
      <c r="O34" s="311"/>
      <c r="P34" s="311"/>
      <c r="Q34" s="311"/>
      <c r="R34" s="311"/>
    </row>
    <row r="35" spans="7:18" s="326" customFormat="1">
      <c r="G35" s="311"/>
      <c r="H35" s="309"/>
      <c r="I35" s="309"/>
      <c r="J35" s="309"/>
      <c r="K35" s="311"/>
      <c r="L35" s="309"/>
      <c r="M35" s="311"/>
      <c r="N35" s="311"/>
      <c r="O35" s="311"/>
      <c r="P35" s="311"/>
      <c r="Q35" s="311"/>
      <c r="R35" s="311"/>
    </row>
    <row r="36" spans="7:18" s="326" customFormat="1">
      <c r="G36" s="311"/>
      <c r="H36" s="309"/>
      <c r="I36" s="309"/>
      <c r="J36" s="309"/>
      <c r="K36" s="311"/>
      <c r="L36" s="309"/>
      <c r="M36" s="311"/>
      <c r="N36" s="311"/>
      <c r="O36" s="311"/>
      <c r="P36" s="311"/>
      <c r="Q36" s="311"/>
      <c r="R36" s="311"/>
    </row>
    <row r="37" spans="7:18" s="326" customFormat="1">
      <c r="G37" s="311"/>
      <c r="H37" s="309"/>
      <c r="I37" s="309"/>
      <c r="J37" s="309"/>
      <c r="K37" s="311"/>
      <c r="L37" s="309"/>
      <c r="M37" s="311"/>
      <c r="N37" s="311"/>
      <c r="O37" s="311"/>
      <c r="P37" s="311"/>
      <c r="Q37" s="311"/>
      <c r="R37" s="311"/>
    </row>
    <row r="38" spans="7:18" s="326" customFormat="1">
      <c r="G38" s="311"/>
      <c r="H38" s="309"/>
      <c r="I38" s="309"/>
      <c r="J38" s="309"/>
      <c r="K38" s="311"/>
      <c r="L38" s="309"/>
      <c r="M38" s="311"/>
      <c r="N38" s="311"/>
      <c r="O38" s="311"/>
      <c r="P38" s="311"/>
      <c r="Q38" s="311"/>
      <c r="R38" s="311"/>
    </row>
    <row r="39" spans="7:18" s="326" customFormat="1">
      <c r="G39" s="311"/>
      <c r="H39" s="309"/>
      <c r="I39" s="309"/>
      <c r="J39" s="309"/>
      <c r="K39" s="311"/>
      <c r="L39" s="309"/>
      <c r="M39" s="311"/>
      <c r="N39" s="311"/>
      <c r="O39" s="311"/>
      <c r="P39" s="311"/>
      <c r="Q39" s="311"/>
      <c r="R39" s="311"/>
    </row>
    <row r="40" spans="7:18" s="326" customFormat="1">
      <c r="G40" s="311"/>
      <c r="H40" s="309"/>
      <c r="I40" s="309"/>
      <c r="J40" s="309"/>
      <c r="K40" s="311"/>
      <c r="L40" s="309"/>
      <c r="M40" s="311"/>
      <c r="N40" s="311"/>
      <c r="O40" s="311"/>
      <c r="P40" s="311"/>
      <c r="Q40" s="311"/>
      <c r="R40" s="311"/>
    </row>
    <row r="41" spans="7:18" s="326" customFormat="1">
      <c r="G41" s="311"/>
      <c r="H41" s="309"/>
      <c r="I41" s="309"/>
      <c r="J41" s="309"/>
      <c r="K41" s="311"/>
      <c r="L41" s="309"/>
      <c r="M41" s="311"/>
      <c r="N41" s="311"/>
      <c r="O41" s="311"/>
      <c r="P41" s="311"/>
      <c r="Q41" s="311"/>
      <c r="R41" s="311"/>
    </row>
    <row r="42" spans="7:18" s="326" customFormat="1">
      <c r="G42" s="311"/>
      <c r="H42" s="309"/>
      <c r="I42" s="309"/>
      <c r="J42" s="309"/>
      <c r="K42" s="311"/>
      <c r="L42" s="309"/>
      <c r="M42" s="311"/>
      <c r="N42" s="311"/>
      <c r="O42" s="311"/>
      <c r="P42" s="311"/>
      <c r="Q42" s="311"/>
      <c r="R42" s="311"/>
    </row>
    <row r="43" spans="7:18" s="326" customFormat="1">
      <c r="G43" s="311"/>
      <c r="H43" s="309"/>
      <c r="I43" s="309"/>
      <c r="J43" s="309"/>
      <c r="K43" s="311"/>
      <c r="L43" s="309"/>
      <c r="M43" s="311"/>
      <c r="N43" s="311"/>
      <c r="O43" s="311"/>
      <c r="P43" s="311"/>
      <c r="Q43" s="311"/>
      <c r="R43" s="311"/>
    </row>
    <row r="44" spans="7:18" s="326" customFormat="1">
      <c r="G44" s="311"/>
      <c r="H44" s="309"/>
      <c r="I44" s="309"/>
      <c r="J44" s="309"/>
      <c r="K44" s="311"/>
      <c r="L44" s="309"/>
      <c r="M44" s="311"/>
      <c r="N44" s="311"/>
      <c r="O44" s="311"/>
      <c r="P44" s="311"/>
      <c r="Q44" s="311"/>
      <c r="R44" s="311"/>
    </row>
    <row r="45" spans="7:18" s="326" customFormat="1">
      <c r="G45" s="311"/>
      <c r="H45" s="309"/>
      <c r="I45" s="309"/>
      <c r="J45" s="309"/>
      <c r="K45" s="311"/>
      <c r="L45" s="309"/>
      <c r="M45" s="311"/>
      <c r="N45" s="311"/>
      <c r="O45" s="311"/>
      <c r="P45" s="311"/>
      <c r="Q45" s="311"/>
      <c r="R45" s="311"/>
    </row>
    <row r="46" spans="7:18" s="326" customFormat="1">
      <c r="G46" s="311"/>
      <c r="H46" s="309"/>
      <c r="I46" s="309"/>
      <c r="J46" s="309"/>
      <c r="K46" s="311"/>
      <c r="L46" s="309"/>
      <c r="M46" s="311"/>
      <c r="N46" s="311"/>
      <c r="O46" s="311"/>
      <c r="P46" s="311"/>
      <c r="Q46" s="311"/>
      <c r="R46" s="311"/>
    </row>
    <row r="47" spans="7:18" s="326" customFormat="1">
      <c r="G47" s="311"/>
      <c r="H47" s="309"/>
      <c r="I47" s="309"/>
      <c r="J47" s="309"/>
      <c r="K47" s="311"/>
      <c r="L47" s="309"/>
      <c r="M47" s="311"/>
      <c r="N47" s="311"/>
      <c r="O47" s="311"/>
      <c r="P47" s="311"/>
      <c r="Q47" s="311"/>
      <c r="R47" s="311"/>
    </row>
    <row r="48" spans="7:18" s="326" customFormat="1">
      <c r="G48" s="311"/>
      <c r="H48" s="309"/>
      <c r="I48" s="309"/>
      <c r="J48" s="309"/>
      <c r="K48" s="311"/>
      <c r="L48" s="309"/>
      <c r="M48" s="311"/>
      <c r="N48" s="311"/>
      <c r="O48" s="311"/>
      <c r="P48" s="311"/>
      <c r="Q48" s="311"/>
      <c r="R48" s="311"/>
    </row>
    <row r="49" spans="7:18" s="326" customFormat="1">
      <c r="G49" s="311"/>
      <c r="H49" s="309"/>
      <c r="I49" s="309"/>
      <c r="J49" s="309"/>
      <c r="K49" s="311"/>
      <c r="L49" s="309"/>
      <c r="M49" s="311"/>
      <c r="N49" s="311"/>
      <c r="O49" s="311"/>
      <c r="P49" s="311"/>
      <c r="Q49" s="311"/>
      <c r="R49" s="311"/>
    </row>
    <row r="50" spans="7:18" s="326" customFormat="1">
      <c r="G50" s="311"/>
      <c r="H50" s="309"/>
      <c r="I50" s="309"/>
      <c r="J50" s="309"/>
      <c r="K50" s="311"/>
      <c r="L50" s="309"/>
      <c r="M50" s="311"/>
      <c r="N50" s="311"/>
      <c r="O50" s="311"/>
      <c r="P50" s="311"/>
      <c r="Q50" s="311"/>
      <c r="R50" s="311"/>
    </row>
    <row r="51" spans="7:18" s="326" customFormat="1">
      <c r="G51" s="311"/>
      <c r="H51" s="309"/>
      <c r="I51" s="309"/>
      <c r="J51" s="309"/>
      <c r="K51" s="311"/>
      <c r="L51" s="309"/>
      <c r="M51" s="311"/>
      <c r="N51" s="311"/>
      <c r="O51" s="311"/>
      <c r="P51" s="311"/>
      <c r="Q51" s="311"/>
      <c r="R51" s="311"/>
    </row>
    <row r="52" spans="7:18" s="326" customFormat="1">
      <c r="G52" s="311"/>
      <c r="H52" s="309"/>
      <c r="I52" s="309"/>
      <c r="J52" s="309"/>
      <c r="K52" s="311"/>
      <c r="L52" s="309"/>
      <c r="M52" s="311"/>
      <c r="N52" s="311"/>
      <c r="O52" s="311"/>
      <c r="P52" s="311"/>
      <c r="Q52" s="311"/>
      <c r="R52" s="311"/>
    </row>
    <row r="53" spans="7:18" s="326" customFormat="1">
      <c r="G53" s="311"/>
      <c r="H53" s="309"/>
      <c r="I53" s="309"/>
      <c r="J53" s="309"/>
      <c r="K53" s="311"/>
      <c r="L53" s="309"/>
      <c r="M53" s="311"/>
      <c r="N53" s="311"/>
      <c r="O53" s="311"/>
      <c r="P53" s="311"/>
      <c r="Q53" s="311"/>
      <c r="R53" s="311"/>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0070C0"/>
  </sheetPr>
  <dimension ref="A1:W63"/>
  <sheetViews>
    <sheetView topLeftCell="A10" zoomScale="85" zoomScaleNormal="85" workbookViewId="0">
      <selection activeCell="B12" sqref="B12"/>
    </sheetView>
  </sheetViews>
  <sheetFormatPr defaultColWidth="8.77734375" defaultRowHeight="13.8"/>
  <cols>
    <col min="1" max="1" width="10.21875" style="316" customWidth="1"/>
    <col min="2" max="2" width="88.77734375" style="316" customWidth="1"/>
    <col min="3" max="4" width="22.44140625" style="316" customWidth="1"/>
    <col min="5" max="6" width="81.77734375" style="316" customWidth="1"/>
    <col min="7" max="7" width="23.21875" style="311" customWidth="1"/>
    <col min="8" max="23" width="8.77734375" style="311"/>
    <col min="24" max="16384" width="8.77734375" style="316"/>
  </cols>
  <sheetData>
    <row r="1" spans="1:23" s="309" customFormat="1" ht="25.8">
      <c r="A1" s="308" t="s">
        <v>1919</v>
      </c>
      <c r="C1" s="310"/>
      <c r="G1" s="311"/>
      <c r="H1" s="311"/>
      <c r="I1" s="311"/>
      <c r="J1" s="311"/>
      <c r="K1" s="311"/>
      <c r="L1" s="311"/>
      <c r="M1" s="311"/>
      <c r="N1" s="311"/>
      <c r="O1" s="311"/>
      <c r="P1" s="311"/>
      <c r="Q1" s="311"/>
      <c r="R1" s="311"/>
      <c r="S1" s="311"/>
      <c r="T1" s="311"/>
      <c r="U1" s="311"/>
      <c r="V1" s="311"/>
      <c r="W1" s="311"/>
    </row>
    <row r="2" spans="1:23" s="309" customFormat="1" ht="25.8">
      <c r="A2" s="308" t="s">
        <v>1920</v>
      </c>
      <c r="C2" s="310"/>
      <c r="G2" s="311"/>
      <c r="H2" s="311"/>
      <c r="I2" s="311"/>
      <c r="J2" s="311"/>
      <c r="K2" s="311"/>
      <c r="L2" s="311"/>
      <c r="M2" s="311"/>
      <c r="N2" s="311"/>
      <c r="O2" s="311"/>
      <c r="P2" s="311"/>
      <c r="Q2" s="311"/>
      <c r="R2" s="311"/>
      <c r="S2" s="311"/>
      <c r="T2" s="311"/>
      <c r="U2" s="311"/>
      <c r="V2" s="311"/>
      <c r="W2" s="311"/>
    </row>
    <row r="3" spans="1:23" s="309" customFormat="1">
      <c r="A3" s="312" t="s">
        <v>23</v>
      </c>
      <c r="B3" s="309" t="s">
        <v>1921</v>
      </c>
      <c r="G3" s="311"/>
      <c r="H3" s="311"/>
      <c r="I3" s="311"/>
      <c r="J3" s="311"/>
      <c r="K3" s="311"/>
      <c r="L3" s="311"/>
      <c r="M3" s="311"/>
      <c r="N3" s="311"/>
      <c r="O3" s="311"/>
      <c r="P3" s="311"/>
      <c r="Q3" s="311"/>
      <c r="R3" s="311"/>
      <c r="S3" s="311"/>
      <c r="T3" s="311"/>
      <c r="U3" s="311"/>
      <c r="V3" s="311"/>
      <c r="W3" s="311"/>
    </row>
    <row r="4" spans="1:23" s="309" customFormat="1">
      <c r="A4" s="312" t="s">
        <v>1646</v>
      </c>
      <c r="B4" s="309" t="s">
        <v>1922</v>
      </c>
      <c r="G4" s="311"/>
      <c r="H4" s="311"/>
      <c r="I4" s="311"/>
      <c r="J4" s="311"/>
      <c r="K4" s="311"/>
      <c r="L4" s="311"/>
      <c r="M4" s="311"/>
      <c r="N4" s="311"/>
      <c r="O4" s="311"/>
      <c r="P4" s="311"/>
      <c r="Q4" s="311"/>
      <c r="R4" s="311"/>
      <c r="S4" s="311"/>
      <c r="T4" s="311"/>
      <c r="U4" s="311"/>
      <c r="V4" s="311"/>
      <c r="W4" s="311"/>
    </row>
    <row r="5" spans="1:23" s="309" customFormat="1">
      <c r="A5" s="309" t="s">
        <v>25</v>
      </c>
      <c r="B5" s="309" t="s">
        <v>246</v>
      </c>
      <c r="G5" s="311"/>
      <c r="H5" s="311"/>
      <c r="I5" s="311"/>
      <c r="J5" s="311"/>
      <c r="K5" s="311"/>
      <c r="L5" s="311"/>
      <c r="M5" s="311"/>
      <c r="N5" s="311"/>
      <c r="O5" s="311"/>
      <c r="P5" s="311"/>
      <c r="Q5" s="311"/>
      <c r="R5" s="311"/>
      <c r="S5" s="311"/>
      <c r="T5" s="311"/>
      <c r="U5" s="311"/>
      <c r="V5" s="311"/>
      <c r="W5" s="311"/>
    </row>
    <row r="6" spans="1:23" s="309" customFormat="1">
      <c r="A6" s="309" t="s">
        <v>1648</v>
      </c>
      <c r="B6" s="309" t="s">
        <v>1923</v>
      </c>
      <c r="G6" s="311"/>
      <c r="H6" s="311"/>
      <c r="I6" s="311"/>
      <c r="J6" s="311"/>
      <c r="K6" s="311"/>
      <c r="L6" s="311"/>
      <c r="M6" s="311"/>
      <c r="N6" s="311"/>
      <c r="O6" s="311"/>
      <c r="P6" s="311"/>
      <c r="Q6" s="311"/>
      <c r="R6" s="311"/>
      <c r="S6" s="311"/>
      <c r="T6" s="311"/>
      <c r="U6" s="311"/>
      <c r="V6" s="311"/>
      <c r="W6" s="311"/>
    </row>
    <row r="8" spans="1:23" s="309" customFormat="1">
      <c r="A8" s="337"/>
      <c r="B8" s="337"/>
      <c r="C8" s="337" t="s">
        <v>65</v>
      </c>
      <c r="D8" s="337" t="s">
        <v>54</v>
      </c>
      <c r="E8" s="337" t="s">
        <v>86</v>
      </c>
      <c r="F8" s="337" t="s">
        <v>1495</v>
      </c>
      <c r="G8" s="337" t="s">
        <v>1409</v>
      </c>
    </row>
    <row r="9" spans="1:23" s="312" customFormat="1">
      <c r="A9" s="317" t="s">
        <v>27</v>
      </c>
      <c r="B9" s="317"/>
      <c r="C9" s="318"/>
      <c r="D9" s="318"/>
      <c r="E9" s="318"/>
      <c r="F9" s="318"/>
      <c r="G9" s="318"/>
    </row>
    <row r="10" spans="1:23" s="312" customFormat="1" ht="50.25" customHeight="1">
      <c r="A10" s="3" t="s">
        <v>247</v>
      </c>
      <c r="B10" s="3" t="s">
        <v>1924</v>
      </c>
      <c r="C10" s="323" t="s">
        <v>1925</v>
      </c>
      <c r="D10" s="323" t="s">
        <v>1926</v>
      </c>
      <c r="E10" s="323" t="s">
        <v>1927</v>
      </c>
      <c r="F10" s="323"/>
      <c r="G10" s="3"/>
    </row>
    <row r="11" spans="1:23" s="145" customFormat="1">
      <c r="A11" s="317" t="s">
        <v>28</v>
      </c>
      <c r="B11" s="317"/>
      <c r="C11" s="318"/>
      <c r="D11" s="318"/>
      <c r="E11" s="318"/>
      <c r="F11" s="318"/>
      <c r="G11" s="318"/>
      <c r="H11" s="312"/>
      <c r="I11" s="312"/>
      <c r="J11" s="312"/>
      <c r="K11" s="312"/>
      <c r="L11" s="312"/>
      <c r="M11" s="312"/>
      <c r="N11" s="312"/>
      <c r="O11" s="312"/>
      <c r="P11" s="312"/>
      <c r="Q11" s="312"/>
      <c r="R11" s="312"/>
      <c r="S11" s="312"/>
      <c r="T11" s="312"/>
      <c r="U11" s="312"/>
      <c r="V11" s="312"/>
      <c r="W11" s="312"/>
    </row>
    <row r="12" spans="1:23" s="145" customFormat="1" ht="110.4">
      <c r="A12" s="3" t="s">
        <v>248</v>
      </c>
      <c r="B12" s="3" t="s">
        <v>1928</v>
      </c>
      <c r="C12" s="323" t="s">
        <v>1929</v>
      </c>
      <c r="D12" s="323" t="s">
        <v>1930</v>
      </c>
      <c r="E12" s="323" t="s">
        <v>1931</v>
      </c>
      <c r="F12" s="323"/>
      <c r="G12" s="3"/>
      <c r="H12" s="312"/>
      <c r="I12" s="312"/>
      <c r="J12" s="312"/>
      <c r="K12" s="312"/>
      <c r="L12" s="312"/>
      <c r="M12" s="312"/>
      <c r="N12" s="312"/>
      <c r="O12" s="312"/>
      <c r="P12" s="312"/>
      <c r="Q12" s="312"/>
      <c r="R12" s="312"/>
      <c r="S12" s="312"/>
      <c r="T12" s="312"/>
      <c r="U12" s="312"/>
      <c r="V12" s="312"/>
      <c r="W12" s="312"/>
    </row>
    <row r="13" spans="1:23" s="90" customFormat="1" ht="82.8">
      <c r="A13" s="3" t="s">
        <v>249</v>
      </c>
      <c r="B13" s="3" t="s">
        <v>1932</v>
      </c>
      <c r="C13" s="323" t="s">
        <v>1933</v>
      </c>
      <c r="D13" s="323" t="s">
        <v>1934</v>
      </c>
      <c r="E13" s="323" t="s">
        <v>1935</v>
      </c>
      <c r="F13" s="323"/>
      <c r="G13" s="3"/>
      <c r="H13" s="312"/>
      <c r="I13" s="312"/>
      <c r="J13" s="312"/>
      <c r="K13" s="312"/>
      <c r="L13" s="312"/>
      <c r="M13" s="312"/>
      <c r="N13" s="312"/>
      <c r="O13" s="312"/>
      <c r="P13" s="312"/>
      <c r="Q13" s="312"/>
      <c r="R13" s="312"/>
      <c r="S13" s="312"/>
      <c r="T13" s="312"/>
      <c r="U13" s="312"/>
      <c r="V13" s="312"/>
      <c r="W13" s="312"/>
    </row>
    <row r="14" spans="1:23" s="312" customFormat="1" ht="138">
      <c r="A14" s="3" t="s">
        <v>250</v>
      </c>
      <c r="B14" s="3" t="s">
        <v>1936</v>
      </c>
      <c r="C14" s="323" t="s">
        <v>1937</v>
      </c>
      <c r="D14" s="323" t="s">
        <v>1938</v>
      </c>
      <c r="E14" s="323" t="s">
        <v>1939</v>
      </c>
      <c r="F14" s="323"/>
      <c r="G14" s="3"/>
    </row>
    <row r="15" spans="1:23" s="312" customFormat="1" ht="165.6">
      <c r="A15" s="3" t="s">
        <v>251</v>
      </c>
      <c r="B15" s="3" t="s">
        <v>1940</v>
      </c>
      <c r="C15" s="323" t="s">
        <v>1941</v>
      </c>
      <c r="D15" s="323" t="s">
        <v>1942</v>
      </c>
      <c r="E15" s="323" t="s">
        <v>1943</v>
      </c>
      <c r="F15" s="323"/>
      <c r="G15" s="3"/>
    </row>
    <row r="16" spans="1:23" s="145" customFormat="1">
      <c r="A16" s="317" t="s">
        <v>29</v>
      </c>
      <c r="B16" s="317"/>
      <c r="C16" s="318"/>
      <c r="D16" s="318"/>
      <c r="E16" s="318"/>
      <c r="F16" s="318"/>
      <c r="G16" s="318"/>
      <c r="H16" s="312"/>
      <c r="I16" s="312"/>
      <c r="J16" s="312"/>
      <c r="K16" s="312"/>
      <c r="L16" s="312"/>
      <c r="M16" s="312"/>
      <c r="N16" s="312"/>
      <c r="O16" s="312"/>
      <c r="P16" s="312"/>
      <c r="Q16" s="312"/>
      <c r="R16" s="312"/>
      <c r="S16" s="312"/>
      <c r="T16" s="312"/>
      <c r="U16" s="312"/>
      <c r="V16" s="312"/>
      <c r="W16" s="312"/>
    </row>
    <row r="17" spans="1:23" s="145" customFormat="1" ht="179.4">
      <c r="A17" s="3" t="s">
        <v>252</v>
      </c>
      <c r="B17" s="3" t="s">
        <v>1944</v>
      </c>
      <c r="C17" s="323" t="s">
        <v>1945</v>
      </c>
      <c r="D17" s="323" t="s">
        <v>1946</v>
      </c>
      <c r="E17" s="323" t="s">
        <v>1947</v>
      </c>
      <c r="F17" s="323"/>
      <c r="G17" s="3"/>
      <c r="H17" s="312"/>
      <c r="I17" s="312"/>
      <c r="J17" s="312"/>
      <c r="K17" s="312"/>
      <c r="L17" s="312"/>
      <c r="M17" s="312"/>
      <c r="N17" s="312"/>
      <c r="O17" s="312"/>
      <c r="P17" s="312"/>
      <c r="Q17" s="312"/>
      <c r="R17" s="312"/>
      <c r="S17" s="312"/>
      <c r="T17" s="312"/>
      <c r="U17" s="312"/>
      <c r="V17" s="312"/>
      <c r="W17" s="312"/>
    </row>
    <row r="18" spans="1:23" s="326" customFormat="1">
      <c r="G18" s="311"/>
      <c r="H18" s="311"/>
      <c r="I18" s="311"/>
      <c r="J18" s="311"/>
      <c r="K18" s="311"/>
      <c r="L18" s="311"/>
      <c r="M18" s="311"/>
      <c r="N18" s="311"/>
      <c r="O18" s="311"/>
      <c r="P18" s="311"/>
      <c r="Q18" s="311"/>
      <c r="R18" s="311"/>
      <c r="S18" s="311"/>
      <c r="T18" s="311"/>
      <c r="U18" s="311"/>
      <c r="V18" s="311"/>
      <c r="W18" s="311"/>
    </row>
    <row r="19" spans="1:23" s="326" customFormat="1">
      <c r="G19" s="311"/>
      <c r="H19" s="311"/>
      <c r="I19" s="311"/>
      <c r="J19" s="311"/>
      <c r="K19" s="311"/>
      <c r="L19" s="311"/>
      <c r="M19" s="311"/>
      <c r="N19" s="311"/>
      <c r="O19" s="311"/>
      <c r="P19" s="311"/>
      <c r="Q19" s="311"/>
      <c r="R19" s="311"/>
      <c r="S19" s="311"/>
      <c r="T19" s="311"/>
      <c r="U19" s="311"/>
      <c r="V19" s="311"/>
      <c r="W19" s="311"/>
    </row>
    <row r="20" spans="1:23" s="326" customFormat="1">
      <c r="G20" s="311"/>
      <c r="H20" s="311"/>
      <c r="I20" s="311"/>
      <c r="J20" s="311"/>
      <c r="K20" s="311"/>
      <c r="L20" s="311"/>
      <c r="M20" s="311"/>
      <c r="N20" s="311"/>
      <c r="O20" s="311"/>
      <c r="P20" s="311"/>
      <c r="Q20" s="311"/>
      <c r="R20" s="311"/>
      <c r="S20" s="311"/>
      <c r="T20" s="311"/>
      <c r="U20" s="311"/>
      <c r="V20" s="311"/>
      <c r="W20" s="311"/>
    </row>
    <row r="21" spans="1:23" s="326" customFormat="1">
      <c r="G21" s="311"/>
      <c r="H21" s="311"/>
      <c r="I21" s="311"/>
      <c r="J21" s="311"/>
      <c r="K21" s="311"/>
      <c r="L21" s="311"/>
      <c r="M21" s="311"/>
      <c r="N21" s="311"/>
      <c r="O21" s="311"/>
      <c r="P21" s="311"/>
      <c r="Q21" s="311"/>
      <c r="R21" s="311"/>
      <c r="S21" s="311"/>
      <c r="T21" s="311"/>
      <c r="U21" s="311"/>
      <c r="V21" s="311"/>
      <c r="W21" s="311"/>
    </row>
    <row r="22" spans="1:23" s="326" customFormat="1">
      <c r="G22" s="311"/>
      <c r="H22" s="311"/>
      <c r="I22" s="311"/>
      <c r="J22" s="311"/>
      <c r="K22" s="311"/>
      <c r="L22" s="311"/>
      <c r="M22" s="311"/>
      <c r="N22" s="311"/>
      <c r="O22" s="311"/>
      <c r="P22" s="311"/>
      <c r="Q22" s="311"/>
      <c r="R22" s="311"/>
      <c r="S22" s="311"/>
      <c r="T22" s="311"/>
      <c r="U22" s="311"/>
      <c r="V22" s="311"/>
      <c r="W22" s="311"/>
    </row>
    <row r="23" spans="1:23" s="326" customFormat="1">
      <c r="G23" s="311"/>
      <c r="H23" s="311"/>
      <c r="I23" s="311"/>
      <c r="J23" s="311"/>
      <c r="K23" s="311"/>
      <c r="L23" s="311"/>
      <c r="M23" s="311"/>
      <c r="N23" s="311"/>
      <c r="O23" s="311"/>
      <c r="P23" s="311"/>
      <c r="Q23" s="311"/>
      <c r="R23" s="311"/>
      <c r="S23" s="311"/>
      <c r="T23" s="311"/>
      <c r="U23" s="311"/>
      <c r="V23" s="311"/>
      <c r="W23" s="311"/>
    </row>
    <row r="24" spans="1:23" s="326" customFormat="1">
      <c r="G24" s="311"/>
      <c r="H24" s="311"/>
      <c r="I24" s="311"/>
      <c r="J24" s="311"/>
      <c r="K24" s="311"/>
      <c r="L24" s="311"/>
      <c r="M24" s="311"/>
      <c r="N24" s="311"/>
      <c r="O24" s="311"/>
      <c r="P24" s="311"/>
      <c r="Q24" s="311"/>
      <c r="R24" s="311"/>
      <c r="S24" s="311"/>
      <c r="T24" s="311"/>
      <c r="U24" s="311"/>
      <c r="V24" s="311"/>
      <c r="W24" s="311"/>
    </row>
    <row r="25" spans="1:23" s="326" customFormat="1">
      <c r="G25" s="311"/>
      <c r="H25" s="311"/>
      <c r="I25" s="311"/>
      <c r="J25" s="311"/>
      <c r="K25" s="311"/>
      <c r="L25" s="311"/>
      <c r="M25" s="311"/>
      <c r="N25" s="311"/>
      <c r="O25" s="311"/>
      <c r="P25" s="311"/>
      <c r="Q25" s="311"/>
      <c r="R25" s="311"/>
      <c r="S25" s="311"/>
      <c r="T25" s="311"/>
      <c r="U25" s="311"/>
      <c r="V25" s="311"/>
      <c r="W25" s="311"/>
    </row>
    <row r="26" spans="1:23" s="326" customFormat="1">
      <c r="G26" s="311"/>
      <c r="H26" s="311"/>
      <c r="I26" s="311"/>
      <c r="J26" s="311"/>
      <c r="K26" s="311"/>
      <c r="L26" s="311"/>
      <c r="M26" s="311"/>
      <c r="N26" s="311"/>
      <c r="O26" s="311"/>
      <c r="P26" s="311"/>
      <c r="Q26" s="311"/>
      <c r="R26" s="311"/>
      <c r="S26" s="311"/>
      <c r="T26" s="311"/>
      <c r="U26" s="311"/>
      <c r="V26" s="311"/>
      <c r="W26" s="311"/>
    </row>
    <row r="27" spans="1:23" s="326" customFormat="1">
      <c r="G27" s="311"/>
      <c r="H27" s="311"/>
      <c r="I27" s="311"/>
      <c r="J27" s="311"/>
      <c r="K27" s="311"/>
      <c r="L27" s="311"/>
      <c r="M27" s="311"/>
      <c r="N27" s="311"/>
      <c r="O27" s="311"/>
      <c r="P27" s="311"/>
      <c r="Q27" s="311"/>
      <c r="R27" s="311"/>
      <c r="S27" s="311"/>
      <c r="T27" s="311"/>
      <c r="U27" s="311"/>
      <c r="V27" s="311"/>
      <c r="W27" s="311"/>
    </row>
    <row r="28" spans="1:23" s="326" customFormat="1">
      <c r="G28" s="311"/>
      <c r="H28" s="311"/>
      <c r="I28" s="311"/>
      <c r="J28" s="311"/>
      <c r="K28" s="311"/>
      <c r="L28" s="311"/>
      <c r="M28" s="311"/>
      <c r="N28" s="311"/>
      <c r="O28" s="311"/>
      <c r="P28" s="311"/>
      <c r="Q28" s="311"/>
      <c r="R28" s="311"/>
      <c r="S28" s="311"/>
      <c r="T28" s="311"/>
      <c r="U28" s="311"/>
      <c r="V28" s="311"/>
      <c r="W28" s="311"/>
    </row>
    <row r="29" spans="1:23" s="326" customFormat="1">
      <c r="G29" s="311"/>
      <c r="H29" s="311"/>
      <c r="I29" s="311"/>
      <c r="J29" s="311"/>
      <c r="K29" s="311"/>
      <c r="L29" s="311"/>
      <c r="M29" s="311"/>
      <c r="N29" s="311"/>
      <c r="O29" s="311"/>
      <c r="P29" s="311"/>
      <c r="Q29" s="311"/>
      <c r="R29" s="311"/>
      <c r="S29" s="311"/>
      <c r="T29" s="311"/>
      <c r="U29" s="311"/>
      <c r="V29" s="311"/>
      <c r="W29" s="311"/>
    </row>
    <row r="30" spans="1:23" s="326" customFormat="1">
      <c r="G30" s="311"/>
      <c r="H30" s="311"/>
      <c r="I30" s="311"/>
      <c r="J30" s="311"/>
      <c r="K30" s="311"/>
      <c r="L30" s="311"/>
      <c r="M30" s="311"/>
      <c r="N30" s="311"/>
      <c r="O30" s="311"/>
      <c r="P30" s="311"/>
      <c r="Q30" s="311"/>
      <c r="R30" s="311"/>
      <c r="S30" s="311"/>
      <c r="T30" s="311"/>
      <c r="U30" s="311"/>
      <c r="V30" s="311"/>
      <c r="W30" s="311"/>
    </row>
    <row r="31" spans="1:23" s="326" customFormat="1">
      <c r="G31" s="311"/>
      <c r="H31" s="311"/>
      <c r="I31" s="311"/>
      <c r="J31" s="311"/>
      <c r="K31" s="311"/>
      <c r="L31" s="311"/>
      <c r="M31" s="311"/>
      <c r="N31" s="311"/>
      <c r="O31" s="311"/>
      <c r="P31" s="311"/>
      <c r="Q31" s="311"/>
      <c r="R31" s="311"/>
      <c r="S31" s="311"/>
      <c r="T31" s="311"/>
      <c r="U31" s="311"/>
      <c r="V31" s="311"/>
      <c r="W31" s="311"/>
    </row>
    <row r="32" spans="1:23" s="326" customFormat="1">
      <c r="G32" s="311"/>
      <c r="H32" s="311"/>
      <c r="I32" s="311"/>
      <c r="J32" s="311"/>
      <c r="K32" s="311"/>
      <c r="L32" s="311"/>
      <c r="M32" s="311"/>
      <c r="N32" s="311"/>
      <c r="O32" s="311"/>
      <c r="P32" s="311"/>
      <c r="Q32" s="311"/>
      <c r="R32" s="311"/>
      <c r="S32" s="311"/>
      <c r="T32" s="311"/>
      <c r="U32" s="311"/>
      <c r="V32" s="311"/>
      <c r="W32" s="311"/>
    </row>
    <row r="33" spans="7:23" s="326" customFormat="1">
      <c r="G33" s="311"/>
      <c r="H33" s="311"/>
      <c r="I33" s="311"/>
      <c r="J33" s="311"/>
      <c r="K33" s="311"/>
      <c r="L33" s="311"/>
      <c r="M33" s="311"/>
      <c r="N33" s="311"/>
      <c r="O33" s="311"/>
      <c r="P33" s="311"/>
      <c r="Q33" s="311"/>
      <c r="R33" s="311"/>
      <c r="S33" s="311"/>
      <c r="T33" s="311"/>
      <c r="U33" s="311"/>
      <c r="V33" s="311"/>
      <c r="W33" s="311"/>
    </row>
    <row r="34" spans="7:23" s="326" customFormat="1">
      <c r="G34" s="311"/>
      <c r="H34" s="311"/>
      <c r="I34" s="311"/>
      <c r="J34" s="311"/>
      <c r="K34" s="311"/>
      <c r="L34" s="311"/>
      <c r="M34" s="311"/>
      <c r="N34" s="311"/>
      <c r="O34" s="311"/>
      <c r="P34" s="311"/>
      <c r="Q34" s="311"/>
      <c r="R34" s="311"/>
      <c r="S34" s="311"/>
      <c r="T34" s="311"/>
      <c r="U34" s="311"/>
      <c r="V34" s="311"/>
      <c r="W34" s="311"/>
    </row>
    <row r="35" spans="7:23" s="326" customFormat="1">
      <c r="G35" s="311"/>
      <c r="H35" s="311"/>
      <c r="I35" s="311"/>
      <c r="J35" s="311"/>
      <c r="K35" s="311"/>
      <c r="L35" s="311"/>
      <c r="M35" s="311"/>
      <c r="N35" s="311"/>
      <c r="O35" s="311"/>
      <c r="P35" s="311"/>
      <c r="Q35" s="311"/>
      <c r="R35" s="311"/>
      <c r="S35" s="311"/>
      <c r="T35" s="311"/>
      <c r="U35" s="311"/>
      <c r="V35" s="311"/>
      <c r="W35" s="311"/>
    </row>
    <row r="36" spans="7:23" s="326" customFormat="1">
      <c r="G36" s="311"/>
      <c r="H36" s="311"/>
      <c r="I36" s="311"/>
      <c r="J36" s="311"/>
      <c r="K36" s="311"/>
      <c r="L36" s="311"/>
      <c r="M36" s="311"/>
      <c r="N36" s="311"/>
      <c r="O36" s="311"/>
      <c r="P36" s="311"/>
      <c r="Q36" s="311"/>
      <c r="R36" s="311"/>
      <c r="S36" s="311"/>
      <c r="T36" s="311"/>
      <c r="U36" s="311"/>
      <c r="V36" s="311"/>
      <c r="W36" s="311"/>
    </row>
    <row r="37" spans="7:23" s="326" customFormat="1">
      <c r="G37" s="311"/>
      <c r="H37" s="311"/>
      <c r="I37" s="311"/>
      <c r="J37" s="311"/>
      <c r="K37" s="311"/>
      <c r="L37" s="311"/>
      <c r="M37" s="311"/>
      <c r="N37" s="311"/>
      <c r="O37" s="311"/>
      <c r="P37" s="311"/>
      <c r="Q37" s="311"/>
      <c r="R37" s="311"/>
      <c r="S37" s="311"/>
      <c r="T37" s="311"/>
      <c r="U37" s="311"/>
      <c r="V37" s="311"/>
      <c r="W37" s="311"/>
    </row>
    <row r="38" spans="7:23" s="326" customFormat="1">
      <c r="G38" s="311"/>
      <c r="H38" s="311"/>
      <c r="I38" s="311"/>
      <c r="J38" s="311"/>
      <c r="K38" s="311"/>
      <c r="L38" s="311"/>
      <c r="M38" s="311"/>
      <c r="N38" s="311"/>
      <c r="O38" s="311"/>
      <c r="P38" s="311"/>
      <c r="Q38" s="311"/>
      <c r="R38" s="311"/>
      <c r="S38" s="311"/>
      <c r="T38" s="311"/>
      <c r="U38" s="311"/>
      <c r="V38" s="311"/>
      <c r="W38" s="311"/>
    </row>
    <row r="39" spans="7:23" s="326" customFormat="1">
      <c r="G39" s="311"/>
      <c r="H39" s="311"/>
      <c r="I39" s="311"/>
      <c r="J39" s="311"/>
      <c r="K39" s="311"/>
      <c r="L39" s="311"/>
      <c r="M39" s="311"/>
      <c r="N39" s="311"/>
      <c r="O39" s="311"/>
      <c r="P39" s="311"/>
      <c r="Q39" s="311"/>
      <c r="R39" s="311"/>
      <c r="S39" s="311"/>
      <c r="T39" s="311"/>
      <c r="U39" s="311"/>
      <c r="V39" s="311"/>
      <c r="W39" s="311"/>
    </row>
    <row r="40" spans="7:23" s="326" customFormat="1">
      <c r="G40" s="311"/>
      <c r="H40" s="311"/>
      <c r="I40" s="311"/>
      <c r="J40" s="311"/>
      <c r="K40" s="311"/>
      <c r="L40" s="311"/>
      <c r="M40" s="311"/>
      <c r="N40" s="311"/>
      <c r="O40" s="311"/>
      <c r="P40" s="311"/>
      <c r="Q40" s="311"/>
      <c r="R40" s="311"/>
      <c r="S40" s="311"/>
      <c r="T40" s="311"/>
      <c r="U40" s="311"/>
      <c r="V40" s="311"/>
      <c r="W40" s="311"/>
    </row>
    <row r="41" spans="7:23" s="326" customFormat="1">
      <c r="G41" s="311"/>
      <c r="H41" s="311"/>
      <c r="I41" s="311"/>
      <c r="J41" s="311"/>
      <c r="K41" s="311"/>
      <c r="L41" s="311"/>
      <c r="M41" s="311"/>
      <c r="N41" s="311"/>
      <c r="O41" s="311"/>
      <c r="P41" s="311"/>
      <c r="Q41" s="311"/>
      <c r="R41" s="311"/>
      <c r="S41" s="311"/>
      <c r="T41" s="311"/>
      <c r="U41" s="311"/>
      <c r="V41" s="311"/>
      <c r="W41" s="311"/>
    </row>
    <row r="42" spans="7:23" s="326" customFormat="1">
      <c r="G42" s="311"/>
      <c r="H42" s="311"/>
      <c r="I42" s="311"/>
      <c r="J42" s="311"/>
      <c r="K42" s="311"/>
      <c r="L42" s="311"/>
      <c r="M42" s="311"/>
      <c r="N42" s="311"/>
      <c r="O42" s="311"/>
      <c r="P42" s="311"/>
      <c r="Q42" s="311"/>
      <c r="R42" s="311"/>
      <c r="S42" s="311"/>
      <c r="T42" s="311"/>
      <c r="U42" s="311"/>
      <c r="V42" s="311"/>
      <c r="W42" s="311"/>
    </row>
    <row r="43" spans="7:23" s="327" customFormat="1">
      <c r="G43" s="311"/>
      <c r="H43" s="311"/>
      <c r="I43" s="311"/>
      <c r="J43" s="311"/>
      <c r="K43" s="311"/>
      <c r="L43" s="311"/>
      <c r="M43" s="311"/>
      <c r="N43" s="311"/>
      <c r="O43" s="311"/>
      <c r="P43" s="311"/>
      <c r="Q43" s="311"/>
      <c r="R43" s="311"/>
      <c r="S43" s="311"/>
      <c r="T43" s="311"/>
      <c r="U43" s="311"/>
      <c r="V43" s="311"/>
      <c r="W43" s="311"/>
    </row>
    <row r="44" spans="7:23" s="327" customFormat="1">
      <c r="G44" s="311"/>
      <c r="H44" s="311"/>
      <c r="I44" s="311"/>
      <c r="J44" s="311"/>
      <c r="K44" s="311"/>
      <c r="L44" s="311"/>
      <c r="M44" s="311"/>
      <c r="N44" s="311"/>
      <c r="O44" s="311"/>
      <c r="P44" s="311"/>
      <c r="Q44" s="311"/>
      <c r="R44" s="311"/>
      <c r="S44" s="311"/>
      <c r="T44" s="311"/>
      <c r="U44" s="311"/>
      <c r="V44" s="311"/>
      <c r="W44" s="311"/>
    </row>
    <row r="45" spans="7:23" s="327" customFormat="1">
      <c r="G45" s="311"/>
      <c r="H45" s="311"/>
      <c r="I45" s="311"/>
      <c r="J45" s="311"/>
      <c r="K45" s="311"/>
      <c r="L45" s="311"/>
      <c r="M45" s="311"/>
      <c r="N45" s="311"/>
      <c r="O45" s="311"/>
      <c r="P45" s="311"/>
      <c r="Q45" s="311"/>
      <c r="R45" s="311"/>
      <c r="S45" s="311"/>
      <c r="T45" s="311"/>
      <c r="U45" s="311"/>
      <c r="V45" s="311"/>
      <c r="W45" s="311"/>
    </row>
    <row r="46" spans="7:23" s="327" customFormat="1">
      <c r="G46" s="311"/>
      <c r="H46" s="311"/>
      <c r="I46" s="311"/>
      <c r="J46" s="311"/>
      <c r="K46" s="311"/>
      <c r="L46" s="311"/>
      <c r="M46" s="311"/>
      <c r="N46" s="311"/>
      <c r="O46" s="311"/>
      <c r="P46" s="311"/>
      <c r="Q46" s="311"/>
      <c r="R46" s="311"/>
      <c r="S46" s="311"/>
      <c r="T46" s="311"/>
      <c r="U46" s="311"/>
      <c r="V46" s="311"/>
      <c r="W46" s="311"/>
    </row>
    <row r="47" spans="7:23" s="327" customFormat="1">
      <c r="G47" s="311"/>
      <c r="H47" s="311"/>
      <c r="I47" s="311"/>
      <c r="J47" s="311"/>
      <c r="K47" s="311"/>
      <c r="L47" s="311"/>
      <c r="M47" s="311"/>
      <c r="N47" s="311"/>
      <c r="O47" s="311"/>
      <c r="P47" s="311"/>
      <c r="Q47" s="311"/>
      <c r="R47" s="311"/>
      <c r="S47" s="311"/>
      <c r="T47" s="311"/>
      <c r="U47" s="311"/>
      <c r="V47" s="311"/>
      <c r="W47" s="311"/>
    </row>
    <row r="48" spans="7:23" s="327" customFormat="1">
      <c r="G48" s="311"/>
      <c r="H48" s="311"/>
      <c r="I48" s="311"/>
      <c r="J48" s="311"/>
      <c r="K48" s="311"/>
      <c r="L48" s="311"/>
      <c r="M48" s="311"/>
      <c r="N48" s="311"/>
      <c r="O48" s="311"/>
      <c r="P48" s="311"/>
      <c r="Q48" s="311"/>
      <c r="R48" s="311"/>
      <c r="S48" s="311"/>
      <c r="T48" s="311"/>
      <c r="U48" s="311"/>
      <c r="V48" s="311"/>
      <c r="W48" s="311"/>
    </row>
    <row r="49" spans="7:23" s="327" customFormat="1">
      <c r="G49" s="311"/>
      <c r="H49" s="311"/>
      <c r="I49" s="311"/>
      <c r="J49" s="311"/>
      <c r="K49" s="311"/>
      <c r="L49" s="311"/>
      <c r="M49" s="311"/>
      <c r="N49" s="311"/>
      <c r="O49" s="311"/>
      <c r="P49" s="311"/>
      <c r="Q49" s="311"/>
      <c r="R49" s="311"/>
      <c r="S49" s="311"/>
      <c r="T49" s="311"/>
      <c r="U49" s="311"/>
      <c r="V49" s="311"/>
      <c r="W49" s="311"/>
    </row>
    <row r="50" spans="7:23" s="327" customFormat="1">
      <c r="G50" s="311"/>
      <c r="H50" s="311"/>
      <c r="I50" s="311"/>
      <c r="J50" s="311"/>
      <c r="K50" s="311"/>
      <c r="L50" s="311"/>
      <c r="M50" s="311"/>
      <c r="N50" s="311"/>
      <c r="O50" s="311"/>
      <c r="P50" s="311"/>
      <c r="Q50" s="311"/>
      <c r="R50" s="311"/>
      <c r="S50" s="311"/>
      <c r="T50" s="311"/>
      <c r="U50" s="311"/>
      <c r="V50" s="311"/>
      <c r="W50" s="311"/>
    </row>
    <row r="51" spans="7:23" s="327" customFormat="1">
      <c r="G51" s="311"/>
      <c r="H51" s="311"/>
      <c r="I51" s="311"/>
      <c r="J51" s="311"/>
      <c r="K51" s="311"/>
      <c r="L51" s="311"/>
      <c r="M51" s="311"/>
      <c r="N51" s="311"/>
      <c r="O51" s="311"/>
      <c r="P51" s="311"/>
      <c r="Q51" s="311"/>
      <c r="R51" s="311"/>
      <c r="S51" s="311"/>
      <c r="T51" s="311"/>
      <c r="U51" s="311"/>
      <c r="V51" s="311"/>
      <c r="W51" s="311"/>
    </row>
    <row r="52" spans="7:23" s="327" customFormat="1">
      <c r="G52" s="311"/>
      <c r="H52" s="311"/>
      <c r="I52" s="311"/>
      <c r="J52" s="311"/>
      <c r="K52" s="311"/>
      <c r="L52" s="311"/>
      <c r="M52" s="311"/>
      <c r="N52" s="311"/>
      <c r="O52" s="311"/>
      <c r="P52" s="311"/>
      <c r="Q52" s="311"/>
      <c r="R52" s="311"/>
      <c r="S52" s="311"/>
      <c r="T52" s="311"/>
      <c r="U52" s="311"/>
      <c r="V52" s="311"/>
      <c r="W52" s="311"/>
    </row>
    <row r="53" spans="7:23" s="327" customFormat="1">
      <c r="G53" s="311"/>
      <c r="H53" s="311"/>
      <c r="I53" s="311"/>
      <c r="J53" s="311"/>
      <c r="K53" s="311"/>
      <c r="L53" s="311"/>
      <c r="M53" s="311"/>
      <c r="N53" s="311"/>
      <c r="O53" s="311"/>
      <c r="P53" s="311"/>
      <c r="Q53" s="311"/>
      <c r="R53" s="311"/>
      <c r="S53" s="311"/>
      <c r="T53" s="311"/>
      <c r="U53" s="311"/>
      <c r="V53" s="311"/>
      <c r="W53" s="311"/>
    </row>
    <row r="54" spans="7:23" s="327" customFormat="1">
      <c r="G54" s="311"/>
      <c r="H54" s="311"/>
      <c r="I54" s="311"/>
      <c r="J54" s="311"/>
      <c r="K54" s="311"/>
      <c r="L54" s="311"/>
      <c r="M54" s="311"/>
      <c r="N54" s="311"/>
      <c r="O54" s="311"/>
      <c r="P54" s="311"/>
      <c r="Q54" s="311"/>
      <c r="R54" s="311"/>
      <c r="S54" s="311"/>
      <c r="T54" s="311"/>
      <c r="U54" s="311"/>
      <c r="V54" s="311"/>
      <c r="W54" s="311"/>
    </row>
    <row r="55" spans="7:23" s="327" customFormat="1">
      <c r="G55" s="311"/>
      <c r="H55" s="311"/>
      <c r="I55" s="311"/>
      <c r="J55" s="311"/>
      <c r="K55" s="311"/>
      <c r="L55" s="311"/>
      <c r="M55" s="311"/>
      <c r="N55" s="311"/>
      <c r="O55" s="311"/>
      <c r="P55" s="311"/>
      <c r="Q55" s="311"/>
      <c r="R55" s="311"/>
      <c r="S55" s="311"/>
      <c r="T55" s="311"/>
      <c r="U55" s="311"/>
      <c r="V55" s="311"/>
      <c r="W55" s="311"/>
    </row>
    <row r="56" spans="7:23" s="327" customFormat="1">
      <c r="G56" s="311"/>
      <c r="H56" s="311"/>
      <c r="I56" s="311"/>
      <c r="J56" s="311"/>
      <c r="K56" s="311"/>
      <c r="L56" s="311"/>
      <c r="M56" s="311"/>
      <c r="N56" s="311"/>
      <c r="O56" s="311"/>
      <c r="P56" s="311"/>
      <c r="Q56" s="311"/>
      <c r="R56" s="311"/>
      <c r="S56" s="311"/>
      <c r="T56" s="311"/>
      <c r="U56" s="311"/>
      <c r="V56" s="311"/>
      <c r="W56" s="311"/>
    </row>
    <row r="57" spans="7:23" s="327" customFormat="1">
      <c r="G57" s="311"/>
      <c r="H57" s="311"/>
      <c r="I57" s="311"/>
      <c r="J57" s="311"/>
      <c r="K57" s="311"/>
      <c r="L57" s="311"/>
      <c r="M57" s="311"/>
      <c r="N57" s="311"/>
      <c r="O57" s="311"/>
      <c r="P57" s="311"/>
      <c r="Q57" s="311"/>
      <c r="R57" s="311"/>
      <c r="S57" s="311"/>
      <c r="T57" s="311"/>
      <c r="U57" s="311"/>
      <c r="V57" s="311"/>
      <c r="W57" s="311"/>
    </row>
    <row r="58" spans="7:23" s="327" customFormat="1">
      <c r="G58" s="311"/>
      <c r="H58" s="311"/>
      <c r="I58" s="311"/>
      <c r="J58" s="311"/>
      <c r="K58" s="311"/>
      <c r="L58" s="311"/>
      <c r="M58" s="311"/>
      <c r="N58" s="311"/>
      <c r="O58" s="311"/>
      <c r="P58" s="311"/>
      <c r="Q58" s="311"/>
      <c r="R58" s="311"/>
      <c r="S58" s="311"/>
      <c r="T58" s="311"/>
      <c r="U58" s="311"/>
      <c r="V58" s="311"/>
      <c r="W58" s="311"/>
    </row>
    <row r="59" spans="7:23" s="327" customFormat="1">
      <c r="G59" s="311"/>
      <c r="H59" s="311"/>
      <c r="I59" s="311"/>
      <c r="J59" s="311"/>
      <c r="K59" s="311"/>
      <c r="L59" s="311"/>
      <c r="M59" s="311"/>
      <c r="N59" s="311"/>
      <c r="O59" s="311"/>
      <c r="P59" s="311"/>
      <c r="Q59" s="311"/>
      <c r="R59" s="311"/>
      <c r="S59" s="311"/>
      <c r="T59" s="311"/>
      <c r="U59" s="311"/>
      <c r="V59" s="311"/>
      <c r="W59" s="311"/>
    </row>
    <row r="60" spans="7:23" s="327" customFormat="1">
      <c r="G60" s="311"/>
      <c r="H60" s="311"/>
      <c r="I60" s="311"/>
      <c r="J60" s="311"/>
      <c r="K60" s="311"/>
      <c r="L60" s="311"/>
      <c r="M60" s="311"/>
      <c r="N60" s="311"/>
      <c r="O60" s="311"/>
      <c r="P60" s="311"/>
      <c r="Q60" s="311"/>
      <c r="R60" s="311"/>
      <c r="S60" s="311"/>
      <c r="T60" s="311"/>
      <c r="U60" s="311"/>
      <c r="V60" s="311"/>
      <c r="W60" s="311"/>
    </row>
    <row r="61" spans="7:23" s="327" customFormat="1">
      <c r="G61" s="311"/>
      <c r="H61" s="311"/>
      <c r="I61" s="311"/>
      <c r="J61" s="311"/>
      <c r="K61" s="311"/>
      <c r="L61" s="311"/>
      <c r="M61" s="311"/>
      <c r="N61" s="311"/>
      <c r="O61" s="311"/>
      <c r="P61" s="311"/>
      <c r="Q61" s="311"/>
      <c r="R61" s="311"/>
      <c r="S61" s="311"/>
      <c r="T61" s="311"/>
      <c r="U61" s="311"/>
      <c r="V61" s="311"/>
      <c r="W61" s="311"/>
    </row>
    <row r="62" spans="7:23" s="327" customFormat="1">
      <c r="G62" s="311"/>
      <c r="H62" s="311"/>
      <c r="I62" s="311"/>
      <c r="J62" s="311"/>
      <c r="K62" s="311"/>
      <c r="L62" s="311"/>
      <c r="M62" s="311"/>
      <c r="N62" s="311"/>
      <c r="O62" s="311"/>
      <c r="P62" s="311"/>
      <c r="Q62" s="311"/>
      <c r="R62" s="311"/>
      <c r="S62" s="311"/>
      <c r="T62" s="311"/>
      <c r="U62" s="311"/>
      <c r="V62" s="311"/>
      <c r="W62" s="311"/>
    </row>
    <row r="63" spans="7:23" s="327" customFormat="1">
      <c r="G63" s="311"/>
      <c r="H63" s="311"/>
      <c r="I63" s="311"/>
      <c r="J63" s="311"/>
      <c r="K63" s="311"/>
      <c r="L63" s="311"/>
      <c r="M63" s="311"/>
      <c r="N63" s="311"/>
      <c r="O63" s="311"/>
      <c r="P63" s="311"/>
      <c r="Q63" s="311"/>
      <c r="R63" s="311"/>
      <c r="S63" s="311"/>
      <c r="T63" s="311"/>
      <c r="U63" s="311"/>
      <c r="V63" s="311"/>
      <c r="W63" s="311"/>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0070C0"/>
  </sheetPr>
  <dimension ref="A1:AG22"/>
  <sheetViews>
    <sheetView topLeftCell="A15" zoomScale="80" zoomScaleNormal="80" workbookViewId="0">
      <selection activeCell="A15" sqref="A1:XFD1048576"/>
    </sheetView>
  </sheetViews>
  <sheetFormatPr defaultColWidth="8.77734375" defaultRowHeight="13.8"/>
  <cols>
    <col min="1" max="1" width="10.21875" style="316" customWidth="1"/>
    <col min="2" max="2" width="88.77734375" style="316" customWidth="1"/>
    <col min="3" max="4" width="25.77734375" style="309" customWidth="1"/>
    <col min="5" max="5" width="67.77734375" style="309" customWidth="1"/>
    <col min="6" max="6" width="38.21875" style="316" customWidth="1"/>
    <col min="7" max="7" width="21.44140625" style="311" customWidth="1"/>
    <col min="8" max="16384" width="8.77734375" style="316"/>
  </cols>
  <sheetData>
    <row r="1" spans="1:33" s="333" customFormat="1" ht="25.8">
      <c r="A1" s="308" t="s">
        <v>1948</v>
      </c>
      <c r="B1" s="309"/>
      <c r="C1" s="310"/>
      <c r="D1" s="309"/>
      <c r="E1" s="309"/>
      <c r="F1" s="309"/>
      <c r="G1" s="311"/>
      <c r="H1" s="309"/>
      <c r="I1" s="309"/>
      <c r="J1" s="309"/>
      <c r="K1" s="309"/>
      <c r="L1" s="309"/>
      <c r="M1" s="309"/>
      <c r="N1" s="309"/>
      <c r="O1" s="309"/>
      <c r="P1" s="309"/>
      <c r="Q1" s="309"/>
      <c r="R1" s="309"/>
      <c r="S1" s="309"/>
      <c r="T1" s="309"/>
      <c r="U1" s="309"/>
      <c r="V1" s="309"/>
      <c r="W1" s="309"/>
      <c r="X1" s="309"/>
      <c r="Y1" s="309"/>
      <c r="Z1" s="309"/>
      <c r="AA1" s="309"/>
      <c r="AB1" s="309"/>
      <c r="AC1" s="309"/>
      <c r="AD1" s="309"/>
      <c r="AE1" s="309"/>
      <c r="AF1" s="309"/>
      <c r="AG1" s="309"/>
    </row>
    <row r="2" spans="1:33" s="136" customFormat="1" ht="25.8">
      <c r="A2" s="308" t="s">
        <v>1949</v>
      </c>
      <c r="B2" s="309"/>
      <c r="C2" s="310"/>
      <c r="D2" s="309"/>
      <c r="E2" s="309"/>
      <c r="F2" s="309"/>
      <c r="G2" s="311"/>
      <c r="H2" s="309"/>
      <c r="I2" s="309"/>
      <c r="J2" s="309"/>
      <c r="K2" s="309"/>
      <c r="L2" s="309"/>
      <c r="M2" s="309"/>
      <c r="N2" s="309"/>
      <c r="O2" s="309"/>
      <c r="P2" s="309"/>
      <c r="Q2" s="309"/>
      <c r="R2" s="309"/>
      <c r="S2" s="309"/>
      <c r="T2" s="309"/>
      <c r="U2" s="309"/>
      <c r="V2" s="309"/>
      <c r="W2" s="309"/>
      <c r="X2" s="309"/>
      <c r="Y2" s="309"/>
      <c r="Z2" s="309"/>
      <c r="AA2" s="309"/>
      <c r="AB2" s="309"/>
      <c r="AC2" s="309"/>
      <c r="AD2" s="309"/>
      <c r="AE2" s="309"/>
      <c r="AF2" s="309"/>
      <c r="AG2" s="309"/>
    </row>
    <row r="3" spans="1:33" s="136" customFormat="1">
      <c r="A3" s="312" t="s">
        <v>23</v>
      </c>
      <c r="B3" s="309" t="s">
        <v>1950</v>
      </c>
      <c r="C3" s="309"/>
      <c r="D3" s="309"/>
      <c r="E3" s="309"/>
      <c r="F3" s="309"/>
      <c r="G3" s="311"/>
      <c r="H3" s="309"/>
      <c r="I3" s="309"/>
      <c r="J3" s="309"/>
      <c r="K3" s="309"/>
      <c r="L3" s="309"/>
      <c r="M3" s="309"/>
      <c r="N3" s="309"/>
      <c r="O3" s="309"/>
      <c r="P3" s="309"/>
      <c r="Q3" s="309"/>
      <c r="R3" s="309"/>
      <c r="S3" s="309"/>
      <c r="T3" s="309"/>
      <c r="U3" s="309"/>
      <c r="V3" s="309"/>
      <c r="W3" s="309"/>
      <c r="X3" s="309"/>
      <c r="Y3" s="309"/>
      <c r="Z3" s="309"/>
      <c r="AA3" s="309"/>
      <c r="AB3" s="309"/>
      <c r="AC3" s="309"/>
      <c r="AD3" s="309"/>
      <c r="AE3" s="309"/>
      <c r="AF3" s="309"/>
      <c r="AG3" s="309"/>
    </row>
    <row r="4" spans="1:33" s="134" customFormat="1">
      <c r="A4" s="312" t="s">
        <v>1646</v>
      </c>
      <c r="B4" s="309" t="s">
        <v>1951</v>
      </c>
      <c r="C4" s="309"/>
      <c r="D4" s="309"/>
      <c r="E4" s="309"/>
      <c r="F4" s="309"/>
      <c r="G4" s="311"/>
      <c r="H4" s="309"/>
      <c r="I4" s="309"/>
      <c r="J4" s="309"/>
      <c r="K4" s="309"/>
      <c r="L4" s="309"/>
      <c r="M4" s="309"/>
      <c r="N4" s="309"/>
      <c r="O4" s="309"/>
      <c r="P4" s="309"/>
      <c r="Q4" s="309"/>
      <c r="R4" s="309"/>
      <c r="S4" s="309"/>
      <c r="T4" s="309"/>
      <c r="U4" s="309"/>
      <c r="V4" s="309"/>
      <c r="W4" s="309"/>
      <c r="X4" s="309"/>
      <c r="Y4" s="309"/>
      <c r="Z4" s="309"/>
      <c r="AA4" s="309"/>
      <c r="AB4" s="309"/>
      <c r="AC4" s="309"/>
      <c r="AD4" s="309"/>
      <c r="AE4" s="309"/>
      <c r="AF4" s="309"/>
      <c r="AG4" s="309"/>
    </row>
    <row r="5" spans="1:33" s="333" customFormat="1">
      <c r="A5" s="309" t="s">
        <v>25</v>
      </c>
      <c r="B5" s="309" t="s">
        <v>445</v>
      </c>
      <c r="C5" s="309"/>
      <c r="D5" s="309"/>
      <c r="E5" s="309"/>
      <c r="F5" s="309"/>
      <c r="G5" s="311"/>
      <c r="H5" s="309"/>
      <c r="I5" s="309"/>
      <c r="J5" s="309"/>
      <c r="K5" s="309"/>
      <c r="L5" s="309"/>
      <c r="M5" s="309"/>
      <c r="N5" s="309"/>
      <c r="O5" s="309"/>
      <c r="P5" s="309"/>
      <c r="Q5" s="309"/>
      <c r="R5" s="309"/>
      <c r="S5" s="309"/>
      <c r="T5" s="309"/>
      <c r="U5" s="309"/>
      <c r="V5" s="309"/>
      <c r="W5" s="309"/>
      <c r="X5" s="309"/>
      <c r="Y5" s="309"/>
      <c r="Z5" s="309"/>
      <c r="AA5" s="309"/>
      <c r="AB5" s="309"/>
      <c r="AC5" s="309"/>
      <c r="AD5" s="309"/>
      <c r="AE5" s="309"/>
      <c r="AF5" s="309"/>
      <c r="AG5" s="309"/>
    </row>
    <row r="6" spans="1:33" s="333" customFormat="1">
      <c r="A6" s="309" t="s">
        <v>1648</v>
      </c>
      <c r="B6" s="309" t="s">
        <v>1952</v>
      </c>
      <c r="C6" s="309"/>
      <c r="D6" s="309"/>
      <c r="E6" s="309"/>
      <c r="F6" s="309"/>
      <c r="G6" s="311"/>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row>
    <row r="7" spans="1:33" s="136" customFormat="1">
      <c r="A7" s="316"/>
      <c r="B7" s="316"/>
      <c r="C7" s="309"/>
      <c r="D7" s="309"/>
      <c r="E7" s="309"/>
      <c r="F7" s="316"/>
      <c r="G7" s="311"/>
      <c r="H7" s="316"/>
      <c r="I7" s="316"/>
      <c r="J7" s="316"/>
      <c r="K7" s="316"/>
      <c r="L7" s="316"/>
      <c r="M7" s="316"/>
      <c r="N7" s="316"/>
      <c r="O7" s="316"/>
      <c r="P7" s="316"/>
      <c r="Q7" s="316"/>
      <c r="R7" s="316"/>
      <c r="S7" s="316"/>
      <c r="T7" s="316"/>
      <c r="U7" s="316"/>
      <c r="V7" s="316"/>
      <c r="W7" s="316"/>
      <c r="X7" s="316"/>
      <c r="Y7" s="316"/>
      <c r="Z7" s="316"/>
      <c r="AA7" s="316"/>
      <c r="AB7" s="316"/>
      <c r="AC7" s="316"/>
      <c r="AD7" s="316"/>
      <c r="AE7" s="316"/>
      <c r="AF7" s="316"/>
      <c r="AG7" s="316"/>
    </row>
    <row r="8" spans="1:33" s="136" customFormat="1">
      <c r="A8" s="337"/>
      <c r="B8" s="337"/>
      <c r="C8" s="337" t="s">
        <v>65</v>
      </c>
      <c r="D8" s="337" t="s">
        <v>54</v>
      </c>
      <c r="E8" s="337" t="s">
        <v>86</v>
      </c>
      <c r="F8" s="337" t="s">
        <v>1495</v>
      </c>
      <c r="G8" s="337" t="s">
        <v>1409</v>
      </c>
      <c r="H8" s="309"/>
      <c r="I8" s="309"/>
      <c r="J8" s="309"/>
      <c r="K8" s="309"/>
      <c r="L8" s="309"/>
      <c r="M8" s="309"/>
      <c r="N8" s="309"/>
      <c r="O8" s="309"/>
      <c r="P8" s="309"/>
      <c r="Q8" s="309"/>
      <c r="R8" s="309"/>
      <c r="S8" s="309"/>
      <c r="T8" s="309"/>
      <c r="U8" s="309"/>
      <c r="V8" s="309"/>
      <c r="W8" s="309"/>
      <c r="X8" s="309"/>
      <c r="Y8" s="309"/>
      <c r="Z8" s="309"/>
      <c r="AA8" s="309"/>
      <c r="AB8" s="309"/>
      <c r="AC8" s="309"/>
      <c r="AD8" s="309"/>
      <c r="AE8" s="309"/>
      <c r="AF8" s="309"/>
      <c r="AG8" s="309"/>
    </row>
    <row r="9" spans="1:33" s="134" customFormat="1">
      <c r="A9" s="344" t="s">
        <v>27</v>
      </c>
      <c r="B9" s="329"/>
      <c r="C9" s="318"/>
      <c r="D9" s="318"/>
      <c r="E9" s="318"/>
      <c r="F9" s="330"/>
      <c r="G9" s="331"/>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row>
    <row r="10" spans="1:33" s="333" customFormat="1" ht="138">
      <c r="A10" s="335" t="s">
        <v>446</v>
      </c>
      <c r="B10" s="20" t="s">
        <v>1953</v>
      </c>
      <c r="C10" s="323" t="s">
        <v>1954</v>
      </c>
      <c r="D10" s="323" t="s">
        <v>1955</v>
      </c>
      <c r="E10" s="323" t="s">
        <v>1956</v>
      </c>
      <c r="F10" s="334"/>
      <c r="G10" s="335"/>
    </row>
    <row r="11" spans="1:33" s="136" customFormat="1">
      <c r="A11" s="344" t="s">
        <v>28</v>
      </c>
      <c r="B11" s="329"/>
      <c r="C11" s="318"/>
      <c r="D11" s="318"/>
      <c r="E11" s="318"/>
      <c r="F11" s="330"/>
      <c r="G11" s="331"/>
      <c r="H11" s="333"/>
      <c r="I11" s="333"/>
      <c r="J11" s="333"/>
      <c r="K11" s="333"/>
      <c r="L11" s="333"/>
      <c r="M11" s="333"/>
      <c r="N11" s="333"/>
      <c r="O11" s="333"/>
      <c r="P11" s="333"/>
      <c r="Q11" s="333"/>
      <c r="R11" s="333"/>
      <c r="S11" s="333"/>
      <c r="T11" s="333"/>
      <c r="U11" s="333"/>
      <c r="V11" s="333"/>
      <c r="W11" s="333"/>
      <c r="X11" s="333"/>
      <c r="Y11" s="333"/>
      <c r="Z11" s="333"/>
      <c r="AA11" s="333"/>
      <c r="AB11" s="333"/>
      <c r="AC11" s="333"/>
      <c r="AD11" s="333"/>
      <c r="AE11" s="333"/>
      <c r="AF11" s="333"/>
      <c r="AG11" s="333"/>
    </row>
    <row r="12" spans="1:33" s="136" customFormat="1" ht="151.80000000000001">
      <c r="A12" s="335" t="s">
        <v>447</v>
      </c>
      <c r="B12" s="20" t="s">
        <v>1957</v>
      </c>
      <c r="C12" s="323" t="s">
        <v>1958</v>
      </c>
      <c r="D12" s="323" t="s">
        <v>1959</v>
      </c>
      <c r="E12" s="323" t="s">
        <v>1960</v>
      </c>
      <c r="F12" s="334"/>
      <c r="G12" s="335"/>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row>
    <row r="13" spans="1:33" s="134" customFormat="1" ht="138">
      <c r="A13" s="335" t="s">
        <v>448</v>
      </c>
      <c r="B13" s="20" t="s">
        <v>1961</v>
      </c>
      <c r="C13" s="323" t="s">
        <v>1962</v>
      </c>
      <c r="D13" s="323" t="s">
        <v>1963</v>
      </c>
      <c r="E13" s="323" t="s">
        <v>1964</v>
      </c>
      <c r="F13" s="334"/>
      <c r="G13" s="335"/>
      <c r="H13" s="333"/>
      <c r="I13" s="333"/>
      <c r="J13" s="333"/>
      <c r="K13" s="333"/>
      <c r="L13" s="333"/>
      <c r="M13" s="333"/>
      <c r="N13" s="333"/>
      <c r="O13" s="333"/>
      <c r="P13" s="333"/>
      <c r="Q13" s="333"/>
      <c r="R13" s="333"/>
      <c r="S13" s="333"/>
      <c r="T13" s="333"/>
      <c r="U13" s="333"/>
      <c r="V13" s="333"/>
      <c r="W13" s="333"/>
      <c r="X13" s="333"/>
      <c r="Y13" s="333"/>
      <c r="Z13" s="333"/>
      <c r="AA13" s="333"/>
      <c r="AB13" s="333"/>
      <c r="AC13" s="333"/>
      <c r="AD13" s="333"/>
      <c r="AE13" s="333"/>
      <c r="AF13" s="333"/>
      <c r="AG13" s="333"/>
    </row>
    <row r="14" spans="1:33" s="333" customFormat="1" ht="133.5" customHeight="1">
      <c r="A14" s="335" t="s">
        <v>449</v>
      </c>
      <c r="B14" s="20" t="s">
        <v>1965</v>
      </c>
      <c r="C14" s="323" t="s">
        <v>1966</v>
      </c>
      <c r="D14" s="323" t="s">
        <v>1967</v>
      </c>
      <c r="E14" s="323" t="s">
        <v>1968</v>
      </c>
      <c r="F14" s="334"/>
      <c r="G14" s="335"/>
    </row>
    <row r="15" spans="1:33" s="136" customFormat="1">
      <c r="A15" s="344" t="s">
        <v>29</v>
      </c>
      <c r="B15" s="329"/>
      <c r="C15" s="318"/>
      <c r="D15" s="318"/>
      <c r="E15" s="318"/>
      <c r="F15" s="330"/>
      <c r="G15" s="331"/>
      <c r="H15" s="333"/>
      <c r="I15" s="333"/>
      <c r="J15" s="333"/>
      <c r="K15" s="333"/>
      <c r="L15" s="333"/>
      <c r="M15" s="333"/>
      <c r="N15" s="333"/>
      <c r="O15" s="333"/>
      <c r="P15" s="333"/>
      <c r="Q15" s="333"/>
      <c r="R15" s="333"/>
      <c r="S15" s="333"/>
      <c r="T15" s="333"/>
      <c r="U15" s="333"/>
      <c r="V15" s="333"/>
      <c r="W15" s="333"/>
      <c r="X15" s="333"/>
      <c r="Y15" s="333"/>
      <c r="Z15" s="333"/>
      <c r="AA15" s="333"/>
      <c r="AB15" s="333"/>
      <c r="AC15" s="333"/>
      <c r="AD15" s="333"/>
      <c r="AE15" s="333"/>
      <c r="AF15" s="333"/>
      <c r="AG15" s="333"/>
    </row>
    <row r="16" spans="1:33" s="136" customFormat="1" ht="138.75" customHeight="1">
      <c r="A16" s="335" t="s">
        <v>450</v>
      </c>
      <c r="B16" s="20" t="s">
        <v>1969</v>
      </c>
      <c r="C16" s="323" t="s">
        <v>1970</v>
      </c>
      <c r="D16" s="323" t="s">
        <v>1971</v>
      </c>
      <c r="E16" s="323" t="s">
        <v>1972</v>
      </c>
      <c r="F16" s="334"/>
      <c r="G16" s="335"/>
      <c r="H16" s="333"/>
      <c r="I16" s="333"/>
      <c r="J16" s="333"/>
      <c r="K16" s="333"/>
      <c r="L16" s="333"/>
      <c r="M16" s="333"/>
      <c r="N16" s="333"/>
      <c r="O16" s="333"/>
      <c r="P16" s="333"/>
      <c r="Q16" s="333"/>
      <c r="R16" s="333"/>
      <c r="S16" s="333"/>
      <c r="T16" s="333"/>
      <c r="U16" s="333"/>
      <c r="V16" s="333"/>
      <c r="W16" s="333"/>
      <c r="X16" s="333"/>
      <c r="Y16" s="333"/>
      <c r="Z16" s="333"/>
      <c r="AA16" s="333"/>
      <c r="AB16" s="333"/>
      <c r="AC16" s="333"/>
      <c r="AD16" s="333"/>
      <c r="AE16" s="333"/>
      <c r="AF16" s="333"/>
      <c r="AG16" s="333"/>
    </row>
    <row r="17" spans="1:33" s="136" customFormat="1" ht="147.75" customHeight="1">
      <c r="A17" s="335" t="s">
        <v>451</v>
      </c>
      <c r="B17" s="20" t="s">
        <v>1973</v>
      </c>
      <c r="C17" s="323" t="s">
        <v>1974</v>
      </c>
      <c r="D17" s="323" t="s">
        <v>1975</v>
      </c>
      <c r="E17" s="323" t="s">
        <v>1976</v>
      </c>
      <c r="F17" s="334"/>
      <c r="G17" s="335"/>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3"/>
      <c r="AF17" s="333"/>
      <c r="AG17" s="333"/>
    </row>
    <row r="18" spans="1:33" s="134" customFormat="1" ht="165.6">
      <c r="A18" s="354" t="s">
        <v>452</v>
      </c>
      <c r="B18" s="20" t="s">
        <v>1977</v>
      </c>
      <c r="C18" s="323" t="s">
        <v>1978</v>
      </c>
      <c r="D18" s="323" t="s">
        <v>1979</v>
      </c>
      <c r="E18" s="323" t="s">
        <v>1980</v>
      </c>
      <c r="F18" s="334"/>
      <c r="G18" s="335"/>
      <c r="H18" s="333"/>
      <c r="I18" s="333"/>
      <c r="J18" s="333"/>
      <c r="K18" s="333"/>
      <c r="L18" s="333"/>
      <c r="M18" s="333"/>
      <c r="N18" s="333"/>
      <c r="O18" s="333"/>
      <c r="P18" s="333"/>
      <c r="Q18" s="333"/>
      <c r="R18" s="333"/>
      <c r="S18" s="333"/>
      <c r="T18" s="333"/>
      <c r="U18" s="333"/>
      <c r="V18" s="333"/>
      <c r="W18" s="333"/>
      <c r="X18" s="333"/>
      <c r="Y18" s="333"/>
      <c r="Z18" s="333"/>
      <c r="AA18" s="333"/>
      <c r="AB18" s="333"/>
      <c r="AC18" s="333"/>
      <c r="AD18" s="333"/>
      <c r="AE18" s="333"/>
      <c r="AF18" s="333"/>
      <c r="AG18" s="333"/>
    </row>
    <row r="19" spans="1:33" s="333" customFormat="1" ht="151.80000000000001">
      <c r="A19" s="354" t="s">
        <v>453</v>
      </c>
      <c r="B19" s="20" t="s">
        <v>1981</v>
      </c>
      <c r="C19" s="323" t="s">
        <v>1982</v>
      </c>
      <c r="D19" s="323" t="s">
        <v>1983</v>
      </c>
      <c r="E19" s="323" t="s">
        <v>1984</v>
      </c>
      <c r="F19" s="334"/>
      <c r="G19" s="335"/>
    </row>
    <row r="20" spans="1:33" s="136" customFormat="1" ht="129.75" customHeight="1">
      <c r="A20" s="354" t="s">
        <v>454</v>
      </c>
      <c r="B20" s="20" t="s">
        <v>1985</v>
      </c>
      <c r="C20" s="323" t="s">
        <v>1986</v>
      </c>
      <c r="D20" s="323" t="s">
        <v>1987</v>
      </c>
      <c r="E20" s="323" t="s">
        <v>1980</v>
      </c>
      <c r="F20" s="334"/>
      <c r="G20" s="335"/>
      <c r="H20" s="333"/>
      <c r="I20" s="333"/>
      <c r="J20" s="333"/>
      <c r="K20" s="333"/>
      <c r="L20" s="333"/>
      <c r="M20" s="333"/>
      <c r="N20" s="333"/>
      <c r="O20" s="333"/>
      <c r="P20" s="333"/>
      <c r="Q20" s="333"/>
      <c r="R20" s="333"/>
      <c r="S20" s="333"/>
      <c r="T20" s="333"/>
      <c r="U20" s="333"/>
      <c r="V20" s="333"/>
      <c r="W20" s="333"/>
      <c r="X20" s="333"/>
      <c r="Y20" s="333"/>
      <c r="Z20" s="333"/>
      <c r="AA20" s="333"/>
      <c r="AB20" s="333"/>
      <c r="AC20" s="333"/>
      <c r="AD20" s="333"/>
      <c r="AE20" s="333"/>
      <c r="AF20" s="333"/>
      <c r="AG20" s="333"/>
    </row>
    <row r="21" spans="1:33" s="136" customFormat="1" ht="151.80000000000001">
      <c r="A21" s="335" t="s">
        <v>455</v>
      </c>
      <c r="B21" s="20" t="s">
        <v>1988</v>
      </c>
      <c r="C21" s="323" t="s">
        <v>1989</v>
      </c>
      <c r="D21" s="323" t="s">
        <v>1990</v>
      </c>
      <c r="E21" s="323" t="s">
        <v>1991</v>
      </c>
      <c r="F21" s="334"/>
      <c r="G21" s="335"/>
      <c r="H21" s="333"/>
      <c r="I21" s="333"/>
      <c r="J21" s="333"/>
      <c r="K21" s="333"/>
      <c r="L21" s="333"/>
      <c r="M21" s="333"/>
      <c r="N21" s="333"/>
      <c r="O21" s="333"/>
      <c r="P21" s="333"/>
      <c r="Q21" s="333"/>
      <c r="R21" s="333"/>
      <c r="S21" s="333"/>
      <c r="T21" s="333"/>
      <c r="U21" s="333"/>
      <c r="V21" s="333"/>
      <c r="W21" s="333"/>
      <c r="X21" s="333"/>
      <c r="Y21" s="333"/>
      <c r="Z21" s="333"/>
      <c r="AA21" s="333"/>
      <c r="AB21" s="333"/>
      <c r="AC21" s="333"/>
      <c r="AD21" s="333"/>
      <c r="AE21" s="333"/>
      <c r="AF21" s="333"/>
      <c r="AG21" s="333"/>
    </row>
    <row r="22" spans="1:33">
      <c r="A22" s="345"/>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0070C0"/>
  </sheetPr>
  <dimension ref="A1:I24"/>
  <sheetViews>
    <sheetView topLeftCell="A21" zoomScale="85" zoomScaleNormal="85" workbookViewId="0">
      <selection activeCell="A21" sqref="A1:XFD1048576"/>
    </sheetView>
  </sheetViews>
  <sheetFormatPr defaultColWidth="8.77734375" defaultRowHeight="13.8"/>
  <cols>
    <col min="1" max="1" width="10.21875" style="316" customWidth="1"/>
    <col min="2" max="2" width="88.77734375" style="316" customWidth="1"/>
    <col min="3" max="4" width="21.44140625" style="316" customWidth="1"/>
    <col min="5" max="5" width="54.44140625" style="316" customWidth="1"/>
    <col min="6" max="6" width="47.77734375" style="316" customWidth="1"/>
    <col min="7" max="7" width="21.44140625" style="311" customWidth="1"/>
    <col min="8" max="9" width="8.77734375" style="311"/>
    <col min="10" max="16384" width="8.77734375" style="316"/>
  </cols>
  <sheetData>
    <row r="1" spans="1:9" s="309" customFormat="1" ht="25.8">
      <c r="A1" s="308" t="s">
        <v>1992</v>
      </c>
      <c r="C1" s="310"/>
      <c r="G1" s="311"/>
      <c r="H1" s="311"/>
      <c r="I1" s="311"/>
    </row>
    <row r="2" spans="1:9" s="309" customFormat="1" ht="25.8">
      <c r="A2" s="308" t="s">
        <v>1993</v>
      </c>
      <c r="C2" s="310"/>
      <c r="G2" s="311"/>
      <c r="H2" s="311"/>
      <c r="I2" s="311"/>
    </row>
    <row r="3" spans="1:9" s="309" customFormat="1" ht="41.4">
      <c r="A3" s="312" t="s">
        <v>23</v>
      </c>
      <c r="B3" s="312" t="s">
        <v>1994</v>
      </c>
      <c r="G3" s="311"/>
      <c r="H3" s="311"/>
      <c r="I3" s="311"/>
    </row>
    <row r="4" spans="1:9" s="309" customFormat="1" ht="27.6">
      <c r="A4" s="312" t="s">
        <v>1646</v>
      </c>
      <c r="B4" s="312" t="s">
        <v>1995</v>
      </c>
      <c r="G4" s="311"/>
      <c r="H4" s="311"/>
      <c r="I4" s="311"/>
    </row>
    <row r="5" spans="1:9" s="309" customFormat="1">
      <c r="A5" s="309" t="s">
        <v>25</v>
      </c>
      <c r="B5" s="309" t="s">
        <v>370</v>
      </c>
      <c r="G5" s="311"/>
      <c r="H5" s="311"/>
      <c r="I5" s="311"/>
    </row>
    <row r="6" spans="1:9" s="309" customFormat="1">
      <c r="A6" s="309" t="s">
        <v>1648</v>
      </c>
      <c r="B6" s="309" t="s">
        <v>1996</v>
      </c>
      <c r="G6" s="311"/>
      <c r="H6" s="311"/>
      <c r="I6" s="311"/>
    </row>
    <row r="8" spans="1:9" s="90" customFormat="1">
      <c r="A8" s="337"/>
      <c r="B8" s="337"/>
      <c r="C8" s="337" t="s">
        <v>65</v>
      </c>
      <c r="D8" s="337" t="s">
        <v>54</v>
      </c>
      <c r="E8" s="337" t="s">
        <v>86</v>
      </c>
      <c r="F8" s="337" t="s">
        <v>1495</v>
      </c>
      <c r="G8" s="337" t="s">
        <v>1409</v>
      </c>
      <c r="H8" s="309"/>
      <c r="I8" s="309"/>
    </row>
    <row r="9" spans="1:9" s="312" customFormat="1">
      <c r="A9" s="317" t="s">
        <v>27</v>
      </c>
      <c r="B9" s="317"/>
      <c r="C9" s="318"/>
      <c r="D9" s="318"/>
      <c r="E9" s="318"/>
      <c r="F9" s="318"/>
      <c r="G9" s="318"/>
    </row>
    <row r="10" spans="1:9" s="312" customFormat="1" ht="207">
      <c r="A10" s="3" t="s">
        <v>373</v>
      </c>
      <c r="B10" s="3" t="s">
        <v>1997</v>
      </c>
      <c r="C10" s="323" t="s">
        <v>1998</v>
      </c>
      <c r="D10" s="323" t="s">
        <v>1999</v>
      </c>
      <c r="E10" s="323" t="s">
        <v>2000</v>
      </c>
      <c r="F10" s="3"/>
      <c r="G10" s="3"/>
    </row>
    <row r="11" spans="1:9" s="145" customFormat="1" ht="54.75" customHeight="1">
      <c r="A11" s="3" t="s">
        <v>374</v>
      </c>
      <c r="B11" s="3" t="s">
        <v>2001</v>
      </c>
      <c r="C11" s="323" t="s">
        <v>2002</v>
      </c>
      <c r="D11" s="323" t="s">
        <v>2003</v>
      </c>
      <c r="E11" s="323" t="s">
        <v>2004</v>
      </c>
      <c r="F11" s="348"/>
      <c r="G11" s="3"/>
      <c r="H11" s="312"/>
      <c r="I11" s="312"/>
    </row>
    <row r="12" spans="1:9" s="145" customFormat="1" ht="179.4">
      <c r="A12" s="3" t="s">
        <v>375</v>
      </c>
      <c r="B12" s="3" t="s">
        <v>2005</v>
      </c>
      <c r="C12" s="323" t="s">
        <v>2006</v>
      </c>
      <c r="D12" s="323" t="s">
        <v>2007</v>
      </c>
      <c r="E12" s="323" t="s">
        <v>2008</v>
      </c>
      <c r="F12" s="348"/>
      <c r="G12" s="3"/>
      <c r="H12" s="312"/>
      <c r="I12" s="312"/>
    </row>
    <row r="13" spans="1:9" s="90" customFormat="1">
      <c r="A13" s="317" t="s">
        <v>28</v>
      </c>
      <c r="B13" s="317"/>
      <c r="C13" s="318"/>
      <c r="D13" s="318"/>
      <c r="E13" s="318" t="s">
        <v>1504</v>
      </c>
      <c r="F13" s="318"/>
      <c r="G13" s="318"/>
      <c r="H13" s="312"/>
      <c r="I13" s="312"/>
    </row>
    <row r="14" spans="1:9" s="312" customFormat="1" ht="69">
      <c r="A14" s="3" t="s">
        <v>376</v>
      </c>
      <c r="B14" s="3" t="s">
        <v>2009</v>
      </c>
      <c r="C14" s="323" t="s">
        <v>2010</v>
      </c>
      <c r="D14" s="323" t="s">
        <v>2011</v>
      </c>
      <c r="E14" s="323" t="s">
        <v>2012</v>
      </c>
      <c r="F14" s="348"/>
      <c r="G14" s="3"/>
    </row>
    <row r="15" spans="1:9" s="145" customFormat="1" ht="69">
      <c r="A15" s="3" t="s">
        <v>377</v>
      </c>
      <c r="B15" s="3" t="s">
        <v>2013</v>
      </c>
      <c r="C15" s="323" t="s">
        <v>2014</v>
      </c>
      <c r="D15" s="323" t="s">
        <v>2015</v>
      </c>
      <c r="E15" s="323" t="s">
        <v>2016</v>
      </c>
      <c r="F15" s="3"/>
      <c r="G15" s="3"/>
      <c r="H15" s="312"/>
      <c r="I15" s="312"/>
    </row>
    <row r="16" spans="1:9" s="145" customFormat="1">
      <c r="A16" s="317" t="s">
        <v>29</v>
      </c>
      <c r="B16" s="317"/>
      <c r="C16" s="318"/>
      <c r="D16" s="318"/>
      <c r="E16" s="318" t="s">
        <v>1504</v>
      </c>
      <c r="F16" s="318"/>
      <c r="G16" s="318"/>
      <c r="H16" s="312"/>
      <c r="I16" s="312"/>
    </row>
    <row r="17" spans="1:9" s="90" customFormat="1" ht="69">
      <c r="A17" s="3" t="s">
        <v>378</v>
      </c>
      <c r="B17" s="3" t="s">
        <v>2017</v>
      </c>
      <c r="C17" s="323" t="s">
        <v>2018</v>
      </c>
      <c r="D17" s="323" t="s">
        <v>2019</v>
      </c>
      <c r="E17" s="323" t="s">
        <v>2020</v>
      </c>
      <c r="F17" s="348"/>
      <c r="G17" s="3"/>
      <c r="H17" s="312"/>
      <c r="I17" s="312"/>
    </row>
    <row r="18" spans="1:9" s="312" customFormat="1" ht="55.2">
      <c r="A18" s="3" t="s">
        <v>379</v>
      </c>
      <c r="B18" s="3" t="s">
        <v>2021</v>
      </c>
      <c r="C18" s="323" t="s">
        <v>2022</v>
      </c>
      <c r="D18" s="323" t="s">
        <v>2023</v>
      </c>
      <c r="E18" s="323" t="s">
        <v>2024</v>
      </c>
      <c r="F18" s="3"/>
      <c r="G18" s="3"/>
    </row>
    <row r="19" spans="1:9" s="145" customFormat="1" ht="220.8">
      <c r="A19" s="3" t="s">
        <v>380</v>
      </c>
      <c r="B19" s="3" t="s">
        <v>2025</v>
      </c>
      <c r="C19" s="323" t="s">
        <v>2026</v>
      </c>
      <c r="D19" s="323" t="s">
        <v>2027</v>
      </c>
      <c r="E19" s="323" t="s">
        <v>2028</v>
      </c>
      <c r="F19" s="3"/>
      <c r="G19" s="3"/>
      <c r="H19" s="312"/>
      <c r="I19" s="312"/>
    </row>
    <row r="20" spans="1:9" s="145" customFormat="1" ht="69">
      <c r="A20" s="3" t="s">
        <v>381</v>
      </c>
      <c r="B20" s="3" t="s">
        <v>2029</v>
      </c>
      <c r="C20" s="323" t="s">
        <v>2030</v>
      </c>
      <c r="D20" s="323" t="s">
        <v>2031</v>
      </c>
      <c r="E20" s="323" t="s">
        <v>2032</v>
      </c>
      <c r="F20" s="3"/>
      <c r="G20" s="3"/>
      <c r="H20" s="312"/>
      <c r="I20" s="312"/>
    </row>
    <row r="21" spans="1:9" s="90" customFormat="1" ht="193.2">
      <c r="A21" s="3" t="s">
        <v>382</v>
      </c>
      <c r="B21" s="3" t="s">
        <v>2033</v>
      </c>
      <c r="C21" s="323" t="s">
        <v>2034</v>
      </c>
      <c r="D21" s="323" t="s">
        <v>2035</v>
      </c>
      <c r="E21" s="323" t="s">
        <v>2036</v>
      </c>
      <c r="F21" s="3"/>
      <c r="G21" s="3"/>
      <c r="H21" s="312"/>
      <c r="I21" s="312"/>
    </row>
    <row r="22" spans="1:9" s="90" customFormat="1" ht="207">
      <c r="A22" s="3" t="s">
        <v>383</v>
      </c>
      <c r="B22" s="3" t="s">
        <v>2037</v>
      </c>
      <c r="C22" s="323" t="s">
        <v>2038</v>
      </c>
      <c r="D22" s="323" t="s">
        <v>2039</v>
      </c>
      <c r="E22" s="323" t="s">
        <v>2040</v>
      </c>
      <c r="F22" s="3"/>
      <c r="G22" s="3"/>
      <c r="H22" s="312"/>
      <c r="I22" s="312"/>
    </row>
    <row r="23" spans="1:9" s="145" customFormat="1">
      <c r="A23" s="317" t="s">
        <v>371</v>
      </c>
      <c r="B23" s="317"/>
      <c r="C23" s="318"/>
      <c r="D23" s="318"/>
      <c r="E23" s="318" t="s">
        <v>1504</v>
      </c>
      <c r="F23" s="318"/>
      <c r="G23" s="318"/>
      <c r="H23" s="312"/>
      <c r="I23" s="312"/>
    </row>
    <row r="24" spans="1:9" s="90" customFormat="1" ht="165.6">
      <c r="A24" s="3" t="s">
        <v>384</v>
      </c>
      <c r="B24" s="3" t="s">
        <v>2041</v>
      </c>
      <c r="C24" s="323" t="s">
        <v>2042</v>
      </c>
      <c r="D24" s="323" t="s">
        <v>2043</v>
      </c>
      <c r="E24" s="323" t="s">
        <v>2044</v>
      </c>
      <c r="F24" s="3"/>
      <c r="G24" s="3"/>
      <c r="H24" s="312"/>
      <c r="I24" s="312"/>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70C0"/>
  </sheetPr>
  <dimension ref="A1:R47"/>
  <sheetViews>
    <sheetView workbookViewId="0">
      <selection sqref="A1:XFD1048576"/>
    </sheetView>
  </sheetViews>
  <sheetFormatPr defaultColWidth="8.77734375" defaultRowHeight="13.8"/>
  <cols>
    <col min="1" max="1" width="10.21875" style="316" customWidth="1"/>
    <col min="2" max="2" width="59.21875" style="349" customWidth="1"/>
    <col min="3" max="3" width="24.77734375" style="316" customWidth="1"/>
    <col min="4" max="4" width="29.6640625" style="316" customWidth="1"/>
    <col min="5" max="5" width="41.77734375" style="312" customWidth="1"/>
    <col min="6" max="6" width="28.44140625" style="312" customWidth="1"/>
    <col min="7" max="7" width="21.44140625" style="312" customWidth="1"/>
    <col min="8" max="9" width="22.21875" style="309" customWidth="1"/>
    <col min="10" max="10" width="8.77734375" style="309"/>
    <col min="11" max="18" width="8.77734375" style="311"/>
    <col min="19" max="16384" width="8.77734375" style="316"/>
  </cols>
  <sheetData>
    <row r="1" spans="1:18" s="136" customFormat="1" ht="25.8">
      <c r="A1" s="308" t="s">
        <v>2045</v>
      </c>
      <c r="B1" s="312"/>
      <c r="C1" s="310"/>
      <c r="D1" s="309"/>
      <c r="E1" s="312"/>
      <c r="F1" s="312"/>
      <c r="G1" s="312"/>
      <c r="H1" s="309"/>
      <c r="I1" s="309"/>
      <c r="J1" s="309"/>
      <c r="K1" s="311"/>
      <c r="L1" s="311"/>
      <c r="M1" s="311"/>
      <c r="N1" s="311"/>
      <c r="O1" s="311"/>
      <c r="P1" s="311"/>
      <c r="Q1" s="311"/>
      <c r="R1" s="311"/>
    </row>
    <row r="2" spans="1:18" s="134" customFormat="1" ht="25.8">
      <c r="A2" s="308" t="s">
        <v>2046</v>
      </c>
      <c r="B2" s="312"/>
      <c r="C2" s="310"/>
      <c r="D2" s="309"/>
      <c r="E2" s="312"/>
      <c r="F2" s="312"/>
      <c r="G2" s="312"/>
      <c r="H2" s="309"/>
      <c r="I2" s="309"/>
      <c r="J2" s="309"/>
      <c r="K2" s="311"/>
      <c r="L2" s="311"/>
      <c r="M2" s="311"/>
      <c r="N2" s="311"/>
      <c r="O2" s="311"/>
      <c r="P2" s="311"/>
      <c r="Q2" s="311"/>
      <c r="R2" s="311"/>
    </row>
    <row r="3" spans="1:18" s="333" customFormat="1" ht="27.6">
      <c r="A3" s="312" t="s">
        <v>23</v>
      </c>
      <c r="B3" s="312" t="s">
        <v>2047</v>
      </c>
      <c r="C3" s="309"/>
      <c r="D3" s="309"/>
      <c r="E3" s="312"/>
      <c r="F3" s="312"/>
      <c r="G3" s="312"/>
      <c r="H3" s="309"/>
      <c r="I3" s="309"/>
      <c r="J3" s="309"/>
      <c r="K3" s="311"/>
      <c r="L3" s="311"/>
      <c r="M3" s="311"/>
      <c r="N3" s="311"/>
      <c r="O3" s="311"/>
      <c r="P3" s="311"/>
      <c r="Q3" s="311"/>
      <c r="R3" s="311"/>
    </row>
    <row r="4" spans="1:18" s="136" customFormat="1">
      <c r="A4" s="312" t="s">
        <v>1646</v>
      </c>
      <c r="B4" s="312" t="s">
        <v>2048</v>
      </c>
      <c r="C4" s="309"/>
      <c r="D4" s="309"/>
      <c r="E4" s="312"/>
      <c r="F4" s="312"/>
      <c r="G4" s="312"/>
      <c r="H4" s="309"/>
      <c r="I4" s="309"/>
      <c r="J4" s="309"/>
      <c r="K4" s="311"/>
      <c r="L4" s="311"/>
      <c r="M4" s="311"/>
      <c r="N4" s="311"/>
      <c r="O4" s="311"/>
      <c r="P4" s="311"/>
      <c r="Q4" s="311"/>
      <c r="R4" s="311"/>
    </row>
    <row r="5" spans="1:18" s="136" customFormat="1" ht="27.6">
      <c r="A5" s="309" t="s">
        <v>25</v>
      </c>
      <c r="B5" s="312" t="s">
        <v>2049</v>
      </c>
      <c r="C5" s="309"/>
      <c r="D5" s="309"/>
      <c r="E5" s="312"/>
      <c r="F5" s="312"/>
      <c r="G5" s="312"/>
      <c r="H5" s="309"/>
      <c r="I5" s="309"/>
      <c r="J5" s="309"/>
      <c r="K5" s="311"/>
      <c r="L5" s="311"/>
      <c r="M5" s="311"/>
      <c r="N5" s="311"/>
      <c r="O5" s="311"/>
      <c r="P5" s="311"/>
      <c r="Q5" s="311"/>
      <c r="R5" s="311"/>
    </row>
    <row r="6" spans="1:18" s="136" customFormat="1">
      <c r="A6" s="309" t="s">
        <v>1648</v>
      </c>
      <c r="B6" s="312" t="s">
        <v>2050</v>
      </c>
      <c r="C6" s="309"/>
      <c r="D6" s="309"/>
      <c r="E6" s="312"/>
      <c r="F6" s="312"/>
      <c r="G6" s="312"/>
      <c r="H6" s="309"/>
      <c r="I6" s="309"/>
      <c r="J6" s="309"/>
      <c r="K6" s="311"/>
      <c r="L6" s="311"/>
      <c r="M6" s="311"/>
      <c r="N6" s="311"/>
      <c r="O6" s="311"/>
      <c r="P6" s="311"/>
      <c r="Q6" s="311"/>
      <c r="R6" s="311"/>
    </row>
    <row r="7" spans="1:18" s="134" customFormat="1">
      <c r="A7" s="316"/>
      <c r="B7" s="349"/>
      <c r="C7" s="316"/>
      <c r="D7" s="316"/>
      <c r="E7" s="312"/>
      <c r="F7" s="312"/>
      <c r="G7" s="312"/>
      <c r="H7" s="309"/>
      <c r="I7" s="309"/>
      <c r="J7" s="309"/>
      <c r="K7" s="311"/>
      <c r="L7" s="311"/>
      <c r="M7" s="311"/>
      <c r="N7" s="311"/>
      <c r="O7" s="311"/>
      <c r="P7" s="311"/>
      <c r="Q7" s="311"/>
      <c r="R7" s="311"/>
    </row>
    <row r="8" spans="1:18" s="333" customFormat="1">
      <c r="A8" s="350"/>
      <c r="B8" s="350"/>
      <c r="C8" s="350" t="s">
        <v>65</v>
      </c>
      <c r="D8" s="350" t="s">
        <v>54</v>
      </c>
      <c r="E8" s="350" t="s">
        <v>86</v>
      </c>
      <c r="F8" s="350" t="s">
        <v>1495</v>
      </c>
      <c r="G8" s="350" t="s">
        <v>1409</v>
      </c>
      <c r="H8" s="312"/>
      <c r="I8" s="309"/>
      <c r="J8" s="309"/>
      <c r="K8" s="309"/>
      <c r="L8" s="312"/>
      <c r="M8" s="312"/>
      <c r="N8" s="312"/>
      <c r="O8" s="312"/>
      <c r="P8" s="312"/>
      <c r="Q8" s="312"/>
      <c r="R8" s="312"/>
    </row>
    <row r="9" spans="1:18" s="136" customFormat="1">
      <c r="A9" s="329" t="s">
        <v>27</v>
      </c>
      <c r="B9" s="329"/>
      <c r="C9" s="330"/>
      <c r="D9" s="330"/>
      <c r="E9" s="318"/>
      <c r="F9" s="318"/>
      <c r="G9" s="318"/>
      <c r="H9" s="312"/>
      <c r="I9" s="309"/>
      <c r="J9" s="309"/>
      <c r="K9" s="311"/>
      <c r="L9" s="332"/>
      <c r="M9" s="332"/>
      <c r="N9" s="332"/>
      <c r="O9" s="332"/>
      <c r="P9" s="332"/>
      <c r="Q9" s="332"/>
      <c r="R9" s="332"/>
    </row>
    <row r="10" spans="1:18" s="136" customFormat="1" ht="88.5" customHeight="1">
      <c r="A10" s="20" t="s">
        <v>639</v>
      </c>
      <c r="B10" s="20" t="s">
        <v>2051</v>
      </c>
      <c r="C10" s="334" t="s">
        <v>2052</v>
      </c>
      <c r="D10" s="334" t="s">
        <v>2053</v>
      </c>
      <c r="E10" s="323" t="s">
        <v>2054</v>
      </c>
      <c r="F10" s="323"/>
      <c r="G10" s="3"/>
      <c r="H10" s="312"/>
      <c r="I10" s="309"/>
      <c r="J10" s="309"/>
      <c r="K10" s="311"/>
      <c r="L10" s="332"/>
      <c r="M10" s="332"/>
      <c r="N10" s="332"/>
      <c r="O10" s="332"/>
      <c r="P10" s="332"/>
      <c r="Q10" s="332"/>
      <c r="R10" s="332"/>
    </row>
    <row r="11" spans="1:18" s="134" customFormat="1">
      <c r="A11" s="329" t="s">
        <v>28</v>
      </c>
      <c r="B11" s="329"/>
      <c r="C11" s="330"/>
      <c r="D11" s="330"/>
      <c r="E11" s="318" t="s">
        <v>1504</v>
      </c>
      <c r="F11" s="318"/>
      <c r="G11" s="318"/>
      <c r="H11" s="312"/>
      <c r="I11" s="309"/>
      <c r="J11" s="309"/>
      <c r="K11" s="311"/>
      <c r="L11" s="332"/>
      <c r="M11" s="332"/>
      <c r="N11" s="332"/>
      <c r="O11" s="332"/>
      <c r="P11" s="332"/>
      <c r="Q11" s="332"/>
      <c r="R11" s="332"/>
    </row>
    <row r="12" spans="1:18" s="333" customFormat="1" ht="65.25" customHeight="1">
      <c r="A12" s="20" t="s">
        <v>640</v>
      </c>
      <c r="B12" s="20" t="s">
        <v>2055</v>
      </c>
      <c r="C12" s="334" t="s">
        <v>2056</v>
      </c>
      <c r="D12" s="334" t="s">
        <v>2057</v>
      </c>
      <c r="E12" s="323" t="s">
        <v>2058</v>
      </c>
      <c r="F12" s="323"/>
      <c r="G12" s="3"/>
      <c r="H12" s="312"/>
      <c r="I12" s="309"/>
      <c r="J12" s="309"/>
      <c r="K12" s="311"/>
      <c r="L12" s="332"/>
      <c r="M12" s="332"/>
      <c r="N12" s="332"/>
      <c r="O12" s="332"/>
      <c r="P12" s="332"/>
      <c r="Q12" s="332"/>
      <c r="R12" s="332"/>
    </row>
    <row r="13" spans="1:18" s="136" customFormat="1" ht="74.25" customHeight="1">
      <c r="A13" s="20" t="s">
        <v>641</v>
      </c>
      <c r="B13" s="20" t="s">
        <v>2059</v>
      </c>
      <c r="C13" s="334" t="s">
        <v>2060</v>
      </c>
      <c r="D13" s="334" t="s">
        <v>2061</v>
      </c>
      <c r="E13" s="323" t="s">
        <v>2062</v>
      </c>
      <c r="F13" s="323"/>
      <c r="G13" s="3"/>
      <c r="H13" s="312"/>
      <c r="I13" s="309"/>
      <c r="J13" s="309"/>
      <c r="K13" s="311"/>
      <c r="L13" s="332"/>
      <c r="M13" s="332"/>
      <c r="N13" s="332"/>
      <c r="O13" s="332"/>
      <c r="P13" s="332"/>
      <c r="Q13" s="332"/>
      <c r="R13" s="332"/>
    </row>
    <row r="14" spans="1:18" s="136" customFormat="1">
      <c r="A14" s="329" t="s">
        <v>29</v>
      </c>
      <c r="B14" s="329"/>
      <c r="C14" s="330"/>
      <c r="D14" s="330"/>
      <c r="E14" s="318" t="s">
        <v>1504</v>
      </c>
      <c r="F14" s="318"/>
      <c r="G14" s="318"/>
      <c r="H14" s="312"/>
      <c r="I14" s="309"/>
      <c r="J14" s="309"/>
      <c r="K14" s="311"/>
      <c r="L14" s="332"/>
      <c r="M14" s="332"/>
      <c r="N14" s="332"/>
      <c r="O14" s="332"/>
      <c r="P14" s="332"/>
      <c r="Q14" s="332"/>
      <c r="R14" s="332"/>
    </row>
    <row r="15" spans="1:18" s="134" customFormat="1" ht="165.6">
      <c r="A15" s="20" t="s">
        <v>642</v>
      </c>
      <c r="B15" s="20" t="s">
        <v>2063</v>
      </c>
      <c r="C15" s="334" t="s">
        <v>2064</v>
      </c>
      <c r="D15" s="334" t="s">
        <v>2065</v>
      </c>
      <c r="E15" s="323" t="s">
        <v>2066</v>
      </c>
      <c r="F15" s="323"/>
      <c r="G15" s="3"/>
      <c r="H15" s="312"/>
      <c r="I15" s="309"/>
      <c r="J15" s="309"/>
      <c r="K15" s="311"/>
      <c r="L15" s="332"/>
      <c r="M15" s="332"/>
      <c r="N15" s="332"/>
      <c r="O15" s="332"/>
      <c r="P15" s="332"/>
      <c r="Q15" s="332"/>
      <c r="R15" s="332"/>
    </row>
    <row r="16" spans="1:18" s="333" customFormat="1" ht="165.6">
      <c r="A16" s="20" t="s">
        <v>643</v>
      </c>
      <c r="B16" s="20" t="s">
        <v>2067</v>
      </c>
      <c r="C16" s="334" t="s">
        <v>2068</v>
      </c>
      <c r="D16" s="334" t="s">
        <v>2069</v>
      </c>
      <c r="E16" s="323" t="s">
        <v>2070</v>
      </c>
      <c r="F16" s="323"/>
      <c r="G16" s="3"/>
      <c r="H16" s="312"/>
      <c r="I16" s="309"/>
      <c r="J16" s="309"/>
      <c r="K16" s="311"/>
      <c r="L16" s="332"/>
      <c r="M16" s="332"/>
      <c r="N16" s="332"/>
      <c r="O16" s="332"/>
      <c r="P16" s="332"/>
      <c r="Q16" s="332"/>
      <c r="R16" s="332"/>
    </row>
    <row r="17" spans="1:18" s="136" customFormat="1" ht="186" customHeight="1">
      <c r="A17" s="20" t="s">
        <v>644</v>
      </c>
      <c r="B17" s="20" t="s">
        <v>2071</v>
      </c>
      <c r="C17" s="334" t="s">
        <v>2072</v>
      </c>
      <c r="D17" s="334" t="s">
        <v>2073</v>
      </c>
      <c r="E17" s="323" t="s">
        <v>2074</v>
      </c>
      <c r="F17" s="323"/>
      <c r="G17" s="3"/>
      <c r="H17" s="312"/>
      <c r="I17" s="309"/>
      <c r="J17" s="309"/>
      <c r="K17" s="311"/>
      <c r="L17" s="332"/>
      <c r="M17" s="332"/>
      <c r="N17" s="332"/>
      <c r="O17" s="332"/>
      <c r="P17" s="332"/>
      <c r="Q17" s="332"/>
      <c r="R17" s="332"/>
    </row>
    <row r="18" spans="1:18" s="136" customFormat="1" ht="165.6">
      <c r="A18" s="20" t="s">
        <v>645</v>
      </c>
      <c r="B18" s="20" t="s">
        <v>2075</v>
      </c>
      <c r="C18" s="334" t="s">
        <v>2076</v>
      </c>
      <c r="D18" s="334" t="s">
        <v>2077</v>
      </c>
      <c r="E18" s="323" t="s">
        <v>2078</v>
      </c>
      <c r="F18" s="323"/>
      <c r="G18" s="3"/>
      <c r="H18" s="312"/>
      <c r="I18" s="309"/>
      <c r="J18" s="309"/>
      <c r="K18" s="311"/>
      <c r="L18" s="332"/>
      <c r="M18" s="332"/>
      <c r="N18" s="332"/>
      <c r="O18" s="332"/>
      <c r="P18" s="332"/>
      <c r="Q18" s="332"/>
      <c r="R18" s="332"/>
    </row>
    <row r="19" spans="1:18" s="134" customFormat="1" ht="165.6">
      <c r="A19" s="20" t="s">
        <v>646</v>
      </c>
      <c r="B19" s="20" t="s">
        <v>2079</v>
      </c>
      <c r="C19" s="334" t="s">
        <v>2080</v>
      </c>
      <c r="D19" s="334" t="s">
        <v>2081</v>
      </c>
      <c r="E19" s="323" t="s">
        <v>2082</v>
      </c>
      <c r="F19" s="323"/>
      <c r="G19" s="3"/>
      <c r="H19" s="312"/>
      <c r="I19" s="309"/>
      <c r="J19" s="309"/>
      <c r="K19" s="311"/>
      <c r="L19" s="332"/>
      <c r="M19" s="332"/>
      <c r="N19" s="332"/>
      <c r="O19" s="332"/>
      <c r="P19" s="332"/>
      <c r="Q19" s="332"/>
      <c r="R19" s="332"/>
    </row>
    <row r="20" spans="1:18" s="333" customFormat="1">
      <c r="E20" s="312"/>
      <c r="F20" s="312"/>
      <c r="G20" s="312"/>
      <c r="H20" s="312"/>
      <c r="I20" s="309"/>
      <c r="J20" s="309"/>
      <c r="K20" s="311"/>
      <c r="L20" s="332"/>
      <c r="M20" s="332"/>
      <c r="N20" s="332"/>
      <c r="O20" s="332"/>
      <c r="P20" s="332"/>
      <c r="Q20" s="332"/>
      <c r="R20" s="332"/>
    </row>
    <row r="21" spans="1:18" s="326" customFormat="1">
      <c r="B21" s="333"/>
      <c r="E21" s="312"/>
      <c r="F21" s="312"/>
      <c r="G21" s="312"/>
      <c r="H21" s="309"/>
      <c r="I21" s="309"/>
      <c r="J21" s="309"/>
      <c r="K21" s="311"/>
      <c r="L21" s="311"/>
      <c r="M21" s="311"/>
      <c r="N21" s="311"/>
      <c r="O21" s="311"/>
      <c r="P21" s="311"/>
      <c r="Q21" s="311"/>
      <c r="R21" s="311"/>
    </row>
    <row r="22" spans="1:18" s="326" customFormat="1">
      <c r="B22" s="333"/>
      <c r="E22" s="312"/>
      <c r="F22" s="312"/>
      <c r="G22" s="312"/>
      <c r="H22" s="309"/>
      <c r="I22" s="309"/>
      <c r="J22" s="309"/>
      <c r="K22" s="311"/>
      <c r="L22" s="311"/>
      <c r="M22" s="311"/>
      <c r="N22" s="311"/>
      <c r="O22" s="311"/>
      <c r="P22" s="311"/>
      <c r="Q22" s="311"/>
      <c r="R22" s="311"/>
    </row>
    <row r="23" spans="1:18" s="326" customFormat="1">
      <c r="B23" s="333"/>
      <c r="E23" s="312"/>
      <c r="F23" s="312"/>
      <c r="G23" s="312"/>
      <c r="H23" s="309"/>
      <c r="I23" s="309"/>
      <c r="J23" s="309"/>
      <c r="K23" s="311"/>
      <c r="L23" s="311"/>
      <c r="M23" s="311"/>
      <c r="N23" s="311"/>
      <c r="O23" s="311"/>
      <c r="P23" s="311"/>
      <c r="Q23" s="311"/>
      <c r="R23" s="311"/>
    </row>
    <row r="24" spans="1:18" s="326" customFormat="1">
      <c r="B24" s="333"/>
      <c r="E24" s="312"/>
      <c r="F24" s="312"/>
      <c r="G24" s="312"/>
      <c r="H24" s="309"/>
      <c r="I24" s="309"/>
      <c r="J24" s="309"/>
      <c r="K24" s="311"/>
      <c r="L24" s="311"/>
      <c r="M24" s="311"/>
      <c r="N24" s="311"/>
      <c r="O24" s="311"/>
      <c r="P24" s="311"/>
      <c r="Q24" s="311"/>
      <c r="R24" s="311"/>
    </row>
    <row r="25" spans="1:18" s="326" customFormat="1">
      <c r="B25" s="333"/>
      <c r="E25" s="312"/>
      <c r="F25" s="312"/>
      <c r="G25" s="312"/>
      <c r="H25" s="309"/>
      <c r="I25" s="309"/>
      <c r="J25" s="309"/>
      <c r="K25" s="311"/>
      <c r="L25" s="311"/>
      <c r="M25" s="311"/>
      <c r="N25" s="311"/>
      <c r="O25" s="311"/>
      <c r="P25" s="311"/>
      <c r="Q25" s="311"/>
      <c r="R25" s="311"/>
    </row>
    <row r="26" spans="1:18" s="326" customFormat="1">
      <c r="B26" s="333"/>
      <c r="E26" s="312"/>
      <c r="F26" s="312"/>
      <c r="G26" s="312"/>
      <c r="H26" s="309"/>
      <c r="I26" s="309"/>
      <c r="J26" s="309"/>
      <c r="K26" s="311"/>
      <c r="L26" s="311"/>
      <c r="M26" s="311"/>
      <c r="N26" s="311"/>
      <c r="O26" s="311"/>
      <c r="P26" s="311"/>
      <c r="Q26" s="311"/>
      <c r="R26" s="311"/>
    </row>
    <row r="27" spans="1:18" s="327" customFormat="1">
      <c r="B27" s="351"/>
      <c r="E27" s="312"/>
      <c r="F27" s="312"/>
      <c r="G27" s="312"/>
      <c r="H27" s="309"/>
      <c r="J27" s="309"/>
      <c r="K27" s="311"/>
      <c r="L27" s="311"/>
      <c r="M27" s="311"/>
      <c r="N27" s="311"/>
      <c r="O27" s="311"/>
      <c r="P27" s="311"/>
      <c r="Q27" s="311"/>
      <c r="R27" s="311"/>
    </row>
    <row r="28" spans="1:18" s="327" customFormat="1">
      <c r="B28" s="351"/>
      <c r="E28" s="312"/>
      <c r="F28" s="312"/>
      <c r="G28" s="312"/>
      <c r="H28" s="309"/>
      <c r="I28" s="309"/>
      <c r="J28" s="309"/>
      <c r="K28" s="311"/>
      <c r="L28" s="311"/>
      <c r="M28" s="311"/>
      <c r="N28" s="311"/>
      <c r="O28" s="311"/>
      <c r="P28" s="311"/>
      <c r="Q28" s="311"/>
      <c r="R28" s="311"/>
    </row>
    <row r="29" spans="1:18" s="327" customFormat="1">
      <c r="B29" s="351"/>
      <c r="E29" s="312"/>
      <c r="F29" s="312"/>
      <c r="G29" s="312"/>
      <c r="H29" s="309"/>
      <c r="I29" s="309"/>
      <c r="J29" s="309"/>
      <c r="K29" s="311"/>
      <c r="L29" s="311"/>
      <c r="M29" s="311"/>
      <c r="N29" s="311"/>
      <c r="O29" s="311"/>
      <c r="P29" s="311"/>
      <c r="Q29" s="311"/>
      <c r="R29" s="311"/>
    </row>
    <row r="30" spans="1:18" s="327" customFormat="1">
      <c r="B30" s="351"/>
      <c r="E30" s="312"/>
      <c r="F30" s="312"/>
      <c r="G30" s="312"/>
      <c r="H30" s="309"/>
      <c r="I30" s="309"/>
      <c r="J30" s="309"/>
      <c r="K30" s="311"/>
      <c r="L30" s="311"/>
      <c r="M30" s="311"/>
      <c r="N30" s="311"/>
      <c r="O30" s="311"/>
      <c r="P30" s="311"/>
      <c r="Q30" s="311"/>
      <c r="R30" s="311"/>
    </row>
    <row r="31" spans="1:18" s="327" customFormat="1">
      <c r="B31" s="351"/>
      <c r="E31" s="312"/>
      <c r="F31" s="312"/>
      <c r="G31" s="312"/>
      <c r="H31" s="309"/>
      <c r="I31" s="309"/>
      <c r="J31" s="309"/>
      <c r="K31" s="311"/>
      <c r="L31" s="311"/>
      <c r="M31" s="311"/>
      <c r="N31" s="311"/>
      <c r="O31" s="311"/>
      <c r="P31" s="311"/>
      <c r="Q31" s="311"/>
      <c r="R31" s="311"/>
    </row>
    <row r="32" spans="1:18" s="327" customFormat="1">
      <c r="B32" s="351"/>
      <c r="E32" s="312"/>
      <c r="F32" s="312"/>
      <c r="G32" s="312"/>
      <c r="H32" s="309"/>
      <c r="I32" s="309"/>
      <c r="J32" s="309"/>
      <c r="K32" s="311"/>
      <c r="L32" s="311"/>
      <c r="M32" s="311"/>
      <c r="N32" s="311"/>
      <c r="O32" s="311"/>
      <c r="P32" s="311"/>
      <c r="Q32" s="311"/>
      <c r="R32" s="311"/>
    </row>
    <row r="33" spans="2:18" s="327" customFormat="1">
      <c r="B33" s="351"/>
      <c r="E33" s="312"/>
      <c r="F33" s="312"/>
      <c r="G33" s="312"/>
      <c r="H33" s="309"/>
      <c r="I33" s="309"/>
      <c r="J33" s="309"/>
      <c r="K33" s="311"/>
      <c r="L33" s="311"/>
      <c r="M33" s="311"/>
      <c r="N33" s="311"/>
      <c r="O33" s="311"/>
      <c r="P33" s="311"/>
      <c r="Q33" s="311"/>
      <c r="R33" s="311"/>
    </row>
    <row r="34" spans="2:18" s="327" customFormat="1">
      <c r="B34" s="351"/>
      <c r="E34" s="312"/>
      <c r="F34" s="312"/>
      <c r="G34" s="312"/>
      <c r="H34" s="309"/>
      <c r="I34" s="309"/>
      <c r="J34" s="309"/>
      <c r="K34" s="311"/>
      <c r="L34" s="311"/>
      <c r="M34" s="311"/>
      <c r="N34" s="311"/>
      <c r="O34" s="311"/>
      <c r="P34" s="311"/>
      <c r="Q34" s="311"/>
      <c r="R34" s="311"/>
    </row>
    <row r="35" spans="2:18" s="327" customFormat="1">
      <c r="B35" s="351"/>
      <c r="E35" s="312"/>
      <c r="F35" s="312"/>
      <c r="G35" s="312"/>
      <c r="H35" s="309"/>
      <c r="I35" s="309"/>
      <c r="J35" s="309"/>
      <c r="K35" s="311"/>
      <c r="L35" s="311"/>
      <c r="M35" s="311"/>
      <c r="N35" s="311"/>
      <c r="O35" s="311"/>
      <c r="P35" s="311"/>
      <c r="Q35" s="311"/>
      <c r="R35" s="311"/>
    </row>
    <row r="36" spans="2:18" s="327" customFormat="1">
      <c r="B36" s="351"/>
      <c r="E36" s="312"/>
      <c r="F36" s="312"/>
      <c r="G36" s="312"/>
      <c r="H36" s="309"/>
      <c r="I36" s="309"/>
      <c r="J36" s="309"/>
      <c r="K36" s="311"/>
      <c r="L36" s="311"/>
      <c r="M36" s="311"/>
      <c r="N36" s="311"/>
      <c r="O36" s="311"/>
      <c r="P36" s="311"/>
      <c r="Q36" s="311"/>
      <c r="R36" s="311"/>
    </row>
    <row r="37" spans="2:18" s="327" customFormat="1">
      <c r="B37" s="351"/>
      <c r="E37" s="312"/>
      <c r="F37" s="312"/>
      <c r="G37" s="312"/>
      <c r="H37" s="309"/>
      <c r="I37" s="309"/>
      <c r="J37" s="309"/>
      <c r="K37" s="311"/>
      <c r="L37" s="311"/>
      <c r="M37" s="311"/>
      <c r="N37" s="311"/>
      <c r="O37" s="311"/>
      <c r="P37" s="311"/>
      <c r="Q37" s="311"/>
      <c r="R37" s="311"/>
    </row>
    <row r="38" spans="2:18" s="327" customFormat="1">
      <c r="B38" s="351"/>
      <c r="E38" s="312"/>
      <c r="F38" s="312"/>
      <c r="G38" s="312"/>
      <c r="H38" s="309"/>
      <c r="I38" s="309"/>
      <c r="J38" s="309"/>
      <c r="K38" s="311"/>
      <c r="L38" s="311"/>
      <c r="M38" s="311"/>
      <c r="N38" s="311"/>
      <c r="O38" s="311"/>
      <c r="P38" s="311"/>
      <c r="Q38" s="311"/>
      <c r="R38" s="311"/>
    </row>
    <row r="39" spans="2:18" s="327" customFormat="1">
      <c r="B39" s="351"/>
      <c r="E39" s="312"/>
      <c r="F39" s="312"/>
      <c r="G39" s="312"/>
      <c r="H39" s="309"/>
      <c r="I39" s="309"/>
      <c r="J39" s="309"/>
      <c r="K39" s="311"/>
      <c r="L39" s="311"/>
      <c r="M39" s="311"/>
      <c r="N39" s="311"/>
      <c r="O39" s="311"/>
      <c r="P39" s="311"/>
      <c r="Q39" s="311"/>
      <c r="R39" s="311"/>
    </row>
    <row r="40" spans="2:18" s="327" customFormat="1">
      <c r="B40" s="351"/>
      <c r="E40" s="312"/>
      <c r="F40" s="312"/>
      <c r="G40" s="312"/>
      <c r="H40" s="309"/>
      <c r="I40" s="309"/>
      <c r="J40" s="309"/>
      <c r="K40" s="311"/>
      <c r="L40" s="311"/>
      <c r="M40" s="311"/>
      <c r="N40" s="311"/>
      <c r="O40" s="311"/>
      <c r="P40" s="311"/>
      <c r="Q40" s="311"/>
      <c r="R40" s="311"/>
    </row>
    <row r="41" spans="2:18" s="327" customFormat="1">
      <c r="B41" s="351"/>
      <c r="E41" s="312"/>
      <c r="F41" s="312"/>
      <c r="G41" s="312"/>
      <c r="H41" s="309"/>
      <c r="I41" s="309"/>
      <c r="J41" s="309"/>
      <c r="K41" s="311"/>
      <c r="L41" s="311"/>
      <c r="M41" s="311"/>
      <c r="N41" s="311"/>
      <c r="O41" s="311"/>
      <c r="P41" s="311"/>
      <c r="Q41" s="311"/>
      <c r="R41" s="311"/>
    </row>
    <row r="42" spans="2:18" s="327" customFormat="1">
      <c r="B42" s="351"/>
      <c r="E42" s="312"/>
      <c r="F42" s="312"/>
      <c r="G42" s="312"/>
      <c r="H42" s="309"/>
      <c r="I42" s="309"/>
      <c r="J42" s="309"/>
      <c r="K42" s="311"/>
      <c r="L42" s="311"/>
      <c r="M42" s="311"/>
      <c r="N42" s="311"/>
      <c r="O42" s="311"/>
      <c r="P42" s="311"/>
      <c r="Q42" s="311"/>
      <c r="R42" s="311"/>
    </row>
    <row r="43" spans="2:18" s="327" customFormat="1">
      <c r="B43" s="351"/>
      <c r="E43" s="312"/>
      <c r="F43" s="312"/>
      <c r="G43" s="312"/>
      <c r="H43" s="309"/>
      <c r="I43" s="309"/>
      <c r="J43" s="309"/>
      <c r="K43" s="311"/>
      <c r="L43" s="311"/>
      <c r="M43" s="311"/>
      <c r="N43" s="311"/>
      <c r="O43" s="311"/>
      <c r="P43" s="311"/>
      <c r="Q43" s="311"/>
      <c r="R43" s="311"/>
    </row>
    <row r="44" spans="2:18" s="327" customFormat="1">
      <c r="B44" s="351"/>
      <c r="E44" s="312"/>
      <c r="F44" s="312"/>
      <c r="G44" s="312"/>
      <c r="H44" s="309"/>
      <c r="I44" s="309"/>
      <c r="J44" s="309"/>
      <c r="K44" s="311"/>
      <c r="L44" s="311"/>
      <c r="M44" s="311"/>
      <c r="N44" s="311"/>
      <c r="O44" s="311"/>
      <c r="P44" s="311"/>
      <c r="Q44" s="311"/>
      <c r="R44" s="311"/>
    </row>
    <row r="45" spans="2:18" s="327" customFormat="1">
      <c r="B45" s="351"/>
      <c r="E45" s="312"/>
      <c r="F45" s="312"/>
      <c r="G45" s="312"/>
      <c r="H45" s="309"/>
      <c r="I45" s="309"/>
      <c r="J45" s="309"/>
      <c r="K45" s="311"/>
      <c r="L45" s="311"/>
      <c r="M45" s="311"/>
      <c r="N45" s="311"/>
      <c r="O45" s="311"/>
      <c r="P45" s="311"/>
      <c r="Q45" s="311"/>
      <c r="R45" s="311"/>
    </row>
    <row r="46" spans="2:18" s="327" customFormat="1">
      <c r="B46" s="351"/>
      <c r="E46" s="312"/>
      <c r="F46" s="312"/>
      <c r="G46" s="312"/>
      <c r="H46" s="309"/>
      <c r="I46" s="309"/>
      <c r="J46" s="309"/>
      <c r="K46" s="311"/>
      <c r="L46" s="311"/>
      <c r="M46" s="311"/>
      <c r="N46" s="311"/>
      <c r="O46" s="311"/>
      <c r="P46" s="311"/>
      <c r="Q46" s="311"/>
      <c r="R46" s="311"/>
    </row>
    <row r="47" spans="2:18" s="327" customFormat="1">
      <c r="B47" s="351"/>
      <c r="E47" s="312"/>
      <c r="F47" s="312"/>
      <c r="G47" s="312"/>
      <c r="H47" s="309"/>
      <c r="I47" s="309"/>
      <c r="J47" s="309"/>
      <c r="K47" s="311"/>
      <c r="L47" s="311"/>
      <c r="M47" s="311"/>
      <c r="N47" s="311"/>
      <c r="O47" s="311"/>
      <c r="P47" s="311"/>
      <c r="Q47" s="311"/>
      <c r="R47" s="311"/>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0070C0"/>
  </sheetPr>
  <dimension ref="A1:R47"/>
  <sheetViews>
    <sheetView tabSelected="1" topLeftCell="A20" zoomScale="85" zoomScaleNormal="85" workbookViewId="0">
      <selection activeCell="E23" sqref="E23"/>
    </sheetView>
  </sheetViews>
  <sheetFormatPr defaultColWidth="8.77734375" defaultRowHeight="13.8"/>
  <cols>
    <col min="1" max="1" width="10.21875" style="316" customWidth="1"/>
    <col min="2" max="2" width="63.77734375" style="316" customWidth="1"/>
    <col min="3" max="4" width="21.44140625" style="316" customWidth="1"/>
    <col min="5" max="5" width="48.44140625" style="316" customWidth="1"/>
    <col min="6" max="6" width="30.21875" style="316" customWidth="1"/>
    <col min="7" max="7" width="21.44140625" style="311" customWidth="1"/>
    <col min="8" max="9" width="8.77734375" style="309"/>
    <col min="10" max="18" width="8.77734375" style="311"/>
    <col min="19" max="16384" width="8.77734375" style="316"/>
  </cols>
  <sheetData>
    <row r="1" spans="1:18" s="136" customFormat="1" ht="25.8">
      <c r="A1" s="308" t="s">
        <v>2083</v>
      </c>
      <c r="B1" s="309"/>
      <c r="C1" s="310"/>
      <c r="D1" s="309"/>
      <c r="E1" s="309"/>
      <c r="F1" s="309"/>
      <c r="G1" s="311"/>
      <c r="H1" s="309"/>
      <c r="I1" s="309"/>
      <c r="J1" s="311"/>
      <c r="K1" s="311"/>
      <c r="L1" s="311"/>
      <c r="M1" s="311"/>
      <c r="N1" s="311"/>
      <c r="O1" s="311"/>
      <c r="P1" s="311"/>
      <c r="Q1" s="311"/>
      <c r="R1" s="311"/>
    </row>
    <row r="2" spans="1:18" s="134" customFormat="1" ht="25.8">
      <c r="A2" s="308" t="s">
        <v>2084</v>
      </c>
      <c r="B2" s="309"/>
      <c r="C2" s="310"/>
      <c r="D2" s="309"/>
      <c r="E2" s="309"/>
      <c r="F2" s="309"/>
      <c r="G2" s="311"/>
      <c r="H2" s="309"/>
      <c r="I2" s="309"/>
      <c r="J2" s="311"/>
      <c r="K2" s="311"/>
      <c r="L2" s="311"/>
      <c r="M2" s="311"/>
      <c r="N2" s="311"/>
      <c r="O2" s="311"/>
      <c r="P2" s="311"/>
      <c r="Q2" s="311"/>
      <c r="R2" s="311"/>
    </row>
    <row r="3" spans="1:18" s="333" customFormat="1">
      <c r="A3" s="312" t="s">
        <v>23</v>
      </c>
      <c r="B3" s="309" t="s">
        <v>2085</v>
      </c>
      <c r="C3" s="309"/>
      <c r="D3" s="309"/>
      <c r="E3" s="309"/>
      <c r="F3" s="309"/>
      <c r="G3" s="311"/>
      <c r="H3" s="309"/>
      <c r="I3" s="309"/>
      <c r="J3" s="311"/>
      <c r="K3" s="311"/>
      <c r="L3" s="311"/>
      <c r="M3" s="311"/>
      <c r="N3" s="311"/>
      <c r="O3" s="311"/>
      <c r="P3" s="311"/>
      <c r="Q3" s="311"/>
      <c r="R3" s="311"/>
    </row>
    <row r="4" spans="1:18" s="136" customFormat="1">
      <c r="A4" s="312" t="s">
        <v>1646</v>
      </c>
      <c r="B4" s="309" t="s">
        <v>2086</v>
      </c>
      <c r="C4" s="309"/>
      <c r="D4" s="309"/>
      <c r="E4" s="309"/>
      <c r="F4" s="309"/>
      <c r="G4" s="311"/>
      <c r="H4" s="309"/>
      <c r="I4" s="309"/>
      <c r="J4" s="311"/>
      <c r="K4" s="311"/>
      <c r="L4" s="311"/>
      <c r="M4" s="311"/>
      <c r="N4" s="311"/>
      <c r="O4" s="311"/>
      <c r="P4" s="311"/>
      <c r="Q4" s="311"/>
      <c r="R4" s="311"/>
    </row>
    <row r="5" spans="1:18" s="134" customFormat="1">
      <c r="A5" s="309" t="s">
        <v>25</v>
      </c>
      <c r="B5" s="309" t="s">
        <v>2087</v>
      </c>
      <c r="C5" s="309"/>
      <c r="D5" s="309"/>
      <c r="E5" s="309"/>
      <c r="F5" s="309"/>
      <c r="G5" s="311"/>
      <c r="H5" s="309"/>
      <c r="I5" s="309"/>
      <c r="J5" s="311"/>
      <c r="K5" s="311"/>
      <c r="L5" s="311"/>
      <c r="M5" s="311"/>
      <c r="N5" s="311"/>
      <c r="O5" s="311"/>
      <c r="P5" s="311"/>
      <c r="Q5" s="311"/>
      <c r="R5" s="311"/>
    </row>
    <row r="6" spans="1:18" s="333" customFormat="1">
      <c r="A6" s="309" t="s">
        <v>1648</v>
      </c>
      <c r="B6" s="309" t="s">
        <v>2088</v>
      </c>
      <c r="C6" s="309"/>
      <c r="D6" s="309"/>
      <c r="E6" s="309"/>
      <c r="F6" s="309"/>
      <c r="G6" s="311"/>
      <c r="H6" s="309"/>
      <c r="I6" s="309"/>
      <c r="J6" s="311"/>
      <c r="K6" s="311"/>
      <c r="L6" s="311"/>
      <c r="M6" s="311"/>
      <c r="N6" s="311"/>
      <c r="O6" s="311"/>
      <c r="P6" s="311"/>
      <c r="Q6" s="311"/>
      <c r="R6" s="311"/>
    </row>
    <row r="7" spans="1:18" s="136" customFormat="1">
      <c r="A7" s="316"/>
      <c r="B7" s="316"/>
      <c r="C7" s="316"/>
      <c r="D7" s="316"/>
      <c r="E7" s="309"/>
      <c r="F7" s="309"/>
      <c r="G7" s="346"/>
      <c r="H7" s="309"/>
      <c r="I7" s="309"/>
      <c r="J7" s="311"/>
      <c r="K7" s="311"/>
      <c r="L7" s="311"/>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09"/>
      <c r="I9" s="309"/>
      <c r="J9" s="332"/>
      <c r="K9" s="332"/>
      <c r="L9" s="332"/>
      <c r="M9" s="332"/>
      <c r="N9" s="332"/>
      <c r="O9" s="332"/>
      <c r="P9" s="332"/>
      <c r="Q9" s="332"/>
      <c r="R9" s="332"/>
    </row>
    <row r="10" spans="1:18" s="333" customFormat="1" ht="138">
      <c r="A10" s="20" t="s">
        <v>285</v>
      </c>
      <c r="B10" s="20" t="s">
        <v>2089</v>
      </c>
      <c r="C10" s="334" t="s">
        <v>2090</v>
      </c>
      <c r="D10" s="334" t="s">
        <v>2091</v>
      </c>
      <c r="E10" s="334" t="s">
        <v>2092</v>
      </c>
      <c r="F10" s="334"/>
      <c r="G10" s="335"/>
      <c r="H10" s="309"/>
      <c r="I10" s="309"/>
      <c r="J10" s="332"/>
      <c r="K10" s="332"/>
      <c r="L10" s="332"/>
      <c r="M10" s="332"/>
      <c r="N10" s="332"/>
      <c r="O10" s="332"/>
      <c r="P10" s="332"/>
      <c r="Q10" s="332"/>
      <c r="R10" s="332"/>
    </row>
    <row r="11" spans="1:18" s="136" customFormat="1">
      <c r="A11" s="329" t="s">
        <v>28</v>
      </c>
      <c r="B11" s="329"/>
      <c r="C11" s="330"/>
      <c r="D11" s="330"/>
      <c r="E11" s="330" t="s">
        <v>1504</v>
      </c>
      <c r="F11" s="330"/>
      <c r="G11" s="331"/>
      <c r="H11" s="309"/>
      <c r="I11" s="309"/>
      <c r="J11" s="332"/>
      <c r="K11" s="332"/>
      <c r="L11" s="332"/>
      <c r="M11" s="332"/>
      <c r="N11" s="332"/>
      <c r="O11" s="332"/>
      <c r="P11" s="332"/>
      <c r="Q11" s="332"/>
      <c r="R11" s="332"/>
    </row>
    <row r="12" spans="1:18" s="136" customFormat="1" ht="138">
      <c r="A12" s="20" t="s">
        <v>286</v>
      </c>
      <c r="B12" s="20" t="s">
        <v>2093</v>
      </c>
      <c r="C12" s="334" t="s">
        <v>2094</v>
      </c>
      <c r="D12" s="334" t="s">
        <v>2095</v>
      </c>
      <c r="E12" s="334" t="s">
        <v>2096</v>
      </c>
      <c r="F12" s="334"/>
      <c r="G12" s="335"/>
      <c r="H12" s="309"/>
      <c r="I12" s="309"/>
      <c r="J12" s="332"/>
      <c r="K12" s="332"/>
      <c r="L12" s="332"/>
      <c r="M12" s="332"/>
      <c r="N12" s="332"/>
      <c r="O12" s="332"/>
      <c r="P12" s="332"/>
      <c r="Q12" s="332"/>
      <c r="R12" s="332"/>
    </row>
    <row r="13" spans="1:18" s="134" customFormat="1" ht="138">
      <c r="A13" s="20" t="s">
        <v>287</v>
      </c>
      <c r="B13" s="20" t="s">
        <v>2097</v>
      </c>
      <c r="C13" s="334" t="s">
        <v>2098</v>
      </c>
      <c r="D13" s="334" t="s">
        <v>2099</v>
      </c>
      <c r="E13" s="334" t="s">
        <v>2100</v>
      </c>
      <c r="F13" s="334"/>
      <c r="G13" s="335"/>
      <c r="H13" s="309"/>
      <c r="I13" s="309"/>
      <c r="J13" s="332"/>
      <c r="K13" s="332"/>
      <c r="L13" s="332"/>
      <c r="M13" s="332"/>
      <c r="N13" s="332"/>
      <c r="O13" s="332"/>
      <c r="P13" s="332"/>
      <c r="Q13" s="332"/>
      <c r="R13" s="332"/>
    </row>
    <row r="14" spans="1:18" s="333" customFormat="1" ht="151.80000000000001">
      <c r="A14" s="20" t="s">
        <v>288</v>
      </c>
      <c r="B14" s="20" t="s">
        <v>2101</v>
      </c>
      <c r="C14" s="334" t="s">
        <v>2102</v>
      </c>
      <c r="D14" s="334" t="s">
        <v>2103</v>
      </c>
      <c r="E14" s="334" t="s">
        <v>2104</v>
      </c>
      <c r="F14" s="334"/>
      <c r="G14" s="335"/>
      <c r="H14" s="309"/>
      <c r="I14" s="309"/>
      <c r="J14" s="332"/>
      <c r="K14" s="332"/>
      <c r="L14" s="332"/>
      <c r="M14" s="332"/>
      <c r="N14" s="332"/>
      <c r="O14" s="332"/>
      <c r="P14" s="332"/>
      <c r="Q14" s="332"/>
      <c r="R14" s="332"/>
    </row>
    <row r="15" spans="1:18" s="136" customFormat="1" ht="165.6">
      <c r="A15" s="20" t="s">
        <v>289</v>
      </c>
      <c r="B15" s="20" t="s">
        <v>2105</v>
      </c>
      <c r="C15" s="334" t="s">
        <v>2106</v>
      </c>
      <c r="D15" s="334" t="s">
        <v>2107</v>
      </c>
      <c r="E15" s="334" t="s">
        <v>2108</v>
      </c>
      <c r="F15" s="334"/>
      <c r="G15" s="335"/>
      <c r="H15" s="309"/>
      <c r="I15" s="309"/>
      <c r="J15" s="332"/>
      <c r="K15" s="332"/>
      <c r="L15" s="332"/>
      <c r="M15" s="332"/>
      <c r="N15" s="332"/>
      <c r="O15" s="332"/>
      <c r="P15" s="332"/>
      <c r="Q15" s="332"/>
      <c r="R15" s="332"/>
    </row>
    <row r="16" spans="1:18" s="136" customFormat="1" ht="151.80000000000001">
      <c r="A16" s="20" t="s">
        <v>290</v>
      </c>
      <c r="B16" s="20" t="s">
        <v>2109</v>
      </c>
      <c r="C16" s="334" t="s">
        <v>2110</v>
      </c>
      <c r="D16" s="334" t="s">
        <v>2111</v>
      </c>
      <c r="E16" s="334" t="s">
        <v>2112</v>
      </c>
      <c r="F16" s="20"/>
      <c r="G16" s="335"/>
      <c r="H16" s="309"/>
      <c r="I16" s="309"/>
      <c r="J16" s="332"/>
      <c r="K16" s="332"/>
      <c r="L16" s="332"/>
      <c r="M16" s="332"/>
      <c r="N16" s="332"/>
      <c r="O16" s="332"/>
      <c r="P16" s="332"/>
      <c r="Q16" s="332"/>
      <c r="R16" s="332"/>
    </row>
    <row r="17" spans="1:18" s="333" customFormat="1">
      <c r="A17" s="329" t="s">
        <v>29</v>
      </c>
      <c r="B17" s="329"/>
      <c r="C17" s="330"/>
      <c r="D17" s="330"/>
      <c r="E17" s="330" t="s">
        <v>1504</v>
      </c>
      <c r="F17" s="330"/>
      <c r="G17" s="331"/>
      <c r="H17" s="309"/>
      <c r="I17" s="309"/>
      <c r="J17" s="332"/>
      <c r="K17" s="332"/>
      <c r="L17" s="332"/>
      <c r="M17" s="332"/>
      <c r="N17" s="332"/>
      <c r="O17" s="332"/>
      <c r="P17" s="332"/>
      <c r="Q17" s="332"/>
      <c r="R17" s="332"/>
    </row>
    <row r="18" spans="1:18" s="136" customFormat="1" ht="165.6">
      <c r="A18" s="20" t="s">
        <v>292</v>
      </c>
      <c r="B18" s="20" t="s">
        <v>2113</v>
      </c>
      <c r="C18" s="334" t="s">
        <v>2114</v>
      </c>
      <c r="D18" s="334" t="s">
        <v>2115</v>
      </c>
      <c r="E18" s="334" t="s">
        <v>2116</v>
      </c>
      <c r="F18" s="20"/>
      <c r="G18" s="335"/>
      <c r="H18" s="309"/>
      <c r="I18" s="309"/>
      <c r="J18" s="332"/>
      <c r="K18" s="332"/>
      <c r="L18" s="332"/>
      <c r="M18" s="332"/>
      <c r="N18" s="332"/>
      <c r="O18" s="332"/>
      <c r="P18" s="332"/>
      <c r="Q18" s="332"/>
      <c r="R18" s="332"/>
    </row>
    <row r="19" spans="1:18" s="136" customFormat="1" ht="165.6">
      <c r="A19" s="20" t="s">
        <v>293</v>
      </c>
      <c r="B19" s="20" t="s">
        <v>2117</v>
      </c>
      <c r="C19" s="334" t="s">
        <v>2118</v>
      </c>
      <c r="D19" s="334" t="s">
        <v>2119</v>
      </c>
      <c r="E19" s="334" t="s">
        <v>2120</v>
      </c>
      <c r="F19" s="334"/>
      <c r="G19" s="335"/>
      <c r="H19" s="309"/>
      <c r="I19" s="309"/>
      <c r="J19" s="332"/>
      <c r="K19" s="332"/>
      <c r="L19" s="332"/>
      <c r="M19" s="332"/>
      <c r="N19" s="332"/>
      <c r="O19" s="332"/>
      <c r="P19" s="332"/>
      <c r="Q19" s="332"/>
      <c r="R19" s="332"/>
    </row>
    <row r="20" spans="1:18" s="134" customFormat="1" ht="165.6">
      <c r="A20" s="20" t="s">
        <v>294</v>
      </c>
      <c r="B20" s="20" t="s">
        <v>2121</v>
      </c>
      <c r="C20" s="334" t="s">
        <v>2122</v>
      </c>
      <c r="D20" s="334" t="s">
        <v>2123</v>
      </c>
      <c r="E20" s="334" t="s">
        <v>2124</v>
      </c>
      <c r="F20" s="334"/>
      <c r="G20" s="335"/>
      <c r="H20" s="309"/>
      <c r="I20" s="309"/>
      <c r="J20" s="332"/>
      <c r="K20" s="332"/>
      <c r="L20" s="332"/>
      <c r="M20" s="332"/>
      <c r="N20" s="332"/>
      <c r="O20" s="332"/>
      <c r="P20" s="332"/>
      <c r="Q20" s="332"/>
      <c r="R20" s="332"/>
    </row>
    <row r="21" spans="1:18" s="333" customFormat="1" ht="82.8">
      <c r="A21" s="20" t="s">
        <v>295</v>
      </c>
      <c r="B21" s="20" t="s">
        <v>2125</v>
      </c>
      <c r="C21" s="334" t="s">
        <v>2126</v>
      </c>
      <c r="D21" s="334" t="s">
        <v>2127</v>
      </c>
      <c r="E21" s="334" t="s">
        <v>2128</v>
      </c>
      <c r="F21" s="334"/>
      <c r="G21" s="335"/>
      <c r="H21" s="309"/>
      <c r="I21" s="309"/>
      <c r="J21" s="332"/>
      <c r="K21" s="332"/>
      <c r="L21" s="332"/>
      <c r="M21" s="332"/>
      <c r="N21" s="332"/>
      <c r="O21" s="332"/>
      <c r="P21" s="332"/>
      <c r="Q21" s="332"/>
      <c r="R21" s="332"/>
    </row>
    <row r="22" spans="1:18" s="136" customFormat="1" ht="82.8">
      <c r="A22" s="20" t="s">
        <v>296</v>
      </c>
      <c r="B22" s="20" t="s">
        <v>2129</v>
      </c>
      <c r="C22" s="334" t="s">
        <v>2130</v>
      </c>
      <c r="D22" s="334" t="s">
        <v>2131</v>
      </c>
      <c r="E22" s="334" t="s">
        <v>2132</v>
      </c>
      <c r="F22" s="334"/>
      <c r="G22" s="335"/>
      <c r="H22" s="309"/>
      <c r="I22" s="309"/>
      <c r="J22" s="332"/>
      <c r="K22" s="332"/>
      <c r="L22" s="332"/>
      <c r="M22" s="332"/>
      <c r="N22" s="332"/>
      <c r="O22" s="332"/>
      <c r="P22" s="332"/>
      <c r="Q22" s="332"/>
      <c r="R22" s="332"/>
    </row>
    <row r="23" spans="1:18" s="136" customFormat="1" ht="96.6">
      <c r="A23" s="20" t="s">
        <v>297</v>
      </c>
      <c r="B23" s="20" t="s">
        <v>2133</v>
      </c>
      <c r="C23" s="334" t="s">
        <v>2134</v>
      </c>
      <c r="D23" s="334" t="s">
        <v>2135</v>
      </c>
      <c r="E23" s="334" t="s">
        <v>2136</v>
      </c>
      <c r="F23" s="334"/>
      <c r="G23" s="335"/>
      <c r="H23" s="309"/>
      <c r="I23" s="309"/>
      <c r="J23" s="332"/>
      <c r="K23" s="332"/>
      <c r="L23" s="332"/>
      <c r="M23" s="332"/>
      <c r="N23" s="332"/>
      <c r="O23" s="332"/>
      <c r="P23" s="332"/>
      <c r="Q23" s="332"/>
      <c r="R23" s="332"/>
    </row>
    <row r="24" spans="1:18" s="134" customFormat="1" ht="96.6">
      <c r="A24" s="20" t="s">
        <v>298</v>
      </c>
      <c r="B24" s="20" t="s">
        <v>2137</v>
      </c>
      <c r="C24" s="334" t="s">
        <v>2138</v>
      </c>
      <c r="D24" s="334" t="s">
        <v>2139</v>
      </c>
      <c r="E24" s="334" t="s">
        <v>2140</v>
      </c>
      <c r="F24" s="334"/>
      <c r="G24" s="335"/>
      <c r="H24" s="309"/>
      <c r="I24" s="309"/>
      <c r="J24" s="332"/>
      <c r="K24" s="332"/>
      <c r="L24" s="332"/>
      <c r="M24" s="332"/>
      <c r="N24" s="332"/>
      <c r="O24" s="332"/>
      <c r="P24" s="332"/>
      <c r="Q24" s="332"/>
      <c r="R24" s="332"/>
    </row>
    <row r="25" spans="1:18" s="326" customFormat="1">
      <c r="G25" s="311"/>
      <c r="H25" s="309"/>
      <c r="I25" s="309"/>
      <c r="J25" s="311"/>
      <c r="K25" s="311"/>
      <c r="L25" s="311"/>
      <c r="M25" s="311"/>
      <c r="N25" s="311"/>
      <c r="O25" s="311"/>
      <c r="P25" s="311"/>
      <c r="Q25" s="311"/>
      <c r="R25" s="311"/>
    </row>
    <row r="26" spans="1:18" s="326" customFormat="1">
      <c r="G26" s="311"/>
      <c r="H26" s="309"/>
      <c r="I26" s="309"/>
      <c r="J26" s="311"/>
      <c r="K26" s="311"/>
      <c r="L26" s="311"/>
      <c r="M26" s="311"/>
      <c r="N26" s="311"/>
      <c r="O26" s="311"/>
      <c r="P26" s="311"/>
      <c r="Q26" s="311"/>
      <c r="R26" s="311"/>
    </row>
    <row r="27" spans="1:18" s="327" customFormat="1">
      <c r="G27" s="311"/>
      <c r="H27" s="309"/>
      <c r="I27" s="309"/>
      <c r="J27" s="311"/>
      <c r="K27" s="311"/>
      <c r="L27" s="311"/>
      <c r="M27" s="311"/>
      <c r="N27" s="311"/>
      <c r="O27" s="311"/>
      <c r="P27" s="311"/>
      <c r="Q27" s="311"/>
      <c r="R27" s="311"/>
    </row>
    <row r="28" spans="1:18" s="327" customFormat="1">
      <c r="G28" s="311"/>
      <c r="H28" s="309"/>
      <c r="I28" s="309"/>
      <c r="J28" s="311"/>
      <c r="K28" s="311"/>
      <c r="L28" s="311"/>
      <c r="M28" s="311"/>
      <c r="N28" s="311"/>
      <c r="O28" s="311"/>
      <c r="P28" s="311"/>
      <c r="Q28" s="311"/>
      <c r="R28" s="311"/>
    </row>
    <row r="29" spans="1:18" s="327" customFormat="1">
      <c r="G29" s="311"/>
      <c r="H29" s="309"/>
      <c r="I29" s="309"/>
      <c r="J29" s="311"/>
      <c r="K29" s="311"/>
      <c r="L29" s="311"/>
      <c r="M29" s="311"/>
      <c r="N29" s="311"/>
      <c r="O29" s="311"/>
      <c r="P29" s="311"/>
      <c r="Q29" s="311"/>
      <c r="R29" s="311"/>
    </row>
    <row r="30" spans="1:18" s="327" customFormat="1">
      <c r="G30" s="311"/>
      <c r="H30" s="309"/>
      <c r="I30" s="309"/>
      <c r="J30" s="311"/>
      <c r="K30" s="311"/>
      <c r="L30" s="311"/>
      <c r="M30" s="311"/>
      <c r="N30" s="311"/>
      <c r="O30" s="311"/>
      <c r="P30" s="311"/>
      <c r="Q30" s="311"/>
      <c r="R30" s="311"/>
    </row>
    <row r="31" spans="1:18" s="327" customFormat="1">
      <c r="G31" s="311"/>
      <c r="H31" s="309"/>
      <c r="I31" s="309"/>
      <c r="J31" s="311"/>
      <c r="K31" s="311"/>
      <c r="L31" s="311"/>
      <c r="M31" s="311"/>
      <c r="N31" s="311"/>
      <c r="O31" s="311"/>
      <c r="P31" s="311"/>
      <c r="Q31" s="311"/>
      <c r="R31" s="311"/>
    </row>
    <row r="32" spans="1:18" s="327" customFormat="1">
      <c r="G32" s="311"/>
      <c r="H32" s="309"/>
      <c r="I32" s="309"/>
      <c r="J32" s="311"/>
      <c r="K32" s="311"/>
      <c r="L32" s="311"/>
      <c r="M32" s="311"/>
      <c r="N32" s="311"/>
      <c r="O32" s="311"/>
      <c r="P32" s="311"/>
      <c r="Q32" s="311"/>
      <c r="R32" s="311"/>
    </row>
    <row r="33" spans="7:18" s="327" customFormat="1">
      <c r="G33" s="311"/>
      <c r="H33" s="309"/>
      <c r="I33" s="309"/>
      <c r="J33" s="311"/>
      <c r="K33" s="311"/>
      <c r="L33" s="311"/>
      <c r="M33" s="311"/>
      <c r="N33" s="311"/>
      <c r="O33" s="311"/>
      <c r="P33" s="311"/>
      <c r="Q33" s="311"/>
      <c r="R33" s="311"/>
    </row>
    <row r="34" spans="7:18" s="327" customFormat="1">
      <c r="G34" s="311"/>
      <c r="H34" s="309"/>
      <c r="I34" s="309"/>
      <c r="J34" s="311"/>
      <c r="K34" s="311"/>
      <c r="L34" s="311"/>
      <c r="M34" s="311"/>
      <c r="N34" s="311"/>
      <c r="O34" s="311"/>
      <c r="P34" s="311"/>
      <c r="Q34" s="311"/>
      <c r="R34" s="311"/>
    </row>
    <row r="35" spans="7:18" s="327" customFormat="1">
      <c r="G35" s="311"/>
      <c r="H35" s="309"/>
      <c r="I35" s="309"/>
      <c r="J35" s="311"/>
      <c r="K35" s="311"/>
      <c r="L35" s="311"/>
      <c r="M35" s="311"/>
      <c r="N35" s="311"/>
      <c r="O35" s="311"/>
      <c r="P35" s="311"/>
      <c r="Q35" s="311"/>
      <c r="R35" s="311"/>
    </row>
    <row r="36" spans="7:18" s="327" customFormat="1">
      <c r="G36" s="311"/>
      <c r="H36" s="309"/>
      <c r="I36" s="309"/>
      <c r="J36" s="311"/>
      <c r="K36" s="311"/>
      <c r="L36" s="311"/>
      <c r="M36" s="311"/>
      <c r="N36" s="311"/>
      <c r="O36" s="311"/>
      <c r="P36" s="311"/>
      <c r="Q36" s="311"/>
      <c r="R36" s="311"/>
    </row>
    <row r="37" spans="7:18" s="327" customFormat="1">
      <c r="G37" s="311"/>
      <c r="H37" s="309"/>
      <c r="I37" s="309"/>
      <c r="J37" s="311"/>
      <c r="K37" s="311"/>
      <c r="L37" s="311"/>
      <c r="M37" s="311"/>
      <c r="N37" s="311"/>
      <c r="O37" s="311"/>
      <c r="P37" s="311"/>
      <c r="Q37" s="311"/>
      <c r="R37" s="311"/>
    </row>
    <row r="38" spans="7:18" s="327" customFormat="1">
      <c r="G38" s="311"/>
      <c r="H38" s="309"/>
      <c r="I38" s="309"/>
      <c r="J38" s="311"/>
      <c r="K38" s="311"/>
      <c r="L38" s="311"/>
      <c r="M38" s="311"/>
      <c r="N38" s="311"/>
      <c r="O38" s="311"/>
      <c r="P38" s="311"/>
      <c r="Q38" s="311"/>
      <c r="R38" s="311"/>
    </row>
    <row r="39" spans="7:18" s="327" customFormat="1">
      <c r="G39" s="311"/>
      <c r="H39" s="309"/>
      <c r="I39" s="309"/>
      <c r="J39" s="311"/>
      <c r="K39" s="311"/>
      <c r="L39" s="311"/>
      <c r="M39" s="311"/>
      <c r="N39" s="311"/>
      <c r="O39" s="311"/>
      <c r="P39" s="311"/>
      <c r="Q39" s="311"/>
      <c r="R39" s="311"/>
    </row>
    <row r="40" spans="7:18" s="327" customFormat="1">
      <c r="G40" s="311"/>
      <c r="H40" s="309"/>
      <c r="I40" s="309"/>
      <c r="J40" s="311"/>
      <c r="K40" s="311"/>
      <c r="L40" s="311"/>
      <c r="M40" s="311"/>
      <c r="N40" s="311"/>
      <c r="O40" s="311"/>
      <c r="P40" s="311"/>
      <c r="Q40" s="311"/>
      <c r="R40" s="311"/>
    </row>
    <row r="41" spans="7:18" s="327" customFormat="1">
      <c r="G41" s="311"/>
      <c r="H41" s="309"/>
      <c r="I41" s="309"/>
      <c r="J41" s="311"/>
      <c r="K41" s="311"/>
      <c r="L41" s="311"/>
      <c r="M41" s="311"/>
      <c r="N41" s="311"/>
      <c r="O41" s="311"/>
      <c r="P41" s="311"/>
      <c r="Q41" s="311"/>
      <c r="R41" s="311"/>
    </row>
    <row r="42" spans="7:18" s="327" customFormat="1">
      <c r="G42" s="311"/>
      <c r="H42" s="309"/>
      <c r="I42" s="309"/>
      <c r="J42" s="311"/>
      <c r="K42" s="311"/>
      <c r="L42" s="311"/>
      <c r="M42" s="311"/>
      <c r="N42" s="311"/>
      <c r="O42" s="311"/>
      <c r="P42" s="311"/>
      <c r="Q42" s="311"/>
      <c r="R42" s="311"/>
    </row>
    <row r="43" spans="7:18" s="327" customFormat="1">
      <c r="G43" s="311"/>
      <c r="H43" s="309"/>
      <c r="I43" s="309"/>
      <c r="J43" s="311"/>
      <c r="K43" s="311"/>
      <c r="L43" s="311"/>
      <c r="M43" s="311"/>
      <c r="N43" s="311"/>
      <c r="O43" s="311"/>
      <c r="P43" s="311"/>
      <c r="Q43" s="311"/>
      <c r="R43" s="311"/>
    </row>
    <row r="44" spans="7:18" s="327" customFormat="1">
      <c r="G44" s="311"/>
      <c r="H44" s="309"/>
      <c r="I44" s="309"/>
      <c r="J44" s="311"/>
      <c r="K44" s="311"/>
      <c r="L44" s="311"/>
      <c r="M44" s="311"/>
      <c r="N44" s="311"/>
      <c r="O44" s="311"/>
      <c r="P44" s="311"/>
      <c r="Q44" s="311"/>
      <c r="R44" s="311"/>
    </row>
    <row r="45" spans="7:18" s="327" customFormat="1">
      <c r="G45" s="311"/>
      <c r="H45" s="309"/>
      <c r="I45" s="309"/>
      <c r="J45" s="311"/>
      <c r="K45" s="311"/>
      <c r="L45" s="311"/>
      <c r="M45" s="311"/>
      <c r="N45" s="311"/>
      <c r="O45" s="311"/>
      <c r="P45" s="311"/>
      <c r="Q45" s="311"/>
      <c r="R45" s="311"/>
    </row>
    <row r="46" spans="7:18" s="327" customFormat="1">
      <c r="G46" s="311"/>
      <c r="H46" s="309"/>
      <c r="I46" s="309"/>
      <c r="J46" s="311"/>
      <c r="K46" s="311"/>
      <c r="L46" s="311"/>
      <c r="M46" s="311"/>
      <c r="N46" s="311"/>
      <c r="O46" s="311"/>
      <c r="P46" s="311"/>
      <c r="Q46" s="311"/>
      <c r="R46" s="311"/>
    </row>
    <row r="47" spans="7:18" s="327" customFormat="1">
      <c r="G47" s="311"/>
      <c r="H47" s="309"/>
      <c r="I47" s="309"/>
      <c r="J47" s="311"/>
      <c r="K47" s="311"/>
      <c r="L47" s="311"/>
      <c r="M47" s="311"/>
      <c r="N47" s="311"/>
      <c r="O47" s="311"/>
      <c r="P47" s="311"/>
      <c r="Q47" s="311"/>
      <c r="R47" s="311"/>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0070C0"/>
  </sheetPr>
  <dimension ref="A1:R68"/>
  <sheetViews>
    <sheetView topLeftCell="A17" zoomScale="85" zoomScaleNormal="85" workbookViewId="0">
      <selection activeCell="E22" sqref="E22"/>
    </sheetView>
  </sheetViews>
  <sheetFormatPr defaultColWidth="8.77734375" defaultRowHeight="13.8"/>
  <cols>
    <col min="1" max="1" width="10.21875" style="316" customWidth="1"/>
    <col min="2" max="2" width="63.77734375" style="316" customWidth="1"/>
    <col min="3" max="4" width="21.44140625" style="316" customWidth="1"/>
    <col min="5" max="5" width="45.21875" style="316" customWidth="1"/>
    <col min="6" max="6" width="31.44140625" style="316" customWidth="1"/>
    <col min="7" max="7" width="21.44140625" style="311" customWidth="1"/>
    <col min="8" max="8" width="8.77734375" style="309"/>
    <col min="9" max="10" width="8.77734375" style="309" customWidth="1"/>
    <col min="11" max="18" width="8.77734375" style="311"/>
    <col min="19" max="16384" width="8.77734375" style="316"/>
  </cols>
  <sheetData>
    <row r="1" spans="1:18" s="136" customFormat="1" ht="25.8">
      <c r="A1" s="308" t="s">
        <v>2141</v>
      </c>
      <c r="B1" s="309"/>
      <c r="C1" s="310"/>
      <c r="D1" s="309"/>
      <c r="E1" s="309"/>
      <c r="F1" s="309"/>
      <c r="G1" s="311"/>
      <c r="H1" s="309"/>
      <c r="I1" s="309"/>
      <c r="J1" s="309"/>
      <c r="K1" s="311"/>
      <c r="L1" s="311"/>
      <c r="M1" s="311"/>
      <c r="N1" s="311"/>
      <c r="O1" s="311"/>
      <c r="P1" s="311"/>
      <c r="Q1" s="311"/>
      <c r="R1" s="311"/>
    </row>
    <row r="2" spans="1:18" s="134" customFormat="1" ht="25.8">
      <c r="A2" s="308" t="s">
        <v>2142</v>
      </c>
      <c r="B2" s="309"/>
      <c r="C2" s="310"/>
      <c r="D2" s="309"/>
      <c r="E2" s="309"/>
      <c r="F2" s="309"/>
      <c r="G2" s="311"/>
      <c r="H2" s="309"/>
      <c r="I2" s="309"/>
      <c r="J2" s="309"/>
      <c r="K2" s="311"/>
      <c r="L2" s="311"/>
      <c r="M2" s="311"/>
      <c r="N2" s="311"/>
      <c r="O2" s="311"/>
      <c r="P2" s="311"/>
      <c r="Q2" s="311"/>
      <c r="R2" s="311"/>
    </row>
    <row r="3" spans="1:18" s="333" customFormat="1">
      <c r="A3" s="312" t="s">
        <v>23</v>
      </c>
      <c r="B3" s="309" t="s">
        <v>2143</v>
      </c>
      <c r="C3" s="309"/>
      <c r="D3" s="309"/>
      <c r="E3" s="309"/>
      <c r="F3" s="309"/>
      <c r="G3" s="311"/>
      <c r="H3" s="309"/>
      <c r="I3" s="309"/>
      <c r="J3" s="309"/>
      <c r="K3" s="311"/>
      <c r="L3" s="311"/>
      <c r="M3" s="311"/>
      <c r="N3" s="311"/>
      <c r="O3" s="311"/>
      <c r="P3" s="311"/>
      <c r="Q3" s="311"/>
      <c r="R3" s="311"/>
    </row>
    <row r="4" spans="1:18" s="136" customFormat="1">
      <c r="A4" s="312" t="s">
        <v>1646</v>
      </c>
      <c r="B4" s="309" t="s">
        <v>2144</v>
      </c>
      <c r="C4" s="309"/>
      <c r="D4" s="309"/>
      <c r="E4" s="309"/>
      <c r="F4" s="309"/>
      <c r="G4" s="311"/>
      <c r="H4" s="309"/>
      <c r="I4" s="309"/>
      <c r="J4" s="309"/>
      <c r="K4" s="311"/>
      <c r="L4" s="311"/>
      <c r="M4" s="311"/>
      <c r="N4" s="311"/>
      <c r="O4" s="311"/>
      <c r="P4" s="311"/>
      <c r="Q4" s="311"/>
      <c r="R4" s="311"/>
    </row>
    <row r="5" spans="1:18" s="333" customFormat="1">
      <c r="A5" s="309" t="s">
        <v>25</v>
      </c>
      <c r="B5" s="309" t="s">
        <v>104</v>
      </c>
      <c r="C5" s="309"/>
      <c r="D5" s="309"/>
      <c r="E5" s="309"/>
      <c r="F5" s="309"/>
      <c r="G5" s="311"/>
      <c r="H5" s="309"/>
      <c r="I5" s="309"/>
      <c r="J5" s="309"/>
      <c r="K5" s="311"/>
      <c r="L5" s="311"/>
      <c r="M5" s="311"/>
      <c r="N5" s="311"/>
      <c r="O5" s="311"/>
      <c r="P5" s="311"/>
      <c r="Q5" s="311"/>
      <c r="R5" s="311"/>
    </row>
    <row r="6" spans="1:18" s="136" customFormat="1">
      <c r="A6" s="309" t="s">
        <v>1648</v>
      </c>
      <c r="B6" s="309" t="s">
        <v>2145</v>
      </c>
      <c r="C6" s="309"/>
      <c r="D6" s="309"/>
      <c r="E6" s="309"/>
      <c r="F6" s="309"/>
      <c r="G6" s="311"/>
      <c r="H6" s="309"/>
      <c r="I6" s="309"/>
      <c r="J6" s="309"/>
      <c r="K6" s="311"/>
      <c r="L6" s="311"/>
      <c r="M6" s="311"/>
      <c r="N6" s="311"/>
      <c r="O6" s="311"/>
      <c r="P6" s="311"/>
      <c r="Q6" s="311"/>
      <c r="R6" s="311"/>
    </row>
    <row r="7" spans="1:18" s="136" customFormat="1">
      <c r="A7" s="316"/>
      <c r="B7" s="316"/>
      <c r="C7" s="316"/>
      <c r="D7" s="316"/>
      <c r="E7" s="309"/>
      <c r="F7" s="309"/>
      <c r="G7" s="346" t="e">
        <f>#REF!</f>
        <v>#REF!</v>
      </c>
      <c r="H7" s="309"/>
      <c r="I7" s="309"/>
      <c r="J7" s="309"/>
      <c r="K7" s="311"/>
      <c r="L7" s="311"/>
      <c r="M7" s="311"/>
      <c r="N7" s="311"/>
      <c r="O7" s="311"/>
      <c r="P7" s="311"/>
      <c r="Q7" s="311"/>
      <c r="R7" s="311"/>
    </row>
    <row r="8" spans="1:18" s="134"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333" customFormat="1">
      <c r="A9" s="329" t="s">
        <v>27</v>
      </c>
      <c r="B9" s="329"/>
      <c r="C9" s="330"/>
      <c r="D9" s="330"/>
      <c r="E9" s="330"/>
      <c r="F9" s="330"/>
      <c r="G9" s="331"/>
      <c r="H9" s="309"/>
      <c r="I9" s="309"/>
      <c r="J9" s="309"/>
      <c r="K9" s="332"/>
      <c r="L9" s="332"/>
      <c r="M9" s="332"/>
      <c r="N9" s="332"/>
      <c r="O9" s="332"/>
      <c r="P9" s="332"/>
      <c r="Q9" s="332"/>
      <c r="R9" s="332"/>
    </row>
    <row r="10" spans="1:18" s="333" customFormat="1" ht="82.8">
      <c r="A10" s="20" t="s">
        <v>105</v>
      </c>
      <c r="B10" s="20" t="s">
        <v>2146</v>
      </c>
      <c r="C10" s="334" t="s">
        <v>2147</v>
      </c>
      <c r="D10" s="334" t="s">
        <v>2148</v>
      </c>
      <c r="E10" s="334" t="s">
        <v>2149</v>
      </c>
      <c r="F10" s="334"/>
      <c r="G10" s="335"/>
      <c r="H10" s="309"/>
      <c r="I10" s="309"/>
      <c r="J10" s="309"/>
      <c r="K10" s="332"/>
      <c r="L10" s="332"/>
      <c r="M10" s="332"/>
      <c r="N10" s="332"/>
      <c r="O10" s="332"/>
      <c r="P10" s="332"/>
      <c r="Q10" s="332"/>
      <c r="R10" s="332"/>
    </row>
    <row r="11" spans="1:18" s="136" customFormat="1">
      <c r="A11" s="329" t="s">
        <v>28</v>
      </c>
      <c r="B11" s="329"/>
      <c r="C11" s="330"/>
      <c r="D11" s="330"/>
      <c r="E11" s="330"/>
      <c r="F11" s="330"/>
      <c r="G11" s="331"/>
      <c r="H11" s="309"/>
      <c r="I11" s="309"/>
      <c r="J11" s="309"/>
      <c r="K11" s="332"/>
      <c r="L11" s="332"/>
      <c r="M11" s="332"/>
      <c r="N11" s="332"/>
      <c r="O11" s="332"/>
      <c r="P11" s="332"/>
      <c r="Q11" s="332"/>
      <c r="R11" s="332"/>
    </row>
    <row r="12" spans="1:18" s="136" customFormat="1" ht="96.6">
      <c r="A12" s="20" t="s">
        <v>106</v>
      </c>
      <c r="B12" s="20" t="s">
        <v>2150</v>
      </c>
      <c r="C12" s="334" t="s">
        <v>2151</v>
      </c>
      <c r="D12" s="334" t="s">
        <v>2152</v>
      </c>
      <c r="E12" s="334" t="s">
        <v>2153</v>
      </c>
      <c r="F12" s="334"/>
      <c r="G12" s="335"/>
      <c r="H12" s="309"/>
      <c r="I12" s="309"/>
      <c r="J12" s="309"/>
      <c r="K12" s="332"/>
      <c r="L12" s="332"/>
      <c r="M12" s="332"/>
      <c r="N12" s="332"/>
      <c r="O12" s="332"/>
      <c r="P12" s="332"/>
      <c r="Q12" s="332"/>
      <c r="R12" s="332"/>
    </row>
    <row r="13" spans="1:18" s="134" customFormat="1" ht="151.80000000000001">
      <c r="A13" s="20" t="s">
        <v>107</v>
      </c>
      <c r="B13" s="20" t="s">
        <v>2154</v>
      </c>
      <c r="C13" s="334" t="s">
        <v>2155</v>
      </c>
      <c r="D13" s="334" t="s">
        <v>2156</v>
      </c>
      <c r="E13" s="334" t="s">
        <v>2157</v>
      </c>
      <c r="F13" s="334"/>
      <c r="G13" s="335"/>
      <c r="H13" s="309"/>
      <c r="I13" s="309"/>
      <c r="J13" s="309"/>
      <c r="K13" s="332"/>
      <c r="L13" s="332"/>
      <c r="M13" s="332"/>
      <c r="N13" s="332"/>
      <c r="O13" s="332"/>
      <c r="P13" s="332"/>
      <c r="Q13" s="332"/>
      <c r="R13" s="332"/>
    </row>
    <row r="14" spans="1:18" s="333" customFormat="1" ht="151.80000000000001">
      <c r="A14" s="20" t="s">
        <v>108</v>
      </c>
      <c r="B14" s="20" t="s">
        <v>2158</v>
      </c>
      <c r="C14" s="334" t="s">
        <v>2159</v>
      </c>
      <c r="D14" s="334" t="s">
        <v>2160</v>
      </c>
      <c r="E14" s="334" t="s">
        <v>2161</v>
      </c>
      <c r="F14" s="334"/>
      <c r="G14" s="335"/>
      <c r="H14" s="309"/>
      <c r="I14" s="309"/>
      <c r="J14" s="309"/>
      <c r="K14" s="332"/>
      <c r="L14" s="332"/>
      <c r="M14" s="332"/>
      <c r="N14" s="332"/>
      <c r="O14" s="332"/>
      <c r="P14" s="332"/>
      <c r="Q14" s="332"/>
      <c r="R14" s="332"/>
    </row>
    <row r="15" spans="1:18" s="136" customFormat="1" ht="124.2">
      <c r="A15" s="20" t="s">
        <v>109</v>
      </c>
      <c r="B15" s="20" t="s">
        <v>2162</v>
      </c>
      <c r="C15" s="334" t="s">
        <v>2163</v>
      </c>
      <c r="D15" s="334" t="s">
        <v>2164</v>
      </c>
      <c r="E15" s="334" t="s">
        <v>2165</v>
      </c>
      <c r="F15" s="334"/>
      <c r="G15" s="335"/>
      <c r="H15" s="309"/>
      <c r="I15" s="309"/>
      <c r="J15" s="309"/>
      <c r="K15" s="332"/>
      <c r="L15" s="332"/>
      <c r="M15" s="332"/>
      <c r="N15" s="332"/>
      <c r="O15" s="332"/>
      <c r="P15" s="332"/>
      <c r="Q15" s="332"/>
      <c r="R15" s="332"/>
    </row>
    <row r="16" spans="1:18" s="136" customFormat="1" ht="124.2">
      <c r="A16" s="20" t="s">
        <v>110</v>
      </c>
      <c r="B16" s="20" t="s">
        <v>2166</v>
      </c>
      <c r="C16" s="334" t="s">
        <v>2167</v>
      </c>
      <c r="D16" s="334" t="s">
        <v>2168</v>
      </c>
      <c r="E16" s="334" t="s">
        <v>2169</v>
      </c>
      <c r="F16" s="334"/>
      <c r="G16" s="335"/>
      <c r="H16" s="309"/>
      <c r="I16" s="309"/>
      <c r="J16" s="309"/>
      <c r="K16" s="332"/>
      <c r="L16" s="332"/>
      <c r="M16" s="332"/>
      <c r="N16" s="332"/>
      <c r="O16" s="332"/>
      <c r="P16" s="332"/>
      <c r="Q16" s="332"/>
      <c r="R16" s="332"/>
    </row>
    <row r="17" spans="1:18" s="134" customFormat="1" ht="138">
      <c r="A17" s="20" t="s">
        <v>111</v>
      </c>
      <c r="B17" s="20" t="s">
        <v>2170</v>
      </c>
      <c r="C17" s="334" t="s">
        <v>2171</v>
      </c>
      <c r="D17" s="334" t="s">
        <v>2172</v>
      </c>
      <c r="E17" s="334" t="s">
        <v>2173</v>
      </c>
      <c r="F17" s="334"/>
      <c r="G17" s="335"/>
      <c r="H17" s="309"/>
      <c r="I17" s="309"/>
      <c r="J17" s="309"/>
      <c r="K17" s="332"/>
      <c r="L17" s="332"/>
      <c r="M17" s="332"/>
      <c r="N17" s="332"/>
      <c r="O17" s="332"/>
      <c r="P17" s="332"/>
      <c r="Q17" s="332"/>
      <c r="R17" s="332"/>
    </row>
    <row r="18" spans="1:18" s="333" customFormat="1">
      <c r="A18" s="329" t="s">
        <v>29</v>
      </c>
      <c r="B18" s="329"/>
      <c r="C18" s="330"/>
      <c r="D18" s="330"/>
      <c r="E18" s="330" t="s">
        <v>1504</v>
      </c>
      <c r="F18" s="330"/>
      <c r="G18" s="331"/>
      <c r="H18" s="309"/>
      <c r="I18" s="309"/>
      <c r="J18" s="309"/>
      <c r="K18" s="332"/>
      <c r="L18" s="332"/>
      <c r="M18" s="332"/>
      <c r="N18" s="332"/>
      <c r="O18" s="332"/>
      <c r="P18" s="332"/>
      <c r="Q18" s="332"/>
      <c r="R18" s="332"/>
    </row>
    <row r="19" spans="1:18" s="136" customFormat="1" ht="54" customHeight="1">
      <c r="A19" s="20" t="s">
        <v>112</v>
      </c>
      <c r="B19" s="20" t="s">
        <v>2174</v>
      </c>
      <c r="C19" s="334" t="s">
        <v>2175</v>
      </c>
      <c r="D19" s="334" t="s">
        <v>2176</v>
      </c>
      <c r="E19" s="334" t="s">
        <v>2177</v>
      </c>
      <c r="F19" s="334"/>
      <c r="G19" s="335"/>
      <c r="H19" s="309"/>
      <c r="I19" s="309"/>
      <c r="J19" s="309"/>
      <c r="K19" s="332"/>
      <c r="L19" s="332"/>
      <c r="M19" s="332"/>
      <c r="N19" s="332"/>
      <c r="O19" s="332"/>
      <c r="P19" s="332"/>
      <c r="Q19" s="332"/>
      <c r="R19" s="332"/>
    </row>
    <row r="20" spans="1:18" s="136" customFormat="1" ht="110.4">
      <c r="A20" s="20" t="s">
        <v>113</v>
      </c>
      <c r="B20" s="20" t="s">
        <v>2178</v>
      </c>
      <c r="C20" s="334" t="s">
        <v>2179</v>
      </c>
      <c r="D20" s="334" t="s">
        <v>2180</v>
      </c>
      <c r="E20" s="334" t="s">
        <v>2181</v>
      </c>
      <c r="F20" s="334"/>
      <c r="G20" s="335"/>
      <c r="H20" s="309"/>
      <c r="I20" s="309"/>
      <c r="J20" s="309"/>
      <c r="K20" s="332"/>
      <c r="L20" s="332"/>
      <c r="M20" s="332"/>
      <c r="N20" s="332"/>
      <c r="O20" s="332"/>
      <c r="P20" s="332"/>
      <c r="Q20" s="332"/>
      <c r="R20" s="332"/>
    </row>
    <row r="21" spans="1:18" s="134" customFormat="1" ht="110.4">
      <c r="A21" s="20" t="s">
        <v>114</v>
      </c>
      <c r="B21" s="20" t="s">
        <v>2182</v>
      </c>
      <c r="C21" s="334" t="s">
        <v>2183</v>
      </c>
      <c r="D21" s="334" t="s">
        <v>2184</v>
      </c>
      <c r="E21" s="334" t="s">
        <v>2185</v>
      </c>
      <c r="F21" s="334"/>
      <c r="G21" s="335"/>
      <c r="H21" s="309"/>
      <c r="I21" s="309"/>
      <c r="J21" s="309"/>
      <c r="K21" s="332"/>
      <c r="L21" s="332"/>
      <c r="M21" s="332"/>
      <c r="N21" s="332"/>
      <c r="O21" s="332"/>
      <c r="P21" s="332"/>
      <c r="Q21" s="332"/>
      <c r="R21" s="332"/>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6" customFormat="1">
      <c r="G38" s="311"/>
      <c r="H38" s="309"/>
      <c r="I38" s="309"/>
      <c r="J38" s="309"/>
      <c r="K38" s="311"/>
      <c r="L38" s="311"/>
      <c r="M38" s="311"/>
      <c r="N38" s="311"/>
      <c r="O38" s="311"/>
      <c r="P38" s="311"/>
      <c r="Q38" s="311"/>
      <c r="R38" s="311"/>
    </row>
    <row r="39" spans="7:18" s="326" customFormat="1">
      <c r="G39" s="311"/>
      <c r="H39" s="309"/>
      <c r="I39" s="309"/>
      <c r="J39" s="309"/>
      <c r="K39" s="311"/>
      <c r="L39" s="311"/>
      <c r="M39" s="311"/>
      <c r="N39" s="311"/>
      <c r="O39" s="311"/>
      <c r="P39" s="311"/>
      <c r="Q39" s="311"/>
      <c r="R39" s="311"/>
    </row>
    <row r="40" spans="7:18" s="326" customFormat="1">
      <c r="G40" s="311"/>
      <c r="H40" s="309"/>
      <c r="I40" s="309"/>
      <c r="J40" s="309"/>
      <c r="K40" s="311"/>
      <c r="L40" s="311"/>
      <c r="M40" s="311"/>
      <c r="N40" s="311"/>
      <c r="O40" s="311"/>
      <c r="P40" s="311"/>
      <c r="Q40" s="311"/>
      <c r="R40" s="311"/>
    </row>
    <row r="41" spans="7:18" s="326" customFormat="1">
      <c r="G41" s="311"/>
      <c r="H41" s="309"/>
      <c r="I41" s="309"/>
      <c r="J41" s="309"/>
      <c r="K41" s="311"/>
      <c r="L41" s="311"/>
      <c r="M41" s="311"/>
      <c r="N41" s="311"/>
      <c r="O41" s="311"/>
      <c r="P41" s="311"/>
      <c r="Q41" s="311"/>
      <c r="R41" s="311"/>
    </row>
    <row r="42" spans="7:18" s="326" customFormat="1">
      <c r="G42" s="311"/>
      <c r="H42" s="309"/>
      <c r="I42" s="309"/>
      <c r="J42" s="309"/>
      <c r="K42" s="311"/>
      <c r="L42" s="311"/>
      <c r="M42" s="311"/>
      <c r="N42" s="311"/>
      <c r="O42" s="311"/>
      <c r="P42" s="311"/>
      <c r="Q42" s="311"/>
      <c r="R42" s="311"/>
    </row>
    <row r="43" spans="7:18" s="326" customFormat="1">
      <c r="G43" s="311"/>
      <c r="H43" s="309"/>
      <c r="I43" s="309"/>
      <c r="J43" s="309"/>
      <c r="K43" s="311"/>
      <c r="L43" s="311"/>
      <c r="M43" s="311"/>
      <c r="N43" s="311"/>
      <c r="O43" s="311"/>
      <c r="P43" s="311"/>
      <c r="Q43" s="311"/>
      <c r="R43" s="311"/>
    </row>
    <row r="44" spans="7:18" s="326" customFormat="1">
      <c r="G44" s="311"/>
      <c r="H44" s="309"/>
      <c r="I44" s="309"/>
      <c r="J44" s="309"/>
      <c r="K44" s="311"/>
      <c r="L44" s="311"/>
      <c r="M44" s="311"/>
      <c r="N44" s="311"/>
      <c r="O44" s="311"/>
      <c r="P44" s="311"/>
      <c r="Q44" s="311"/>
      <c r="R44" s="311"/>
    </row>
    <row r="45" spans="7:18" s="326" customFormat="1">
      <c r="G45" s="311"/>
      <c r="H45" s="309"/>
      <c r="I45" s="309"/>
      <c r="J45" s="309"/>
      <c r="K45" s="311"/>
      <c r="L45" s="311"/>
      <c r="M45" s="311"/>
      <c r="N45" s="311"/>
      <c r="O45" s="311"/>
      <c r="P45" s="311"/>
      <c r="Q45" s="311"/>
      <c r="R45" s="311"/>
    </row>
    <row r="46" spans="7:18" s="326" customFormat="1">
      <c r="G46" s="311"/>
      <c r="H46" s="309"/>
      <c r="I46" s="309"/>
      <c r="J46" s="309"/>
      <c r="K46" s="311"/>
      <c r="L46" s="311"/>
      <c r="M46" s="311"/>
      <c r="N46" s="311"/>
      <c r="O46" s="311"/>
      <c r="P46" s="311"/>
      <c r="Q46" s="311"/>
      <c r="R46" s="311"/>
    </row>
    <row r="47" spans="7:18" s="326"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row r="59" spans="7:18" s="327" customFormat="1">
      <c r="G59" s="311"/>
      <c r="H59" s="309"/>
      <c r="I59" s="309"/>
      <c r="J59" s="309"/>
      <c r="K59" s="311"/>
      <c r="L59" s="311"/>
      <c r="M59" s="311"/>
      <c r="N59" s="311"/>
      <c r="O59" s="311"/>
      <c r="P59" s="311"/>
      <c r="Q59" s="311"/>
      <c r="R59" s="311"/>
    </row>
    <row r="60" spans="7:18" s="327" customFormat="1">
      <c r="G60" s="311"/>
      <c r="H60" s="309"/>
      <c r="I60" s="309"/>
      <c r="J60" s="309"/>
      <c r="K60" s="311"/>
      <c r="L60" s="311"/>
      <c r="M60" s="311"/>
      <c r="N60" s="311"/>
      <c r="O60" s="311"/>
      <c r="P60" s="311"/>
      <c r="Q60" s="311"/>
      <c r="R60" s="311"/>
    </row>
    <row r="61" spans="7:18" s="327" customFormat="1">
      <c r="G61" s="311"/>
      <c r="H61" s="309"/>
      <c r="I61" s="309"/>
      <c r="J61" s="309"/>
      <c r="K61" s="311"/>
      <c r="L61" s="311"/>
      <c r="M61" s="311"/>
      <c r="N61" s="311"/>
      <c r="O61" s="311"/>
      <c r="P61" s="311"/>
      <c r="Q61" s="311"/>
      <c r="R61" s="311"/>
    </row>
    <row r="62" spans="7:18" s="327" customFormat="1">
      <c r="G62" s="311"/>
      <c r="H62" s="309"/>
      <c r="I62" s="309"/>
      <c r="J62" s="309"/>
      <c r="K62" s="311"/>
      <c r="L62" s="311"/>
      <c r="M62" s="311"/>
      <c r="N62" s="311"/>
      <c r="O62" s="311"/>
      <c r="P62" s="311"/>
      <c r="Q62" s="311"/>
      <c r="R62" s="311"/>
    </row>
    <row r="63" spans="7:18" s="327" customFormat="1">
      <c r="G63" s="311"/>
      <c r="H63" s="309"/>
      <c r="I63" s="309"/>
      <c r="J63" s="309"/>
      <c r="K63" s="311"/>
      <c r="L63" s="311"/>
      <c r="M63" s="311"/>
      <c r="N63" s="311"/>
      <c r="O63" s="311"/>
      <c r="P63" s="311"/>
      <c r="Q63" s="311"/>
      <c r="R63" s="311"/>
    </row>
    <row r="64" spans="7:18" s="327" customFormat="1">
      <c r="G64" s="311"/>
      <c r="H64" s="309"/>
      <c r="I64" s="309"/>
      <c r="J64" s="309"/>
      <c r="K64" s="311"/>
      <c r="L64" s="311"/>
      <c r="M64" s="311"/>
      <c r="N64" s="311"/>
      <c r="O64" s="311"/>
      <c r="P64" s="311"/>
      <c r="Q64" s="311"/>
      <c r="R64" s="311"/>
    </row>
    <row r="65" spans="7:18" s="327" customFormat="1">
      <c r="G65" s="311"/>
      <c r="H65" s="309"/>
      <c r="I65" s="309"/>
      <c r="J65" s="309"/>
      <c r="K65" s="311"/>
      <c r="L65" s="311"/>
      <c r="M65" s="311"/>
      <c r="N65" s="311"/>
      <c r="O65" s="311"/>
      <c r="P65" s="311"/>
      <c r="Q65" s="311"/>
      <c r="R65" s="311"/>
    </row>
    <row r="66" spans="7:18" s="327" customFormat="1">
      <c r="G66" s="311"/>
      <c r="H66" s="309"/>
      <c r="I66" s="309"/>
      <c r="J66" s="309"/>
      <c r="K66" s="311"/>
      <c r="L66" s="311"/>
      <c r="M66" s="311"/>
      <c r="N66" s="311"/>
      <c r="O66" s="311"/>
      <c r="P66" s="311"/>
      <c r="Q66" s="311"/>
      <c r="R66" s="311"/>
    </row>
    <row r="67" spans="7:18" s="327" customFormat="1">
      <c r="G67" s="311"/>
      <c r="H67" s="309"/>
      <c r="I67" s="309"/>
      <c r="J67" s="309"/>
      <c r="K67" s="311"/>
      <c r="L67" s="311"/>
      <c r="M67" s="311"/>
      <c r="N67" s="311"/>
      <c r="O67" s="311"/>
      <c r="P67" s="311"/>
      <c r="Q67" s="311"/>
      <c r="R67" s="311"/>
    </row>
    <row r="68" spans="7:18" s="327" customFormat="1">
      <c r="G68" s="311"/>
      <c r="H68" s="309"/>
      <c r="I68" s="309"/>
      <c r="J68" s="309"/>
      <c r="K68" s="311"/>
      <c r="L68" s="311"/>
      <c r="M68" s="311"/>
      <c r="N68" s="311"/>
      <c r="O68" s="311"/>
      <c r="P68" s="311"/>
      <c r="Q68" s="311"/>
      <c r="R68" s="311"/>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0070C0"/>
  </sheetPr>
  <dimension ref="A1:R68"/>
  <sheetViews>
    <sheetView workbookViewId="0">
      <selection activeCell="E23" sqref="E23"/>
    </sheetView>
  </sheetViews>
  <sheetFormatPr defaultColWidth="8.77734375" defaultRowHeight="13.8"/>
  <cols>
    <col min="1" max="1" width="10.21875" style="316" customWidth="1"/>
    <col min="2" max="2" width="62.44140625" style="316" customWidth="1"/>
    <col min="3" max="4" width="21.44140625" style="316" customWidth="1"/>
    <col min="5" max="5" width="57.109375" style="316" customWidth="1"/>
    <col min="6" max="6" width="28.77734375" style="316" customWidth="1"/>
    <col min="7" max="7" width="21.44140625" style="311" customWidth="1"/>
    <col min="8" max="10" width="8.77734375" style="309"/>
    <col min="11" max="18" width="8.77734375" style="311"/>
    <col min="19" max="16384" width="8.77734375" style="316"/>
  </cols>
  <sheetData>
    <row r="1" spans="1:18" s="136" customFormat="1" ht="25.8">
      <c r="A1" s="308" t="s">
        <v>2186</v>
      </c>
      <c r="B1" s="309"/>
      <c r="C1" s="310"/>
      <c r="D1" s="309"/>
      <c r="E1" s="309"/>
      <c r="F1" s="309"/>
      <c r="G1" s="311"/>
      <c r="H1" s="309"/>
      <c r="I1" s="309"/>
      <c r="J1" s="309"/>
      <c r="K1" s="311"/>
      <c r="L1" s="311"/>
      <c r="M1" s="311"/>
      <c r="N1" s="311"/>
      <c r="O1" s="311"/>
      <c r="P1" s="311"/>
      <c r="Q1" s="311"/>
      <c r="R1" s="311"/>
    </row>
    <row r="2" spans="1:18" s="134" customFormat="1" ht="25.8">
      <c r="A2" s="308" t="s">
        <v>2187</v>
      </c>
      <c r="B2" s="309"/>
      <c r="C2" s="310"/>
      <c r="D2" s="309"/>
      <c r="E2" s="309"/>
      <c r="F2" s="309"/>
      <c r="G2" s="311"/>
      <c r="H2" s="309"/>
      <c r="I2" s="309"/>
      <c r="J2" s="309"/>
      <c r="K2" s="311"/>
      <c r="L2" s="311"/>
      <c r="M2" s="311"/>
      <c r="N2" s="311"/>
      <c r="O2" s="311"/>
      <c r="P2" s="311"/>
      <c r="Q2" s="311"/>
      <c r="R2" s="311"/>
    </row>
    <row r="3" spans="1:18" s="333" customFormat="1">
      <c r="A3" s="312" t="s">
        <v>23</v>
      </c>
      <c r="B3" s="309" t="s">
        <v>2188</v>
      </c>
      <c r="C3" s="309"/>
      <c r="D3" s="309"/>
      <c r="E3" s="309"/>
      <c r="F3" s="309"/>
      <c r="G3" s="311"/>
      <c r="H3" s="309"/>
      <c r="I3" s="309"/>
      <c r="J3" s="309"/>
      <c r="K3" s="311"/>
      <c r="L3" s="311"/>
      <c r="M3" s="311"/>
      <c r="N3" s="311"/>
      <c r="O3" s="311"/>
      <c r="P3" s="311"/>
      <c r="Q3" s="311"/>
      <c r="R3" s="311"/>
    </row>
    <row r="4" spans="1:18" s="136" customFormat="1">
      <c r="A4" s="312" t="s">
        <v>1646</v>
      </c>
      <c r="B4" s="309" t="s">
        <v>2189</v>
      </c>
      <c r="C4" s="309"/>
      <c r="D4" s="309"/>
      <c r="E4" s="309"/>
      <c r="F4" s="309"/>
      <c r="G4" s="311"/>
      <c r="H4" s="309"/>
      <c r="I4" s="309"/>
      <c r="J4" s="309"/>
      <c r="K4" s="311"/>
      <c r="L4" s="311"/>
      <c r="M4" s="311"/>
      <c r="N4" s="311"/>
      <c r="O4" s="311"/>
      <c r="P4" s="311"/>
      <c r="Q4" s="311"/>
      <c r="R4" s="311"/>
    </row>
    <row r="5" spans="1:18" s="134" customFormat="1">
      <c r="A5" s="309" t="s">
        <v>25</v>
      </c>
      <c r="B5" s="309" t="s">
        <v>26</v>
      </c>
      <c r="C5" s="309"/>
      <c r="D5" s="309"/>
      <c r="E5" s="309"/>
      <c r="F5" s="309"/>
      <c r="G5" s="311"/>
      <c r="H5" s="309"/>
      <c r="I5" s="309"/>
      <c r="J5" s="309"/>
      <c r="K5" s="311"/>
      <c r="L5" s="311"/>
      <c r="M5" s="311"/>
      <c r="N5" s="311"/>
      <c r="O5" s="311"/>
      <c r="P5" s="311"/>
      <c r="Q5" s="311"/>
      <c r="R5" s="311"/>
    </row>
    <row r="6" spans="1:18" s="333" customFormat="1">
      <c r="A6" s="309" t="s">
        <v>1648</v>
      </c>
      <c r="B6" s="309" t="s">
        <v>2190</v>
      </c>
      <c r="C6" s="309"/>
      <c r="D6" s="309"/>
      <c r="E6" s="309"/>
      <c r="F6" s="309"/>
      <c r="G6" s="311"/>
      <c r="H6" s="309"/>
      <c r="I6" s="309"/>
      <c r="J6" s="309"/>
      <c r="K6" s="311"/>
      <c r="L6" s="311"/>
      <c r="M6" s="311"/>
      <c r="N6" s="311"/>
      <c r="O6" s="311"/>
      <c r="P6" s="311"/>
      <c r="Q6" s="311"/>
      <c r="R6" s="311"/>
    </row>
    <row r="7" spans="1:18" s="136" customFormat="1">
      <c r="A7" s="316"/>
      <c r="B7" s="316"/>
      <c r="C7" s="316"/>
      <c r="D7" s="316"/>
      <c r="E7" s="309"/>
      <c r="F7" s="309"/>
      <c r="G7" s="346" t="e">
        <f>#REF!</f>
        <v>#REF!</v>
      </c>
      <c r="H7" s="309"/>
      <c r="I7" s="309"/>
      <c r="J7" s="309"/>
      <c r="K7" s="311"/>
      <c r="L7" s="311"/>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09"/>
      <c r="I9" s="309"/>
      <c r="J9" s="309"/>
      <c r="K9" s="332"/>
      <c r="L9" s="332"/>
      <c r="M9" s="332"/>
      <c r="N9" s="332"/>
      <c r="O9" s="332"/>
      <c r="P9" s="332"/>
      <c r="Q9" s="332"/>
      <c r="R9" s="332"/>
    </row>
    <row r="10" spans="1:18" s="333" customFormat="1" ht="110.4">
      <c r="A10" s="20" t="s">
        <v>33</v>
      </c>
      <c r="B10" s="20" t="s">
        <v>2191</v>
      </c>
      <c r="C10" s="334" t="s">
        <v>2192</v>
      </c>
      <c r="D10" s="334" t="s">
        <v>2193</v>
      </c>
      <c r="E10" s="334" t="s">
        <v>2194</v>
      </c>
      <c r="F10" s="334"/>
      <c r="G10" s="335"/>
      <c r="H10" s="309"/>
      <c r="I10" s="309"/>
      <c r="J10" s="309"/>
      <c r="K10" s="332"/>
      <c r="L10" s="332"/>
      <c r="M10" s="332"/>
      <c r="N10" s="332"/>
      <c r="O10" s="332"/>
      <c r="P10" s="332"/>
      <c r="Q10" s="332"/>
      <c r="R10" s="332"/>
    </row>
    <row r="11" spans="1:18" s="136" customFormat="1">
      <c r="A11" s="329" t="s">
        <v>28</v>
      </c>
      <c r="B11" s="329"/>
      <c r="C11" s="330"/>
      <c r="D11" s="330"/>
      <c r="E11" s="330"/>
      <c r="F11" s="330"/>
      <c r="G11" s="331"/>
      <c r="H11" s="309"/>
      <c r="I11" s="309"/>
      <c r="J11" s="309"/>
      <c r="K11" s="332"/>
      <c r="L11" s="332"/>
      <c r="M11" s="332"/>
      <c r="N11" s="332"/>
      <c r="O11" s="332"/>
      <c r="P11" s="332"/>
      <c r="Q11" s="332"/>
      <c r="R11" s="332"/>
    </row>
    <row r="12" spans="1:18" s="136" customFormat="1" ht="124.2">
      <c r="A12" s="20" t="s">
        <v>34</v>
      </c>
      <c r="B12" s="20" t="s">
        <v>2195</v>
      </c>
      <c r="C12" s="334" t="s">
        <v>2196</v>
      </c>
      <c r="D12" s="334" t="s">
        <v>2197</v>
      </c>
      <c r="E12" s="334" t="s">
        <v>2198</v>
      </c>
      <c r="F12" s="334"/>
      <c r="G12" s="335"/>
      <c r="H12" s="309"/>
      <c r="I12" s="309"/>
      <c r="J12" s="309"/>
      <c r="K12" s="332"/>
      <c r="L12" s="332"/>
      <c r="M12" s="332"/>
      <c r="N12" s="332"/>
      <c r="O12" s="332"/>
      <c r="P12" s="332"/>
      <c r="Q12" s="332"/>
      <c r="R12" s="332"/>
    </row>
    <row r="13" spans="1:18" s="134" customFormat="1" ht="138">
      <c r="A13" s="20" t="s">
        <v>35</v>
      </c>
      <c r="B13" s="20" t="s">
        <v>2199</v>
      </c>
      <c r="C13" s="334" t="s">
        <v>2200</v>
      </c>
      <c r="D13" s="334" t="s">
        <v>2201</v>
      </c>
      <c r="E13" s="334" t="s">
        <v>2202</v>
      </c>
      <c r="F13" s="334"/>
      <c r="G13" s="335"/>
      <c r="H13" s="309"/>
      <c r="I13" s="309"/>
      <c r="J13" s="309"/>
      <c r="K13" s="332"/>
      <c r="L13" s="332"/>
      <c r="M13" s="332"/>
      <c r="N13" s="332"/>
      <c r="O13" s="332"/>
      <c r="P13" s="332"/>
      <c r="Q13" s="332"/>
      <c r="R13" s="332"/>
    </row>
    <row r="14" spans="1:18" s="333" customFormat="1" ht="110.4">
      <c r="A14" s="20" t="s">
        <v>36</v>
      </c>
      <c r="B14" s="20" t="s">
        <v>2203</v>
      </c>
      <c r="C14" s="334" t="s">
        <v>2204</v>
      </c>
      <c r="D14" s="334" t="s">
        <v>2205</v>
      </c>
      <c r="E14" s="334" t="s">
        <v>2206</v>
      </c>
      <c r="F14" s="334"/>
      <c r="G14" s="335"/>
      <c r="H14" s="309"/>
      <c r="I14" s="309"/>
      <c r="J14" s="309"/>
      <c r="K14" s="332"/>
      <c r="L14" s="332"/>
      <c r="M14" s="332"/>
      <c r="N14" s="332"/>
      <c r="O14" s="332"/>
      <c r="P14" s="332"/>
      <c r="Q14" s="332"/>
      <c r="R14" s="332"/>
    </row>
    <row r="15" spans="1:18" s="136" customFormat="1">
      <c r="A15" s="329" t="s">
        <v>29</v>
      </c>
      <c r="B15" s="329"/>
      <c r="C15" s="330"/>
      <c r="D15" s="330"/>
      <c r="E15" s="330" t="s">
        <v>1504</v>
      </c>
      <c r="F15" s="330"/>
      <c r="G15" s="331"/>
      <c r="H15" s="309"/>
      <c r="I15" s="309"/>
      <c r="J15" s="309"/>
      <c r="K15" s="332"/>
      <c r="L15" s="332"/>
      <c r="M15" s="332"/>
      <c r="N15" s="332"/>
      <c r="O15" s="332"/>
      <c r="P15" s="332"/>
      <c r="Q15" s="332"/>
      <c r="R15" s="332"/>
    </row>
    <row r="16" spans="1:18" s="136" customFormat="1" ht="124.2">
      <c r="A16" s="20" t="s">
        <v>37</v>
      </c>
      <c r="B16" s="20" t="s">
        <v>2207</v>
      </c>
      <c r="C16" s="334" t="s">
        <v>2208</v>
      </c>
      <c r="D16" s="334" t="s">
        <v>2209</v>
      </c>
      <c r="E16" s="334" t="s">
        <v>2210</v>
      </c>
      <c r="F16" s="334"/>
      <c r="G16" s="335"/>
      <c r="H16" s="309"/>
      <c r="I16" s="309"/>
      <c r="J16" s="309"/>
      <c r="K16" s="332"/>
      <c r="L16" s="332"/>
      <c r="M16" s="332"/>
      <c r="N16" s="332"/>
      <c r="O16" s="332"/>
      <c r="P16" s="332"/>
      <c r="Q16" s="332"/>
      <c r="R16" s="332"/>
    </row>
    <row r="17" spans="1:18" s="134" customFormat="1" ht="124.2">
      <c r="A17" s="20" t="s">
        <v>38</v>
      </c>
      <c r="B17" s="20" t="s">
        <v>2211</v>
      </c>
      <c r="C17" s="334" t="s">
        <v>2212</v>
      </c>
      <c r="D17" s="334" t="s">
        <v>2213</v>
      </c>
      <c r="E17" s="334" t="s">
        <v>2214</v>
      </c>
      <c r="F17" s="334"/>
      <c r="G17" s="335"/>
      <c r="H17" s="309"/>
      <c r="I17" s="347"/>
      <c r="J17" s="309"/>
      <c r="K17" s="332"/>
      <c r="L17" s="332"/>
      <c r="M17" s="332"/>
      <c r="N17" s="332"/>
      <c r="O17" s="332"/>
      <c r="P17" s="332"/>
      <c r="Q17" s="332"/>
      <c r="R17" s="332"/>
    </row>
    <row r="18" spans="1:18" s="333" customFormat="1" ht="124.2">
      <c r="A18" s="20" t="s">
        <v>39</v>
      </c>
      <c r="B18" s="20" t="s">
        <v>2215</v>
      </c>
      <c r="C18" s="334" t="s">
        <v>2216</v>
      </c>
      <c r="D18" s="334" t="s">
        <v>2217</v>
      </c>
      <c r="E18" s="334" t="s">
        <v>2218</v>
      </c>
      <c r="F18" s="334"/>
      <c r="G18" s="335"/>
      <c r="H18" s="309"/>
      <c r="I18" s="309"/>
      <c r="J18" s="309"/>
      <c r="K18" s="332"/>
      <c r="L18" s="332"/>
      <c r="M18" s="332"/>
      <c r="N18" s="332"/>
      <c r="O18" s="332"/>
      <c r="P18" s="332"/>
      <c r="Q18" s="332"/>
      <c r="R18" s="332"/>
    </row>
    <row r="19" spans="1:18" s="136" customFormat="1" ht="124.2">
      <c r="A19" s="20" t="s">
        <v>40</v>
      </c>
      <c r="B19" s="20" t="s">
        <v>2219</v>
      </c>
      <c r="C19" s="334" t="s">
        <v>2220</v>
      </c>
      <c r="D19" s="334" t="s">
        <v>2221</v>
      </c>
      <c r="E19" s="334" t="s">
        <v>2222</v>
      </c>
      <c r="F19" s="334"/>
      <c r="G19" s="335"/>
      <c r="H19" s="309"/>
      <c r="I19" s="309"/>
      <c r="J19" s="309"/>
      <c r="K19" s="332"/>
      <c r="L19" s="332"/>
      <c r="M19" s="332"/>
      <c r="N19" s="332"/>
      <c r="O19" s="332"/>
      <c r="P19" s="332"/>
      <c r="Q19" s="332"/>
      <c r="R19" s="332"/>
    </row>
    <row r="20" spans="1:18" s="136" customFormat="1" ht="110.4">
      <c r="A20" s="20" t="s">
        <v>41</v>
      </c>
      <c r="B20" s="20" t="s">
        <v>2223</v>
      </c>
      <c r="C20" s="334" t="s">
        <v>2224</v>
      </c>
      <c r="D20" s="334" t="s">
        <v>2225</v>
      </c>
      <c r="E20" s="334" t="s">
        <v>2226</v>
      </c>
      <c r="F20" s="334"/>
      <c r="G20" s="335"/>
      <c r="H20" s="309"/>
      <c r="I20" s="309"/>
      <c r="J20" s="309"/>
      <c r="K20" s="332"/>
      <c r="L20" s="332"/>
      <c r="M20" s="332"/>
      <c r="N20" s="332"/>
      <c r="O20" s="332"/>
      <c r="P20" s="332"/>
      <c r="Q20" s="332"/>
      <c r="R20" s="332"/>
    </row>
    <row r="21" spans="1:18" s="134" customFormat="1" ht="124.2">
      <c r="A21" s="20" t="s">
        <v>42</v>
      </c>
      <c r="B21" s="20" t="s">
        <v>2227</v>
      </c>
      <c r="C21" s="334" t="s">
        <v>2228</v>
      </c>
      <c r="D21" s="334" t="s">
        <v>2229</v>
      </c>
      <c r="E21" s="334" t="s">
        <v>2230</v>
      </c>
      <c r="F21" s="20"/>
      <c r="G21" s="335"/>
      <c r="H21" s="309"/>
      <c r="I21" s="309"/>
      <c r="J21" s="309"/>
      <c r="K21" s="332"/>
      <c r="L21" s="332"/>
      <c r="M21" s="332"/>
      <c r="N21" s="332"/>
      <c r="O21" s="332"/>
      <c r="P21" s="332"/>
      <c r="Q21" s="332"/>
      <c r="R21" s="332"/>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6" customFormat="1">
      <c r="G38" s="311"/>
      <c r="H38" s="309"/>
      <c r="I38" s="309"/>
      <c r="J38" s="309"/>
      <c r="K38" s="311"/>
      <c r="L38" s="311"/>
      <c r="M38" s="311"/>
      <c r="N38" s="311"/>
      <c r="O38" s="311"/>
      <c r="P38" s="311"/>
      <c r="Q38" s="311"/>
      <c r="R38" s="311"/>
    </row>
    <row r="39" spans="7:18" s="326" customFormat="1">
      <c r="G39" s="311"/>
      <c r="H39" s="309"/>
      <c r="I39" s="309"/>
      <c r="J39" s="309"/>
      <c r="K39" s="311"/>
      <c r="L39" s="311"/>
      <c r="M39" s="311"/>
      <c r="N39" s="311"/>
      <c r="O39" s="311"/>
      <c r="P39" s="311"/>
      <c r="Q39" s="311"/>
      <c r="R39" s="311"/>
    </row>
    <row r="40" spans="7:18" s="326" customFormat="1">
      <c r="G40" s="311"/>
      <c r="H40" s="309"/>
      <c r="I40" s="309"/>
      <c r="J40" s="309"/>
      <c r="K40" s="311"/>
      <c r="L40" s="311"/>
      <c r="M40" s="311"/>
      <c r="N40" s="311"/>
      <c r="O40" s="311"/>
      <c r="P40" s="311"/>
      <c r="Q40" s="311"/>
      <c r="R40" s="311"/>
    </row>
    <row r="41" spans="7:18" s="326" customFormat="1">
      <c r="G41" s="311"/>
      <c r="H41" s="309"/>
      <c r="I41" s="309"/>
      <c r="J41" s="309"/>
      <c r="K41" s="311"/>
      <c r="L41" s="311"/>
      <c r="M41" s="311"/>
      <c r="N41" s="311"/>
      <c r="O41" s="311"/>
      <c r="P41" s="311"/>
      <c r="Q41" s="311"/>
      <c r="R41" s="311"/>
    </row>
    <row r="42" spans="7:18" s="326" customFormat="1">
      <c r="G42" s="311"/>
      <c r="H42" s="309"/>
      <c r="I42" s="309"/>
      <c r="J42" s="309"/>
      <c r="K42" s="311"/>
      <c r="L42" s="311"/>
      <c r="M42" s="311"/>
      <c r="N42" s="311"/>
      <c r="O42" s="311"/>
      <c r="P42" s="311"/>
      <c r="Q42" s="311"/>
      <c r="R42" s="311"/>
    </row>
    <row r="43" spans="7:18" s="326" customFormat="1">
      <c r="G43" s="311"/>
      <c r="H43" s="309"/>
      <c r="I43" s="309"/>
      <c r="J43" s="309"/>
      <c r="K43" s="311"/>
      <c r="L43" s="311"/>
      <c r="M43" s="311"/>
      <c r="N43" s="311"/>
      <c r="O43" s="311"/>
      <c r="P43" s="311"/>
      <c r="Q43" s="311"/>
      <c r="R43" s="311"/>
    </row>
    <row r="44" spans="7:18" s="326" customFormat="1">
      <c r="G44" s="311"/>
      <c r="H44" s="309"/>
      <c r="I44" s="309"/>
      <c r="J44" s="309"/>
      <c r="K44" s="311"/>
      <c r="L44" s="311"/>
      <c r="M44" s="311"/>
      <c r="N44" s="311"/>
      <c r="O44" s="311"/>
      <c r="P44" s="311"/>
      <c r="Q44" s="311"/>
      <c r="R44" s="311"/>
    </row>
    <row r="45" spans="7:18" s="326" customFormat="1">
      <c r="G45" s="311"/>
      <c r="H45" s="309"/>
      <c r="I45" s="309"/>
      <c r="J45" s="309"/>
      <c r="K45" s="311"/>
      <c r="L45" s="311"/>
      <c r="M45" s="311"/>
      <c r="N45" s="311"/>
      <c r="O45" s="311"/>
      <c r="P45" s="311"/>
      <c r="Q45" s="311"/>
      <c r="R45" s="311"/>
    </row>
    <row r="46" spans="7:18" s="326" customFormat="1">
      <c r="G46" s="311"/>
      <c r="H46" s="309"/>
      <c r="I46" s="309"/>
      <c r="J46" s="309"/>
      <c r="K46" s="311"/>
      <c r="L46" s="311"/>
      <c r="M46" s="311"/>
      <c r="N46" s="311"/>
      <c r="O46" s="311"/>
      <c r="P46" s="311"/>
      <c r="Q46" s="311"/>
      <c r="R46" s="311"/>
    </row>
    <row r="47" spans="7:18" s="326"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row r="59" spans="7:18" s="327" customFormat="1">
      <c r="G59" s="311"/>
      <c r="H59" s="309"/>
      <c r="I59" s="309"/>
      <c r="J59" s="309"/>
      <c r="K59" s="311"/>
      <c r="L59" s="311"/>
      <c r="M59" s="311"/>
      <c r="N59" s="311"/>
      <c r="O59" s="311"/>
      <c r="P59" s="311"/>
      <c r="Q59" s="311"/>
      <c r="R59" s="311"/>
    </row>
    <row r="60" spans="7:18" s="327" customFormat="1">
      <c r="G60" s="311"/>
      <c r="H60" s="309"/>
      <c r="I60" s="309"/>
      <c r="J60" s="309"/>
      <c r="K60" s="311"/>
      <c r="L60" s="311"/>
      <c r="M60" s="311"/>
      <c r="N60" s="311"/>
      <c r="O60" s="311"/>
      <c r="P60" s="311"/>
      <c r="Q60" s="311"/>
      <c r="R60" s="311"/>
    </row>
    <row r="61" spans="7:18" s="327" customFormat="1">
      <c r="G61" s="311"/>
      <c r="H61" s="309"/>
      <c r="I61" s="309"/>
      <c r="J61" s="309"/>
      <c r="K61" s="311"/>
      <c r="L61" s="311"/>
      <c r="M61" s="311"/>
      <c r="N61" s="311"/>
      <c r="O61" s="311"/>
      <c r="P61" s="311"/>
      <c r="Q61" s="311"/>
      <c r="R61" s="311"/>
    </row>
    <row r="62" spans="7:18" s="327" customFormat="1">
      <c r="G62" s="311"/>
      <c r="H62" s="309"/>
      <c r="I62" s="309"/>
      <c r="J62" s="309"/>
      <c r="K62" s="311"/>
      <c r="L62" s="311"/>
      <c r="M62" s="311"/>
      <c r="N62" s="311"/>
      <c r="O62" s="311"/>
      <c r="P62" s="311"/>
      <c r="Q62" s="311"/>
      <c r="R62" s="311"/>
    </row>
    <row r="63" spans="7:18" s="327" customFormat="1">
      <c r="G63" s="311"/>
      <c r="H63" s="309"/>
      <c r="I63" s="309"/>
      <c r="J63" s="309"/>
      <c r="K63" s="311"/>
      <c r="L63" s="311"/>
      <c r="M63" s="311"/>
      <c r="N63" s="311"/>
      <c r="O63" s="311"/>
      <c r="P63" s="311"/>
      <c r="Q63" s="311"/>
      <c r="R63" s="311"/>
    </row>
    <row r="64" spans="7:18" s="327" customFormat="1">
      <c r="G64" s="311"/>
      <c r="H64" s="309"/>
      <c r="I64" s="309"/>
      <c r="J64" s="309"/>
      <c r="K64" s="311"/>
      <c r="L64" s="311"/>
      <c r="M64" s="311"/>
      <c r="N64" s="311"/>
      <c r="O64" s="311"/>
      <c r="P64" s="311"/>
      <c r="Q64" s="311"/>
      <c r="R64" s="311"/>
    </row>
    <row r="65" spans="7:18" s="327" customFormat="1">
      <c r="G65" s="311"/>
      <c r="H65" s="309"/>
      <c r="I65" s="309"/>
      <c r="J65" s="309"/>
      <c r="K65" s="311"/>
      <c r="L65" s="311"/>
      <c r="M65" s="311"/>
      <c r="N65" s="311"/>
      <c r="O65" s="311"/>
      <c r="P65" s="311"/>
      <c r="Q65" s="311"/>
      <c r="R65" s="311"/>
    </row>
    <row r="66" spans="7:18" s="327" customFormat="1">
      <c r="G66" s="311"/>
      <c r="H66" s="309"/>
      <c r="I66" s="309"/>
      <c r="J66" s="309"/>
      <c r="K66" s="311"/>
      <c r="L66" s="311"/>
      <c r="M66" s="311"/>
      <c r="N66" s="311"/>
      <c r="O66" s="311"/>
      <c r="P66" s="311"/>
      <c r="Q66" s="311"/>
      <c r="R66" s="311"/>
    </row>
    <row r="67" spans="7:18" s="327" customFormat="1">
      <c r="G67" s="311"/>
      <c r="H67" s="309"/>
      <c r="I67" s="309"/>
      <c r="J67" s="309"/>
      <c r="K67" s="311"/>
      <c r="L67" s="311"/>
      <c r="M67" s="311"/>
      <c r="N67" s="311"/>
      <c r="O67" s="311"/>
      <c r="P67" s="311"/>
      <c r="Q67" s="311"/>
      <c r="R67" s="311"/>
    </row>
    <row r="68" spans="7:18" s="327" customFormat="1">
      <c r="G68" s="311"/>
      <c r="H68" s="309"/>
      <c r="I68" s="309"/>
      <c r="J68" s="309"/>
      <c r="K68" s="311"/>
      <c r="L68" s="311"/>
      <c r="M68" s="311"/>
      <c r="N68" s="311"/>
      <c r="O68" s="311"/>
      <c r="P68" s="311"/>
      <c r="Q68" s="311"/>
      <c r="R68" s="311"/>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0070C0"/>
  </sheetPr>
  <dimension ref="A1:R40"/>
  <sheetViews>
    <sheetView topLeftCell="A17" workbookViewId="0">
      <selection activeCell="E19" sqref="E19"/>
    </sheetView>
  </sheetViews>
  <sheetFormatPr defaultColWidth="8.77734375" defaultRowHeight="13.8"/>
  <cols>
    <col min="1" max="1" width="10.21875" style="316" customWidth="1"/>
    <col min="2" max="2" width="64.21875" style="316" customWidth="1"/>
    <col min="3" max="4" width="21.44140625" style="316" customWidth="1"/>
    <col min="5" max="5" width="39" style="316" customWidth="1"/>
    <col min="6" max="6" width="36.44140625" style="316" customWidth="1"/>
    <col min="7" max="7" width="21.44140625" style="311" customWidth="1"/>
    <col min="8" max="18" width="8.77734375" style="311"/>
    <col min="19" max="16384" width="8.77734375" style="316"/>
  </cols>
  <sheetData>
    <row r="1" spans="1:18" s="136" customFormat="1" ht="25.8">
      <c r="A1" s="308" t="s">
        <v>2231</v>
      </c>
      <c r="B1" s="309"/>
      <c r="C1" s="310"/>
      <c r="D1" s="309"/>
      <c r="E1" s="309"/>
      <c r="F1" s="309"/>
      <c r="G1" s="311"/>
      <c r="H1" s="311"/>
      <c r="I1" s="311"/>
      <c r="J1" s="311"/>
      <c r="K1" s="311"/>
      <c r="L1" s="311"/>
      <c r="M1" s="311"/>
      <c r="N1" s="311"/>
      <c r="O1" s="311"/>
      <c r="P1" s="311"/>
      <c r="Q1" s="311"/>
      <c r="R1" s="311"/>
    </row>
    <row r="2" spans="1:18" s="136" customFormat="1" ht="25.8">
      <c r="A2" s="308" t="s">
        <v>2232</v>
      </c>
      <c r="B2" s="309"/>
      <c r="C2" s="310"/>
      <c r="D2" s="309"/>
      <c r="E2" s="309"/>
      <c r="F2" s="309"/>
      <c r="G2" s="311"/>
      <c r="H2" s="311"/>
      <c r="I2" s="311"/>
      <c r="J2" s="311"/>
      <c r="K2" s="311"/>
      <c r="L2" s="311"/>
      <c r="M2" s="311"/>
      <c r="N2" s="311"/>
      <c r="O2" s="311"/>
      <c r="P2" s="311"/>
      <c r="Q2" s="311"/>
      <c r="R2" s="311"/>
    </row>
    <row r="3" spans="1:18" s="134" customFormat="1" ht="41.4">
      <c r="A3" s="312" t="s">
        <v>23</v>
      </c>
      <c r="B3" s="312" t="s">
        <v>2233</v>
      </c>
      <c r="C3" s="309"/>
      <c r="D3" s="309"/>
      <c r="E3" s="309"/>
      <c r="F3" s="309"/>
      <c r="G3" s="311"/>
      <c r="H3" s="311"/>
      <c r="I3" s="311"/>
      <c r="J3" s="311"/>
      <c r="K3" s="311"/>
      <c r="L3" s="311"/>
      <c r="M3" s="311"/>
      <c r="N3" s="311"/>
      <c r="O3" s="311"/>
      <c r="P3" s="311"/>
      <c r="Q3" s="311"/>
      <c r="R3" s="311"/>
    </row>
    <row r="4" spans="1:18" s="333" customFormat="1">
      <c r="A4" s="312" t="s">
        <v>1646</v>
      </c>
      <c r="B4" s="312" t="s">
        <v>2234</v>
      </c>
      <c r="C4" s="309"/>
      <c r="D4" s="309"/>
      <c r="E4" s="309"/>
      <c r="F4" s="309"/>
      <c r="G4" s="311"/>
      <c r="H4" s="311"/>
      <c r="I4" s="311"/>
      <c r="J4" s="311"/>
      <c r="K4" s="311"/>
      <c r="L4" s="311"/>
      <c r="M4" s="311"/>
      <c r="N4" s="311"/>
      <c r="O4" s="311"/>
      <c r="P4" s="311"/>
      <c r="Q4" s="311"/>
      <c r="R4" s="311"/>
    </row>
    <row r="5" spans="1:18" s="134" customFormat="1">
      <c r="A5" s="309" t="s">
        <v>25</v>
      </c>
      <c r="B5" s="309" t="s">
        <v>2235</v>
      </c>
      <c r="C5" s="309"/>
      <c r="D5" s="309"/>
      <c r="E5" s="309"/>
      <c r="F5" s="309"/>
      <c r="G5" s="311"/>
      <c r="H5" s="311"/>
      <c r="I5" s="311"/>
      <c r="J5" s="311"/>
      <c r="K5" s="311"/>
      <c r="L5" s="311"/>
      <c r="M5" s="311"/>
      <c r="N5" s="311"/>
      <c r="O5" s="311"/>
      <c r="P5" s="311"/>
      <c r="Q5" s="311"/>
      <c r="R5" s="311"/>
    </row>
    <row r="6" spans="1:18" s="333" customFormat="1">
      <c r="A6" s="316" t="s">
        <v>1648</v>
      </c>
      <c r="B6" s="316" t="s">
        <v>2236</v>
      </c>
      <c r="C6" s="316"/>
      <c r="D6" s="316"/>
      <c r="E6" s="309"/>
      <c r="F6" s="309"/>
      <c r="G6" s="311"/>
      <c r="H6" s="311"/>
      <c r="I6" s="311"/>
      <c r="J6" s="311"/>
      <c r="K6" s="311"/>
      <c r="L6" s="311"/>
      <c r="M6" s="311"/>
      <c r="N6" s="311"/>
      <c r="O6" s="311"/>
      <c r="P6" s="311"/>
      <c r="Q6" s="311"/>
      <c r="R6" s="311"/>
    </row>
    <row r="7" spans="1:18" s="136" customFormat="1">
      <c r="A7" s="316"/>
      <c r="B7" s="316"/>
      <c r="C7" s="316"/>
      <c r="D7" s="316"/>
      <c r="E7" s="309"/>
      <c r="F7" s="309"/>
      <c r="G7" s="346" t="e">
        <f>#REF!</f>
        <v>#REF!</v>
      </c>
      <c r="H7" s="311"/>
      <c r="I7" s="311"/>
      <c r="J7" s="311"/>
      <c r="K7" s="311"/>
      <c r="L7" s="311"/>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32"/>
      <c r="I9" s="332"/>
      <c r="J9" s="332"/>
      <c r="K9" s="332"/>
      <c r="L9" s="332"/>
      <c r="M9" s="332"/>
      <c r="N9" s="332"/>
      <c r="O9" s="332"/>
      <c r="P9" s="332"/>
      <c r="Q9" s="332"/>
      <c r="R9" s="332"/>
    </row>
    <row r="10" spans="1:18" s="333" customFormat="1" ht="151.80000000000001">
      <c r="A10" s="20" t="s">
        <v>206</v>
      </c>
      <c r="B10" s="20" t="s">
        <v>2237</v>
      </c>
      <c r="C10" s="334" t="s">
        <v>2238</v>
      </c>
      <c r="D10" s="334" t="s">
        <v>2239</v>
      </c>
      <c r="E10" s="334" t="s">
        <v>2240</v>
      </c>
      <c r="F10" s="20"/>
      <c r="G10" s="335"/>
      <c r="H10" s="332"/>
      <c r="I10" s="332"/>
      <c r="J10" s="332"/>
      <c r="K10" s="332"/>
      <c r="L10" s="332"/>
      <c r="M10" s="332"/>
      <c r="N10" s="332"/>
      <c r="O10" s="332"/>
      <c r="P10" s="332"/>
      <c r="Q10" s="332"/>
      <c r="R10" s="332"/>
    </row>
    <row r="11" spans="1:18" s="333" customFormat="1" ht="151.80000000000001">
      <c r="A11" s="20" t="s">
        <v>207</v>
      </c>
      <c r="B11" s="20" t="s">
        <v>2241</v>
      </c>
      <c r="C11" s="334" t="s">
        <v>2242</v>
      </c>
      <c r="D11" s="334" t="s">
        <v>2243</v>
      </c>
      <c r="E11" s="334" t="s">
        <v>2244</v>
      </c>
      <c r="F11" s="334"/>
      <c r="G11" s="335"/>
      <c r="H11" s="332"/>
      <c r="I11" s="332"/>
      <c r="J11" s="332"/>
      <c r="K11" s="332"/>
      <c r="L11" s="332"/>
      <c r="M11" s="332"/>
      <c r="N11" s="332"/>
      <c r="O11" s="332"/>
      <c r="P11" s="332"/>
      <c r="Q11" s="332"/>
      <c r="R11" s="332"/>
    </row>
    <row r="12" spans="1:18" s="136" customFormat="1">
      <c r="A12" s="329" t="s">
        <v>28</v>
      </c>
      <c r="B12" s="329"/>
      <c r="C12" s="330"/>
      <c r="D12" s="330"/>
      <c r="E12" s="330" t="s">
        <v>1504</v>
      </c>
      <c r="F12" s="330"/>
      <c r="G12" s="331"/>
      <c r="H12" s="332"/>
      <c r="I12" s="332"/>
      <c r="J12" s="332"/>
      <c r="K12" s="332"/>
      <c r="L12" s="332"/>
      <c r="M12" s="332"/>
      <c r="N12" s="332"/>
      <c r="O12" s="332"/>
      <c r="P12" s="332"/>
      <c r="Q12" s="332"/>
      <c r="R12" s="332"/>
    </row>
    <row r="13" spans="1:18" s="136" customFormat="1" ht="165.6">
      <c r="A13" s="20" t="s">
        <v>208</v>
      </c>
      <c r="B13" s="20" t="s">
        <v>2245</v>
      </c>
      <c r="C13" s="334" t="s">
        <v>2246</v>
      </c>
      <c r="D13" s="334" t="s">
        <v>2247</v>
      </c>
      <c r="E13" s="334" t="s">
        <v>2248</v>
      </c>
      <c r="F13" s="334"/>
      <c r="G13" s="335"/>
      <c r="H13" s="332"/>
      <c r="I13" s="332"/>
      <c r="J13" s="332"/>
      <c r="K13" s="332"/>
      <c r="L13" s="332"/>
      <c r="M13" s="332"/>
      <c r="N13" s="332"/>
      <c r="O13" s="332"/>
      <c r="P13" s="332"/>
      <c r="Q13" s="332"/>
      <c r="R13" s="332"/>
    </row>
    <row r="14" spans="1:18" s="134" customFormat="1" ht="138">
      <c r="A14" s="20" t="s">
        <v>209</v>
      </c>
      <c r="B14" s="20" t="s">
        <v>2249</v>
      </c>
      <c r="C14" s="334" t="s">
        <v>2250</v>
      </c>
      <c r="D14" s="334" t="s">
        <v>2251</v>
      </c>
      <c r="E14" s="334" t="s">
        <v>2252</v>
      </c>
      <c r="F14" s="334"/>
      <c r="G14" s="335"/>
      <c r="H14" s="332"/>
      <c r="I14" s="332"/>
      <c r="J14" s="332"/>
      <c r="K14" s="332"/>
      <c r="L14" s="332"/>
      <c r="M14" s="332"/>
      <c r="N14" s="332"/>
      <c r="O14" s="332"/>
      <c r="P14" s="332"/>
      <c r="Q14" s="332"/>
      <c r="R14" s="332"/>
    </row>
    <row r="15" spans="1:18" s="333" customFormat="1" ht="165.6">
      <c r="A15" s="20" t="s">
        <v>210</v>
      </c>
      <c r="B15" s="20" t="s">
        <v>2253</v>
      </c>
      <c r="C15" s="334" t="s">
        <v>2254</v>
      </c>
      <c r="D15" s="334" t="s">
        <v>2255</v>
      </c>
      <c r="E15" s="334" t="s">
        <v>2256</v>
      </c>
      <c r="F15" s="334"/>
      <c r="G15" s="335"/>
      <c r="H15" s="332"/>
      <c r="I15" s="332"/>
      <c r="J15" s="332"/>
      <c r="K15" s="332"/>
      <c r="L15" s="332"/>
      <c r="M15" s="332"/>
      <c r="N15" s="332"/>
      <c r="O15" s="332"/>
      <c r="P15" s="332"/>
      <c r="Q15" s="332"/>
      <c r="R15" s="332"/>
    </row>
    <row r="16" spans="1:18" s="136" customFormat="1">
      <c r="A16" s="329" t="s">
        <v>29</v>
      </c>
      <c r="B16" s="329"/>
      <c r="C16" s="330"/>
      <c r="D16" s="330"/>
      <c r="E16" s="330" t="s">
        <v>1504</v>
      </c>
      <c r="F16" s="330"/>
      <c r="G16" s="331"/>
      <c r="H16" s="332"/>
      <c r="I16" s="332"/>
      <c r="J16" s="332"/>
      <c r="K16" s="332"/>
      <c r="L16" s="332"/>
      <c r="M16" s="332"/>
      <c r="N16" s="332"/>
      <c r="O16" s="332"/>
      <c r="P16" s="332"/>
      <c r="Q16" s="332"/>
      <c r="R16" s="332"/>
    </row>
    <row r="17" spans="1:18" s="136" customFormat="1" ht="165.6">
      <c r="A17" s="20" t="s">
        <v>211</v>
      </c>
      <c r="B17" s="20" t="s">
        <v>2257</v>
      </c>
      <c r="C17" s="334" t="s">
        <v>2258</v>
      </c>
      <c r="D17" s="334" t="s">
        <v>2259</v>
      </c>
      <c r="E17" s="334" t="s">
        <v>2260</v>
      </c>
      <c r="F17" s="334"/>
      <c r="G17" s="335"/>
      <c r="H17" s="332"/>
      <c r="I17" s="332"/>
      <c r="J17" s="332"/>
      <c r="K17" s="332"/>
      <c r="L17" s="332"/>
      <c r="M17" s="332"/>
      <c r="N17" s="332"/>
      <c r="O17" s="332"/>
      <c r="P17" s="332"/>
      <c r="Q17" s="332"/>
      <c r="R17" s="332"/>
    </row>
    <row r="18" spans="1:18" s="134" customFormat="1" ht="151.80000000000001">
      <c r="A18" s="20" t="s">
        <v>212</v>
      </c>
      <c r="B18" s="20" t="s">
        <v>2261</v>
      </c>
      <c r="C18" s="334" t="s">
        <v>2262</v>
      </c>
      <c r="D18" s="334" t="s">
        <v>2263</v>
      </c>
      <c r="E18" s="334" t="s">
        <v>2264</v>
      </c>
      <c r="F18" s="334"/>
      <c r="G18" s="335"/>
      <c r="H18" s="332"/>
      <c r="I18" s="332"/>
      <c r="J18" s="332"/>
      <c r="K18" s="332"/>
      <c r="L18" s="332"/>
      <c r="M18" s="332"/>
      <c r="N18" s="332"/>
      <c r="O18" s="332"/>
      <c r="P18" s="332"/>
      <c r="Q18" s="332"/>
      <c r="R18" s="332"/>
    </row>
    <row r="19" spans="1:18" s="326" customFormat="1">
      <c r="G19" s="311"/>
      <c r="H19" s="311"/>
      <c r="I19" s="311"/>
      <c r="J19" s="311"/>
      <c r="K19" s="311"/>
      <c r="L19" s="311"/>
      <c r="M19" s="311"/>
      <c r="N19" s="311"/>
      <c r="O19" s="311"/>
      <c r="P19" s="311"/>
      <c r="Q19" s="311"/>
      <c r="R19" s="311"/>
    </row>
    <row r="20" spans="1:18" s="327" customFormat="1">
      <c r="G20" s="311"/>
      <c r="H20" s="311"/>
      <c r="I20" s="311"/>
      <c r="J20" s="311"/>
      <c r="K20" s="311"/>
      <c r="L20" s="311"/>
      <c r="M20" s="311"/>
      <c r="N20" s="311"/>
      <c r="O20" s="311"/>
      <c r="P20" s="311"/>
      <c r="Q20" s="311"/>
      <c r="R20" s="311"/>
    </row>
    <row r="21" spans="1:18" s="327" customFormat="1">
      <c r="G21" s="311"/>
      <c r="H21" s="311"/>
      <c r="I21" s="311"/>
      <c r="J21" s="311"/>
      <c r="K21" s="311"/>
      <c r="L21" s="311"/>
      <c r="M21" s="311"/>
      <c r="N21" s="311"/>
      <c r="O21" s="311"/>
      <c r="P21" s="311"/>
      <c r="Q21" s="311"/>
      <c r="R21" s="311"/>
    </row>
    <row r="22" spans="1:18" s="327" customFormat="1">
      <c r="G22" s="311"/>
      <c r="H22" s="311"/>
      <c r="I22" s="311"/>
      <c r="J22" s="311"/>
      <c r="K22" s="311"/>
      <c r="L22" s="311"/>
      <c r="M22" s="311"/>
      <c r="N22" s="311"/>
      <c r="O22" s="311"/>
      <c r="P22" s="311"/>
      <c r="Q22" s="311"/>
      <c r="R22" s="311"/>
    </row>
    <row r="23" spans="1:18" s="327" customFormat="1">
      <c r="G23" s="311"/>
      <c r="H23" s="311"/>
      <c r="I23" s="311"/>
      <c r="J23" s="311"/>
      <c r="K23" s="311"/>
      <c r="L23" s="311"/>
      <c r="M23" s="311"/>
      <c r="N23" s="311"/>
      <c r="O23" s="311"/>
      <c r="P23" s="311"/>
      <c r="Q23" s="311"/>
      <c r="R23" s="311"/>
    </row>
    <row r="24" spans="1:18" s="327" customFormat="1">
      <c r="G24" s="311"/>
      <c r="H24" s="311"/>
      <c r="I24" s="311"/>
      <c r="J24" s="311"/>
      <c r="K24" s="311"/>
      <c r="L24" s="311"/>
      <c r="M24" s="311"/>
      <c r="N24" s="311"/>
      <c r="O24" s="311"/>
      <c r="P24" s="311"/>
      <c r="Q24" s="311"/>
      <c r="R24" s="311"/>
    </row>
    <row r="25" spans="1:18" s="327" customFormat="1">
      <c r="G25" s="311"/>
      <c r="H25" s="311"/>
      <c r="I25" s="311"/>
      <c r="J25" s="311"/>
      <c r="K25" s="311"/>
      <c r="L25" s="311"/>
      <c r="M25" s="311"/>
      <c r="N25" s="311"/>
      <c r="O25" s="311"/>
      <c r="P25" s="311"/>
      <c r="Q25" s="311"/>
      <c r="R25" s="311"/>
    </row>
    <row r="26" spans="1:18" s="327" customFormat="1">
      <c r="G26" s="311"/>
      <c r="H26" s="311"/>
      <c r="I26" s="311"/>
      <c r="J26" s="311"/>
      <c r="K26" s="311"/>
      <c r="L26" s="311"/>
      <c r="M26" s="311"/>
      <c r="N26" s="311"/>
      <c r="O26" s="311"/>
      <c r="P26" s="311"/>
      <c r="Q26" s="311"/>
      <c r="R26" s="311"/>
    </row>
    <row r="27" spans="1:18" s="327" customFormat="1">
      <c r="G27" s="311"/>
      <c r="H27" s="311"/>
      <c r="I27" s="311"/>
      <c r="J27" s="311"/>
      <c r="K27" s="311"/>
      <c r="L27" s="311"/>
      <c r="M27" s="311"/>
      <c r="N27" s="311"/>
      <c r="O27" s="311"/>
      <c r="P27" s="311"/>
      <c r="Q27" s="311"/>
      <c r="R27" s="311"/>
    </row>
    <row r="28" spans="1:18" s="327" customFormat="1">
      <c r="G28" s="311"/>
      <c r="H28" s="311"/>
      <c r="I28" s="311"/>
      <c r="J28" s="311"/>
      <c r="K28" s="311"/>
      <c r="L28" s="311"/>
      <c r="M28" s="311"/>
      <c r="N28" s="311"/>
      <c r="O28" s="311"/>
      <c r="P28" s="311"/>
      <c r="Q28" s="311"/>
      <c r="R28" s="311"/>
    </row>
    <row r="29" spans="1:18" s="327" customFormat="1">
      <c r="G29" s="311"/>
      <c r="H29" s="311"/>
      <c r="I29" s="311"/>
      <c r="J29" s="311"/>
      <c r="K29" s="311"/>
      <c r="L29" s="311"/>
      <c r="M29" s="311"/>
      <c r="N29" s="311"/>
      <c r="O29" s="311"/>
      <c r="P29" s="311"/>
      <c r="Q29" s="311"/>
      <c r="R29" s="311"/>
    </row>
    <row r="30" spans="1:18" s="327" customFormat="1">
      <c r="G30" s="311"/>
      <c r="H30" s="311"/>
      <c r="I30" s="311"/>
      <c r="J30" s="311"/>
      <c r="K30" s="311"/>
      <c r="L30" s="311"/>
      <c r="M30" s="311"/>
      <c r="N30" s="311"/>
      <c r="O30" s="311"/>
      <c r="P30" s="311"/>
      <c r="Q30" s="311"/>
      <c r="R30" s="311"/>
    </row>
    <row r="31" spans="1:18" s="327" customFormat="1">
      <c r="G31" s="311"/>
      <c r="H31" s="311"/>
      <c r="I31" s="311"/>
      <c r="J31" s="311"/>
      <c r="K31" s="311"/>
      <c r="L31" s="311"/>
      <c r="M31" s="311"/>
      <c r="N31" s="311"/>
      <c r="O31" s="311"/>
      <c r="P31" s="311"/>
      <c r="Q31" s="311"/>
      <c r="R31" s="311"/>
    </row>
    <row r="32" spans="1:18" s="327" customFormat="1">
      <c r="G32" s="311"/>
      <c r="H32" s="311"/>
      <c r="I32" s="311"/>
      <c r="J32" s="311"/>
      <c r="K32" s="311"/>
      <c r="L32" s="311"/>
      <c r="M32" s="311"/>
      <c r="N32" s="311"/>
      <c r="O32" s="311"/>
      <c r="P32" s="311"/>
      <c r="Q32" s="311"/>
      <c r="R32" s="311"/>
    </row>
    <row r="33" spans="7:18" s="327" customFormat="1">
      <c r="G33" s="311"/>
      <c r="H33" s="311"/>
      <c r="I33" s="311"/>
      <c r="J33" s="311"/>
      <c r="K33" s="311"/>
      <c r="L33" s="311"/>
      <c r="M33" s="311"/>
      <c r="N33" s="311"/>
      <c r="O33" s="311"/>
      <c r="P33" s="311"/>
      <c r="Q33" s="311"/>
      <c r="R33" s="311"/>
    </row>
    <row r="34" spans="7:18" s="327" customFormat="1">
      <c r="G34" s="311"/>
      <c r="H34" s="311"/>
      <c r="I34" s="311"/>
      <c r="J34" s="311"/>
      <c r="K34" s="311"/>
      <c r="L34" s="311"/>
      <c r="M34" s="311"/>
      <c r="N34" s="311"/>
      <c r="O34" s="311"/>
      <c r="P34" s="311"/>
      <c r="Q34" s="311"/>
      <c r="R34" s="311"/>
    </row>
    <row r="35" spans="7:18" s="327" customFormat="1">
      <c r="G35" s="311"/>
      <c r="H35" s="311"/>
      <c r="I35" s="311"/>
      <c r="J35" s="311"/>
      <c r="K35" s="311"/>
      <c r="L35" s="311"/>
      <c r="M35" s="311"/>
      <c r="N35" s="311"/>
      <c r="O35" s="311"/>
      <c r="P35" s="311"/>
      <c r="Q35" s="311"/>
      <c r="R35" s="311"/>
    </row>
    <row r="36" spans="7:18" s="327" customFormat="1">
      <c r="G36" s="311"/>
      <c r="H36" s="311"/>
      <c r="I36" s="311"/>
      <c r="J36" s="311"/>
      <c r="K36" s="311"/>
      <c r="L36" s="311"/>
      <c r="M36" s="311"/>
      <c r="N36" s="311"/>
      <c r="O36" s="311"/>
      <c r="P36" s="311"/>
      <c r="Q36" s="311"/>
      <c r="R36" s="311"/>
    </row>
    <row r="37" spans="7:18" s="327"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0070C0"/>
  </sheetPr>
  <dimension ref="A1:R48"/>
  <sheetViews>
    <sheetView topLeftCell="A16" workbookViewId="0">
      <selection activeCell="E20" sqref="E20"/>
    </sheetView>
  </sheetViews>
  <sheetFormatPr defaultColWidth="8.77734375" defaultRowHeight="13.8"/>
  <cols>
    <col min="1" max="1" width="10.21875" style="316" customWidth="1"/>
    <col min="2" max="2" width="53.21875" style="316" customWidth="1"/>
    <col min="3" max="4" width="21.44140625" style="316" customWidth="1"/>
    <col min="5" max="5" width="73.21875" style="316" customWidth="1"/>
    <col min="6" max="6" width="24.44140625" style="316" customWidth="1"/>
    <col min="7" max="7" width="21.44140625" style="311" customWidth="1"/>
    <col min="8" max="18" width="8.77734375" style="311"/>
    <col min="19" max="16384" width="8.77734375" style="316"/>
  </cols>
  <sheetData>
    <row r="1" spans="1:18" s="136" customFormat="1" ht="25.8">
      <c r="A1" s="308" t="s">
        <v>2265</v>
      </c>
      <c r="B1" s="309"/>
      <c r="C1" s="310"/>
      <c r="D1" s="309"/>
      <c r="E1" s="309"/>
      <c r="F1" s="309"/>
      <c r="G1" s="311"/>
      <c r="H1" s="311"/>
      <c r="I1" s="311"/>
      <c r="J1" s="311"/>
      <c r="K1" s="311"/>
      <c r="L1" s="311"/>
      <c r="M1" s="311"/>
      <c r="N1" s="311"/>
      <c r="O1" s="311"/>
      <c r="P1" s="311"/>
      <c r="Q1" s="311"/>
      <c r="R1" s="311"/>
    </row>
    <row r="2" spans="1:18" s="136" customFormat="1" ht="25.8">
      <c r="A2" s="308" t="s">
        <v>2266</v>
      </c>
      <c r="B2" s="309"/>
      <c r="C2" s="310"/>
      <c r="D2" s="309"/>
      <c r="E2" s="309"/>
      <c r="F2" s="309"/>
      <c r="G2" s="311"/>
      <c r="H2" s="311"/>
      <c r="I2" s="311"/>
      <c r="J2" s="311"/>
      <c r="K2" s="311"/>
      <c r="L2" s="311"/>
      <c r="M2" s="311"/>
      <c r="N2" s="311"/>
      <c r="O2" s="311"/>
      <c r="P2" s="311"/>
      <c r="Q2" s="311"/>
      <c r="R2" s="311"/>
    </row>
    <row r="3" spans="1:18" s="134" customFormat="1">
      <c r="A3" s="312" t="s">
        <v>23</v>
      </c>
      <c r="B3" s="309" t="s">
        <v>2267</v>
      </c>
      <c r="C3" s="309"/>
      <c r="D3" s="309"/>
      <c r="E3" s="309"/>
      <c r="F3" s="309"/>
      <c r="G3" s="311"/>
      <c r="H3" s="311"/>
      <c r="I3" s="311"/>
      <c r="J3" s="311"/>
      <c r="K3" s="311"/>
      <c r="L3" s="311"/>
      <c r="M3" s="311"/>
      <c r="N3" s="311"/>
      <c r="O3" s="311"/>
      <c r="P3" s="311"/>
      <c r="Q3" s="311"/>
      <c r="R3" s="311"/>
    </row>
    <row r="4" spans="1:18" s="333" customFormat="1">
      <c r="A4" s="312" t="s">
        <v>1646</v>
      </c>
      <c r="B4" s="309" t="s">
        <v>2268</v>
      </c>
      <c r="C4" s="309"/>
      <c r="D4" s="309"/>
      <c r="E4" s="309"/>
      <c r="F4" s="309"/>
      <c r="G4" s="311"/>
      <c r="H4" s="311"/>
      <c r="I4" s="311"/>
      <c r="J4" s="311"/>
      <c r="K4" s="311"/>
      <c r="L4" s="311"/>
      <c r="M4" s="311"/>
      <c r="N4" s="311"/>
      <c r="O4" s="311"/>
      <c r="P4" s="311"/>
      <c r="Q4" s="311"/>
      <c r="R4" s="311"/>
    </row>
    <row r="5" spans="1:18" s="136" customFormat="1">
      <c r="A5" s="309" t="s">
        <v>25</v>
      </c>
      <c r="B5" s="309" t="s">
        <v>2269</v>
      </c>
      <c r="C5" s="309"/>
      <c r="D5" s="309"/>
      <c r="E5" s="309"/>
      <c r="F5" s="309"/>
      <c r="G5" s="311"/>
      <c r="H5" s="311"/>
      <c r="I5" s="311"/>
      <c r="J5" s="311"/>
      <c r="K5" s="311"/>
      <c r="L5" s="311"/>
      <c r="M5" s="311"/>
      <c r="N5" s="311"/>
      <c r="O5" s="311"/>
      <c r="P5" s="311"/>
      <c r="Q5" s="311"/>
      <c r="R5" s="311"/>
    </row>
    <row r="6" spans="1:18" s="136" customFormat="1">
      <c r="A6" s="309" t="s">
        <v>1648</v>
      </c>
      <c r="B6" s="309" t="s">
        <v>2270</v>
      </c>
      <c r="C6" s="309"/>
      <c r="D6" s="309"/>
      <c r="E6" s="309"/>
      <c r="F6" s="309"/>
      <c r="G6" s="311"/>
      <c r="H6" s="311"/>
      <c r="I6" s="311"/>
      <c r="J6" s="311"/>
      <c r="K6" s="311"/>
      <c r="L6" s="311"/>
      <c r="M6" s="311"/>
      <c r="N6" s="311"/>
      <c r="O6" s="311"/>
      <c r="P6" s="311"/>
      <c r="Q6" s="311"/>
      <c r="R6" s="311"/>
    </row>
    <row r="7" spans="1:18" s="134" customFormat="1">
      <c r="A7" s="316"/>
      <c r="B7" s="316"/>
      <c r="C7" s="316"/>
      <c r="D7" s="316"/>
      <c r="E7" s="316"/>
      <c r="F7" s="316"/>
      <c r="G7" s="309" t="e">
        <f>#REF!</f>
        <v>#REF!</v>
      </c>
      <c r="H7" s="311"/>
      <c r="I7" s="311"/>
      <c r="J7" s="311"/>
      <c r="K7" s="311"/>
      <c r="L7" s="311"/>
      <c r="M7" s="311"/>
      <c r="N7" s="311"/>
      <c r="O7" s="311"/>
      <c r="P7" s="311"/>
      <c r="Q7" s="311"/>
      <c r="R7" s="311"/>
    </row>
    <row r="8" spans="1:18" s="333"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32"/>
      <c r="I9" s="332"/>
      <c r="J9" s="332"/>
      <c r="K9" s="332"/>
      <c r="L9" s="332"/>
      <c r="M9" s="332"/>
      <c r="N9" s="332"/>
      <c r="O9" s="332"/>
      <c r="P9" s="332"/>
      <c r="Q9" s="332"/>
      <c r="R9" s="332"/>
    </row>
    <row r="10" spans="1:18" s="136" customFormat="1" ht="110.4">
      <c r="A10" s="20" t="s">
        <v>2271</v>
      </c>
      <c r="B10" s="20" t="s">
        <v>2272</v>
      </c>
      <c r="C10" s="334" t="s">
        <v>2273</v>
      </c>
      <c r="D10" s="334" t="s">
        <v>2274</v>
      </c>
      <c r="E10" s="334" t="s">
        <v>2275</v>
      </c>
      <c r="F10" s="334"/>
      <c r="G10" s="335"/>
      <c r="H10" s="332"/>
      <c r="I10" s="332"/>
      <c r="J10" s="332"/>
      <c r="K10" s="332"/>
      <c r="L10" s="332"/>
      <c r="M10" s="332"/>
      <c r="N10" s="332"/>
      <c r="O10" s="332"/>
      <c r="P10" s="332"/>
      <c r="Q10" s="332"/>
      <c r="R10" s="332"/>
    </row>
    <row r="11" spans="1:18" s="134" customFormat="1" ht="96.6">
      <c r="A11" s="20" t="s">
        <v>2276</v>
      </c>
      <c r="B11" s="20" t="s">
        <v>2277</v>
      </c>
      <c r="C11" s="334" t="s">
        <v>2278</v>
      </c>
      <c r="D11" s="334" t="s">
        <v>2279</v>
      </c>
      <c r="E11" s="334" t="s">
        <v>2280</v>
      </c>
      <c r="F11" s="334"/>
      <c r="G11" s="335"/>
      <c r="H11" s="332"/>
      <c r="I11" s="332"/>
      <c r="J11" s="332"/>
      <c r="K11" s="332"/>
      <c r="L11" s="332"/>
      <c r="M11" s="332"/>
      <c r="N11" s="332"/>
      <c r="O11" s="332"/>
      <c r="P11" s="332"/>
      <c r="Q11" s="332"/>
      <c r="R11" s="332"/>
    </row>
    <row r="12" spans="1:18" s="134" customFormat="1" ht="82.8">
      <c r="A12" s="20" t="s">
        <v>2281</v>
      </c>
      <c r="B12" s="20" t="s">
        <v>2282</v>
      </c>
      <c r="C12" s="334" t="s">
        <v>2283</v>
      </c>
      <c r="D12" s="334" t="s">
        <v>2284</v>
      </c>
      <c r="E12" s="334" t="s">
        <v>2285</v>
      </c>
      <c r="F12" s="334"/>
      <c r="G12" s="335"/>
      <c r="H12" s="332"/>
      <c r="I12" s="332"/>
      <c r="J12" s="332"/>
      <c r="K12" s="332"/>
      <c r="L12" s="332"/>
      <c r="M12" s="332"/>
      <c r="N12" s="332"/>
      <c r="O12" s="332"/>
      <c r="P12" s="332"/>
      <c r="Q12" s="332"/>
      <c r="R12" s="332"/>
    </row>
    <row r="13" spans="1:18" s="333" customFormat="1" ht="69">
      <c r="A13" s="20" t="s">
        <v>2286</v>
      </c>
      <c r="B13" s="20" t="s">
        <v>2287</v>
      </c>
      <c r="C13" s="334" t="s">
        <v>2288</v>
      </c>
      <c r="D13" s="334" t="s">
        <v>2289</v>
      </c>
      <c r="E13" s="334" t="s">
        <v>2290</v>
      </c>
      <c r="F13" s="334"/>
      <c r="G13" s="335"/>
      <c r="H13" s="332"/>
      <c r="I13" s="332"/>
      <c r="J13" s="332"/>
      <c r="K13" s="332"/>
      <c r="L13" s="332"/>
      <c r="M13" s="332"/>
      <c r="N13" s="332"/>
      <c r="O13" s="332"/>
      <c r="P13" s="332"/>
      <c r="Q13" s="332"/>
      <c r="R13" s="332"/>
    </row>
    <row r="14" spans="1:18" s="333" customFormat="1">
      <c r="A14" s="329" t="s">
        <v>28</v>
      </c>
      <c r="B14" s="329"/>
      <c r="C14" s="330"/>
      <c r="D14" s="330"/>
      <c r="E14" s="330" t="s">
        <v>1504</v>
      </c>
      <c r="F14" s="330"/>
      <c r="G14" s="331"/>
      <c r="H14" s="332"/>
      <c r="I14" s="332"/>
      <c r="J14" s="332"/>
      <c r="K14" s="332"/>
      <c r="L14" s="332"/>
      <c r="M14" s="332"/>
      <c r="N14" s="332"/>
      <c r="O14" s="332"/>
      <c r="P14" s="332"/>
      <c r="Q14" s="332"/>
      <c r="R14" s="332"/>
    </row>
    <row r="15" spans="1:18" s="136" customFormat="1" ht="96.6">
      <c r="A15" s="20" t="s">
        <v>2291</v>
      </c>
      <c r="B15" s="20" t="s">
        <v>2292</v>
      </c>
      <c r="C15" s="334" t="s">
        <v>2293</v>
      </c>
      <c r="D15" s="334" t="s">
        <v>2294</v>
      </c>
      <c r="E15" s="334" t="s">
        <v>2295</v>
      </c>
      <c r="F15" s="334"/>
      <c r="G15" s="335"/>
      <c r="H15" s="332"/>
      <c r="I15" s="332"/>
      <c r="J15" s="332"/>
      <c r="K15" s="332"/>
      <c r="L15" s="332"/>
      <c r="M15" s="332"/>
      <c r="N15" s="332"/>
      <c r="O15" s="332"/>
      <c r="P15" s="332"/>
      <c r="Q15" s="332"/>
      <c r="R15" s="332"/>
    </row>
    <row r="16" spans="1:18" s="136" customFormat="1" ht="124.2">
      <c r="A16" s="20" t="s">
        <v>2296</v>
      </c>
      <c r="B16" s="20" t="s">
        <v>2297</v>
      </c>
      <c r="C16" s="334" t="s">
        <v>2298</v>
      </c>
      <c r="D16" s="334" t="s">
        <v>2299</v>
      </c>
      <c r="E16" s="334" t="s">
        <v>2300</v>
      </c>
      <c r="F16" s="334"/>
      <c r="G16" s="335"/>
      <c r="H16" s="332"/>
      <c r="I16" s="332"/>
      <c r="J16" s="332"/>
      <c r="K16" s="332"/>
      <c r="L16" s="332"/>
      <c r="M16" s="332"/>
      <c r="N16" s="332"/>
      <c r="O16" s="332"/>
      <c r="P16" s="332"/>
      <c r="Q16" s="332"/>
      <c r="R16" s="332"/>
    </row>
    <row r="17" spans="1:18" s="134" customFormat="1" ht="138">
      <c r="A17" s="20" t="s">
        <v>2301</v>
      </c>
      <c r="B17" s="20" t="s">
        <v>2302</v>
      </c>
      <c r="C17" s="334" t="s">
        <v>2303</v>
      </c>
      <c r="D17" s="334" t="s">
        <v>2304</v>
      </c>
      <c r="E17" s="334" t="s">
        <v>2305</v>
      </c>
      <c r="F17" s="334"/>
      <c r="G17" s="335"/>
      <c r="H17" s="332"/>
      <c r="I17" s="332"/>
      <c r="J17" s="332"/>
      <c r="K17" s="332"/>
      <c r="L17" s="332"/>
      <c r="M17" s="332"/>
      <c r="N17" s="332"/>
      <c r="O17" s="332"/>
      <c r="P17" s="332"/>
      <c r="Q17" s="332"/>
      <c r="R17" s="332"/>
    </row>
    <row r="18" spans="1:18" s="134" customFormat="1" ht="110.4">
      <c r="A18" s="20" t="s">
        <v>2306</v>
      </c>
      <c r="B18" s="20" t="s">
        <v>2307</v>
      </c>
      <c r="C18" s="334" t="s">
        <v>2308</v>
      </c>
      <c r="D18" s="334" t="s">
        <v>2309</v>
      </c>
      <c r="E18" s="334" t="s">
        <v>2310</v>
      </c>
      <c r="F18" s="334"/>
      <c r="G18" s="335"/>
      <c r="H18" s="332"/>
      <c r="I18" s="332"/>
      <c r="J18" s="332"/>
      <c r="K18" s="332"/>
      <c r="L18" s="332"/>
      <c r="M18" s="332"/>
      <c r="N18" s="332"/>
      <c r="O18" s="332"/>
      <c r="P18" s="332"/>
      <c r="Q18" s="332"/>
      <c r="R18" s="332"/>
    </row>
    <row r="19" spans="1:18" s="333" customFormat="1" ht="69">
      <c r="A19" s="20" t="s">
        <v>2311</v>
      </c>
      <c r="B19" s="20" t="s">
        <v>2312</v>
      </c>
      <c r="C19" s="334" t="s">
        <v>2313</v>
      </c>
      <c r="D19" s="334" t="s">
        <v>2314</v>
      </c>
      <c r="E19" s="334" t="s">
        <v>2315</v>
      </c>
      <c r="F19" s="334"/>
      <c r="G19" s="335"/>
      <c r="H19" s="332"/>
      <c r="I19" s="332"/>
      <c r="J19" s="332"/>
      <c r="K19" s="332"/>
      <c r="L19" s="332"/>
      <c r="M19" s="332"/>
      <c r="N19" s="332"/>
      <c r="O19" s="332"/>
      <c r="P19" s="332"/>
      <c r="Q19" s="332"/>
      <c r="R19" s="332"/>
    </row>
    <row r="20" spans="1:18" s="136" customFormat="1">
      <c r="A20" s="329" t="s">
        <v>29</v>
      </c>
      <c r="B20" s="329"/>
      <c r="C20" s="330"/>
      <c r="D20" s="330"/>
      <c r="E20" s="330" t="s">
        <v>1504</v>
      </c>
      <c r="F20" s="330"/>
      <c r="G20" s="331"/>
      <c r="H20" s="332"/>
      <c r="I20" s="332"/>
      <c r="J20" s="332"/>
      <c r="K20" s="332"/>
      <c r="L20" s="332"/>
      <c r="M20" s="332"/>
      <c r="N20" s="332"/>
      <c r="O20" s="332"/>
      <c r="P20" s="332"/>
      <c r="Q20" s="332"/>
      <c r="R20" s="332"/>
    </row>
    <row r="21" spans="1:18" s="136" customFormat="1" ht="124.2">
      <c r="A21" s="20" t="s">
        <v>2316</v>
      </c>
      <c r="B21" s="20" t="s">
        <v>2317</v>
      </c>
      <c r="C21" s="334" t="s">
        <v>2318</v>
      </c>
      <c r="D21" s="334" t="s">
        <v>2319</v>
      </c>
      <c r="E21" s="334" t="s">
        <v>2320</v>
      </c>
      <c r="F21" s="334"/>
      <c r="G21" s="335"/>
      <c r="H21" s="332"/>
      <c r="I21" s="332"/>
      <c r="J21" s="332"/>
      <c r="K21" s="332"/>
      <c r="L21" s="332"/>
      <c r="M21" s="332"/>
      <c r="N21" s="332"/>
      <c r="O21" s="332"/>
      <c r="P21" s="332"/>
      <c r="Q21" s="332"/>
      <c r="R21" s="332"/>
    </row>
    <row r="22" spans="1:18" s="134" customFormat="1" ht="138">
      <c r="A22" s="20" t="s">
        <v>2321</v>
      </c>
      <c r="B22" s="20" t="s">
        <v>2322</v>
      </c>
      <c r="C22" s="334" t="s">
        <v>2323</v>
      </c>
      <c r="D22" s="334" t="s">
        <v>2324</v>
      </c>
      <c r="E22" s="334" t="s">
        <v>2325</v>
      </c>
      <c r="F22" s="334"/>
      <c r="G22" s="335"/>
      <c r="H22" s="332"/>
      <c r="I22" s="332"/>
      <c r="J22" s="332"/>
      <c r="K22" s="332"/>
      <c r="L22" s="332"/>
      <c r="M22" s="332"/>
      <c r="N22" s="332"/>
      <c r="O22" s="332"/>
      <c r="P22" s="332"/>
      <c r="Q22" s="332"/>
      <c r="R22" s="332"/>
    </row>
    <row r="23" spans="1:18" s="326" customFormat="1">
      <c r="A23" s="329" t="s">
        <v>371</v>
      </c>
      <c r="B23" s="329"/>
      <c r="C23" s="330"/>
      <c r="D23" s="330"/>
      <c r="E23" s="330" t="s">
        <v>1504</v>
      </c>
      <c r="F23" s="330"/>
      <c r="G23" s="331"/>
      <c r="H23" s="332"/>
      <c r="I23" s="332"/>
      <c r="J23" s="332"/>
      <c r="K23" s="332"/>
      <c r="L23" s="332"/>
      <c r="M23" s="332"/>
      <c r="N23" s="332"/>
      <c r="O23" s="332"/>
      <c r="P23" s="332"/>
      <c r="Q23" s="332"/>
      <c r="R23" s="332"/>
    </row>
    <row r="24" spans="1:18" s="326" customFormat="1" ht="138">
      <c r="A24" s="20" t="s">
        <v>2326</v>
      </c>
      <c r="B24" s="20" t="s">
        <v>2327</v>
      </c>
      <c r="C24" s="334" t="s">
        <v>2328</v>
      </c>
      <c r="D24" s="334" t="s">
        <v>2329</v>
      </c>
      <c r="E24" s="334" t="s">
        <v>2330</v>
      </c>
      <c r="F24" s="334"/>
      <c r="G24" s="335"/>
      <c r="H24" s="332"/>
      <c r="I24" s="332"/>
      <c r="J24" s="332"/>
      <c r="K24" s="332"/>
      <c r="L24" s="332"/>
      <c r="M24" s="332"/>
      <c r="N24" s="332"/>
      <c r="O24" s="332"/>
      <c r="P24" s="332"/>
      <c r="Q24" s="332"/>
      <c r="R24" s="332"/>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7" customFormat="1">
      <c r="G28" s="311"/>
      <c r="H28" s="311"/>
      <c r="I28" s="311"/>
      <c r="J28" s="311"/>
      <c r="K28" s="311"/>
      <c r="L28" s="311"/>
      <c r="M28" s="311"/>
      <c r="N28" s="311"/>
      <c r="O28" s="311"/>
      <c r="P28" s="311"/>
      <c r="Q28" s="311"/>
      <c r="R28" s="311"/>
    </row>
    <row r="29" spans="1:18" s="327" customFormat="1">
      <c r="G29" s="311"/>
      <c r="H29" s="311"/>
      <c r="I29" s="311"/>
      <c r="J29" s="311"/>
      <c r="K29" s="311"/>
      <c r="L29" s="311"/>
      <c r="M29" s="311"/>
      <c r="N29" s="311"/>
      <c r="O29" s="311"/>
      <c r="P29" s="311"/>
      <c r="Q29" s="311"/>
      <c r="R29" s="311"/>
    </row>
    <row r="30" spans="1:18" s="327" customFormat="1">
      <c r="G30" s="311"/>
      <c r="H30" s="311"/>
      <c r="I30" s="311"/>
      <c r="J30" s="311"/>
      <c r="K30" s="311"/>
      <c r="L30" s="311"/>
      <c r="M30" s="311"/>
      <c r="N30" s="311"/>
      <c r="O30" s="311"/>
      <c r="P30" s="311"/>
      <c r="Q30" s="311"/>
      <c r="R30" s="311"/>
    </row>
    <row r="31" spans="1:18" s="327" customFormat="1">
      <c r="G31" s="311"/>
      <c r="H31" s="311"/>
      <c r="I31" s="311"/>
      <c r="J31" s="311"/>
      <c r="K31" s="311"/>
      <c r="L31" s="311"/>
      <c r="M31" s="311"/>
      <c r="N31" s="311"/>
      <c r="O31" s="311"/>
      <c r="P31" s="311"/>
      <c r="Q31" s="311"/>
      <c r="R31" s="311"/>
    </row>
    <row r="32" spans="1:18" s="327" customFormat="1">
      <c r="G32" s="311"/>
      <c r="H32" s="311"/>
      <c r="I32" s="311"/>
      <c r="J32" s="311"/>
      <c r="K32" s="311"/>
      <c r="L32" s="311"/>
      <c r="M32" s="311"/>
      <c r="N32" s="311"/>
      <c r="O32" s="311"/>
      <c r="P32" s="311"/>
      <c r="Q32" s="311"/>
      <c r="R32" s="311"/>
    </row>
    <row r="33" spans="7:18" s="327" customFormat="1">
      <c r="G33" s="311"/>
      <c r="H33" s="311"/>
      <c r="I33" s="311"/>
      <c r="J33" s="311"/>
      <c r="K33" s="311"/>
      <c r="L33" s="311"/>
      <c r="M33" s="311"/>
      <c r="N33" s="311"/>
      <c r="O33" s="311"/>
      <c r="P33" s="311"/>
      <c r="Q33" s="311"/>
      <c r="R33" s="311"/>
    </row>
    <row r="34" spans="7:18" s="327" customFormat="1">
      <c r="G34" s="311"/>
      <c r="H34" s="311"/>
      <c r="I34" s="311"/>
      <c r="J34" s="311"/>
      <c r="K34" s="311"/>
      <c r="L34" s="311"/>
      <c r="M34" s="311"/>
      <c r="N34" s="311"/>
      <c r="O34" s="311"/>
      <c r="P34" s="311"/>
      <c r="Q34" s="311"/>
      <c r="R34" s="311"/>
    </row>
    <row r="35" spans="7:18" s="327" customFormat="1">
      <c r="G35" s="311"/>
      <c r="H35" s="311"/>
      <c r="I35" s="311"/>
      <c r="J35" s="311"/>
      <c r="K35" s="311"/>
      <c r="L35" s="311"/>
      <c r="M35" s="311"/>
      <c r="N35" s="311"/>
      <c r="O35" s="311"/>
      <c r="P35" s="311"/>
      <c r="Q35" s="311"/>
      <c r="R35" s="311"/>
    </row>
    <row r="36" spans="7:18" s="327" customFormat="1">
      <c r="G36" s="311"/>
      <c r="H36" s="311"/>
      <c r="I36" s="311"/>
      <c r="J36" s="311"/>
      <c r="K36" s="311"/>
      <c r="L36" s="311"/>
      <c r="M36" s="311"/>
      <c r="N36" s="311"/>
      <c r="O36" s="311"/>
      <c r="P36" s="311"/>
      <c r="Q36" s="311"/>
      <c r="R36" s="311"/>
    </row>
    <row r="37" spans="7:18" s="327"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row r="41" spans="7:18" s="327" customFormat="1">
      <c r="G41" s="311"/>
      <c r="H41" s="311"/>
      <c r="I41" s="311"/>
      <c r="J41" s="311"/>
      <c r="K41" s="311"/>
      <c r="L41" s="311"/>
      <c r="M41" s="311"/>
      <c r="N41" s="311"/>
      <c r="O41" s="311"/>
      <c r="P41" s="311"/>
      <c r="Q41" s="311"/>
      <c r="R41" s="311"/>
    </row>
    <row r="42" spans="7:18" s="327" customFormat="1">
      <c r="G42" s="311"/>
      <c r="H42" s="311"/>
      <c r="I42" s="311"/>
      <c r="J42" s="311"/>
      <c r="K42" s="311"/>
      <c r="L42" s="311"/>
      <c r="M42" s="311"/>
      <c r="N42" s="311"/>
      <c r="O42" s="311"/>
      <c r="P42" s="311"/>
      <c r="Q42" s="311"/>
      <c r="R42" s="311"/>
    </row>
    <row r="43" spans="7:18" s="327"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1136</v>
      </c>
    </row>
    <row r="2" spans="1:17" s="61" customFormat="1" ht="21">
      <c r="A2" s="60" t="s">
        <v>1562</v>
      </c>
    </row>
    <row r="3" spans="1:17">
      <c r="A3" s="62" t="s">
        <v>2331</v>
      </c>
      <c r="B3" s="63" t="s">
        <v>2332</v>
      </c>
    </row>
    <row r="4" spans="1:17">
      <c r="A4" s="63" t="s">
        <v>1403</v>
      </c>
      <c r="B4" s="63" t="s">
        <v>1564</v>
      </c>
    </row>
    <row r="5" spans="1:17">
      <c r="A5" s="62" t="s">
        <v>2333</v>
      </c>
      <c r="B5" s="63" t="s">
        <v>2334</v>
      </c>
    </row>
    <row r="6" spans="1:17">
      <c r="A6" s="63" t="s">
        <v>1407</v>
      </c>
      <c r="B6" s="63" t="s">
        <v>1566</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sheetData>
  <phoneticPr fontId="62" type="noConversion"/>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295" customWidth="1"/>
    <col min="5" max="24" width="4.33203125" style="295" customWidth="1"/>
  </cols>
  <sheetData>
    <row r="1" spans="1:24" ht="31.8">
      <c r="A1" t="s">
        <v>1232</v>
      </c>
      <c r="C1" t="s">
        <v>2335</v>
      </c>
      <c r="E1" s="296" t="s">
        <v>1329</v>
      </c>
      <c r="F1" s="296" t="s">
        <v>1328</v>
      </c>
      <c r="G1" s="296" t="s">
        <v>1332</v>
      </c>
      <c r="H1" s="296" t="s">
        <v>1330</v>
      </c>
      <c r="I1" s="296" t="s">
        <v>1333</v>
      </c>
      <c r="J1" s="296" t="s">
        <v>1331</v>
      </c>
      <c r="K1" s="296" t="s">
        <v>1336</v>
      </c>
      <c r="L1" s="296" t="s">
        <v>1335</v>
      </c>
      <c r="M1" s="296" t="s">
        <v>1334</v>
      </c>
      <c r="N1" s="296" t="s">
        <v>1337</v>
      </c>
      <c r="O1" s="296" t="s">
        <v>1338</v>
      </c>
      <c r="P1" s="296" t="s">
        <v>1341</v>
      </c>
      <c r="Q1" s="296" t="s">
        <v>1339</v>
      </c>
      <c r="R1" s="296" t="s">
        <v>1340</v>
      </c>
      <c r="S1" s="296" t="s">
        <v>1342</v>
      </c>
      <c r="T1" s="296" t="s">
        <v>1344</v>
      </c>
      <c r="U1" s="296" t="s">
        <v>1343</v>
      </c>
      <c r="V1" s="296" t="s">
        <v>1345</v>
      </c>
      <c r="W1" s="296" t="s">
        <v>1326</v>
      </c>
      <c r="X1" s="296" t="s">
        <v>1327</v>
      </c>
    </row>
    <row r="2" spans="1:24">
      <c r="A2" t="s">
        <v>2336</v>
      </c>
      <c r="B2" s="297"/>
      <c r="C2" s="297"/>
    </row>
    <row r="3" spans="1:24">
      <c r="A3" t="s">
        <v>2337</v>
      </c>
      <c r="B3" s="297"/>
    </row>
    <row r="4" spans="1:24">
      <c r="A4" t="s">
        <v>2338</v>
      </c>
      <c r="B4" s="297"/>
    </row>
    <row r="5" spans="1:24">
      <c r="B5" s="297"/>
    </row>
    <row r="6" spans="1:24">
      <c r="A6" t="s">
        <v>2339</v>
      </c>
      <c r="B6" s="297"/>
      <c r="C6" s="297"/>
    </row>
    <row r="7" spans="1:24">
      <c r="B7" s="297"/>
    </row>
    <row r="8" spans="1:24">
      <c r="A8" t="s">
        <v>2340</v>
      </c>
      <c r="B8" s="297"/>
      <c r="D8" s="295">
        <f>COUNTIF(E8:Y8,"x")</f>
        <v>0</v>
      </c>
    </row>
    <row r="9" spans="1:24">
      <c r="A9" t="s">
        <v>2340</v>
      </c>
      <c r="B9" s="297"/>
      <c r="D9" s="295">
        <f t="shared" ref="D9:D14" si="0">COUNTIF(E9:Y9,"x")</f>
        <v>0</v>
      </c>
    </row>
    <row r="10" spans="1:24">
      <c r="A10" t="s">
        <v>2340</v>
      </c>
      <c r="B10" s="297"/>
      <c r="D10" s="295">
        <f t="shared" si="0"/>
        <v>0</v>
      </c>
    </row>
    <row r="11" spans="1:24">
      <c r="A11" t="s">
        <v>2340</v>
      </c>
      <c r="B11" s="297"/>
      <c r="D11" s="295">
        <f t="shared" si="0"/>
        <v>0</v>
      </c>
    </row>
    <row r="12" spans="1:24">
      <c r="A12" t="s">
        <v>2340</v>
      </c>
      <c r="B12" s="297"/>
      <c r="D12" s="295">
        <f t="shared" si="0"/>
        <v>0</v>
      </c>
    </row>
    <row r="13" spans="1:24">
      <c r="A13" t="s">
        <v>2340</v>
      </c>
      <c r="B13" s="297"/>
      <c r="D13" s="295">
        <f t="shared" si="0"/>
        <v>0</v>
      </c>
    </row>
    <row r="14" spans="1:24">
      <c r="A14" t="s">
        <v>2340</v>
      </c>
      <c r="B14" s="297"/>
      <c r="D14" s="295">
        <f t="shared" si="0"/>
        <v>0</v>
      </c>
    </row>
    <row r="15" spans="1:24">
      <c r="B15" s="297"/>
      <c r="E15" s="295">
        <f t="shared" ref="E15:X15" si="1">COUNTIF(E6:E14,"x")</f>
        <v>0</v>
      </c>
      <c r="F15" s="295">
        <f t="shared" si="1"/>
        <v>0</v>
      </c>
      <c r="G15" s="295">
        <f t="shared" si="1"/>
        <v>0</v>
      </c>
      <c r="H15" s="295">
        <f t="shared" si="1"/>
        <v>0</v>
      </c>
      <c r="I15" s="295">
        <f t="shared" si="1"/>
        <v>0</v>
      </c>
      <c r="J15" s="295">
        <f t="shared" si="1"/>
        <v>0</v>
      </c>
      <c r="K15" s="295">
        <f t="shared" si="1"/>
        <v>0</v>
      </c>
      <c r="L15" s="295">
        <f t="shared" si="1"/>
        <v>0</v>
      </c>
      <c r="M15" s="295">
        <f t="shared" si="1"/>
        <v>0</v>
      </c>
      <c r="N15" s="295">
        <f t="shared" si="1"/>
        <v>0</v>
      </c>
      <c r="O15" s="295">
        <f t="shared" si="1"/>
        <v>0</v>
      </c>
      <c r="P15" s="295">
        <f t="shared" si="1"/>
        <v>0</v>
      </c>
      <c r="Q15" s="295">
        <f t="shared" si="1"/>
        <v>0</v>
      </c>
      <c r="R15" s="295">
        <f t="shared" si="1"/>
        <v>0</v>
      </c>
      <c r="S15" s="295">
        <f t="shared" si="1"/>
        <v>0</v>
      </c>
      <c r="T15" s="295">
        <f t="shared" si="1"/>
        <v>0</v>
      </c>
      <c r="U15" s="295">
        <f t="shared" si="1"/>
        <v>0</v>
      </c>
      <c r="V15" s="295">
        <f t="shared" si="1"/>
        <v>0</v>
      </c>
      <c r="W15" s="295">
        <f t="shared" si="1"/>
        <v>0</v>
      </c>
      <c r="X15" s="295">
        <f t="shared" si="1"/>
        <v>0</v>
      </c>
    </row>
    <row r="17" spans="3:3">
      <c r="C17" s="298" t="s">
        <v>2341</v>
      </c>
    </row>
    <row r="18" spans="3:3">
      <c r="C18" s="299" t="s">
        <v>2342</v>
      </c>
    </row>
    <row r="19" spans="3:3">
      <c r="C19" s="300" t="s">
        <v>2343</v>
      </c>
    </row>
    <row r="20" spans="3:3">
      <c r="C20" s="301" t="s">
        <v>2344</v>
      </c>
    </row>
  </sheetData>
  <phoneticPr fontId="62" type="noConversion"/>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6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SharedWithUsers xmlns="ec500478-62e0-46fc-87f1-cfa988e486b4">
      <UserInfo>
        <DisplayName>Bianca Nell</DisplayName>
        <AccountId>21</AccountId>
        <AccountType/>
      </UserInfo>
      <UserInfo>
        <DisplayName>Melanie van Zyl</DisplayName>
        <AccountId>38</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ec500478-62e0-46fc-87f1-cfa988e486b4"/>
    <ds:schemaRef ds:uri="25bcabcf-d275-4206-9fb1-2f2d419cd22b"/>
  </ds:schemaRefs>
</ds:datastoreItem>
</file>

<file path=customXml/itemProps2.xml><?xml version="1.0" encoding="utf-8"?>
<ds:datastoreItem xmlns:ds="http://schemas.openxmlformats.org/officeDocument/2006/customXml" ds:itemID="{553FC024-6511-4643-B412-EFEF8FAA3778}"/>
</file>

<file path=customXml/itemProps3.xml><?xml version="1.0" encoding="utf-8"?>
<ds:datastoreItem xmlns:ds="http://schemas.openxmlformats.org/officeDocument/2006/customXml" ds:itemID="{50C3019A-A66F-442E-9D7D-BA1B50D450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12</vt:i4>
      </vt:variant>
    </vt:vector>
  </HeadingPairs>
  <TitlesOfParts>
    <vt:vector size="66"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CAR</vt:lpstr>
      <vt:lpstr>CM</vt:lpstr>
      <vt:lpstr>DAR</vt:lpstr>
      <vt:lpstr>EST</vt:lpstr>
      <vt:lpstr>GOV</vt:lpstr>
      <vt:lpstr>II</vt:lpstr>
      <vt:lpstr>MPM</vt:lpstr>
      <vt:lpstr>MC</vt:lpstr>
      <vt:lpstr>OT</vt:lpstr>
      <vt:lpstr>PR</vt:lpstr>
      <vt:lpstr>PLAN</vt:lpstr>
      <vt:lpstr>PQA</vt:lpstr>
      <vt:lpstr>PAD</vt:lpstr>
      <vt:lpstr>PCM</vt:lpstr>
      <vt:lpstr>RSK</vt:lpstr>
      <vt:lpstr>RDM</vt:lpstr>
      <vt:lpstr>PI</vt:lpstr>
      <vt:lpstr>TS</vt:lpstr>
      <vt:lpstr>VV</vt:lpstr>
      <vt:lpstr>SAM</vt:lpstr>
      <vt:lpstr>Template2</vt:lpstr>
      <vt:lpstr>ATM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2024-04-25T13:30:48Z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