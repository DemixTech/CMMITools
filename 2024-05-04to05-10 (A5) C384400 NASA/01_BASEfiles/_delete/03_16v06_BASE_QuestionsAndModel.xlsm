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31E7860B-FCD5-4EE2-9B33-D4568A785DC4}" xr6:coauthVersionLast="47" xr6:coauthVersionMax="47" xr10:uidLastSave="{00000000-0000-0000-0000-000000000000}"/>
  <bookViews>
    <workbookView xWindow="-108" yWindow="-108" windowWidth="23256" windowHeight="1245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<sst xmlns="http://schemas.openxmlformats.org/spreadsheetml/2006/main" count="4295" uniqueCount="2086">
  <si>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</si>
  <si>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</si>
  <si>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</si>
  <si>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</si>
  <si>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</si>
  <si>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</si>
  <si>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</si>
  <si>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</si>
  <si>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</si>
  <si>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</si>
  <si>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</si>
  <si>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</si>
  <si>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</si>
  <si>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</si>
  <si>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</si>
  <si>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</si>
  <si>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</si>
  <si>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</si>
  <si>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</si>
  <si>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</si>
  <si>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</si>
  <si>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</si>
  <si>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</si>
  <si>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</si>
  <si>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</si>
  <si>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</si>
  <si>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</si>
  <si>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</si>
  <si>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</si>
  <si>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</si>
  <si>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</si>
  <si>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</si>
  <si>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</si>
  <si>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</si>
  <si>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</si>
  <si>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</si>
  <si>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</si>
  <si>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</si>
  <si>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</si>
  <si>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</si>
  <si>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</si>
  <si>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</si>
  <si>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</si>
  <si>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</si>
  <si>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</si>
  <si>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</si>
  <si>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</si>
  <si>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</si>
  <si>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</si>
  <si>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</si>
  <si>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</si>
  <si>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</si>
  <si>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</si>
  <si>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</si>
  <si>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</si>
  <si>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</si>
  <si>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</si>
  <si>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</si>
  <si>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</si>
  <si>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</si>
  <si>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</si>
  <si>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</si>
  <si>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</si>
  <si>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</si>
  <si>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</si>
  <si>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</si>
  <si>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</si>
  <si>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</si>
  <si>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</si>
  <si>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</si>
  <si>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</si>
  <si>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</si>
  <si>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</si>
  <si>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</si>
  <si>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</si>
  <si>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</si>
  <si>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</si>
  <si>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</si>
  <si>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</si>
  <si>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</si>
  <si>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</si>
  <si>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</si>
  <si>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</si>
  <si>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</si>
  <si>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</si>
  <si>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</si>
  <si>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</si>
  <si>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</si>
  <si>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</si>
  <si>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</si>
  <si>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</si>
  <si>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</si>
  <si>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</si>
  <si>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</si>
  <si>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</si>
  <si>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</si>
  <si>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</si>
  <si>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</si>
  <si>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</si>
  <si>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</si>
  <si>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</si>
  <si>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</si>
  <si>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</si>
  <si>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</si>
  <si>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</si>
  <si>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</si>
  <si>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</si>
  <si>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</si>
  <si>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</si>
  <si>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</si>
  <si>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</si>
  <si>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</si>
  <si>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</si>
  <si>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</si>
  <si>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</si>
  <si>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</si>
  <si>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</si>
  <si>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</si>
  <si>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</si>
  <si>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</si>
  <si>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</si>
  <si>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</si>
  <si>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</si>
  <si>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</si>
  <si>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</si>
  <si>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</si>
  <si>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</si>
  <si>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</si>
  <si>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</si>
  <si>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</si>
  <si>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</si>
  <si>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</si>
  <si>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</si>
  <si>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</si>
  <si>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</si>
  <si>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</si>
  <si>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</si>
  <si>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</si>
  <si>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</si>
  <si>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</si>
  <si>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</si>
  <si>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</si>
  <si>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</si>
  <si>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</si>
  <si>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</si>
  <si>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</si>
  <si>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</si>
  <si>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</si>
  <si>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</si>
  <si>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</si>
  <si>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</si>
  <si>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</si>
  <si>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</si>
  <si>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</si>
  <si>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</si>
  <si>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</si>
  <si>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</si>
  <si>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</si>
  <si>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</si>
  <si>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</si>
  <si>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</si>
  <si>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</si>
  <si>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</si>
  <si>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</si>
  <si>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</si>
  <si>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</si>
  <si>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</si>
  <si>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</si>
  <si>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</si>
  <si>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</si>
  <si>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</si>
  <si>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</si>
  <si>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</si>
  <si>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</si>
  <si>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</si>
  <si>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</si>
  <si>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</si>
  <si>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</si>
  <si>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</si>
  <si>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</si>
  <si>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</si>
  <si>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</si>
  <si>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</si>
  <si>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</si>
  <si>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</si>
  <si>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</si>
  <si>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</si>
  <si>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</si>
  <si>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</si>
  <si>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</si>
  <si>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</si>
  <si>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</si>
  <si>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</si>
  <si>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</si>
  <si>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</si>
  <si>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</si>
  <si>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</si>
  <si>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</si>
  <si>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</si>
  <si>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</si>
  <si>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</si>
  <si>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</si>
  <si>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</si>
  <si>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</si>
  <si>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</si>
  <si>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</si>
  <si>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</si>
  <si>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</si>
  <si>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</si>
  <si>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</si>
  <si>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</si>
  <si>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</si>
  <si>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</si>
  <si>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</si>
  <si>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</si>
  <si>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</si>
  <si>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</si>
  <si>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</si>
  <si>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</si>
  <si>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</si>
  <si>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</si>
  <si>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</si>
  <si>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</si>
  <si>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</si>
  <si>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</si>
  <si>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</si>
  <si>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</si>
  <si>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</si>
  <si>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</si>
  <si>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</si>
  <si>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</si>
  <si>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</si>
  <si>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</si>
  <si>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</si>
  <si>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</si>
  <si>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</si>
  <si>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</si>
  <si>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</si>
  <si>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</si>
  <si>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</si>
  <si>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</si>
  <si>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</si>
  <si>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</si>
  <si>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</si>
  <si>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</si>
  <si>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</si>
  <si>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</si>
  <si>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 How are process assets made available for use in the organisation?
如何在组织中使用过程资产？</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</si>
  <si>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</si>
  <si>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</si>
  <si>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</si>
  <si>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</si>
  <si>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</si>
  <si>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</si>
  <si>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</si>
  <si>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</si>
  <si>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</si>
  <si>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</si>
  <si>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</si>
  <si>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</si>
  <si>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</si>
  <si>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</si>
  <si>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</si>
  <si>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</si>
  <si>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 How are organisational standard processes and process assets deployed?
组织标准过程和过程资产如何部署？</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</si>
  <si>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</si>
  <si>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</si>
  <si>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</si>
  <si>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</si>
  <si>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</si>
  <si>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</si>
  <si>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</si>
  <si>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</si>
  <si>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</si>
  <si>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</si>
  <si>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</si>
  <si>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</si>
  <si>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</si>
  <si>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</si>
  <si>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</si>
  <si>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</si>
  <si>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</si>
  <si>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</si>
  <si>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</si>
  <si>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</si>
  <si>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</si>
  <si>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</si>
  <si>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</si>
  <si>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</si>
  <si>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</si>
  <si>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</si>
  <si>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</si>
  <si>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</si>
  <si>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</si>
  <si>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</si>
  <si>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</si>
  <si>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 How do you assess the effectiveness of the organisation training program?
如何评估组织培训计划的有效性？</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</si>
  <si>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</si>
  <si>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</si>
  <si>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</si>
  <si>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</si>
  <si>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</si>
  <si>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</si>
  <si>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</si>
  <si>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</si>
  <si>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</si>
  <si>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</si>
  <si>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</si>
  <si>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</si>
  <si>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</si>
  <si>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</si>
  <si>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</si>
  <si>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</si>
  <si>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</si>
  <si>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</si>
  <si>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</si>
  <si>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</si>
  <si>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</si>
  <si>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</si>
  <si>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</si>
  <si>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</si>
  <si>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</si>
  <si>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</si>
  <si>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</si>
  <si>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</si>
  <si>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</si>
  <si>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</si>
  <si>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</si>
  <si>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</si>
  <si>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</si>
  <si>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</si>
  <si>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</si>
  <si>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</si>
  <si>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</si>
  <si>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</si>
  <si>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</si>
  <si>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</si>
  <si>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</si>
  <si>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</si>
  <si>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</si>
  <si>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</si>
  <si>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</si>
  <si>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</si>
  <si>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</si>
  <si>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</si>
  <si>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</si>
  <si>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</si>
  <si>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</si>
  <si>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</si>
  <si>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</si>
  <si>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</si>
  <si>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</si>
  <si>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</si>
  <si>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</si>
  <si>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</si>
  <si>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</si>
  <si>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</si>
  <si>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</si>
  <si>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</si>
  <si>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</si>
  <si>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</si>
  <si>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</si>
  <si>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</si>
  <si>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</si>
  <si>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</si>
  <si>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</si>
  <si>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</si>
  <si>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</si>
  <si>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</si>
  <si>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</si>
  <si>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</si>
  <si>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</si>
  <si>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</si>
  <si>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</si>
  <si>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</si>
  <si>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</si>
  <si>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</si>
  <si>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</si>
  <si>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</si>
  <si>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</si>
  <si>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</si>
  <si>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</si>
  <si>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</si>
  <si>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</si>
  <si>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</si>
  <si>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</si>
  <si>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</si>
  <si>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</si>
  <si>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</si>
  <si>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</si>
  <si>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</si>
  <si>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</si>
  <si>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</si>
  <si>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</si>
  <si>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</si>
  <si>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</si>
  <si>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</si>
  <si>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</si>
  <si>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</si>
  <si>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</si>
  <si>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</si>
  <si>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</si>
  <si>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</si>
  <si>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</si>
  <si>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</si>
  <si>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</si>
  <si>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</si>
  <si>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</si>
  <si>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</si>
  <si>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</si>
  <si>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</si>
  <si>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</si>
  <si>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</si>
  <si>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</si>
  <si>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</si>
  <si>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</si>
  <si>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</si>
  <si>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</si>
  <si>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</si>
  <si>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</si>
  <si>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</si>
  <si>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</si>
  <si>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</si>
  <si>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</si>
  <si>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</si>
  <si>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</si>
  <si>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</si>
  <si>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</si>
  <si>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</si>
  <si>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</si>
  <si>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</si>
  <si>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</si>
  <si>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</si>
  <si>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</si>
  <si>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</si>
  <si>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</si>
  <si>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</si>
  <si>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</si>
  <si>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</si>
  <si>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</si>
  <si>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</si>
  <si>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</si>
  <si>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</si>
  <si>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</si>
  <si>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</si>
  <si>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</si>
  <si>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</si>
  <si>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</si>
  <si>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</si>
  <si>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</si>
  <si>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</si>
  <si>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</si>
  <si>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</si>
  <si>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</si>
  <si>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</si>
  <si>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</si>
  <si>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</si>
  <si>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</si>
  <si>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</si>
  <si>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</si>
  <si>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</si>
  <si>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</si>
  <si>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</si>
  <si>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</si>
  <si>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</si>
  <si>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</si>
  <si>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</si>
  <si>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</si>
  <si>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</si>
  <si>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</si>
  <si>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</si>
  <si>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</si>
  <si>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</si>
  <si>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</si>
  <si>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</si>
  <si>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</si>
  <si>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</si>
  <si>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</si>
  <si>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</si>
  <si>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</si>
  <si>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Up to date organisational measurement repository</t>
  </si>
  <si>
    <t>- Process improvements based on measurement analysis reports</t>
  </si>
  <si>
    <t>- Organisational performance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</si>
  <si>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</si>
  <si>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</si>
  <si>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</si>
  <si>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</si>
  <si>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</si>
  <si>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</si>
  <si>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</si>
  <si>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</si>
  <si>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</si>
  <si>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</si>
  <si>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Organisational process for developing new and maintaining existing processes</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</si>
  <si>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</si>
  <si>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</si>
  <si>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</si>
  <si>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</si>
  <si>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</si>
  <si>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</si>
  <si>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</si>
  <si>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</si>
  <si>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</si>
  <si>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</si>
  <si>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</si>
  <si>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</si>
  <si>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</si>
  <si>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</si>
  <si>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</si>
  <si>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</si>
  <si>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</si>
  <si>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</si>
  <si>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</si>
  <si>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</si>
  <si>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</si>
  <si>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</si>
  <si>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</si>
  <si>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Organisational measurement repository</t>
  </si>
  <si>
    <t>- Use the organisation measurement repository (historical data) as input into the estimation algorithm to derive new estimates for the current work package</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</si>
  <si>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</si>
  <si>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</si>
  <si>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</si>
  <si>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</si>
  <si>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</si>
  <si>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</si>
  <si>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</si>
  <si>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</si>
  <si>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</si>
  <si>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</si>
  <si>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</si>
  <si>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</si>
  <si>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</si>
  <si>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</si>
  <si>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</si>
  <si>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</si>
  <si>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</si>
  <si>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</si>
  <si>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</si>
  <si>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Comparing process performance baselines before and after the root cause action proposal has been implemented on the process across the organisation.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</si>
  <si>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</si>
  <si>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</si>
  <si>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</si>
  <si>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</si>
  <si>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</si>
  <si>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</si>
  <si>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</si>
  <si>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</si>
  <si>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</si>
  <si>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</si>
  <si>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</si>
  <si>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</si>
  <si>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</si>
  <si>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</si>
  <si>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</si>
  <si>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Updated organisation measurement repository</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</si>
  <si>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</si>
  <si>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</si>
  <si>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</si>
  <si>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</si>
  <si>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</si>
  <si>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</si>
  <si>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</si>
  <si>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</si>
  <si>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</si>
  <si>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</si>
  <si>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</si>
  <si>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</si>
  <si>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</si>
  <si>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</si>
  <si>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</si>
  <si>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</si>
  <si>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</si>
  <si>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</si>
  <si>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</si>
  <si>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</si>
  <si>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</si>
  <si>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</si>
  <si>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</si>
  <si>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</si>
  <si>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</si>
  <si>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</si>
  <si>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</si>
  <si>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</si>
  <si>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</si>
  <si>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</si>
  <si>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</si>
  <si>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</si>
  <si>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</si>
  <si>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</si>
  <si>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</si>
  <si>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</si>
  <si>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</si>
  <si>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</si>
  <si>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</si>
  <si>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</si>
  <si>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</si>
  <si>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</si>
  <si>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</si>
  <si>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</si>
  <si>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</si>
  <si>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</si>
  <si>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</si>
  <si>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</si>
  <si>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</si>
  <si>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</si>
  <si>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</si>
  <si>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</si>
  <si>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</si>
  <si>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</si>
  <si>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</si>
  <si>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</si>
  <si>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</si>
  <si>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</si>
  <si>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</si>
  <si>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</si>
  <si>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</si>
  <si>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</si>
  <si>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</si>
  <si>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</si>
  <si>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</si>
  <si>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</si>
  <si>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</si>
  <si>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</si>
  <si>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</si>
  <si>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</si>
  <si>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</si>
  <si>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</si>
  <si>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</si>
  <si>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</si>
  <si>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</si>
  <si>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</si>
  <si>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</si>
  <si>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</si>
  <si>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</si>
  <si>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</si>
  <si>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</si>
  <si>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</si>
  <si>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</si>
  <si>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</si>
  <si>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</si>
  <si>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</si>
  <si>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</si>
  <si>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</si>
  <si>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</si>
  <si>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</si>
  <si>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</si>
  <si>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</si>
  <si>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</si>
  <si>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</si>
  <si>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</si>
  <si>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</si>
  <si>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</si>
  <si>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</si>
  <si>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</si>
  <si>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</si>
  <si>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</si>
  <si>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</si>
  <si>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</si>
  <si>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</si>
  <si>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</si>
  <si>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</si>
  <si>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</si>
  <si>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</si>
  <si>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</si>
  <si>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</si>
  <si>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</si>
  <si>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</si>
  <si>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</si>
  <si>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</si>
  <si>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</si>
  <si>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</si>
  <si>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</si>
  <si>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</si>
  <si>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</si>
  <si>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</si>
  <si>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</si>
  <si>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</si>
  <si>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</si>
  <si>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</si>
  <si>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</si>
  <si>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</si>
  <si>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</si>
  <si>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</si>
  <si>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</si>
  <si>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</si>
  <si>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</si>
  <si>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</si>
  <si>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</si>
  <si>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</si>
  <si>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</si>
  <si>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</si>
  <si>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</si>
  <si>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</si>
  <si>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</si>
  <si>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</si>
  <si>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</si>
  <si>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</si>
  <si>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</si>
  <si>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</si>
  <si>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</si>
  <si>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</si>
  <si>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</si>
  <si>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</si>
  <si>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</si>
  <si>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</si>
  <si>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</si>
  <si>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</si>
  <si>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</si>
  <si>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</si>
  <si>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</si>
  <si>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</si>
  <si>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</si>
  <si>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</si>
  <si>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</si>
  <si>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</si>
  <si>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</si>
  <si>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</si>
  <si>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</si>
  <si>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</si>
  <si>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</si>
  <si>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</si>
  <si>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</si>
  <si>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</si>
  <si>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</si>
  <si>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</si>
  <si>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</si>
  <si>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</si>
  <si>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</si>
  <si>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</si>
  <si>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</si>
  <si>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</si>
  <si>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</si>
  <si>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</si>
  <si>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</si>
  <si>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</si>
  <si>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</si>
  <si>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</si>
  <si>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</si>
  <si>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</si>
  <si>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</si>
  <si>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</si>
  <si>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</si>
  <si>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</si>
  <si>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</si>
  <si>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</si>
  <si>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</si>
  <si>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</si>
  <si>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</si>
  <si>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</si>
  <si>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</si>
  <si>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</si>
  <si>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</si>
  <si>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</si>
  <si>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</si>
  <si>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</si>
  <si>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</si>
  <si>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</si>
  <si>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</si>
  <si>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</si>
  <si>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</si>
  <si>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</si>
  <si>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</si>
  <si>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</si>
  <si>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</si>
  <si>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</si>
  <si>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</si>
  <si>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</si>
  <si>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</si>
  <si>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</si>
  <si>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</si>
  <si>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</si>
  <si>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</si>
  <si>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</si>
  <si>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</si>
  <si>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</si>
  <si>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</si>
  <si>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</si>
  <si>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</si>
  <si>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</si>
  <si>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</si>
  <si>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</si>
  <si>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</si>
  <si>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</si>
  <si>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</si>
  <si>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</si>
  <si>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</si>
  <si>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</si>
  <si>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</si>
  <si>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</si>
  <si>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</si>
  <si>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</si>
  <si>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</si>
  <si>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</si>
  <si>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</si>
  <si>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</si>
  <si>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</si>
  <si>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</si>
  <si>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</si>
  <si>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</si>
  <si>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</si>
  <si>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</si>
  <si>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</si>
  <si>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</si>
  <si>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</si>
  <si>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</si>
  <si>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</si>
  <si>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</si>
  <si>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</si>
  <si>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</si>
  <si>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</si>
  <si>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</si>
  <si>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</si>
  <si>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</si>
  <si>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</si>
  <si>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</si>
  <si>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</si>
  <si>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</si>
  <si>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</si>
  <si>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</si>
  <si>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</si>
  <si>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</si>
  <si>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</si>
  <si>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</si>
  <si>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</si>
  <si>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</si>
  <si>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</si>
  <si>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</si>
  <si>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</si>
  <si>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</si>
  <si>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</si>
  <si>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</si>
  <si>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</si>
  <si>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</si>
  <si>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</si>
  <si>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</si>
  <si>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</si>
  <si>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</si>
  <si>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</si>
  <si>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</si>
  <si>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</si>
  <si>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</si>
  <si>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</si>
  <si>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</si>
  <si>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</si>
  <si>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</si>
  <si>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</si>
  <si>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</si>
  <si>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</si>
  <si>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</si>
  <si>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</si>
  <si>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</si>
  <si>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</si>
  <si>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</si>
  <si>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</si>
  <si>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</si>
  <si>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</si>
  <si>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</si>
  <si>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</si>
  <si>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</si>
  <si>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</si>
  <si>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</si>
  <si>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</si>
  <si>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</si>
  <si>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</si>
  <si>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</si>
  <si>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</si>
  <si>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</si>
  <si>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</si>
  <si>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</si>
  <si>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</si>
  <si>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</si>
  <si>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</si>
  <si>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</si>
  <si>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</si>
  <si>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</si>
  <si>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</si>
  <si>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</si>
  <si>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</si>
  <si>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</si>
  <si>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</si>
  <si>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</si>
  <si>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</si>
  <si>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</si>
  <si>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</si>
  <si>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</si>
  <si>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</si>
  <si>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</si>
  <si>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</si>
  <si>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</si>
  <si>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</si>
  <si>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</si>
  <si>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</si>
  <si>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</si>
  <si>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</si>
  <si>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</si>
  <si>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</si>
  <si>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</si>
  <si>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</si>
  <si>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</si>
  <si>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</si>
  <si>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</si>
  <si>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</si>
  <si>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</si>
  <si>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</si>
  <si>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</si>
  <si>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</si>
  <si>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</si>
  <si>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</si>
  <si>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</si>
  <si>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</si>
  <si>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</si>
  <si>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</si>
  <si>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</si>
  <si>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</si>
  <si>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</si>
  <si>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</si>
  <si>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</si>
  <si>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</si>
  <si>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</si>
  <si>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</si>
  <si>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</si>
  <si>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</si>
  <si>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</si>
  <si>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</si>
  <si>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</si>
  <si>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</si>
  <si>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</si>
  <si>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</si>
  <si>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</si>
  <si>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</si>
  <si>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</si>
  <si>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</si>
  <si>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</si>
  <si>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</si>
  <si>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</si>
  <si>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</si>
  <si>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</si>
  <si>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</si>
  <si>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</si>
  <si>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</si>
  <si>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</si>
  <si>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</si>
  <si>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</si>
  <si>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</si>
  <si>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</si>
  <si>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</si>
  <si>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</si>
  <si>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</si>
  <si>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</si>
  <si>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</si>
  <si>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</si>
  <si>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</si>
  <si>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</si>
  <si>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</si>
  <si>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</si>
  <si>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</si>
  <si>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</si>
  <si>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</si>
  <si>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</si>
  <si>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</si>
  <si>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</si>
  <si>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</si>
  <si>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</si>
  <si>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</si>
  <si>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</si>
  <si>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</si>
  <si>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</si>
  <si>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</si>
  <si>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</si>
  <si>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</si>
  <si>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</si>
  <si>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</si>
  <si>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</si>
  <si>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</si>
  <si>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</si>
  <si>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</si>
  <si>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</si>
  <si>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</si>
  <si>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</si>
  <si>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</si>
  <si>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</si>
  <si>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</si>
  <si>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</si>
  <si>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</si>
  <si>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</si>
  <si>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</si>
  <si>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</si>
  <si>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</si>
  <si>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</si>
  <si>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</si>
  <si>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</si>
  <si>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</si>
  <si>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</si>
  <si>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</si>
  <si>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</si>
  <si>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</si>
  <si>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</si>
  <si>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</si>
  <si>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</si>
  <si>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</si>
  <si>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</si>
  <si>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</si>
  <si>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</si>
  <si>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</si>
  <si>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</si>
  <si>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</si>
  <si>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</si>
  <si>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</si>
  <si>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</si>
  <si>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</si>
  <si>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</si>
  <si>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</si>
  <si>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</si>
  <si>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</si>
  <si>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</si>
  <si>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</si>
  <si>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</si>
  <si>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</si>
  <si>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</si>
  <si>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</si>
  <si>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</si>
  <si>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</si>
  <si>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</si>
  <si>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</si>
  <si>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</si>
  <si>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</si>
  <si>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</si>
  <si>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</si>
  <si>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</si>
  <si>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</si>
  <si>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</si>
  <si>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</si>
  <si>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</si>
  <si>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</si>
  <si>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</si>
  <si>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</si>
  <si>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</si>
  <si>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</si>
  <si>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</si>
  <si>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</si>
  <si>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</si>
  <si>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</si>
  <si>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</si>
  <si>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</si>
  <si>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</si>
  <si>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</si>
  <si>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</si>
  <si>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</si>
  <si>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</si>
  <si>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</si>
  <si>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</si>
  <si>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</si>
  <si>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</si>
  <si>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</si>
  <si>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</si>
  <si>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</si>
  <si>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</si>
  <si>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</si>
  <si>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</si>
  <si>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</si>
  <si>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</si>
  <si>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</si>
  <si>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</si>
  <si>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</si>
  <si>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</si>
  <si>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</si>
  <si>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</si>
  <si>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</si>
  <si>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</si>
  <si>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</si>
  <si>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</si>
  <si>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</si>
  <si>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</si>
  <si>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</si>
  <si>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</si>
  <si>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</si>
  <si>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</si>
  <si>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</si>
  <si>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</si>
  <si>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</si>
  <si>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</si>
  <si>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</si>
  <si>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</si>
  <si>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</si>
  <si>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</si>
  <si>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</si>
  <si>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</si>
  <si>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</si>
  <si>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</si>
  <si>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</si>
  <si>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</si>
  <si>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</si>
  <si>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</si>
  <si>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</si>
  <si>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</si>
  <si>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</si>
  <si>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</si>
  <si>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</si>
  <si>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</si>
  <si>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</si>
  <si>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</si>
  <si>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</si>
  <si>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</si>
  <si>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</si>
  <si>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</si>
  <si>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</si>
  <si>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</si>
  <si>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</si>
  <si>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</si>
  <si>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</si>
  <si>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</si>
  <si>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</si>
  <si>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</si>
  <si>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</si>
  <si>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</si>
  <si>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</si>
  <si>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</si>
  <si>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</si>
  <si>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</si>
  <si>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</si>
  <si>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</si>
  <si>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</si>
  <si>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</si>
  <si>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</si>
  <si>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</si>
  <si>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</si>
  <si>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</si>
  <si>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</si>
  <si>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</si>
  <si>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</si>
  <si>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</si>
  <si>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</si>
  <si>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</si>
  <si>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</si>
  <si>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</si>
  <si>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</si>
  <si>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</si>
  <si>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</si>
  <si>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</si>
  <si>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</si>
  <si>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</si>
  <si>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</si>
  <si>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</si>
  <si>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</si>
  <si>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</si>
  <si>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</si>
  <si>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</si>
  <si>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</si>
  <si>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</si>
  <si>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</si>
  <si>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</si>
  <si>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</si>
  <si>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</si>
  <si>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</si>
  <si>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</si>
  <si>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</si>
  <si>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</si>
  <si>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</si>
  <si>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</si>
  <si>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</si>
  <si>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</si>
  <si>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</si>
  <si>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</si>
  <si>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</si>
  <si>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</si>
  <si>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</si>
  <si>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</si>
  <si>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</si>
  <si>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</si>
  <si>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</si>
  <si>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</si>
  <si>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</si>
  <si>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</si>
  <si>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</si>
  <si>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</si>
  <si>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</si>
  <si>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</si>
  <si>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</si>
  <si>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</si>
  <si>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</si>
  <si>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</si>
  <si>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</si>
  <si>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</si>
  <si>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</si>
  <si>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</si>
  <si>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</si>
  <si>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</si>
  <si>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</si>
  <si>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</si>
  <si>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</si>
  <si>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</si>
  <si>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</si>
  <si>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</si>
  <si>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</si>
  <si>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</si>
  <si>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</si>
  <si>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</si>
  <si>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</si>
  <si>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</si>
  <si>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</si>
  <si>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</si>
  <si>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</si>
  <si>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</si>
  <si>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</si>
  <si>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</si>
  <si>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</si>
  <si>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</si>
  <si>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</si>
  <si>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</si>
  <si>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</si>
  <si>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</si>
  <si>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</si>
  <si>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</si>
  <si>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</si>
  <si>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</si>
  <si>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</si>
  <si>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</si>
  <si>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</si>
  <si>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</si>
  <si>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</si>
  <si>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</si>
  <si>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</si>
  <si>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</si>
  <si>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</si>
  <si>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</si>
  <si>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</si>
  <si>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</si>
  <si>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</si>
  <si>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</si>
  <si>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</si>
  <si>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</si>
  <si>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</si>
  <si>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</si>
  <si>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</si>
  <si>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</si>
  <si>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</si>
  <si>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</si>
  <si>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</si>
  <si>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</si>
  <si>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</si>
  <si>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</si>
  <si>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</si>
  <si>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</si>
  <si>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</si>
  <si>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</si>
  <si>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</si>
  <si>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</si>
  <si>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</si>
  <si>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</si>
  <si>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</si>
  <si>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</si>
  <si>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</si>
  <si>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</si>
  <si>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</si>
  <si>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</si>
  <si>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</si>
  <si>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</si>
  <si>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</si>
  <si>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</si>
  <si>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</si>
  <si>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</si>
  <si>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</si>
  <si>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</si>
  <si>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</si>
  <si>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</si>
  <si>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</si>
  <si>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</si>
  <si>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</si>
  <si>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</si>
  <si>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</si>
  <si>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</si>
  <si>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</si>
  <si>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</si>
  <si>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</si>
  <si>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</si>
  <si>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</si>
  <si>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</si>
  <si>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</si>
  <si>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</si>
  <si>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</si>
  <si>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</si>
  <si>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</si>
  <si>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</si>
  <si>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</si>
  <si>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</si>
  <si>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</si>
  <si>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</si>
  <si>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</si>
  <si>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</si>
  <si>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</si>
  <si>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</si>
  <si>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</si>
  <si>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</si>
  <si>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</si>
  <si>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</si>
  <si>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</si>
  <si>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</si>
  <si>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</si>
  <si>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</si>
  <si>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</si>
  <si>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</si>
  <si>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</si>
  <si>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</si>
  <si>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</si>
  <si>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</si>
  <si>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</si>
  <si>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</si>
  <si>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</si>
  <si>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</si>
  <si>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</si>
  <si>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</si>
  <si>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</si>
  <si>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</si>
  <si>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</si>
  <si>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</si>
  <si>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</si>
  <si>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</si>
  <si>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</si>
  <si>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</si>
  <si>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</si>
  <si>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</si>
  <si>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</si>
  <si>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</si>
  <si>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</si>
  <si>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</si>
  <si>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</si>
  <si>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</si>
  <si>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</si>
  <si>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</si>
  <si>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</si>
  <si>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</si>
  <si>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</si>
  <si>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</si>
  <si>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</si>
  <si>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</si>
  <si>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</si>
  <si>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</si>
  <si>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</si>
  <si>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</si>
  <si>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</si>
  <si>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</si>
  <si>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</si>
  <si>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</si>
  <si>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</si>
  <si>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</si>
  <si>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</si>
  <si>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</si>
  <si>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</si>
  <si>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</si>
  <si>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</si>
  <si>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</si>
  <si>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</si>
  <si>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</si>
  <si>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</si>
  <si>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</si>
  <si>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</si>
  <si>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</si>
  <si>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</si>
  <si>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</si>
  <si>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</si>
  <si>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</si>
  <si>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</si>
  <si>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</si>
  <si>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</si>
  <si>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</si>
  <si>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</si>
  <si>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</si>
  <si>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</si>
  <si>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</si>
  <si>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</si>
  <si>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</si>
  <si>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</si>
  <si>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</si>
  <si>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</si>
  <si>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</si>
  <si>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</si>
  <si>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</si>
  <si>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</si>
  <si>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</si>
  <si>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</si>
  <si>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</si>
  <si>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</si>
  <si>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</si>
  <si>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</si>
  <si>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</si>
  <si>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</si>
  <si>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</si>
  <si>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</si>
  <si>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</si>
  <si>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</si>
  <si>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</si>
  <si>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</si>
  <si>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</si>
  <si>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</si>
  <si>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</si>
  <si>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</si>
  <si>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</si>
  <si>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</si>
  <si>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</si>
  <si>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</si>
  <si>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</si>
  <si>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</si>
  <si>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</si>
  <si>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</si>
  <si>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</si>
  <si>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</si>
  <si>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</si>
  <si>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</si>
  <si>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</si>
  <si>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</si>
  <si>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</si>
  <si>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</si>
  <si>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</si>
  <si>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</si>
  <si>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</si>
  <si>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</si>
  <si>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</si>
  <si>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</si>
  <si>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</si>
  <si>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</si>
  <si>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</si>
  <si>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</si>
  <si>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</si>
  <si>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</si>
  <si>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</si>
  <si>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</si>
  <si>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</si>
  <si>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</si>
  <si>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</si>
  <si>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</si>
  <si>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</si>
  <si>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</si>
  <si>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</si>
  <si>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</si>
  <si>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</si>
  <si>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</si>
  <si>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</si>
  <si>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</si>
  <si>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</si>
  <si>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</si>
  <si>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</si>
  <si>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</si>
  <si>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</si>
  <si>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</si>
  <si>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</si>
  <si>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</si>
  <si>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</si>
  <si>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</si>
  <si>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</si>
  <si>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</si>
  <si>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</si>
  <si>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</si>
  <si>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</si>
  <si>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</si>
  <si>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</si>
  <si>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</si>
  <si>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</si>
  <si>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</si>
  <si>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</si>
  <si>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</si>
  <si>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</si>
  <si>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</si>
  <si>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</si>
  <si>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</si>
  <si>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</si>
  <si>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</si>
  <si>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</si>
  <si>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</si>
  <si>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</si>
  <si>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</si>
  <si>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</si>
  <si>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</si>
  <si>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</si>
  <si>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</si>
  <si>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</si>
  <si>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</si>
  <si>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</si>
  <si>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</si>
  <si>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</si>
  <si>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</si>
  <si>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</si>
  <si>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</si>
  <si>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</si>
  <si>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</si>
  <si>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</si>
  <si>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</si>
  <si>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</si>
  <si>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</si>
  <si>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</si>
  <si>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</si>
  <si>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</si>
  <si>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</si>
  <si>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</si>
  <si>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</si>
  <si>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</si>
  <si>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</si>
  <si>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</si>
  <si>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</si>
  <si>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</si>
  <si>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</si>
  <si>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</si>
  <si>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</si>
  <si>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</si>
  <si>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</si>
  <si>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</si>
  <si>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</si>
  <si>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</si>
  <si>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</si>
  <si>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</si>
  <si>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</si>
  <si>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</si>
  <si>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</si>
  <si>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</si>
  <si>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</si>
  <si>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</si>
  <si>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</si>
  <si>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</si>
  <si>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</si>
  <si>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</si>
  <si>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</si>
  <si>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</si>
  <si>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</si>
  <si>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</si>
  <si>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</si>
  <si>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</si>
  <si>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</si>
  <si>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</si>
  <si>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</si>
  <si>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</si>
  <si>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</si>
  <si>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</si>
  <si>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</si>
  <si>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</si>
  <si>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</si>
  <si>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</si>
  <si>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</si>
  <si>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</si>
  <si>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</si>
  <si>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</si>
  <si>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</si>
  <si>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</si>
  <si>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</si>
  <si>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</si>
  <si>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</si>
  <si>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</si>
  <si>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</si>
  <si>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</si>
  <si>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</si>
  <si>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</si>
  <si>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</si>
  <si>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</si>
  <si>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</si>
  <si>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</si>
  <si>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</si>
  <si>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</si>
  <si>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</si>
  <si>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</si>
  <si>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</si>
  <si>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</si>
  <si>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</si>
  <si>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</si>
  <si>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</si>
  <si>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</si>
  <si>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</si>
  <si>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</si>
  <si>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</si>
  <si>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</si>
  <si>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</si>
  <si>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</si>
  <si>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</si>
  <si>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</si>
  <si>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</si>
  <si>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</si>
  <si>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</si>
  <si>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</si>
  <si>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</si>
  <si>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</si>
  <si>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</si>
  <si>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</si>
  <si>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</si>
  <si>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</si>
  <si>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</si>
  <si>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</si>
  <si>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</si>
  <si>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</si>
  <si>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</si>
  <si>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</si>
  <si>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</si>
  <si>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</si>
  <si>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</si>
  <si>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</si>
  <si>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</si>
  <si>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</si>
  <si>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</si>
  <si>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</si>
  <si>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</si>
  <si>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</si>
  <si>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</si>
  <si>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</si>
  <si>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</si>
  <si>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</si>
  <si>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</si>
  <si>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</si>
  <si>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</si>
  <si>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</si>
  <si>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</si>
  <si>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</si>
  <si>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</si>
  <si>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</si>
  <si>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</si>
  <si>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</si>
  <si>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</si>
  <si>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</si>
  <si>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</si>
  <si>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</si>
  <si>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</si>
  <si>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</si>
  <si>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</si>
  <si>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</si>
  <si>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</si>
  <si>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</si>
  <si>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</si>
  <si>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</si>
  <si>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</si>
  <si>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</si>
  <si>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</si>
  <si>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</si>
  <si>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</si>
  <si>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</si>
  <si>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</si>
  <si>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</si>
  <si>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</si>
  <si>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</si>
  <si>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</si>
  <si>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</si>
  <si>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</si>
  <si>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</si>
  <si>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</si>
  <si>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</si>
  <si>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</si>
  <si>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is training needs between projects (and support functions) coordinated with organisational training needs?
项目（和支持职能）之间的培训需求如何与组织培训需求相协调一致？</t>
  </si>
  <si>
    <t>- How do you execute the strategic and short term training plans?
如何执行战略和短期培训计划？</t>
  </si>
  <si>
    <t>- How do you establish and maintain a training capability for the organisation?
如何建立和维护组织的培训能力？</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</si>
  <si>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</si>
  <si>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</si>
  <si>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</si>
  <si>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</si>
  <si>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</si>
  <si>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make use of the organisational measurement repository to perform your estimates?
如何使用组织的度量库和过程资产进行估算工作</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</si>
  <si>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</si>
  <si>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</si>
  <si>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</si>
  <si>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</si>
  <si>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</si>
  <si>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</si>
  <si>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</si>
  <si>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</si>
  <si>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</si>
  <si>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</si>
  <si>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</si>
  <si>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</si>
  <si>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</si>
  <si>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</si>
  <si>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</si>
  <si>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</si>
  <si>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</si>
  <si>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</si>
  <si>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</si>
  <si>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</si>
  <si>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</si>
  <si>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</si>
  <si>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</si>
  <si>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</si>
  <si>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Tailor organisational process assets for a project
为项目裁剪组织过程资产</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</si>
  <si>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</si>
  <si>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</si>
  <si>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</si>
  <si>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</si>
  <si>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</si>
  <si>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</si>
  <si>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</si>
  <si>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</si>
  <si>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</si>
  <si>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</si>
  <si>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</si>
  <si>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</si>
  <si>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</si>
  <si>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</si>
  <si>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</si>
  <si>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</si>
  <si>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9"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</si>
  <si>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</si>
  <si>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</si>
  <si>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</si>
  <si>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</si>
  <si>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</si>
  <si>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</si>
  <si>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</si>
  <si>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</si>
  <si>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</si>
  <si>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</si>
  <si>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</si>
  <si>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</si>
  <si>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</si>
  <si>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</si>
  <si>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</si>
  <si>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</si>
  <si>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</si>
  <si>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9" type="noConversion"/>
  </si>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</sst>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8">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32" fillId="0" borderId="5" xfId="13" applyFont="1" applyBorder="1" applyAlignment="1">
      <alignment horizontal="center" vertical="center" wrapText="1"/>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0" fillId="0" borderId="0" xfId="0" applyFill="1"/>
    <xf numFmtId="0" fontId="7" fillId="0" borderId="0" xfId="0" applyFont="1" applyFill="1" applyAlignment="1"/>
    <xf numFmtId="0" fontId="0" fillId="0" borderId="0" xfId="0" applyFill="1" applyAlignment="1">
      <alignment wrapText="1"/>
    </xf>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6" fillId="4" borderId="1" xfId="2" applyFont="1" applyFill="1" applyBorder="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a:t>
              </a:r>
            </a:p>
            <a:p>
              <a:pPr algn="ctr" rtl="0">
                <a:defRPr sz="1000"/>
              </a:pPr>
              <a:r>
                <a:rPr lang="en-ZA" sz="1100" b="0" i="0" u="none" strike="noStrike" baseline="0">
                  <a:solidFill>
                    <a:srgbClr val="000000"/>
                  </a:solidFill>
                  <a:latin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a:t>
              </a:r>
            </a:p>
            <a:p>
              <a:pPr algn="ctr" rtl="0">
                <a:defRPr sz="1000"/>
              </a:pPr>
              <a:r>
                <a:rPr lang="en-ZA" sz="1100" b="0" i="0" u="none" strike="noStrike" baseline="0">
                  <a:solidFill>
                    <a:srgbClr val="000000"/>
                  </a:solidFill>
                  <a:latin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abSelected="1"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405</v>
      </c>
    </row>
    <row r="3" spans="2:13">
      <c r="B3" s="15" t="s">
        <v>1502</v>
      </c>
    </row>
    <row r="4" spans="2:13">
      <c r="B4" s="15"/>
    </row>
    <row r="5" spans="2:13">
      <c r="B5" s="310" t="s">
        <v>1501</v>
      </c>
      <c r="C5" s="301"/>
      <c r="D5" s="301"/>
      <c r="E5" s="301"/>
      <c r="F5" s="301"/>
      <c r="G5" s="301"/>
      <c r="H5" s="301"/>
      <c r="I5" s="301"/>
      <c r="J5" s="301"/>
      <c r="K5" s="301"/>
      <c r="L5" s="301"/>
      <c r="M5" s="301"/>
    </row>
    <row r="8" spans="2:13">
      <c r="H8" s="17"/>
      <c r="J8" s="17"/>
    </row>
    <row r="10" spans="2:13">
      <c r="B10" s="16" t="s">
        <v>397</v>
      </c>
      <c r="C10" s="16" t="s">
        <v>396</v>
      </c>
    </row>
    <row r="12" spans="2:13">
      <c r="D12" s="299" t="s">
        <v>1489</v>
      </c>
    </row>
    <row r="14" spans="2:13">
      <c r="D14" s="299" t="s">
        <v>1490</v>
      </c>
    </row>
    <row r="16" spans="2:13">
      <c r="D16" s="299" t="s">
        <v>1491</v>
      </c>
    </row>
    <row r="18" spans="4:6">
      <c r="D18" s="299" t="s">
        <v>1492</v>
      </c>
    </row>
    <row r="21" spans="4:6">
      <c r="D21" s="299" t="s">
        <v>1493</v>
      </c>
      <c r="F21" s="17"/>
    </row>
    <row r="23" spans="4:6">
      <c r="D23" s="299" t="s">
        <v>1499</v>
      </c>
    </row>
    <row r="25" spans="4:6">
      <c r="D25" s="299" t="s">
        <v>1494</v>
      </c>
    </row>
    <row r="27" spans="4:6">
      <c r="D27" s="299" t="s">
        <v>1495</v>
      </c>
    </row>
    <row r="29" spans="4:6">
      <c r="D29" s="299" t="s">
        <v>1496</v>
      </c>
    </row>
    <row r="30" spans="4:6">
      <c r="F30" s="17"/>
    </row>
    <row r="31" spans="4:6">
      <c r="D31" s="299" t="s">
        <v>1497</v>
      </c>
    </row>
    <row r="33" spans="2:13">
      <c r="D33" s="299" t="s">
        <v>1498</v>
      </c>
    </row>
    <row r="34" spans="2:13">
      <c r="G34" s="69"/>
    </row>
    <row r="36" spans="2:13">
      <c r="B36" s="68" t="s">
        <v>432</v>
      </c>
    </row>
    <row r="37" spans="2:13">
      <c r="B37" s="15" t="s">
        <v>430</v>
      </c>
    </row>
    <row r="38" spans="2:13">
      <c r="B38" s="15" t="s">
        <v>431</v>
      </c>
    </row>
    <row r="39" spans="2:13">
      <c r="B39" s="15" t="s">
        <v>2085</v>
      </c>
    </row>
    <row r="40" spans="2:13">
      <c r="B40" s="15" t="s">
        <v>413</v>
      </c>
    </row>
    <row r="41" spans="2:13">
      <c r="B41" s="300" t="s">
        <v>1500</v>
      </c>
      <c r="C41" s="301"/>
      <c r="D41" s="301"/>
      <c r="E41" s="301"/>
      <c r="F41" s="301"/>
      <c r="G41" s="301"/>
      <c r="H41" s="301"/>
      <c r="I41" s="301"/>
      <c r="J41" s="301"/>
      <c r="K41" s="301"/>
      <c r="L41" s="301"/>
      <c r="M41" s="301"/>
    </row>
    <row r="52" spans="4:4">
      <c r="D52" s="302"/>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8" customWidth="1"/>
    <col min="2" max="4" width="7.88671875" style="78" customWidth="1"/>
    <col min="5" max="13" width="15.6640625" style="78" customWidth="1"/>
    <col min="14" max="14" width="18" style="78" customWidth="1"/>
    <col min="15" max="15" width="82.88671875" style="78" customWidth="1"/>
    <col min="16" max="16" width="3.6640625" style="78" customWidth="1"/>
    <col min="17" max="17" width="25.6640625" style="78" customWidth="1"/>
    <col min="18" max="18" width="88.6640625" style="78" customWidth="1"/>
    <col min="19" max="20" width="20.6640625" style="78" customWidth="1"/>
    <col min="21" max="21" width="64.33203125" style="78" hidden="1" customWidth="1"/>
    <col min="22" max="16384" width="8.6640625" style="78"/>
  </cols>
  <sheetData>
    <row r="1" spans="1:27" ht="18">
      <c r="A1" s="73" t="s">
        <v>558</v>
      </c>
      <c r="B1" s="73"/>
      <c r="C1" s="73"/>
      <c r="D1" s="73"/>
      <c r="E1" s="74"/>
      <c r="F1" s="75"/>
      <c r="G1" s="76"/>
      <c r="H1" s="77"/>
      <c r="I1" s="77"/>
      <c r="J1" s="77"/>
      <c r="K1" s="77"/>
      <c r="L1" s="77"/>
      <c r="M1" s="77"/>
      <c r="N1" s="77"/>
      <c r="O1" s="77"/>
      <c r="P1" s="77"/>
      <c r="Q1" s="77"/>
    </row>
    <row r="2" spans="1:27">
      <c r="A2" s="79" t="s">
        <v>461</v>
      </c>
      <c r="B2" s="79"/>
      <c r="C2" s="79"/>
      <c r="D2" s="79"/>
      <c r="E2" s="75" t="s">
        <v>142</v>
      </c>
      <c r="F2" s="75"/>
      <c r="G2" s="76"/>
      <c r="H2" s="77"/>
      <c r="I2" s="77"/>
      <c r="J2" s="77"/>
      <c r="K2" s="77"/>
      <c r="L2" s="77"/>
      <c r="M2" s="77"/>
      <c r="N2" s="77"/>
      <c r="O2" s="77"/>
      <c r="P2" s="77"/>
      <c r="Q2" s="77"/>
    </row>
    <row r="3" spans="1:27">
      <c r="A3" s="75" t="s">
        <v>462</v>
      </c>
      <c r="B3" s="75"/>
      <c r="C3" s="75"/>
      <c r="D3" s="75"/>
      <c r="E3" s="75" t="s">
        <v>559</v>
      </c>
      <c r="F3" s="75"/>
      <c r="G3" s="76"/>
      <c r="H3" s="77"/>
      <c r="I3" s="77"/>
      <c r="J3" s="77"/>
      <c r="K3" s="77"/>
      <c r="L3" s="77"/>
      <c r="M3" s="77"/>
      <c r="N3" s="77"/>
      <c r="O3" s="77"/>
      <c r="P3" s="77"/>
      <c r="Q3" s="77"/>
    </row>
    <row r="4" spans="1:27">
      <c r="A4" s="80"/>
      <c r="B4" s="80"/>
      <c r="C4" s="80"/>
      <c r="D4" s="80"/>
      <c r="E4" s="81" t="s">
        <v>47</v>
      </c>
      <c r="F4" s="82" t="s">
        <v>54</v>
      </c>
      <c r="G4" s="82"/>
      <c r="H4" s="83"/>
      <c r="I4" s="84" t="s">
        <v>56</v>
      </c>
      <c r="J4" s="85"/>
      <c r="K4" s="85"/>
      <c r="L4" s="85"/>
      <c r="M4" s="84"/>
      <c r="N4" s="84"/>
      <c r="O4" s="75"/>
      <c r="P4" s="75"/>
      <c r="Q4" s="75"/>
      <c r="R4" s="75"/>
      <c r="S4" s="75"/>
      <c r="T4" s="79"/>
    </row>
    <row r="5" spans="1:27">
      <c r="A5" s="86"/>
      <c r="B5" s="86"/>
      <c r="C5" s="86"/>
      <c r="D5" s="86"/>
      <c r="E5" s="87" t="s">
        <v>560</v>
      </c>
      <c r="F5" s="88" t="s">
        <v>561</v>
      </c>
      <c r="G5" s="88"/>
      <c r="H5" s="83"/>
      <c r="I5" s="84" t="s">
        <v>562</v>
      </c>
      <c r="J5" s="85"/>
      <c r="K5" s="85"/>
      <c r="L5" s="85"/>
      <c r="M5" s="89"/>
      <c r="N5" s="89"/>
      <c r="O5" s="77"/>
      <c r="P5" s="77"/>
      <c r="Q5" s="77"/>
      <c r="R5" s="86"/>
      <c r="S5" s="75"/>
      <c r="T5" s="79"/>
      <c r="U5" s="86"/>
    </row>
    <row r="6" spans="1:27" s="96" customFormat="1">
      <c r="A6" s="90"/>
      <c r="B6" s="90"/>
      <c r="C6" s="90"/>
      <c r="D6" s="90"/>
      <c r="E6" s="3" t="s">
        <v>143</v>
      </c>
      <c r="F6" s="91" t="s">
        <v>145</v>
      </c>
      <c r="G6" s="91" t="s">
        <v>147</v>
      </c>
      <c r="H6" s="91" t="s">
        <v>148</v>
      </c>
      <c r="I6" s="92" t="s">
        <v>149</v>
      </c>
      <c r="J6" s="92" t="s">
        <v>150</v>
      </c>
      <c r="K6" s="92" t="s">
        <v>151</v>
      </c>
      <c r="L6" s="92" t="s">
        <v>152</v>
      </c>
      <c r="M6" s="92" t="s">
        <v>153</v>
      </c>
      <c r="N6" s="93" t="s">
        <v>154</v>
      </c>
      <c r="O6" s="94"/>
      <c r="P6" s="94"/>
      <c r="Q6" s="94"/>
      <c r="R6" s="95"/>
      <c r="S6" s="95"/>
      <c r="T6" s="95"/>
    </row>
    <row r="7" spans="1:27" s="96" customFormat="1" ht="69.900000000000006" customHeight="1">
      <c r="A7" s="97" t="s">
        <v>563</v>
      </c>
      <c r="B7" s="97"/>
      <c r="C7" s="97"/>
      <c r="D7" s="97"/>
      <c r="E7" s="98" t="s">
        <v>564</v>
      </c>
      <c r="F7" s="98" t="s">
        <v>565</v>
      </c>
      <c r="G7" s="98" t="s">
        <v>566</v>
      </c>
      <c r="H7" s="98" t="s">
        <v>567</v>
      </c>
      <c r="I7" s="98" t="s">
        <v>568</v>
      </c>
      <c r="J7" s="98" t="s">
        <v>569</v>
      </c>
      <c r="K7" s="98" t="s">
        <v>570</v>
      </c>
      <c r="L7" s="98" t="s">
        <v>571</v>
      </c>
      <c r="M7" s="98" t="s">
        <v>572</v>
      </c>
      <c r="N7" s="98" t="s">
        <v>573</v>
      </c>
      <c r="O7" s="94"/>
      <c r="P7" s="94"/>
      <c r="Q7" s="94"/>
    </row>
    <row r="8" spans="1:27" s="96" customFormat="1" ht="110.4" customHeight="1">
      <c r="A8" s="90" t="s">
        <v>574</v>
      </c>
      <c r="B8" s="90"/>
      <c r="C8" s="90"/>
      <c r="D8" s="90"/>
      <c r="E8" s="99" t="s">
        <v>575</v>
      </c>
      <c r="F8" s="99" t="s">
        <v>576</v>
      </c>
      <c r="G8" s="99" t="s">
        <v>577</v>
      </c>
      <c r="H8" s="99" t="s">
        <v>578</v>
      </c>
      <c r="I8" s="99" t="s">
        <v>579</v>
      </c>
      <c r="J8" s="99" t="s">
        <v>580</v>
      </c>
      <c r="K8" s="99" t="s">
        <v>581</v>
      </c>
      <c r="L8" s="99" t="s">
        <v>582</v>
      </c>
      <c r="M8" s="99" t="s">
        <v>583</v>
      </c>
      <c r="N8" s="99" t="s">
        <v>584</v>
      </c>
      <c r="O8" s="100"/>
      <c r="P8" s="100"/>
      <c r="Q8" s="100"/>
    </row>
    <row r="9" spans="1:27" s="96" customFormat="1" ht="228">
      <c r="A9" s="90" t="s">
        <v>96</v>
      </c>
      <c r="B9" s="90"/>
      <c r="C9" s="90"/>
      <c r="D9" s="90"/>
      <c r="E9" s="99" t="s">
        <v>585</v>
      </c>
      <c r="F9" s="99" t="s">
        <v>586</v>
      </c>
      <c r="G9" s="99" t="s">
        <v>587</v>
      </c>
      <c r="H9" s="99" t="s">
        <v>588</v>
      </c>
      <c r="I9" s="99" t="s">
        <v>589</v>
      </c>
      <c r="J9" s="99" t="s">
        <v>590</v>
      </c>
      <c r="K9" s="99" t="s">
        <v>591</v>
      </c>
      <c r="L9" s="99" t="s">
        <v>592</v>
      </c>
      <c r="M9" s="99" t="s">
        <v>593</v>
      </c>
      <c r="N9" s="99" t="s">
        <v>594</v>
      </c>
      <c r="O9" s="100"/>
      <c r="P9" s="100"/>
      <c r="Q9" s="100"/>
    </row>
    <row r="10" spans="1:27" s="96" customFormat="1" ht="96.6">
      <c r="A10" s="90" t="s">
        <v>595</v>
      </c>
      <c r="B10" s="90"/>
      <c r="C10" s="90"/>
      <c r="D10" s="90"/>
      <c r="E10" s="103"/>
      <c r="F10" s="103" t="s">
        <v>596</v>
      </c>
      <c r="G10" s="103" t="s">
        <v>597</v>
      </c>
      <c r="H10" s="103" t="s">
        <v>598</v>
      </c>
      <c r="I10" s="103" t="s">
        <v>599</v>
      </c>
      <c r="J10" s="103" t="s">
        <v>600</v>
      </c>
      <c r="K10" s="103" t="s">
        <v>601</v>
      </c>
      <c r="L10" s="103" t="s">
        <v>602</v>
      </c>
      <c r="M10" s="103" t="s">
        <v>603</v>
      </c>
      <c r="N10" s="104" t="s">
        <v>604</v>
      </c>
      <c r="O10" s="94"/>
      <c r="P10" s="94"/>
      <c r="Q10" s="94"/>
    </row>
    <row r="11" spans="1:27" s="96" customFormat="1" ht="55.2">
      <c r="A11" s="105" t="s">
        <v>85</v>
      </c>
      <c r="B11" s="105"/>
      <c r="C11" s="105"/>
      <c r="D11" s="105"/>
      <c r="E11" s="103"/>
      <c r="F11" s="103" t="s">
        <v>605</v>
      </c>
      <c r="G11" s="103" t="s">
        <v>606</v>
      </c>
      <c r="H11" s="103" t="s">
        <v>607</v>
      </c>
      <c r="I11" s="103" t="s">
        <v>608</v>
      </c>
      <c r="J11" s="103" t="s">
        <v>609</v>
      </c>
      <c r="K11" s="103" t="s">
        <v>610</v>
      </c>
      <c r="L11" s="103" t="s">
        <v>611</v>
      </c>
      <c r="M11" s="103" t="s">
        <v>612</v>
      </c>
      <c r="N11" s="104" t="s">
        <v>613</v>
      </c>
      <c r="O11" s="94"/>
      <c r="P11" s="94"/>
      <c r="Q11" s="94"/>
    </row>
    <row r="15" spans="1:27" customFormat="1">
      <c r="A15" t="s">
        <v>457</v>
      </c>
      <c r="B15" t="s">
        <v>104</v>
      </c>
      <c r="C15" t="s">
        <v>105</v>
      </c>
      <c r="D15" s="296" t="s">
        <v>456</v>
      </c>
      <c r="E15" s="14" t="s">
        <v>143</v>
      </c>
      <c r="F15" s="14" t="s">
        <v>145</v>
      </c>
      <c r="G15" s="14" t="s">
        <v>147</v>
      </c>
      <c r="H15" s="14" t="s">
        <v>148</v>
      </c>
      <c r="I15" s="14" t="s">
        <v>149</v>
      </c>
      <c r="J15" s="14" t="s">
        <v>150</v>
      </c>
      <c r="K15" s="14" t="s">
        <v>151</v>
      </c>
      <c r="L15" s="14" t="s">
        <v>152</v>
      </c>
      <c r="M15" s="14" t="s">
        <v>153</v>
      </c>
      <c r="N15" s="14" t="s">
        <v>154</v>
      </c>
    </row>
    <row r="16" spans="1:27">
      <c r="A16" t="s">
        <v>557</v>
      </c>
      <c r="B16" s="15" t="s">
        <v>104</v>
      </c>
      <c r="C16" s="15" t="str">
        <f>HYPERLINK("02-项目级\P2-Qcubic to MySQL数据同步工具 V1.0\01-生存周期\05-设计\01-概要设计书(QCUBIC-SJTB-TS-BD)V1.0-engl.docx", "engl")</f>
        <v>engl</v>
      </c>
      <c r="D16"/>
      <c r="E16" t="s">
        <v>440</v>
      </c>
      <c r="F16" t="s">
        <v>440</v>
      </c>
      <c r="G16" t="s">
        <v>440</v>
      </c>
      <c r="H16"/>
      <c r="I16" t="s">
        <v>440</v>
      </c>
      <c r="J16" t="s">
        <v>440</v>
      </c>
      <c r="K16" t="s">
        <v>440</v>
      </c>
      <c r="L16" t="s">
        <v>440</v>
      </c>
      <c r="M16" t="s">
        <v>440</v>
      </c>
      <c r="N16" t="s">
        <v>440</v>
      </c>
      <c r="O16"/>
      <c r="P16"/>
      <c r="Q16"/>
      <c r="R16"/>
      <c r="S16"/>
      <c r="T16"/>
      <c r="U16"/>
      <c r="V16"/>
      <c r="W16"/>
      <c r="X16"/>
      <c r="Y16"/>
      <c r="Z16"/>
      <c r="AA16"/>
    </row>
    <row r="17" spans="1:27">
      <c r="A17" t="s">
        <v>557</v>
      </c>
      <c r="B17" s="15" t="s">
        <v>104</v>
      </c>
      <c r="C17" s="15" t="str">
        <f>HYPERLINK("02-项目级\P2-Qcubic to MySQL数据同步工具 V1.0\01-生存周期\05-设计\03-详细设计说明书(QCUBIC-SJTB-TS-DD)V1.0-engl.docx", "engl")</f>
        <v>engl</v>
      </c>
      <c r="D17"/>
      <c r="E17" t="s">
        <v>440</v>
      </c>
      <c r="F17" t="s">
        <v>440</v>
      </c>
      <c r="G17" t="s">
        <v>440</v>
      </c>
      <c r="H17"/>
      <c r="I17" t="s">
        <v>440</v>
      </c>
      <c r="J17" t="s">
        <v>440</v>
      </c>
      <c r="K17" t="s">
        <v>440</v>
      </c>
      <c r="L17" t="s">
        <v>440</v>
      </c>
      <c r="M17" t="s">
        <v>440</v>
      </c>
      <c r="N17" t="s">
        <v>440</v>
      </c>
      <c r="O17"/>
      <c r="P17"/>
      <c r="Q17"/>
      <c r="R17"/>
      <c r="S17"/>
      <c r="T17"/>
      <c r="U17"/>
      <c r="V17"/>
      <c r="W17"/>
      <c r="X17"/>
      <c r="Y17"/>
      <c r="Z17"/>
      <c r="AA17"/>
    </row>
    <row r="18" spans="1:27">
      <c r="A18" t="s">
        <v>557</v>
      </c>
      <c r="B18" s="15" t="s">
        <v>104</v>
      </c>
      <c r="C18" s="15" t="str">
        <f>HYPERLINK("02-项目级\P2-Qcubic to MySQL数据同步工具 V1.0\02-全程管理\05-评审管理\05-设计评审\01-概要设计说明书\05-评审报告_概要设计书(QCUBIC-SJTB-PR-ReviewRpt)V1.1-engl.xlsx", "engl")</f>
        <v>engl</v>
      </c>
      <c r="D18"/>
      <c r="E18"/>
      <c r="F18"/>
      <c r="G18" t="s">
        <v>440</v>
      </c>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V1.0\02-全程管理\05-评审管理\05-设计评审\02-详细设计说明书\05-评审报告_详细设计(QCUBIC-SJTB-PR-ReviewRpt)V1.1-engl.xlsx", "engl")</f>
        <v>engl</v>
      </c>
      <c r="D19"/>
      <c r="E19"/>
      <c r="F19"/>
      <c r="G19" t="s">
        <v>440</v>
      </c>
      <c r="H19"/>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V1.0\01-生存周期\05-设计\04-用户手册(QCUBIC-SJTB-TS-Tem-UserMPMnual)V1.0-engl.docx", "engl")</f>
        <v>engl</v>
      </c>
      <c r="D20"/>
      <c r="E20"/>
      <c r="F20"/>
      <c r="G20"/>
      <c r="H20" t="s">
        <v>440</v>
      </c>
      <c r="I20"/>
      <c r="J20"/>
      <c r="K20"/>
      <c r="L20"/>
      <c r="M20"/>
      <c r="N20"/>
      <c r="O20"/>
      <c r="P20"/>
      <c r="Q20"/>
      <c r="R20"/>
      <c r="S20"/>
      <c r="T20"/>
      <c r="U20"/>
      <c r="V20"/>
      <c r="W20"/>
      <c r="X20"/>
      <c r="Y20"/>
      <c r="Z20"/>
      <c r="AA20"/>
    </row>
    <row r="21" spans="1:27">
      <c r="A21" t="s">
        <v>557</v>
      </c>
      <c r="B21" s="15" t="s">
        <v>104</v>
      </c>
      <c r="C21" s="15" t="str">
        <f>HYPERLINK("01-组织级\01-组织财富库\01-标准过程文件库\02-软件工程规范\03-设计\设计过程文件(QCUBIC-SPI-TS-Proc-Design)V1.2-engl.docx", "engl")</f>
        <v>engl</v>
      </c>
      <c r="D21"/>
      <c r="E21"/>
      <c r="F21"/>
      <c r="G21"/>
      <c r="H21"/>
      <c r="I21" t="s">
        <v>440</v>
      </c>
      <c r="J21"/>
      <c r="K21"/>
      <c r="L21"/>
      <c r="M21"/>
      <c r="N21"/>
      <c r="O21"/>
      <c r="P21"/>
      <c r="Q21"/>
      <c r="R21"/>
      <c r="S21"/>
      <c r="T21"/>
      <c r="U21"/>
      <c r="V21"/>
      <c r="W21"/>
      <c r="X21"/>
      <c r="Y21"/>
      <c r="Z21"/>
      <c r="AA21"/>
    </row>
    <row r="22" spans="1:27">
      <c r="A22" t="s">
        <v>557</v>
      </c>
      <c r="B22" s="15" t="s">
        <v>104</v>
      </c>
      <c r="C22" s="15" t="str">
        <f>HYPERLINK("02-项目级\P2-Qcubic to MySQL数据同步工具 V1.0\02-全程管理\04-决策分析\01-决策分析报告（QCUBIC-SJTB-dar-evaluaterpt)V1.0-engl.xlsx", "engl")</f>
        <v>engl</v>
      </c>
      <c r="D22"/>
      <c r="E22"/>
      <c r="F22"/>
      <c r="G22"/>
      <c r="H22"/>
      <c r="I22"/>
      <c r="J22" t="s">
        <v>440</v>
      </c>
      <c r="K22"/>
      <c r="L22" t="s">
        <v>440</v>
      </c>
      <c r="M22"/>
      <c r="N22"/>
      <c r="O22"/>
      <c r="P22"/>
      <c r="Q22"/>
      <c r="R22"/>
      <c r="S22"/>
      <c r="T22"/>
      <c r="U22"/>
      <c r="V22"/>
      <c r="W22"/>
      <c r="X22"/>
      <c r="Y22"/>
      <c r="Z22"/>
      <c r="AA22"/>
    </row>
    <row r="23" spans="1:27">
      <c r="A23" t="s">
        <v>557</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HYPERLINK("01-组织级\01-组织财富库\01-标准过程文件库\02-软件工程规范\03-设计\设计规范(QCUBIC-SPI-TS-Std-Design)V1.2-engl.docx", "engl")</f>
        <v>engl</v>
      </c>
      <c r="D24"/>
      <c r="E24"/>
      <c r="F24"/>
      <c r="G24"/>
      <c r="H24"/>
      <c r="I24"/>
      <c r="J24"/>
      <c r="K24"/>
      <c r="L24"/>
      <c r="M24"/>
      <c r="N24" t="s">
        <v>440</v>
      </c>
      <c r="O24"/>
      <c r="P24"/>
      <c r="Q24"/>
      <c r="R24"/>
      <c r="S24"/>
      <c r="T24"/>
      <c r="U24"/>
      <c r="V24"/>
      <c r="W24"/>
      <c r="X24"/>
      <c r="Y24"/>
      <c r="Z24"/>
      <c r="AA24"/>
    </row>
    <row r="25" spans="1:27">
      <c r="A25" t="s">
        <v>557</v>
      </c>
      <c r="B25" s="15" t="s">
        <v>104</v>
      </c>
      <c r="C25" s="15" t="str">
        <f>HYPERLINK("01-组织级\01-组织财富库\01-标准过程文件库\02-软件工程规范\03-设计\设计指南(QCUBIC-SPI-TS-Guid-Design)V1.2-engl.docx", "engl")</f>
        <v>engl</v>
      </c>
      <c r="D25"/>
      <c r="E25"/>
      <c r="F25"/>
      <c r="G25"/>
      <c r="H25"/>
      <c r="I25"/>
      <c r="J25"/>
      <c r="K25"/>
      <c r="L25"/>
      <c r="M25"/>
      <c r="N25" t="s">
        <v>440</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10" customWidth="1"/>
    <col min="2" max="4" width="7.88671875" style="110" customWidth="1"/>
    <col min="5" max="14" width="15.6640625" style="110" customWidth="1"/>
    <col min="15" max="15" width="70.88671875" style="110" customWidth="1"/>
    <col min="16" max="16" width="3.6640625" style="110" customWidth="1"/>
    <col min="17" max="17" width="32.33203125" style="110" customWidth="1"/>
    <col min="18" max="18" width="96.5546875" style="110" customWidth="1"/>
    <col min="19" max="19" width="8.6640625" style="110"/>
    <col min="20" max="20" width="10.33203125" style="110" bestFit="1" customWidth="1"/>
    <col min="21" max="21" width="20.44140625" style="110" bestFit="1" customWidth="1"/>
    <col min="22" max="16384" width="8.6640625" style="110"/>
  </cols>
  <sheetData>
    <row r="1" spans="1:27" ht="18">
      <c r="A1" s="106" t="s">
        <v>614</v>
      </c>
      <c r="B1" s="106"/>
      <c r="C1" s="106"/>
      <c r="D1" s="106"/>
      <c r="E1" s="107"/>
      <c r="F1" s="108"/>
      <c r="G1" s="109"/>
      <c r="H1" s="109"/>
      <c r="I1" s="109"/>
      <c r="J1" s="109"/>
      <c r="K1" s="109"/>
      <c r="L1" s="109"/>
      <c r="M1" s="109"/>
      <c r="N1" s="109"/>
      <c r="O1" s="109"/>
      <c r="P1" s="109"/>
      <c r="Q1" s="109"/>
    </row>
    <row r="2" spans="1:27">
      <c r="A2" s="111" t="s">
        <v>461</v>
      </c>
      <c r="B2" s="111"/>
      <c r="C2" s="111"/>
      <c r="D2" s="111"/>
      <c r="E2" s="108" t="s">
        <v>124</v>
      </c>
      <c r="F2" s="108"/>
      <c r="G2" s="109"/>
      <c r="H2" s="109"/>
      <c r="I2" s="109"/>
      <c r="J2" s="109"/>
      <c r="K2" s="109"/>
      <c r="L2" s="109"/>
      <c r="M2" s="109"/>
      <c r="N2" s="109"/>
      <c r="O2" s="109"/>
      <c r="P2" s="109"/>
      <c r="Q2" s="109"/>
    </row>
    <row r="3" spans="1:27">
      <c r="A3" s="108" t="s">
        <v>462</v>
      </c>
      <c r="B3" s="108"/>
      <c r="C3" s="108"/>
      <c r="D3" s="108"/>
      <c r="E3" s="108" t="s">
        <v>125</v>
      </c>
      <c r="F3" s="108"/>
      <c r="G3" s="109"/>
      <c r="H3" s="109"/>
      <c r="I3" s="109"/>
      <c r="J3" s="109"/>
      <c r="K3" s="109"/>
      <c r="L3" s="109"/>
      <c r="M3" s="109"/>
      <c r="N3" s="109"/>
      <c r="O3" s="109"/>
      <c r="P3" s="109"/>
      <c r="Q3" s="109"/>
    </row>
    <row r="4" spans="1:27">
      <c r="A4" s="112"/>
      <c r="B4" s="112"/>
      <c r="C4" s="112"/>
      <c r="D4" s="112"/>
      <c r="E4" s="113" t="s">
        <v>47</v>
      </c>
      <c r="F4" s="114" t="s">
        <v>54</v>
      </c>
      <c r="G4" s="114"/>
      <c r="H4" s="115"/>
      <c r="I4" s="114"/>
      <c r="J4" s="116"/>
      <c r="K4" s="116"/>
      <c r="L4" s="117" t="s">
        <v>56</v>
      </c>
      <c r="M4" s="117"/>
      <c r="N4" s="117"/>
      <c r="O4" s="108"/>
      <c r="P4" s="108"/>
      <c r="Q4" s="108"/>
      <c r="R4" s="108"/>
      <c r="S4" s="108"/>
      <c r="T4" s="111"/>
      <c r="U4" s="118"/>
      <c r="V4" s="118"/>
    </row>
    <row r="5" spans="1:27">
      <c r="A5" s="119"/>
      <c r="B5" s="119"/>
      <c r="C5" s="119"/>
      <c r="D5" s="119"/>
      <c r="E5" s="120" t="s">
        <v>560</v>
      </c>
      <c r="F5" s="121" t="s">
        <v>561</v>
      </c>
      <c r="G5" s="121"/>
      <c r="H5" s="115"/>
      <c r="I5" s="121"/>
      <c r="J5" s="116"/>
      <c r="K5" s="116"/>
      <c r="L5" s="117" t="s">
        <v>562</v>
      </c>
      <c r="M5" s="122"/>
      <c r="N5" s="122"/>
      <c r="O5" s="109"/>
      <c r="P5" s="109"/>
      <c r="Q5" s="109"/>
      <c r="R5" s="119"/>
      <c r="S5" s="108"/>
      <c r="T5" s="111"/>
      <c r="U5" s="119"/>
      <c r="V5" s="118"/>
    </row>
    <row r="6" spans="1:27">
      <c r="A6" s="123"/>
      <c r="B6" s="123"/>
      <c r="C6" s="123"/>
      <c r="D6" s="123"/>
      <c r="E6" s="3" t="s">
        <v>126</v>
      </c>
      <c r="F6" s="91" t="s">
        <v>128</v>
      </c>
      <c r="G6" s="91" t="s">
        <v>130</v>
      </c>
      <c r="H6" s="91" t="s">
        <v>132</v>
      </c>
      <c r="I6" s="91" t="s">
        <v>134</v>
      </c>
      <c r="J6" s="91" t="s">
        <v>135</v>
      </c>
      <c r="K6" s="91" t="s">
        <v>136</v>
      </c>
      <c r="L6" s="92" t="s">
        <v>137</v>
      </c>
      <c r="M6" s="92" t="s">
        <v>138</v>
      </c>
      <c r="N6" s="93" t="s">
        <v>140</v>
      </c>
      <c r="O6" s="94"/>
      <c r="P6" s="94"/>
      <c r="Q6" s="94"/>
      <c r="R6" s="124"/>
      <c r="S6" s="124"/>
      <c r="T6" s="124"/>
    </row>
    <row r="7" spans="1:27" ht="124.2">
      <c r="A7" s="125" t="s">
        <v>563</v>
      </c>
      <c r="B7" s="125"/>
      <c r="C7" s="125"/>
      <c r="D7" s="125"/>
      <c r="E7" s="98" t="s">
        <v>615</v>
      </c>
      <c r="F7" s="98" t="s">
        <v>616</v>
      </c>
      <c r="G7" s="98" t="s">
        <v>617</v>
      </c>
      <c r="H7" s="98" t="s">
        <v>618</v>
      </c>
      <c r="I7" s="98" t="s">
        <v>619</v>
      </c>
      <c r="J7" s="98" t="s">
        <v>620</v>
      </c>
      <c r="K7" s="98" t="s">
        <v>621</v>
      </c>
      <c r="L7" s="98" t="s">
        <v>622</v>
      </c>
      <c r="M7" s="98" t="s">
        <v>623</v>
      </c>
      <c r="N7" s="98" t="s">
        <v>624</v>
      </c>
      <c r="O7" s="94"/>
      <c r="P7" s="94"/>
      <c r="Q7" s="94"/>
    </row>
    <row r="8" spans="1:27" ht="156">
      <c r="A8" s="123" t="s">
        <v>574</v>
      </c>
      <c r="B8" s="123"/>
      <c r="C8" s="123"/>
      <c r="D8" s="123"/>
      <c r="E8" s="126" t="s">
        <v>625</v>
      </c>
      <c r="F8" s="126" t="s">
        <v>626</v>
      </c>
      <c r="G8" s="126" t="s">
        <v>627</v>
      </c>
      <c r="H8" s="126" t="s">
        <v>628</v>
      </c>
      <c r="I8" s="126" t="s">
        <v>629</v>
      </c>
      <c r="J8" s="126" t="s">
        <v>630</v>
      </c>
      <c r="K8" s="126" t="s">
        <v>631</v>
      </c>
      <c r="L8" s="126" t="s">
        <v>632</v>
      </c>
      <c r="M8" s="127" t="s">
        <v>633</v>
      </c>
      <c r="N8" s="127" t="s">
        <v>634</v>
      </c>
      <c r="O8" s="128"/>
      <c r="P8" s="128"/>
      <c r="Q8" s="128"/>
    </row>
    <row r="9" spans="1:27" ht="246" customHeight="1">
      <c r="A9" s="123" t="s">
        <v>96</v>
      </c>
      <c r="B9" s="123"/>
      <c r="C9" s="123"/>
      <c r="D9" s="123"/>
      <c r="E9" s="126" t="s">
        <v>635</v>
      </c>
      <c r="F9" s="126" t="s">
        <v>636</v>
      </c>
      <c r="G9" s="126" t="s">
        <v>637</v>
      </c>
      <c r="H9" s="126" t="s">
        <v>638</v>
      </c>
      <c r="I9" s="126" t="s">
        <v>639</v>
      </c>
      <c r="J9" s="126" t="s">
        <v>640</v>
      </c>
      <c r="K9" s="126" t="s">
        <v>641</v>
      </c>
      <c r="L9" s="126" t="s">
        <v>642</v>
      </c>
      <c r="M9" s="126" t="s">
        <v>643</v>
      </c>
      <c r="N9" s="126" t="s">
        <v>644</v>
      </c>
      <c r="O9" s="128"/>
      <c r="P9" s="128"/>
      <c r="Q9" s="128"/>
    </row>
    <row r="10" spans="1:27" ht="116.85" customHeight="1">
      <c r="A10" s="123" t="s">
        <v>595</v>
      </c>
      <c r="B10" s="123"/>
      <c r="C10" s="123"/>
      <c r="D10" s="123"/>
      <c r="E10" s="134"/>
      <c r="F10" s="134" t="s">
        <v>645</v>
      </c>
      <c r="G10" s="134" t="s">
        <v>646</v>
      </c>
      <c r="H10" s="134" t="s">
        <v>647</v>
      </c>
      <c r="I10" s="134" t="s">
        <v>648</v>
      </c>
      <c r="J10" s="134" t="s">
        <v>649</v>
      </c>
      <c r="K10" s="134" t="s">
        <v>650</v>
      </c>
      <c r="L10" s="134" t="s">
        <v>651</v>
      </c>
      <c r="M10" s="134" t="s">
        <v>652</v>
      </c>
      <c r="N10" s="134" t="s">
        <v>653</v>
      </c>
      <c r="O10" s="135"/>
      <c r="P10" s="135"/>
      <c r="Q10" s="135"/>
    </row>
    <row r="11" spans="1:27" ht="116.85" customHeight="1">
      <c r="A11" s="136" t="s">
        <v>85</v>
      </c>
      <c r="B11" s="136"/>
      <c r="C11" s="136"/>
      <c r="D11" s="136"/>
      <c r="E11" s="134"/>
      <c r="F11" s="134" t="s">
        <v>654</v>
      </c>
      <c r="G11" s="134" t="s">
        <v>655</v>
      </c>
      <c r="H11" s="134" t="s">
        <v>656</v>
      </c>
      <c r="I11" s="134" t="s">
        <v>657</v>
      </c>
      <c r="J11" s="134" t="s">
        <v>658</v>
      </c>
      <c r="K11" s="134" t="s">
        <v>659</v>
      </c>
      <c r="L11" s="134" t="s">
        <v>660</v>
      </c>
      <c r="M11" s="134" t="s">
        <v>661</v>
      </c>
      <c r="N11" s="134" t="s">
        <v>662</v>
      </c>
      <c r="O11" s="135"/>
      <c r="P11" s="135"/>
      <c r="Q11" s="135"/>
    </row>
    <row r="12" spans="1:27" s="118" customFormat="1" ht="15" customHeight="1">
      <c r="A12" s="110"/>
      <c r="B12" s="110"/>
      <c r="C12" s="110"/>
      <c r="D12" s="110"/>
      <c r="E12" s="110"/>
      <c r="F12" s="110"/>
      <c r="G12" s="110"/>
      <c r="H12" s="110"/>
      <c r="I12" s="110"/>
      <c r="J12" s="110"/>
      <c r="K12" s="110"/>
      <c r="L12" s="110"/>
      <c r="M12" s="110"/>
      <c r="N12" s="110"/>
      <c r="O12" s="110"/>
      <c r="P12" s="110"/>
      <c r="Q12" s="110"/>
      <c r="R12" s="110"/>
      <c r="S12" s="110"/>
      <c r="T12" s="110"/>
      <c r="U12" s="94"/>
    </row>
    <row r="13" spans="1:27" s="118" customFormat="1" ht="15" customHeight="1">
      <c r="A13" s="110"/>
      <c r="B13" s="110"/>
      <c r="C13" s="110"/>
      <c r="D13" s="110"/>
      <c r="E13" s="110"/>
      <c r="F13" s="110"/>
      <c r="G13" s="110"/>
      <c r="H13" s="110"/>
      <c r="I13" s="110"/>
      <c r="J13" s="110"/>
      <c r="K13" s="110"/>
      <c r="L13" s="110"/>
      <c r="M13" s="110"/>
      <c r="N13" s="110"/>
      <c r="O13" s="110"/>
      <c r="P13" s="110"/>
      <c r="Q13" s="110"/>
      <c r="R13" s="110"/>
      <c r="S13" s="110"/>
      <c r="T13" s="110"/>
    </row>
    <row r="14" spans="1:27" s="118" customFormat="1" ht="15" customHeight="1">
      <c r="A14" s="110"/>
      <c r="B14" s="110"/>
      <c r="C14" s="110"/>
      <c r="D14" s="110"/>
      <c r="E14" s="110"/>
      <c r="F14" s="110"/>
      <c r="G14" s="110"/>
      <c r="H14" s="110"/>
      <c r="I14" s="110"/>
      <c r="J14" s="110"/>
      <c r="K14" s="110"/>
      <c r="L14" s="110"/>
      <c r="M14" s="110"/>
      <c r="N14" s="110"/>
      <c r="O14" s="110"/>
      <c r="P14" s="110"/>
      <c r="Q14" s="110"/>
      <c r="R14" s="110"/>
      <c r="S14" s="110"/>
      <c r="T14" s="110"/>
    </row>
    <row r="15" spans="1:27" customFormat="1">
      <c r="A15" t="s">
        <v>457</v>
      </c>
      <c r="B15" t="s">
        <v>104</v>
      </c>
      <c r="C15" t="s">
        <v>105</v>
      </c>
      <c r="D15" s="296" t="s">
        <v>456</v>
      </c>
      <c r="E15" s="14" t="s">
        <v>126</v>
      </c>
      <c r="F15" s="14" t="s">
        <v>128</v>
      </c>
      <c r="G15" s="14" t="s">
        <v>130</v>
      </c>
      <c r="H15" s="14" t="s">
        <v>132</v>
      </c>
      <c r="I15" s="14" t="s">
        <v>134</v>
      </c>
      <c r="J15" s="14" t="s">
        <v>135</v>
      </c>
      <c r="K15" s="14" t="s">
        <v>136</v>
      </c>
      <c r="L15" s="14" t="s">
        <v>137</v>
      </c>
      <c r="M15" s="14" t="s">
        <v>138</v>
      </c>
      <c r="N15" s="14" t="s">
        <v>140</v>
      </c>
    </row>
    <row r="16" spans="1:27" s="118" customFormat="1" ht="15" customHeight="1">
      <c r="A16" s="324" t="s">
        <v>1679</v>
      </c>
      <c r="B16" s="15" t="s">
        <v>104</v>
      </c>
      <c r="C16" s="15" t="str">
        <f>HYPERLINK("02-项目级\P2-Qcubic to MySQL数据同步工具 V1.0\01-生存周期\06-实现\02-产品集成\01-产品集成计划(QCUBIC-SJTB-PI-Plan)V1.0-engl.docx", "engl")</f>
        <v>engl</v>
      </c>
      <c r="D16"/>
      <c r="E16" t="s">
        <v>440</v>
      </c>
      <c r="F16" t="s">
        <v>440</v>
      </c>
      <c r="G16" t="s">
        <v>440</v>
      </c>
      <c r="H16" t="s">
        <v>440</v>
      </c>
      <c r="I16"/>
      <c r="J16"/>
      <c r="K16"/>
      <c r="L16"/>
      <c r="M16"/>
      <c r="N16"/>
      <c r="O16"/>
      <c r="P16"/>
      <c r="Q16"/>
      <c r="R16"/>
      <c r="S16"/>
      <c r="T16"/>
      <c r="U16"/>
      <c r="V16"/>
      <c r="W16"/>
      <c r="X16"/>
      <c r="Y16"/>
      <c r="Z16"/>
      <c r="AA16"/>
    </row>
    <row r="17" spans="1:27" s="118" customFormat="1">
      <c r="A17" s="324" t="s">
        <v>1680</v>
      </c>
      <c r="B17" s="15" t="s">
        <v>104</v>
      </c>
      <c r="C17" s="15" t="str">
        <f>HYPERLINK("02-项目级\P2-Qcubic to MySQL数据同步工具 V1.0\01-生存周期\06-实现\02-产品集成\06-产品集成阶段报告\03-产品集成阶段报告(QCUBIC-SJTB-PI-InterimReport-3)V1.0-engl.docx", "engl")</f>
        <v>engl</v>
      </c>
      <c r="D17"/>
      <c r="E17" t="s">
        <v>440</v>
      </c>
      <c r="F17"/>
      <c r="G17"/>
      <c r="H17" t="s">
        <v>440</v>
      </c>
      <c r="I17"/>
      <c r="J17" t="s">
        <v>440</v>
      </c>
      <c r="K17" t="s">
        <v>440</v>
      </c>
      <c r="L17"/>
      <c r="M17"/>
      <c r="N17" t="s">
        <v>440</v>
      </c>
      <c r="O17"/>
      <c r="P17"/>
      <c r="Q17"/>
      <c r="R17"/>
      <c r="S17"/>
      <c r="T17"/>
      <c r="U17"/>
      <c r="V17"/>
      <c r="W17"/>
      <c r="X17"/>
      <c r="Y17"/>
      <c r="Z17"/>
      <c r="AA17"/>
    </row>
    <row r="18" spans="1:27">
      <c r="A18" t="s">
        <v>557</v>
      </c>
      <c r="B18" s="15" t="s">
        <v>104</v>
      </c>
      <c r="C18" s="15" t="str">
        <f>HYPERLINK("01-组织级\01-组织财富库\01-标准过程文件库\02-软件工程规范\04-实现\实现过程文件 (QCUBIC-SPI-DEV-Proc-Doc)V1.2-engl.docx", "engl")</f>
        <v>engl</v>
      </c>
      <c r="D18"/>
      <c r="E18"/>
      <c r="F18"/>
      <c r="G18"/>
      <c r="H18" t="s">
        <v>440</v>
      </c>
      <c r="I18"/>
      <c r="J18"/>
      <c r="K18"/>
      <c r="L18"/>
      <c r="M18"/>
      <c r="N18"/>
      <c r="O18"/>
      <c r="P18"/>
      <c r="Q18"/>
      <c r="R18"/>
      <c r="S18"/>
      <c r="T18"/>
      <c r="U18"/>
      <c r="V18"/>
      <c r="W18"/>
      <c r="X18"/>
      <c r="Y18"/>
      <c r="Z18"/>
      <c r="AA18"/>
    </row>
    <row r="19" spans="1:27">
      <c r="A19" t="s">
        <v>557</v>
      </c>
      <c r="B19" s="15" t="s">
        <v>104</v>
      </c>
      <c r="C19" s="15" t="str">
        <f>HYPERLINK("01-组织级\01-组织财富库\01-标准过程文件库\02-软件工程规范\05-测试\02-产品集成及集成测试\产品集成指南(QCUBIC-SPI-VV-Guid-PI)V1.2-engl.docx",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V1.0\01-生存周期\06-实现\02-产品集成\03-产品集成检查列表(QCUBIC-SJTB-PI-PIChkList)V1.0-engl.xlsx", "engl")</f>
        <v>engl</v>
      </c>
      <c r="D20"/>
      <c r="E20"/>
      <c r="F20"/>
      <c r="G20"/>
      <c r="H20"/>
      <c r="I20" t="s">
        <v>440</v>
      </c>
      <c r="J20"/>
      <c r="K20"/>
      <c r="L20"/>
      <c r="M20"/>
      <c r="N20"/>
      <c r="O20"/>
      <c r="P20"/>
      <c r="Q20"/>
      <c r="R20"/>
      <c r="S20"/>
      <c r="T20"/>
      <c r="U20"/>
      <c r="V20"/>
      <c r="W20"/>
      <c r="X20"/>
      <c r="Y20"/>
      <c r="Z20"/>
      <c r="AA20"/>
    </row>
    <row r="21" spans="1:27">
      <c r="A21" t="s">
        <v>557</v>
      </c>
      <c r="B21" s="15" t="s">
        <v>104</v>
      </c>
      <c r="C21" s="15" t="str">
        <f>HYPERLINK("02-项目级\P2-Qcubic to MySQL数据同步工具 V1.0\01-生存周期\07-测试\02-集成测试\01-集成测试用例(QCUBIC-SJTB-VV-TestCase-SystemTest)V1.0-engl.xlsx", "engl")</f>
        <v>engl</v>
      </c>
      <c r="D21"/>
      <c r="E21"/>
      <c r="F21"/>
      <c r="G21"/>
      <c r="H21"/>
      <c r="I21"/>
      <c r="J21" t="s">
        <v>440</v>
      </c>
      <c r="K21"/>
      <c r="L21"/>
      <c r="M21"/>
      <c r="N21"/>
      <c r="O21"/>
      <c r="P21"/>
      <c r="Q21"/>
      <c r="R21"/>
      <c r="S21"/>
      <c r="T21"/>
      <c r="U21"/>
      <c r="V21"/>
      <c r="W21"/>
      <c r="X21"/>
      <c r="Y21"/>
      <c r="Z21"/>
      <c r="AA21"/>
    </row>
    <row r="22" spans="1:27">
      <c r="A22" t="s">
        <v>557</v>
      </c>
      <c r="B22" s="15" t="s">
        <v>104</v>
      </c>
      <c r="C22" s="15" t="str">
        <f>HYPERLINK("02-项目级\P2-Qcubic to MySQL数据同步工具 V1.0\01-生存周期\07-测试\02-集成测试\04-集成测试报告(QCUBIC-SJTB-LP_VV_IntegrationTestRet)V1.0-engl.docx", "engl")</f>
        <v>engl</v>
      </c>
      <c r="D22"/>
      <c r="E22"/>
      <c r="F22"/>
      <c r="G22"/>
      <c r="H22"/>
      <c r="I22"/>
      <c r="J22" t="s">
        <v>440</v>
      </c>
      <c r="K22"/>
      <c r="L22"/>
      <c r="M22"/>
      <c r="N22"/>
      <c r="O22"/>
      <c r="P22"/>
      <c r="Q22"/>
      <c r="R22"/>
      <c r="S22"/>
      <c r="T22"/>
      <c r="U22"/>
      <c r="V22"/>
      <c r="W22"/>
      <c r="X22"/>
      <c r="Y22"/>
      <c r="Z22"/>
      <c r="AA22"/>
    </row>
    <row r="23" spans="1:27">
      <c r="A23" t="s">
        <v>557</v>
      </c>
      <c r="B23" s="15" t="s">
        <v>104</v>
      </c>
      <c r="C23" s="15" t="str">
        <f>HYPERLINK("02-项目级\P2-Qcubic to MySQL数据同步工具 V1.0\01-生存周期\05-设计\01-概要设计书(QCUBIC-SJTB-TS-BD)V1.0-engl.docx", "engl")</f>
        <v>engl</v>
      </c>
      <c r="D23"/>
      <c r="E23"/>
      <c r="F23"/>
      <c r="G23"/>
      <c r="H23"/>
      <c r="I23"/>
      <c r="J23"/>
      <c r="K23"/>
      <c r="L23" t="s">
        <v>440</v>
      </c>
      <c r="M23" t="s">
        <v>440</v>
      </c>
      <c r="N23"/>
      <c r="O23"/>
      <c r="P23"/>
      <c r="Q23"/>
      <c r="R23"/>
      <c r="S23"/>
      <c r="T23"/>
      <c r="U23"/>
      <c r="V23"/>
      <c r="W23"/>
      <c r="X23"/>
      <c r="Y23"/>
      <c r="Z23"/>
      <c r="AA23"/>
    </row>
    <row r="24" spans="1:27">
      <c r="A24" t="s">
        <v>557</v>
      </c>
      <c r="B24" s="15" t="s">
        <v>104</v>
      </c>
      <c r="C24" s="15" t="str">
        <f>HYPERLINK("02-项目级\P2-Qcubic to MySQL数据同步工具 V1.0\01-生存周期\05-设计\03-详细设计说明书(QCUBIC-SJTB-TS-DD)V1.0-engl.docx", "engl")</f>
        <v>engl</v>
      </c>
      <c r="D24"/>
      <c r="E24"/>
      <c r="F24"/>
      <c r="G24"/>
      <c r="H24"/>
      <c r="I24"/>
      <c r="J24"/>
      <c r="K24"/>
      <c r="L24" t="s">
        <v>440</v>
      </c>
      <c r="M24" t="s">
        <v>440</v>
      </c>
      <c r="N24"/>
      <c r="O24"/>
      <c r="P24"/>
      <c r="Q24"/>
      <c r="R24"/>
      <c r="S24"/>
      <c r="T24"/>
      <c r="U24"/>
      <c r="V24"/>
      <c r="W24"/>
      <c r="X24"/>
      <c r="Y24"/>
      <c r="Z24"/>
      <c r="AA24"/>
    </row>
    <row r="25" spans="1:27">
      <c r="A25" t="s">
        <v>557</v>
      </c>
      <c r="B25" s="15" t="s">
        <v>104</v>
      </c>
      <c r="C25" s="15" t="str">
        <f>HYPERLINK("02-项目级\P2-Qcubic to MySQL数据同步工具 V1.0\01-生存周期\06-实现\02-产品集成\04-接口检查列表(QCUBIC-SJTB-PI-PIChkList)V1.0-engl.xlsx", "engl")</f>
        <v>engl</v>
      </c>
      <c r="D25"/>
      <c r="E25"/>
      <c r="F25"/>
      <c r="G25"/>
      <c r="H25"/>
      <c r="I25"/>
      <c r="J25"/>
      <c r="K25"/>
      <c r="L25" t="s">
        <v>440</v>
      </c>
      <c r="M25" t="s">
        <v>440</v>
      </c>
      <c r="N25" t="s">
        <v>440</v>
      </c>
      <c r="O25"/>
      <c r="P25"/>
      <c r="Q25"/>
      <c r="R25"/>
      <c r="S25"/>
      <c r="T25"/>
      <c r="U25"/>
      <c r="V25"/>
      <c r="W25"/>
      <c r="X25"/>
      <c r="Y25"/>
      <c r="Z25"/>
      <c r="AA25"/>
    </row>
    <row r="26" spans="1:27">
      <c r="A26" t="s">
        <v>557</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440</v>
      </c>
      <c r="M26" t="s">
        <v>440</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9" customWidth="1"/>
    <col min="2" max="4" width="7.88671875" style="119" customWidth="1"/>
    <col min="5" max="8" width="20.6640625" style="119" customWidth="1"/>
    <col min="9" max="10" width="20.6640625" style="137" customWidth="1"/>
    <col min="11" max="11" width="76.88671875" style="137" customWidth="1"/>
    <col min="12" max="12" width="3.6640625" style="137" customWidth="1"/>
    <col min="13" max="13" width="20.6640625" style="137" customWidth="1"/>
    <col min="14" max="14" width="77.88671875" style="137" customWidth="1"/>
    <col min="15" max="17" width="8.6640625" style="137"/>
    <col min="18" max="16384" width="8.6640625" style="119"/>
  </cols>
  <sheetData>
    <row r="1" spans="1:27" s="138" customFormat="1" ht="18">
      <c r="A1" s="106" t="s">
        <v>663</v>
      </c>
      <c r="B1" s="106"/>
      <c r="C1" s="106"/>
      <c r="D1" s="106"/>
      <c r="E1" s="108"/>
      <c r="F1" s="107"/>
      <c r="G1" s="108"/>
      <c r="H1" s="108"/>
      <c r="I1" s="137"/>
      <c r="J1" s="137"/>
      <c r="K1" s="137"/>
      <c r="L1" s="137"/>
      <c r="M1" s="137"/>
      <c r="N1" s="137"/>
      <c r="O1" s="137"/>
      <c r="P1" s="137"/>
      <c r="Q1" s="137"/>
    </row>
    <row r="2" spans="1:27" s="139" customFormat="1">
      <c r="A2" s="111" t="s">
        <v>461</v>
      </c>
      <c r="B2" s="111"/>
      <c r="C2" s="111"/>
      <c r="D2" s="111"/>
      <c r="E2" s="108" t="s">
        <v>166</v>
      </c>
      <c r="F2" s="108"/>
      <c r="G2" s="108"/>
      <c r="H2" s="108"/>
      <c r="I2" s="137"/>
      <c r="J2" s="137"/>
      <c r="K2" s="137"/>
      <c r="L2" s="137"/>
      <c r="M2" s="137"/>
      <c r="N2" s="137"/>
      <c r="O2" s="137"/>
      <c r="P2" s="137"/>
      <c r="Q2" s="137"/>
    </row>
    <row r="3" spans="1:27" s="139" customFormat="1">
      <c r="A3" s="108" t="s">
        <v>462</v>
      </c>
      <c r="B3" s="108"/>
      <c r="C3" s="108"/>
      <c r="D3" s="108"/>
      <c r="E3" s="108" t="s">
        <v>167</v>
      </c>
      <c r="F3" s="108"/>
      <c r="G3" s="108"/>
      <c r="H3" s="108"/>
      <c r="I3" s="137"/>
      <c r="J3" s="137"/>
      <c r="K3" s="137"/>
      <c r="L3" s="137"/>
      <c r="M3" s="137"/>
      <c r="N3" s="137"/>
      <c r="O3" s="137"/>
      <c r="P3" s="137"/>
      <c r="Q3" s="137"/>
    </row>
    <row r="4" spans="1:27" s="139" customFormat="1" ht="14.4">
      <c r="A4" s="112"/>
      <c r="B4" s="112"/>
      <c r="C4" s="112"/>
      <c r="D4" s="112"/>
      <c r="E4" s="113" t="s">
        <v>47</v>
      </c>
      <c r="F4" s="114" t="s">
        <v>54</v>
      </c>
      <c r="G4" s="114"/>
      <c r="H4" s="115"/>
      <c r="I4" s="114"/>
      <c r="J4" s="117" t="s">
        <v>56</v>
      </c>
      <c r="K4" s="108"/>
      <c r="L4" s="108"/>
      <c r="M4" s="108"/>
      <c r="N4" s="108"/>
      <c r="O4" s="111"/>
      <c r="P4" s="118"/>
      <c r="Q4" s="118"/>
    </row>
    <row r="5" spans="1:27" s="140" customFormat="1" ht="14.4">
      <c r="A5" s="119"/>
      <c r="B5" s="119"/>
      <c r="C5" s="119"/>
      <c r="D5" s="119"/>
      <c r="E5" s="120" t="s">
        <v>560</v>
      </c>
      <c r="F5" s="121" t="s">
        <v>561</v>
      </c>
      <c r="G5" s="121"/>
      <c r="H5" s="115"/>
      <c r="I5" s="121"/>
      <c r="J5" s="117" t="s">
        <v>562</v>
      </c>
      <c r="K5" s="108"/>
      <c r="L5" s="108"/>
      <c r="M5" s="108"/>
      <c r="N5" s="108"/>
      <c r="O5" s="111"/>
      <c r="P5" s="119"/>
      <c r="Q5" s="118"/>
    </row>
    <row r="6" spans="1:27" s="131" customFormat="1">
      <c r="A6" s="123"/>
      <c r="B6" s="123"/>
      <c r="C6" s="123"/>
      <c r="D6" s="123"/>
      <c r="E6" s="3" t="s">
        <v>168</v>
      </c>
      <c r="F6" s="91" t="s">
        <v>169</v>
      </c>
      <c r="G6" s="91" t="s">
        <v>170</v>
      </c>
      <c r="H6" s="91" t="s">
        <v>171</v>
      </c>
      <c r="I6" s="91" t="s">
        <v>173</v>
      </c>
      <c r="J6" s="92" t="s">
        <v>174</v>
      </c>
      <c r="K6" s="94"/>
      <c r="L6" s="94"/>
      <c r="M6" s="94"/>
      <c r="N6" s="137"/>
      <c r="O6" s="137"/>
      <c r="P6" s="137"/>
      <c r="Q6" s="137"/>
    </row>
    <row r="7" spans="1:27" s="131" customFormat="1" ht="84" customHeight="1">
      <c r="A7" s="125" t="s">
        <v>664</v>
      </c>
      <c r="B7" s="125"/>
      <c r="C7" s="125"/>
      <c r="D7" s="125"/>
      <c r="E7" s="98" t="s">
        <v>665</v>
      </c>
      <c r="F7" s="98" t="s">
        <v>666</v>
      </c>
      <c r="G7" s="98" t="s">
        <v>667</v>
      </c>
      <c r="H7" s="98" t="s">
        <v>668</v>
      </c>
      <c r="I7" s="98" t="s">
        <v>669</v>
      </c>
      <c r="J7" s="98" t="s">
        <v>670</v>
      </c>
      <c r="K7" s="94"/>
      <c r="L7" s="94"/>
      <c r="M7" s="94"/>
      <c r="N7" s="137"/>
      <c r="O7" s="137"/>
      <c r="P7" s="137"/>
      <c r="Q7" s="137"/>
    </row>
    <row r="8" spans="1:27" s="131" customFormat="1" ht="48">
      <c r="A8" s="123" t="s">
        <v>574</v>
      </c>
      <c r="B8" s="123"/>
      <c r="C8" s="123"/>
      <c r="D8" s="123"/>
      <c r="E8" s="126" t="s">
        <v>671</v>
      </c>
      <c r="F8" s="99" t="s">
        <v>672</v>
      </c>
      <c r="G8" s="99" t="s">
        <v>673</v>
      </c>
      <c r="H8" s="99" t="s">
        <v>674</v>
      </c>
      <c r="I8" s="99" t="s">
        <v>675</v>
      </c>
      <c r="J8" s="99" t="s">
        <v>676</v>
      </c>
      <c r="K8" s="100"/>
      <c r="L8" s="100"/>
      <c r="M8" s="100"/>
      <c r="N8" s="137"/>
      <c r="O8" s="137"/>
      <c r="P8" s="137"/>
      <c r="Q8" s="137"/>
    </row>
    <row r="9" spans="1:27" s="131" customFormat="1" ht="156">
      <c r="A9" s="123" t="s">
        <v>96</v>
      </c>
      <c r="B9" s="123"/>
      <c r="C9" s="123"/>
      <c r="D9" s="123"/>
      <c r="E9" s="99" t="s">
        <v>677</v>
      </c>
      <c r="F9" s="99" t="s">
        <v>678</v>
      </c>
      <c r="G9" s="99" t="s">
        <v>679</v>
      </c>
      <c r="H9" s="99" t="s">
        <v>680</v>
      </c>
      <c r="I9" s="126" t="s">
        <v>681</v>
      </c>
      <c r="J9" s="99" t="s">
        <v>682</v>
      </c>
      <c r="K9" s="100"/>
      <c r="L9" s="100"/>
      <c r="M9" s="100"/>
      <c r="N9" s="137"/>
      <c r="O9" s="137"/>
      <c r="P9" s="137"/>
      <c r="Q9" s="137"/>
    </row>
    <row r="10" spans="1:27" ht="72">
      <c r="A10" s="123" t="s">
        <v>595</v>
      </c>
      <c r="B10" s="123"/>
      <c r="C10" s="123"/>
      <c r="D10" s="123"/>
      <c r="E10" s="142"/>
      <c r="F10" s="143" t="s">
        <v>683</v>
      </c>
      <c r="G10" s="143" t="s">
        <v>684</v>
      </c>
      <c r="H10" s="143" t="s">
        <v>685</v>
      </c>
      <c r="I10" s="143" t="s">
        <v>686</v>
      </c>
      <c r="J10" s="143" t="s">
        <v>687</v>
      </c>
      <c r="K10" s="144"/>
      <c r="L10" s="144"/>
      <c r="M10" s="101"/>
    </row>
    <row r="11" spans="1:27" s="124" customFormat="1" ht="41.4">
      <c r="A11" s="145" t="s">
        <v>85</v>
      </c>
      <c r="B11" s="145"/>
      <c r="C11" s="145"/>
      <c r="D11" s="145"/>
      <c r="E11" s="146"/>
      <c r="F11" s="146" t="s">
        <v>688</v>
      </c>
      <c r="G11" s="146" t="s">
        <v>689</v>
      </c>
      <c r="H11" s="146" t="s">
        <v>690</v>
      </c>
      <c r="I11" s="147" t="s">
        <v>691</v>
      </c>
      <c r="J11" s="147" t="s">
        <v>692</v>
      </c>
      <c r="K11" s="148"/>
      <c r="L11" s="148"/>
      <c r="M11" s="148"/>
      <c r="N11" s="109"/>
      <c r="O11" s="109"/>
      <c r="P11" s="109"/>
      <c r="Q11" s="109"/>
      <c r="R11" s="109"/>
      <c r="S11" s="109"/>
      <c r="T11" s="109"/>
      <c r="U11" s="109"/>
    </row>
    <row r="15" spans="1:27" customFormat="1" ht="14.4">
      <c r="A15" t="s">
        <v>457</v>
      </c>
      <c r="B15" t="s">
        <v>104</v>
      </c>
      <c r="C15" t="s">
        <v>105</v>
      </c>
      <c r="D15" s="296" t="s">
        <v>456</v>
      </c>
      <c r="E15" s="14" t="s">
        <v>168</v>
      </c>
      <c r="F15" s="14" t="s">
        <v>169</v>
      </c>
      <c r="G15" s="14" t="s">
        <v>170</v>
      </c>
      <c r="H15" s="14" t="s">
        <v>171</v>
      </c>
      <c r="I15" s="14" t="s">
        <v>173</v>
      </c>
      <c r="J15" s="14" t="s">
        <v>174</v>
      </c>
    </row>
    <row r="16" spans="1:27" ht="14.4">
      <c r="A16" t="s">
        <v>557</v>
      </c>
      <c r="B16" s="15" t="s">
        <v>104</v>
      </c>
      <c r="C16" s="15" t="str">
        <f>HYPERLINK("02-项目级\P3-主从数据库复制及性能提升项目\01-生存周期\03-项目策划\03-项目计划书 (QCUBIC-XNTS-PLAN-Plan)V1.1-engl.docx", "engl")</f>
        <v>engl</v>
      </c>
      <c r="D16"/>
      <c r="E16" t="s">
        <v>440</v>
      </c>
      <c r="F16"/>
      <c r="G16"/>
      <c r="H16" t="s">
        <v>440</v>
      </c>
      <c r="I16"/>
      <c r="J16"/>
      <c r="K16"/>
      <c r="L16"/>
      <c r="M16"/>
      <c r="N16"/>
      <c r="O16"/>
      <c r="P16"/>
      <c r="Q16"/>
      <c r="R16"/>
      <c r="S16"/>
      <c r="T16"/>
      <c r="U16"/>
      <c r="V16"/>
      <c r="W16"/>
      <c r="X16"/>
      <c r="Y16"/>
      <c r="Z16"/>
      <c r="AA16"/>
    </row>
    <row r="17" spans="1:27" ht="14.4">
      <c r="A17" t="s">
        <v>557</v>
      </c>
      <c r="B17" s="15" t="s">
        <v>104</v>
      </c>
      <c r="C17" s="15" t="str">
        <f>HYPERLINK("02-项目级\P3-主从数据库复制及性能提升项目\02-全程管理\05-评审管理\03-计划评审\05-评审报告_项目计划(QCUBIC-XNTS-PR-ReviewRpt)V1.1-engl.xlsx", "engl")</f>
        <v>engl</v>
      </c>
      <c r="D17"/>
      <c r="E17" t="s">
        <v>440</v>
      </c>
      <c r="F17" t="s">
        <v>440</v>
      </c>
      <c r="G17" t="s">
        <v>440</v>
      </c>
      <c r="H17" t="s">
        <v>440</v>
      </c>
      <c r="I17" t="s">
        <v>440</v>
      </c>
      <c r="J17"/>
      <c r="K17"/>
      <c r="L17"/>
      <c r="M17"/>
      <c r="N17"/>
      <c r="O17"/>
      <c r="P17"/>
      <c r="Q17"/>
      <c r="R17"/>
      <c r="S17"/>
      <c r="T17"/>
      <c r="U17"/>
      <c r="V17"/>
      <c r="W17"/>
      <c r="X17"/>
      <c r="Y17"/>
      <c r="Z17"/>
      <c r="AA17"/>
    </row>
    <row r="18" spans="1:27" ht="14.4">
      <c r="A18" t="s">
        <v>557</v>
      </c>
      <c r="B18" s="15" t="s">
        <v>104</v>
      </c>
      <c r="C18" s="15" t="str">
        <f>HYPERLINK("02-项目级\P3-主从数据库复制及性能提升项目\02-全程管理\05-评审管理\04-需求评审\01-需求规格说明书\05-评审报告_需求规格说明书(QCUBIC-XNTS-PR-ReviewRpt)V1.1-engl.xlsx", "engl")</f>
        <v>engl</v>
      </c>
      <c r="D18"/>
      <c r="E18" t="s">
        <v>440</v>
      </c>
      <c r="F18"/>
      <c r="G18" t="s">
        <v>440</v>
      </c>
      <c r="H18" t="s">
        <v>440</v>
      </c>
      <c r="I18" t="s">
        <v>440</v>
      </c>
      <c r="J18"/>
      <c r="K18"/>
      <c r="L18"/>
      <c r="M18"/>
      <c r="N18"/>
      <c r="O18"/>
      <c r="P18"/>
      <c r="Q18"/>
      <c r="R18"/>
      <c r="S18"/>
      <c r="T18"/>
      <c r="U18"/>
      <c r="V18"/>
      <c r="W18"/>
      <c r="X18"/>
      <c r="Y18"/>
      <c r="Z18"/>
      <c r="AA18"/>
    </row>
    <row r="19" spans="1:27" ht="14.4">
      <c r="A19" t="s">
        <v>557</v>
      </c>
      <c r="B19" s="15" t="s">
        <v>104</v>
      </c>
      <c r="C19" s="15" t="str">
        <f>HYPERLINK("02-项目级\P3-主从数据库复制及性能提升项目\02-全程管理\05-评审管理\04-需求评审\02-用户需求说明书\03-评审报告_用户需求说明书(QCUBIC-XNTS-PR-ReviewRpt)V1.0-engl.xlsx", "engl")</f>
        <v>engl</v>
      </c>
      <c r="D19"/>
      <c r="E19" t="s">
        <v>440</v>
      </c>
      <c r="F19"/>
      <c r="G19" t="s">
        <v>440</v>
      </c>
      <c r="H19" t="s">
        <v>440</v>
      </c>
      <c r="I19" t="s">
        <v>440</v>
      </c>
      <c r="J19"/>
      <c r="K19"/>
      <c r="L19"/>
      <c r="M19"/>
      <c r="N19"/>
      <c r="O19"/>
      <c r="P19"/>
      <c r="Q19"/>
      <c r="R19"/>
      <c r="S19"/>
      <c r="T19"/>
      <c r="U19"/>
      <c r="V19"/>
      <c r="W19"/>
      <c r="X19"/>
      <c r="Y19"/>
      <c r="Z19"/>
      <c r="AA19"/>
    </row>
    <row r="20" spans="1:27" ht="14.4">
      <c r="A20" t="s">
        <v>557</v>
      </c>
      <c r="B20" s="15" t="s">
        <v>104</v>
      </c>
      <c r="C20" s="15" t="str">
        <f>HYPERLINK("02-项目级\P3-主从数据库复制及性能提升项目\02-全程管理\05-评审管理\05-设计评审\01-概要设计说明书\05-评审报告_概要设计书(QCUBIC-XNTS-PR-ReviewRpt)V1.1-engl.xlsx", "engl")</f>
        <v>engl</v>
      </c>
      <c r="D20"/>
      <c r="E20" t="s">
        <v>440</v>
      </c>
      <c r="F20"/>
      <c r="G20" t="s">
        <v>440</v>
      </c>
      <c r="H20" t="s">
        <v>440</v>
      </c>
      <c r="I20" t="s">
        <v>440</v>
      </c>
      <c r="J20"/>
      <c r="K20"/>
      <c r="L20"/>
      <c r="M20"/>
      <c r="N20"/>
      <c r="O20"/>
      <c r="P20"/>
      <c r="Q20"/>
      <c r="R20"/>
      <c r="S20"/>
      <c r="T20"/>
      <c r="U20"/>
      <c r="V20"/>
      <c r="W20"/>
      <c r="X20"/>
      <c r="Y20"/>
      <c r="Z20"/>
      <c r="AA20"/>
    </row>
    <row r="21" spans="1:27" ht="14.4">
      <c r="A21" t="s">
        <v>557</v>
      </c>
      <c r="B21" s="15" t="s">
        <v>104</v>
      </c>
      <c r="C21" s="15" t="str">
        <f>HYPERLINK("02-项目级\P3-主从数据库复制及性能提升项目\02-全程管理\05-评审管理\05-设计评审\02-详细设计说明书\05-评审报告_详细设计(QCUBIC-XNTS-PR-ReviewRpt)V1.1-engl.xlsx", "engl")</f>
        <v>engl</v>
      </c>
      <c r="D21"/>
      <c r="E21" t="s">
        <v>440</v>
      </c>
      <c r="F21"/>
      <c r="G21" t="s">
        <v>440</v>
      </c>
      <c r="H21" t="s">
        <v>440</v>
      </c>
      <c r="I21" t="s">
        <v>440</v>
      </c>
      <c r="J21"/>
      <c r="K21"/>
      <c r="L21"/>
      <c r="M21"/>
      <c r="N21"/>
      <c r="O21"/>
      <c r="P21"/>
      <c r="Q21"/>
      <c r="R21"/>
      <c r="S21"/>
      <c r="T21"/>
      <c r="U21"/>
      <c r="V21"/>
      <c r="W21"/>
      <c r="X21"/>
      <c r="Y21"/>
      <c r="Z21"/>
      <c r="AA21"/>
    </row>
    <row r="22" spans="1:27" ht="14.4">
      <c r="A22" t="s">
        <v>557</v>
      </c>
      <c r="B22" s="15" t="s">
        <v>104</v>
      </c>
      <c r="C22" s="15" t="str">
        <f>HYPERLINK("02-项目级\P3-主从数据库复制及性能提升项目\02-全程管理\05-评审管理\07-测试评审\02-系统测试用例\05-评审报告_系统测试用例(QCUBIC-XNTS-PR-ReviewRpt)V1.1-engl.xlsx", "engl")</f>
        <v>engl</v>
      </c>
      <c r="D22"/>
      <c r="E22" t="s">
        <v>440</v>
      </c>
      <c r="F22"/>
      <c r="G22" t="s">
        <v>440</v>
      </c>
      <c r="H22" t="s">
        <v>440</v>
      </c>
      <c r="I22" t="s">
        <v>440</v>
      </c>
      <c r="J22" t="s">
        <v>440</v>
      </c>
      <c r="K22"/>
      <c r="L22"/>
      <c r="M22"/>
      <c r="N22"/>
      <c r="O22"/>
      <c r="P22"/>
      <c r="Q22"/>
      <c r="R22"/>
      <c r="S22"/>
      <c r="T22"/>
      <c r="U22"/>
      <c r="V22"/>
      <c r="W22"/>
      <c r="X22"/>
      <c r="Y22"/>
      <c r="Z22"/>
      <c r="AA22"/>
    </row>
    <row r="23" spans="1:27" ht="14.4">
      <c r="A23" t="s">
        <v>557</v>
      </c>
      <c r="B23" s="15" t="s">
        <v>104</v>
      </c>
      <c r="C23" s="15" t="str">
        <f>HYPERLINK("02-项目级\P3-主从数据库复制及性能提升项目\02-全程管理\05-评审管理\03-计划评审\01-评审准备表_项目计划(QCUBIC-XNTS-PR-ReviewPrp)V1.0-engl.docx", "engl")</f>
        <v>engl</v>
      </c>
      <c r="D23"/>
      <c r="E23"/>
      <c r="F23" t="s">
        <v>440</v>
      </c>
      <c r="G23"/>
      <c r="H23"/>
      <c r="I23"/>
      <c r="J23"/>
      <c r="K23"/>
      <c r="L23"/>
      <c r="M23"/>
      <c r="N23"/>
      <c r="O23"/>
      <c r="P23"/>
      <c r="Q23"/>
      <c r="R23"/>
      <c r="S23"/>
      <c r="T23"/>
      <c r="U23"/>
      <c r="V23"/>
      <c r="W23"/>
      <c r="X23"/>
      <c r="Y23"/>
      <c r="Z23"/>
      <c r="AA23"/>
    </row>
    <row r="24" spans="1:27" ht="14.4">
      <c r="A24" t="s">
        <v>557</v>
      </c>
      <c r="B24" s="15" t="s">
        <v>104</v>
      </c>
      <c r="C24" s="15" t="str">
        <f>HYPERLINK("02-项目级\P3-主从数据库复制及性能提升项目\02-全程管理\05-评审管理\03-计划评审\02-评审检查表_项目计划(QCUBIC-XNTS-PR-RevChkList)V1.0-engl.xlsx", "engl")</f>
        <v>engl</v>
      </c>
      <c r="D24"/>
      <c r="E24"/>
      <c r="F24" t="s">
        <v>440</v>
      </c>
      <c r="G24"/>
      <c r="H24"/>
      <c r="I24"/>
      <c r="J24"/>
      <c r="K24"/>
      <c r="L24"/>
      <c r="M24"/>
      <c r="N24"/>
      <c r="O24"/>
      <c r="P24"/>
      <c r="Q24"/>
      <c r="R24"/>
      <c r="S24"/>
      <c r="T24"/>
      <c r="U24"/>
      <c r="V24"/>
      <c r="W24"/>
      <c r="X24"/>
      <c r="Y24"/>
      <c r="Z24"/>
      <c r="AA24"/>
    </row>
    <row r="25" spans="1:27" ht="14.4">
      <c r="A25" t="s">
        <v>557</v>
      </c>
      <c r="B25" s="15" t="s">
        <v>104</v>
      </c>
      <c r="C25" s="15" t="str">
        <f>HYPERLINK("01-组织级\01-组织财富库\01-标准过程文件库\03-支持类\05-评审管理\评审管理过程文件(QCUBIC-SPI-VV-Proc-Doc)V1.2-engl.docx", "engl")</f>
        <v>engl</v>
      </c>
      <c r="D25"/>
      <c r="E25"/>
      <c r="F25" t="s">
        <v>440</v>
      </c>
      <c r="G25"/>
      <c r="H25" t="s">
        <v>440</v>
      </c>
      <c r="I25"/>
      <c r="J25"/>
      <c r="K25"/>
      <c r="L25"/>
      <c r="M25"/>
      <c r="N25"/>
      <c r="O25"/>
      <c r="P25"/>
      <c r="Q25"/>
      <c r="R25"/>
      <c r="S25"/>
      <c r="T25"/>
      <c r="U25"/>
      <c r="V25"/>
      <c r="W25"/>
      <c r="X25"/>
      <c r="Y25"/>
      <c r="Z25"/>
      <c r="AA25"/>
    </row>
    <row r="26" spans="1:27" ht="14.4">
      <c r="A26" t="s">
        <v>557</v>
      </c>
      <c r="B26" s="15" t="s">
        <v>104</v>
      </c>
      <c r="C26" s="15" t="str">
        <f>HYPERLINK("01-组织级\01-组织财富库\01-标准过程文件库\03-支持类\05-评审管理\评审指南(QCUBIC-SPI-VV-Guid-Review)V1.2-engl.docx", "engl")</f>
        <v>engl</v>
      </c>
      <c r="D26"/>
      <c r="E26"/>
      <c r="F26" t="s">
        <v>440</v>
      </c>
      <c r="G26"/>
      <c r="H26"/>
      <c r="I26"/>
      <c r="J26"/>
      <c r="K26"/>
      <c r="L26"/>
      <c r="M26"/>
      <c r="N26"/>
      <c r="O26"/>
      <c r="P26"/>
      <c r="Q26"/>
      <c r="R26"/>
      <c r="S26"/>
      <c r="T26"/>
      <c r="U26"/>
      <c r="V26"/>
      <c r="W26"/>
      <c r="X26"/>
      <c r="Y26"/>
      <c r="Z26"/>
      <c r="AA26"/>
    </row>
    <row r="27" spans="1:27" ht="14.4">
      <c r="A27" t="s">
        <v>557</v>
      </c>
      <c r="B27" s="15" t="s">
        <v>104</v>
      </c>
      <c r="C27" s="15" t="str">
        <f>HYPERLINK("02-项目级\P3-主从数据库复制及性能提升项目\02-全程管理\05-评审管理\01-评审缺陷管理表(QCUBIC-XNTS-MC-DefectList)V1.0-engl.xlsx", "engl")</f>
        <v>engl</v>
      </c>
      <c r="D27"/>
      <c r="E27"/>
      <c r="F27"/>
      <c r="G27"/>
      <c r="H27"/>
      <c r="I27" t="s">
        <v>440</v>
      </c>
      <c r="J27" t="s">
        <v>440</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8" customWidth="1"/>
    <col min="2" max="4" width="7.88671875" style="118" customWidth="1"/>
    <col min="5" max="11" width="15.6640625" style="118" customWidth="1"/>
    <col min="12" max="12" width="50.6640625" style="118" customWidth="1"/>
    <col min="13" max="13" width="3.6640625" style="118" customWidth="1"/>
    <col min="14" max="14" width="21" style="118" customWidth="1"/>
    <col min="15" max="15" width="87.88671875" style="118" customWidth="1"/>
    <col min="16" max="17" width="15.6640625" style="118" customWidth="1"/>
    <col min="18" max="16384" width="8.6640625" style="118"/>
  </cols>
  <sheetData>
    <row r="1" spans="1:27" ht="18">
      <c r="A1" s="106" t="s">
        <v>693</v>
      </c>
      <c r="B1" s="106"/>
      <c r="C1" s="106"/>
      <c r="D1" s="106"/>
      <c r="E1" s="107"/>
      <c r="F1" s="108"/>
      <c r="G1" s="109"/>
      <c r="H1" s="109"/>
      <c r="I1" s="109"/>
      <c r="J1" s="109"/>
      <c r="K1" s="109"/>
      <c r="L1" s="109"/>
      <c r="M1" s="109"/>
      <c r="N1" s="109"/>
      <c r="O1" s="109"/>
      <c r="P1" s="109"/>
      <c r="Q1" s="149"/>
    </row>
    <row r="2" spans="1:27">
      <c r="A2" s="111" t="s">
        <v>461</v>
      </c>
      <c r="B2" s="111"/>
      <c r="C2" s="111"/>
      <c r="D2" s="111"/>
      <c r="E2" s="108" t="s">
        <v>196</v>
      </c>
      <c r="F2" s="108"/>
      <c r="G2" s="109"/>
      <c r="H2" s="109"/>
      <c r="I2" s="109"/>
      <c r="J2" s="109"/>
      <c r="K2" s="109"/>
      <c r="L2" s="109"/>
      <c r="M2" s="109"/>
      <c r="N2" s="109"/>
      <c r="O2" s="109"/>
      <c r="P2" s="109"/>
      <c r="Q2" s="111"/>
    </row>
    <row r="3" spans="1:27">
      <c r="A3" s="108" t="s">
        <v>462</v>
      </c>
      <c r="B3" s="108"/>
      <c r="C3" s="108"/>
      <c r="D3" s="108"/>
      <c r="E3" s="108" t="s">
        <v>197</v>
      </c>
      <c r="F3" s="108"/>
      <c r="G3" s="109"/>
      <c r="H3" s="109"/>
      <c r="I3" s="109"/>
      <c r="J3" s="109"/>
      <c r="K3" s="109"/>
      <c r="L3" s="109"/>
      <c r="M3" s="109"/>
      <c r="N3" s="109"/>
      <c r="O3" s="109"/>
      <c r="P3" s="109"/>
      <c r="Q3" s="94"/>
    </row>
    <row r="4" spans="1:27">
      <c r="A4" s="112"/>
      <c r="B4" s="112"/>
      <c r="C4" s="112"/>
      <c r="D4" s="112"/>
      <c r="E4" s="113" t="s">
        <v>47</v>
      </c>
      <c r="F4" s="150"/>
      <c r="G4" s="114" t="s">
        <v>54</v>
      </c>
      <c r="H4" s="115"/>
      <c r="I4" s="114"/>
      <c r="J4" s="117" t="s">
        <v>56</v>
      </c>
      <c r="K4" s="151"/>
      <c r="L4" s="111"/>
      <c r="M4" s="111"/>
      <c r="N4" s="111"/>
      <c r="O4" s="108"/>
      <c r="P4" s="108"/>
      <c r="Q4" s="108"/>
      <c r="R4" s="108"/>
      <c r="S4" s="111"/>
    </row>
    <row r="5" spans="1:27">
      <c r="A5" s="119"/>
      <c r="B5" s="119"/>
      <c r="C5" s="119"/>
      <c r="D5" s="119"/>
      <c r="E5" s="120" t="s">
        <v>560</v>
      </c>
      <c r="F5" s="150"/>
      <c r="G5" s="121" t="s">
        <v>561</v>
      </c>
      <c r="H5" s="115"/>
      <c r="I5" s="121"/>
      <c r="J5" s="117" t="s">
        <v>562</v>
      </c>
      <c r="K5" s="151"/>
      <c r="L5" s="111"/>
      <c r="M5" s="111"/>
      <c r="N5" s="111"/>
      <c r="O5" s="109"/>
      <c r="P5" s="108"/>
      <c r="Q5" s="119"/>
      <c r="R5" s="108"/>
      <c r="S5" s="111"/>
      <c r="T5" s="119"/>
    </row>
    <row r="6" spans="1:27">
      <c r="A6" s="123"/>
      <c r="B6" s="123"/>
      <c r="C6" s="123"/>
      <c r="D6" s="123"/>
      <c r="E6" s="3" t="s">
        <v>198</v>
      </c>
      <c r="F6" s="3" t="s">
        <v>199</v>
      </c>
      <c r="G6" s="91" t="s">
        <v>200</v>
      </c>
      <c r="H6" s="91" t="s">
        <v>201</v>
      </c>
      <c r="I6" s="91" t="s">
        <v>202</v>
      </c>
      <c r="J6" s="92" t="s">
        <v>203</v>
      </c>
      <c r="K6" s="93" t="s">
        <v>204</v>
      </c>
      <c r="L6" s="94"/>
      <c r="M6" s="94"/>
      <c r="N6" s="94"/>
      <c r="O6" s="109"/>
      <c r="P6" s="109"/>
      <c r="Q6" s="108"/>
    </row>
    <row r="7" spans="1:27" ht="150.6" customHeight="1">
      <c r="A7" s="125" t="s">
        <v>664</v>
      </c>
      <c r="B7" s="125"/>
      <c r="C7" s="125"/>
      <c r="D7" s="125"/>
      <c r="E7" s="98" t="s">
        <v>694</v>
      </c>
      <c r="F7" s="98" t="s">
        <v>695</v>
      </c>
      <c r="G7" s="98" t="s">
        <v>696</v>
      </c>
      <c r="H7" s="98" t="s">
        <v>697</v>
      </c>
      <c r="I7" s="98" t="s">
        <v>698</v>
      </c>
      <c r="J7" s="98" t="s">
        <v>699</v>
      </c>
      <c r="K7" s="98" t="s">
        <v>700</v>
      </c>
      <c r="L7" s="94"/>
      <c r="M7" s="94"/>
      <c r="N7" s="94"/>
      <c r="O7" s="94"/>
      <c r="P7" s="94"/>
      <c r="Q7" s="94"/>
    </row>
    <row r="8" spans="1:27" ht="107.4" customHeight="1">
      <c r="A8" s="123" t="s">
        <v>574</v>
      </c>
      <c r="B8" s="123"/>
      <c r="C8" s="123"/>
      <c r="D8" s="123"/>
      <c r="E8" s="152" t="s">
        <v>701</v>
      </c>
      <c r="F8" s="152" t="s">
        <v>702</v>
      </c>
      <c r="G8" s="152" t="s">
        <v>703</v>
      </c>
      <c r="H8" s="152" t="s">
        <v>704</v>
      </c>
      <c r="I8" s="152" t="s">
        <v>705</v>
      </c>
      <c r="J8" s="152" t="s">
        <v>706</v>
      </c>
      <c r="K8" s="152" t="s">
        <v>707</v>
      </c>
      <c r="L8" s="128"/>
      <c r="M8" s="128"/>
      <c r="N8" s="128"/>
      <c r="O8" s="94"/>
      <c r="P8" s="94"/>
      <c r="Q8" s="94"/>
    </row>
    <row r="9" spans="1:27" ht="144" customHeight="1">
      <c r="A9" s="123" t="s">
        <v>96</v>
      </c>
      <c r="B9" s="123"/>
      <c r="C9" s="123"/>
      <c r="D9" s="123"/>
      <c r="E9" s="126" t="s">
        <v>708</v>
      </c>
      <c r="F9" s="126" t="s">
        <v>709</v>
      </c>
      <c r="G9" s="126" t="s">
        <v>710</v>
      </c>
      <c r="H9" s="126" t="s">
        <v>711</v>
      </c>
      <c r="I9" s="126" t="s">
        <v>712</v>
      </c>
      <c r="J9" s="126" t="s">
        <v>713</v>
      </c>
      <c r="K9" s="126" t="s">
        <v>714</v>
      </c>
      <c r="L9" s="128"/>
      <c r="M9" s="128"/>
      <c r="N9" s="128"/>
      <c r="O9" s="94"/>
      <c r="P9" s="94"/>
      <c r="Q9" s="94"/>
    </row>
    <row r="10" spans="1:27" ht="96.6">
      <c r="A10" s="123" t="s">
        <v>595</v>
      </c>
      <c r="B10" s="123"/>
      <c r="C10" s="123"/>
      <c r="D10" s="123"/>
      <c r="E10" s="142"/>
      <c r="F10" s="142"/>
      <c r="G10" s="157" t="s">
        <v>715</v>
      </c>
      <c r="H10" s="157" t="s">
        <v>716</v>
      </c>
      <c r="I10" s="157" t="s">
        <v>717</v>
      </c>
      <c r="J10" s="157" t="s">
        <v>718</v>
      </c>
      <c r="K10" s="157" t="s">
        <v>719</v>
      </c>
      <c r="L10" s="101"/>
      <c r="M10" s="101"/>
      <c r="N10" s="101"/>
    </row>
    <row r="11" spans="1:27" s="110" customFormat="1" ht="55.2">
      <c r="A11" s="145" t="s">
        <v>85</v>
      </c>
      <c r="B11" s="145"/>
      <c r="C11" s="145"/>
      <c r="D11" s="145"/>
      <c r="E11" s="158"/>
      <c r="F11" s="158"/>
      <c r="G11" s="158" t="s">
        <v>720</v>
      </c>
      <c r="H11" s="158" t="s">
        <v>721</v>
      </c>
      <c r="I11" s="158" t="s">
        <v>722</v>
      </c>
      <c r="J11" s="158" t="s">
        <v>723</v>
      </c>
      <c r="K11" s="158" t="s">
        <v>724</v>
      </c>
      <c r="L11" s="159"/>
      <c r="M11" s="159"/>
      <c r="N11" s="159"/>
    </row>
    <row r="15" spans="1:27" customFormat="1">
      <c r="A15" t="s">
        <v>457</v>
      </c>
      <c r="B15" t="s">
        <v>104</v>
      </c>
      <c r="C15" t="s">
        <v>105</v>
      </c>
      <c r="D15" s="296" t="s">
        <v>456</v>
      </c>
      <c r="E15" s="14" t="s">
        <v>198</v>
      </c>
      <c r="F15" s="14" t="s">
        <v>199</v>
      </c>
      <c r="G15" s="14" t="s">
        <v>200</v>
      </c>
      <c r="H15" s="14" t="s">
        <v>201</v>
      </c>
      <c r="I15" s="14" t="s">
        <v>202</v>
      </c>
      <c r="J15" s="14" t="s">
        <v>203</v>
      </c>
      <c r="K15" s="14" t="s">
        <v>204</v>
      </c>
    </row>
    <row r="16" spans="1:27">
      <c r="A16" t="s">
        <v>557</v>
      </c>
      <c r="B16" s="15" t="s">
        <v>104</v>
      </c>
      <c r="C16" s="15" t="str">
        <f>HYPERLINK("02-项目级\P3-主从数据库复制及性能提升项目\01-生存周期\07-测试\01-测试计划(QCUBIC-XNTS-VV-TestPlan)V1.0-engl.docx", "engl")</f>
        <v>engl</v>
      </c>
      <c r="D16"/>
      <c r="E16" t="s">
        <v>440</v>
      </c>
      <c r="F16" t="s">
        <v>440</v>
      </c>
      <c r="G16" t="s">
        <v>440</v>
      </c>
      <c r="H16" t="s">
        <v>440</v>
      </c>
      <c r="I16" t="s">
        <v>440</v>
      </c>
      <c r="J16" t="s">
        <v>440</v>
      </c>
      <c r="K16" t="s">
        <v>440</v>
      </c>
      <c r="L16"/>
      <c r="M16"/>
      <c r="N16"/>
      <c r="O16"/>
      <c r="P16"/>
      <c r="Q16"/>
      <c r="R16"/>
      <c r="S16"/>
      <c r="T16"/>
      <c r="U16"/>
      <c r="V16"/>
      <c r="W16"/>
      <c r="X16"/>
      <c r="Y16"/>
      <c r="Z16"/>
      <c r="AA16"/>
    </row>
    <row r="17" spans="1:27">
      <c r="A17" t="s">
        <v>557</v>
      </c>
      <c r="B17" s="15" t="s">
        <v>104</v>
      </c>
      <c r="C17" s="15" t="str">
        <f>HYPERLINK("02-项目级\P3-主从数据库复制及性能提升项目\01-生存周期\07-测试\03-系统测试\03-系统测试BUG管理表(QCUBIC-XNTS-VV-STBugList)V1.0-engl.xlsx", "engl")</f>
        <v>engl</v>
      </c>
      <c r="D17"/>
      <c r="E17" t="s">
        <v>440</v>
      </c>
      <c r="F17" t="s">
        <v>440</v>
      </c>
      <c r="G17" t="s">
        <v>440</v>
      </c>
      <c r="H17" t="s">
        <v>440</v>
      </c>
      <c r="I17"/>
      <c r="J17"/>
      <c r="K17"/>
      <c r="L17"/>
      <c r="M17"/>
      <c r="N17"/>
      <c r="O17"/>
      <c r="P17"/>
      <c r="Q17"/>
      <c r="R17"/>
      <c r="S17"/>
      <c r="T17"/>
      <c r="U17"/>
      <c r="V17"/>
      <c r="W17"/>
      <c r="X17"/>
      <c r="Y17"/>
      <c r="Z17"/>
      <c r="AA17"/>
    </row>
    <row r="18" spans="1:27">
      <c r="A18" t="s">
        <v>557</v>
      </c>
      <c r="B18" s="15" t="s">
        <v>104</v>
      </c>
      <c r="C18" s="15" t="str">
        <f>HYPERLINK("02-项目级\P3-主从数据库复制及性能提升项目\01-生存周期\07-测试\03-系统测试\04-系统测试报告(QCUBIC-XNTS-VV-TestReport-SystemTest)V1.0-engl.docx", "engl")</f>
        <v>engl</v>
      </c>
      <c r="D18"/>
      <c r="E18" t="s">
        <v>440</v>
      </c>
      <c r="F18"/>
      <c r="G18" t="s">
        <v>440</v>
      </c>
      <c r="H18" t="s">
        <v>440</v>
      </c>
      <c r="I18" t="s">
        <v>440</v>
      </c>
      <c r="J18"/>
      <c r="K18" t="s">
        <v>440</v>
      </c>
      <c r="L18"/>
      <c r="M18"/>
      <c r="N18"/>
      <c r="O18"/>
      <c r="P18"/>
      <c r="Q18"/>
      <c r="R18"/>
      <c r="S18"/>
      <c r="T18"/>
      <c r="U18"/>
      <c r="V18"/>
      <c r="W18"/>
      <c r="X18"/>
      <c r="Y18"/>
      <c r="Z18"/>
      <c r="AA18"/>
    </row>
    <row r="19" spans="1:27">
      <c r="A19" t="s">
        <v>557</v>
      </c>
      <c r="B19" s="15" t="s">
        <v>104</v>
      </c>
      <c r="C19" s="15" t="str">
        <f>HYPERLINK("02-项目级\P3-主从数据库复制及性能提升项目\01-生存周期\07-测试\02-集成测试\04-集成测试报告(QCUBIC-XNTS-LP_VV_IntegrationTestRet)V1.0-engl.docx", "engl")</f>
        <v>engl</v>
      </c>
      <c r="D19"/>
      <c r="E19" t="s">
        <v>440</v>
      </c>
      <c r="F19"/>
      <c r="G19" t="s">
        <v>440</v>
      </c>
      <c r="H19" t="s">
        <v>440</v>
      </c>
      <c r="I19" t="s">
        <v>440</v>
      </c>
      <c r="J19"/>
      <c r="K19" t="s">
        <v>440</v>
      </c>
      <c r="L19"/>
      <c r="M19"/>
      <c r="N19"/>
      <c r="O19"/>
      <c r="P19"/>
      <c r="Q19"/>
      <c r="R19"/>
      <c r="S19"/>
      <c r="T19"/>
      <c r="U19"/>
      <c r="V19"/>
      <c r="W19"/>
      <c r="X19"/>
      <c r="Y19"/>
      <c r="Z19"/>
      <c r="AA19"/>
    </row>
    <row r="20" spans="1:27">
      <c r="A20" t="s">
        <v>557</v>
      </c>
      <c r="B20" s="15" t="s">
        <v>104</v>
      </c>
      <c r="C20" s="15" t="str">
        <f>HYPERLINK("02-项目级\P3-主从数据库复制及性能提升项目\01-生存周期\08-试运行及验收\02-验收\01-验收计划(QCUBIC-XNTS-DA-AcceptencePlan)V1.0-engl.docx", "engl")</f>
        <v>engl</v>
      </c>
      <c r="D20"/>
      <c r="E20"/>
      <c r="F20" t="s">
        <v>440</v>
      </c>
      <c r="G20"/>
      <c r="H20"/>
      <c r="I20" t="s">
        <v>440</v>
      </c>
      <c r="J20" t="s">
        <v>440</v>
      </c>
      <c r="K20"/>
      <c r="L20"/>
      <c r="M20"/>
      <c r="N20"/>
      <c r="O20"/>
      <c r="P20"/>
      <c r="Q20"/>
      <c r="R20"/>
      <c r="S20"/>
      <c r="T20"/>
      <c r="U20"/>
      <c r="V20"/>
      <c r="W20"/>
      <c r="X20"/>
      <c r="Y20"/>
      <c r="Z20"/>
      <c r="AA20"/>
    </row>
    <row r="21" spans="1:27">
      <c r="A21" t="s">
        <v>557</v>
      </c>
      <c r="B21" s="15" t="s">
        <v>104</v>
      </c>
      <c r="C21" s="15" t="str">
        <f>HYPERLINK("02-项目级\P3-主从数据库复制及性能提升项目\01-生存周期\08-试运行及验收\02-验收\03-验收报告(QCUBIC-XNTS-VV-TestReport-AcceptenceReport)V1.0-engl.docx", "engl")</f>
        <v>engl</v>
      </c>
      <c r="D21"/>
      <c r="E21"/>
      <c r="F21" t="s">
        <v>440</v>
      </c>
      <c r="G21"/>
      <c r="H21"/>
      <c r="I21" t="s">
        <v>440</v>
      </c>
      <c r="J21"/>
      <c r="K21" t="s">
        <v>440</v>
      </c>
      <c r="L21"/>
      <c r="M21"/>
      <c r="N21"/>
      <c r="O21"/>
      <c r="P21"/>
      <c r="Q21"/>
      <c r="R21"/>
      <c r="S21"/>
      <c r="T21"/>
      <c r="U21"/>
      <c r="V21"/>
      <c r="W21"/>
      <c r="X21"/>
      <c r="Y21"/>
      <c r="Z21"/>
      <c r="AA21"/>
    </row>
    <row r="22" spans="1:27">
      <c r="A22" t="s">
        <v>557</v>
      </c>
      <c r="B22" s="15" t="s">
        <v>104</v>
      </c>
      <c r="C22" s="15" t="str">
        <f>HYPERLINK("01-组织级\01-组织财富库\01-标准过程文件库\02-软件工程规范\05-测试\测试用例规范(QCUBIC-SPI-VV-Tem-STD-TestExampleStd)V1.2-engl.docx",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HYPERLINK("01-组织级\01-组织财富库\01-标准过程文件库\02-软件工程规范\06-试运行及验收\试运行及验收过程文件(QCUBIC-SPI-DA-Proc-Doc)V1.2-engl.docx",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HYPERLINK("01-组织级\01-组织财富库\01-标准过程文件库\02-软件工程规范\05-测试\软件测试过程文件(QCUBIC-SPI-Tes-Proc-Doc)V1.2-engl.docx", "engl")</f>
        <v>engl</v>
      </c>
      <c r="D24"/>
      <c r="E24"/>
      <c r="F24"/>
      <c r="G24"/>
      <c r="H24"/>
      <c r="I24" t="s">
        <v>440</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9" customWidth="1"/>
    <col min="2" max="4" width="7.88671875" style="119" customWidth="1"/>
    <col min="5" max="6" width="18.6640625" style="119" customWidth="1"/>
    <col min="7" max="10" width="18.6640625" style="137" customWidth="1"/>
    <col min="11" max="11" width="102.88671875" style="137" customWidth="1"/>
    <col min="12" max="12" width="3.6640625" style="137" customWidth="1"/>
    <col min="13" max="13" width="31.33203125" style="137" customWidth="1"/>
    <col min="14" max="14" width="78.33203125" style="119" customWidth="1"/>
    <col min="15" max="16384" width="8.6640625" style="119"/>
  </cols>
  <sheetData>
    <row r="1" spans="1:27" s="160" customFormat="1" ht="18">
      <c r="A1" s="106" t="s">
        <v>725</v>
      </c>
      <c r="B1" s="106"/>
      <c r="C1" s="106"/>
      <c r="D1" s="106"/>
      <c r="G1" s="161"/>
      <c r="H1" s="161"/>
      <c r="I1" s="161"/>
      <c r="J1" s="161"/>
      <c r="K1" s="161"/>
      <c r="L1" s="161"/>
      <c r="M1" s="161"/>
    </row>
    <row r="2" spans="1:27" s="108" customFormat="1">
      <c r="A2" s="111" t="s">
        <v>461</v>
      </c>
      <c r="B2" s="111"/>
      <c r="C2" s="111"/>
      <c r="D2" s="111"/>
      <c r="E2" s="108" t="s">
        <v>156</v>
      </c>
      <c r="G2" s="137"/>
      <c r="H2" s="137"/>
      <c r="I2" s="137"/>
      <c r="J2" s="137"/>
      <c r="K2" s="137"/>
      <c r="L2" s="137"/>
      <c r="M2" s="137"/>
    </row>
    <row r="3" spans="1:27" s="108" customFormat="1">
      <c r="A3" s="108" t="s">
        <v>462</v>
      </c>
      <c r="E3" s="108" t="s">
        <v>157</v>
      </c>
      <c r="G3" s="137"/>
      <c r="H3" s="137"/>
      <c r="I3" s="137"/>
      <c r="J3" s="137"/>
      <c r="K3" s="137"/>
      <c r="L3" s="137"/>
      <c r="M3" s="137"/>
    </row>
    <row r="4" spans="1:27" ht="14.4">
      <c r="A4" s="112"/>
      <c r="B4" s="112"/>
      <c r="C4" s="112"/>
      <c r="D4" s="112"/>
      <c r="E4" s="113" t="s">
        <v>47</v>
      </c>
      <c r="F4" s="114" t="s">
        <v>54</v>
      </c>
      <c r="G4" s="114"/>
      <c r="H4" s="115"/>
      <c r="I4" s="114"/>
      <c r="J4" s="117" t="s">
        <v>56</v>
      </c>
      <c r="K4" s="108"/>
      <c r="L4" s="108"/>
      <c r="M4" s="108"/>
      <c r="N4" s="118"/>
    </row>
    <row r="5" spans="1:27" s="131" customFormat="1" ht="14.4">
      <c r="A5" s="119"/>
      <c r="B5" s="119"/>
      <c r="C5" s="119"/>
      <c r="D5" s="119"/>
      <c r="E5" s="120" t="s">
        <v>560</v>
      </c>
      <c r="F5" s="121" t="s">
        <v>561</v>
      </c>
      <c r="G5" s="121"/>
      <c r="H5" s="115"/>
      <c r="I5" s="121"/>
      <c r="J5" s="117" t="s">
        <v>562</v>
      </c>
      <c r="K5" s="108"/>
      <c r="L5" s="108"/>
      <c r="M5" s="108"/>
      <c r="N5" s="118"/>
    </row>
    <row r="6" spans="1:27" s="131" customFormat="1">
      <c r="A6" s="136"/>
      <c r="B6" s="136"/>
      <c r="C6" s="136"/>
      <c r="D6" s="136"/>
      <c r="E6" s="3" t="s">
        <v>158</v>
      </c>
      <c r="F6" s="91" t="s">
        <v>159</v>
      </c>
      <c r="G6" s="91" t="s">
        <v>161</v>
      </c>
      <c r="H6" s="91" t="s">
        <v>162</v>
      </c>
      <c r="I6" s="91" t="s">
        <v>163</v>
      </c>
      <c r="J6" s="92" t="s">
        <v>164</v>
      </c>
      <c r="K6" s="94"/>
      <c r="L6" s="94"/>
      <c r="M6" s="94"/>
    </row>
    <row r="7" spans="1:27" s="131" customFormat="1" ht="123" customHeight="1">
      <c r="A7" s="125" t="s">
        <v>664</v>
      </c>
      <c r="B7" s="125"/>
      <c r="C7" s="125"/>
      <c r="D7" s="125"/>
      <c r="E7" s="98" t="s">
        <v>726</v>
      </c>
      <c r="F7" s="98" t="s">
        <v>727</v>
      </c>
      <c r="G7" s="98" t="s">
        <v>728</v>
      </c>
      <c r="H7" s="98" t="s">
        <v>729</v>
      </c>
      <c r="I7" s="98" t="s">
        <v>730</v>
      </c>
      <c r="J7" s="98" t="s">
        <v>731</v>
      </c>
      <c r="K7" s="94"/>
      <c r="L7" s="94"/>
      <c r="M7" s="94"/>
    </row>
    <row r="8" spans="1:27" s="131" customFormat="1" ht="83.4" customHeight="1">
      <c r="A8" s="136" t="s">
        <v>574</v>
      </c>
      <c r="B8" s="136"/>
      <c r="C8" s="136"/>
      <c r="D8" s="136"/>
      <c r="E8" s="99" t="s">
        <v>732</v>
      </c>
      <c r="F8" s="99" t="s">
        <v>733</v>
      </c>
      <c r="G8" s="99" t="s">
        <v>734</v>
      </c>
      <c r="H8" s="99" t="s">
        <v>735</v>
      </c>
      <c r="I8" s="99" t="s">
        <v>736</v>
      </c>
      <c r="J8" s="99" t="s">
        <v>737</v>
      </c>
      <c r="K8" s="100"/>
      <c r="L8" s="100"/>
      <c r="M8" s="100"/>
    </row>
    <row r="9" spans="1:27" s="131" customFormat="1" ht="180">
      <c r="A9" s="136" t="s">
        <v>96</v>
      </c>
      <c r="B9" s="136"/>
      <c r="C9" s="136"/>
      <c r="D9" s="136"/>
      <c r="E9" s="99" t="s">
        <v>738</v>
      </c>
      <c r="F9" s="99" t="s">
        <v>739</v>
      </c>
      <c r="G9" s="99" t="s">
        <v>740</v>
      </c>
      <c r="H9" s="99" t="s">
        <v>741</v>
      </c>
      <c r="I9" s="99" t="s">
        <v>742</v>
      </c>
      <c r="J9" s="99" t="s">
        <v>743</v>
      </c>
      <c r="K9" s="100"/>
      <c r="L9" s="100"/>
      <c r="M9" s="100"/>
    </row>
    <row r="10" spans="1:27" s="131" customFormat="1" ht="207">
      <c r="A10" s="123" t="s">
        <v>595</v>
      </c>
      <c r="B10" s="123"/>
      <c r="C10" s="123"/>
      <c r="D10" s="123"/>
      <c r="E10" s="103" t="s">
        <v>744</v>
      </c>
      <c r="F10" s="103" t="s">
        <v>745</v>
      </c>
      <c r="G10" s="103" t="s">
        <v>746</v>
      </c>
      <c r="H10" s="103" t="s">
        <v>747</v>
      </c>
      <c r="I10" s="103" t="s">
        <v>748</v>
      </c>
      <c r="J10" s="103" t="s">
        <v>749</v>
      </c>
      <c r="K10" s="153"/>
      <c r="L10" s="153"/>
      <c r="M10" s="153"/>
    </row>
    <row r="11" spans="1:27" s="131" customFormat="1" ht="134.4">
      <c r="A11" s="162" t="s">
        <v>85</v>
      </c>
      <c r="B11" s="162"/>
      <c r="C11" s="162"/>
      <c r="D11" s="162"/>
      <c r="E11" s="104"/>
      <c r="F11" s="163" t="s">
        <v>750</v>
      </c>
      <c r="G11" s="103" t="s">
        <v>751</v>
      </c>
      <c r="H11" s="103" t="s">
        <v>752</v>
      </c>
      <c r="I11" s="164" t="s">
        <v>753</v>
      </c>
      <c r="J11" s="103" t="s">
        <v>754</v>
      </c>
      <c r="K11" s="153"/>
      <c r="L11" s="153"/>
      <c r="M11" s="153"/>
      <c r="N11" s="137"/>
      <c r="O11" s="137"/>
      <c r="P11" s="137"/>
      <c r="Q11" s="137"/>
    </row>
    <row r="12" spans="1:27" s="118" customFormat="1" ht="14.4">
      <c r="A12" s="119"/>
      <c r="B12" s="119"/>
      <c r="C12" s="119"/>
      <c r="D12" s="119"/>
      <c r="E12" s="119"/>
      <c r="F12" s="119"/>
      <c r="G12" s="137"/>
      <c r="H12" s="137"/>
      <c r="I12" s="137"/>
      <c r="J12" s="137"/>
      <c r="K12" s="137"/>
      <c r="L12" s="137"/>
      <c r="M12" s="137"/>
    </row>
    <row r="13" spans="1:27" s="118" customFormat="1" ht="14.4">
      <c r="A13" s="119"/>
      <c r="B13" s="119"/>
      <c r="C13" s="119"/>
      <c r="D13" s="119"/>
      <c r="E13" s="119"/>
      <c r="F13" s="119"/>
      <c r="G13" s="137"/>
      <c r="H13" s="137"/>
      <c r="I13" s="137"/>
      <c r="J13" s="137"/>
      <c r="K13" s="137"/>
      <c r="L13" s="137"/>
      <c r="M13" s="137"/>
    </row>
    <row r="14" spans="1:27" s="118" customFormat="1" ht="14.4">
      <c r="A14" s="119"/>
      <c r="B14" s="119"/>
      <c r="C14" s="119"/>
      <c r="D14" s="119"/>
      <c r="E14" s="119"/>
      <c r="F14" s="119"/>
      <c r="G14" s="137"/>
      <c r="H14" s="137"/>
      <c r="I14" s="137"/>
      <c r="J14" s="137"/>
      <c r="K14" s="137"/>
      <c r="L14" s="137"/>
      <c r="M14" s="137"/>
    </row>
    <row r="15" spans="1:27" customFormat="1" ht="14.4">
      <c r="A15" t="s">
        <v>457</v>
      </c>
      <c r="B15" t="s">
        <v>104</v>
      </c>
      <c r="C15" t="s">
        <v>105</v>
      </c>
      <c r="D15" s="296" t="s">
        <v>456</v>
      </c>
      <c r="E15" s="14" t="s">
        <v>158</v>
      </c>
      <c r="F15" s="14" t="s">
        <v>159</v>
      </c>
      <c r="G15" s="14" t="s">
        <v>161</v>
      </c>
      <c r="H15" s="14" t="s">
        <v>162</v>
      </c>
      <c r="I15" s="14" t="s">
        <v>163</v>
      </c>
      <c r="J15" s="14" t="s">
        <v>164</v>
      </c>
    </row>
    <row r="16" spans="1:27" s="131" customFormat="1" ht="14.4">
      <c r="A16" t="s">
        <v>557</v>
      </c>
      <c r="B16" s="15" t="s">
        <v>104</v>
      </c>
      <c r="C16" s="15" t="str">
        <f>HYPERLINK("01-组织级\02-组织工作库\03-PQA活动库\组织级的质量保证计划(QCUBIC-SPI-PQA-OQAPlan)V1.4-engl.xlsx", "engl")</f>
        <v>engl</v>
      </c>
      <c r="D16"/>
      <c r="E16" t="s">
        <v>440</v>
      </c>
      <c r="F16" t="s">
        <v>440</v>
      </c>
      <c r="G16" t="s">
        <v>440</v>
      </c>
      <c r="H16" t="s">
        <v>440</v>
      </c>
      <c r="I16" t="s">
        <v>440</v>
      </c>
      <c r="J16" t="s">
        <v>440</v>
      </c>
      <c r="K16"/>
      <c r="L16"/>
      <c r="M16"/>
      <c r="N16"/>
      <c r="O16"/>
      <c r="P16"/>
      <c r="Q16"/>
      <c r="R16"/>
      <c r="S16"/>
      <c r="T16"/>
      <c r="U16"/>
      <c r="V16"/>
      <c r="W16"/>
      <c r="X16"/>
      <c r="Y16"/>
      <c r="Z16"/>
      <c r="AA16"/>
    </row>
    <row r="17" spans="1:27" s="131" customFormat="1" ht="14.4">
      <c r="A17" t="s">
        <v>557</v>
      </c>
      <c r="B17" s="15" t="s">
        <v>104</v>
      </c>
      <c r="C17" s="15" t="str">
        <f>HYPERLINK("01-组织级\02-组织工作库\03-PQA活动库\组织级不符合项管理表(QCUBIC-SPI-PQA-NCList)V1.2-engl.xlsx", "engl")</f>
        <v>engl</v>
      </c>
      <c r="D17"/>
      <c r="E17" t="s">
        <v>440</v>
      </c>
      <c r="F17" t="s">
        <v>440</v>
      </c>
      <c r="G17"/>
      <c r="H17" t="s">
        <v>440</v>
      </c>
      <c r="I17" t="s">
        <v>440</v>
      </c>
      <c r="J17"/>
      <c r="K17"/>
      <c r="L17"/>
      <c r="M17"/>
      <c r="N17"/>
      <c r="O17"/>
      <c r="P17"/>
      <c r="Q17"/>
      <c r="R17"/>
      <c r="S17"/>
      <c r="T17"/>
      <c r="U17"/>
      <c r="V17"/>
      <c r="W17"/>
      <c r="X17"/>
      <c r="Y17"/>
      <c r="Z17"/>
      <c r="AA17"/>
    </row>
    <row r="18" spans="1:27" s="131" customFormat="1" ht="14.4">
      <c r="A18" t="s">
        <v>557</v>
      </c>
      <c r="B18" s="15" t="s">
        <v>104</v>
      </c>
      <c r="C18" s="15" t="str">
        <f>HYPERLINK("01-组织级\02-组织工作库\03-PQA活动库\组织级工作产品和过程检查表(QCUBIC-ORG-PQA-Checklist_20200627)V1.0-engl.xlsx", "engl")</f>
        <v>engl</v>
      </c>
      <c r="D18"/>
      <c r="E18"/>
      <c r="F18"/>
      <c r="G18" t="s">
        <v>440</v>
      </c>
      <c r="H18"/>
      <c r="I18"/>
      <c r="J18"/>
      <c r="K18"/>
      <c r="L18"/>
      <c r="M18"/>
      <c r="N18"/>
      <c r="O18"/>
      <c r="P18"/>
      <c r="Q18"/>
      <c r="R18"/>
      <c r="S18"/>
      <c r="T18"/>
      <c r="U18"/>
      <c r="V18"/>
      <c r="W18"/>
      <c r="X18"/>
      <c r="Y18"/>
      <c r="Z18"/>
      <c r="AA18"/>
    </row>
    <row r="19" spans="1:27" s="131" customFormat="1" ht="14.4">
      <c r="A19" t="s">
        <v>557</v>
      </c>
      <c r="B19" s="15" t="s">
        <v>104</v>
      </c>
      <c r="C19" s="15" t="str">
        <f>HYPERLINK("01-组织级\02-组织工作库\03-PQA活动库\组织质量保证报告\质量保证报告(QCUBIC-SPI-PQA-Report_20200627)V1.0-engl.xlsx", "engl")</f>
        <v>engl</v>
      </c>
      <c r="D19"/>
      <c r="E19"/>
      <c r="F19"/>
      <c r="G19"/>
      <c r="H19"/>
      <c r="I19" t="s">
        <v>440</v>
      </c>
      <c r="J19"/>
      <c r="K19"/>
      <c r="L19"/>
      <c r="M19"/>
      <c r="N19"/>
      <c r="O19"/>
      <c r="P19"/>
      <c r="Q19"/>
      <c r="R19"/>
      <c r="S19"/>
      <c r="T19"/>
      <c r="U19"/>
      <c r="V19"/>
      <c r="W19"/>
      <c r="X19"/>
      <c r="Y19"/>
      <c r="Z19"/>
      <c r="AA19"/>
    </row>
    <row r="20" spans="1:27" s="131" customFormat="1" ht="14.4">
      <c r="A20" t="s">
        <v>557</v>
      </c>
      <c r="B20" s="15" t="s">
        <v>104</v>
      </c>
      <c r="C20" s="15" t="str">
        <f>HYPERLINK("01-组织级\02-组织工作库\02-EPG活动库\07-EPG跟踪\05-过程改进建议表\过程改进建议表(QCUBIC-SPI-PIM-SPIAdvic)V1.2-engl.xlsx", "engl")</f>
        <v>engl</v>
      </c>
      <c r="D20"/>
      <c r="E20"/>
      <c r="F20"/>
      <c r="G20"/>
      <c r="H20"/>
      <c r="I20"/>
      <c r="J20" t="s">
        <v>440</v>
      </c>
      <c r="K20"/>
      <c r="L20"/>
      <c r="M20"/>
      <c r="N20"/>
      <c r="O20"/>
      <c r="P20"/>
      <c r="Q20"/>
      <c r="R20"/>
      <c r="S20"/>
      <c r="T20"/>
      <c r="U20"/>
      <c r="V20"/>
      <c r="W20"/>
      <c r="X20"/>
      <c r="Y20"/>
      <c r="Z20"/>
      <c r="AA20"/>
    </row>
    <row r="21" spans="1:27" s="131" customFormat="1" ht="14.4">
      <c r="A21"/>
      <c r="B21"/>
      <c r="C21"/>
      <c r="D21"/>
      <c r="E21"/>
      <c r="F21"/>
      <c r="G21"/>
      <c r="H21"/>
      <c r="I21"/>
      <c r="J21"/>
      <c r="K21"/>
      <c r="L21"/>
      <c r="M21"/>
      <c r="N21"/>
      <c r="O21"/>
      <c r="P21"/>
      <c r="Q21"/>
      <c r="R21"/>
      <c r="S21"/>
      <c r="T21"/>
      <c r="U21"/>
      <c r="V21"/>
      <c r="W21"/>
      <c r="X21"/>
      <c r="Y21"/>
      <c r="Z21"/>
      <c r="AA21"/>
    </row>
    <row r="22" spans="1:27" s="131" customFormat="1" ht="14.4">
      <c r="A22"/>
      <c r="B22"/>
      <c r="C22"/>
      <c r="D22"/>
      <c r="E22"/>
      <c r="F22"/>
      <c r="G22"/>
      <c r="H22"/>
      <c r="I22"/>
      <c r="J22"/>
      <c r="K22"/>
      <c r="L22"/>
      <c r="M22"/>
      <c r="N22"/>
      <c r="O22"/>
      <c r="P22"/>
      <c r="Q22"/>
      <c r="R22"/>
      <c r="S22"/>
      <c r="T22"/>
      <c r="U22"/>
      <c r="V22"/>
      <c r="W22"/>
      <c r="X22"/>
      <c r="Y22"/>
      <c r="Z22"/>
      <c r="AA22"/>
    </row>
    <row r="23" spans="1:27" s="131" customFormat="1" ht="14.4">
      <c r="A23"/>
      <c r="B23"/>
      <c r="C23"/>
      <c r="D23"/>
      <c r="E23"/>
      <c r="F23"/>
      <c r="G23"/>
      <c r="H23"/>
      <c r="I23"/>
      <c r="J23"/>
      <c r="K23"/>
      <c r="L23"/>
      <c r="M23"/>
      <c r="N23"/>
      <c r="O23"/>
      <c r="P23"/>
      <c r="Q23"/>
      <c r="R23"/>
      <c r="S23"/>
      <c r="T23"/>
      <c r="U23"/>
      <c r="V23"/>
      <c r="W23"/>
      <c r="X23"/>
      <c r="Y23"/>
      <c r="Z23"/>
      <c r="AA23"/>
    </row>
    <row r="24" spans="1:27" s="141" customFormat="1" ht="14.4">
      <c r="A24"/>
      <c r="B24"/>
      <c r="C24"/>
      <c r="D24"/>
      <c r="E24"/>
      <c r="F24"/>
      <c r="G24"/>
      <c r="H24"/>
      <c r="I24"/>
      <c r="J24"/>
      <c r="K24"/>
      <c r="L24"/>
      <c r="M24"/>
      <c r="N24"/>
      <c r="O24"/>
      <c r="P24"/>
      <c r="Q24"/>
      <c r="R24"/>
      <c r="S24"/>
      <c r="T24"/>
      <c r="U24"/>
      <c r="V24"/>
      <c r="W24"/>
      <c r="X24"/>
      <c r="Y24"/>
      <c r="Z24"/>
      <c r="AA24"/>
    </row>
    <row r="25" spans="1:27" s="141" customFormat="1" ht="14.4">
      <c r="A25"/>
      <c r="B25"/>
      <c r="C25"/>
      <c r="D25"/>
      <c r="E25"/>
      <c r="F25"/>
      <c r="G25"/>
      <c r="H25"/>
      <c r="I25"/>
      <c r="J25"/>
      <c r="K25"/>
      <c r="L25"/>
      <c r="M25"/>
      <c r="N25"/>
      <c r="O25"/>
      <c r="P25"/>
      <c r="Q25"/>
      <c r="R25"/>
      <c r="S25"/>
      <c r="T25"/>
      <c r="U25"/>
      <c r="V25"/>
      <c r="W25"/>
      <c r="X25"/>
      <c r="Y25"/>
      <c r="Z25"/>
      <c r="AA25"/>
    </row>
    <row r="26" spans="1:27" s="141" customFormat="1" ht="14.4">
      <c r="A26"/>
      <c r="B26"/>
      <c r="C26"/>
      <c r="D26"/>
      <c r="E26"/>
      <c r="F26"/>
      <c r="G26"/>
      <c r="H26"/>
      <c r="I26"/>
      <c r="J26"/>
      <c r="K26"/>
      <c r="L26"/>
      <c r="M26"/>
      <c r="N26"/>
      <c r="O26"/>
      <c r="P26"/>
      <c r="Q26"/>
      <c r="R26"/>
      <c r="S26"/>
      <c r="T26"/>
      <c r="U26"/>
      <c r="V26"/>
      <c r="W26"/>
      <c r="X26"/>
      <c r="Y26"/>
      <c r="Z26"/>
      <c r="AA26"/>
    </row>
    <row r="27" spans="1:27" s="141" customFormat="1" ht="14.4">
      <c r="A27"/>
      <c r="B27"/>
      <c r="C27"/>
      <c r="D27"/>
      <c r="E27"/>
      <c r="F27"/>
      <c r="G27"/>
      <c r="H27"/>
      <c r="I27"/>
      <c r="J27"/>
      <c r="K27"/>
      <c r="L27"/>
      <c r="M27"/>
      <c r="N27"/>
      <c r="O27"/>
      <c r="P27"/>
      <c r="Q27"/>
      <c r="R27"/>
      <c r="S27"/>
      <c r="T27"/>
      <c r="U27"/>
      <c r="V27"/>
      <c r="W27"/>
      <c r="X27"/>
      <c r="Y27"/>
      <c r="Z27"/>
      <c r="AA27"/>
    </row>
    <row r="28" spans="1:27" s="141" customFormat="1" ht="14.4">
      <c r="A28"/>
      <c r="B28"/>
      <c r="C28"/>
      <c r="D28"/>
      <c r="E28"/>
      <c r="F28"/>
      <c r="G28"/>
      <c r="H28"/>
      <c r="I28"/>
      <c r="J28"/>
      <c r="K28"/>
      <c r="L28"/>
      <c r="M28"/>
      <c r="N28"/>
      <c r="O28"/>
      <c r="P28"/>
      <c r="Q28"/>
      <c r="R28"/>
      <c r="S28"/>
      <c r="T28"/>
      <c r="U28"/>
      <c r="V28"/>
      <c r="W28"/>
      <c r="X28"/>
      <c r="Y28"/>
      <c r="Z28"/>
      <c r="AA28"/>
    </row>
    <row r="29" spans="1:27" s="141" customFormat="1" ht="14.4">
      <c r="A29"/>
      <c r="B29"/>
      <c r="C29"/>
      <c r="D29"/>
      <c r="E29"/>
      <c r="F29"/>
      <c r="G29"/>
      <c r="H29"/>
      <c r="I29"/>
      <c r="J29"/>
      <c r="K29"/>
      <c r="L29"/>
      <c r="M29"/>
      <c r="N29"/>
      <c r="O29"/>
      <c r="P29"/>
      <c r="Q29"/>
      <c r="R29"/>
      <c r="S29"/>
      <c r="T29"/>
      <c r="U29"/>
      <c r="V29"/>
      <c r="W29"/>
      <c r="X29"/>
      <c r="Y29"/>
      <c r="Z29"/>
      <c r="AA29"/>
    </row>
    <row r="30" spans="1:27" s="141" customFormat="1" ht="14.4">
      <c r="A30"/>
      <c r="B30"/>
      <c r="C30"/>
      <c r="D30"/>
      <c r="E30"/>
      <c r="F30"/>
      <c r="G30"/>
      <c r="H30"/>
      <c r="I30"/>
      <c r="J30"/>
      <c r="K30"/>
      <c r="L30"/>
      <c r="M30"/>
      <c r="N30"/>
      <c r="O30"/>
      <c r="P30"/>
      <c r="Q30"/>
      <c r="R30"/>
      <c r="S30"/>
      <c r="T30"/>
      <c r="U30"/>
      <c r="V30"/>
      <c r="W30"/>
      <c r="X30"/>
      <c r="Y30"/>
      <c r="Z30"/>
      <c r="AA30"/>
    </row>
    <row r="31" spans="1:27" s="141" customFormat="1" ht="14.4">
      <c r="A31"/>
      <c r="B31"/>
      <c r="C31"/>
      <c r="D31"/>
      <c r="E31"/>
      <c r="F31"/>
      <c r="G31"/>
      <c r="H31"/>
      <c r="I31"/>
      <c r="J31"/>
      <c r="K31"/>
      <c r="L31"/>
      <c r="M31"/>
      <c r="N31"/>
      <c r="O31"/>
      <c r="P31"/>
      <c r="Q31"/>
      <c r="R31"/>
      <c r="S31"/>
      <c r="T31"/>
      <c r="U31"/>
      <c r="V31"/>
      <c r="W31"/>
      <c r="X31"/>
      <c r="Y31"/>
      <c r="Z31"/>
      <c r="AA31"/>
    </row>
    <row r="32" spans="1:27" s="141" customFormat="1" ht="14.4">
      <c r="A32"/>
      <c r="B32"/>
      <c r="C32"/>
      <c r="D32"/>
      <c r="E32"/>
      <c r="F32"/>
      <c r="G32"/>
      <c r="H32"/>
      <c r="I32"/>
      <c r="J32"/>
      <c r="K32"/>
      <c r="L32"/>
      <c r="M32"/>
      <c r="N32"/>
      <c r="O32"/>
      <c r="P32"/>
      <c r="Q32"/>
      <c r="R32"/>
      <c r="S32"/>
      <c r="T32"/>
      <c r="U32"/>
      <c r="V32"/>
      <c r="W32"/>
      <c r="X32"/>
      <c r="Y32"/>
      <c r="Z32"/>
      <c r="AA32"/>
    </row>
    <row r="33" spans="1:27" s="141" customFormat="1" ht="14.4">
      <c r="A33"/>
      <c r="B33"/>
      <c r="C33"/>
      <c r="D33"/>
      <c r="E33"/>
      <c r="F33"/>
      <c r="G33"/>
      <c r="H33"/>
      <c r="I33"/>
      <c r="J33"/>
      <c r="K33"/>
      <c r="L33"/>
      <c r="M33"/>
      <c r="N33"/>
      <c r="O33"/>
      <c r="P33"/>
      <c r="Q33"/>
      <c r="R33"/>
      <c r="S33"/>
      <c r="T33"/>
      <c r="U33"/>
      <c r="V33"/>
      <c r="W33"/>
      <c r="X33"/>
      <c r="Y33"/>
      <c r="Z33"/>
      <c r="AA33"/>
    </row>
    <row r="34" spans="1:27" s="141" customFormat="1" ht="14.4">
      <c r="A34"/>
      <c r="B34"/>
      <c r="C34"/>
      <c r="D34"/>
      <c r="E34"/>
      <c r="F34"/>
      <c r="G34"/>
      <c r="H34"/>
      <c r="I34"/>
      <c r="J34"/>
      <c r="K34"/>
      <c r="L34"/>
      <c r="M34"/>
      <c r="N34"/>
      <c r="O34"/>
      <c r="P34"/>
      <c r="Q34"/>
      <c r="R34"/>
      <c r="S34"/>
      <c r="T34"/>
      <c r="U34"/>
      <c r="V34"/>
      <c r="W34"/>
      <c r="X34"/>
      <c r="Y34"/>
      <c r="Z34"/>
      <c r="AA34"/>
    </row>
    <row r="35" spans="1:27" s="141" customFormat="1" ht="14.4">
      <c r="A35"/>
      <c r="B35"/>
      <c r="C35"/>
      <c r="D35"/>
      <c r="E35"/>
      <c r="F35"/>
      <c r="G35"/>
      <c r="H35"/>
      <c r="I35"/>
      <c r="J35"/>
      <c r="K35"/>
      <c r="L35"/>
      <c r="M35"/>
      <c r="N35"/>
      <c r="O35"/>
      <c r="P35"/>
      <c r="Q35"/>
      <c r="R35"/>
      <c r="S35"/>
      <c r="T35"/>
      <c r="U35"/>
      <c r="V35"/>
      <c r="W35"/>
      <c r="X35"/>
      <c r="Y35"/>
      <c r="Z35"/>
      <c r="AA35"/>
    </row>
    <row r="36" spans="1:27" s="141" customFormat="1" ht="14.4">
      <c r="A36"/>
      <c r="B36"/>
      <c r="C36"/>
      <c r="D36"/>
      <c r="E36"/>
      <c r="F36"/>
      <c r="G36"/>
      <c r="H36"/>
      <c r="I36"/>
      <c r="J36"/>
      <c r="K36"/>
      <c r="L36"/>
      <c r="M36"/>
      <c r="N36"/>
      <c r="O36"/>
      <c r="P36"/>
      <c r="Q36"/>
      <c r="R36"/>
      <c r="S36"/>
      <c r="T36"/>
      <c r="U36"/>
      <c r="V36"/>
      <c r="W36"/>
      <c r="X36"/>
      <c r="Y36"/>
      <c r="Z36"/>
      <c r="AA36"/>
    </row>
    <row r="37" spans="1:27" s="141" customFormat="1" ht="14.4">
      <c r="A37"/>
      <c r="B37"/>
      <c r="C37"/>
      <c r="D37"/>
      <c r="E37"/>
      <c r="F37"/>
      <c r="G37"/>
      <c r="H37"/>
      <c r="I37"/>
      <c r="J37"/>
      <c r="K37"/>
      <c r="L37"/>
      <c r="M37"/>
      <c r="N37"/>
      <c r="O37"/>
      <c r="P37"/>
      <c r="Q37"/>
      <c r="R37"/>
      <c r="S37"/>
      <c r="T37"/>
      <c r="U37"/>
      <c r="V37"/>
      <c r="W37"/>
      <c r="X37"/>
      <c r="Y37"/>
      <c r="Z37"/>
      <c r="AA37"/>
    </row>
    <row r="38" spans="1:27" s="141" customFormat="1" ht="14.4">
      <c r="A38"/>
      <c r="B38"/>
      <c r="C38"/>
      <c r="D38"/>
      <c r="E38"/>
      <c r="F38"/>
      <c r="G38"/>
      <c r="H38"/>
      <c r="I38"/>
      <c r="J38"/>
      <c r="K38"/>
      <c r="L38"/>
      <c r="M38"/>
      <c r="N38"/>
      <c r="O38"/>
      <c r="P38"/>
      <c r="Q38"/>
      <c r="R38"/>
      <c r="S38"/>
      <c r="T38"/>
      <c r="U38"/>
      <c r="V38"/>
      <c r="W38"/>
      <c r="X38"/>
      <c r="Y38"/>
      <c r="Z38"/>
      <c r="AA38"/>
    </row>
    <row r="39" spans="1:27" s="141" customFormat="1" ht="14.4">
      <c r="A39"/>
      <c r="B39"/>
      <c r="C39"/>
      <c r="D39"/>
      <c r="E39"/>
      <c r="F39"/>
      <c r="G39"/>
      <c r="H39"/>
      <c r="I39"/>
      <c r="J39"/>
      <c r="K39"/>
      <c r="L39"/>
      <c r="M39"/>
      <c r="N39"/>
      <c r="O39"/>
      <c r="P39"/>
      <c r="Q39"/>
      <c r="R39"/>
      <c r="S39"/>
      <c r="T39"/>
      <c r="U39"/>
      <c r="V39"/>
      <c r="W39"/>
      <c r="X39"/>
      <c r="Y39"/>
      <c r="Z39"/>
      <c r="AA39"/>
    </row>
    <row r="40" spans="1:27" s="141" customFormat="1" ht="14.4">
      <c r="A40"/>
      <c r="B40"/>
      <c r="C40"/>
      <c r="D40"/>
      <c r="E40"/>
      <c r="F40"/>
      <c r="G40"/>
      <c r="H40"/>
      <c r="I40"/>
      <c r="J40"/>
      <c r="K40"/>
      <c r="L40"/>
      <c r="M40"/>
      <c r="N40"/>
      <c r="O40"/>
      <c r="P40"/>
      <c r="Q40"/>
      <c r="R40"/>
      <c r="S40"/>
      <c r="T40"/>
      <c r="U40"/>
      <c r="V40"/>
      <c r="W40"/>
      <c r="X40"/>
      <c r="Y40"/>
      <c r="Z40"/>
      <c r="AA40"/>
    </row>
    <row r="41" spans="1:27" s="141" customFormat="1" ht="14.4">
      <c r="A41"/>
      <c r="B41"/>
      <c r="C41"/>
      <c r="D41"/>
      <c r="E41"/>
      <c r="F41"/>
      <c r="G41"/>
      <c r="H41"/>
      <c r="I41"/>
      <c r="J41"/>
      <c r="K41"/>
      <c r="L41"/>
      <c r="M41"/>
      <c r="N41"/>
      <c r="O41"/>
      <c r="P41"/>
      <c r="Q41"/>
      <c r="R41"/>
      <c r="S41"/>
      <c r="T41"/>
      <c r="U41"/>
      <c r="V41"/>
      <c r="W41"/>
      <c r="X41"/>
      <c r="Y41"/>
      <c r="Z41"/>
      <c r="AA41"/>
    </row>
    <row r="42" spans="1:27" s="141" customFormat="1" ht="14.4">
      <c r="A42"/>
      <c r="B42"/>
      <c r="C42"/>
      <c r="D42"/>
      <c r="E42"/>
      <c r="F42"/>
      <c r="G42"/>
      <c r="H42"/>
      <c r="I42"/>
      <c r="J42"/>
      <c r="K42"/>
      <c r="L42"/>
      <c r="M42"/>
      <c r="N42"/>
      <c r="O42"/>
      <c r="P42"/>
      <c r="Q42"/>
      <c r="R42"/>
      <c r="S42"/>
      <c r="T42"/>
      <c r="U42"/>
      <c r="V42"/>
      <c r="W42"/>
      <c r="X42"/>
      <c r="Y42"/>
      <c r="Z42"/>
      <c r="AA42"/>
    </row>
    <row r="43" spans="1:27" s="141" customFormat="1" ht="14.4">
      <c r="A43"/>
      <c r="B43"/>
      <c r="C43"/>
      <c r="D43"/>
      <c r="E43"/>
      <c r="F43"/>
      <c r="G43"/>
      <c r="H43"/>
      <c r="I43"/>
      <c r="J43"/>
      <c r="K43"/>
      <c r="L43"/>
      <c r="M43"/>
      <c r="N43"/>
      <c r="O43"/>
      <c r="P43"/>
      <c r="Q43"/>
      <c r="R43"/>
      <c r="S43"/>
      <c r="T43"/>
      <c r="U43"/>
      <c r="V43"/>
      <c r="W43"/>
      <c r="X43"/>
      <c r="Y43"/>
      <c r="Z43"/>
      <c r="AA43"/>
    </row>
    <row r="44" spans="1:27" s="141"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10" customWidth="1"/>
    <col min="2" max="4" width="7.88671875" style="110" customWidth="1"/>
    <col min="5" max="18" width="15.6640625" style="118" customWidth="1"/>
    <col min="19" max="19" width="83.109375" style="118" customWidth="1"/>
    <col min="20" max="20" width="3.6640625" style="118" customWidth="1"/>
    <col min="21" max="21" width="45.6640625" style="118" customWidth="1"/>
    <col min="22" max="22" width="121.5546875" style="118" customWidth="1"/>
    <col min="23" max="24" width="15.6640625" style="118" customWidth="1"/>
    <col min="25" max="25" width="20" style="118" bestFit="1" customWidth="1"/>
    <col min="26" max="16384" width="8.6640625" style="118"/>
  </cols>
  <sheetData>
    <row r="1" spans="1:27" s="169" customFormat="1" ht="15.6">
      <c r="A1" s="165" t="s">
        <v>755</v>
      </c>
      <c r="B1" s="165"/>
      <c r="C1" s="165"/>
      <c r="D1" s="165"/>
      <c r="E1" s="166"/>
      <c r="F1" s="166"/>
      <c r="G1" s="167"/>
      <c r="H1" s="167"/>
      <c r="I1" s="167"/>
      <c r="J1" s="167"/>
      <c r="K1" s="167"/>
      <c r="L1" s="167"/>
      <c r="M1" s="167"/>
      <c r="N1" s="167"/>
      <c r="O1" s="167"/>
      <c r="P1" s="167"/>
      <c r="Q1" s="167"/>
      <c r="R1" s="168"/>
      <c r="S1" s="168"/>
      <c r="T1" s="168"/>
      <c r="U1" s="168"/>
    </row>
    <row r="2" spans="1:27">
      <c r="A2" s="111" t="s">
        <v>461</v>
      </c>
      <c r="B2" s="111"/>
      <c r="C2" s="111"/>
      <c r="D2" s="111"/>
      <c r="E2" s="108" t="s">
        <v>176</v>
      </c>
      <c r="F2" s="108"/>
      <c r="G2" s="108"/>
      <c r="H2" s="109"/>
      <c r="I2" s="109"/>
      <c r="J2" s="109"/>
      <c r="K2" s="109"/>
      <c r="L2" s="109"/>
      <c r="M2" s="109"/>
      <c r="N2" s="109"/>
      <c r="O2" s="109"/>
      <c r="P2" s="109"/>
      <c r="Q2" s="109"/>
      <c r="R2" s="111"/>
      <c r="S2" s="111"/>
      <c r="T2" s="111"/>
      <c r="U2" s="111"/>
    </row>
    <row r="3" spans="1:27">
      <c r="A3" s="108" t="s">
        <v>462</v>
      </c>
      <c r="B3" s="108"/>
      <c r="C3" s="108"/>
      <c r="D3" s="108"/>
      <c r="E3" s="108" t="s">
        <v>177</v>
      </c>
      <c r="F3" s="108"/>
      <c r="G3" s="108"/>
      <c r="H3" s="109"/>
      <c r="I3" s="109"/>
      <c r="J3" s="109"/>
      <c r="K3" s="109"/>
      <c r="L3" s="109"/>
      <c r="M3" s="109"/>
      <c r="N3" s="109"/>
      <c r="O3" s="109"/>
      <c r="P3" s="109"/>
      <c r="Q3" s="109"/>
      <c r="R3" s="94"/>
      <c r="S3" s="94"/>
      <c r="T3" s="94"/>
      <c r="U3" s="94"/>
    </row>
    <row r="4" spans="1:27">
      <c r="A4" s="112"/>
      <c r="B4" s="112"/>
      <c r="C4" s="112"/>
      <c r="D4" s="112"/>
      <c r="E4" s="113" t="s">
        <v>47</v>
      </c>
      <c r="F4" s="114" t="s">
        <v>54</v>
      </c>
      <c r="G4" s="114"/>
      <c r="H4" s="115"/>
      <c r="I4" s="114"/>
      <c r="J4" s="116"/>
      <c r="K4" s="116"/>
      <c r="L4" s="117" t="s">
        <v>56</v>
      </c>
      <c r="M4" s="117"/>
      <c r="N4" s="117"/>
      <c r="O4" s="117"/>
      <c r="P4" s="117"/>
      <c r="Q4" s="117"/>
      <c r="R4" s="151"/>
      <c r="S4" s="111"/>
      <c r="T4" s="111"/>
      <c r="U4" s="111"/>
    </row>
    <row r="5" spans="1:27">
      <c r="A5" s="119"/>
      <c r="B5" s="119"/>
      <c r="C5" s="119"/>
      <c r="D5" s="119"/>
      <c r="E5" s="120" t="s">
        <v>560</v>
      </c>
      <c r="F5" s="121" t="s">
        <v>561</v>
      </c>
      <c r="G5" s="121"/>
      <c r="H5" s="115"/>
      <c r="I5" s="121"/>
      <c r="J5" s="116"/>
      <c r="K5" s="116"/>
      <c r="L5" s="117" t="s">
        <v>562</v>
      </c>
      <c r="M5" s="122"/>
      <c r="N5" s="122"/>
      <c r="O5" s="117"/>
      <c r="P5" s="170"/>
      <c r="Q5" s="117"/>
      <c r="R5" s="151"/>
      <c r="S5" s="111"/>
      <c r="T5" s="111"/>
      <c r="U5" s="111"/>
    </row>
    <row r="6" spans="1:27">
      <c r="A6" s="123"/>
      <c r="B6" s="123"/>
      <c r="C6" s="123"/>
      <c r="D6" s="123"/>
      <c r="E6" s="3" t="s">
        <v>178</v>
      </c>
      <c r="F6" s="91" t="s">
        <v>179</v>
      </c>
      <c r="G6" s="91" t="s">
        <v>180</v>
      </c>
      <c r="H6" s="91" t="s">
        <v>181</v>
      </c>
      <c r="I6" s="91" t="s">
        <v>182</v>
      </c>
      <c r="J6" s="91" t="s">
        <v>184</v>
      </c>
      <c r="K6" s="91" t="s">
        <v>185</v>
      </c>
      <c r="L6" s="92" t="s">
        <v>186</v>
      </c>
      <c r="M6" s="92" t="s">
        <v>187</v>
      </c>
      <c r="N6" s="92" t="s">
        <v>188</v>
      </c>
      <c r="O6" s="92" t="s">
        <v>190</v>
      </c>
      <c r="P6" s="92" t="s">
        <v>191</v>
      </c>
      <c r="Q6" s="92" t="s">
        <v>192</v>
      </c>
      <c r="R6" s="93" t="s">
        <v>194</v>
      </c>
      <c r="S6" s="94"/>
      <c r="T6" s="94"/>
      <c r="U6" s="94"/>
    </row>
    <row r="7" spans="1:27" ht="138" customHeight="1">
      <c r="A7" s="125" t="s">
        <v>664</v>
      </c>
      <c r="B7" s="125"/>
      <c r="C7" s="125"/>
      <c r="D7" s="125"/>
      <c r="E7" s="98" t="s">
        <v>756</v>
      </c>
      <c r="F7" s="98" t="s">
        <v>757</v>
      </c>
      <c r="G7" s="98" t="s">
        <v>758</v>
      </c>
      <c r="H7" s="98" t="s">
        <v>759</v>
      </c>
      <c r="I7" s="98" t="s">
        <v>760</v>
      </c>
      <c r="J7" s="98" t="s">
        <v>761</v>
      </c>
      <c r="K7" s="98" t="s">
        <v>762</v>
      </c>
      <c r="L7" s="98" t="s">
        <v>763</v>
      </c>
      <c r="M7" s="98" t="s">
        <v>764</v>
      </c>
      <c r="N7" s="98" t="s">
        <v>765</v>
      </c>
      <c r="O7" s="98" t="s">
        <v>766</v>
      </c>
      <c r="P7" s="98" t="s">
        <v>767</v>
      </c>
      <c r="Q7" s="98" t="s">
        <v>768</v>
      </c>
      <c r="R7" s="98" t="s">
        <v>769</v>
      </c>
      <c r="S7" s="94"/>
      <c r="T7" s="94"/>
      <c r="U7" s="94"/>
    </row>
    <row r="8" spans="1:27" ht="107.85" customHeight="1">
      <c r="A8" s="123" t="s">
        <v>574</v>
      </c>
      <c r="B8" s="123"/>
      <c r="C8" s="123"/>
      <c r="D8" s="123"/>
      <c r="E8" s="99" t="s">
        <v>770</v>
      </c>
      <c r="F8" s="99" t="s">
        <v>771</v>
      </c>
      <c r="G8" s="99" t="s">
        <v>772</v>
      </c>
      <c r="H8" s="99" t="s">
        <v>773</v>
      </c>
      <c r="I8" s="99" t="s">
        <v>774</v>
      </c>
      <c r="J8" s="99" t="s">
        <v>775</v>
      </c>
      <c r="K8" s="99" t="s">
        <v>776</v>
      </c>
      <c r="L8" s="99" t="s">
        <v>777</v>
      </c>
      <c r="M8" s="99" t="s">
        <v>778</v>
      </c>
      <c r="N8" s="99" t="s">
        <v>779</v>
      </c>
      <c r="O8" s="99" t="s">
        <v>780</v>
      </c>
      <c r="P8" s="99" t="s">
        <v>781</v>
      </c>
      <c r="Q8" s="99" t="s">
        <v>782</v>
      </c>
      <c r="R8" s="99" t="s">
        <v>783</v>
      </c>
      <c r="S8" s="100"/>
      <c r="T8" s="100"/>
      <c r="U8" s="100"/>
    </row>
    <row r="9" spans="1:27" ht="165.6" customHeight="1">
      <c r="A9" s="123" t="s">
        <v>96</v>
      </c>
      <c r="B9" s="123"/>
      <c r="C9" s="123"/>
      <c r="D9" s="123"/>
      <c r="E9" s="126" t="s">
        <v>784</v>
      </c>
      <c r="F9" s="126" t="s">
        <v>785</v>
      </c>
      <c r="G9" s="99" t="s">
        <v>786</v>
      </c>
      <c r="H9" s="126" t="s">
        <v>787</v>
      </c>
      <c r="I9" s="126" t="s">
        <v>788</v>
      </c>
      <c r="J9" s="126" t="s">
        <v>789</v>
      </c>
      <c r="K9" s="126" t="s">
        <v>790</v>
      </c>
      <c r="L9" s="126" t="s">
        <v>791</v>
      </c>
      <c r="M9" s="126" t="s">
        <v>792</v>
      </c>
      <c r="N9" s="126" t="s">
        <v>793</v>
      </c>
      <c r="O9" s="126" t="s">
        <v>794</v>
      </c>
      <c r="P9" s="126" t="s">
        <v>795</v>
      </c>
      <c r="Q9" s="126" t="s">
        <v>796</v>
      </c>
      <c r="R9" s="126" t="s">
        <v>797</v>
      </c>
      <c r="S9" s="128"/>
      <c r="T9" s="128"/>
      <c r="U9" s="128"/>
    </row>
    <row r="10" spans="1:27" ht="134.1" customHeight="1">
      <c r="A10" s="123" t="s">
        <v>595</v>
      </c>
      <c r="B10" s="123"/>
      <c r="C10" s="123"/>
      <c r="D10" s="123"/>
      <c r="E10" s="103" t="s">
        <v>798</v>
      </c>
      <c r="F10" s="103" t="s">
        <v>799</v>
      </c>
      <c r="G10" s="103" t="s">
        <v>800</v>
      </c>
      <c r="H10" s="103" t="s">
        <v>801</v>
      </c>
      <c r="I10" s="103" t="s">
        <v>802</v>
      </c>
      <c r="J10" s="104" t="s">
        <v>803</v>
      </c>
      <c r="K10" s="104" t="s">
        <v>804</v>
      </c>
      <c r="L10" s="104" t="s">
        <v>805</v>
      </c>
      <c r="M10" s="103" t="s">
        <v>806</v>
      </c>
      <c r="N10" s="103" t="s">
        <v>807</v>
      </c>
      <c r="O10" s="103" t="s">
        <v>808</v>
      </c>
      <c r="P10" s="103" t="s">
        <v>809</v>
      </c>
      <c r="Q10" s="103" t="s">
        <v>810</v>
      </c>
      <c r="R10" s="103" t="s">
        <v>811</v>
      </c>
      <c r="S10" s="153"/>
      <c r="T10" s="153"/>
      <c r="U10" s="153"/>
    </row>
    <row r="11" spans="1:27" ht="82.8">
      <c r="A11" s="136" t="s">
        <v>85</v>
      </c>
      <c r="B11" s="136"/>
      <c r="C11" s="136"/>
      <c r="D11" s="136"/>
      <c r="E11" s="103"/>
      <c r="F11" s="103" t="s">
        <v>812</v>
      </c>
      <c r="G11" s="103" t="s">
        <v>813</v>
      </c>
      <c r="H11" s="103" t="s">
        <v>814</v>
      </c>
      <c r="I11" s="103" t="s">
        <v>815</v>
      </c>
      <c r="J11" s="104" t="s">
        <v>816</v>
      </c>
      <c r="K11" s="104" t="s">
        <v>817</v>
      </c>
      <c r="L11" s="104" t="s">
        <v>818</v>
      </c>
      <c r="M11" s="103" t="s">
        <v>819</v>
      </c>
      <c r="N11" s="103" t="s">
        <v>820</v>
      </c>
      <c r="O11" s="103" t="s">
        <v>821</v>
      </c>
      <c r="P11" s="103" t="s">
        <v>822</v>
      </c>
      <c r="Q11" s="103" t="s">
        <v>823</v>
      </c>
      <c r="R11" s="103" t="s">
        <v>824</v>
      </c>
      <c r="S11" s="153"/>
      <c r="T11" s="153"/>
      <c r="U11" s="153"/>
    </row>
    <row r="15" spans="1:27" customFormat="1">
      <c r="A15" t="s">
        <v>457</v>
      </c>
      <c r="B15" t="s">
        <v>104</v>
      </c>
      <c r="C15" t="s">
        <v>105</v>
      </c>
      <c r="D15" s="296" t="s">
        <v>456</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557</v>
      </c>
      <c r="B16" s="15" t="s">
        <v>104</v>
      </c>
      <c r="C16" s="15" t="str">
        <f>HYPERLINK("02-项目级\P3-主从数据库复制及性能提升项目\01-生存周期\04-需求\04-需求调研报告\01-需求调研报告(QCUBIC-XNTS-RDM-Report-20220113pm)V1.0-engl.docx", "engl")</f>
        <v>engl</v>
      </c>
      <c r="D16"/>
      <c r="E16" t="s">
        <v>440</v>
      </c>
      <c r="F16"/>
      <c r="G16"/>
      <c r="H16"/>
      <c r="I16"/>
      <c r="J16"/>
      <c r="K16"/>
      <c r="L16"/>
      <c r="M16"/>
      <c r="N16"/>
      <c r="O16"/>
      <c r="P16"/>
      <c r="Q16"/>
      <c r="R16" t="s">
        <v>440</v>
      </c>
      <c r="S16"/>
      <c r="T16"/>
      <c r="U16"/>
      <c r="V16"/>
      <c r="W16"/>
      <c r="X16"/>
      <c r="Y16"/>
      <c r="Z16"/>
      <c r="AA16"/>
    </row>
    <row r="17" spans="1:27">
      <c r="A17" t="s">
        <v>557</v>
      </c>
      <c r="B17" s="15" t="s">
        <v>104</v>
      </c>
      <c r="C17" s="15" t="str">
        <f>HYPERLINK("02-项目级\P3-主从数据库复制及性能提升项目\01-生存周期\04-需求\02-需求规格说明书 (QCUBIC-XNTS-RDM-SRS)V1.1-engl.docx", "engl")</f>
        <v>engl</v>
      </c>
      <c r="D17"/>
      <c r="E17" t="s">
        <v>440</v>
      </c>
      <c r="F17" t="s">
        <v>440</v>
      </c>
      <c r="G17" t="s">
        <v>440</v>
      </c>
      <c r="H17" t="s">
        <v>440</v>
      </c>
      <c r="I17" t="s">
        <v>440</v>
      </c>
      <c r="J17" t="s">
        <v>440</v>
      </c>
      <c r="K17"/>
      <c r="L17" t="s">
        <v>440</v>
      </c>
      <c r="M17" t="s">
        <v>440</v>
      </c>
      <c r="N17" t="s">
        <v>440</v>
      </c>
      <c r="O17" t="s">
        <v>440</v>
      </c>
      <c r="P17" t="s">
        <v>440</v>
      </c>
      <c r="Q17" t="s">
        <v>440</v>
      </c>
      <c r="R17" t="s">
        <v>440</v>
      </c>
      <c r="S17"/>
      <c r="T17"/>
      <c r="U17"/>
      <c r="V17"/>
      <c r="W17"/>
      <c r="X17"/>
      <c r="Y17"/>
      <c r="Z17"/>
      <c r="AA17"/>
    </row>
    <row r="18" spans="1:27">
      <c r="A18" t="s">
        <v>557</v>
      </c>
      <c r="B18" s="15" t="s">
        <v>104</v>
      </c>
      <c r="C18" s="15" t="str">
        <f>HYPERLINK("02-项目级\P3-主从数据库复制及性能提升项目\01-生存周期\04-需求\03-用户需求说明书(QCUBIC-XNTS-RDM-CRS)V1.1-engl.docx", "engl")</f>
        <v>engl</v>
      </c>
      <c r="D18"/>
      <c r="E18"/>
      <c r="F18" t="s">
        <v>440</v>
      </c>
      <c r="G18" t="s">
        <v>440</v>
      </c>
      <c r="H18" t="s">
        <v>440</v>
      </c>
      <c r="I18" t="s">
        <v>440</v>
      </c>
      <c r="J18"/>
      <c r="K18"/>
      <c r="L18"/>
      <c r="M18"/>
      <c r="N18"/>
      <c r="O18"/>
      <c r="P18"/>
      <c r="Q18"/>
      <c r="R18"/>
      <c r="S18"/>
      <c r="T18"/>
      <c r="U18"/>
      <c r="V18"/>
      <c r="W18"/>
      <c r="X18"/>
      <c r="Y18"/>
      <c r="Z18"/>
      <c r="AA18"/>
    </row>
    <row r="19" spans="1:27">
      <c r="A19" t="s">
        <v>557</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440</v>
      </c>
      <c r="I19" t="s">
        <v>440</v>
      </c>
      <c r="J19"/>
      <c r="K19"/>
      <c r="L19"/>
      <c r="M19"/>
      <c r="N19"/>
      <c r="O19"/>
      <c r="P19" t="s">
        <v>440</v>
      </c>
      <c r="Q19" t="s">
        <v>440</v>
      </c>
      <c r="R19" t="s">
        <v>440</v>
      </c>
      <c r="S19"/>
      <c r="T19"/>
      <c r="U19"/>
      <c r="V19"/>
      <c r="W19"/>
      <c r="X19"/>
      <c r="Y19"/>
      <c r="Z19"/>
      <c r="AA19"/>
    </row>
    <row r="20" spans="1:27">
      <c r="A20" t="s">
        <v>557</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440</v>
      </c>
      <c r="J20"/>
      <c r="K20"/>
      <c r="L20"/>
      <c r="M20"/>
      <c r="N20"/>
      <c r="O20"/>
      <c r="P20" t="s">
        <v>440</v>
      </c>
      <c r="Q20"/>
      <c r="R20"/>
      <c r="S20"/>
      <c r="T20"/>
      <c r="U20"/>
      <c r="V20"/>
      <c r="W20"/>
      <c r="X20"/>
      <c r="Y20"/>
      <c r="Z20"/>
      <c r="AA20"/>
    </row>
    <row r="21" spans="1:27">
      <c r="A21" t="s">
        <v>557</v>
      </c>
      <c r="B21" s="15" t="s">
        <v>104</v>
      </c>
      <c r="C21" s="15" t="str">
        <f>HYPERLINK("02-项目级\P3-主从数据库复制及性能提升项目\01-生存周期\04-需求\05-需求跟踪矩阵\01-需求跟踪矩阵(QCUBIC-XNTS-RDM-RTX)V1.1-engl.xlsx", "engl")</f>
        <v>engl</v>
      </c>
      <c r="D21"/>
      <c r="E21"/>
      <c r="F21"/>
      <c r="G21"/>
      <c r="H21"/>
      <c r="I21"/>
      <c r="J21" t="s">
        <v>440</v>
      </c>
      <c r="K21" t="s">
        <v>440</v>
      </c>
      <c r="L21"/>
      <c r="M21"/>
      <c r="N21"/>
      <c r="O21"/>
      <c r="P21"/>
      <c r="Q21"/>
      <c r="R21"/>
      <c r="S21"/>
      <c r="T21"/>
      <c r="U21"/>
      <c r="V21"/>
      <c r="W21"/>
      <c r="X21"/>
      <c r="Y21"/>
      <c r="Z21"/>
      <c r="AA21"/>
    </row>
    <row r="22" spans="1:27">
      <c r="A22" t="s">
        <v>557</v>
      </c>
      <c r="B22" s="15" t="s">
        <v>104</v>
      </c>
      <c r="C22" s="15" t="str">
        <f>HYPERLINK("02-项目级\P3-主从数据库复制及性能提升项目\01-生存周期\03-项目策划\03-项目计划书 (QCUBIC-XNTS-PLAN-Plan)V1.1-engl.docx", "engl")</f>
        <v>engl</v>
      </c>
      <c r="D22"/>
      <c r="E22"/>
      <c r="F22"/>
      <c r="G22"/>
      <c r="H22"/>
      <c r="I22"/>
      <c r="J22"/>
      <c r="K22" t="s">
        <v>440</v>
      </c>
      <c r="L22"/>
      <c r="M22"/>
      <c r="N22"/>
      <c r="O22"/>
      <c r="P22"/>
      <c r="Q22"/>
      <c r="R22"/>
      <c r="S22"/>
      <c r="T22"/>
      <c r="U22"/>
      <c r="V22"/>
      <c r="W22"/>
      <c r="X22"/>
      <c r="Y22"/>
      <c r="Z22"/>
      <c r="AA22"/>
    </row>
    <row r="23" spans="1:27">
      <c r="A23" t="s">
        <v>557</v>
      </c>
      <c r="B23" s="15" t="s">
        <v>104</v>
      </c>
      <c r="C23" s="15" t="str">
        <f>HYPERLINK("02-项目级\P3-主从数据库复制及性能提升项目\01-生存周期\04-需求\01-需求调研计划(QCUBIC-XNTS-RDM-Plan)V1.0-engl.docx",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HYPERLINK("02-项目级\P3-主从数据库复制及性能提升项目\02-全程管理\06-变更管理\03-变更结果报告(QCUBIC-XNTS-mc-changereport_001)V1.0-engl.docx", "engl")</f>
        <v>engl</v>
      </c>
      <c r="D24"/>
      <c r="E24"/>
      <c r="F24"/>
      <c r="G24"/>
      <c r="H24"/>
      <c r="I24"/>
      <c r="J24"/>
      <c r="K24" t="s">
        <v>440</v>
      </c>
      <c r="L24" t="s">
        <v>440</v>
      </c>
      <c r="M24"/>
      <c r="N24"/>
      <c r="O24"/>
      <c r="P24"/>
      <c r="Q24"/>
      <c r="R24"/>
      <c r="S24"/>
      <c r="T24"/>
      <c r="U24"/>
      <c r="V24"/>
      <c r="W24"/>
      <c r="X24"/>
      <c r="Y24"/>
      <c r="Z24"/>
      <c r="AA24"/>
    </row>
    <row r="25" spans="1:27">
      <c r="A25" t="s">
        <v>557</v>
      </c>
      <c r="B25" s="15" t="s">
        <v>104</v>
      </c>
      <c r="C25" s="15" t="str">
        <f>HYPERLINK("02-项目级\P3-主从数据库复制及性能提升项目\02-全程管理\06-变更管理\02-变更列表(QCUBIC-XNTS-MC-CRecoRDM)V1.0-engl.xlsx", "engl")</f>
        <v>engl</v>
      </c>
      <c r="D25"/>
      <c r="E25"/>
      <c r="F25"/>
      <c r="G25"/>
      <c r="H25"/>
      <c r="I25"/>
      <c r="J25"/>
      <c r="K25"/>
      <c r="L25" t="s">
        <v>440</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9" customWidth="1"/>
    <col min="2" max="4" width="7.88671875" style="119" customWidth="1"/>
    <col min="5" max="7" width="15.6640625" style="119" customWidth="1"/>
    <col min="8" max="9" width="15.6640625" style="137" customWidth="1"/>
    <col min="10" max="15" width="15.6640625" style="119" customWidth="1"/>
    <col min="16" max="16" width="15.6640625" style="119" hidden="1" customWidth="1"/>
    <col min="17" max="17" width="15" style="119" customWidth="1"/>
    <col min="18" max="18" width="3.6640625" style="119" customWidth="1"/>
    <col min="19" max="19" width="40.109375" style="119" bestFit="1" customWidth="1"/>
    <col min="20" max="20" width="87.33203125" style="119" customWidth="1"/>
    <col min="21" max="16384" width="8.6640625" style="119"/>
  </cols>
  <sheetData>
    <row r="1" spans="1:27" s="108" customFormat="1" ht="18">
      <c r="A1" s="106" t="s">
        <v>825</v>
      </c>
      <c r="B1" s="106"/>
      <c r="C1" s="106"/>
      <c r="D1" s="106"/>
      <c r="E1" s="107"/>
      <c r="H1" s="137"/>
      <c r="I1" s="137"/>
      <c r="T1" s="119"/>
    </row>
    <row r="2" spans="1:27" s="108" customFormat="1">
      <c r="A2" s="111" t="s">
        <v>461</v>
      </c>
      <c r="B2" s="111"/>
      <c r="C2" s="111"/>
      <c r="D2" s="111"/>
      <c r="E2" s="370" t="s">
        <v>253</v>
      </c>
      <c r="F2" s="370"/>
      <c r="G2" s="370"/>
      <c r="H2" s="370"/>
      <c r="I2" s="370"/>
      <c r="J2" s="370"/>
      <c r="T2" s="119"/>
    </row>
    <row r="3" spans="1:27" s="108" customFormat="1">
      <c r="A3" s="108" t="s">
        <v>462</v>
      </c>
      <c r="E3" s="108" t="s">
        <v>428</v>
      </c>
      <c r="H3" s="137"/>
      <c r="I3" s="137"/>
      <c r="T3" s="119"/>
    </row>
    <row r="4" spans="1:27" s="108" customFormat="1" ht="14.4">
      <c r="A4" s="112"/>
      <c r="B4" s="112"/>
      <c r="C4" s="112"/>
      <c r="D4" s="112"/>
      <c r="E4" s="113" t="s">
        <v>47</v>
      </c>
      <c r="F4" s="150"/>
      <c r="G4" s="113"/>
      <c r="H4" s="114" t="s">
        <v>54</v>
      </c>
      <c r="I4" s="114"/>
      <c r="J4" s="117" t="s">
        <v>56</v>
      </c>
      <c r="K4" s="151"/>
      <c r="L4" s="151"/>
      <c r="M4" s="117"/>
      <c r="N4" s="117"/>
      <c r="O4" s="117" t="s">
        <v>56</v>
      </c>
      <c r="P4" s="174" t="s">
        <v>57</v>
      </c>
      <c r="Q4" s="118"/>
      <c r="R4" s="118"/>
      <c r="S4" s="118"/>
      <c r="T4" s="119"/>
      <c r="U4" s="111"/>
      <c r="V4" s="118"/>
      <c r="W4" s="118"/>
    </row>
    <row r="5" spans="1:27" ht="14.4">
      <c r="E5" s="120" t="s">
        <v>560</v>
      </c>
      <c r="F5" s="150"/>
      <c r="G5" s="120"/>
      <c r="H5" s="121" t="s">
        <v>561</v>
      </c>
      <c r="I5" s="121"/>
      <c r="J5" s="117" t="s">
        <v>562</v>
      </c>
      <c r="K5" s="151"/>
      <c r="L5" s="151"/>
      <c r="M5" s="122"/>
      <c r="N5" s="122"/>
      <c r="O5" s="117" t="s">
        <v>562</v>
      </c>
      <c r="P5" s="175" t="s">
        <v>826</v>
      </c>
      <c r="U5" s="111"/>
      <c r="W5" s="118"/>
    </row>
    <row r="6" spans="1:27">
      <c r="A6" s="136"/>
      <c r="B6" s="136"/>
      <c r="C6" s="136"/>
      <c r="D6" s="136"/>
      <c r="E6" s="176" t="s">
        <v>254</v>
      </c>
      <c r="F6" s="176" t="s">
        <v>255</v>
      </c>
      <c r="G6" s="176" t="s">
        <v>256</v>
      </c>
      <c r="H6" s="91" t="s">
        <v>257</v>
      </c>
      <c r="I6" s="91" t="s">
        <v>258</v>
      </c>
      <c r="J6" s="92" t="s">
        <v>259</v>
      </c>
      <c r="K6" s="92" t="s">
        <v>260</v>
      </c>
      <c r="L6" s="92" t="s">
        <v>261</v>
      </c>
      <c r="M6" s="92" t="s">
        <v>262</v>
      </c>
      <c r="N6" s="92" t="s">
        <v>263</v>
      </c>
      <c r="O6" s="92" t="s">
        <v>265</v>
      </c>
      <c r="P6" s="177" t="s">
        <v>266</v>
      </c>
      <c r="Q6" s="154"/>
      <c r="R6" s="94"/>
      <c r="S6" s="154"/>
      <c r="T6" s="178"/>
    </row>
    <row r="7" spans="1:27" ht="116.4" customHeight="1">
      <c r="A7" s="125" t="s">
        <v>664</v>
      </c>
      <c r="B7" s="125"/>
      <c r="C7" s="125"/>
      <c r="D7" s="125"/>
      <c r="E7" s="98" t="s">
        <v>827</v>
      </c>
      <c r="F7" s="98" t="s">
        <v>828</v>
      </c>
      <c r="G7" s="98" t="s">
        <v>829</v>
      </c>
      <c r="H7" s="98" t="s">
        <v>830</v>
      </c>
      <c r="I7" s="98" t="s">
        <v>831</v>
      </c>
      <c r="J7" s="98" t="s">
        <v>832</v>
      </c>
      <c r="K7" s="98" t="s">
        <v>833</v>
      </c>
      <c r="L7" s="98" t="s">
        <v>834</v>
      </c>
      <c r="M7" s="98" t="s">
        <v>835</v>
      </c>
      <c r="N7" s="98" t="s">
        <v>836</v>
      </c>
      <c r="O7" s="98" t="s">
        <v>837</v>
      </c>
      <c r="P7" s="98" t="s">
        <v>838</v>
      </c>
      <c r="Q7" s="94"/>
      <c r="R7" s="94"/>
      <c r="S7" s="94"/>
    </row>
    <row r="8" spans="1:27" ht="80.400000000000006" customHeight="1">
      <c r="A8" s="136" t="s">
        <v>574</v>
      </c>
      <c r="B8" s="136"/>
      <c r="C8" s="136"/>
      <c r="D8" s="136"/>
      <c r="E8" s="99" t="s">
        <v>839</v>
      </c>
      <c r="F8" s="99" t="s">
        <v>840</v>
      </c>
      <c r="G8" s="99" t="s">
        <v>841</v>
      </c>
      <c r="H8" s="99" t="s">
        <v>842</v>
      </c>
      <c r="I8" s="99" t="s">
        <v>843</v>
      </c>
      <c r="J8" s="99" t="s">
        <v>844</v>
      </c>
      <c r="K8" s="99" t="s">
        <v>845</v>
      </c>
      <c r="L8" s="99" t="s">
        <v>846</v>
      </c>
      <c r="M8" s="99" t="s">
        <v>847</v>
      </c>
      <c r="N8" s="99" t="s">
        <v>848</v>
      </c>
      <c r="O8" s="99" t="s">
        <v>849</v>
      </c>
      <c r="P8" s="126" t="s">
        <v>850</v>
      </c>
      <c r="Q8" s="128"/>
      <c r="R8" s="128"/>
      <c r="S8" s="128"/>
    </row>
    <row r="9" spans="1:27" ht="312">
      <c r="A9" s="136" t="s">
        <v>96</v>
      </c>
      <c r="B9" s="136"/>
      <c r="C9" s="136"/>
      <c r="D9" s="136"/>
      <c r="E9" s="99" t="s">
        <v>851</v>
      </c>
      <c r="F9" s="126" t="s">
        <v>852</v>
      </c>
      <c r="G9" s="126" t="s">
        <v>853</v>
      </c>
      <c r="H9" s="126" t="s">
        <v>854</v>
      </c>
      <c r="I9" s="126" t="s">
        <v>855</v>
      </c>
      <c r="J9" s="126" t="s">
        <v>856</v>
      </c>
      <c r="K9" s="126" t="s">
        <v>857</v>
      </c>
      <c r="L9" s="126" t="s">
        <v>858</v>
      </c>
      <c r="M9" s="126" t="s">
        <v>859</v>
      </c>
      <c r="N9" s="126" t="s">
        <v>860</v>
      </c>
      <c r="O9" s="126" t="s">
        <v>861</v>
      </c>
      <c r="P9" s="126" t="s">
        <v>862</v>
      </c>
      <c r="Q9" s="128"/>
      <c r="R9" s="128"/>
      <c r="S9" s="128"/>
    </row>
    <row r="10" spans="1:27" ht="189" customHeight="1">
      <c r="A10" s="123" t="s">
        <v>595</v>
      </c>
      <c r="B10" s="123"/>
      <c r="C10" s="123"/>
      <c r="D10" s="123"/>
      <c r="E10" s="179" t="s">
        <v>863</v>
      </c>
      <c r="F10" s="179" t="s">
        <v>864</v>
      </c>
      <c r="G10" s="179" t="s">
        <v>865</v>
      </c>
      <c r="H10" s="126" t="s">
        <v>866</v>
      </c>
      <c r="I10" s="126" t="s">
        <v>452</v>
      </c>
      <c r="J10" s="126" t="s">
        <v>867</v>
      </c>
      <c r="K10" s="126" t="s">
        <v>453</v>
      </c>
      <c r="L10" s="126" t="s">
        <v>868</v>
      </c>
      <c r="M10" s="126" t="s">
        <v>454</v>
      </c>
      <c r="N10" s="126" t="s">
        <v>455</v>
      </c>
      <c r="O10" s="126" t="s">
        <v>869</v>
      </c>
      <c r="P10" s="180" t="s">
        <v>870</v>
      </c>
      <c r="Q10" s="181"/>
      <c r="R10" s="181"/>
      <c r="S10" s="181"/>
    </row>
    <row r="11" spans="1:27" ht="72" customHeight="1">
      <c r="A11" s="162" t="s">
        <v>85</v>
      </c>
      <c r="B11" s="162"/>
      <c r="C11" s="162"/>
      <c r="D11" s="162"/>
      <c r="E11" s="126"/>
      <c r="F11" s="126" t="s">
        <v>871</v>
      </c>
      <c r="G11" s="126" t="s">
        <v>872</v>
      </c>
      <c r="H11" s="126" t="s">
        <v>873</v>
      </c>
      <c r="I11" s="126" t="s">
        <v>874</v>
      </c>
      <c r="J11" s="126" t="s">
        <v>875</v>
      </c>
      <c r="K11" s="126" t="s">
        <v>876</v>
      </c>
      <c r="L11" s="126" t="s">
        <v>877</v>
      </c>
      <c r="M11" s="126" t="s">
        <v>878</v>
      </c>
      <c r="N11" s="126" t="s">
        <v>879</v>
      </c>
      <c r="O11" s="126" t="s">
        <v>880</v>
      </c>
      <c r="P11" s="180" t="s">
        <v>870</v>
      </c>
      <c r="Q11" s="181"/>
      <c r="R11" s="181"/>
      <c r="S11" s="181"/>
    </row>
    <row r="12" spans="1:27" s="118" customFormat="1" ht="14.4">
      <c r="A12" s="119"/>
      <c r="B12" s="119"/>
      <c r="C12" s="119"/>
      <c r="D12" s="119"/>
      <c r="E12" s="119"/>
      <c r="F12" s="119"/>
      <c r="G12" s="119"/>
      <c r="H12" s="137"/>
      <c r="I12" s="137"/>
      <c r="J12" s="119"/>
      <c r="K12" s="119"/>
      <c r="L12" s="119"/>
      <c r="M12" s="119"/>
      <c r="N12" s="119"/>
      <c r="O12" s="119"/>
      <c r="P12" s="119"/>
      <c r="Q12" s="119"/>
      <c r="R12" s="119"/>
      <c r="S12" s="119"/>
      <c r="T12" s="119"/>
    </row>
    <row r="13" spans="1:27" s="118" customFormat="1" ht="14.4">
      <c r="A13" s="119"/>
      <c r="B13" s="119"/>
      <c r="C13" s="119"/>
      <c r="D13" s="119"/>
      <c r="E13" s="119"/>
      <c r="F13" s="119"/>
      <c r="G13" s="119"/>
      <c r="H13" s="137"/>
      <c r="I13" s="137"/>
      <c r="J13" s="119"/>
      <c r="K13" s="119"/>
      <c r="L13" s="119"/>
      <c r="M13" s="119"/>
      <c r="N13" s="119"/>
      <c r="O13" s="119"/>
      <c r="P13" s="119"/>
      <c r="Q13" s="119"/>
      <c r="R13" s="119"/>
      <c r="S13" s="119"/>
      <c r="T13" s="119"/>
    </row>
    <row r="14" spans="1:27" s="118" customFormat="1" ht="14.4">
      <c r="A14" s="119"/>
      <c r="B14" s="119"/>
      <c r="C14" s="119"/>
      <c r="D14" s="119"/>
      <c r="E14" s="119"/>
      <c r="F14" s="119"/>
      <c r="G14" s="119"/>
      <c r="H14" s="137"/>
      <c r="I14" s="137"/>
      <c r="J14" s="119"/>
      <c r="K14" s="119"/>
      <c r="L14" s="119"/>
      <c r="M14" s="119"/>
      <c r="N14" s="119"/>
      <c r="O14" s="119"/>
      <c r="P14" s="119"/>
      <c r="Q14" s="119"/>
      <c r="R14" s="119"/>
      <c r="S14" s="119"/>
      <c r="T14" s="119"/>
    </row>
    <row r="15" spans="1:27" customFormat="1" ht="14.4">
      <c r="A15" t="s">
        <v>457</v>
      </c>
      <c r="B15" t="s">
        <v>104</v>
      </c>
      <c r="C15" t="s">
        <v>105</v>
      </c>
      <c r="D15" s="296" t="s">
        <v>456</v>
      </c>
      <c r="E15" s="14" t="s">
        <v>254</v>
      </c>
      <c r="F15" s="14" t="s">
        <v>255</v>
      </c>
      <c r="G15" s="14" t="s">
        <v>256</v>
      </c>
      <c r="H15" s="14" t="s">
        <v>257</v>
      </c>
      <c r="I15" s="14" t="s">
        <v>258</v>
      </c>
      <c r="J15" s="14" t="s">
        <v>259</v>
      </c>
      <c r="K15" s="14" t="s">
        <v>260</v>
      </c>
      <c r="L15" s="14" t="s">
        <v>261</v>
      </c>
      <c r="M15" s="14" t="s">
        <v>262</v>
      </c>
      <c r="N15" s="14" t="s">
        <v>263</v>
      </c>
      <c r="O15" s="14" t="s">
        <v>265</v>
      </c>
      <c r="P15" s="14" t="s">
        <v>266</v>
      </c>
      <c r="Q15" s="14" t="s">
        <v>266</v>
      </c>
    </row>
    <row r="16" spans="1:27" s="118" customFormat="1" ht="14.4">
      <c r="A16" t="s">
        <v>557</v>
      </c>
      <c r="B16" s="15" t="s">
        <v>104</v>
      </c>
      <c r="C16" s="15" t="str">
        <f>HYPERLINK("01-组织级\02-组织工作库\02-EPG活动库\03-过程改进计划\过程改进计划(QCUBIC-SPI-PIM-PIPlan)V1.2-engl.docx", "engl")</f>
        <v>engl</v>
      </c>
      <c r="D16"/>
      <c r="E16" t="s">
        <v>440</v>
      </c>
      <c r="F16"/>
      <c r="G16"/>
      <c r="H16" t="s">
        <v>440</v>
      </c>
      <c r="I16" t="s">
        <v>440</v>
      </c>
      <c r="J16" t="s">
        <v>440</v>
      </c>
      <c r="K16" t="s">
        <v>440</v>
      </c>
      <c r="L16"/>
      <c r="M16"/>
      <c r="N16"/>
      <c r="O16"/>
      <c r="P16"/>
      <c r="Q16"/>
      <c r="R16"/>
      <c r="S16"/>
      <c r="T16"/>
      <c r="U16"/>
      <c r="V16"/>
      <c r="W16"/>
      <c r="X16"/>
      <c r="Y16"/>
      <c r="Z16"/>
      <c r="AA16"/>
    </row>
    <row r="17" spans="1:27" s="118" customFormat="1" ht="14.4">
      <c r="A17" t="s">
        <v>557</v>
      </c>
      <c r="B17" s="15" t="s">
        <v>104</v>
      </c>
      <c r="C17" s="15" t="str">
        <f>HYPERLINK("01-组织级\02-组织工作库\02-EPG活动库\02-现场诊断\北京快立方科技有限公司现场诊断报告-engl.pptx", "engl")</f>
        <v>engl</v>
      </c>
      <c r="D17"/>
      <c r="E17"/>
      <c r="F17" t="s">
        <v>440</v>
      </c>
      <c r="G17"/>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HYPERLINK("01-组织级\02-组织工作库\02-EPG活动库\过程改进总结报告-engl.pptx", "engl")</f>
        <v>engl</v>
      </c>
      <c r="D18"/>
      <c r="E18"/>
      <c r="F18" t="s">
        <v>440</v>
      </c>
      <c r="G18"/>
      <c r="H18"/>
      <c r="I18"/>
      <c r="J18"/>
      <c r="K18"/>
      <c r="L18" t="s">
        <v>440</v>
      </c>
      <c r="M18"/>
      <c r="N18" t="s">
        <v>440</v>
      </c>
      <c r="O18" t="s">
        <v>440</v>
      </c>
      <c r="P18"/>
      <c r="Q18"/>
      <c r="R18"/>
      <c r="S18"/>
      <c r="T18"/>
      <c r="U18"/>
      <c r="V18"/>
      <c r="W18"/>
      <c r="X18"/>
      <c r="Y18"/>
      <c r="Z18"/>
      <c r="AA18"/>
    </row>
    <row r="19" spans="1:27" s="118" customFormat="1" ht="14.4">
      <c r="A19" t="s">
        <v>557</v>
      </c>
      <c r="B19" s="15" t="s">
        <v>104</v>
      </c>
      <c r="C19" s="15" t="str">
        <f>HYPERLINK("01-组织级\02-组织工作库\02-EPG活动库\01-EPG章程\EPG章程(QCUBIC-SPI-PIM-Std-EPGRule)V1.2-engl.docx", "engl")</f>
        <v>engl</v>
      </c>
      <c r="D19"/>
      <c r="E19"/>
      <c r="F19" t="s">
        <v>440</v>
      </c>
      <c r="G19"/>
      <c r="H19"/>
      <c r="I19"/>
      <c r="J19"/>
      <c r="K19"/>
      <c r="L19"/>
      <c r="M19"/>
      <c r="N19"/>
      <c r="O19"/>
      <c r="P19"/>
      <c r="Q19"/>
      <c r="R19"/>
      <c r="S19"/>
      <c r="T19"/>
      <c r="U19"/>
      <c r="V19"/>
      <c r="W19"/>
      <c r="X19"/>
      <c r="Y19"/>
      <c r="Z19"/>
      <c r="AA19"/>
    </row>
    <row r="20" spans="1:27" s="118" customFormat="1" ht="14.4">
      <c r="A20" t="s">
        <v>557</v>
      </c>
      <c r="B20" s="15" t="s">
        <v>104</v>
      </c>
      <c r="C20" s="15" t="str">
        <f>HYPERLINK("01-组织级\02-组织工作库\02-EPG活动库\07-EPG跟踪\05-过程改进建议表\过程改进建议表(QCUBIC-SPI-PIM-SPIAdvic)V1.2-engl.xlsx", "engl")</f>
        <v>engl</v>
      </c>
      <c r="D20"/>
      <c r="E20"/>
      <c r="F20"/>
      <c r="G20" t="s">
        <v>440</v>
      </c>
      <c r="H20"/>
      <c r="I20"/>
      <c r="J20"/>
      <c r="K20"/>
      <c r="L20"/>
      <c r="M20" t="s">
        <v>440</v>
      </c>
      <c r="N20"/>
      <c r="O20"/>
      <c r="P20"/>
      <c r="Q20"/>
      <c r="R20"/>
      <c r="S20"/>
      <c r="T20"/>
      <c r="U20"/>
      <c r="V20"/>
      <c r="W20"/>
      <c r="X20"/>
      <c r="Y20"/>
      <c r="Z20"/>
      <c r="AA20"/>
    </row>
    <row r="21" spans="1:27" ht="14.4">
      <c r="A21" t="s">
        <v>557</v>
      </c>
      <c r="B21" s="15" t="s">
        <v>104</v>
      </c>
      <c r="C21"/>
      <c r="D21"/>
      <c r="E21"/>
      <c r="F21"/>
      <c r="G21"/>
      <c r="H21"/>
      <c r="I21"/>
      <c r="J21"/>
      <c r="K21" t="s">
        <v>440</v>
      </c>
      <c r="L21"/>
      <c r="M21"/>
      <c r="N21"/>
      <c r="O21"/>
      <c r="P21"/>
      <c r="Q21"/>
      <c r="R21"/>
      <c r="S21"/>
      <c r="T21"/>
      <c r="U21"/>
      <c r="V21"/>
      <c r="W21"/>
      <c r="X21"/>
      <c r="Y21"/>
      <c r="Z21"/>
      <c r="AA21"/>
    </row>
    <row r="22" spans="1:27" ht="14.4">
      <c r="A22" t="s">
        <v>557</v>
      </c>
      <c r="B22" s="15" t="s">
        <v>104</v>
      </c>
      <c r="C22" s="15" t="str">
        <f>HYPERLINK("01-组织级\02-组织工作库\02-EPG活动库\03-过程改进计划\关键子过程选择(QCUBIC_PCM_Select subprocess)V1.0-engl.xlsx", "engl")</f>
        <v>engl</v>
      </c>
      <c r="D22"/>
      <c r="E22"/>
      <c r="F22"/>
      <c r="G22"/>
      <c r="H22"/>
      <c r="I22"/>
      <c r="J22"/>
      <c r="K22" t="s">
        <v>440</v>
      </c>
      <c r="L22"/>
      <c r="M22"/>
      <c r="N22"/>
      <c r="O22"/>
      <c r="P22"/>
      <c r="Q22"/>
      <c r="R22"/>
      <c r="S22"/>
      <c r="T22"/>
      <c r="U22"/>
      <c r="V22"/>
      <c r="W22"/>
      <c r="X22"/>
      <c r="Y22"/>
      <c r="Z22"/>
      <c r="AA22"/>
    </row>
    <row r="23" spans="1:27" ht="14.4">
      <c r="A23" t="s">
        <v>557</v>
      </c>
      <c r="B23" s="15" t="s">
        <v>104</v>
      </c>
      <c r="C23" s="15" t="str">
        <f>HYPERLINK("01-组织级\02-组织工作库\02-EPG活动库\03-过程改进计划\过程改进计划评审报告(QCUBIC-SPI-VV-Tem-ReviewRpt)V1.2-engl.xlsx", "engl")</f>
        <v>engl</v>
      </c>
      <c r="D23"/>
      <c r="E23"/>
      <c r="F23"/>
      <c r="G23"/>
      <c r="H23"/>
      <c r="I23"/>
      <c r="J23"/>
      <c r="K23"/>
      <c r="L23" t="s">
        <v>440</v>
      </c>
      <c r="M23"/>
      <c r="N23"/>
      <c r="O23"/>
      <c r="P23"/>
      <c r="Q23"/>
      <c r="R23"/>
      <c r="S23"/>
      <c r="T23"/>
      <c r="U23"/>
      <c r="V23"/>
      <c r="W23"/>
      <c r="X23"/>
      <c r="Y23"/>
      <c r="Z23"/>
      <c r="AA23"/>
    </row>
    <row r="24" spans="1:27" ht="14.4">
      <c r="A24" t="s">
        <v>557</v>
      </c>
      <c r="B24" s="15" t="s">
        <v>104</v>
      </c>
      <c r="C24"/>
      <c r="D24"/>
      <c r="E24"/>
      <c r="F24"/>
      <c r="G24"/>
      <c r="H24"/>
      <c r="I24"/>
      <c r="J24"/>
      <c r="K24"/>
      <c r="L24"/>
      <c r="M24" t="s">
        <v>440</v>
      </c>
      <c r="N24"/>
      <c r="O24"/>
      <c r="P24"/>
      <c r="Q24"/>
      <c r="R24"/>
      <c r="S24"/>
      <c r="T24"/>
      <c r="U24"/>
      <c r="V24"/>
      <c r="W24"/>
      <c r="X24"/>
      <c r="Y24"/>
      <c r="Z24"/>
      <c r="AA24"/>
    </row>
    <row r="25" spans="1:27" ht="14.4">
      <c r="A25" t="s">
        <v>557</v>
      </c>
      <c r="B25" s="15" t="s">
        <v>104</v>
      </c>
      <c r="C25" s="15" t="str">
        <f>HYPERLINK("01-组织级\02-组织工作库\02-EPG活动库\05-项目试点\试点行动计划(QCUBIC-SPI-PIM-PilotPlan)V1.1-engl.docx", "engl")</f>
        <v>engl</v>
      </c>
      <c r="D25"/>
      <c r="E25"/>
      <c r="F25"/>
      <c r="G25"/>
      <c r="H25"/>
      <c r="I25"/>
      <c r="J25"/>
      <c r="K25"/>
      <c r="L25"/>
      <c r="M25" t="s">
        <v>440</v>
      </c>
      <c r="N25"/>
      <c r="O25"/>
      <c r="P25"/>
      <c r="Q25"/>
      <c r="R25"/>
      <c r="S25"/>
      <c r="T25"/>
      <c r="U25"/>
      <c r="V25"/>
      <c r="W25"/>
      <c r="X25"/>
      <c r="Y25"/>
      <c r="Z25"/>
      <c r="AA25"/>
    </row>
    <row r="26" spans="1:27" ht="14.4">
      <c r="A26" t="s">
        <v>557</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440</v>
      </c>
      <c r="O26"/>
      <c r="P26"/>
      <c r="Q26"/>
      <c r="R26"/>
      <c r="S26"/>
      <c r="T26"/>
      <c r="U26"/>
      <c r="V26"/>
      <c r="W26"/>
      <c r="X26"/>
      <c r="Y26"/>
      <c r="Z26"/>
      <c r="AA26"/>
    </row>
    <row r="27" spans="1:27" ht="14.4">
      <c r="A27" t="s">
        <v>557</v>
      </c>
      <c r="B27" s="15" t="s">
        <v>104</v>
      </c>
      <c r="C27" s="15" t="str">
        <f>HYPERLINK("01-组织级\02-组织工作库\02-EPG活动库\06-过程推广\过程部署计划(QCUBIC-SPI-PIM-PSPreadPlan)V1.2-engl.docx", "engl")</f>
        <v>engl</v>
      </c>
      <c r="D27"/>
      <c r="E27"/>
      <c r="F27"/>
      <c r="G27"/>
      <c r="H27"/>
      <c r="I27"/>
      <c r="J27"/>
      <c r="K27"/>
      <c r="L27"/>
      <c r="M27"/>
      <c r="N27" t="s">
        <v>440</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9" customWidth="1"/>
    <col min="2" max="4" width="7.88671875" style="119" customWidth="1"/>
    <col min="5" max="6" width="15.6640625" style="119" customWidth="1"/>
    <col min="7" max="7" width="15.6640625" style="137" customWidth="1"/>
    <col min="8" max="15" width="15.6640625" style="119" customWidth="1"/>
    <col min="16" max="16" width="50.6640625" style="119" customWidth="1"/>
    <col min="17" max="17" width="3.6640625" style="119" customWidth="1"/>
    <col min="18" max="18" width="45.6640625" style="119" bestFit="1" customWidth="1"/>
    <col min="19" max="19" width="58.6640625" style="119" customWidth="1"/>
    <col min="20" max="16384" width="8.6640625" style="119"/>
  </cols>
  <sheetData>
    <row r="1" spans="1:27" s="139" customFormat="1" ht="18">
      <c r="A1" s="106" t="s">
        <v>881</v>
      </c>
      <c r="B1" s="106"/>
      <c r="C1" s="106"/>
      <c r="D1" s="106"/>
      <c r="E1" s="107"/>
      <c r="F1" s="108"/>
      <c r="G1" s="137"/>
      <c r="H1" s="108"/>
      <c r="I1" s="108"/>
      <c r="J1" s="108"/>
      <c r="K1" s="108"/>
      <c r="L1" s="108"/>
      <c r="M1" s="108"/>
      <c r="N1" s="108"/>
      <c r="O1" s="108"/>
      <c r="P1" s="108"/>
      <c r="Q1" s="108"/>
      <c r="R1" s="108"/>
      <c r="S1" s="108"/>
      <c r="T1" s="108"/>
    </row>
    <row r="2" spans="1:27" s="140" customFormat="1">
      <c r="A2" s="111" t="s">
        <v>461</v>
      </c>
      <c r="B2" s="111"/>
      <c r="C2" s="111"/>
      <c r="D2" s="111"/>
      <c r="E2" s="108" t="s">
        <v>238</v>
      </c>
      <c r="F2" s="108"/>
      <c r="G2" s="137"/>
      <c r="H2" s="108"/>
      <c r="I2" s="108"/>
      <c r="J2" s="108"/>
      <c r="K2" s="108"/>
      <c r="L2" s="108"/>
      <c r="M2" s="108"/>
      <c r="N2" s="108"/>
      <c r="O2" s="108"/>
      <c r="P2" s="108"/>
      <c r="Q2" s="108"/>
      <c r="R2" s="108"/>
      <c r="S2" s="108"/>
      <c r="T2" s="108"/>
    </row>
    <row r="3" spans="1:27" s="139" customFormat="1">
      <c r="A3" s="108" t="s">
        <v>462</v>
      </c>
      <c r="B3" s="108"/>
      <c r="C3" s="108"/>
      <c r="D3" s="108"/>
      <c r="E3" s="108" t="s">
        <v>239</v>
      </c>
      <c r="F3" s="108"/>
      <c r="G3" s="137"/>
      <c r="H3" s="108"/>
      <c r="I3" s="108"/>
      <c r="J3" s="108"/>
      <c r="K3" s="108"/>
      <c r="L3" s="108"/>
      <c r="M3" s="108"/>
      <c r="N3" s="108"/>
      <c r="O3" s="108"/>
      <c r="P3" s="108"/>
      <c r="Q3" s="108"/>
      <c r="R3" s="108"/>
      <c r="S3" s="108"/>
      <c r="T3" s="108"/>
    </row>
    <row r="4" spans="1:27" s="139" customFormat="1">
      <c r="A4" s="112"/>
      <c r="B4" s="112"/>
      <c r="C4" s="112"/>
      <c r="D4" s="112"/>
      <c r="E4" s="113" t="s">
        <v>47</v>
      </c>
      <c r="F4" s="114" t="s">
        <v>54</v>
      </c>
      <c r="G4" s="114"/>
      <c r="H4" s="115"/>
      <c r="I4" s="117" t="s">
        <v>56</v>
      </c>
      <c r="J4" s="151"/>
      <c r="K4" s="151"/>
      <c r="L4" s="151"/>
      <c r="M4" s="117"/>
      <c r="N4" s="117"/>
      <c r="O4" s="117"/>
      <c r="P4" s="108"/>
      <c r="Q4" s="108"/>
      <c r="R4" s="108"/>
      <c r="S4" s="108"/>
      <c r="T4" s="108"/>
    </row>
    <row r="5" spans="1:27">
      <c r="E5" s="120" t="s">
        <v>560</v>
      </c>
      <c r="F5" s="121" t="s">
        <v>561</v>
      </c>
      <c r="G5" s="121"/>
      <c r="H5" s="115"/>
      <c r="I5" s="117" t="s">
        <v>562</v>
      </c>
      <c r="J5" s="151"/>
      <c r="K5" s="151"/>
      <c r="L5" s="151"/>
      <c r="M5" s="122"/>
      <c r="N5" s="122"/>
      <c r="O5" s="117"/>
      <c r="P5" s="108"/>
      <c r="Q5" s="108"/>
      <c r="R5" s="108"/>
    </row>
    <row r="6" spans="1:27">
      <c r="A6" s="136"/>
      <c r="B6" s="136"/>
      <c r="C6" s="136"/>
      <c r="D6" s="136"/>
      <c r="E6" s="182" t="s">
        <v>240</v>
      </c>
      <c r="F6" s="183" t="s">
        <v>241</v>
      </c>
      <c r="G6" s="183" t="s">
        <v>242</v>
      </c>
      <c r="H6" s="183" t="s">
        <v>243</v>
      </c>
      <c r="I6" s="184" t="s">
        <v>244</v>
      </c>
      <c r="J6" s="184" t="s">
        <v>245</v>
      </c>
      <c r="K6" s="184" t="s">
        <v>246</v>
      </c>
      <c r="L6" s="184" t="s">
        <v>248</v>
      </c>
      <c r="M6" s="184" t="s">
        <v>249</v>
      </c>
      <c r="N6" s="184" t="s">
        <v>250</v>
      </c>
      <c r="O6" s="185" t="s">
        <v>251</v>
      </c>
      <c r="P6" s="171"/>
      <c r="Q6" s="171"/>
      <c r="R6" s="171"/>
    </row>
    <row r="7" spans="1:27" ht="124.2">
      <c r="A7" s="125" t="s">
        <v>664</v>
      </c>
      <c r="B7" s="125"/>
      <c r="C7" s="125"/>
      <c r="D7" s="125"/>
      <c r="E7" s="98" t="s">
        <v>882</v>
      </c>
      <c r="F7" s="98" t="s">
        <v>883</v>
      </c>
      <c r="G7" s="98" t="s">
        <v>884</v>
      </c>
      <c r="H7" s="98" t="s">
        <v>885</v>
      </c>
      <c r="I7" s="98" t="s">
        <v>886</v>
      </c>
      <c r="J7" s="98" t="s">
        <v>887</v>
      </c>
      <c r="K7" s="98" t="s">
        <v>888</v>
      </c>
      <c r="L7" s="98" t="s">
        <v>889</v>
      </c>
      <c r="M7" s="98" t="s">
        <v>890</v>
      </c>
      <c r="N7" s="98" t="s">
        <v>891</v>
      </c>
      <c r="O7" s="98" t="s">
        <v>892</v>
      </c>
      <c r="P7" s="94"/>
      <c r="Q7" s="94"/>
      <c r="R7" s="94"/>
    </row>
    <row r="8" spans="1:27" ht="71.400000000000006">
      <c r="A8" s="136" t="s">
        <v>574</v>
      </c>
      <c r="B8" s="136"/>
      <c r="C8" s="136"/>
      <c r="D8" s="136"/>
      <c r="E8" s="134" t="s">
        <v>893</v>
      </c>
      <c r="F8" s="152" t="s">
        <v>894</v>
      </c>
      <c r="G8" s="152" t="s">
        <v>895</v>
      </c>
      <c r="H8" s="152" t="s">
        <v>896</v>
      </c>
      <c r="I8" s="152" t="s">
        <v>897</v>
      </c>
      <c r="J8" s="152" t="s">
        <v>898</v>
      </c>
      <c r="K8" s="152" t="s">
        <v>899</v>
      </c>
      <c r="L8" s="152" t="s">
        <v>900</v>
      </c>
      <c r="M8" s="152" t="s">
        <v>901</v>
      </c>
      <c r="N8" s="152" t="s">
        <v>902</v>
      </c>
      <c r="O8" s="152" t="s">
        <v>903</v>
      </c>
      <c r="P8" s="128"/>
      <c r="Q8" s="128"/>
      <c r="R8" s="128"/>
    </row>
    <row r="9" spans="1:27" ht="165" customHeight="1">
      <c r="A9" s="136" t="s">
        <v>96</v>
      </c>
      <c r="B9" s="136"/>
      <c r="C9" s="136"/>
      <c r="D9" s="136"/>
      <c r="E9" s="126" t="s">
        <v>904</v>
      </c>
      <c r="F9" s="126" t="s">
        <v>905</v>
      </c>
      <c r="G9" s="126" t="s">
        <v>906</v>
      </c>
      <c r="H9" s="126" t="s">
        <v>907</v>
      </c>
      <c r="I9" s="126" t="s">
        <v>908</v>
      </c>
      <c r="J9" s="126" t="s">
        <v>909</v>
      </c>
      <c r="K9" s="126" t="s">
        <v>910</v>
      </c>
      <c r="L9" s="126" t="s">
        <v>911</v>
      </c>
      <c r="M9" s="126" t="s">
        <v>912</v>
      </c>
      <c r="N9" s="126" t="s">
        <v>913</v>
      </c>
      <c r="O9" s="126" t="s">
        <v>914</v>
      </c>
      <c r="P9" s="128"/>
      <c r="Q9" s="128"/>
      <c r="R9" s="128"/>
    </row>
    <row r="10" spans="1:27" ht="124.2">
      <c r="A10" s="123" t="s">
        <v>595</v>
      </c>
      <c r="B10" s="123"/>
      <c r="C10" s="123"/>
      <c r="D10" s="123"/>
      <c r="E10" s="186"/>
      <c r="F10" s="103" t="s">
        <v>915</v>
      </c>
      <c r="G10" s="103" t="s">
        <v>916</v>
      </c>
      <c r="H10" s="103" t="s">
        <v>917</v>
      </c>
      <c r="I10" s="103" t="s">
        <v>918</v>
      </c>
      <c r="J10" s="103" t="s">
        <v>919</v>
      </c>
      <c r="K10" s="103" t="s">
        <v>920</v>
      </c>
      <c r="L10" s="103" t="s">
        <v>921</v>
      </c>
      <c r="M10" s="104" t="str">
        <f>K10</f>
        <v>- (2.3) How are the process assets made available for use in the organisation?</v>
      </c>
      <c r="N10" s="103" t="s">
        <v>922</v>
      </c>
      <c r="O10" s="103" t="s">
        <v>923</v>
      </c>
      <c r="P10" s="153"/>
      <c r="Q10" s="153"/>
      <c r="R10" s="153"/>
    </row>
    <row r="11" spans="1:27" ht="82.8">
      <c r="A11" s="162" t="s">
        <v>85</v>
      </c>
      <c r="B11" s="162"/>
      <c r="C11" s="162"/>
      <c r="D11" s="162"/>
      <c r="E11" s="103"/>
      <c r="F11" s="164" t="s">
        <v>924</v>
      </c>
      <c r="G11" s="103" t="s">
        <v>925</v>
      </c>
      <c r="H11" s="103" t="s">
        <v>926</v>
      </c>
      <c r="I11" s="103" t="s">
        <v>927</v>
      </c>
      <c r="J11" s="103" t="s">
        <v>928</v>
      </c>
      <c r="K11" s="103" t="s">
        <v>929</v>
      </c>
      <c r="L11" s="103" t="s">
        <v>930</v>
      </c>
      <c r="M11" s="103" t="str">
        <f>K11</f>
        <v>—(2.3)如何使过程资产在组织中可用?</v>
      </c>
      <c r="N11" s="103" t="s">
        <v>931</v>
      </c>
      <c r="O11" s="103" t="s">
        <v>932</v>
      </c>
      <c r="P11" s="153"/>
      <c r="Q11" s="153"/>
      <c r="R11" s="153"/>
    </row>
    <row r="15" spans="1:27" customFormat="1" ht="14.4">
      <c r="A15" t="s">
        <v>457</v>
      </c>
      <c r="B15" t="s">
        <v>104</v>
      </c>
      <c r="C15" t="s">
        <v>105</v>
      </c>
      <c r="D15" s="296" t="s">
        <v>456</v>
      </c>
      <c r="E15" s="14" t="s">
        <v>240</v>
      </c>
      <c r="F15" s="14" t="s">
        <v>241</v>
      </c>
      <c r="G15" s="14" t="s">
        <v>242</v>
      </c>
      <c r="H15" s="14" t="s">
        <v>243</v>
      </c>
      <c r="I15" s="14" t="s">
        <v>244</v>
      </c>
      <c r="J15" s="14" t="s">
        <v>245</v>
      </c>
      <c r="K15" s="14" t="s">
        <v>246</v>
      </c>
      <c r="L15" s="14" t="s">
        <v>248</v>
      </c>
      <c r="M15" s="14" t="s">
        <v>249</v>
      </c>
      <c r="N15" s="14" t="s">
        <v>250</v>
      </c>
      <c r="O15" s="14" t="s">
        <v>251</v>
      </c>
    </row>
    <row r="16" spans="1:27" s="118" customFormat="1" ht="14.4">
      <c r="A16" t="s">
        <v>557</v>
      </c>
      <c r="B16" s="15" t="s">
        <v>104</v>
      </c>
      <c r="C16"/>
      <c r="D16"/>
      <c r="E16" t="s">
        <v>440</v>
      </c>
      <c r="F16" t="s">
        <v>440</v>
      </c>
      <c r="G16" t="s">
        <v>440</v>
      </c>
      <c r="H16"/>
      <c r="I16"/>
      <c r="J16"/>
      <c r="K16"/>
      <c r="L16"/>
      <c r="M16" t="s">
        <v>440</v>
      </c>
      <c r="N16"/>
      <c r="O16"/>
      <c r="P16"/>
      <c r="Q16"/>
      <c r="R16"/>
      <c r="S16"/>
      <c r="T16"/>
      <c r="U16"/>
      <c r="V16"/>
      <c r="W16"/>
      <c r="X16"/>
      <c r="Y16"/>
      <c r="Z16"/>
      <c r="AA16"/>
    </row>
    <row r="17" spans="1:27" ht="14.4">
      <c r="A17" t="s">
        <v>557</v>
      </c>
      <c r="B17" s="15" t="s">
        <v>104</v>
      </c>
      <c r="C17"/>
      <c r="D17"/>
      <c r="E17"/>
      <c r="F17"/>
      <c r="G17" t="s">
        <v>440</v>
      </c>
      <c r="H17"/>
      <c r="I17"/>
      <c r="J17"/>
      <c r="K17"/>
      <c r="L17"/>
      <c r="M17"/>
      <c r="N17"/>
      <c r="O17"/>
      <c r="P17"/>
      <c r="Q17"/>
      <c r="R17"/>
      <c r="S17"/>
      <c r="T17"/>
      <c r="U17"/>
      <c r="V17"/>
      <c r="W17"/>
      <c r="X17"/>
      <c r="Y17"/>
      <c r="Z17"/>
      <c r="AA17"/>
    </row>
    <row r="18" spans="1:27" ht="14.4">
      <c r="A18" t="s">
        <v>557</v>
      </c>
      <c r="B18" s="15" t="s">
        <v>104</v>
      </c>
      <c r="C18"/>
      <c r="D18"/>
      <c r="E18"/>
      <c r="F18"/>
      <c r="G18"/>
      <c r="H18" t="s">
        <v>440</v>
      </c>
      <c r="I18" t="s">
        <v>440</v>
      </c>
      <c r="J18" t="s">
        <v>440</v>
      </c>
      <c r="K18" t="s">
        <v>440</v>
      </c>
      <c r="L18"/>
      <c r="M18"/>
      <c r="N18"/>
      <c r="O18"/>
      <c r="P18"/>
      <c r="Q18"/>
      <c r="R18"/>
      <c r="S18"/>
      <c r="T18"/>
      <c r="U18"/>
      <c r="V18"/>
      <c r="W18"/>
      <c r="X18"/>
      <c r="Y18"/>
      <c r="Z18"/>
      <c r="AA18"/>
    </row>
    <row r="19" spans="1:27" ht="14.4">
      <c r="A19" t="s">
        <v>557</v>
      </c>
      <c r="B19" s="15" t="s">
        <v>104</v>
      </c>
      <c r="C19" s="15" t="str">
        <f>HYPERLINK("01-组织级\02-组织工作库\02-EPG活动库\03-过程改进计划\过程改进计划(QCUBIC-SPI-PIM-PIPlan)V1.2-engl.docx", "engl")</f>
        <v>engl</v>
      </c>
      <c r="D19"/>
      <c r="E19"/>
      <c r="F19"/>
      <c r="G19"/>
      <c r="H19"/>
      <c r="I19" t="s">
        <v>440</v>
      </c>
      <c r="J19"/>
      <c r="K19"/>
      <c r="L19"/>
      <c r="M19"/>
      <c r="N19"/>
      <c r="O19"/>
      <c r="P19"/>
      <c r="Q19"/>
      <c r="R19"/>
      <c r="S19"/>
      <c r="T19"/>
      <c r="U19"/>
      <c r="V19"/>
      <c r="W19"/>
      <c r="X19"/>
      <c r="Y19"/>
      <c r="Z19"/>
      <c r="AA19"/>
    </row>
    <row r="20" spans="1:27" ht="14.4">
      <c r="A20" t="s">
        <v>557</v>
      </c>
      <c r="B20" s="15" t="s">
        <v>104</v>
      </c>
      <c r="C20" s="15" t="str">
        <f>HYPERLINK("01-组织级\01-组织财富库\01-标准过程文件库\04-组织过程类\02-过程资产管理\过程资产库管理指南 (QCUBIC-SPI-OPAL-Guid-Assetlib)V1.2-engl.docx", "engl")</f>
        <v>engl</v>
      </c>
      <c r="D20"/>
      <c r="E20"/>
      <c r="F20"/>
      <c r="G20"/>
      <c r="H20"/>
      <c r="I20" t="s">
        <v>440</v>
      </c>
      <c r="J20"/>
      <c r="K20"/>
      <c r="L20"/>
      <c r="M20"/>
      <c r="N20"/>
      <c r="O20"/>
      <c r="P20"/>
      <c r="Q20"/>
      <c r="R20"/>
      <c r="S20"/>
      <c r="T20"/>
      <c r="U20"/>
      <c r="V20"/>
      <c r="W20"/>
      <c r="X20"/>
      <c r="Y20"/>
      <c r="Z20"/>
      <c r="AA20"/>
    </row>
    <row r="21" spans="1:27" ht="14.4">
      <c r="A21" t="s">
        <v>557</v>
      </c>
      <c r="B21" s="15" t="s">
        <v>104</v>
      </c>
      <c r="C21" s="15" t="str">
        <f>HYPERLINK("01-组织级\01-组织财富库\01-标准过程文件库\04-组织过程类\02-过程资产管理\过程资产管理过程文件 (QCUBIC-SPI-OPAL-Proc-Doc)V1.2-engl.docx", "engl")</f>
        <v>engl</v>
      </c>
      <c r="D21"/>
      <c r="E21"/>
      <c r="F21"/>
      <c r="G21"/>
      <c r="H21"/>
      <c r="I21" t="s">
        <v>440</v>
      </c>
      <c r="J21"/>
      <c r="K21"/>
      <c r="L21"/>
      <c r="M21"/>
      <c r="N21"/>
      <c r="O21"/>
      <c r="P21"/>
      <c r="Q21"/>
      <c r="R21"/>
      <c r="S21"/>
      <c r="T21"/>
      <c r="U21"/>
      <c r="V21"/>
      <c r="W21"/>
      <c r="X21"/>
      <c r="Y21"/>
      <c r="Z21"/>
      <c r="AA21"/>
    </row>
    <row r="22" spans="1:27" ht="14.4">
      <c r="A22" t="s">
        <v>557</v>
      </c>
      <c r="B22" s="15" t="s">
        <v>104</v>
      </c>
      <c r="C22"/>
      <c r="D22"/>
      <c r="E22"/>
      <c r="F22"/>
      <c r="G22"/>
      <c r="H22"/>
      <c r="I22"/>
      <c r="J22" t="s">
        <v>440</v>
      </c>
      <c r="K22"/>
      <c r="L22"/>
      <c r="M22"/>
      <c r="N22"/>
      <c r="O22"/>
      <c r="P22"/>
      <c r="Q22"/>
      <c r="R22"/>
      <c r="S22"/>
      <c r="T22"/>
      <c r="U22"/>
      <c r="V22"/>
      <c r="W22"/>
      <c r="X22"/>
      <c r="Y22"/>
      <c r="Z22"/>
      <c r="AA22"/>
    </row>
    <row r="23" spans="1:27" ht="14.4">
      <c r="A23" t="s">
        <v>557</v>
      </c>
      <c r="B23" s="15" t="s">
        <v>104</v>
      </c>
      <c r="C23"/>
      <c r="D23"/>
      <c r="E23"/>
      <c r="F23"/>
      <c r="G23"/>
      <c r="H23"/>
      <c r="I23"/>
      <c r="J23" t="s">
        <v>440</v>
      </c>
      <c r="K23"/>
      <c r="L23"/>
      <c r="M23"/>
      <c r="N23"/>
      <c r="O23"/>
      <c r="P23"/>
      <c r="Q23"/>
      <c r="R23"/>
      <c r="S23"/>
      <c r="T23"/>
      <c r="U23"/>
      <c r="V23"/>
      <c r="W23"/>
      <c r="X23"/>
      <c r="Y23"/>
      <c r="Z23"/>
      <c r="AA23"/>
    </row>
    <row r="24" spans="1:27" ht="14.4">
      <c r="A24" t="s">
        <v>557</v>
      </c>
      <c r="B24" s="15" t="s">
        <v>104</v>
      </c>
      <c r="C24" s="15" t="str">
        <f>HYPERLINK("01-组织级\01-组织财富库\01-标准过程文件库\04-组织过程类\02-过程资产管理\裁剪指南 (QCUBIC-SPI-OPAL-Guid-Tailor)V1.2-engl.xlsx", "engl")</f>
        <v>engl</v>
      </c>
      <c r="D24"/>
      <c r="E24"/>
      <c r="F24"/>
      <c r="G24"/>
      <c r="H24"/>
      <c r="I24"/>
      <c r="J24"/>
      <c r="K24"/>
      <c r="L24" t="s">
        <v>440</v>
      </c>
      <c r="M24"/>
      <c r="N24"/>
      <c r="O24"/>
      <c r="P24"/>
      <c r="Q24"/>
      <c r="R24"/>
      <c r="S24"/>
      <c r="T24"/>
      <c r="U24"/>
      <c r="V24"/>
      <c r="W24"/>
      <c r="X24"/>
      <c r="Y24"/>
      <c r="Z24"/>
      <c r="AA24"/>
    </row>
    <row r="25" spans="1:27" ht="14.4">
      <c r="A25" t="s">
        <v>557</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440</v>
      </c>
      <c r="O25"/>
      <c r="P25"/>
      <c r="Q25"/>
      <c r="R25"/>
      <c r="S25"/>
      <c r="T25"/>
      <c r="U25"/>
      <c r="V25"/>
      <c r="W25"/>
      <c r="X25"/>
      <c r="Y25"/>
      <c r="Z25"/>
      <c r="AA25"/>
    </row>
    <row r="26" spans="1:27" s="118" customFormat="1" ht="14.4">
      <c r="A26" t="s">
        <v>557</v>
      </c>
      <c r="B26" s="15" t="s">
        <v>104</v>
      </c>
      <c r="C26" s="15" t="str">
        <f>HYPERLINK("01-组织级\02-组织工作库\06-度量\组织度量表(QCUBIC-SPI-MPM-Tem-datasheet)V1.3-engl.xlsx", "engl")</f>
        <v>engl</v>
      </c>
      <c r="D26"/>
      <c r="E26"/>
      <c r="F26"/>
      <c r="G26"/>
      <c r="H26"/>
      <c r="I26"/>
      <c r="J26"/>
      <c r="K26"/>
      <c r="L26"/>
      <c r="M26"/>
      <c r="N26"/>
      <c r="O26" t="s">
        <v>440</v>
      </c>
      <c r="P26"/>
      <c r="Q26"/>
      <c r="R26"/>
      <c r="S26"/>
      <c r="T26"/>
      <c r="U26"/>
      <c r="V26"/>
      <c r="W26"/>
      <c r="X26"/>
      <c r="Y26"/>
      <c r="Z26"/>
      <c r="AA26"/>
    </row>
    <row r="27" spans="1:27" ht="14.4">
      <c r="A27" t="s">
        <v>557</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440</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8" customWidth="1"/>
    <col min="2" max="4" width="7.88671875" style="118" customWidth="1"/>
    <col min="5" max="8" width="12.6640625" style="118" customWidth="1"/>
    <col min="9" max="26" width="14.6640625" style="118" customWidth="1"/>
    <col min="27" max="27" width="10.109375" style="118" customWidth="1"/>
    <col min="28" max="28" width="3.6640625" style="118" customWidth="1"/>
    <col min="29" max="29" width="32.109375" style="118" bestFit="1" customWidth="1"/>
    <col min="30" max="30" width="72" style="118" customWidth="1"/>
    <col min="31" max="32" width="16.6640625" style="118" customWidth="1"/>
    <col min="33" max="33" width="61.88671875" style="118" customWidth="1"/>
    <col min="34" max="16384" width="8.88671875" style="118"/>
  </cols>
  <sheetData>
    <row r="1" spans="1:32" ht="21">
      <c r="A1" s="187" t="s">
        <v>205</v>
      </c>
      <c r="B1" s="187"/>
      <c r="C1" s="187"/>
      <c r="D1" s="187"/>
      <c r="E1" s="188"/>
      <c r="F1" s="188"/>
      <c r="G1" s="188"/>
      <c r="H1" s="188"/>
      <c r="I1" s="188"/>
      <c r="J1" s="188"/>
      <c r="K1" s="188"/>
      <c r="L1" s="188"/>
      <c r="M1" s="370"/>
      <c r="N1" s="370"/>
      <c r="O1" s="370"/>
      <c r="P1" s="370"/>
      <c r="Q1" s="370"/>
      <c r="R1" s="370"/>
    </row>
    <row r="2" spans="1:32" ht="15.6">
      <c r="A2" s="189" t="s">
        <v>461</v>
      </c>
      <c r="B2" s="189"/>
      <c r="C2" s="189"/>
      <c r="D2" s="189"/>
      <c r="E2" s="190" t="s">
        <v>206</v>
      </c>
      <c r="F2" s="190"/>
      <c r="G2" s="190"/>
      <c r="H2" s="190"/>
      <c r="I2" s="190"/>
      <c r="J2" s="190"/>
      <c r="K2" s="190"/>
      <c r="L2" s="190"/>
      <c r="M2" s="190"/>
      <c r="S2" s="191"/>
      <c r="X2" s="124"/>
    </row>
    <row r="3" spans="1:32" ht="15.6">
      <c r="A3" s="189" t="s">
        <v>462</v>
      </c>
      <c r="B3" s="189"/>
      <c r="C3" s="189"/>
      <c r="D3" s="189"/>
      <c r="E3" s="190" t="s">
        <v>207</v>
      </c>
      <c r="F3" s="190"/>
      <c r="G3" s="190"/>
      <c r="H3" s="190"/>
      <c r="I3" s="190"/>
      <c r="J3" s="190"/>
      <c r="K3" s="190"/>
      <c r="L3" s="190"/>
      <c r="M3" s="190"/>
    </row>
    <row r="4" spans="1:32" ht="15.6">
      <c r="A4" s="189"/>
      <c r="B4" s="189"/>
      <c r="C4" s="189"/>
      <c r="D4" s="189"/>
      <c r="E4" s="192" t="s">
        <v>47</v>
      </c>
      <c r="F4" s="192"/>
      <c r="G4" s="193" t="s">
        <v>54</v>
      </c>
      <c r="H4" s="193"/>
      <c r="I4" s="193"/>
      <c r="J4" s="193"/>
      <c r="K4" s="193"/>
      <c r="L4" s="193"/>
      <c r="M4" s="194" t="s">
        <v>56</v>
      </c>
      <c r="N4" s="195"/>
      <c r="O4" s="195"/>
      <c r="P4" s="195"/>
      <c r="Q4" s="195"/>
      <c r="R4" s="195"/>
      <c r="S4" s="174" t="s">
        <v>57</v>
      </c>
      <c r="T4" s="174"/>
      <c r="U4" s="174"/>
      <c r="V4" s="174"/>
      <c r="W4" s="174"/>
      <c r="X4" s="196" t="s">
        <v>58</v>
      </c>
      <c r="Y4" s="196"/>
      <c r="Z4" s="196"/>
    </row>
    <row r="5" spans="1:32">
      <c r="E5" s="120" t="s">
        <v>560</v>
      </c>
      <c r="F5" s="197"/>
      <c r="G5" s="121" t="s">
        <v>561</v>
      </c>
      <c r="H5" s="198"/>
      <c r="I5" s="198"/>
      <c r="J5" s="198"/>
      <c r="K5" s="198"/>
      <c r="L5" s="114"/>
      <c r="M5" s="117" t="s">
        <v>562</v>
      </c>
      <c r="N5" s="195"/>
      <c r="O5" s="195"/>
      <c r="P5" s="195"/>
      <c r="Q5" s="195"/>
      <c r="R5" s="195"/>
      <c r="S5" s="175" t="s">
        <v>826</v>
      </c>
      <c r="T5" s="174"/>
      <c r="U5" s="174"/>
      <c r="V5" s="174"/>
      <c r="W5" s="174"/>
      <c r="X5" s="199" t="s">
        <v>933</v>
      </c>
      <c r="Y5" s="196"/>
      <c r="Z5" s="196"/>
    </row>
    <row r="6" spans="1:32">
      <c r="A6" s="123"/>
      <c r="B6" s="123"/>
      <c r="C6" s="123"/>
      <c r="D6" s="123"/>
      <c r="E6" s="176" t="s">
        <v>208</v>
      </c>
      <c r="F6" s="176" t="s">
        <v>209</v>
      </c>
      <c r="G6" s="91" t="s">
        <v>210</v>
      </c>
      <c r="H6" s="91" t="s">
        <v>212</v>
      </c>
      <c r="I6" s="91" t="s">
        <v>213</v>
      </c>
      <c r="J6" s="91" t="s">
        <v>215</v>
      </c>
      <c r="K6" s="200" t="s">
        <v>217</v>
      </c>
      <c r="L6" s="91" t="s">
        <v>219</v>
      </c>
      <c r="M6" s="201" t="s">
        <v>220</v>
      </c>
      <c r="N6" s="92" t="s">
        <v>222</v>
      </c>
      <c r="O6" s="92" t="s">
        <v>223</v>
      </c>
      <c r="P6" s="92" t="s">
        <v>224</v>
      </c>
      <c r="Q6" s="92" t="s">
        <v>226</v>
      </c>
      <c r="R6" s="92" t="s">
        <v>228</v>
      </c>
      <c r="S6" s="202" t="s">
        <v>229</v>
      </c>
      <c r="T6" s="202" t="s">
        <v>230</v>
      </c>
      <c r="U6" s="202" t="s">
        <v>231</v>
      </c>
      <c r="V6" s="202" t="s">
        <v>232</v>
      </c>
      <c r="W6" s="202" t="s">
        <v>233</v>
      </c>
      <c r="X6" s="173" t="s">
        <v>234</v>
      </c>
      <c r="Y6" s="173" t="s">
        <v>235</v>
      </c>
      <c r="Z6" s="203" t="s">
        <v>237</v>
      </c>
      <c r="AA6" s="94"/>
      <c r="AB6" s="94"/>
      <c r="AC6" s="94"/>
      <c r="AD6" s="371"/>
      <c r="AE6" s="371"/>
      <c r="AF6" s="371"/>
    </row>
    <row r="7" spans="1:32" ht="172.35" customHeight="1">
      <c r="A7" s="125" t="s">
        <v>664</v>
      </c>
      <c r="B7" s="125"/>
      <c r="C7" s="125"/>
      <c r="D7" s="125"/>
      <c r="E7" s="98" t="s">
        <v>934</v>
      </c>
      <c r="F7" s="98" t="s">
        <v>935</v>
      </c>
      <c r="G7" s="98" t="s">
        <v>936</v>
      </c>
      <c r="H7" s="98" t="s">
        <v>937</v>
      </c>
      <c r="I7" s="98" t="s">
        <v>938</v>
      </c>
      <c r="J7" s="98" t="s">
        <v>939</v>
      </c>
      <c r="K7" s="98" t="s">
        <v>940</v>
      </c>
      <c r="L7" s="98" t="s">
        <v>941</v>
      </c>
      <c r="M7" s="204" t="s">
        <v>942</v>
      </c>
      <c r="N7" s="98" t="s">
        <v>943</v>
      </c>
      <c r="O7" s="98" t="s">
        <v>944</v>
      </c>
      <c r="P7" s="98" t="s">
        <v>945</v>
      </c>
      <c r="Q7" s="98" t="s">
        <v>946</v>
      </c>
      <c r="R7" s="98" t="s">
        <v>947</v>
      </c>
      <c r="S7" s="98" t="s">
        <v>948</v>
      </c>
      <c r="T7" s="98" t="s">
        <v>949</v>
      </c>
      <c r="U7" s="98" t="s">
        <v>950</v>
      </c>
      <c r="V7" s="98" t="s">
        <v>951</v>
      </c>
      <c r="W7" s="98" t="s">
        <v>952</v>
      </c>
      <c r="X7" s="98" t="s">
        <v>953</v>
      </c>
      <c r="Y7" s="98" t="s">
        <v>954</v>
      </c>
      <c r="Z7" s="205" t="s">
        <v>955</v>
      </c>
      <c r="AA7" s="94"/>
      <c r="AB7" s="94"/>
      <c r="AC7" s="94"/>
    </row>
    <row r="8" spans="1:32" ht="117.6" customHeight="1">
      <c r="A8" s="123" t="s">
        <v>574</v>
      </c>
      <c r="B8" s="123"/>
      <c r="C8" s="123"/>
      <c r="D8" s="123"/>
      <c r="E8" s="134" t="s">
        <v>956</v>
      </c>
      <c r="F8" s="134" t="s">
        <v>957</v>
      </c>
      <c r="G8" s="134" t="s">
        <v>958</v>
      </c>
      <c r="H8" s="134" t="s">
        <v>959</v>
      </c>
      <c r="I8" s="134" t="s">
        <v>960</v>
      </c>
      <c r="J8" s="134" t="s">
        <v>961</v>
      </c>
      <c r="K8" s="206" t="s">
        <v>962</v>
      </c>
      <c r="L8" s="134" t="s">
        <v>963</v>
      </c>
      <c r="M8" s="207" t="s">
        <v>964</v>
      </c>
      <c r="N8" s="134" t="s">
        <v>965</v>
      </c>
      <c r="O8" s="134" t="s">
        <v>966</v>
      </c>
      <c r="P8" s="134" t="s">
        <v>967</v>
      </c>
      <c r="Q8" s="134" t="s">
        <v>968</v>
      </c>
      <c r="R8" s="134" t="s">
        <v>969</v>
      </c>
      <c r="S8" s="99" t="s">
        <v>970</v>
      </c>
      <c r="T8" s="99" t="s">
        <v>971</v>
      </c>
      <c r="U8" s="99" t="s">
        <v>972</v>
      </c>
      <c r="V8" s="99" t="s">
        <v>973</v>
      </c>
      <c r="W8" s="99" t="s">
        <v>974</v>
      </c>
      <c r="X8" s="99" t="s">
        <v>975</v>
      </c>
      <c r="Y8" s="99" t="s">
        <v>976</v>
      </c>
      <c r="Z8" s="208" t="s">
        <v>977</v>
      </c>
      <c r="AA8" s="100"/>
      <c r="AB8" s="100"/>
      <c r="AC8" s="100"/>
    </row>
    <row r="9" spans="1:32" ht="75" customHeight="1">
      <c r="A9" s="123" t="s">
        <v>96</v>
      </c>
      <c r="B9" s="123"/>
      <c r="C9" s="123"/>
      <c r="D9" s="123"/>
      <c r="E9" s="99" t="s">
        <v>978</v>
      </c>
      <c r="F9" s="99" t="s">
        <v>979</v>
      </c>
      <c r="G9" s="99" t="s">
        <v>980</v>
      </c>
      <c r="H9" s="99" t="s">
        <v>981</v>
      </c>
      <c r="I9" s="99" t="s">
        <v>982</v>
      </c>
      <c r="J9" s="99" t="s">
        <v>983</v>
      </c>
      <c r="K9" s="208" t="s">
        <v>984</v>
      </c>
      <c r="L9" s="99" t="s">
        <v>985</v>
      </c>
      <c r="M9" s="209" t="s">
        <v>986</v>
      </c>
      <c r="N9" s="99" t="s">
        <v>987</v>
      </c>
      <c r="O9" s="99" t="s">
        <v>988</v>
      </c>
      <c r="P9" s="99" t="s">
        <v>989</v>
      </c>
      <c r="Q9" s="99" t="s">
        <v>990</v>
      </c>
      <c r="R9" s="99" t="s">
        <v>991</v>
      </c>
      <c r="S9" s="126" t="s">
        <v>992</v>
      </c>
      <c r="T9" s="126" t="s">
        <v>993</v>
      </c>
      <c r="U9" s="99" t="s">
        <v>994</v>
      </c>
      <c r="V9" s="99" t="s">
        <v>995</v>
      </c>
      <c r="W9" s="99" t="s">
        <v>996</v>
      </c>
      <c r="X9" s="99" t="s">
        <v>997</v>
      </c>
      <c r="Y9" s="99" t="s">
        <v>998</v>
      </c>
      <c r="Z9" s="208" t="s">
        <v>999</v>
      </c>
      <c r="AA9" s="100"/>
      <c r="AB9" s="100"/>
      <c r="AC9" s="100"/>
    </row>
    <row r="10" spans="1:32" ht="198.6" customHeight="1">
      <c r="A10" s="123" t="s">
        <v>595</v>
      </c>
      <c r="B10" s="123"/>
      <c r="C10" s="123"/>
      <c r="D10" s="123"/>
      <c r="E10" s="103" t="s">
        <v>1000</v>
      </c>
      <c r="F10" s="103" t="s">
        <v>1001</v>
      </c>
      <c r="G10" s="103" t="s">
        <v>1002</v>
      </c>
      <c r="H10" s="103" t="s">
        <v>1003</v>
      </c>
      <c r="I10" s="103" t="s">
        <v>1004</v>
      </c>
      <c r="J10" s="103" t="s">
        <v>1005</v>
      </c>
      <c r="K10" s="210" t="s">
        <v>1006</v>
      </c>
      <c r="L10" s="104" t="s">
        <v>1007</v>
      </c>
      <c r="M10" s="211" t="s">
        <v>1008</v>
      </c>
      <c r="N10" s="104" t="s">
        <v>1009</v>
      </c>
      <c r="O10" s="104" t="s">
        <v>1010</v>
      </c>
      <c r="P10" s="104" t="s">
        <v>1011</v>
      </c>
      <c r="Q10" s="104" t="s">
        <v>1012</v>
      </c>
      <c r="R10" s="104" t="s">
        <v>1013</v>
      </c>
      <c r="S10" s="104" t="s">
        <v>1014</v>
      </c>
      <c r="T10" s="104" t="s">
        <v>1015</v>
      </c>
      <c r="U10" s="104" t="s">
        <v>1016</v>
      </c>
      <c r="V10" s="104" t="s">
        <v>1017</v>
      </c>
      <c r="W10" s="104" t="s">
        <v>1018</v>
      </c>
      <c r="X10" s="104" t="s">
        <v>1019</v>
      </c>
      <c r="Y10" s="104" t="s">
        <v>1020</v>
      </c>
      <c r="Z10" s="104" t="s">
        <v>1021</v>
      </c>
      <c r="AA10" s="94"/>
      <c r="AB10" s="94"/>
      <c r="AC10" s="94"/>
    </row>
    <row r="11" spans="1:32" ht="118.35" customHeight="1">
      <c r="A11" s="136" t="s">
        <v>85</v>
      </c>
      <c r="B11" s="136"/>
      <c r="C11" s="136"/>
      <c r="D11" s="136"/>
      <c r="E11" s="103" t="s">
        <v>1022</v>
      </c>
      <c r="F11" s="103"/>
      <c r="G11" s="103" t="s">
        <v>1023</v>
      </c>
      <c r="H11" s="103" t="s">
        <v>1024</v>
      </c>
      <c r="I11" s="103" t="s">
        <v>1025</v>
      </c>
      <c r="J11" s="103" t="s">
        <v>1026</v>
      </c>
      <c r="K11" s="210" t="s">
        <v>1027</v>
      </c>
      <c r="L11" s="104" t="s">
        <v>1028</v>
      </c>
      <c r="M11" s="211" t="s">
        <v>1029</v>
      </c>
      <c r="N11" s="104" t="s">
        <v>1030</v>
      </c>
      <c r="O11" s="104" t="s">
        <v>1031</v>
      </c>
      <c r="P11" s="104" t="s">
        <v>1032</v>
      </c>
      <c r="Q11" s="104" t="s">
        <v>1033</v>
      </c>
      <c r="R11" s="104" t="s">
        <v>1034</v>
      </c>
      <c r="S11" s="104" t="s">
        <v>1014</v>
      </c>
      <c r="T11" s="104" t="s">
        <v>1015</v>
      </c>
      <c r="U11" s="104" t="s">
        <v>1016</v>
      </c>
      <c r="V11" s="104" t="s">
        <v>1017</v>
      </c>
      <c r="W11" s="104" t="s">
        <v>1018</v>
      </c>
      <c r="X11" s="104" t="s">
        <v>1019</v>
      </c>
      <c r="Y11" s="104" t="s">
        <v>1020</v>
      </c>
      <c r="Z11" s="104" t="s">
        <v>1021</v>
      </c>
      <c r="AA11" s="94"/>
      <c r="AB11" s="94"/>
      <c r="AC11" s="94"/>
    </row>
    <row r="15" spans="1:32" customFormat="1">
      <c r="A15" t="s">
        <v>457</v>
      </c>
      <c r="B15" t="s">
        <v>104</v>
      </c>
      <c r="C15" t="s">
        <v>105</v>
      </c>
      <c r="D15" s="296" t="s">
        <v>456</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237</v>
      </c>
      <c r="AA15" s="14"/>
    </row>
    <row r="16" spans="1:32">
      <c r="A16" t="s">
        <v>557</v>
      </c>
      <c r="B16" s="15" t="s">
        <v>104</v>
      </c>
      <c r="C16" s="15" t="str">
        <f>HYPERLINK("01-组织级\02-组织工作库\06-度量\组织度量表(QCUBIC-SPI-MPM-Tem-datasheet)V1.3-engl.xlsx", "engl")</f>
        <v>engl</v>
      </c>
      <c r="D16"/>
      <c r="E16" t="s">
        <v>440</v>
      </c>
      <c r="F16" t="s">
        <v>440</v>
      </c>
      <c r="G16"/>
      <c r="H16"/>
      <c r="I16" t="s">
        <v>440</v>
      </c>
      <c r="J16" t="s">
        <v>440</v>
      </c>
      <c r="K16" t="s">
        <v>440</v>
      </c>
      <c r="L16" t="s">
        <v>440</v>
      </c>
      <c r="M16" t="s">
        <v>440</v>
      </c>
      <c r="N16" t="s">
        <v>440</v>
      </c>
      <c r="O16"/>
      <c r="P16" t="s">
        <v>440</v>
      </c>
      <c r="Q16" t="s">
        <v>440</v>
      </c>
      <c r="R16" t="s">
        <v>440</v>
      </c>
      <c r="S16"/>
      <c r="T16"/>
      <c r="U16"/>
      <c r="V16"/>
      <c r="W16"/>
      <c r="X16"/>
      <c r="Y16"/>
      <c r="Z16"/>
      <c r="AA16"/>
    </row>
    <row r="17" spans="1:27">
      <c r="A17" t="s">
        <v>557</v>
      </c>
      <c r="B17" s="15" t="s">
        <v>104</v>
      </c>
      <c r="C17" s="15" t="str">
        <f>HYPERLINK("01-组织级\02-组织工作库\06-度量\组织度量计划(QCUBIC-SPI-MPM-Plan)V1.3-engl.xlsx", "engl")</f>
        <v>engl</v>
      </c>
      <c r="D17"/>
      <c r="E17" t="s">
        <v>440</v>
      </c>
      <c r="F17"/>
      <c r="G17" t="s">
        <v>440</v>
      </c>
      <c r="H17" t="s">
        <v>440</v>
      </c>
      <c r="I17"/>
      <c r="J17"/>
      <c r="K17"/>
      <c r="L17"/>
      <c r="M17"/>
      <c r="N17" t="s">
        <v>440</v>
      </c>
      <c r="O17"/>
      <c r="P17"/>
      <c r="Q17"/>
      <c r="R17"/>
      <c r="S17"/>
      <c r="T17"/>
      <c r="U17"/>
      <c r="V17"/>
      <c r="W17"/>
      <c r="X17"/>
      <c r="Y17"/>
      <c r="Z17"/>
      <c r="AA17"/>
    </row>
    <row r="18" spans="1:27">
      <c r="A18" t="s">
        <v>557</v>
      </c>
      <c r="B18" s="15" t="s">
        <v>104</v>
      </c>
      <c r="C18" s="15" t="str">
        <f>HYPERLINK("01-组织级\01-组织财富库\01-标准过程文件库\03-支持类\03-度量分析\度量分析指南 (QCUBIC-SPI-MPM-Guid-Doc)V1.2-engl.docx", "engl")</f>
        <v>engl</v>
      </c>
      <c r="D18"/>
      <c r="E18"/>
      <c r="F18"/>
      <c r="G18"/>
      <c r="H18" t="s">
        <v>440</v>
      </c>
      <c r="I18"/>
      <c r="J18"/>
      <c r="K18"/>
      <c r="L18"/>
      <c r="M18"/>
      <c r="N18"/>
      <c r="O18" t="s">
        <v>440</v>
      </c>
      <c r="P18"/>
      <c r="Q18"/>
      <c r="R18"/>
      <c r="S18"/>
      <c r="T18"/>
      <c r="U18"/>
      <c r="V18"/>
      <c r="W18"/>
      <c r="X18"/>
      <c r="Y18"/>
      <c r="Z18"/>
      <c r="AA18"/>
    </row>
    <row r="19" spans="1:27">
      <c r="A19" t="s">
        <v>557</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440</v>
      </c>
      <c r="O19"/>
      <c r="P19"/>
      <c r="Q19"/>
      <c r="R19"/>
      <c r="S19"/>
      <c r="T19"/>
      <c r="U19"/>
      <c r="V19"/>
      <c r="W19"/>
      <c r="X19"/>
      <c r="Y19"/>
      <c r="Z19"/>
      <c r="AA19"/>
    </row>
    <row r="20" spans="1:27">
      <c r="A20" t="s">
        <v>557</v>
      </c>
      <c r="B20" s="15" t="s">
        <v>104</v>
      </c>
      <c r="C20" s="15" t="str">
        <f>HYPERLINK("01-组织级\02-组织工作库\03-PQA活动库\组织级工作产品和过程检查表(QCUBIC-ORG-PQA-Checklist_20200627)V1.0-engl.xlsx", "engl")</f>
        <v>engl</v>
      </c>
      <c r="D20"/>
      <c r="E20"/>
      <c r="F20"/>
      <c r="G20"/>
      <c r="H20"/>
      <c r="I20"/>
      <c r="J20"/>
      <c r="K20"/>
      <c r="L20"/>
      <c r="M20"/>
      <c r="N20"/>
      <c r="O20" t="s">
        <v>440</v>
      </c>
      <c r="P20"/>
      <c r="Q20"/>
      <c r="R20"/>
      <c r="S20"/>
      <c r="T20"/>
      <c r="U20"/>
      <c r="V20"/>
      <c r="W20"/>
      <c r="X20"/>
      <c r="Y20"/>
      <c r="Z20"/>
      <c r="AA20"/>
    </row>
    <row r="21" spans="1:27">
      <c r="A21" t="s">
        <v>557</v>
      </c>
      <c r="B21" s="15" t="s">
        <v>104</v>
      </c>
      <c r="C21" s="15" t="str">
        <f>HYPERLINK("01-组织级\02-组织工作库\02-EPG活动库\07-EPG跟踪\01-EPG月报\EPG月报2020-06-engl.xlsx", "engl")</f>
        <v>engl</v>
      </c>
      <c r="D21"/>
      <c r="E21"/>
      <c r="F21"/>
      <c r="G21"/>
      <c r="H21"/>
      <c r="I21"/>
      <c r="J21"/>
      <c r="K21"/>
      <c r="L21"/>
      <c r="M21"/>
      <c r="N21"/>
      <c r="O21"/>
      <c r="P21"/>
      <c r="Q21"/>
      <c r="R21" t="s">
        <v>440</v>
      </c>
      <c r="S21"/>
      <c r="T21"/>
      <c r="U21"/>
      <c r="V21"/>
      <c r="W21"/>
      <c r="X21"/>
      <c r="Y21"/>
      <c r="Z21"/>
      <c r="AA21"/>
    </row>
    <row r="22" spans="1:27">
      <c r="A22" t="s">
        <v>557</v>
      </c>
      <c r="B22" s="15" t="s">
        <v>104</v>
      </c>
      <c r="C22" s="15" t="str">
        <f>HYPERLINK("01-组织级\02-组织工作库\01-会议记录\高层会议记录(QCUBIC-SPI-MeetingRcd-2020-06-03)V1.0-engl.docx", "engl")</f>
        <v>engl</v>
      </c>
      <c r="D22"/>
      <c r="E22"/>
      <c r="F22"/>
      <c r="G22"/>
      <c r="H22"/>
      <c r="I22"/>
      <c r="J22"/>
      <c r="K22"/>
      <c r="L22"/>
      <c r="M22"/>
      <c r="N22"/>
      <c r="O22"/>
      <c r="P22"/>
      <c r="Q22"/>
      <c r="R22" t="s">
        <v>440</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4" customWidth="1"/>
    <col min="2" max="4" width="7.88671875" style="124" customWidth="1"/>
    <col min="5" max="6" width="20.6640625" style="124" customWidth="1"/>
    <col min="7" max="12" width="20.6640625" style="109" customWidth="1"/>
    <col min="13" max="13" width="50.6640625" style="109" customWidth="1"/>
    <col min="14" max="14" width="3.6640625" style="109" customWidth="1"/>
    <col min="15" max="15" width="35.6640625" style="109" bestFit="1" customWidth="1"/>
    <col min="16" max="16" width="67.109375" style="109" customWidth="1"/>
    <col min="17" max="17" width="24.33203125" style="109" customWidth="1"/>
    <col min="18" max="16384" width="8.6640625" style="124"/>
  </cols>
  <sheetData>
    <row r="1" spans="1:27" s="149" customFormat="1" ht="18">
      <c r="A1" s="106" t="s">
        <v>1035</v>
      </c>
      <c r="B1" s="106"/>
      <c r="C1" s="106"/>
      <c r="D1" s="106"/>
      <c r="E1" s="107"/>
      <c r="F1" s="108"/>
      <c r="G1" s="109"/>
      <c r="H1" s="109"/>
      <c r="I1" s="109"/>
      <c r="J1" s="109"/>
      <c r="K1" s="109"/>
      <c r="L1" s="109"/>
      <c r="M1" s="109"/>
      <c r="N1" s="109"/>
      <c r="O1" s="109"/>
      <c r="P1" s="109"/>
      <c r="Q1" s="109"/>
    </row>
    <row r="2" spans="1:27" s="111" customFormat="1">
      <c r="A2" s="111" t="s">
        <v>461</v>
      </c>
      <c r="E2" s="124" t="s">
        <v>268</v>
      </c>
      <c r="F2" s="124"/>
      <c r="G2" s="124"/>
      <c r="H2" s="109"/>
      <c r="I2" s="109"/>
      <c r="J2" s="109"/>
      <c r="K2" s="109"/>
      <c r="L2" s="109"/>
      <c r="M2" s="109"/>
      <c r="N2" s="109"/>
      <c r="O2" s="109"/>
      <c r="P2" s="109"/>
      <c r="Q2" s="109"/>
    </row>
    <row r="3" spans="1:27" s="149" customFormat="1">
      <c r="A3" s="108" t="s">
        <v>462</v>
      </c>
      <c r="B3" s="108"/>
      <c r="C3" s="108"/>
      <c r="D3" s="108"/>
      <c r="E3" s="212" t="s">
        <v>269</v>
      </c>
      <c r="F3" s="212"/>
      <c r="G3" s="212"/>
      <c r="H3" s="109"/>
      <c r="I3" s="109"/>
      <c r="J3" s="109"/>
      <c r="K3" s="109"/>
      <c r="L3" s="109"/>
      <c r="M3" s="109"/>
      <c r="N3" s="109"/>
      <c r="O3" s="109"/>
      <c r="P3" s="109"/>
      <c r="Q3" s="109"/>
    </row>
    <row r="4" spans="1:27" s="149" customFormat="1" ht="14.4">
      <c r="A4" s="112"/>
      <c r="B4" s="112"/>
      <c r="C4" s="112"/>
      <c r="D4" s="112"/>
      <c r="E4" s="113" t="s">
        <v>47</v>
      </c>
      <c r="F4" s="114" t="s">
        <v>54</v>
      </c>
      <c r="G4" s="114"/>
      <c r="H4" s="117" t="s">
        <v>56</v>
      </c>
      <c r="I4" s="117"/>
      <c r="J4" s="151"/>
      <c r="K4" s="151"/>
      <c r="L4" s="151"/>
      <c r="M4" s="111"/>
      <c r="N4" s="111"/>
      <c r="O4" s="111"/>
      <c r="P4" s="108"/>
      <c r="Q4" s="108"/>
      <c r="R4" s="111"/>
      <c r="S4" s="118"/>
      <c r="T4" s="118"/>
    </row>
    <row r="5" spans="1:27" s="149" customFormat="1" ht="14.4">
      <c r="A5" s="119"/>
      <c r="B5" s="119"/>
      <c r="C5" s="119"/>
      <c r="D5" s="119"/>
      <c r="E5" s="120" t="s">
        <v>560</v>
      </c>
      <c r="F5" s="121" t="s">
        <v>561</v>
      </c>
      <c r="G5" s="121"/>
      <c r="H5" s="117" t="s">
        <v>562</v>
      </c>
      <c r="I5" s="170"/>
      <c r="J5" s="151"/>
      <c r="K5" s="151"/>
      <c r="L5" s="151"/>
      <c r="M5" s="111"/>
      <c r="N5" s="111"/>
      <c r="O5" s="111"/>
      <c r="P5" s="119"/>
      <c r="Q5" s="108"/>
      <c r="R5" s="111"/>
      <c r="S5" s="119"/>
      <c r="T5" s="118"/>
    </row>
    <row r="6" spans="1:27" s="108" customFormat="1">
      <c r="A6" s="123"/>
      <c r="B6" s="123"/>
      <c r="C6" s="123"/>
      <c r="D6" s="123"/>
      <c r="E6" s="3" t="s">
        <v>270</v>
      </c>
      <c r="F6" s="91" t="s">
        <v>271</v>
      </c>
      <c r="G6" s="91" t="s">
        <v>273</v>
      </c>
      <c r="H6" s="92" t="s">
        <v>274</v>
      </c>
      <c r="I6" s="92" t="s">
        <v>276</v>
      </c>
      <c r="J6" s="92" t="s">
        <v>277</v>
      </c>
      <c r="K6" s="92" t="s">
        <v>279</v>
      </c>
      <c r="L6" s="93" t="s">
        <v>281</v>
      </c>
      <c r="M6" s="94"/>
      <c r="N6" s="94"/>
      <c r="O6" s="94"/>
      <c r="P6" s="124"/>
      <c r="Q6" s="109"/>
    </row>
    <row r="7" spans="1:27" s="108" customFormat="1" ht="69">
      <c r="A7" s="125" t="s">
        <v>664</v>
      </c>
      <c r="B7" s="125"/>
      <c r="C7" s="125"/>
      <c r="D7" s="125"/>
      <c r="E7" s="98" t="s">
        <v>1036</v>
      </c>
      <c r="F7" s="98" t="s">
        <v>1037</v>
      </c>
      <c r="G7" s="98" t="s">
        <v>1038</v>
      </c>
      <c r="H7" s="98" t="s">
        <v>1039</v>
      </c>
      <c r="I7" s="98" t="s">
        <v>1040</v>
      </c>
      <c r="J7" s="98" t="s">
        <v>1041</v>
      </c>
      <c r="K7" s="98" t="s">
        <v>1042</v>
      </c>
      <c r="L7" s="98" t="s">
        <v>1043</v>
      </c>
      <c r="M7" s="94"/>
      <c r="N7" s="94"/>
      <c r="O7" s="94"/>
      <c r="P7" s="109"/>
      <c r="Q7" s="109"/>
    </row>
    <row r="8" spans="1:27" s="108" customFormat="1" ht="71.400000000000006">
      <c r="A8" s="123" t="s">
        <v>574</v>
      </c>
      <c r="B8" s="123"/>
      <c r="C8" s="123"/>
      <c r="D8" s="123"/>
      <c r="E8" s="152" t="s">
        <v>1044</v>
      </c>
      <c r="F8" s="134" t="s">
        <v>1045</v>
      </c>
      <c r="G8" s="134" t="s">
        <v>1046</v>
      </c>
      <c r="H8" s="134" t="s">
        <v>1047</v>
      </c>
      <c r="I8" s="134" t="s">
        <v>1048</v>
      </c>
      <c r="J8" s="134" t="s">
        <v>1049</v>
      </c>
      <c r="K8" s="134" t="s">
        <v>1050</v>
      </c>
      <c r="L8" s="134" t="s">
        <v>1051</v>
      </c>
      <c r="M8" s="100"/>
      <c r="N8" s="100"/>
      <c r="O8" s="100"/>
      <c r="P8" s="109"/>
      <c r="Q8" s="109"/>
    </row>
    <row r="9" spans="1:27" s="108" customFormat="1" ht="168.6" thickBot="1">
      <c r="A9" s="123" t="s">
        <v>96</v>
      </c>
      <c r="B9" s="123"/>
      <c r="C9" s="123"/>
      <c r="D9" s="123"/>
      <c r="E9" s="126" t="s">
        <v>1052</v>
      </c>
      <c r="F9" s="126" t="s">
        <v>1053</v>
      </c>
      <c r="G9" s="126" t="s">
        <v>1054</v>
      </c>
      <c r="H9" s="126" t="s">
        <v>1055</v>
      </c>
      <c r="I9" s="126" t="s">
        <v>1056</v>
      </c>
      <c r="J9" s="126" t="s">
        <v>1057</v>
      </c>
      <c r="K9" s="126" t="s">
        <v>1058</v>
      </c>
      <c r="L9" s="126" t="s">
        <v>1059</v>
      </c>
      <c r="M9" s="128"/>
      <c r="N9" s="128"/>
      <c r="O9" s="128"/>
      <c r="P9" s="109"/>
      <c r="Q9" s="109"/>
    </row>
    <row r="10" spans="1:27" s="108" customFormat="1" ht="84">
      <c r="A10" s="123" t="s">
        <v>595</v>
      </c>
      <c r="B10" s="172"/>
      <c r="C10" s="172"/>
      <c r="D10" s="172"/>
      <c r="E10" s="213" t="s">
        <v>1060</v>
      </c>
      <c r="F10" s="214" t="s">
        <v>1061</v>
      </c>
      <c r="G10" s="214" t="s">
        <v>1062</v>
      </c>
      <c r="H10" s="214" t="s">
        <v>1063</v>
      </c>
      <c r="I10" s="214" t="s">
        <v>1064</v>
      </c>
      <c r="J10" s="214" t="s">
        <v>1065</v>
      </c>
      <c r="K10" s="214" t="s">
        <v>1066</v>
      </c>
      <c r="L10" s="214" t="s">
        <v>1067</v>
      </c>
      <c r="M10" s="100"/>
      <c r="N10" s="100"/>
      <c r="O10" s="100"/>
      <c r="P10" s="109"/>
      <c r="Q10" s="109"/>
    </row>
    <row r="11" spans="1:27" s="108" customFormat="1" ht="36">
      <c r="A11" s="136" t="s">
        <v>85</v>
      </c>
      <c r="B11" s="136"/>
      <c r="C11" s="136"/>
      <c r="D11" s="136"/>
      <c r="E11" s="215" t="s">
        <v>1068</v>
      </c>
      <c r="F11" s="99" t="s">
        <v>1069</v>
      </c>
      <c r="G11" s="99" t="s">
        <v>1070</v>
      </c>
      <c r="H11" s="99" t="s">
        <v>1071</v>
      </c>
      <c r="I11" s="99" t="s">
        <v>1072</v>
      </c>
      <c r="J11" s="99" t="s">
        <v>1073</v>
      </c>
      <c r="K11" s="99" t="s">
        <v>1074</v>
      </c>
      <c r="L11" s="99" t="s">
        <v>1075</v>
      </c>
      <c r="M11" s="100"/>
      <c r="N11" s="100"/>
      <c r="O11" s="100"/>
      <c r="P11" s="109"/>
      <c r="Q11" s="109"/>
      <c r="R11" s="109"/>
      <c r="S11" s="109"/>
    </row>
    <row r="12" spans="1:27" ht="15" customHeight="1">
      <c r="G12" s="124"/>
      <c r="H12" s="124"/>
      <c r="I12" s="124"/>
      <c r="J12" s="124"/>
      <c r="K12" s="124"/>
      <c r="L12" s="124"/>
      <c r="M12" s="124"/>
      <c r="N12" s="124"/>
      <c r="O12" s="124"/>
      <c r="P12" s="124"/>
    </row>
    <row r="13" spans="1:27" ht="15" customHeight="1">
      <c r="G13" s="124"/>
      <c r="H13" s="124"/>
      <c r="I13" s="124"/>
      <c r="J13" s="124"/>
      <c r="K13" s="124"/>
      <c r="L13" s="124"/>
      <c r="M13" s="124"/>
      <c r="N13" s="124"/>
      <c r="O13" s="124"/>
      <c r="P13" s="124"/>
    </row>
    <row r="14" spans="1:27" ht="15" customHeight="1">
      <c r="G14" s="124"/>
      <c r="H14" s="124"/>
      <c r="I14" s="124"/>
      <c r="J14" s="124"/>
      <c r="K14" s="124"/>
      <c r="L14" s="124"/>
      <c r="M14" s="124"/>
      <c r="N14" s="124"/>
      <c r="O14" s="124"/>
      <c r="P14" s="124"/>
    </row>
    <row r="15" spans="1:27" customFormat="1" ht="14.4">
      <c r="A15" t="s">
        <v>457</v>
      </c>
      <c r="B15" t="s">
        <v>104</v>
      </c>
      <c r="C15" t="s">
        <v>105</v>
      </c>
      <c r="D15" s="296" t="s">
        <v>456</v>
      </c>
      <c r="E15" s="14" t="s">
        <v>270</v>
      </c>
      <c r="F15" s="14" t="s">
        <v>271</v>
      </c>
      <c r="G15" s="14" t="s">
        <v>273</v>
      </c>
      <c r="H15" s="14" t="s">
        <v>274</v>
      </c>
      <c r="I15" s="14" t="s">
        <v>276</v>
      </c>
      <c r="J15" s="14" t="s">
        <v>277</v>
      </c>
      <c r="K15" s="14" t="s">
        <v>279</v>
      </c>
      <c r="L15" s="14" t="s">
        <v>281</v>
      </c>
    </row>
    <row r="16" spans="1:27" ht="14.4">
      <c r="A16" t="s">
        <v>557</v>
      </c>
      <c r="B16" s="15" t="s">
        <v>104</v>
      </c>
      <c r="C16" s="15" t="str">
        <f>HYPERLINK("02-项目级\P1-Qcubic数据库管理工具 V1.0\02-全程管理\02-风险和机会管理\03-风险和机会管理一览表(QCUBIC-SJKGL-RSK-chk&amp;tracking)V1.2-engl.xlsx", "engl")</f>
        <v>engl</v>
      </c>
      <c r="D16"/>
      <c r="E16" t="s">
        <v>440</v>
      </c>
      <c r="F16" t="s">
        <v>440</v>
      </c>
      <c r="G16" t="s">
        <v>440</v>
      </c>
      <c r="H16" t="s">
        <v>440</v>
      </c>
      <c r="I16" t="s">
        <v>440</v>
      </c>
      <c r="J16" t="s">
        <v>440</v>
      </c>
      <c r="K16"/>
      <c r="L16" t="s">
        <v>440</v>
      </c>
      <c r="M16"/>
      <c r="N16"/>
      <c r="O16"/>
      <c r="P16"/>
      <c r="Q16"/>
      <c r="R16"/>
      <c r="S16"/>
      <c r="T16"/>
      <c r="U16"/>
      <c r="V16"/>
      <c r="W16"/>
      <c r="X16"/>
      <c r="Y16"/>
      <c r="Z16"/>
      <c r="AA16"/>
    </row>
    <row r="17" spans="1:27" ht="14.4">
      <c r="A17" t="s">
        <v>557</v>
      </c>
      <c r="B17" s="15" t="s">
        <v>104</v>
      </c>
      <c r="C17" s="15" t="str">
        <f>HYPERLINK("02-项目级\P1-Qcubic数据库管理工具 V1.0\02-全程管理\02-风险和机会管理\01-风险和机会检查表(QCUBIC-SJKGL-RSK-rc)V1.0-engl.xlsx", "engl")</f>
        <v>engl</v>
      </c>
      <c r="D17"/>
      <c r="E17" t="s">
        <v>440</v>
      </c>
      <c r="F17" t="s">
        <v>440</v>
      </c>
      <c r="G17"/>
      <c r="H17"/>
      <c r="I17"/>
      <c r="J17"/>
      <c r="K17"/>
      <c r="L17"/>
      <c r="M17"/>
      <c r="N17"/>
      <c r="O17"/>
      <c r="P17"/>
      <c r="Q17"/>
      <c r="R17"/>
      <c r="S17"/>
      <c r="T17"/>
      <c r="U17"/>
      <c r="V17"/>
      <c r="W17"/>
      <c r="X17"/>
      <c r="Y17"/>
      <c r="Z17"/>
      <c r="AA17"/>
    </row>
    <row r="18" spans="1:27" s="109" customFormat="1" ht="14.4">
      <c r="A18" t="s">
        <v>557</v>
      </c>
      <c r="B18" s="15" t="s">
        <v>104</v>
      </c>
      <c r="C18" s="15" t="str">
        <f>HYPERLINK("02-项目级\P1-Qcubic数据库管理工具 V1.0\02-全程管理\02-风险和机会管理\02-风险和机会管理计划(QCUBIC-SJKGL-RSK-plan)V1.0-engl.docx", "engl")</f>
        <v>engl</v>
      </c>
      <c r="D18"/>
      <c r="E18"/>
      <c r="F18" t="s">
        <v>440</v>
      </c>
      <c r="G18"/>
      <c r="H18"/>
      <c r="I18"/>
      <c r="J18"/>
      <c r="K18" t="s">
        <v>440</v>
      </c>
      <c r="L18" t="s">
        <v>440</v>
      </c>
      <c r="M18"/>
      <c r="N18"/>
      <c r="O18"/>
      <c r="P18"/>
      <c r="Q18"/>
      <c r="R18"/>
      <c r="S18"/>
      <c r="T18"/>
      <c r="U18"/>
      <c r="V18"/>
      <c r="W18"/>
      <c r="X18"/>
      <c r="Y18"/>
      <c r="Z18"/>
      <c r="AA18"/>
    </row>
    <row r="19" spans="1:27" s="109" customFormat="1" ht="14.4">
      <c r="A19" t="s">
        <v>557</v>
      </c>
      <c r="B19" s="15" t="s">
        <v>104</v>
      </c>
      <c r="C19" s="15" t="str">
        <f>HYPERLINK("01-组织级\01-组织财富库\01-标准过程文件库\01-项目管理规范\05-风险和机会管理\风险和机会管理过程文件(QCUBIC-SPI-RSK-Proc-Doc)V1.2-engl.docx", "engl")</f>
        <v>engl</v>
      </c>
      <c r="D19"/>
      <c r="E19"/>
      <c r="F19"/>
      <c r="G19"/>
      <c r="H19" t="s">
        <v>440</v>
      </c>
      <c r="I19" t="s">
        <v>440</v>
      </c>
      <c r="J19" t="s">
        <v>440</v>
      </c>
      <c r="K19"/>
      <c r="L19"/>
      <c r="M19"/>
      <c r="N19"/>
      <c r="O19"/>
      <c r="P19"/>
      <c r="Q19"/>
      <c r="R19"/>
      <c r="S19"/>
      <c r="T19"/>
      <c r="U19"/>
      <c r="V19"/>
      <c r="W19"/>
      <c r="X19"/>
      <c r="Y19"/>
      <c r="Z19"/>
      <c r="AA19"/>
    </row>
    <row r="20" spans="1:27" s="109" customFormat="1" ht="14.4">
      <c r="A20" t="s">
        <v>557</v>
      </c>
      <c r="B20" s="15" t="s">
        <v>104</v>
      </c>
      <c r="C20" s="15" t="str">
        <f>HYPERLINK("01-组织级\01-组织财富库\01-标准过程文件库\01-项目管理规范\05-风险和机会管理\风险和机会管理指南(QCUBIC-SPI-RSK-Guid-Management)V1.2-engl.docx", "engl")</f>
        <v>engl</v>
      </c>
      <c r="D20"/>
      <c r="E20"/>
      <c r="F20"/>
      <c r="G20"/>
      <c r="H20" t="s">
        <v>440</v>
      </c>
      <c r="I20" t="s">
        <v>440</v>
      </c>
      <c r="J20" t="s">
        <v>440</v>
      </c>
      <c r="K20"/>
      <c r="L20"/>
      <c r="M20"/>
      <c r="N20"/>
      <c r="O20"/>
      <c r="P20"/>
      <c r="Q20"/>
      <c r="R20"/>
      <c r="S20"/>
      <c r="T20"/>
      <c r="U20"/>
      <c r="V20"/>
      <c r="W20"/>
      <c r="X20"/>
      <c r="Y20"/>
      <c r="Z20"/>
      <c r="AA20"/>
    </row>
    <row r="21" spans="1:27" s="109" customFormat="1" ht="14.4">
      <c r="A21"/>
      <c r="B21"/>
      <c r="C21"/>
      <c r="D21"/>
      <c r="E21"/>
      <c r="F21"/>
      <c r="G21"/>
      <c r="H21"/>
      <c r="I21"/>
      <c r="J21"/>
      <c r="K21"/>
      <c r="L21"/>
      <c r="M21"/>
      <c r="N21"/>
      <c r="O21"/>
      <c r="P21"/>
      <c r="Q21"/>
      <c r="R21"/>
      <c r="S21"/>
      <c r="T21"/>
      <c r="U21"/>
      <c r="V21"/>
      <c r="W21"/>
      <c r="X21"/>
      <c r="Y21"/>
      <c r="Z21"/>
      <c r="AA21"/>
    </row>
    <row r="22" spans="1:27" s="109" customFormat="1" ht="14.4">
      <c r="A22"/>
      <c r="B22"/>
      <c r="C22"/>
      <c r="D22"/>
      <c r="E22"/>
      <c r="F22"/>
      <c r="G22"/>
      <c r="H22"/>
      <c r="I22"/>
      <c r="J22"/>
      <c r="K22"/>
      <c r="L22"/>
      <c r="M22"/>
      <c r="N22"/>
      <c r="O22"/>
      <c r="P22"/>
      <c r="Q22"/>
      <c r="R22"/>
      <c r="S22"/>
      <c r="T22"/>
      <c r="U22"/>
      <c r="V22"/>
      <c r="W22"/>
      <c r="X22"/>
      <c r="Y22"/>
      <c r="Z22"/>
      <c r="AA22"/>
    </row>
    <row r="23" spans="1:27" s="109" customFormat="1" ht="14.4">
      <c r="A23"/>
      <c r="B23"/>
      <c r="C23"/>
      <c r="D23"/>
      <c r="E23"/>
      <c r="F23"/>
      <c r="G23"/>
      <c r="H23"/>
      <c r="I23"/>
      <c r="J23"/>
      <c r="K23"/>
      <c r="L23"/>
      <c r="M23"/>
      <c r="N23"/>
      <c r="O23"/>
      <c r="P23"/>
      <c r="Q23"/>
      <c r="R23"/>
      <c r="S23"/>
      <c r="T23"/>
      <c r="U23"/>
      <c r="V23"/>
      <c r="W23"/>
      <c r="X23"/>
      <c r="Y23"/>
      <c r="Z23"/>
      <c r="AA23"/>
    </row>
    <row r="24" spans="1:27" s="109" customFormat="1" ht="14.4">
      <c r="A24"/>
      <c r="B24"/>
      <c r="C24"/>
      <c r="D24"/>
      <c r="E24"/>
      <c r="F24"/>
      <c r="G24"/>
      <c r="H24"/>
      <c r="I24"/>
      <c r="J24"/>
      <c r="K24"/>
      <c r="L24"/>
      <c r="M24"/>
      <c r="N24"/>
      <c r="O24"/>
      <c r="P24"/>
      <c r="Q24"/>
      <c r="R24"/>
      <c r="S24"/>
      <c r="T24"/>
      <c r="U24"/>
      <c r="V24"/>
      <c r="W24"/>
      <c r="X24"/>
      <c r="Y24"/>
      <c r="Z24"/>
      <c r="AA24"/>
    </row>
    <row r="25" spans="1:27" s="109" customFormat="1" ht="14.4">
      <c r="A25"/>
      <c r="B25"/>
      <c r="C25"/>
      <c r="D25"/>
      <c r="E25"/>
      <c r="F25"/>
      <c r="G25"/>
      <c r="H25"/>
      <c r="I25"/>
      <c r="J25"/>
      <c r="K25"/>
      <c r="L25"/>
      <c r="M25"/>
      <c r="N25"/>
      <c r="O25"/>
      <c r="P25"/>
      <c r="Q25"/>
      <c r="R25"/>
      <c r="S25"/>
      <c r="T25"/>
      <c r="U25"/>
      <c r="V25"/>
      <c r="W25"/>
      <c r="X25"/>
      <c r="Y25"/>
      <c r="Z25"/>
      <c r="AA25"/>
    </row>
    <row r="26" spans="1:27" s="109" customFormat="1" ht="14.4">
      <c r="A26"/>
      <c r="B26"/>
      <c r="C26"/>
      <c r="D26"/>
      <c r="E26"/>
      <c r="F26"/>
      <c r="G26"/>
      <c r="H26"/>
      <c r="I26"/>
      <c r="J26"/>
      <c r="K26"/>
      <c r="L26"/>
      <c r="M26"/>
      <c r="N26"/>
      <c r="O26"/>
      <c r="P26"/>
      <c r="Q26"/>
      <c r="R26"/>
      <c r="S26"/>
      <c r="T26"/>
      <c r="U26"/>
      <c r="V26"/>
      <c r="W26"/>
      <c r="X26"/>
      <c r="Y26"/>
      <c r="Z26"/>
      <c r="AA26"/>
    </row>
    <row r="27" spans="1:27" s="109" customFormat="1" ht="14.4">
      <c r="A27"/>
      <c r="B27"/>
      <c r="C27"/>
      <c r="D27"/>
      <c r="E27"/>
      <c r="F27"/>
      <c r="G27"/>
      <c r="H27"/>
      <c r="I27"/>
      <c r="J27"/>
      <c r="K27"/>
      <c r="L27"/>
      <c r="M27"/>
      <c r="N27"/>
      <c r="O27"/>
      <c r="P27"/>
      <c r="Q27"/>
      <c r="R27"/>
      <c r="S27"/>
      <c r="T27"/>
      <c r="U27"/>
      <c r="V27"/>
      <c r="W27"/>
      <c r="X27"/>
      <c r="Y27"/>
      <c r="Z27"/>
      <c r="AA27"/>
    </row>
    <row r="28" spans="1:27" s="109" customFormat="1" ht="14.4">
      <c r="A28"/>
      <c r="B28"/>
      <c r="C28"/>
      <c r="D28"/>
      <c r="E28"/>
      <c r="F28"/>
      <c r="G28"/>
      <c r="H28"/>
      <c r="I28"/>
      <c r="J28"/>
      <c r="K28"/>
      <c r="L28"/>
      <c r="M28"/>
      <c r="N28"/>
      <c r="O28"/>
      <c r="P28"/>
      <c r="Q28"/>
      <c r="R28"/>
      <c r="S28"/>
      <c r="T28"/>
      <c r="U28"/>
      <c r="V28"/>
      <c r="W28"/>
      <c r="X28"/>
      <c r="Y28"/>
      <c r="Z28"/>
      <c r="AA28"/>
    </row>
    <row r="29" spans="1:27" s="109" customFormat="1" ht="14.4">
      <c r="A29"/>
      <c r="B29"/>
      <c r="C29"/>
      <c r="D29"/>
      <c r="E29"/>
      <c r="F29"/>
      <c r="G29"/>
      <c r="H29"/>
      <c r="I29"/>
      <c r="J29"/>
      <c r="K29"/>
      <c r="L29"/>
      <c r="M29"/>
      <c r="N29"/>
      <c r="O29"/>
      <c r="P29"/>
      <c r="Q29"/>
      <c r="R29"/>
      <c r="S29"/>
      <c r="T29"/>
      <c r="U29"/>
      <c r="V29"/>
      <c r="W29"/>
      <c r="X29"/>
      <c r="Y29"/>
      <c r="Z29"/>
      <c r="AA29"/>
    </row>
    <row r="30" spans="1:27" s="109" customFormat="1" ht="14.4">
      <c r="A30"/>
      <c r="B30"/>
      <c r="C30"/>
      <c r="D30"/>
      <c r="E30"/>
      <c r="F30"/>
      <c r="G30"/>
      <c r="H30"/>
      <c r="I30"/>
      <c r="J30"/>
      <c r="K30"/>
      <c r="L30"/>
      <c r="M30"/>
      <c r="N30"/>
      <c r="O30"/>
      <c r="P30"/>
      <c r="Q30"/>
      <c r="R30"/>
      <c r="S30"/>
      <c r="T30"/>
      <c r="U30"/>
      <c r="V30"/>
      <c r="W30"/>
      <c r="X30"/>
      <c r="Y30"/>
      <c r="Z30"/>
      <c r="AA30"/>
    </row>
    <row r="31" spans="1:27" s="109" customFormat="1" ht="14.4">
      <c r="A31"/>
      <c r="B31"/>
      <c r="C31"/>
      <c r="D31"/>
      <c r="E31"/>
      <c r="F31"/>
      <c r="G31"/>
      <c r="H31"/>
      <c r="I31"/>
      <c r="J31"/>
      <c r="K31"/>
      <c r="L31"/>
      <c r="M31"/>
      <c r="N31"/>
      <c r="O31"/>
      <c r="P31"/>
      <c r="Q31"/>
      <c r="R31"/>
      <c r="S31"/>
      <c r="T31"/>
      <c r="U31"/>
      <c r="V31"/>
      <c r="W31"/>
      <c r="X31"/>
      <c r="Y31"/>
      <c r="Z31"/>
      <c r="AA31"/>
    </row>
    <row r="32" spans="1:27" s="10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4" customWidth="1"/>
    <col min="2" max="4" width="7.88671875" style="124" customWidth="1"/>
    <col min="5" max="6" width="15.6640625" style="124" customWidth="1"/>
    <col min="7" max="8" width="15.6640625" style="109" customWidth="1"/>
    <col min="9" max="13" width="15.6640625" style="124" customWidth="1"/>
    <col min="14" max="14" width="94.5546875" style="124" customWidth="1"/>
    <col min="15" max="15" width="3.6640625" style="124" customWidth="1"/>
    <col min="16" max="16" width="31.6640625" style="124" bestFit="1" customWidth="1"/>
    <col min="17" max="17" width="65.6640625" style="124" customWidth="1"/>
    <col min="18" max="18" width="10.33203125" style="124" customWidth="1"/>
    <col min="19" max="16384" width="8.6640625" style="124"/>
  </cols>
  <sheetData>
    <row r="1" spans="1:27" s="217" customFormat="1" ht="18">
      <c r="A1" s="106" t="s">
        <v>1076</v>
      </c>
      <c r="B1" s="106"/>
      <c r="C1" s="106"/>
      <c r="D1" s="106"/>
      <c r="E1" s="160"/>
      <c r="F1" s="160"/>
      <c r="G1" s="216"/>
      <c r="H1" s="216"/>
    </row>
    <row r="2" spans="1:27" s="149" customFormat="1">
      <c r="A2" s="111" t="s">
        <v>461</v>
      </c>
      <c r="B2" s="111"/>
      <c r="C2" s="111"/>
      <c r="D2" s="111"/>
      <c r="E2" s="108" t="s">
        <v>284</v>
      </c>
      <c r="F2" s="108"/>
      <c r="G2" s="109"/>
      <c r="H2" s="109"/>
    </row>
    <row r="3" spans="1:27" s="111" customFormat="1">
      <c r="A3" s="108" t="s">
        <v>462</v>
      </c>
      <c r="B3" s="108"/>
      <c r="C3" s="108"/>
      <c r="D3" s="108"/>
      <c r="E3" s="108" t="s">
        <v>285</v>
      </c>
      <c r="F3" s="108"/>
      <c r="G3" s="109"/>
      <c r="H3" s="109"/>
    </row>
    <row r="4" spans="1:27" s="149" customFormat="1" ht="14.4">
      <c r="A4" s="112"/>
      <c r="B4" s="112"/>
      <c r="C4" s="112"/>
      <c r="D4" s="112"/>
      <c r="E4" s="113" t="s">
        <v>47</v>
      </c>
      <c r="F4" s="114" t="s">
        <v>54</v>
      </c>
      <c r="G4" s="114"/>
      <c r="H4" s="117" t="s">
        <v>56</v>
      </c>
      <c r="I4" s="117"/>
      <c r="J4" s="151"/>
      <c r="K4" s="151"/>
      <c r="L4" s="151"/>
      <c r="M4" s="117"/>
      <c r="N4" s="108"/>
      <c r="O4" s="108"/>
      <c r="P4" s="108"/>
      <c r="Q4" s="108"/>
      <c r="R4" s="108"/>
      <c r="S4" s="108"/>
      <c r="T4" s="111"/>
      <c r="U4" s="118"/>
      <c r="V4" s="118"/>
    </row>
    <row r="5" spans="1:27" s="108" customFormat="1" ht="14.4">
      <c r="A5" s="119"/>
      <c r="B5" s="119"/>
      <c r="C5" s="119"/>
      <c r="D5" s="119"/>
      <c r="E5" s="120" t="s">
        <v>560</v>
      </c>
      <c r="F5" s="121" t="s">
        <v>561</v>
      </c>
      <c r="G5" s="121"/>
      <c r="H5" s="117" t="s">
        <v>562</v>
      </c>
      <c r="I5" s="170"/>
      <c r="J5" s="151"/>
      <c r="K5" s="151"/>
      <c r="L5" s="151"/>
      <c r="M5" s="122"/>
      <c r="N5" s="109"/>
      <c r="O5" s="109"/>
      <c r="P5" s="109"/>
      <c r="R5" s="119"/>
      <c r="T5" s="111"/>
      <c r="U5" s="119"/>
      <c r="V5" s="118"/>
    </row>
    <row r="6" spans="1:27" s="108" customFormat="1">
      <c r="A6" s="136"/>
      <c r="B6" s="136"/>
      <c r="C6" s="136"/>
      <c r="D6" s="136"/>
      <c r="E6" s="3" t="s">
        <v>286</v>
      </c>
      <c r="F6" s="91" t="s">
        <v>288</v>
      </c>
      <c r="G6" s="91" t="s">
        <v>289</v>
      </c>
      <c r="H6" s="92" t="s">
        <v>290</v>
      </c>
      <c r="I6" s="92" t="s">
        <v>291</v>
      </c>
      <c r="J6" s="92" t="s">
        <v>292</v>
      </c>
      <c r="K6" s="92" t="s">
        <v>293</v>
      </c>
      <c r="L6" s="92" t="s">
        <v>295</v>
      </c>
      <c r="M6" s="93" t="s">
        <v>297</v>
      </c>
      <c r="N6" s="94"/>
      <c r="O6" s="94"/>
      <c r="P6" s="94"/>
      <c r="Q6" s="124"/>
      <c r="R6" s="124"/>
    </row>
    <row r="7" spans="1:27" s="108" customFormat="1" ht="96.6">
      <c r="A7" s="125" t="s">
        <v>664</v>
      </c>
      <c r="B7" s="125"/>
      <c r="C7" s="125"/>
      <c r="D7" s="125"/>
      <c r="E7" s="98" t="s">
        <v>1077</v>
      </c>
      <c r="F7" s="98" t="s">
        <v>1078</v>
      </c>
      <c r="G7" s="98" t="s">
        <v>1079</v>
      </c>
      <c r="H7" s="98" t="s">
        <v>1080</v>
      </c>
      <c r="I7" s="98" t="s">
        <v>1081</v>
      </c>
      <c r="J7" s="98" t="s">
        <v>1082</v>
      </c>
      <c r="K7" s="98" t="s">
        <v>1083</v>
      </c>
      <c r="L7" s="98" t="s">
        <v>1084</v>
      </c>
      <c r="M7" s="98" t="s">
        <v>1085</v>
      </c>
      <c r="N7" s="94"/>
      <c r="O7" s="94"/>
      <c r="P7" s="94"/>
    </row>
    <row r="8" spans="1:27" s="108" customFormat="1" ht="94.35" customHeight="1">
      <c r="A8" s="136" t="s">
        <v>574</v>
      </c>
      <c r="B8" s="136"/>
      <c r="C8" s="136"/>
      <c r="D8" s="136"/>
      <c r="E8" s="126" t="s">
        <v>1086</v>
      </c>
      <c r="F8" s="126" t="s">
        <v>1087</v>
      </c>
      <c r="G8" s="126" t="s">
        <v>1088</v>
      </c>
      <c r="H8" s="126" t="s">
        <v>1089</v>
      </c>
      <c r="I8" s="126" t="s">
        <v>1090</v>
      </c>
      <c r="J8" s="126" t="s">
        <v>1091</v>
      </c>
      <c r="K8" s="99" t="s">
        <v>1092</v>
      </c>
      <c r="L8" s="126" t="s">
        <v>1093</v>
      </c>
      <c r="M8" s="126" t="s">
        <v>1094</v>
      </c>
      <c r="N8" s="128"/>
      <c r="O8" s="128"/>
      <c r="P8" s="128"/>
    </row>
    <row r="9" spans="1:27" s="108" customFormat="1" ht="204" customHeight="1" thickBot="1">
      <c r="A9" s="136" t="s">
        <v>96</v>
      </c>
      <c r="B9" s="136"/>
      <c r="C9" s="136"/>
      <c r="D9" s="136"/>
      <c r="E9" s="126" t="s">
        <v>1095</v>
      </c>
      <c r="F9" s="126" t="s">
        <v>1096</v>
      </c>
      <c r="G9" s="126" t="s">
        <v>1097</v>
      </c>
      <c r="H9" s="126" t="s">
        <v>1098</v>
      </c>
      <c r="I9" s="126" t="s">
        <v>1099</v>
      </c>
      <c r="J9" s="126" t="s">
        <v>1100</v>
      </c>
      <c r="K9" s="126" t="s">
        <v>1101</v>
      </c>
      <c r="L9" s="126" t="s">
        <v>1102</v>
      </c>
      <c r="M9" s="126" t="s">
        <v>1103</v>
      </c>
      <c r="N9" s="128"/>
      <c r="O9" s="128"/>
      <c r="P9" s="128"/>
    </row>
    <row r="10" spans="1:27" s="108" customFormat="1" ht="84">
      <c r="A10" s="123" t="s">
        <v>595</v>
      </c>
      <c r="B10" s="123"/>
      <c r="C10" s="123"/>
      <c r="D10" s="123"/>
      <c r="E10" s="218"/>
      <c r="F10" s="218" t="s">
        <v>1104</v>
      </c>
      <c r="G10" s="218" t="s">
        <v>1105</v>
      </c>
      <c r="H10" s="99" t="s">
        <v>1106</v>
      </c>
      <c r="I10" s="99" t="s">
        <v>1107</v>
      </c>
      <c r="J10" s="99" t="s">
        <v>1108</v>
      </c>
      <c r="K10" s="99" t="s">
        <v>1109</v>
      </c>
      <c r="L10" s="99" t="s">
        <v>1110</v>
      </c>
      <c r="M10" s="214" t="s">
        <v>1111</v>
      </c>
      <c r="N10" s="100"/>
      <c r="O10" s="100"/>
      <c r="P10" s="100"/>
    </row>
    <row r="11" spans="1:27" s="108" customFormat="1" ht="48">
      <c r="A11" s="162" t="s">
        <v>85</v>
      </c>
      <c r="B11" s="162"/>
      <c r="C11" s="162"/>
      <c r="D11" s="162"/>
      <c r="E11" s="218"/>
      <c r="F11" s="218" t="s">
        <v>1112</v>
      </c>
      <c r="G11" s="218" t="s">
        <v>1113</v>
      </c>
      <c r="H11" s="99" t="s">
        <v>1114</v>
      </c>
      <c r="I11" s="99" t="s">
        <v>1115</v>
      </c>
      <c r="J11" s="99" t="s">
        <v>1116</v>
      </c>
      <c r="K11" s="99" t="s">
        <v>1117</v>
      </c>
      <c r="L11" s="99" t="s">
        <v>1118</v>
      </c>
      <c r="M11" s="208" t="s">
        <v>1119</v>
      </c>
      <c r="N11" s="219"/>
      <c r="O11" s="219"/>
      <c r="P11" s="219"/>
      <c r="Q11" s="220"/>
    </row>
    <row r="15" spans="1:27" customFormat="1" ht="14.4">
      <c r="A15" t="s">
        <v>457</v>
      </c>
      <c r="B15" t="s">
        <v>104</v>
      </c>
      <c r="C15" t="s">
        <v>105</v>
      </c>
      <c r="D15" s="296" t="s">
        <v>456</v>
      </c>
      <c r="E15" s="14" t="s">
        <v>286</v>
      </c>
      <c r="F15" s="14" t="s">
        <v>288</v>
      </c>
      <c r="G15" s="14" t="s">
        <v>289</v>
      </c>
      <c r="H15" s="14" t="s">
        <v>290</v>
      </c>
      <c r="I15" s="14" t="s">
        <v>291</v>
      </c>
      <c r="J15" s="14" t="s">
        <v>292</v>
      </c>
      <c r="K15" s="14" t="s">
        <v>293</v>
      </c>
      <c r="L15" s="14" t="s">
        <v>295</v>
      </c>
      <c r="M15" s="14" t="s">
        <v>297</v>
      </c>
    </row>
    <row r="16" spans="1:27" ht="14.4">
      <c r="A16" t="s">
        <v>557</v>
      </c>
      <c r="B16" s="15" t="s">
        <v>104</v>
      </c>
      <c r="C16" s="15" t="str">
        <f>HYPERLINK("01-组织级\02-组织工作库\05-OT培训库\01_公司级培训\03_2022年培训计划\02_年度培训计划\2022培训课程表(ORG_OT_TraininCNSchedule)V1.0-engl.xlsx", "engl")</f>
        <v>engl</v>
      </c>
      <c r="D16"/>
      <c r="E16" t="s">
        <v>440</v>
      </c>
      <c r="F16" t="s">
        <v>440</v>
      </c>
      <c r="G16"/>
      <c r="H16" t="s">
        <v>440</v>
      </c>
      <c r="I16"/>
      <c r="J16" t="s">
        <v>440</v>
      </c>
      <c r="K16"/>
      <c r="L16"/>
      <c r="M16"/>
      <c r="N16"/>
      <c r="O16"/>
      <c r="P16"/>
      <c r="Q16"/>
      <c r="R16"/>
      <c r="S16"/>
      <c r="T16"/>
      <c r="U16"/>
      <c r="V16"/>
      <c r="W16"/>
      <c r="X16"/>
      <c r="Y16"/>
      <c r="Z16"/>
      <c r="AA16"/>
    </row>
    <row r="17" spans="1:27" ht="14.4">
      <c r="A17" t="s">
        <v>557</v>
      </c>
      <c r="B17" s="15" t="s">
        <v>104</v>
      </c>
      <c r="C17"/>
      <c r="D17"/>
      <c r="E17" t="s">
        <v>440</v>
      </c>
      <c r="F17"/>
      <c r="G17"/>
      <c r="H17"/>
      <c r="I17"/>
      <c r="J17"/>
      <c r="K17"/>
      <c r="L17"/>
      <c r="M17"/>
      <c r="N17"/>
      <c r="O17"/>
      <c r="P17"/>
      <c r="Q17"/>
      <c r="R17"/>
      <c r="S17"/>
      <c r="T17"/>
      <c r="U17"/>
      <c r="V17"/>
      <c r="W17"/>
      <c r="X17"/>
      <c r="Y17"/>
      <c r="Z17"/>
      <c r="AA17"/>
    </row>
    <row r="18" spans="1:27" ht="14.4">
      <c r="A18" t="s">
        <v>557</v>
      </c>
      <c r="B18" s="15" t="s">
        <v>104</v>
      </c>
      <c r="C18"/>
      <c r="D18"/>
      <c r="E18" t="s">
        <v>440</v>
      </c>
      <c r="F18"/>
      <c r="G18"/>
      <c r="H18"/>
      <c r="I18"/>
      <c r="J18"/>
      <c r="K18"/>
      <c r="L18"/>
      <c r="M18"/>
      <c r="N18"/>
      <c r="O18"/>
      <c r="P18"/>
      <c r="Q18"/>
      <c r="R18"/>
      <c r="S18"/>
      <c r="T18"/>
      <c r="U18"/>
      <c r="V18"/>
      <c r="W18"/>
      <c r="X18"/>
      <c r="Y18"/>
      <c r="Z18"/>
      <c r="AA18"/>
    </row>
    <row r="19" spans="1:27" ht="14.4">
      <c r="A19" t="s">
        <v>557</v>
      </c>
      <c r="B19" s="15" t="s">
        <v>104</v>
      </c>
      <c r="C19" s="15" t="str">
        <f>HYPERLINK("01-组织级\02-组织工作库\05-OT培训库\01_公司级培训\03_2022年培训计划\01_培训需求调研\培训需求调研表(ORG_OT_TrainingReqDevTable)V1.1-engl.xlsx", "engl")</f>
        <v>engl</v>
      </c>
      <c r="D19"/>
      <c r="E19"/>
      <c r="F19" t="s">
        <v>440</v>
      </c>
      <c r="G19"/>
      <c r="H19"/>
      <c r="I19"/>
      <c r="J19"/>
      <c r="K19"/>
      <c r="L19"/>
      <c r="M19"/>
      <c r="N19"/>
      <c r="O19"/>
      <c r="P19"/>
      <c r="Q19"/>
      <c r="R19"/>
      <c r="S19"/>
      <c r="T19"/>
      <c r="U19"/>
      <c r="V19"/>
      <c r="W19"/>
      <c r="X19"/>
      <c r="Y19"/>
      <c r="Z19"/>
      <c r="AA19"/>
    </row>
    <row r="20" spans="1:27" ht="14.4">
      <c r="A20" t="s">
        <v>557</v>
      </c>
      <c r="B20" s="15" t="s">
        <v>104</v>
      </c>
      <c r="C20" s="15" t="str">
        <f>HYPERLINK("01-组织级\02-组织工作库\05-OT培训库\04_内部培训讲师培训\06_学员考核评价表\培训内部讲师培训(ORG-OT-TrainingEVVuationlist)V1.0-engl.xlsx", "engl")</f>
        <v>engl</v>
      </c>
      <c r="D20"/>
      <c r="E20"/>
      <c r="F20"/>
      <c r="G20" t="s">
        <v>440</v>
      </c>
      <c r="H20"/>
      <c r="I20" t="s">
        <v>440</v>
      </c>
      <c r="J20"/>
      <c r="K20" t="s">
        <v>440</v>
      </c>
      <c r="L20" t="s">
        <v>440</v>
      </c>
      <c r="M20"/>
      <c r="N20"/>
      <c r="O20"/>
      <c r="P20"/>
      <c r="Q20"/>
      <c r="R20"/>
      <c r="S20"/>
      <c r="T20"/>
      <c r="U20"/>
      <c r="V20"/>
      <c r="W20"/>
      <c r="X20"/>
      <c r="Y20"/>
      <c r="Z20"/>
      <c r="AA20"/>
    </row>
    <row r="21" spans="1:27" ht="14.4">
      <c r="A21" t="s">
        <v>557</v>
      </c>
      <c r="B21" s="15" t="s">
        <v>104</v>
      </c>
      <c r="C21" s="15" t="str">
        <f>HYPERLINK("01-组织级\02-组织工作库\05-OT培训库\02_人力资源库\01_员工信息\员工---岗位知识技能矩阵-engl.xlsx", "engl")</f>
        <v>engl</v>
      </c>
      <c r="D21"/>
      <c r="E21"/>
      <c r="F21"/>
      <c r="G21" t="s">
        <v>440</v>
      </c>
      <c r="H21"/>
      <c r="I21" t="s">
        <v>440</v>
      </c>
      <c r="J21"/>
      <c r="K21"/>
      <c r="L21"/>
      <c r="M21"/>
      <c r="N21"/>
      <c r="O21"/>
      <c r="P21"/>
      <c r="Q21"/>
      <c r="R21"/>
      <c r="S21"/>
      <c r="T21"/>
      <c r="U21"/>
      <c r="V21"/>
      <c r="W21"/>
      <c r="X21"/>
      <c r="Y21"/>
      <c r="Z21"/>
      <c r="AA21"/>
    </row>
    <row r="22" spans="1:27" ht="14.4">
      <c r="A22" t="s">
        <v>557</v>
      </c>
      <c r="B22" s="15" t="s">
        <v>104</v>
      </c>
      <c r="C22" s="15" t="str">
        <f>HYPERLINK("01-组织级\02-组织工作库\05-OT培训库\02_人力资源库\01_员工信息\员工技术及工作经历一览表(ORG_OT_Skills and Experience List)V1.0-engl.xlsx", "engl")</f>
        <v>engl</v>
      </c>
      <c r="D22"/>
      <c r="E22"/>
      <c r="F22"/>
      <c r="G22" t="s">
        <v>440</v>
      </c>
      <c r="H22"/>
      <c r="I22" t="s">
        <v>440</v>
      </c>
      <c r="J22"/>
      <c r="K22"/>
      <c r="L22"/>
      <c r="M22"/>
      <c r="N22"/>
      <c r="O22"/>
      <c r="P22"/>
      <c r="Q22"/>
      <c r="R22"/>
      <c r="S22"/>
      <c r="T22"/>
      <c r="U22"/>
      <c r="V22"/>
      <c r="W22"/>
      <c r="X22"/>
      <c r="Y22"/>
      <c r="Z22"/>
      <c r="AA22"/>
    </row>
    <row r="23" spans="1:27" ht="14.4">
      <c r="A23" t="s">
        <v>557</v>
      </c>
      <c r="B23" s="15" t="s">
        <v>104</v>
      </c>
      <c r="C23" s="15" t="str">
        <f>HYPERLINK("01-组织级\02-组织工作库\05-OT培训库\02_人力资源库\02_岗位职责\岗位职责说明书(ORG-OT-T01)V1.0-engl.xlsx", "engl")</f>
        <v>engl</v>
      </c>
      <c r="D23"/>
      <c r="E23"/>
      <c r="F23"/>
      <c r="G23" t="s">
        <v>440</v>
      </c>
      <c r="H23"/>
      <c r="I23"/>
      <c r="J23"/>
      <c r="K23"/>
      <c r="L23"/>
      <c r="M23"/>
      <c r="N23"/>
      <c r="O23"/>
      <c r="P23"/>
      <c r="Q23"/>
      <c r="R23"/>
      <c r="S23"/>
      <c r="T23"/>
      <c r="U23"/>
      <c r="V23"/>
      <c r="W23"/>
      <c r="X23"/>
      <c r="Y23"/>
      <c r="Z23"/>
      <c r="AA23"/>
    </row>
    <row r="24" spans="1:27" ht="14.4">
      <c r="A24" t="s">
        <v>557</v>
      </c>
      <c r="B24" s="15" t="s">
        <v>104</v>
      </c>
      <c r="C24" s="15" t="str">
        <f>HYPERLINK("01-组织级\02-组织工作库\05-OT培训库\01_公司级培训\01_公司战略培训规划\公司战略培训规划(ORG_OT_FutureTraining)V1.0-engl.docx", "engl")</f>
        <v>engl</v>
      </c>
      <c r="D24"/>
      <c r="E24"/>
      <c r="F24"/>
      <c r="G24"/>
      <c r="H24"/>
      <c r="I24"/>
      <c r="J24" t="s">
        <v>440</v>
      </c>
      <c r="K24"/>
      <c r="L24"/>
      <c r="M24"/>
      <c r="N24"/>
      <c r="O24"/>
      <c r="P24"/>
      <c r="Q24"/>
      <c r="R24"/>
      <c r="S24"/>
      <c r="T24"/>
      <c r="U24"/>
      <c r="V24"/>
      <c r="W24"/>
      <c r="X24"/>
      <c r="Y24"/>
      <c r="Z24"/>
      <c r="AA24"/>
    </row>
    <row r="25" spans="1:27" ht="14.4">
      <c r="A25" t="s">
        <v>557</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440</v>
      </c>
      <c r="M25"/>
      <c r="N25"/>
      <c r="O25"/>
      <c r="P25"/>
      <c r="Q25"/>
      <c r="R25"/>
      <c r="S25"/>
      <c r="T25"/>
      <c r="U25"/>
      <c r="V25"/>
      <c r="W25"/>
      <c r="X25"/>
      <c r="Y25"/>
      <c r="Z25"/>
      <c r="AA25"/>
    </row>
    <row r="26" spans="1:27" ht="14.4">
      <c r="A26" t="s">
        <v>557</v>
      </c>
      <c r="B26" s="15" t="s">
        <v>104</v>
      </c>
      <c r="C26"/>
      <c r="D26"/>
      <c r="E26"/>
      <c r="F26"/>
      <c r="G26"/>
      <c r="H26"/>
      <c r="I26"/>
      <c r="J26"/>
      <c r="K26"/>
      <c r="L26"/>
      <c r="M26" t="s">
        <v>440</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9" bestFit="1" customWidth="1"/>
    <col min="2" max="4" width="7.88671875" style="119" customWidth="1"/>
    <col min="5" max="6" width="15.6640625" style="119" customWidth="1"/>
    <col min="7" max="14" width="15.6640625" style="137" customWidth="1"/>
    <col min="15" max="15" width="85.33203125" style="137" customWidth="1"/>
    <col min="16" max="16" width="3.6640625" style="137" customWidth="1"/>
    <col min="17" max="17" width="32.33203125" style="137" bestFit="1" customWidth="1"/>
    <col min="18" max="18" width="75.5546875" style="131" customWidth="1"/>
    <col min="19" max="19" width="8.6640625" style="137"/>
    <col min="20" max="16384" width="8.6640625" style="119"/>
  </cols>
  <sheetData>
    <row r="1" spans="1:27" s="140" customFormat="1" ht="18">
      <c r="A1" s="106" t="s">
        <v>1120</v>
      </c>
      <c r="B1" s="106"/>
      <c r="C1" s="106"/>
      <c r="D1" s="106"/>
      <c r="E1" s="107"/>
      <c r="F1" s="108"/>
      <c r="G1" s="137"/>
      <c r="H1" s="137"/>
      <c r="I1" s="137"/>
      <c r="J1" s="137"/>
      <c r="K1" s="137"/>
      <c r="L1" s="137"/>
      <c r="M1" s="137"/>
      <c r="N1" s="137"/>
      <c r="O1" s="137"/>
      <c r="P1" s="137"/>
      <c r="Q1" s="137"/>
      <c r="R1" s="131"/>
      <c r="S1" s="137"/>
    </row>
    <row r="2" spans="1:27" s="139" customFormat="1">
      <c r="A2" s="111" t="s">
        <v>461</v>
      </c>
      <c r="B2" s="111"/>
      <c r="C2" s="111"/>
      <c r="D2" s="111"/>
      <c r="E2" s="124" t="s">
        <v>307</v>
      </c>
      <c r="F2" s="124"/>
      <c r="G2" s="124"/>
      <c r="H2" s="137"/>
      <c r="I2" s="137"/>
      <c r="J2" s="137"/>
      <c r="K2" s="137"/>
      <c r="L2" s="137"/>
      <c r="M2" s="137"/>
      <c r="N2" s="137"/>
      <c r="O2" s="137"/>
      <c r="P2" s="137"/>
      <c r="Q2" s="137"/>
      <c r="R2" s="131"/>
      <c r="S2" s="137"/>
    </row>
    <row r="3" spans="1:27" s="140" customFormat="1">
      <c r="A3" s="108" t="s">
        <v>462</v>
      </c>
      <c r="B3" s="108"/>
      <c r="C3" s="108"/>
      <c r="D3" s="108"/>
      <c r="E3" s="124" t="s">
        <v>308</v>
      </c>
      <c r="F3" s="124"/>
      <c r="G3" s="124"/>
      <c r="H3" s="137"/>
      <c r="I3" s="137"/>
      <c r="J3" s="137"/>
      <c r="K3" s="137"/>
      <c r="L3" s="137"/>
      <c r="M3" s="137"/>
      <c r="N3" s="137"/>
      <c r="O3" s="137"/>
      <c r="P3" s="137"/>
      <c r="Q3" s="137"/>
      <c r="R3" s="131"/>
      <c r="S3" s="137"/>
    </row>
    <row r="4" spans="1:27" s="140" customFormat="1">
      <c r="A4" s="112"/>
      <c r="B4" s="112"/>
      <c r="C4" s="112"/>
      <c r="D4" s="112"/>
      <c r="E4" s="113" t="s">
        <v>47</v>
      </c>
      <c r="F4" s="150"/>
      <c r="G4" s="114" t="s">
        <v>54</v>
      </c>
      <c r="H4" s="115"/>
      <c r="I4" s="114"/>
      <c r="J4" s="116"/>
      <c r="K4" s="117" t="s">
        <v>56</v>
      </c>
      <c r="L4" s="117"/>
      <c r="M4" s="117"/>
      <c r="N4" s="117"/>
      <c r="O4" s="108"/>
      <c r="P4" s="108"/>
      <c r="Q4" s="108"/>
      <c r="R4" s="108"/>
      <c r="S4" s="108"/>
      <c r="T4" s="111"/>
    </row>
    <row r="5" spans="1:27" s="140" customFormat="1">
      <c r="A5" s="119"/>
      <c r="B5" s="119"/>
      <c r="C5" s="119"/>
      <c r="D5" s="119"/>
      <c r="E5" s="120" t="s">
        <v>560</v>
      </c>
      <c r="F5" s="150"/>
      <c r="G5" s="121" t="s">
        <v>561</v>
      </c>
      <c r="H5" s="115"/>
      <c r="I5" s="121"/>
      <c r="J5" s="116"/>
      <c r="K5" s="117" t="s">
        <v>562</v>
      </c>
      <c r="L5" s="170"/>
      <c r="M5" s="117"/>
      <c r="N5" s="122"/>
      <c r="O5" s="109"/>
      <c r="P5" s="109"/>
      <c r="Q5" s="109"/>
      <c r="R5" s="221"/>
      <c r="S5" s="108"/>
      <c r="T5" s="111"/>
    </row>
    <row r="6" spans="1:27" s="139" customFormat="1">
      <c r="A6" s="222"/>
      <c r="B6" s="222"/>
      <c r="C6" s="222"/>
      <c r="D6" s="222"/>
      <c r="E6" s="223" t="s">
        <v>309</v>
      </c>
      <c r="F6" s="223" t="s">
        <v>310</v>
      </c>
      <c r="G6" s="224" t="s">
        <v>311</v>
      </c>
      <c r="H6" s="224" t="s">
        <v>312</v>
      </c>
      <c r="I6" s="224" t="s">
        <v>313</v>
      </c>
      <c r="J6" s="224" t="s">
        <v>314</v>
      </c>
      <c r="K6" s="225" t="s">
        <v>315</v>
      </c>
      <c r="L6" s="225" t="s">
        <v>316</v>
      </c>
      <c r="M6" s="225" t="s">
        <v>317</v>
      </c>
      <c r="N6" s="226" t="s">
        <v>319</v>
      </c>
      <c r="O6" s="227"/>
      <c r="P6" s="227"/>
      <c r="Q6" s="227"/>
      <c r="R6" s="372"/>
      <c r="S6" s="372"/>
      <c r="T6" s="372"/>
    </row>
    <row r="7" spans="1:27" s="139" customFormat="1" ht="110.4">
      <c r="A7" s="228" t="s">
        <v>664</v>
      </c>
      <c r="B7" s="228"/>
      <c r="C7" s="228"/>
      <c r="D7" s="228"/>
      <c r="E7" s="229" t="s">
        <v>1121</v>
      </c>
      <c r="F7" s="229" t="s">
        <v>1122</v>
      </c>
      <c r="G7" s="229" t="s">
        <v>1123</v>
      </c>
      <c r="H7" s="229" t="s">
        <v>1124</v>
      </c>
      <c r="I7" s="229" t="s">
        <v>1125</v>
      </c>
      <c r="J7" s="229" t="s">
        <v>1126</v>
      </c>
      <c r="K7" s="229" t="s">
        <v>1127</v>
      </c>
      <c r="L7" s="229" t="s">
        <v>1128</v>
      </c>
      <c r="M7" s="229" t="s">
        <v>1129</v>
      </c>
      <c r="N7" s="229" t="s">
        <v>1130</v>
      </c>
      <c r="O7" s="227"/>
      <c r="P7" s="227"/>
      <c r="Q7" s="227"/>
      <c r="S7" s="230"/>
    </row>
    <row r="8" spans="1:27" s="139" customFormat="1" ht="112.2">
      <c r="A8" s="222" t="s">
        <v>574</v>
      </c>
      <c r="B8" s="222"/>
      <c r="C8" s="222"/>
      <c r="D8" s="222"/>
      <c r="E8" s="231" t="s">
        <v>1131</v>
      </c>
      <c r="F8" s="231" t="s">
        <v>1132</v>
      </c>
      <c r="G8" s="231" t="s">
        <v>1133</v>
      </c>
      <c r="H8" s="231" t="s">
        <v>1134</v>
      </c>
      <c r="I8" s="231" t="s">
        <v>1135</v>
      </c>
      <c r="J8" s="231" t="s">
        <v>1136</v>
      </c>
      <c r="K8" s="231" t="s">
        <v>1137</v>
      </c>
      <c r="L8" s="231" t="s">
        <v>1138</v>
      </c>
      <c r="M8" s="231" t="s">
        <v>1139</v>
      </c>
      <c r="N8" s="231" t="s">
        <v>1140</v>
      </c>
      <c r="O8" s="232"/>
      <c r="P8" s="232"/>
      <c r="Q8" s="233"/>
      <c r="S8" s="230"/>
    </row>
    <row r="9" spans="1:27" s="139" customFormat="1" ht="191.4" customHeight="1" thickBot="1">
      <c r="A9" s="222" t="s">
        <v>96</v>
      </c>
      <c r="B9" s="222"/>
      <c r="C9" s="222"/>
      <c r="D9" s="222"/>
      <c r="E9" s="234" t="s">
        <v>1141</v>
      </c>
      <c r="F9" s="234" t="s">
        <v>1142</v>
      </c>
      <c r="G9" s="234" t="s">
        <v>1143</v>
      </c>
      <c r="H9" s="234" t="s">
        <v>1144</v>
      </c>
      <c r="I9" s="234" t="s">
        <v>1145</v>
      </c>
      <c r="J9" s="235" t="s">
        <v>1146</v>
      </c>
      <c r="K9" s="235" t="s">
        <v>1147</v>
      </c>
      <c r="L9" s="234" t="s">
        <v>1148</v>
      </c>
      <c r="M9" s="234" t="s">
        <v>1149</v>
      </c>
      <c r="N9" s="234" t="s">
        <v>1150</v>
      </c>
      <c r="O9" s="236"/>
      <c r="P9" s="236"/>
      <c r="Q9" s="236"/>
      <c r="S9" s="230"/>
    </row>
    <row r="10" spans="1:27" s="139" customFormat="1" ht="96.6" thickBot="1">
      <c r="A10" s="123" t="s">
        <v>595</v>
      </c>
      <c r="B10" s="172"/>
      <c r="C10" s="172"/>
      <c r="D10" s="172"/>
      <c r="E10" s="237"/>
      <c r="F10" s="237" t="s">
        <v>1151</v>
      </c>
      <c r="G10" s="238" t="s">
        <v>1152</v>
      </c>
      <c r="H10" s="238" t="s">
        <v>1153</v>
      </c>
      <c r="I10" s="238" t="s">
        <v>1154</v>
      </c>
      <c r="J10" s="238" t="s">
        <v>1155</v>
      </c>
      <c r="K10" s="238" t="s">
        <v>1156</v>
      </c>
      <c r="L10" s="238" t="s">
        <v>1157</v>
      </c>
      <c r="M10" s="238" t="s">
        <v>1158</v>
      </c>
      <c r="N10" s="238" t="s">
        <v>1159</v>
      </c>
      <c r="O10" s="233"/>
      <c r="P10" s="233"/>
      <c r="Q10" s="233"/>
      <c r="S10" s="230"/>
    </row>
    <row r="11" spans="1:27" s="139" customFormat="1" ht="60">
      <c r="A11" s="239" t="s">
        <v>85</v>
      </c>
      <c r="B11" s="239"/>
      <c r="C11" s="239"/>
      <c r="D11" s="239"/>
      <c r="E11" s="237"/>
      <c r="F11" s="237" t="s">
        <v>1160</v>
      </c>
      <c r="G11" s="238" t="s">
        <v>1161</v>
      </c>
      <c r="H11" s="238" t="s">
        <v>1162</v>
      </c>
      <c r="I11" s="238" t="s">
        <v>1163</v>
      </c>
      <c r="J11" s="238" t="s">
        <v>1164</v>
      </c>
      <c r="K11" s="238" t="s">
        <v>1165</v>
      </c>
      <c r="L11" s="238" t="s">
        <v>1166</v>
      </c>
      <c r="M11" s="238" t="s">
        <v>1167</v>
      </c>
      <c r="N11" s="238" t="s">
        <v>1168</v>
      </c>
      <c r="O11" s="233"/>
      <c r="P11" s="233"/>
      <c r="Q11" s="233"/>
      <c r="R11" s="230"/>
      <c r="S11" s="230"/>
    </row>
    <row r="12" spans="1:27" s="139" customFormat="1" ht="15" customHeight="1"/>
    <row r="13" spans="1:27" s="139" customFormat="1" ht="15" customHeight="1"/>
    <row r="14" spans="1:27" s="139" customFormat="1" ht="15" customHeight="1"/>
    <row r="15" spans="1:27" customFormat="1" ht="14.4">
      <c r="A15" t="s">
        <v>457</v>
      </c>
      <c r="B15" t="s">
        <v>104</v>
      </c>
      <c r="C15" t="s">
        <v>105</v>
      </c>
      <c r="D15" t="s">
        <v>456</v>
      </c>
      <c r="E15" s="14" t="s">
        <v>309</v>
      </c>
      <c r="F15" s="14" t="s">
        <v>310</v>
      </c>
      <c r="G15" s="14" t="s">
        <v>311</v>
      </c>
      <c r="H15" s="14" t="s">
        <v>312</v>
      </c>
      <c r="I15" s="14" t="s">
        <v>313</v>
      </c>
      <c r="J15" s="14" t="s">
        <v>314</v>
      </c>
      <c r="K15" s="14" t="s">
        <v>315</v>
      </c>
      <c r="L15" s="14" t="s">
        <v>316</v>
      </c>
      <c r="M15" s="14" t="s">
        <v>317</v>
      </c>
      <c r="N15" s="14" t="s">
        <v>319</v>
      </c>
    </row>
    <row r="16" spans="1:27" s="139" customFormat="1" ht="15" customHeight="1">
      <c r="A16" t="s">
        <v>557</v>
      </c>
      <c r="B16" s="15" t="s">
        <v>104</v>
      </c>
      <c r="C16" s="15" t="str">
        <f>HYPERLINK("02-项目级\P2-Qcubic to MySQL数据同步工具 V1.0\01-生存周期\03-项目策划\03-项目计划书 (QCUBIC-SJTB-PLAN-Plan)V1.0-engl.docx", "engl")</f>
        <v>engl</v>
      </c>
      <c r="D16"/>
      <c r="E16" t="s">
        <v>440</v>
      </c>
      <c r="F16"/>
      <c r="G16"/>
      <c r="H16"/>
      <c r="I16"/>
      <c r="J16"/>
      <c r="K16" t="s">
        <v>440</v>
      </c>
      <c r="L16"/>
      <c r="M16"/>
      <c r="N16"/>
      <c r="O16"/>
      <c r="P16"/>
      <c r="Q16"/>
      <c r="R16"/>
      <c r="S16"/>
      <c r="T16"/>
      <c r="U16"/>
      <c r="V16"/>
      <c r="W16"/>
      <c r="X16"/>
      <c r="Y16"/>
      <c r="Z16"/>
      <c r="AA16"/>
    </row>
    <row r="17" spans="1:27" s="141" customFormat="1" ht="14.4">
      <c r="A17" t="s">
        <v>557</v>
      </c>
      <c r="B17" s="15" t="s">
        <v>104</v>
      </c>
      <c r="C17" s="15" t="str">
        <f>HYPERLINK("02-项目级\P2-Qcubic to MySQL数据同步工具 V1.0\02-全程管理\01-项目监控\02-项目周报(QCUBIC-SJTB-MC-weeklyrpt)v1.1-engl.xlsx", "engl")</f>
        <v>engl</v>
      </c>
      <c r="D17"/>
      <c r="E17" t="s">
        <v>440</v>
      </c>
      <c r="F17"/>
      <c r="G17" t="s">
        <v>440</v>
      </c>
      <c r="H17" t="s">
        <v>440</v>
      </c>
      <c r="I17" t="s">
        <v>440</v>
      </c>
      <c r="J17" t="s">
        <v>440</v>
      </c>
      <c r="K17" t="s">
        <v>440</v>
      </c>
      <c r="L17" t="s">
        <v>440</v>
      </c>
      <c r="M17" t="s">
        <v>440</v>
      </c>
      <c r="N17" t="s">
        <v>440</v>
      </c>
      <c r="O17"/>
      <c r="P17"/>
      <c r="Q17"/>
      <c r="R17"/>
      <c r="S17"/>
      <c r="T17"/>
      <c r="U17"/>
      <c r="V17"/>
      <c r="W17"/>
      <c r="X17"/>
      <c r="Y17"/>
      <c r="Z17"/>
      <c r="AA17"/>
    </row>
    <row r="18" spans="1:27" s="141" customFormat="1" ht="14.4">
      <c r="A18" t="s">
        <v>557</v>
      </c>
      <c r="B18" s="15" t="s">
        <v>104</v>
      </c>
      <c r="C18" s="15" t="str">
        <f>HYPERLINK("02-项目级\P2-Qcubic to MySQL数据同步工具 V1.0\02-全程管理\01-项目监控\04-里程碑状态报告\01-策划里程碑状态报告(QCUBIC-SJTB-MC-PlanMilestoneRpt)V1.0-engl.docx", "engl")</f>
        <v>engl</v>
      </c>
      <c r="D18"/>
      <c r="E18" t="s">
        <v>440</v>
      </c>
      <c r="F18"/>
      <c r="G18" t="s">
        <v>440</v>
      </c>
      <c r="H18" t="s">
        <v>440</v>
      </c>
      <c r="I18" t="s">
        <v>440</v>
      </c>
      <c r="J18" t="s">
        <v>440</v>
      </c>
      <c r="K18" t="s">
        <v>440</v>
      </c>
      <c r="L18" t="s">
        <v>440</v>
      </c>
      <c r="M18" t="s">
        <v>440</v>
      </c>
      <c r="N18" t="s">
        <v>440</v>
      </c>
      <c r="O18"/>
      <c r="P18"/>
      <c r="Q18"/>
      <c r="R18"/>
      <c r="S18"/>
      <c r="T18"/>
      <c r="U18"/>
      <c r="V18"/>
      <c r="W18"/>
      <c r="X18"/>
      <c r="Y18"/>
      <c r="Z18"/>
      <c r="AA18"/>
    </row>
    <row r="19" spans="1:27" s="141" customFormat="1" ht="14.4">
      <c r="A19" t="s">
        <v>557</v>
      </c>
      <c r="B19" s="15" t="s">
        <v>104</v>
      </c>
      <c r="C19" s="15" t="str">
        <f>HYPERLINK("02-项目级\P2-Qcubic to MySQL数据同步工具 V1.0\02-全程管理\01-项目监控\04-里程碑状态报告\02-需求里程碑状态报告(QCUBIC-SJTB-MC-RDMilestoneRpt)V1.1-engl.docx", "engl")</f>
        <v>engl</v>
      </c>
      <c r="D19"/>
      <c r="E19" t="s">
        <v>440</v>
      </c>
      <c r="F19"/>
      <c r="G19" t="s">
        <v>440</v>
      </c>
      <c r="H19" t="s">
        <v>440</v>
      </c>
      <c r="I19" t="s">
        <v>440</v>
      </c>
      <c r="J19" t="s">
        <v>440</v>
      </c>
      <c r="K19" t="s">
        <v>440</v>
      </c>
      <c r="L19" t="s">
        <v>440</v>
      </c>
      <c r="M19" t="s">
        <v>440</v>
      </c>
      <c r="N19" t="s">
        <v>440</v>
      </c>
      <c r="O19"/>
      <c r="P19"/>
      <c r="Q19"/>
      <c r="R19"/>
      <c r="S19"/>
      <c r="T19"/>
      <c r="U19"/>
      <c r="V19"/>
      <c r="W19"/>
      <c r="X19"/>
      <c r="Y19"/>
      <c r="Z19"/>
      <c r="AA19"/>
    </row>
    <row r="20" spans="1:27" s="141" customFormat="1" ht="14.4">
      <c r="A20" t="s">
        <v>557</v>
      </c>
      <c r="B20" s="15" t="s">
        <v>104</v>
      </c>
      <c r="C20" s="15" t="str">
        <f>HYPERLINK("02-项目级\P2-Qcubic to MySQL数据同步工具 V1.0\02-全程管理\01-项目监控\04-里程碑状态报告\03-设计里程碑状态报告(QCUBIC-SJTB-MC-DesMilestoneRpt)V1.0-engl.docx", "engl")</f>
        <v>engl</v>
      </c>
      <c r="D20"/>
      <c r="E20" t="s">
        <v>440</v>
      </c>
      <c r="F20"/>
      <c r="G20" t="s">
        <v>440</v>
      </c>
      <c r="H20" t="s">
        <v>440</v>
      </c>
      <c r="I20" t="s">
        <v>440</v>
      </c>
      <c r="J20" t="s">
        <v>440</v>
      </c>
      <c r="K20" t="s">
        <v>440</v>
      </c>
      <c r="L20" t="s">
        <v>440</v>
      </c>
      <c r="M20" t="s">
        <v>440</v>
      </c>
      <c r="N20" t="s">
        <v>440</v>
      </c>
      <c r="O20"/>
      <c r="P20"/>
      <c r="Q20"/>
      <c r="R20"/>
      <c r="S20"/>
      <c r="T20"/>
      <c r="U20"/>
      <c r="V20"/>
      <c r="W20"/>
      <c r="X20"/>
      <c r="Y20"/>
      <c r="Z20"/>
      <c r="AA20"/>
    </row>
    <row r="21" spans="1:27" s="141" customFormat="1" ht="14.4">
      <c r="A21" t="s">
        <v>557</v>
      </c>
      <c r="B21" s="15" t="s">
        <v>104</v>
      </c>
      <c r="C21" s="15" t="str">
        <f>HYPERLINK("02-项目级\P2-Qcubic to MySQL数据同步工具 V1.0\02-全程管理\01-项目监控\04-里程碑状态报告\04-编码里程碑状态报告(QCUBIC-SJTB-MC-CodingMilestoneRpt)V1.0-engl.docx", "engl")</f>
        <v>engl</v>
      </c>
      <c r="D21"/>
      <c r="E21" t="s">
        <v>440</v>
      </c>
      <c r="F21"/>
      <c r="G21" t="s">
        <v>440</v>
      </c>
      <c r="H21" t="s">
        <v>440</v>
      </c>
      <c r="I21" t="s">
        <v>440</v>
      </c>
      <c r="J21" t="s">
        <v>440</v>
      </c>
      <c r="K21" t="s">
        <v>440</v>
      </c>
      <c r="L21" t="s">
        <v>440</v>
      </c>
      <c r="M21" t="s">
        <v>440</v>
      </c>
      <c r="N21" t="s">
        <v>440</v>
      </c>
      <c r="O21"/>
      <c r="P21"/>
      <c r="Q21"/>
      <c r="R21"/>
      <c r="S21"/>
      <c r="T21"/>
      <c r="U21"/>
      <c r="V21"/>
      <c r="W21"/>
      <c r="X21"/>
      <c r="Y21"/>
      <c r="Z21"/>
      <c r="AA21"/>
    </row>
    <row r="22" spans="1:27" s="141" customFormat="1" ht="14.4">
      <c r="A22" t="s">
        <v>557</v>
      </c>
      <c r="B22" s="15" t="s">
        <v>104</v>
      </c>
      <c r="C22" s="15" t="str">
        <f>HYPERLINK("02-项目级\P2-Qcubic to MySQL数据同步工具 V1.0\02-全程管理\01-项目监控\04-里程碑状态报告\05-测试里程碑状态报告(QCUBIC-SJTB-MC-TestMilestoneRpt)V1.0-engl.docx", "engl")</f>
        <v>engl</v>
      </c>
      <c r="D22"/>
      <c r="E22" t="s">
        <v>440</v>
      </c>
      <c r="F22"/>
      <c r="G22" t="s">
        <v>440</v>
      </c>
      <c r="H22" t="s">
        <v>440</v>
      </c>
      <c r="I22" t="s">
        <v>440</v>
      </c>
      <c r="J22" t="s">
        <v>440</v>
      </c>
      <c r="K22" t="s">
        <v>440</v>
      </c>
      <c r="L22" t="s">
        <v>440</v>
      </c>
      <c r="M22" t="s">
        <v>440</v>
      </c>
      <c r="N22" t="s">
        <v>440</v>
      </c>
      <c r="O22"/>
      <c r="P22"/>
      <c r="Q22"/>
      <c r="R22"/>
      <c r="S22"/>
      <c r="T22"/>
      <c r="U22"/>
      <c r="V22"/>
      <c r="W22"/>
      <c r="X22"/>
      <c r="Y22"/>
      <c r="Z22"/>
      <c r="AA22"/>
    </row>
    <row r="23" spans="1:27" s="141" customFormat="1" ht="14.4">
      <c r="A23" t="s">
        <v>557</v>
      </c>
      <c r="B23" s="15" t="s">
        <v>104</v>
      </c>
      <c r="C23" s="15" t="str">
        <f>HYPERLINK("02-项目级\P2-Qcubic to MySQL数据同步工具 V1.0\02-全程管理\01-项目监控\04-里程碑状态报告\06-验收里程碑状态报告(QCUBIC-SJTB-MC-VVMilestoneRpt)V1.0-engl.docx", "engl")</f>
        <v>engl</v>
      </c>
      <c r="D23"/>
      <c r="E23" t="s">
        <v>440</v>
      </c>
      <c r="F23"/>
      <c r="G23" t="s">
        <v>440</v>
      </c>
      <c r="H23" t="s">
        <v>440</v>
      </c>
      <c r="I23" t="s">
        <v>440</v>
      </c>
      <c r="J23" t="s">
        <v>440</v>
      </c>
      <c r="K23" t="s">
        <v>440</v>
      </c>
      <c r="L23" t="s">
        <v>440</v>
      </c>
      <c r="M23" t="s">
        <v>440</v>
      </c>
      <c r="N23" t="s">
        <v>440</v>
      </c>
      <c r="O23"/>
      <c r="P23"/>
      <c r="Q23"/>
      <c r="R23"/>
      <c r="S23"/>
      <c r="T23"/>
      <c r="U23"/>
      <c r="V23"/>
      <c r="W23"/>
      <c r="X23"/>
      <c r="Y23"/>
      <c r="Z23"/>
      <c r="AA23"/>
    </row>
    <row r="24" spans="1:27" s="141" customFormat="1" ht="14.4">
      <c r="A24" t="s">
        <v>557</v>
      </c>
      <c r="B24" s="15" t="s">
        <v>104</v>
      </c>
      <c r="C24" s="15" t="str">
        <f>HYPERLINK("02-项目级\P2-Qcubic to MySQL数据同步工具 V1.0\02-全程管理\01-项目监控\01-问题管理表(QCUBIC-SJTB-MC-IssueList)V1.1-engl.xlsx", "engl")</f>
        <v>engl</v>
      </c>
      <c r="D24"/>
      <c r="E24"/>
      <c r="F24" t="s">
        <v>440</v>
      </c>
      <c r="G24"/>
      <c r="H24"/>
      <c r="I24"/>
      <c r="J24" t="s">
        <v>440</v>
      </c>
      <c r="K24" t="s">
        <v>440</v>
      </c>
      <c r="L24"/>
      <c r="M24"/>
      <c r="N24" t="s">
        <v>440</v>
      </c>
      <c r="O24"/>
      <c r="P24"/>
      <c r="Q24"/>
      <c r="R24"/>
      <c r="S24"/>
      <c r="T24"/>
      <c r="U24"/>
      <c r="V24"/>
      <c r="W24"/>
      <c r="X24"/>
      <c r="Y24"/>
      <c r="Z24"/>
      <c r="AA24"/>
    </row>
    <row r="25" spans="1:27" s="124" customFormat="1" ht="14.4">
      <c r="A25" t="s">
        <v>557</v>
      </c>
      <c r="B25" s="15" t="s">
        <v>104</v>
      </c>
      <c r="C25" s="15" t="str">
        <f>HYPERLINK("02-项目级\P2-Qcubic to MySQL数据同步工具 V1.0\02-全程管理\07-质量保证\01-质量保证计划(QCUBIC-SJTB-PQA-Plan)V1.0-engl.docx", "engl")</f>
        <v>engl</v>
      </c>
      <c r="D25"/>
      <c r="E25"/>
      <c r="F25" t="s">
        <v>440</v>
      </c>
      <c r="G25"/>
      <c r="H25"/>
      <c r="I25"/>
      <c r="J25"/>
      <c r="K25"/>
      <c r="L25"/>
      <c r="M25"/>
      <c r="N25"/>
      <c r="O25"/>
      <c r="P25"/>
      <c r="Q25"/>
      <c r="R25"/>
      <c r="S25"/>
      <c r="T25"/>
      <c r="U25"/>
      <c r="V25"/>
      <c r="W25"/>
      <c r="X25"/>
      <c r="Y25"/>
      <c r="Z25"/>
      <c r="AA25"/>
    </row>
    <row r="26" spans="1:27" s="124" customFormat="1" ht="14.4">
      <c r="A26" t="s">
        <v>557</v>
      </c>
      <c r="B26" s="15" t="s">
        <v>104</v>
      </c>
      <c r="C26" s="15" t="str">
        <f>HYPERLINK("02-项目级\P2-Qcubic to MySQL数据同步工具 V1.0\02-全程管理\08-配置管理\01-项目配置管理计划 (QCUBIC-SJTB-CM-Plan)V1.0-engl.docx", "engl")</f>
        <v>engl</v>
      </c>
      <c r="D26"/>
      <c r="E26"/>
      <c r="F26" t="s">
        <v>440</v>
      </c>
      <c r="G26"/>
      <c r="H26"/>
      <c r="I26"/>
      <c r="J26"/>
      <c r="K26"/>
      <c r="L26"/>
      <c r="M26"/>
      <c r="N26"/>
      <c r="O26"/>
      <c r="P26"/>
      <c r="Q26"/>
      <c r="R26"/>
      <c r="S26"/>
      <c r="T26"/>
      <c r="U26"/>
      <c r="V26"/>
      <c r="W26"/>
      <c r="X26"/>
      <c r="Y26"/>
      <c r="Z26"/>
      <c r="AA26"/>
    </row>
    <row r="27" spans="1:27" s="124" customFormat="1" ht="14.4">
      <c r="A27" t="s">
        <v>557</v>
      </c>
      <c r="B27" s="15" t="s">
        <v>104</v>
      </c>
      <c r="C27"/>
      <c r="D27"/>
      <c r="E27"/>
      <c r="F27"/>
      <c r="G27" t="s">
        <v>440</v>
      </c>
      <c r="H27"/>
      <c r="I27"/>
      <c r="J27"/>
      <c r="K27"/>
      <c r="L27" t="s">
        <v>440</v>
      </c>
      <c r="M27"/>
      <c r="N27"/>
      <c r="O27"/>
      <c r="P27"/>
      <c r="Q27"/>
      <c r="R27"/>
      <c r="S27"/>
      <c r="T27"/>
      <c r="U27"/>
      <c r="V27"/>
      <c r="W27"/>
      <c r="X27"/>
      <c r="Y27"/>
      <c r="Z27"/>
      <c r="AA27"/>
    </row>
    <row r="28" spans="1:27" s="141" customFormat="1" ht="14.4">
      <c r="A28" t="s">
        <v>557</v>
      </c>
      <c r="B28" s="15" t="s">
        <v>104</v>
      </c>
      <c r="C28" s="15" t="str">
        <f>HYPERLINK("02-项目级\P2-Qcubic to MySQL数据同步工具 V1.0\01-生存周期\03-项目策划\01-项目定义过程 (QCUBIC-SJTB-PLAN-PDP)V1.0-engl.xlsx", "engl")</f>
        <v>engl</v>
      </c>
      <c r="D28"/>
      <c r="E28"/>
      <c r="F28"/>
      <c r="G28"/>
      <c r="H28"/>
      <c r="I28"/>
      <c r="J28"/>
      <c r="K28" t="s">
        <v>440</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8" customWidth="1"/>
    <col min="2" max="4" width="7.88671875" style="108" customWidth="1"/>
    <col min="5" max="6" width="15.6640625" style="108" customWidth="1"/>
    <col min="7" max="17" width="15.6640625" style="109" customWidth="1"/>
    <col min="18" max="19" width="15.6640625" style="108" customWidth="1"/>
    <col min="20" max="20" width="71.109375" style="108" customWidth="1"/>
    <col min="21" max="21" width="3.6640625" style="108" customWidth="1"/>
    <col min="22" max="22" width="30.109375" style="108" customWidth="1"/>
    <col min="23" max="23" width="147.109375" style="108" customWidth="1"/>
    <col min="24" max="25" width="18.6640625" style="108" customWidth="1"/>
    <col min="26" max="26" width="16.5546875" style="108" customWidth="1"/>
    <col min="27" max="16384" width="8.6640625" style="108"/>
  </cols>
  <sheetData>
    <row r="1" spans="1:27" s="111" customFormat="1" ht="18">
      <c r="A1" s="106" t="s">
        <v>1169</v>
      </c>
      <c r="B1" s="106"/>
      <c r="C1" s="106"/>
      <c r="D1" s="106"/>
      <c r="E1" s="107"/>
      <c r="F1" s="108"/>
      <c r="G1" s="109"/>
      <c r="H1" s="109"/>
      <c r="I1" s="109"/>
      <c r="J1" s="109"/>
      <c r="K1" s="109"/>
      <c r="L1" s="109"/>
      <c r="M1" s="109"/>
      <c r="N1" s="109"/>
      <c r="O1" s="109"/>
      <c r="P1" s="109"/>
      <c r="Q1" s="109"/>
    </row>
    <row r="2" spans="1:27" s="149" customFormat="1" ht="30" customHeight="1">
      <c r="A2" s="111" t="s">
        <v>461</v>
      </c>
      <c r="B2" s="111"/>
      <c r="C2" s="111"/>
      <c r="D2" s="111"/>
      <c r="E2" s="370" t="s">
        <v>1170</v>
      </c>
      <c r="F2" s="370"/>
      <c r="G2" s="370"/>
      <c r="H2" s="370"/>
      <c r="I2" s="370"/>
      <c r="J2" s="370"/>
      <c r="K2" s="370"/>
      <c r="L2" s="370"/>
      <c r="M2" s="370"/>
      <c r="N2" s="370"/>
      <c r="O2" s="370"/>
      <c r="P2" s="370"/>
      <c r="Q2" s="370"/>
    </row>
    <row r="3" spans="1:27" s="111" customFormat="1">
      <c r="A3" s="108" t="s">
        <v>462</v>
      </c>
      <c r="B3" s="108"/>
      <c r="C3" s="108"/>
      <c r="D3" s="108"/>
      <c r="E3" s="373" t="s">
        <v>321</v>
      </c>
      <c r="F3" s="373"/>
      <c r="G3" s="373"/>
      <c r="H3" s="373"/>
      <c r="I3" s="373"/>
      <c r="J3" s="373"/>
      <c r="K3" s="373"/>
      <c r="L3" s="373"/>
      <c r="M3" s="373"/>
      <c r="N3" s="373"/>
      <c r="O3" s="373"/>
      <c r="P3" s="373"/>
      <c r="Q3" s="373"/>
    </row>
    <row r="4" spans="1:27" s="111" customFormat="1">
      <c r="A4" s="112"/>
      <c r="B4" s="112"/>
      <c r="C4" s="112"/>
      <c r="D4" s="112"/>
      <c r="E4" s="113" t="s">
        <v>47</v>
      </c>
      <c r="F4" s="150"/>
      <c r="G4" s="114" t="s">
        <v>54</v>
      </c>
      <c r="H4" s="115"/>
      <c r="I4" s="114"/>
      <c r="J4" s="116"/>
      <c r="K4" s="116"/>
      <c r="L4" s="116"/>
      <c r="M4" s="114"/>
      <c r="N4" s="114"/>
      <c r="O4" s="117" t="s">
        <v>56</v>
      </c>
      <c r="P4" s="117"/>
      <c r="Q4" s="117"/>
      <c r="R4" s="151"/>
      <c r="S4" s="175" t="s">
        <v>57</v>
      </c>
      <c r="T4" s="119"/>
      <c r="U4" s="119"/>
      <c r="V4" s="119"/>
    </row>
    <row r="5" spans="1:27" s="111" customFormat="1">
      <c r="A5" s="119"/>
      <c r="B5" s="119"/>
      <c r="C5" s="119"/>
      <c r="D5" s="119"/>
      <c r="E5" s="120" t="s">
        <v>560</v>
      </c>
      <c r="F5" s="150"/>
      <c r="G5" s="121" t="s">
        <v>561</v>
      </c>
      <c r="H5" s="115"/>
      <c r="I5" s="121"/>
      <c r="J5" s="116"/>
      <c r="K5" s="116"/>
      <c r="L5" s="116"/>
      <c r="M5" s="240"/>
      <c r="N5" s="240"/>
      <c r="O5" s="117" t="s">
        <v>562</v>
      </c>
      <c r="P5" s="170"/>
      <c r="Q5" s="117"/>
      <c r="R5" s="151"/>
      <c r="S5" s="175" t="s">
        <v>826</v>
      </c>
      <c r="T5" s="119"/>
      <c r="U5" s="119"/>
      <c r="V5" s="119"/>
    </row>
    <row r="6" spans="1:27">
      <c r="A6" s="123"/>
      <c r="B6" s="123"/>
      <c r="C6" s="123"/>
      <c r="D6" s="123"/>
      <c r="E6" s="176" t="s">
        <v>322</v>
      </c>
      <c r="F6" s="176" t="s">
        <v>324</v>
      </c>
      <c r="G6" s="91" t="s">
        <v>326</v>
      </c>
      <c r="H6" s="91" t="s">
        <v>328</v>
      </c>
      <c r="I6" s="91" t="s">
        <v>329</v>
      </c>
      <c r="J6" s="91" t="s">
        <v>330</v>
      </c>
      <c r="K6" s="91" t="s">
        <v>331</v>
      </c>
      <c r="L6" s="91" t="s">
        <v>332</v>
      </c>
      <c r="M6" s="91" t="s">
        <v>333</v>
      </c>
      <c r="N6" s="91" t="s">
        <v>334</v>
      </c>
      <c r="O6" s="92" t="s">
        <v>335</v>
      </c>
      <c r="P6" s="92" t="s">
        <v>336</v>
      </c>
      <c r="Q6" s="92" t="s">
        <v>337</v>
      </c>
      <c r="R6" s="92" t="s">
        <v>339</v>
      </c>
      <c r="S6" s="177" t="s">
        <v>341</v>
      </c>
      <c r="T6" s="94"/>
      <c r="U6" s="94"/>
      <c r="V6" s="94"/>
      <c r="W6" s="124"/>
      <c r="X6" s="124"/>
      <c r="Y6" s="124"/>
    </row>
    <row r="7" spans="1:27" ht="137.4" customHeight="1">
      <c r="A7" s="125" t="s">
        <v>664</v>
      </c>
      <c r="B7" s="125"/>
      <c r="C7" s="125"/>
      <c r="D7" s="125"/>
      <c r="E7" s="98" t="s">
        <v>1171</v>
      </c>
      <c r="F7" s="98" t="s">
        <v>1172</v>
      </c>
      <c r="G7" s="98" t="s">
        <v>1173</v>
      </c>
      <c r="H7" s="98" t="s">
        <v>1174</v>
      </c>
      <c r="I7" s="98" t="s">
        <v>1175</v>
      </c>
      <c r="J7" s="98" t="s">
        <v>1176</v>
      </c>
      <c r="K7" s="98" t="s">
        <v>1177</v>
      </c>
      <c r="L7" s="98" t="s">
        <v>1178</v>
      </c>
      <c r="M7" s="98" t="s">
        <v>1179</v>
      </c>
      <c r="N7" s="98" t="s">
        <v>1180</v>
      </c>
      <c r="O7" s="98" t="s">
        <v>1181</v>
      </c>
      <c r="P7" s="98" t="s">
        <v>1182</v>
      </c>
      <c r="Q7" s="98" t="s">
        <v>1183</v>
      </c>
      <c r="R7" s="98" t="s">
        <v>1184</v>
      </c>
      <c r="S7" s="98" t="s">
        <v>1185</v>
      </c>
      <c r="T7" s="94"/>
      <c r="U7" s="94"/>
      <c r="V7" s="94"/>
    </row>
    <row r="8" spans="1:27" ht="111" customHeight="1">
      <c r="A8" s="123" t="s">
        <v>574</v>
      </c>
      <c r="B8" s="123"/>
      <c r="C8" s="123"/>
      <c r="D8" s="123"/>
      <c r="E8" s="99" t="s">
        <v>1186</v>
      </c>
      <c r="F8" s="126" t="s">
        <v>1187</v>
      </c>
      <c r="G8" s="99" t="s">
        <v>1188</v>
      </c>
      <c r="H8" s="99" t="s">
        <v>1189</v>
      </c>
      <c r="I8" s="99" t="s">
        <v>1190</v>
      </c>
      <c r="J8" s="99" t="s">
        <v>1191</v>
      </c>
      <c r="K8" s="99" t="s">
        <v>1192</v>
      </c>
      <c r="L8" s="99" t="s">
        <v>1193</v>
      </c>
      <c r="M8" s="99" t="s">
        <v>1194</v>
      </c>
      <c r="N8" s="99" t="s">
        <v>1195</v>
      </c>
      <c r="O8" s="99" t="s">
        <v>1196</v>
      </c>
      <c r="P8" s="99" t="s">
        <v>1197</v>
      </c>
      <c r="Q8" s="99" t="s">
        <v>1198</v>
      </c>
      <c r="R8" s="99" t="s">
        <v>1199</v>
      </c>
      <c r="S8" s="99" t="s">
        <v>1200</v>
      </c>
      <c r="T8" s="100"/>
      <c r="U8" s="100"/>
      <c r="V8" s="100"/>
    </row>
    <row r="9" spans="1:27" ht="200.1" customHeight="1">
      <c r="A9" s="123" t="s">
        <v>96</v>
      </c>
      <c r="B9" s="123"/>
      <c r="C9" s="123"/>
      <c r="D9" s="123"/>
      <c r="E9" s="99" t="s">
        <v>1201</v>
      </c>
      <c r="F9" s="126" t="s">
        <v>1202</v>
      </c>
      <c r="G9" s="99" t="s">
        <v>1203</v>
      </c>
      <c r="H9" s="99" t="s">
        <v>1204</v>
      </c>
      <c r="I9" s="99" t="s">
        <v>1205</v>
      </c>
      <c r="J9" s="99" t="s">
        <v>1206</v>
      </c>
      <c r="K9" s="99" t="s">
        <v>1207</v>
      </c>
      <c r="L9" s="99" t="s">
        <v>1208</v>
      </c>
      <c r="M9" s="99" t="s">
        <v>1209</v>
      </c>
      <c r="N9" s="99" t="s">
        <v>1210</v>
      </c>
      <c r="O9" s="99" t="s">
        <v>1211</v>
      </c>
      <c r="P9" s="99" t="s">
        <v>1212</v>
      </c>
      <c r="Q9" s="99" t="s">
        <v>1213</v>
      </c>
      <c r="R9" s="99" t="s">
        <v>1214</v>
      </c>
      <c r="S9" s="99" t="s">
        <v>1215</v>
      </c>
      <c r="T9" s="100"/>
      <c r="U9" s="100"/>
      <c r="V9" s="100"/>
    </row>
    <row r="10" spans="1:27" ht="144" customHeight="1" thickBot="1">
      <c r="A10" s="123" t="s">
        <v>595</v>
      </c>
      <c r="B10" s="297"/>
      <c r="C10" s="297"/>
      <c r="D10" s="297"/>
      <c r="E10" s="241"/>
      <c r="F10" s="241" t="s">
        <v>1216</v>
      </c>
      <c r="G10" s="242" t="s">
        <v>1217</v>
      </c>
      <c r="H10" s="242" t="s">
        <v>1218</v>
      </c>
      <c r="I10" s="242" t="s">
        <v>1219</v>
      </c>
      <c r="J10" s="242" t="s">
        <v>1220</v>
      </c>
      <c r="K10" s="242" t="s">
        <v>1221</v>
      </c>
      <c r="L10" s="242" t="s">
        <v>1222</v>
      </c>
      <c r="M10" s="242" t="s">
        <v>1223</v>
      </c>
      <c r="N10" s="242" t="s">
        <v>1224</v>
      </c>
      <c r="O10" s="242" t="s">
        <v>1225</v>
      </c>
      <c r="P10" s="242" t="s">
        <v>1226</v>
      </c>
      <c r="Q10" s="242" t="s">
        <v>1227</v>
      </c>
      <c r="R10" s="242" t="s">
        <v>1228</v>
      </c>
      <c r="S10" s="242" t="s">
        <v>1229</v>
      </c>
      <c r="T10" s="153"/>
      <c r="U10" s="153"/>
      <c r="V10" s="153"/>
    </row>
    <row r="11" spans="1:27" ht="108" customHeight="1" thickBot="1">
      <c r="A11" s="243" t="s">
        <v>85</v>
      </c>
      <c r="B11" s="243"/>
      <c r="C11" s="243"/>
      <c r="D11" s="243"/>
      <c r="E11" s="241"/>
      <c r="F11" s="241"/>
      <c r="G11" s="242"/>
      <c r="H11" s="242"/>
      <c r="I11" s="242" t="s">
        <v>1230</v>
      </c>
      <c r="J11" s="242" t="s">
        <v>1231</v>
      </c>
      <c r="K11" s="242" t="s">
        <v>1232</v>
      </c>
      <c r="L11" s="242" t="s">
        <v>1233</v>
      </c>
      <c r="M11" s="242" t="s">
        <v>1234</v>
      </c>
      <c r="N11" s="242" t="s">
        <v>1235</v>
      </c>
      <c r="O11" s="242" t="s">
        <v>1236</v>
      </c>
      <c r="P11" s="242" t="s">
        <v>1237</v>
      </c>
      <c r="Q11" s="242" t="s">
        <v>1238</v>
      </c>
      <c r="R11" s="242" t="s">
        <v>1239</v>
      </c>
      <c r="S11" s="242" t="s">
        <v>1229</v>
      </c>
      <c r="T11" s="153"/>
      <c r="U11" s="153"/>
      <c r="V11" s="153"/>
    </row>
    <row r="12" spans="1:27" ht="15" customHeight="1"/>
    <row r="13" spans="1:27" ht="15" customHeight="1"/>
    <row r="14" spans="1:27" ht="15" customHeight="1"/>
    <row r="15" spans="1:27" customFormat="1" ht="14.4">
      <c r="A15" t="s">
        <v>457</v>
      </c>
      <c r="B15" t="s">
        <v>104</v>
      </c>
      <c r="C15" t="s">
        <v>105</v>
      </c>
      <c r="D15" t="s">
        <v>456</v>
      </c>
      <c r="E15" s="14" t="s">
        <v>322</v>
      </c>
      <c r="F15" s="14" t="s">
        <v>324</v>
      </c>
      <c r="G15" s="14" t="s">
        <v>326</v>
      </c>
      <c r="H15" s="14" t="s">
        <v>328</v>
      </c>
      <c r="I15" s="14" t="s">
        <v>329</v>
      </c>
      <c r="J15" s="14" t="s">
        <v>330</v>
      </c>
      <c r="K15" s="14" t="s">
        <v>331</v>
      </c>
      <c r="L15" s="14" t="s">
        <v>332</v>
      </c>
      <c r="M15" s="14" t="s">
        <v>333</v>
      </c>
      <c r="N15" s="14" t="s">
        <v>334</v>
      </c>
      <c r="O15" s="14" t="s">
        <v>335</v>
      </c>
      <c r="P15" s="14" t="s">
        <v>336</v>
      </c>
      <c r="Q15" s="14" t="s">
        <v>337</v>
      </c>
      <c r="R15" s="14" t="s">
        <v>339</v>
      </c>
      <c r="S15" s="14" t="s">
        <v>341</v>
      </c>
      <c r="T15" s="108"/>
    </row>
    <row r="16" spans="1:27" ht="14.4">
      <c r="A16" t="s">
        <v>557</v>
      </c>
      <c r="B16" s="15" t="s">
        <v>104</v>
      </c>
      <c r="C16"/>
      <c r="D16"/>
      <c r="E16" t="s">
        <v>440</v>
      </c>
      <c r="F16" t="s">
        <v>440</v>
      </c>
      <c r="G16"/>
      <c r="H16"/>
      <c r="I16" t="s">
        <v>440</v>
      </c>
      <c r="J16" t="s">
        <v>440</v>
      </c>
      <c r="K16" t="s">
        <v>440</v>
      </c>
      <c r="L16" t="s">
        <v>440</v>
      </c>
      <c r="M16" t="s">
        <v>440</v>
      </c>
      <c r="N16"/>
      <c r="O16"/>
      <c r="P16"/>
      <c r="Q16" t="s">
        <v>440</v>
      </c>
      <c r="R16"/>
      <c r="S16"/>
      <c r="T16"/>
      <c r="U16"/>
      <c r="V16"/>
      <c r="W16"/>
      <c r="X16"/>
      <c r="Y16"/>
      <c r="Z16"/>
      <c r="AA16"/>
    </row>
    <row r="17" spans="1:27" ht="14.4">
      <c r="A17" t="s">
        <v>557</v>
      </c>
      <c r="B17" s="15" t="s">
        <v>104</v>
      </c>
      <c r="C17" s="15" t="str">
        <f>HYPERLINK("02-项目级\P2-Qcubic to MySQL数据同步工具 V1.0\01-生存周期\03-项目策划\03-项目计划书 (QCUBIC-SJTB-PLAN-Plan)V1.0-engl.docx", "engl")</f>
        <v>engl</v>
      </c>
      <c r="D17"/>
      <c r="E17"/>
      <c r="F17" t="s">
        <v>440</v>
      </c>
      <c r="G17" t="s">
        <v>440</v>
      </c>
      <c r="H17" t="s">
        <v>440</v>
      </c>
      <c r="I17"/>
      <c r="J17"/>
      <c r="K17"/>
      <c r="L17" t="s">
        <v>440</v>
      </c>
      <c r="M17" t="s">
        <v>440</v>
      </c>
      <c r="N17"/>
      <c r="O17"/>
      <c r="P17" t="s">
        <v>440</v>
      </c>
      <c r="Q17" t="s">
        <v>440</v>
      </c>
      <c r="R17" t="s">
        <v>440</v>
      </c>
      <c r="S17"/>
      <c r="T17"/>
      <c r="U17"/>
      <c r="V17"/>
      <c r="W17"/>
      <c r="X17"/>
      <c r="Y17"/>
      <c r="Z17"/>
      <c r="AA17"/>
    </row>
    <row r="18" spans="1:27" ht="14.4">
      <c r="A18" t="s">
        <v>557</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440</v>
      </c>
      <c r="M18"/>
      <c r="N18" t="s">
        <v>440</v>
      </c>
      <c r="O18"/>
      <c r="P18"/>
      <c r="Q18"/>
      <c r="R18"/>
      <c r="S18"/>
      <c r="T18"/>
      <c r="U18"/>
      <c r="V18"/>
      <c r="W18"/>
      <c r="X18"/>
      <c r="Y18"/>
      <c r="Z18"/>
      <c r="AA18"/>
    </row>
    <row r="19" spans="1:27" ht="14.4">
      <c r="A19" t="s">
        <v>557</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440</v>
      </c>
      <c r="P19" t="s">
        <v>440</v>
      </c>
      <c r="Q19"/>
      <c r="R19"/>
      <c r="S19"/>
      <c r="T19"/>
      <c r="U19"/>
      <c r="V19"/>
      <c r="W19"/>
      <c r="X19"/>
      <c r="Y19"/>
      <c r="Z19"/>
      <c r="AA19"/>
    </row>
    <row r="20" spans="1:27" ht="14.4">
      <c r="A20" t="s">
        <v>557</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440</v>
      </c>
      <c r="P20"/>
      <c r="Q20"/>
      <c r="R20"/>
      <c r="S20"/>
      <c r="T20"/>
      <c r="U20"/>
      <c r="V20"/>
      <c r="W20"/>
      <c r="X20"/>
      <c r="Y20"/>
      <c r="Z20"/>
      <c r="AA20"/>
    </row>
    <row r="21" spans="1:27" ht="14.4">
      <c r="A21" t="s">
        <v>557</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440</v>
      </c>
      <c r="Q21"/>
      <c r="R21"/>
      <c r="S21"/>
      <c r="T21"/>
      <c r="U21"/>
      <c r="V21"/>
      <c r="W21"/>
      <c r="X21"/>
      <c r="Y21"/>
      <c r="Z21"/>
      <c r="AA21"/>
    </row>
    <row r="22" spans="1:27" ht="14.4">
      <c r="A22" t="s">
        <v>557</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440</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70" customWidth="1"/>
    <col min="2" max="4" width="7.88671875" style="270" customWidth="1"/>
    <col min="5" max="6" width="20.6640625" style="255" customWidth="1"/>
    <col min="7" max="10" width="20.6640625" style="132" customWidth="1"/>
    <col min="11" max="11" width="50.6640625" style="132" customWidth="1"/>
    <col min="12" max="12" width="3.6640625" style="132" customWidth="1"/>
    <col min="13" max="13" width="24" style="132" bestFit="1" customWidth="1"/>
    <col min="14" max="14" width="108.44140625" style="129" customWidth="1"/>
    <col min="15" max="16384" width="8.6640625" style="255"/>
  </cols>
  <sheetData>
    <row r="1" spans="1:27" s="246" customFormat="1" ht="18">
      <c r="A1" s="244" t="s">
        <v>1240</v>
      </c>
      <c r="B1" s="244"/>
      <c r="C1" s="244"/>
      <c r="D1" s="244"/>
      <c r="E1" s="245"/>
      <c r="F1" s="245"/>
      <c r="G1" s="245"/>
      <c r="H1" s="245"/>
      <c r="I1" s="245"/>
      <c r="J1" s="132"/>
      <c r="K1" s="132"/>
      <c r="L1" s="132"/>
      <c r="M1" s="132"/>
      <c r="N1" s="129"/>
    </row>
    <row r="2" spans="1:27" s="247" customFormat="1">
      <c r="A2" s="101" t="s">
        <v>1241</v>
      </c>
      <c r="B2" s="101"/>
      <c r="C2" s="101"/>
      <c r="D2" s="101"/>
      <c r="E2" s="102" t="s">
        <v>1242</v>
      </c>
      <c r="F2" s="102"/>
      <c r="G2" s="102"/>
      <c r="H2" s="102"/>
      <c r="I2" s="102"/>
      <c r="J2" s="132"/>
      <c r="K2" s="132"/>
      <c r="L2" s="132"/>
      <c r="M2" s="132"/>
      <c r="N2" s="129"/>
    </row>
    <row r="3" spans="1:27" s="248" customFormat="1">
      <c r="A3" s="101" t="s">
        <v>1243</v>
      </c>
      <c r="B3" s="101"/>
      <c r="C3" s="101"/>
      <c r="D3" s="101"/>
      <c r="E3" s="102" t="s">
        <v>1244</v>
      </c>
      <c r="F3" s="102"/>
      <c r="G3" s="102"/>
      <c r="H3" s="102"/>
      <c r="I3" s="102"/>
      <c r="J3" s="132"/>
      <c r="K3" s="132"/>
      <c r="L3" s="132"/>
      <c r="M3" s="132"/>
      <c r="N3" s="129"/>
    </row>
    <row r="4" spans="1:27">
      <c r="A4" s="249"/>
      <c r="B4" s="249"/>
      <c r="C4" s="249"/>
      <c r="D4" s="249"/>
      <c r="E4" s="250" t="s">
        <v>47</v>
      </c>
      <c r="F4" s="251" t="s">
        <v>54</v>
      </c>
      <c r="G4" s="252"/>
      <c r="H4" s="251"/>
      <c r="I4" s="253" t="s">
        <v>56</v>
      </c>
      <c r="J4" s="253"/>
      <c r="K4" s="254"/>
      <c r="L4" s="254"/>
      <c r="M4" s="254"/>
    </row>
    <row r="5" spans="1:27">
      <c r="A5" s="255"/>
      <c r="B5" s="255"/>
      <c r="C5" s="255"/>
      <c r="D5" s="255"/>
      <c r="E5" s="256" t="s">
        <v>560</v>
      </c>
      <c r="F5" s="257" t="s">
        <v>561</v>
      </c>
      <c r="G5" s="252"/>
      <c r="H5" s="257"/>
      <c r="I5" s="253" t="s">
        <v>562</v>
      </c>
      <c r="J5" s="258"/>
      <c r="K5" s="255"/>
      <c r="L5" s="255"/>
      <c r="M5" s="255"/>
    </row>
    <row r="6" spans="1:27" s="129" customFormat="1">
      <c r="A6" s="259"/>
      <c r="B6" s="259"/>
      <c r="C6" s="259"/>
      <c r="D6" s="259"/>
      <c r="E6" s="260" t="s">
        <v>299</v>
      </c>
      <c r="F6" s="261" t="s">
        <v>300</v>
      </c>
      <c r="G6" s="261" t="s">
        <v>301</v>
      </c>
      <c r="H6" s="261" t="s">
        <v>302</v>
      </c>
      <c r="I6" s="262" t="s">
        <v>303</v>
      </c>
      <c r="J6" s="262" t="s">
        <v>305</v>
      </c>
      <c r="K6" s="130"/>
      <c r="L6" s="130"/>
      <c r="M6" s="130"/>
      <c r="N6" s="132"/>
    </row>
    <row r="7" spans="1:27" s="129" customFormat="1" ht="82.8">
      <c r="A7" s="263" t="s">
        <v>664</v>
      </c>
      <c r="B7" s="263"/>
      <c r="C7" s="263"/>
      <c r="D7" s="263"/>
      <c r="E7" s="264" t="s">
        <v>1245</v>
      </c>
      <c r="F7" s="264" t="s">
        <v>1246</v>
      </c>
      <c r="G7" s="264" t="s">
        <v>1247</v>
      </c>
      <c r="H7" s="264" t="s">
        <v>1248</v>
      </c>
      <c r="I7" s="264" t="s">
        <v>1249</v>
      </c>
      <c r="J7" s="264" t="s">
        <v>1250</v>
      </c>
      <c r="K7" s="130"/>
      <c r="L7" s="130"/>
      <c r="M7" s="130"/>
    </row>
    <row r="8" spans="1:27" s="129" customFormat="1" ht="48">
      <c r="A8" s="259" t="s">
        <v>574</v>
      </c>
      <c r="B8" s="259"/>
      <c r="C8" s="259"/>
      <c r="D8" s="259"/>
      <c r="E8" s="265" t="s">
        <v>1251</v>
      </c>
      <c r="F8" s="265" t="s">
        <v>1252</v>
      </c>
      <c r="G8" s="265" t="s">
        <v>1253</v>
      </c>
      <c r="H8" s="265" t="s">
        <v>1254</v>
      </c>
      <c r="I8" s="265" t="s">
        <v>1255</v>
      </c>
      <c r="J8" s="265" t="s">
        <v>1256</v>
      </c>
      <c r="K8" s="266"/>
      <c r="L8" s="266"/>
      <c r="M8" s="266"/>
    </row>
    <row r="9" spans="1:27" s="129" customFormat="1" ht="87.6" customHeight="1">
      <c r="A9" s="259" t="s">
        <v>96</v>
      </c>
      <c r="B9" s="259"/>
      <c r="C9" s="259"/>
      <c r="D9" s="259"/>
      <c r="E9" s="265" t="s">
        <v>1257</v>
      </c>
      <c r="F9" s="265" t="s">
        <v>1258</v>
      </c>
      <c r="G9" s="265" t="s">
        <v>1259</v>
      </c>
      <c r="H9" s="265" t="s">
        <v>1260</v>
      </c>
      <c r="I9" s="265" t="s">
        <v>1261</v>
      </c>
      <c r="J9" s="265" t="s">
        <v>1262</v>
      </c>
      <c r="K9" s="266"/>
      <c r="L9" s="266"/>
      <c r="M9" s="266"/>
    </row>
    <row r="10" spans="1:27" s="129" customFormat="1" ht="96">
      <c r="A10" s="123" t="s">
        <v>595</v>
      </c>
      <c r="B10" s="172"/>
      <c r="C10" s="172"/>
      <c r="D10" s="172"/>
      <c r="E10" s="267" t="s">
        <v>1263</v>
      </c>
      <c r="F10" s="268" t="s">
        <v>1264</v>
      </c>
      <c r="G10" s="268" t="s">
        <v>1265</v>
      </c>
      <c r="H10" s="268" t="s">
        <v>1266</v>
      </c>
      <c r="I10" s="268" t="s">
        <v>1267</v>
      </c>
      <c r="J10" s="268" t="s">
        <v>1268</v>
      </c>
      <c r="K10" s="266"/>
      <c r="L10" s="266"/>
      <c r="M10" s="266"/>
    </row>
    <row r="11" spans="1:27" s="129" customFormat="1" ht="96">
      <c r="A11" s="269" t="s">
        <v>85</v>
      </c>
      <c r="B11" s="269"/>
      <c r="C11" s="269"/>
      <c r="D11" s="269"/>
      <c r="E11" s="267" t="s">
        <v>1269</v>
      </c>
      <c r="F11" s="268" t="s">
        <v>1270</v>
      </c>
      <c r="G11" s="268" t="s">
        <v>1271</v>
      </c>
      <c r="H11" s="268" t="s">
        <v>1272</v>
      </c>
      <c r="I11" s="268" t="s">
        <v>1273</v>
      </c>
      <c r="J11" s="268" t="s">
        <v>1274</v>
      </c>
      <c r="K11" s="266"/>
      <c r="L11" s="266"/>
      <c r="M11" s="266"/>
      <c r="N11" s="132"/>
      <c r="O11" s="132"/>
      <c r="P11" s="132"/>
    </row>
    <row r="12" spans="1:27" s="129" customFormat="1" ht="15" customHeight="1"/>
    <row r="13" spans="1:27" s="129" customFormat="1" ht="15" customHeight="1"/>
    <row r="14" spans="1:27" s="129" customFormat="1" ht="15" customHeight="1"/>
    <row r="15" spans="1:27" customFormat="1" ht="14.4">
      <c r="A15" t="s">
        <v>457</v>
      </c>
      <c r="B15" t="s">
        <v>104</v>
      </c>
      <c r="C15" t="s">
        <v>105</v>
      </c>
      <c r="D15" t="s">
        <v>456</v>
      </c>
      <c r="E15" t="s">
        <v>299</v>
      </c>
      <c r="F15" t="s">
        <v>300</v>
      </c>
      <c r="G15" t="s">
        <v>301</v>
      </c>
      <c r="H15" t="s">
        <v>302</v>
      </c>
      <c r="I15" t="s">
        <v>303</v>
      </c>
      <c r="J15" t="s">
        <v>305</v>
      </c>
    </row>
    <row r="16" spans="1:27" s="133" customFormat="1" ht="14.4">
      <c r="A16" t="s">
        <v>557</v>
      </c>
      <c r="B16" s="15" t="s">
        <v>104</v>
      </c>
      <c r="C16" s="15" t="str">
        <f>HYPERLINK("02-项目级\P2-Qcubic to MySQL数据同步工具 V1.0\01-生存周期\03-项目策划\02-估算工作书 (QCUBIC-SJTB-PLAN-Evaluate)V1.2-engl.xlsx", "engl")</f>
        <v>engl</v>
      </c>
      <c r="D16"/>
      <c r="E16" t="s">
        <v>440</v>
      </c>
      <c r="F16"/>
      <c r="G16" t="s">
        <v>440</v>
      </c>
      <c r="H16" t="s">
        <v>440</v>
      </c>
      <c r="I16"/>
      <c r="J16"/>
      <c r="K16"/>
      <c r="L16"/>
      <c r="M16"/>
      <c r="N16"/>
      <c r="O16"/>
      <c r="P16"/>
      <c r="Q16"/>
      <c r="R16"/>
      <c r="S16"/>
      <c r="T16"/>
      <c r="U16"/>
      <c r="V16"/>
      <c r="W16"/>
      <c r="X16"/>
      <c r="Y16"/>
      <c r="Z16"/>
      <c r="AA16"/>
    </row>
    <row r="17" spans="1:27" s="133" customFormat="1" ht="14.4">
      <c r="A17" t="s">
        <v>557</v>
      </c>
      <c r="B17" s="15" t="s">
        <v>104</v>
      </c>
      <c r="C17" s="15" t="str">
        <f>HYPERLINK("02-项目级\P2-Qcubic to MySQL数据同步工具 V1.0\02-全程管理\03-度量分析\02-项目度量数据表(QCUBIC-SJTB-MPM-datasheet)V1.0-engl.xlsx", "engl")</f>
        <v>engl</v>
      </c>
      <c r="D17"/>
      <c r="E17"/>
      <c r="F17" t="s">
        <v>440</v>
      </c>
      <c r="G17"/>
      <c r="H17"/>
      <c r="I17"/>
      <c r="J17"/>
      <c r="K17"/>
      <c r="L17"/>
      <c r="M17"/>
      <c r="N17"/>
      <c r="O17"/>
      <c r="P17"/>
      <c r="Q17"/>
      <c r="R17"/>
      <c r="S17"/>
      <c r="T17"/>
      <c r="U17"/>
      <c r="V17"/>
      <c r="W17"/>
      <c r="X17"/>
      <c r="Y17"/>
      <c r="Z17"/>
      <c r="AA17"/>
    </row>
    <row r="18" spans="1:27" s="133" customFormat="1" ht="14.4">
      <c r="A18" t="s">
        <v>557</v>
      </c>
      <c r="B18" s="15" t="s">
        <v>104</v>
      </c>
      <c r="C18" s="15" t="str">
        <f>HYPERLINK("02-项目级\P2-Qcubic to MySQL数据同步工具 V1.0\01-生存周期\03-项目策划\03-项目计划书 (QCUBIC-SJTB-PLAN-Plan)V1.0-engl.docx", "engl")</f>
        <v>engl</v>
      </c>
      <c r="D18"/>
      <c r="E18"/>
      <c r="F18" t="s">
        <v>440</v>
      </c>
      <c r="G18"/>
      <c r="H18"/>
      <c r="I18"/>
      <c r="J18"/>
      <c r="K18"/>
      <c r="L18"/>
      <c r="M18"/>
      <c r="N18"/>
      <c r="O18"/>
      <c r="P18"/>
      <c r="Q18"/>
      <c r="R18"/>
      <c r="S18"/>
      <c r="T18"/>
      <c r="U18"/>
      <c r="V18"/>
      <c r="W18"/>
      <c r="X18"/>
      <c r="Y18"/>
      <c r="Z18"/>
      <c r="AA18"/>
    </row>
    <row r="19" spans="1:27" s="133" customFormat="1" ht="14.4">
      <c r="A19" t="s">
        <v>557</v>
      </c>
      <c r="B19" s="15" t="s">
        <v>104</v>
      </c>
      <c r="C19" s="15" t="str">
        <f>HYPERLINK("02-项目级\P2-Qcubic to MySQL数据同步工具 V1.0\02-全程管理\01-项目监控\03-周会议纪要\01-会议记录(QCUBIC-SJTB-meetingrcd-20220107)V1.0-engl.docx", "engl")</f>
        <v>engl</v>
      </c>
      <c r="D19"/>
      <c r="E19"/>
      <c r="F19"/>
      <c r="G19"/>
      <c r="H19" t="s">
        <v>440</v>
      </c>
      <c r="I19"/>
      <c r="J19"/>
      <c r="K19"/>
      <c r="L19"/>
      <c r="M19"/>
      <c r="N19"/>
      <c r="O19"/>
      <c r="P19"/>
      <c r="Q19"/>
      <c r="R19"/>
      <c r="S19"/>
      <c r="T19"/>
      <c r="U19"/>
      <c r="V19"/>
      <c r="W19"/>
      <c r="X19"/>
      <c r="Y19"/>
      <c r="Z19"/>
      <c r="AA19"/>
    </row>
    <row r="20" spans="1:27" s="133" customFormat="1" ht="14.4">
      <c r="A20" t="s">
        <v>557</v>
      </c>
      <c r="B20" s="15" t="s">
        <v>104</v>
      </c>
      <c r="C20" s="15" t="str">
        <f>HYPERLINK("01-组织级\01-组织财富库\01-标准过程文件库\01-项目管理规范\03-项目估算\估算指南(QCUBIC-SPI-EST-Guid-Evaluate)V1.2-engl.docx", "engl")</f>
        <v>engl</v>
      </c>
      <c r="D20"/>
      <c r="E20"/>
      <c r="F20"/>
      <c r="G20"/>
      <c r="H20"/>
      <c r="I20" t="s">
        <v>440</v>
      </c>
      <c r="J20"/>
      <c r="K20"/>
      <c r="L20"/>
      <c r="M20"/>
      <c r="N20"/>
      <c r="O20"/>
      <c r="P20"/>
      <c r="Q20"/>
      <c r="R20"/>
      <c r="S20"/>
      <c r="T20"/>
      <c r="U20"/>
      <c r="V20"/>
      <c r="W20"/>
      <c r="X20"/>
      <c r="Y20"/>
      <c r="Z20"/>
      <c r="AA20"/>
    </row>
    <row r="21" spans="1:27" s="133" customFormat="1" ht="14.4">
      <c r="A21" t="s">
        <v>557</v>
      </c>
      <c r="B21" s="15" t="s">
        <v>104</v>
      </c>
      <c r="C21" s="15" t="str">
        <f>HYPERLINK("01-组织级\02-组织工作库\06-度量\组织度量表(QCUBIC-SPI-MPM-Tem-datasheet)V1.3-engl.xlsx", "engl")</f>
        <v>engl</v>
      </c>
      <c r="D21"/>
      <c r="E21"/>
      <c r="F21"/>
      <c r="G21"/>
      <c r="H21"/>
      <c r="I21"/>
      <c r="J21" t="s">
        <v>440</v>
      </c>
      <c r="K21"/>
      <c r="L21"/>
      <c r="M21"/>
      <c r="N21"/>
      <c r="O21"/>
      <c r="P21"/>
      <c r="Q21"/>
      <c r="R21"/>
      <c r="S21"/>
      <c r="T21"/>
      <c r="U21"/>
      <c r="V21"/>
      <c r="W21"/>
      <c r="X21"/>
      <c r="Y21"/>
      <c r="Z21"/>
      <c r="AA21"/>
    </row>
    <row r="22" spans="1:27" s="133" customFormat="1" ht="14.4">
      <c r="A22" t="s">
        <v>557</v>
      </c>
      <c r="B22" s="15" t="s">
        <v>104</v>
      </c>
      <c r="C22"/>
      <c r="D22"/>
      <c r="E22"/>
      <c r="F22"/>
      <c r="G22"/>
      <c r="H22"/>
      <c r="I22"/>
      <c r="J22" t="s">
        <v>440</v>
      </c>
      <c r="K22"/>
      <c r="L22"/>
      <c r="M22"/>
      <c r="N22"/>
      <c r="O22"/>
      <c r="P22"/>
      <c r="Q22"/>
      <c r="R22"/>
      <c r="S22"/>
      <c r="T22"/>
      <c r="U22"/>
      <c r="V22"/>
      <c r="W22"/>
      <c r="X22"/>
      <c r="Y22"/>
      <c r="Z22"/>
      <c r="AA22"/>
    </row>
    <row r="23" spans="1:27" s="129" customFormat="1" ht="14.4">
      <c r="A23"/>
      <c r="B23"/>
      <c r="C23"/>
      <c r="D23"/>
      <c r="E23"/>
      <c r="F23"/>
      <c r="G23"/>
      <c r="H23"/>
      <c r="I23"/>
      <c r="J23"/>
      <c r="K23"/>
      <c r="L23"/>
      <c r="M23"/>
      <c r="N23"/>
      <c r="O23"/>
      <c r="P23"/>
      <c r="Q23"/>
      <c r="R23"/>
      <c r="S23"/>
      <c r="T23"/>
      <c r="U23"/>
      <c r="V23"/>
      <c r="W23"/>
      <c r="X23"/>
      <c r="Y23"/>
      <c r="Z23"/>
      <c r="AA23"/>
    </row>
    <row r="24" spans="1:27" s="129" customFormat="1" ht="14.4">
      <c r="A24"/>
      <c r="B24"/>
      <c r="C24"/>
      <c r="D24"/>
      <c r="E24"/>
      <c r="F24"/>
      <c r="G24"/>
      <c r="H24"/>
      <c r="I24"/>
      <c r="J24"/>
      <c r="K24"/>
      <c r="L24"/>
      <c r="M24"/>
      <c r="N24"/>
      <c r="O24"/>
      <c r="P24"/>
      <c r="Q24"/>
      <c r="R24"/>
      <c r="S24"/>
      <c r="T24"/>
      <c r="U24"/>
      <c r="V24"/>
      <c r="W24"/>
      <c r="X24"/>
      <c r="Y24"/>
      <c r="Z24"/>
      <c r="AA24"/>
    </row>
    <row r="25" spans="1:27" s="129" customFormat="1" ht="14.4">
      <c r="A25"/>
      <c r="B25"/>
      <c r="C25"/>
      <c r="D25"/>
      <c r="E25"/>
      <c r="F25"/>
      <c r="G25"/>
      <c r="H25"/>
      <c r="I25"/>
      <c r="J25"/>
      <c r="K25"/>
      <c r="L25"/>
      <c r="M25"/>
      <c r="N25"/>
      <c r="O25"/>
      <c r="P25"/>
      <c r="Q25"/>
      <c r="R25"/>
      <c r="S25"/>
      <c r="T25"/>
      <c r="U25"/>
      <c r="V25"/>
      <c r="W25"/>
      <c r="X25"/>
      <c r="Y25"/>
      <c r="Z25"/>
      <c r="AA25"/>
    </row>
    <row r="26" spans="1:27" s="129" customFormat="1" ht="14.4">
      <c r="A26"/>
      <c r="B26"/>
      <c r="C26"/>
      <c r="D26"/>
      <c r="E26"/>
      <c r="F26"/>
      <c r="G26"/>
      <c r="H26"/>
      <c r="I26"/>
      <c r="J26"/>
      <c r="K26"/>
      <c r="L26"/>
      <c r="M26"/>
      <c r="N26"/>
      <c r="O26"/>
      <c r="P26"/>
      <c r="Q26"/>
      <c r="R26"/>
      <c r="S26"/>
      <c r="T26"/>
      <c r="U26"/>
      <c r="V26"/>
      <c r="W26"/>
      <c r="X26"/>
      <c r="Y26"/>
      <c r="Z26"/>
      <c r="AA26"/>
    </row>
    <row r="27" spans="1:27" s="129" customFormat="1" ht="14.4">
      <c r="A27"/>
      <c r="B27"/>
      <c r="C27"/>
      <c r="D27"/>
      <c r="E27"/>
      <c r="F27"/>
      <c r="G27"/>
      <c r="H27"/>
      <c r="I27"/>
      <c r="J27"/>
      <c r="K27"/>
      <c r="L27"/>
      <c r="M27"/>
      <c r="N27"/>
      <c r="O27"/>
      <c r="P27"/>
      <c r="Q27"/>
      <c r="R27"/>
      <c r="S27"/>
      <c r="T27"/>
      <c r="U27"/>
      <c r="V27"/>
      <c r="W27"/>
      <c r="X27"/>
      <c r="Y27"/>
      <c r="Z27"/>
      <c r="AA27"/>
    </row>
    <row r="28" spans="1:27" s="133" customFormat="1" ht="14.4">
      <c r="A28"/>
      <c r="B28"/>
      <c r="C28"/>
      <c r="D28"/>
      <c r="E28"/>
      <c r="F28"/>
      <c r="G28"/>
      <c r="H28"/>
      <c r="I28"/>
      <c r="J28"/>
      <c r="K28"/>
      <c r="L28"/>
      <c r="M28"/>
      <c r="N28"/>
      <c r="O28"/>
      <c r="P28"/>
      <c r="Q28"/>
      <c r="R28"/>
      <c r="S28"/>
      <c r="T28"/>
      <c r="U28"/>
      <c r="V28"/>
      <c r="W28"/>
      <c r="X28"/>
      <c r="Y28"/>
      <c r="Z28"/>
      <c r="AA28"/>
    </row>
    <row r="29" spans="1:27" s="133" customFormat="1" ht="14.4">
      <c r="A29"/>
      <c r="B29"/>
      <c r="C29"/>
      <c r="D29"/>
      <c r="E29"/>
      <c r="F29"/>
      <c r="G29"/>
      <c r="H29"/>
      <c r="I29"/>
      <c r="J29"/>
      <c r="K29"/>
      <c r="L29"/>
      <c r="M29"/>
      <c r="N29"/>
      <c r="O29"/>
      <c r="P29"/>
      <c r="Q29"/>
      <c r="R29"/>
      <c r="S29"/>
      <c r="T29"/>
      <c r="U29"/>
      <c r="V29"/>
      <c r="W29"/>
      <c r="X29"/>
      <c r="Y29"/>
      <c r="Z29"/>
      <c r="AA29"/>
    </row>
    <row r="30" spans="1:27" s="133" customFormat="1" ht="14.4">
      <c r="A30"/>
      <c r="B30"/>
      <c r="C30"/>
      <c r="D30"/>
      <c r="E30"/>
      <c r="F30"/>
      <c r="G30"/>
      <c r="H30"/>
      <c r="I30"/>
      <c r="J30"/>
      <c r="K30"/>
      <c r="L30"/>
      <c r="M30"/>
      <c r="N30"/>
      <c r="O30"/>
      <c r="P30"/>
      <c r="Q30"/>
      <c r="R30"/>
      <c r="S30"/>
      <c r="T30"/>
      <c r="U30"/>
      <c r="V30"/>
      <c r="W30"/>
      <c r="X30"/>
      <c r="Y30"/>
      <c r="Z30"/>
      <c r="AA30"/>
    </row>
    <row r="31" spans="1:27" s="133" customFormat="1" ht="14.4">
      <c r="A31"/>
      <c r="B31"/>
      <c r="C31"/>
      <c r="D31"/>
      <c r="E31"/>
      <c r="F31"/>
      <c r="G31"/>
      <c r="H31"/>
      <c r="I31"/>
      <c r="J31"/>
      <c r="K31"/>
      <c r="L31"/>
      <c r="M31"/>
      <c r="N31"/>
      <c r="O31"/>
      <c r="P31"/>
      <c r="Q31"/>
      <c r="R31"/>
      <c r="S31"/>
      <c r="T31"/>
      <c r="U31"/>
      <c r="V31"/>
      <c r="W31"/>
      <c r="X31"/>
      <c r="Y31"/>
      <c r="Z31"/>
      <c r="AA31"/>
    </row>
    <row r="32" spans="1:27" s="133"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8" customWidth="1"/>
    <col min="2" max="4" width="7.88671875" style="118" customWidth="1"/>
    <col min="5" max="10" width="15.6640625" style="118" customWidth="1"/>
    <col min="11" max="18" width="16.33203125" style="118" customWidth="1"/>
    <col min="19" max="19" width="16.33203125" style="107" customWidth="1"/>
    <col min="20" max="21" width="16.6640625" style="107" customWidth="1"/>
    <col min="22" max="16384" width="8.88671875" style="118"/>
  </cols>
  <sheetData>
    <row r="1" spans="1:27" s="169" customFormat="1" ht="18">
      <c r="A1" s="106" t="s">
        <v>1275</v>
      </c>
      <c r="B1" s="106"/>
      <c r="C1" s="106"/>
      <c r="D1" s="106"/>
      <c r="E1" s="166"/>
      <c r="F1" s="166"/>
      <c r="G1" s="271"/>
      <c r="S1" s="166"/>
      <c r="T1" s="166"/>
      <c r="U1" s="166"/>
    </row>
    <row r="2" spans="1:27">
      <c r="A2" s="111" t="s">
        <v>1276</v>
      </c>
      <c r="B2" s="111"/>
      <c r="C2" s="111"/>
      <c r="D2" s="111"/>
      <c r="E2" s="108" t="s">
        <v>1277</v>
      </c>
      <c r="F2" s="108"/>
      <c r="G2" s="137"/>
    </row>
    <row r="3" spans="1:27">
      <c r="A3" s="108" t="s">
        <v>1278</v>
      </c>
      <c r="B3" s="108"/>
      <c r="C3" s="108"/>
      <c r="D3" s="108"/>
      <c r="E3" s="108" t="s">
        <v>1279</v>
      </c>
      <c r="F3" s="108"/>
      <c r="G3" s="137"/>
    </row>
    <row r="4" spans="1:27">
      <c r="A4" s="112"/>
      <c r="B4" s="112"/>
      <c r="C4" s="112"/>
      <c r="D4" s="112"/>
      <c r="E4" s="113" t="s">
        <v>47</v>
      </c>
      <c r="F4" s="114" t="s">
        <v>54</v>
      </c>
      <c r="G4" s="114"/>
      <c r="H4" s="117" t="s">
        <v>56</v>
      </c>
      <c r="I4" s="117"/>
      <c r="J4" s="151"/>
      <c r="K4" s="151"/>
      <c r="L4" s="151"/>
      <c r="M4" s="174" t="s">
        <v>57</v>
      </c>
      <c r="N4" s="272"/>
      <c r="O4" s="196" t="s">
        <v>58</v>
      </c>
      <c r="S4" s="108"/>
      <c r="T4" s="108"/>
      <c r="U4" s="111"/>
    </row>
    <row r="5" spans="1:27">
      <c r="A5" s="119"/>
      <c r="B5" s="119"/>
      <c r="C5" s="119"/>
      <c r="D5" s="119"/>
      <c r="E5" s="120" t="s">
        <v>560</v>
      </c>
      <c r="F5" s="121" t="s">
        <v>561</v>
      </c>
      <c r="G5" s="121"/>
      <c r="H5" s="117" t="s">
        <v>562</v>
      </c>
      <c r="I5" s="170"/>
      <c r="J5" s="151"/>
      <c r="K5" s="151"/>
      <c r="L5" s="151"/>
      <c r="M5" s="175" t="s">
        <v>826</v>
      </c>
      <c r="N5" s="273"/>
      <c r="O5" s="199" t="s">
        <v>933</v>
      </c>
      <c r="P5" s="119"/>
      <c r="Q5" s="119"/>
      <c r="R5" s="119"/>
      <c r="S5" s="108"/>
      <c r="T5" s="108"/>
      <c r="U5" s="111"/>
      <c r="V5" s="119"/>
    </row>
    <row r="6" spans="1:27">
      <c r="A6" s="123"/>
      <c r="B6" s="123"/>
      <c r="C6" s="123"/>
      <c r="D6" s="123"/>
      <c r="E6" s="3" t="s">
        <v>343</v>
      </c>
      <c r="F6" s="91" t="s">
        <v>345</v>
      </c>
      <c r="G6" s="91" t="s">
        <v>346</v>
      </c>
      <c r="H6" s="92" t="s">
        <v>347</v>
      </c>
      <c r="I6" s="92" t="s">
        <v>348</v>
      </c>
      <c r="J6" s="92" t="s">
        <v>349</v>
      </c>
      <c r="K6" s="92" t="s">
        <v>350</v>
      </c>
      <c r="L6" s="92" t="s">
        <v>351</v>
      </c>
      <c r="M6" s="177" t="s">
        <v>352</v>
      </c>
      <c r="N6" s="202" t="s">
        <v>354</v>
      </c>
      <c r="O6" s="274" t="s">
        <v>355</v>
      </c>
      <c r="P6" s="94"/>
      <c r="Q6" s="94"/>
      <c r="R6" s="94"/>
    </row>
    <row r="7" spans="1:27" ht="138">
      <c r="A7" s="125" t="s">
        <v>664</v>
      </c>
      <c r="B7" s="125"/>
      <c r="C7" s="125"/>
      <c r="D7" s="125"/>
      <c r="E7" s="98" t="s">
        <v>1280</v>
      </c>
      <c r="F7" s="98" t="s">
        <v>1281</v>
      </c>
      <c r="G7" s="98" t="s">
        <v>1282</v>
      </c>
      <c r="H7" s="98" t="s">
        <v>1283</v>
      </c>
      <c r="I7" s="98" t="s">
        <v>1284</v>
      </c>
      <c r="J7" s="98" t="s">
        <v>1285</v>
      </c>
      <c r="K7" s="98" t="s">
        <v>1286</v>
      </c>
      <c r="L7" s="98" t="s">
        <v>1287</v>
      </c>
      <c r="M7" s="205" t="s">
        <v>1288</v>
      </c>
      <c r="N7" s="98" t="s">
        <v>1289</v>
      </c>
      <c r="O7" s="275" t="s">
        <v>1290</v>
      </c>
      <c r="P7" s="94"/>
      <c r="Q7" s="94"/>
      <c r="R7" s="276"/>
      <c r="S7" s="277"/>
      <c r="T7" s="277"/>
      <c r="U7" s="277"/>
    </row>
    <row r="8" spans="1:27" ht="120">
      <c r="A8" s="123" t="s">
        <v>574</v>
      </c>
      <c r="B8" s="123"/>
      <c r="C8" s="123"/>
      <c r="D8" s="123"/>
      <c r="E8" s="99" t="s">
        <v>1291</v>
      </c>
      <c r="F8" s="99" t="s">
        <v>1292</v>
      </c>
      <c r="G8" s="99" t="s">
        <v>1293</v>
      </c>
      <c r="H8" s="99" t="s">
        <v>1294</v>
      </c>
      <c r="I8" s="99" t="s">
        <v>1295</v>
      </c>
      <c r="J8" s="99" t="s">
        <v>1296</v>
      </c>
      <c r="K8" s="99" t="s">
        <v>1297</v>
      </c>
      <c r="L8" s="99" t="s">
        <v>1298</v>
      </c>
      <c r="M8" s="208" t="s">
        <v>1299</v>
      </c>
      <c r="N8" s="99" t="s">
        <v>1300</v>
      </c>
      <c r="O8" s="209" t="s">
        <v>1301</v>
      </c>
      <c r="P8" s="100"/>
      <c r="Q8" s="100"/>
      <c r="R8" s="100"/>
    </row>
    <row r="9" spans="1:27" ht="168">
      <c r="A9" s="123" t="s">
        <v>96</v>
      </c>
      <c r="B9" s="123"/>
      <c r="C9" s="123"/>
      <c r="D9" s="123"/>
      <c r="E9" s="126" t="s">
        <v>1302</v>
      </c>
      <c r="F9" s="99" t="s">
        <v>1303</v>
      </c>
      <c r="G9" s="99" t="s">
        <v>1304</v>
      </c>
      <c r="H9" s="99" t="s">
        <v>1305</v>
      </c>
      <c r="I9" s="99" t="s">
        <v>1306</v>
      </c>
      <c r="J9" s="99" t="s">
        <v>1307</v>
      </c>
      <c r="K9" s="99" t="s">
        <v>1308</v>
      </c>
      <c r="L9" s="99" t="s">
        <v>1309</v>
      </c>
      <c r="M9" s="208" t="s">
        <v>1310</v>
      </c>
      <c r="N9" s="99" t="s">
        <v>1311</v>
      </c>
      <c r="O9" s="209" t="s">
        <v>1312</v>
      </c>
      <c r="P9" s="100"/>
      <c r="Q9" s="100"/>
      <c r="R9" s="100"/>
    </row>
    <row r="10" spans="1:27" ht="165.6">
      <c r="A10" s="123" t="s">
        <v>595</v>
      </c>
      <c r="B10" s="123"/>
      <c r="C10" s="123"/>
      <c r="D10" s="123"/>
      <c r="E10" s="103" t="s">
        <v>1313</v>
      </c>
      <c r="F10" s="103" t="s">
        <v>1314</v>
      </c>
      <c r="G10" s="103" t="s">
        <v>1315</v>
      </c>
      <c r="H10" s="103" t="s">
        <v>1316</v>
      </c>
      <c r="I10" s="103" t="s">
        <v>1317</v>
      </c>
      <c r="J10" s="103" t="s">
        <v>531</v>
      </c>
      <c r="K10" s="103" t="s">
        <v>1318</v>
      </c>
      <c r="L10" s="103" t="s">
        <v>1319</v>
      </c>
      <c r="M10" s="210" t="s">
        <v>1320</v>
      </c>
      <c r="N10" s="103" t="s">
        <v>1321</v>
      </c>
      <c r="O10" s="278" t="s">
        <v>1322</v>
      </c>
      <c r="P10" s="153"/>
      <c r="Q10" s="153"/>
      <c r="R10" s="153"/>
    </row>
    <row r="11" spans="1:27" ht="87.6" customHeight="1">
      <c r="A11" s="136" t="s">
        <v>85</v>
      </c>
      <c r="B11" s="136"/>
      <c r="C11" s="136"/>
      <c r="D11" s="136"/>
      <c r="E11" s="103" t="s">
        <v>1323</v>
      </c>
      <c r="F11" s="103" t="s">
        <v>1324</v>
      </c>
      <c r="G11" s="103" t="s">
        <v>1325</v>
      </c>
      <c r="H11" s="103" t="s">
        <v>1326</v>
      </c>
      <c r="I11" s="103" t="s">
        <v>1327</v>
      </c>
      <c r="J11" s="103" t="s">
        <v>1328</v>
      </c>
      <c r="K11" s="103" t="s">
        <v>1329</v>
      </c>
      <c r="L11" s="103" t="s">
        <v>1330</v>
      </c>
      <c r="M11" s="210" t="s">
        <v>1320</v>
      </c>
      <c r="N11" s="103" t="s">
        <v>1321</v>
      </c>
      <c r="O11" s="278" t="s">
        <v>1322</v>
      </c>
      <c r="P11" s="153"/>
      <c r="Q11" s="153"/>
      <c r="R11" s="153"/>
    </row>
    <row r="13" spans="1:27">
      <c r="M13" s="279"/>
      <c r="N13" s="279"/>
      <c r="O13" s="279"/>
      <c r="P13" s="279"/>
      <c r="Q13" s="279"/>
      <c r="R13" s="279"/>
    </row>
    <row r="14" spans="1:27">
      <c r="M14" s="155"/>
      <c r="N14" s="155"/>
      <c r="O14" s="156"/>
    </row>
    <row r="15" spans="1:27" customFormat="1">
      <c r="A15" t="s">
        <v>457</v>
      </c>
      <c r="B15" t="s">
        <v>104</v>
      </c>
      <c r="C15" s="296" t="s">
        <v>105</v>
      </c>
      <c r="D15" s="296" t="s">
        <v>456</v>
      </c>
      <c r="E15" s="14" t="s">
        <v>343</v>
      </c>
      <c r="F15" s="14" t="s">
        <v>345</v>
      </c>
      <c r="G15" s="14" t="s">
        <v>346</v>
      </c>
      <c r="H15" s="14" t="s">
        <v>347</v>
      </c>
      <c r="I15" s="14" t="s">
        <v>348</v>
      </c>
      <c r="J15" s="14" t="s">
        <v>349</v>
      </c>
      <c r="K15" s="14" t="s">
        <v>350</v>
      </c>
      <c r="L15" s="14" t="s">
        <v>351</v>
      </c>
      <c r="M15" s="14" t="s">
        <v>352</v>
      </c>
      <c r="N15" s="14" t="s">
        <v>354</v>
      </c>
      <c r="O15" s="298" t="s">
        <v>355</v>
      </c>
      <c r="P15" s="118"/>
      <c r="Q15" s="298"/>
      <c r="R15" s="298"/>
      <c r="S15" s="107"/>
    </row>
    <row r="16" spans="1:27">
      <c r="A16" t="s">
        <v>557</v>
      </c>
      <c r="B16" s="15" t="s">
        <v>104</v>
      </c>
      <c r="C16" s="15" t="str">
        <f>HYPERLINK("01-组织级\02-组织工作库\06-度量\原因分析和解决方案报告(QCUBIC-SPI-CAR_Data quality analysis)V1.0-engl.xlsx",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c r="A17" t="s">
        <v>557</v>
      </c>
      <c r="B17" s="15" t="s">
        <v>104</v>
      </c>
      <c r="C17" s="15" t="str">
        <f>HYPERLINK("01-组织级\01-组织财富库\01-标准过程文件库\03-支持类\07-原因分析和解决过程\原因分析和解决过程(QCUBIC-SPI-CAR_Pro)V1.2-engl.docx", "engl")</f>
        <v>engl</v>
      </c>
      <c r="D17"/>
      <c r="E17" t="s">
        <v>440</v>
      </c>
      <c r="F17" t="s">
        <v>440</v>
      </c>
      <c r="G17" t="s">
        <v>440</v>
      </c>
      <c r="H17" t="s">
        <v>440</v>
      </c>
      <c r="I17" t="s">
        <v>440</v>
      </c>
      <c r="J17" t="s">
        <v>440</v>
      </c>
      <c r="K17" t="s">
        <v>440</v>
      </c>
      <c r="L17" t="s">
        <v>440</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9" customWidth="1"/>
    <col min="2" max="4" width="7.88671875" style="119" customWidth="1"/>
    <col min="5" max="6" width="15.6640625" style="119" customWidth="1"/>
    <col min="7" max="12" width="15.6640625" style="137" customWidth="1"/>
    <col min="13" max="13" width="81.6640625" style="137" bestFit="1" customWidth="1"/>
    <col min="14" max="14" width="3.6640625" style="137" customWidth="1"/>
    <col min="15" max="15" width="35.109375" style="137" bestFit="1" customWidth="1"/>
    <col min="16" max="16" width="78.44140625" style="119" customWidth="1"/>
    <col min="17" max="17" width="25.33203125" style="119" customWidth="1"/>
    <col min="18" max="16384" width="8.6640625" style="119"/>
  </cols>
  <sheetData>
    <row r="1" spans="1:27" s="138" customFormat="1" ht="18">
      <c r="A1" s="106" t="s">
        <v>1331</v>
      </c>
      <c r="B1" s="106"/>
      <c r="C1" s="106"/>
      <c r="D1" s="106"/>
      <c r="E1" s="107"/>
      <c r="F1" s="108"/>
      <c r="G1" s="137"/>
      <c r="H1" s="137"/>
      <c r="I1" s="137"/>
      <c r="J1" s="137"/>
      <c r="K1" s="137"/>
      <c r="L1" s="137"/>
      <c r="M1" s="137"/>
      <c r="N1" s="137"/>
      <c r="O1" s="137"/>
    </row>
    <row r="2" spans="1:27" s="139" customFormat="1">
      <c r="A2" s="111" t="s">
        <v>1276</v>
      </c>
      <c r="B2" s="111"/>
      <c r="C2" s="111"/>
      <c r="D2" s="111"/>
      <c r="E2" s="108" t="s">
        <v>1332</v>
      </c>
      <c r="F2" s="108"/>
      <c r="G2" s="137"/>
      <c r="H2" s="137"/>
      <c r="I2" s="137"/>
      <c r="J2" s="137"/>
      <c r="K2" s="137"/>
      <c r="L2" s="137"/>
      <c r="M2" s="137"/>
      <c r="N2" s="137"/>
      <c r="O2" s="137"/>
    </row>
    <row r="3" spans="1:27" s="140" customFormat="1">
      <c r="A3" s="108" t="s">
        <v>1278</v>
      </c>
      <c r="B3" s="108"/>
      <c r="C3" s="108"/>
      <c r="D3" s="108"/>
      <c r="E3" s="108" t="s">
        <v>1333</v>
      </c>
      <c r="F3" s="108"/>
      <c r="G3" s="137"/>
      <c r="H3" s="137"/>
      <c r="I3" s="137"/>
      <c r="J3" s="137"/>
      <c r="K3" s="137"/>
      <c r="L3" s="137"/>
      <c r="M3" s="137"/>
      <c r="N3" s="137"/>
      <c r="O3" s="137"/>
    </row>
    <row r="4" spans="1:27" s="139" customFormat="1" ht="14.4">
      <c r="A4" s="112"/>
      <c r="B4" s="112"/>
      <c r="C4" s="112"/>
      <c r="D4" s="112"/>
      <c r="E4" s="113" t="s">
        <v>47</v>
      </c>
      <c r="F4" s="150"/>
      <c r="G4" s="114" t="s">
        <v>54</v>
      </c>
      <c r="H4" s="115"/>
      <c r="I4" s="114"/>
      <c r="J4" s="116"/>
      <c r="K4" s="116"/>
      <c r="L4" s="280" t="s">
        <v>56</v>
      </c>
      <c r="M4" s="108"/>
      <c r="N4" s="108"/>
      <c r="O4" s="108"/>
      <c r="P4" s="118"/>
      <c r="Q4" s="118"/>
    </row>
    <row r="5" spans="1:27" s="131" customFormat="1" ht="14.4">
      <c r="A5" s="119"/>
      <c r="B5" s="119"/>
      <c r="C5" s="119"/>
      <c r="D5" s="119"/>
      <c r="E5" s="120" t="s">
        <v>560</v>
      </c>
      <c r="F5" s="150"/>
      <c r="G5" s="121" t="s">
        <v>561</v>
      </c>
      <c r="H5" s="115"/>
      <c r="I5" s="121"/>
      <c r="J5" s="116"/>
      <c r="K5" s="116"/>
      <c r="L5" s="280" t="s">
        <v>562</v>
      </c>
      <c r="M5" s="108"/>
      <c r="N5" s="108"/>
      <c r="O5" s="108"/>
      <c r="P5" s="119"/>
      <c r="Q5" s="118"/>
    </row>
    <row r="6" spans="1:27" s="131" customFormat="1">
      <c r="A6" s="123"/>
      <c r="B6" s="123"/>
      <c r="C6" s="123"/>
      <c r="D6" s="123"/>
      <c r="E6" s="3" t="s">
        <v>367</v>
      </c>
      <c r="F6" s="3" t="s">
        <v>368</v>
      </c>
      <c r="G6" s="91" t="s">
        <v>369</v>
      </c>
      <c r="H6" s="91" t="s">
        <v>370</v>
      </c>
      <c r="I6" s="91" t="s">
        <v>371</v>
      </c>
      <c r="J6" s="91" t="s">
        <v>372</v>
      </c>
      <c r="K6" s="91" t="s">
        <v>373</v>
      </c>
      <c r="L6" s="92" t="s">
        <v>374</v>
      </c>
      <c r="M6" s="94"/>
      <c r="N6" s="94"/>
      <c r="O6" s="94"/>
      <c r="P6" s="137"/>
    </row>
    <row r="7" spans="1:27" s="131" customFormat="1" ht="96.6">
      <c r="A7" s="125" t="s">
        <v>563</v>
      </c>
      <c r="B7" s="125"/>
      <c r="C7" s="125"/>
      <c r="D7" s="125"/>
      <c r="E7" s="98" t="s">
        <v>1334</v>
      </c>
      <c r="F7" s="98" t="s">
        <v>1335</v>
      </c>
      <c r="G7" s="98" t="s">
        <v>1336</v>
      </c>
      <c r="H7" s="98" t="s">
        <v>1337</v>
      </c>
      <c r="I7" s="98" t="s">
        <v>1338</v>
      </c>
      <c r="J7" s="98" t="s">
        <v>1339</v>
      </c>
      <c r="K7" s="98" t="s">
        <v>1340</v>
      </c>
      <c r="L7" s="98" t="s">
        <v>1341</v>
      </c>
      <c r="M7" s="94"/>
      <c r="N7" s="94"/>
      <c r="O7" s="94"/>
    </row>
    <row r="8" spans="1:27" s="131" customFormat="1" ht="109.35" customHeight="1">
      <c r="A8" s="123" t="s">
        <v>574</v>
      </c>
      <c r="B8" s="123"/>
      <c r="C8" s="123"/>
      <c r="D8" s="123"/>
      <c r="E8" s="126" t="s">
        <v>1342</v>
      </c>
      <c r="F8" s="126" t="s">
        <v>1343</v>
      </c>
      <c r="G8" s="99" t="s">
        <v>1344</v>
      </c>
      <c r="H8" s="99" t="s">
        <v>1345</v>
      </c>
      <c r="I8" s="99" t="s">
        <v>1346</v>
      </c>
      <c r="J8" s="126" t="s">
        <v>1347</v>
      </c>
      <c r="K8" s="126" t="s">
        <v>1348</v>
      </c>
      <c r="L8" s="99" t="s">
        <v>1349</v>
      </c>
      <c r="M8" s="100"/>
      <c r="N8" s="100"/>
      <c r="O8" s="100"/>
    </row>
    <row r="9" spans="1:27" s="131" customFormat="1" ht="152.4" customHeight="1">
      <c r="A9" s="123" t="s">
        <v>96</v>
      </c>
      <c r="B9" s="123"/>
      <c r="C9" s="123"/>
      <c r="D9" s="123"/>
      <c r="E9" s="99" t="s">
        <v>1350</v>
      </c>
      <c r="F9" s="126" t="s">
        <v>1351</v>
      </c>
      <c r="G9" s="99" t="s">
        <v>1352</v>
      </c>
      <c r="H9" s="126" t="s">
        <v>1353</v>
      </c>
      <c r="I9" s="99" t="s">
        <v>1354</v>
      </c>
      <c r="J9" s="99" t="s">
        <v>1355</v>
      </c>
      <c r="K9" s="99" t="s">
        <v>1356</v>
      </c>
      <c r="L9" s="126" t="s">
        <v>1357</v>
      </c>
      <c r="M9" s="128"/>
      <c r="N9" s="128"/>
      <c r="O9" s="128"/>
    </row>
    <row r="10" spans="1:27" s="131" customFormat="1" ht="150" customHeight="1">
      <c r="A10" s="123" t="s">
        <v>595</v>
      </c>
      <c r="B10" s="123"/>
      <c r="C10" s="123"/>
      <c r="D10" s="123"/>
      <c r="E10" s="103" t="s">
        <v>1358</v>
      </c>
      <c r="F10" s="103" t="s">
        <v>1359</v>
      </c>
      <c r="G10" s="103" t="s">
        <v>1360</v>
      </c>
      <c r="H10" s="103" t="s">
        <v>1361</v>
      </c>
      <c r="I10" s="103" t="s">
        <v>1362</v>
      </c>
      <c r="J10" s="103" t="s">
        <v>1363</v>
      </c>
      <c r="K10" s="103" t="s">
        <v>1364</v>
      </c>
      <c r="L10" s="103" t="s">
        <v>1365</v>
      </c>
      <c r="M10" s="153"/>
      <c r="N10" s="153"/>
      <c r="O10" s="153"/>
    </row>
    <row r="11" spans="1:27" s="131" customFormat="1" ht="74.400000000000006" customHeight="1">
      <c r="A11" s="136" t="s">
        <v>85</v>
      </c>
      <c r="B11" s="136"/>
      <c r="C11" s="136"/>
      <c r="D11" s="136"/>
      <c r="E11" s="103" t="s">
        <v>1366</v>
      </c>
      <c r="F11" s="103" t="s">
        <v>1367</v>
      </c>
      <c r="G11" s="103" t="s">
        <v>1368</v>
      </c>
      <c r="H11" s="103" t="s">
        <v>1369</v>
      </c>
      <c r="I11" s="103" t="s">
        <v>1370</v>
      </c>
      <c r="J11" s="103" t="s">
        <v>1371</v>
      </c>
      <c r="K11" s="103" t="s">
        <v>1372</v>
      </c>
      <c r="L11" s="103" t="s">
        <v>1373</v>
      </c>
      <c r="M11" s="153"/>
      <c r="N11" s="153"/>
      <c r="O11" s="153"/>
    </row>
    <row r="12" spans="1:27" s="131" customFormat="1"/>
    <row r="13" spans="1:27" s="131" customFormat="1"/>
    <row r="14" spans="1:27" s="131" customFormat="1"/>
    <row r="15" spans="1:27" customFormat="1" ht="14.4">
      <c r="A15" t="s">
        <v>457</v>
      </c>
      <c r="B15" t="s">
        <v>104</v>
      </c>
      <c r="C15" t="s">
        <v>105</v>
      </c>
      <c r="D15" s="296" t="s">
        <v>456</v>
      </c>
      <c r="E15" s="14" t="s">
        <v>367</v>
      </c>
      <c r="F15" s="14" t="s">
        <v>368</v>
      </c>
      <c r="G15" s="14" t="s">
        <v>369</v>
      </c>
      <c r="H15" s="14" t="s">
        <v>370</v>
      </c>
      <c r="I15" s="14" t="s">
        <v>371</v>
      </c>
      <c r="J15" s="14" t="s">
        <v>372</v>
      </c>
      <c r="K15" s="14" t="s">
        <v>373</v>
      </c>
      <c r="L15" s="14" t="s">
        <v>374</v>
      </c>
    </row>
    <row r="16" spans="1:27" ht="14.4">
      <c r="A16" t="s">
        <v>557</v>
      </c>
      <c r="B16" s="15" t="s">
        <v>104</v>
      </c>
      <c r="C16" s="15" t="str">
        <f>HYPERLINK("01-组织级\02-组织工作库\02-EPG活动库\08-决策分析\01-决策分析报告（QCUBIC-SPI-dar-evaluaterpt)V1.0-engl.xlsx",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ht="14.4">
      <c r="A17" t="s">
        <v>557</v>
      </c>
      <c r="B17" s="15" t="s">
        <v>104</v>
      </c>
      <c r="C17" s="15" t="str">
        <f>HYPERLINK("01-组织级\01-组织财富库\01-标准过程文件库\03-支持类\04-决策分析\决策分析和解决方案(QCUBIC-SPI-OPAL-Tem-Proc)V1.2-engl.docx", "engl")</f>
        <v>engl</v>
      </c>
      <c r="D17"/>
      <c r="E17"/>
      <c r="F17"/>
      <c r="G17" t="s">
        <v>440</v>
      </c>
      <c r="H17" t="s">
        <v>440</v>
      </c>
      <c r="I17"/>
      <c r="J17"/>
      <c r="K17"/>
      <c r="L17" t="s">
        <v>440</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10" customWidth="1"/>
    <col min="2" max="4" width="7.88671875" style="110" customWidth="1"/>
    <col min="5" max="11" width="20.6640625" style="110" customWidth="1"/>
    <col min="12" max="12" width="66.109375" style="110" customWidth="1"/>
    <col min="13" max="13" width="3.6640625" style="110" customWidth="1"/>
    <col min="14" max="14" width="54.5546875" style="110" bestFit="1" customWidth="1"/>
    <col min="15" max="15" width="57.33203125" style="110" customWidth="1"/>
    <col min="16" max="16384" width="8.88671875" style="110"/>
  </cols>
  <sheetData>
    <row r="1" spans="1:27" ht="18">
      <c r="A1" s="106" t="s">
        <v>1374</v>
      </c>
      <c r="B1" s="106"/>
      <c r="C1" s="106"/>
      <c r="D1" s="106"/>
      <c r="E1" s="107"/>
      <c r="F1" s="108"/>
      <c r="G1" s="109"/>
    </row>
    <row r="2" spans="1:27">
      <c r="A2" s="111" t="s">
        <v>461</v>
      </c>
      <c r="B2" s="111"/>
      <c r="C2" s="111"/>
      <c r="D2" s="111"/>
      <c r="E2" s="108" t="s">
        <v>446</v>
      </c>
      <c r="F2" s="108"/>
      <c r="G2" s="109"/>
    </row>
    <row r="3" spans="1:27">
      <c r="A3" s="108" t="s">
        <v>462</v>
      </c>
      <c r="B3" s="108"/>
      <c r="C3" s="108"/>
      <c r="D3" s="108"/>
      <c r="E3" s="108" t="s">
        <v>460</v>
      </c>
      <c r="F3" s="108"/>
      <c r="G3" s="109"/>
    </row>
    <row r="4" spans="1:27">
      <c r="A4" s="112"/>
      <c r="B4" s="112"/>
      <c r="C4" s="112"/>
      <c r="D4" s="112"/>
      <c r="E4" s="113" t="s">
        <v>47</v>
      </c>
      <c r="F4" s="114" t="s">
        <v>54</v>
      </c>
      <c r="G4" s="114"/>
      <c r="H4" s="115"/>
      <c r="I4" s="114"/>
      <c r="J4" s="116"/>
      <c r="K4" s="116"/>
      <c r="L4" s="111"/>
      <c r="M4" s="111"/>
      <c r="N4" s="111"/>
    </row>
    <row r="5" spans="1:27">
      <c r="A5" s="119"/>
      <c r="B5" s="119"/>
      <c r="C5" s="119"/>
      <c r="D5" s="119"/>
      <c r="E5" s="120" t="s">
        <v>560</v>
      </c>
      <c r="F5" s="121" t="s">
        <v>561</v>
      </c>
      <c r="G5" s="121"/>
      <c r="H5" s="115"/>
      <c r="I5" s="121"/>
      <c r="J5" s="116"/>
      <c r="K5" s="116"/>
      <c r="L5" s="111"/>
      <c r="M5" s="111"/>
      <c r="N5" s="111"/>
    </row>
    <row r="6" spans="1:27">
      <c r="A6" s="136"/>
      <c r="B6" s="136"/>
      <c r="C6" s="136"/>
      <c r="D6" s="136"/>
      <c r="E6" s="3" t="s">
        <v>357</v>
      </c>
      <c r="F6" s="91" t="s">
        <v>359</v>
      </c>
      <c r="G6" s="91" t="s">
        <v>361</v>
      </c>
      <c r="H6" s="91" t="s">
        <v>362</v>
      </c>
      <c r="I6" s="91" t="s">
        <v>363</v>
      </c>
      <c r="J6" s="91" t="s">
        <v>364</v>
      </c>
      <c r="K6" s="200" t="s">
        <v>365</v>
      </c>
      <c r="L6" s="94"/>
      <c r="M6" s="94"/>
      <c r="N6" s="94"/>
    </row>
    <row r="7" spans="1:27" ht="96.6">
      <c r="A7" s="125" t="s">
        <v>664</v>
      </c>
      <c r="B7" s="125"/>
      <c r="C7" s="125"/>
      <c r="D7" s="125"/>
      <c r="E7" s="98" t="s">
        <v>1375</v>
      </c>
      <c r="F7" s="98" t="s">
        <v>1376</v>
      </c>
      <c r="G7" s="98" t="s">
        <v>1377</v>
      </c>
      <c r="H7" s="98" t="s">
        <v>1378</v>
      </c>
      <c r="I7" s="98" t="s">
        <v>1379</v>
      </c>
      <c r="J7" s="98" t="s">
        <v>1380</v>
      </c>
      <c r="K7" s="98" t="s">
        <v>1381</v>
      </c>
      <c r="L7" s="94"/>
      <c r="M7" s="94"/>
      <c r="N7" s="94"/>
    </row>
    <row r="8" spans="1:27" ht="108">
      <c r="A8" s="136" t="s">
        <v>574</v>
      </c>
      <c r="B8" s="136"/>
      <c r="C8" s="136"/>
      <c r="D8" s="136"/>
      <c r="E8" s="99" t="s">
        <v>1382</v>
      </c>
      <c r="F8" s="99" t="s">
        <v>1383</v>
      </c>
      <c r="G8" s="99" t="s">
        <v>1384</v>
      </c>
      <c r="H8" s="99" t="s">
        <v>1385</v>
      </c>
      <c r="I8" s="99" t="s">
        <v>1386</v>
      </c>
      <c r="J8" s="99" t="s">
        <v>1387</v>
      </c>
      <c r="K8" s="99" t="s">
        <v>1388</v>
      </c>
      <c r="L8" s="100"/>
      <c r="M8" s="100"/>
      <c r="N8" s="100"/>
    </row>
    <row r="9" spans="1:27" ht="180">
      <c r="A9" s="136" t="s">
        <v>96</v>
      </c>
      <c r="B9" s="136"/>
      <c r="C9" s="136"/>
      <c r="D9" s="136"/>
      <c r="E9" s="99" t="s">
        <v>1389</v>
      </c>
      <c r="F9" s="99" t="s">
        <v>1390</v>
      </c>
      <c r="G9" s="99" t="s">
        <v>1391</v>
      </c>
      <c r="H9" s="99" t="s">
        <v>1392</v>
      </c>
      <c r="I9" s="99" t="s">
        <v>1393</v>
      </c>
      <c r="J9" s="99" t="s">
        <v>1394</v>
      </c>
      <c r="K9" s="99" t="s">
        <v>1395</v>
      </c>
      <c r="L9" s="100"/>
      <c r="M9" s="100"/>
      <c r="N9" s="100"/>
    </row>
    <row r="10" spans="1:27" ht="156">
      <c r="A10" s="123" t="s">
        <v>595</v>
      </c>
      <c r="B10" s="123"/>
      <c r="C10" s="123"/>
      <c r="D10" s="123"/>
      <c r="E10" s="99" t="s">
        <v>1396</v>
      </c>
      <c r="F10" s="99" t="s">
        <v>1397</v>
      </c>
      <c r="G10" s="99" t="s">
        <v>1398</v>
      </c>
      <c r="H10" s="99" t="s">
        <v>1399</v>
      </c>
      <c r="I10" s="99" t="s">
        <v>1400</v>
      </c>
      <c r="J10" s="99" t="s">
        <v>1401</v>
      </c>
      <c r="K10" s="99" t="s">
        <v>1402</v>
      </c>
      <c r="L10" s="100"/>
      <c r="M10" s="100"/>
      <c r="N10" s="100"/>
    </row>
    <row r="11" spans="1:27" ht="68.400000000000006">
      <c r="A11" s="162" t="s">
        <v>85</v>
      </c>
      <c r="B11" s="162"/>
      <c r="C11" s="162"/>
      <c r="D11" s="162"/>
      <c r="E11" s="99"/>
      <c r="F11" s="281" t="s">
        <v>1403</v>
      </c>
      <c r="G11" s="282" t="s">
        <v>1404</v>
      </c>
      <c r="H11" s="281" t="s">
        <v>1405</v>
      </c>
      <c r="I11" s="283" t="s">
        <v>1406</v>
      </c>
      <c r="J11" s="283" t="s">
        <v>1407</v>
      </c>
      <c r="K11" s="281" t="s">
        <v>1408</v>
      </c>
      <c r="L11" s="284"/>
      <c r="M11" s="284"/>
      <c r="N11" s="284"/>
    </row>
    <row r="12" spans="1:27" s="118" customFormat="1">
      <c r="A12" s="110"/>
      <c r="B12" s="110"/>
      <c r="C12" s="110"/>
      <c r="D12" s="110"/>
      <c r="E12" s="110"/>
      <c r="F12" s="110"/>
      <c r="G12" s="110"/>
      <c r="H12" s="110"/>
      <c r="I12" s="110"/>
      <c r="J12" s="110"/>
      <c r="K12" s="110"/>
      <c r="L12" s="110"/>
      <c r="M12" s="110"/>
      <c r="N12" s="110"/>
    </row>
    <row r="13" spans="1:27" s="118" customFormat="1" ht="14.4" customHeight="1">
      <c r="A13" s="110"/>
      <c r="B13" s="110"/>
      <c r="C13" s="110"/>
      <c r="D13" s="110"/>
      <c r="E13" s="110"/>
      <c r="F13" s="110"/>
      <c r="G13" s="110"/>
      <c r="H13" s="110"/>
      <c r="I13" s="110"/>
      <c r="J13" s="110"/>
      <c r="K13" s="110"/>
      <c r="L13" s="110"/>
      <c r="M13" s="110"/>
      <c r="N13" s="110"/>
    </row>
    <row r="14" spans="1:27" s="118" customFormat="1" ht="14.4" customHeight="1">
      <c r="A14" s="110"/>
      <c r="B14" s="110"/>
      <c r="C14" s="110"/>
      <c r="D14" s="110"/>
      <c r="E14" s="110"/>
      <c r="F14" s="110"/>
      <c r="G14" s="110"/>
      <c r="H14" s="110"/>
      <c r="I14" s="110"/>
      <c r="J14" s="110"/>
      <c r="K14" s="110"/>
      <c r="L14" s="110"/>
      <c r="M14" s="110"/>
      <c r="N14" s="110"/>
    </row>
    <row r="15" spans="1:27" customFormat="1">
      <c r="A15" t="s">
        <v>457</v>
      </c>
      <c r="B15" t="s">
        <v>104</v>
      </c>
      <c r="C15" t="s">
        <v>105</v>
      </c>
      <c r="D15" s="296" t="s">
        <v>456</v>
      </c>
      <c r="E15" t="s">
        <v>357</v>
      </c>
      <c r="F15" t="s">
        <v>359</v>
      </c>
      <c r="G15" t="s">
        <v>361</v>
      </c>
      <c r="H15" t="s">
        <v>362</v>
      </c>
      <c r="I15" t="s">
        <v>363</v>
      </c>
      <c r="J15" t="s">
        <v>364</v>
      </c>
      <c r="K15" t="s">
        <v>365</v>
      </c>
    </row>
    <row r="16" spans="1:27" s="118" customFormat="1" ht="14.4" customHeight="1">
      <c r="A16" t="s">
        <v>557</v>
      </c>
      <c r="B16" s="15" t="s">
        <v>104</v>
      </c>
      <c r="C16" s="15" t="str">
        <f>HYPERLINK("01-组织级\02-组织工作库\04-CM活动库\组织级配置管理计划(QCUBIC-SPI-CM-OCMPlan)V1.2-engl.xlsx", "engl")</f>
        <v>engl</v>
      </c>
      <c r="D16"/>
      <c r="E16" t="s">
        <v>440</v>
      </c>
      <c r="F16" t="s">
        <v>440</v>
      </c>
      <c r="G16" t="s">
        <v>440</v>
      </c>
      <c r="H16"/>
      <c r="I16" t="s">
        <v>440</v>
      </c>
      <c r="J16" t="s">
        <v>440</v>
      </c>
      <c r="K16"/>
      <c r="L16"/>
      <c r="M16"/>
      <c r="N16"/>
      <c r="O16"/>
      <c r="P16"/>
      <c r="Q16"/>
      <c r="R16"/>
      <c r="S16"/>
      <c r="T16"/>
      <c r="U16"/>
      <c r="V16"/>
      <c r="W16"/>
      <c r="X16"/>
      <c r="Y16"/>
      <c r="Z16"/>
      <c r="AA16"/>
    </row>
    <row r="17" spans="1:27" s="118" customFormat="1" ht="14.4" customHeight="1">
      <c r="A17" t="s">
        <v>557</v>
      </c>
      <c r="B17" s="15" t="s">
        <v>104</v>
      </c>
      <c r="C17" s="15" t="str">
        <f>HYPERLINK("01-组织级\02-组织工作库\04-CM活动库\组织配置库内容列表(ORG_-CM-TEM-PALList)V1.2-engl.xlsx", "engl")</f>
        <v>engl</v>
      </c>
      <c r="D17"/>
      <c r="E17" t="s">
        <v>440</v>
      </c>
      <c r="F17"/>
      <c r="G17"/>
      <c r="H17"/>
      <c r="I17"/>
      <c r="J17" t="s">
        <v>440</v>
      </c>
      <c r="K17"/>
      <c r="L17"/>
      <c r="M17"/>
      <c r="N17"/>
      <c r="O17"/>
      <c r="P17"/>
      <c r="Q17"/>
      <c r="R17"/>
      <c r="S17"/>
      <c r="T17"/>
      <c r="U17"/>
      <c r="V17"/>
      <c r="W17"/>
      <c r="X17"/>
      <c r="Y17"/>
      <c r="Z17"/>
      <c r="AA17"/>
    </row>
    <row r="18" spans="1:27" s="118" customFormat="1" ht="14.4" customHeight="1">
      <c r="A18" t="s">
        <v>557</v>
      </c>
      <c r="B18" s="15" t="s">
        <v>104</v>
      </c>
      <c r="C18" s="15" t="str">
        <f>HYPERLINK("01-组织级\01-组织财富库\01-标准过程文件库\03-支持类\02-配置管理\配置管理过程文件(QCUBIC-SPI-CM-Proc-Doc)V1.2-engl.docx", "engl")</f>
        <v>engl</v>
      </c>
      <c r="D18"/>
      <c r="E18"/>
      <c r="F18"/>
      <c r="G18" t="s">
        <v>440</v>
      </c>
      <c r="H18"/>
      <c r="I18" t="s">
        <v>440</v>
      </c>
      <c r="J18"/>
      <c r="K18"/>
      <c r="L18"/>
      <c r="M18"/>
      <c r="N18"/>
      <c r="O18"/>
      <c r="P18"/>
      <c r="Q18"/>
      <c r="R18"/>
      <c r="S18"/>
      <c r="T18"/>
      <c r="U18"/>
      <c r="V18"/>
      <c r="W18"/>
      <c r="X18"/>
      <c r="Y18"/>
      <c r="Z18"/>
      <c r="AA18"/>
    </row>
    <row r="19" spans="1:27" s="118" customFormat="1" ht="14.4" customHeight="1">
      <c r="A19" t="s">
        <v>557</v>
      </c>
      <c r="B19" s="15" t="s">
        <v>104</v>
      </c>
      <c r="C19" s="15" t="str">
        <f>HYPERLINK("01-组织级\02-组织工作库\04-CM活动库\基线发布报告 (QCUBIC-spi-cm-release)V1.1-engl.xlsx",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HYPERLINK("01-组织级\02-组织工作库\04-CM活动库\组织级配置审计报告(QCUBIC-SPI-CM-Organization-level configuration audit report)V1.3-engl.xlsx", "engl")</f>
        <v>engl</v>
      </c>
      <c r="D20"/>
      <c r="E20"/>
      <c r="F20"/>
      <c r="G20"/>
      <c r="H20"/>
      <c r="I20"/>
      <c r="J20"/>
      <c r="K20" t="s">
        <v>440</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10" customWidth="1"/>
    <col min="2" max="4" width="7.88671875" style="110" customWidth="1"/>
    <col min="5" max="5" width="20.6640625" style="110" customWidth="1"/>
    <col min="6" max="6" width="20.6640625" style="287" customWidth="1"/>
    <col min="7" max="10" width="20.6640625" style="110" customWidth="1"/>
    <col min="11" max="11" width="50.6640625" style="110" customWidth="1"/>
    <col min="12" max="12" width="3.6640625" style="110" customWidth="1"/>
    <col min="13" max="13" width="32.33203125" style="110" bestFit="1" customWidth="1"/>
    <col min="14" max="14" width="60.88671875" style="110" customWidth="1"/>
    <col min="15" max="16384" width="8.88671875" style="110"/>
  </cols>
  <sheetData>
    <row r="1" spans="1:27" ht="18">
      <c r="A1" s="106" t="s">
        <v>1409</v>
      </c>
      <c r="B1" s="106"/>
      <c r="C1" s="106"/>
      <c r="D1" s="106"/>
      <c r="E1" s="107"/>
      <c r="F1" s="111"/>
      <c r="G1" s="109"/>
      <c r="H1" s="109"/>
      <c r="I1" s="109"/>
      <c r="J1" s="109"/>
      <c r="K1" s="109"/>
      <c r="L1" s="109"/>
      <c r="M1" s="109"/>
    </row>
    <row r="2" spans="1:27">
      <c r="A2" s="111" t="s">
        <v>1276</v>
      </c>
      <c r="B2" s="111"/>
      <c r="C2" s="111"/>
      <c r="D2" s="111"/>
      <c r="E2" s="108" t="s">
        <v>1410</v>
      </c>
      <c r="F2" s="111"/>
      <c r="G2" s="109"/>
      <c r="H2" s="109"/>
      <c r="I2" s="109"/>
      <c r="J2" s="109"/>
      <c r="K2" s="109"/>
      <c r="L2" s="109"/>
      <c r="M2" s="109"/>
    </row>
    <row r="3" spans="1:27">
      <c r="A3" s="108" t="s">
        <v>1278</v>
      </c>
      <c r="B3" s="108"/>
      <c r="C3" s="108"/>
      <c r="D3" s="108"/>
      <c r="E3" s="108" t="s">
        <v>1411</v>
      </c>
      <c r="F3" s="111"/>
      <c r="G3" s="109"/>
      <c r="H3" s="109"/>
      <c r="I3" s="109"/>
      <c r="J3" s="109"/>
      <c r="K3" s="109"/>
      <c r="L3" s="109"/>
      <c r="M3" s="109"/>
    </row>
    <row r="4" spans="1:27">
      <c r="A4" s="112"/>
      <c r="B4" s="112"/>
      <c r="C4" s="112"/>
      <c r="D4" s="112"/>
      <c r="E4" s="113" t="s">
        <v>47</v>
      </c>
      <c r="F4" s="114" t="s">
        <v>54</v>
      </c>
      <c r="G4" s="114"/>
      <c r="H4" s="117" t="s">
        <v>56</v>
      </c>
      <c r="I4" s="117"/>
      <c r="J4" s="151"/>
      <c r="K4" s="111"/>
      <c r="L4" s="111"/>
      <c r="M4" s="111"/>
      <c r="N4" s="108"/>
      <c r="O4" s="111"/>
      <c r="P4" s="118"/>
      <c r="Q4" s="118"/>
    </row>
    <row r="5" spans="1:27">
      <c r="A5" s="119"/>
      <c r="B5" s="119"/>
      <c r="C5" s="119"/>
      <c r="D5" s="119"/>
      <c r="E5" s="120" t="s">
        <v>560</v>
      </c>
      <c r="F5" s="121" t="s">
        <v>561</v>
      </c>
      <c r="G5" s="121"/>
      <c r="H5" s="117" t="s">
        <v>562</v>
      </c>
      <c r="I5" s="170"/>
      <c r="J5" s="151"/>
      <c r="K5" s="111"/>
      <c r="L5" s="111"/>
      <c r="M5" s="111"/>
      <c r="N5" s="108"/>
      <c r="O5" s="111"/>
      <c r="P5" s="119"/>
      <c r="Q5" s="118"/>
    </row>
    <row r="6" spans="1:27">
      <c r="A6" s="285"/>
      <c r="B6" s="285"/>
      <c r="C6" s="285"/>
      <c r="D6" s="285"/>
      <c r="E6" s="3" t="s">
        <v>376</v>
      </c>
      <c r="F6" s="91" t="s">
        <v>378</v>
      </c>
      <c r="G6" s="91" t="s">
        <v>380</v>
      </c>
      <c r="H6" s="92" t="s">
        <v>381</v>
      </c>
      <c r="I6" s="92" t="s">
        <v>382</v>
      </c>
      <c r="J6" s="93" t="s">
        <v>384</v>
      </c>
      <c r="K6" s="94"/>
      <c r="L6" s="94"/>
      <c r="M6" s="94"/>
    </row>
    <row r="7" spans="1:27" ht="69">
      <c r="A7" s="286" t="s">
        <v>664</v>
      </c>
      <c r="B7" s="286"/>
      <c r="C7" s="286"/>
      <c r="D7" s="286"/>
      <c r="E7" s="98" t="s">
        <v>1412</v>
      </c>
      <c r="F7" s="98" t="s">
        <v>1413</v>
      </c>
      <c r="G7" s="98" t="s">
        <v>1414</v>
      </c>
      <c r="H7" s="98" t="s">
        <v>1415</v>
      </c>
      <c r="I7" s="98" t="s">
        <v>1416</v>
      </c>
      <c r="J7" s="98" t="s">
        <v>1417</v>
      </c>
      <c r="K7" s="94"/>
      <c r="L7" s="94"/>
      <c r="M7" s="94"/>
    </row>
    <row r="8" spans="1:27" ht="60">
      <c r="A8" s="285" t="s">
        <v>574</v>
      </c>
      <c r="B8" s="285"/>
      <c r="C8" s="285"/>
      <c r="D8" s="285"/>
      <c r="E8" s="126" t="s">
        <v>1418</v>
      </c>
      <c r="F8" s="99" t="s">
        <v>1419</v>
      </c>
      <c r="G8" s="99" t="s">
        <v>1420</v>
      </c>
      <c r="H8" s="99" t="s">
        <v>1421</v>
      </c>
      <c r="I8" s="99" t="s">
        <v>1422</v>
      </c>
      <c r="J8" s="99" t="s">
        <v>1423</v>
      </c>
      <c r="K8" s="100"/>
      <c r="L8" s="100"/>
      <c r="M8" s="100"/>
    </row>
    <row r="9" spans="1:27" ht="132">
      <c r="A9" s="285" t="s">
        <v>96</v>
      </c>
      <c r="B9" s="285"/>
      <c r="C9" s="285"/>
      <c r="D9" s="285"/>
      <c r="E9" s="126" t="s">
        <v>1424</v>
      </c>
      <c r="F9" s="99" t="s">
        <v>1425</v>
      </c>
      <c r="G9" s="99" t="s">
        <v>1426</v>
      </c>
      <c r="H9" s="99" t="s">
        <v>1427</v>
      </c>
      <c r="I9" s="99" t="s">
        <v>1428</v>
      </c>
      <c r="J9" s="99" t="s">
        <v>1429</v>
      </c>
      <c r="K9" s="100"/>
      <c r="L9" s="100"/>
      <c r="M9" s="100"/>
    </row>
    <row r="10" spans="1:27" ht="216">
      <c r="A10" s="123" t="s">
        <v>595</v>
      </c>
      <c r="B10" s="123"/>
      <c r="C10" s="123"/>
      <c r="D10" s="123"/>
      <c r="E10" s="99" t="s">
        <v>1430</v>
      </c>
      <c r="F10" s="99" t="s">
        <v>1431</v>
      </c>
      <c r="G10" s="99" t="s">
        <v>1432</v>
      </c>
      <c r="H10" s="99" t="s">
        <v>1433</v>
      </c>
      <c r="I10" s="99" t="s">
        <v>1434</v>
      </c>
      <c r="J10" s="99" t="s">
        <v>1435</v>
      </c>
      <c r="K10" s="100"/>
      <c r="L10" s="100"/>
      <c r="M10" s="100"/>
    </row>
    <row r="11" spans="1:27" ht="132">
      <c r="A11" s="288" t="s">
        <v>85</v>
      </c>
      <c r="B11" s="288"/>
      <c r="C11" s="288"/>
      <c r="D11" s="288"/>
      <c r="E11" s="99"/>
      <c r="F11" s="99" t="s">
        <v>1436</v>
      </c>
      <c r="G11" s="99" t="s">
        <v>1437</v>
      </c>
      <c r="H11" s="99" t="s">
        <v>1438</v>
      </c>
      <c r="I11" s="99" t="s">
        <v>1439</v>
      </c>
      <c r="J11" s="99" t="s">
        <v>1440</v>
      </c>
      <c r="K11" s="100"/>
      <c r="L11" s="100"/>
      <c r="M11" s="100"/>
    </row>
    <row r="12" spans="1:27" ht="36">
      <c r="F12" s="289" t="s">
        <v>1441</v>
      </c>
      <c r="G12" s="290"/>
      <c r="H12" s="289" t="s">
        <v>1442</v>
      </c>
      <c r="I12" s="290"/>
      <c r="J12" s="289" t="s">
        <v>1443</v>
      </c>
      <c r="K12" s="289"/>
      <c r="L12" s="289"/>
      <c r="M12" s="289"/>
    </row>
    <row r="13" spans="1:27" ht="36">
      <c r="F13" s="289" t="s">
        <v>1444</v>
      </c>
      <c r="G13" s="290"/>
      <c r="H13" s="290"/>
      <c r="I13" s="290"/>
      <c r="J13" s="290"/>
      <c r="K13" s="290"/>
      <c r="L13" s="290"/>
      <c r="M13" s="290"/>
    </row>
    <row r="15" spans="1:27" customFormat="1">
      <c r="A15" t="s">
        <v>457</v>
      </c>
      <c r="B15" t="s">
        <v>104</v>
      </c>
      <c r="C15" t="s">
        <v>105</v>
      </c>
      <c r="D15" s="296" t="s">
        <v>456</v>
      </c>
      <c r="E15" s="14" t="s">
        <v>376</v>
      </c>
      <c r="F15" s="14" t="s">
        <v>378</v>
      </c>
      <c r="G15" s="14" t="s">
        <v>380</v>
      </c>
      <c r="H15" s="14" t="s">
        <v>381</v>
      </c>
      <c r="I15" s="14" t="s">
        <v>382</v>
      </c>
      <c r="J15" s="14" t="s">
        <v>384</v>
      </c>
    </row>
    <row r="16" spans="1:27">
      <c r="A16" t="s">
        <v>557</v>
      </c>
      <c r="B16" s="15" t="s">
        <v>104</v>
      </c>
      <c r="C16"/>
      <c r="D16"/>
      <c r="E16" t="s">
        <v>440</v>
      </c>
      <c r="F16"/>
      <c r="G16" t="s">
        <v>440</v>
      </c>
      <c r="H16" t="s">
        <v>440</v>
      </c>
      <c r="I16"/>
      <c r="J16" t="s">
        <v>440</v>
      </c>
      <c r="K16"/>
      <c r="L16"/>
      <c r="M16"/>
      <c r="N16"/>
      <c r="O16"/>
      <c r="P16"/>
      <c r="Q16"/>
      <c r="R16"/>
      <c r="S16"/>
      <c r="T16"/>
      <c r="U16"/>
      <c r="V16"/>
      <c r="W16"/>
      <c r="X16"/>
      <c r="Y16"/>
      <c r="Z16"/>
      <c r="AA16"/>
    </row>
    <row r="17" spans="1:27">
      <c r="A17" t="s">
        <v>557</v>
      </c>
      <c r="B17" s="15" t="s">
        <v>104</v>
      </c>
      <c r="C17" s="15" t="str">
        <f>HYPERLINK("02-项目级\P3-主从数据库复制及性能提升项目\01-生存周期\03-项目策划\03-项目计划书 (QCUBIC-XNTS-PLAN-Plan)V1.1-engl.docx", "engl")</f>
        <v>engl</v>
      </c>
      <c r="D17"/>
      <c r="E17" t="s">
        <v>440</v>
      </c>
      <c r="F17" t="s">
        <v>440</v>
      </c>
      <c r="G17"/>
      <c r="H17"/>
      <c r="I17"/>
      <c r="J17"/>
      <c r="K17"/>
      <c r="L17"/>
      <c r="M17"/>
      <c r="N17"/>
      <c r="O17"/>
      <c r="P17"/>
      <c r="Q17"/>
      <c r="R17"/>
      <c r="S17"/>
      <c r="T17"/>
      <c r="U17"/>
      <c r="V17"/>
      <c r="W17"/>
      <c r="X17"/>
      <c r="Y17"/>
      <c r="Z17"/>
      <c r="AA17"/>
    </row>
    <row r="18" spans="1:27">
      <c r="A18" t="s">
        <v>557</v>
      </c>
      <c r="B18" s="15" t="s">
        <v>104</v>
      </c>
      <c r="C18" s="15" t="str">
        <f>HYPERLINK("02-项目级\P1-Qcubic数据库管理工具 V1.0\01-生存周期\03-项目策划\03-项目计划书 (QCUBIC-SJKGL-PLAN-Plan)V1.1-engl.docx", "engl")</f>
        <v>engl</v>
      </c>
      <c r="D18"/>
      <c r="E18" t="s">
        <v>440</v>
      </c>
      <c r="F18" t="s">
        <v>440</v>
      </c>
      <c r="G18"/>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V1.0\01-生存周期\03-项目策划\03-项目计划书 (QCUBIC-SJTB-PLAN-Plan)V1.0-engl.docx", "engl")</f>
        <v>engl</v>
      </c>
      <c r="D19"/>
      <c r="E19" t="s">
        <v>440</v>
      </c>
      <c r="F19" t="s">
        <v>440</v>
      </c>
      <c r="G19"/>
      <c r="H19"/>
      <c r="I19"/>
      <c r="J19"/>
      <c r="K19"/>
      <c r="L19"/>
      <c r="M19"/>
      <c r="N19"/>
      <c r="O19"/>
      <c r="P19"/>
      <c r="Q19"/>
      <c r="R19"/>
      <c r="S19"/>
      <c r="T19"/>
      <c r="U19"/>
      <c r="V19"/>
      <c r="W19"/>
      <c r="X19"/>
      <c r="Y19"/>
      <c r="Z19"/>
      <c r="AA19"/>
    </row>
    <row r="20" spans="1:27">
      <c r="A20" t="s">
        <v>557</v>
      </c>
      <c r="B20" s="15" t="s">
        <v>104</v>
      </c>
      <c r="C20" s="15" t="str">
        <f>HYPERLINK("01-组织级\02-组织工作库\02-EPG活动库\03-过程改进计划\过程改进计划(QCUBIC-SPI-PIM-PIPlan)V1.2-engl.docx", "engl")</f>
        <v>engl</v>
      </c>
      <c r="D20"/>
      <c r="E20"/>
      <c r="F20" t="s">
        <v>440</v>
      </c>
      <c r="G20"/>
      <c r="H20"/>
      <c r="I20"/>
      <c r="J20"/>
      <c r="K20"/>
      <c r="L20"/>
      <c r="M20"/>
      <c r="N20"/>
      <c r="O20"/>
      <c r="P20"/>
      <c r="Q20"/>
      <c r="R20"/>
      <c r="S20"/>
      <c r="T20"/>
      <c r="U20"/>
      <c r="V20"/>
      <c r="W20"/>
      <c r="X20"/>
      <c r="Y20"/>
      <c r="Z20"/>
      <c r="AA20"/>
    </row>
    <row r="21" spans="1:27">
      <c r="A21" t="s">
        <v>557</v>
      </c>
      <c r="B21" s="15" t="s">
        <v>104</v>
      </c>
      <c r="C21" s="15" t="str">
        <f>HYPERLINK("01-组织级\02-组织工作库\03-PQA活动库\组织级不符合项管理表(QCUBIC-SPI-PQA-NCList)V1.2-engl.xlsx", "engl")</f>
        <v>engl</v>
      </c>
      <c r="D21"/>
      <c r="E21"/>
      <c r="F21"/>
      <c r="G21" t="s">
        <v>440</v>
      </c>
      <c r="H21"/>
      <c r="I21" t="s">
        <v>440</v>
      </c>
      <c r="J21"/>
      <c r="K21"/>
      <c r="L21"/>
      <c r="M21"/>
      <c r="N21"/>
      <c r="O21"/>
      <c r="P21"/>
      <c r="Q21"/>
      <c r="R21"/>
      <c r="S21"/>
      <c r="T21"/>
      <c r="U21"/>
      <c r="V21"/>
      <c r="W21"/>
      <c r="X21"/>
      <c r="Y21"/>
      <c r="Z21"/>
      <c r="AA21"/>
    </row>
    <row r="22" spans="1:27">
      <c r="A22" t="s">
        <v>557</v>
      </c>
      <c r="B22" s="15" t="s">
        <v>104</v>
      </c>
      <c r="C22" s="15" t="str">
        <f>HYPERLINK("01-组织级\02-组织工作库\06-度量\组织度量表(QCUBIC-SPI-MPM-Tem-datasheet)V1.3-engl.xlsx",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HYPERLINK("01-组织级\02-组织工作库\02-EPG活动库\过程改进总结报告-engl.pptx",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HYPERLINK("01-组织级\02-组织工作库\02-EPG活动库\07-EPG跟踪\05-过程改进建议表\过程改进建议表(QCUBIC-SPI-PIM-SPIAdvic)V1.2-engl.xlsx", "engl")</f>
        <v>engl</v>
      </c>
      <c r="D24"/>
      <c r="E24"/>
      <c r="F24"/>
      <c r="G24"/>
      <c r="H24"/>
      <c r="I24"/>
      <c r="J24" t="s">
        <v>440</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4" customWidth="1"/>
    <col min="2" max="4" width="7.88671875" style="124" customWidth="1"/>
    <col min="5" max="6" width="27.6640625" style="124" customWidth="1"/>
    <col min="7" max="12" width="27.6640625" style="109" customWidth="1"/>
    <col min="13" max="13" width="17.5546875" style="109" customWidth="1"/>
    <col min="14" max="14" width="3.6640625" style="109" customWidth="1"/>
    <col min="15" max="15" width="34.88671875" style="109" bestFit="1" customWidth="1"/>
    <col min="16" max="16" width="98.109375" style="108" customWidth="1"/>
    <col min="17" max="17" width="18.6640625" style="124" customWidth="1"/>
    <col min="18" max="16384" width="8.6640625" style="124"/>
  </cols>
  <sheetData>
    <row r="1" spans="1:27" s="108" customFormat="1" ht="18">
      <c r="A1" s="106" t="s">
        <v>418</v>
      </c>
      <c r="B1" s="106"/>
      <c r="C1" s="106"/>
      <c r="D1" s="106"/>
      <c r="E1" s="107"/>
      <c r="G1" s="109"/>
      <c r="H1" s="109"/>
      <c r="I1" s="109"/>
      <c r="J1" s="109"/>
      <c r="K1" s="109"/>
      <c r="L1" s="109"/>
      <c r="M1" s="109"/>
      <c r="N1" s="109"/>
      <c r="O1" s="109"/>
    </row>
    <row r="2" spans="1:27" s="108" customFormat="1">
      <c r="A2" s="111" t="s">
        <v>1445</v>
      </c>
      <c r="B2" s="111"/>
      <c r="C2" s="111"/>
      <c r="D2" s="111"/>
      <c r="E2" s="108" t="s">
        <v>1446</v>
      </c>
      <c r="G2" s="109"/>
      <c r="H2" s="109"/>
      <c r="I2" s="109"/>
      <c r="J2" s="109"/>
      <c r="K2" s="109"/>
      <c r="L2" s="109"/>
      <c r="M2" s="109"/>
      <c r="N2" s="109"/>
      <c r="O2" s="109"/>
    </row>
    <row r="3" spans="1:27" s="108" customFormat="1">
      <c r="A3" s="108" t="s">
        <v>1447</v>
      </c>
      <c r="E3" s="108" t="s">
        <v>1448</v>
      </c>
      <c r="G3" s="109"/>
      <c r="H3" s="109"/>
      <c r="I3" s="109"/>
      <c r="J3" s="109"/>
      <c r="K3" s="109"/>
      <c r="L3" s="109"/>
      <c r="M3" s="109"/>
      <c r="N3" s="109"/>
      <c r="O3" s="109"/>
    </row>
    <row r="4" spans="1:27" s="108" customFormat="1" ht="14.4">
      <c r="A4" s="112"/>
      <c r="B4" s="112"/>
      <c r="C4" s="112"/>
      <c r="D4" s="112"/>
      <c r="E4" s="113" t="s">
        <v>47</v>
      </c>
      <c r="F4" s="114" t="s">
        <v>54</v>
      </c>
      <c r="G4" s="114"/>
      <c r="H4" s="115"/>
      <c r="I4" s="114"/>
      <c r="J4" s="117" t="s">
        <v>56</v>
      </c>
      <c r="K4" s="151"/>
      <c r="L4" s="174" t="s">
        <v>57</v>
      </c>
      <c r="M4" s="118"/>
      <c r="N4" s="118"/>
      <c r="O4" s="118"/>
      <c r="R4" s="111"/>
      <c r="S4" s="118"/>
      <c r="T4" s="118"/>
    </row>
    <row r="5" spans="1:27" s="108" customFormat="1" ht="14.4">
      <c r="A5" s="119"/>
      <c r="B5" s="119"/>
      <c r="C5" s="119"/>
      <c r="D5" s="119"/>
      <c r="E5" s="120" t="s">
        <v>560</v>
      </c>
      <c r="F5" s="121" t="s">
        <v>561</v>
      </c>
      <c r="G5" s="121"/>
      <c r="H5" s="115"/>
      <c r="I5" s="121"/>
      <c r="J5" s="117" t="s">
        <v>562</v>
      </c>
      <c r="K5" s="151"/>
      <c r="L5" s="175" t="s">
        <v>826</v>
      </c>
      <c r="M5" s="119"/>
      <c r="N5" s="119"/>
      <c r="O5" s="119"/>
      <c r="R5" s="111"/>
      <c r="S5" s="119"/>
      <c r="T5" s="118"/>
    </row>
    <row r="6" spans="1:27" s="108" customFormat="1">
      <c r="A6" s="285"/>
      <c r="B6" s="285"/>
      <c r="C6" s="285"/>
      <c r="D6" s="285"/>
      <c r="E6" s="3" t="s">
        <v>94</v>
      </c>
      <c r="F6" s="91" t="s">
        <v>386</v>
      </c>
      <c r="G6" s="91" t="s">
        <v>388</v>
      </c>
      <c r="H6" s="91" t="s">
        <v>389</v>
      </c>
      <c r="I6" s="91" t="s">
        <v>391</v>
      </c>
      <c r="J6" s="92" t="s">
        <v>393</v>
      </c>
      <c r="K6" s="92" t="s">
        <v>394</v>
      </c>
      <c r="L6" s="177" t="s">
        <v>395</v>
      </c>
      <c r="M6" s="94"/>
      <c r="N6" s="94"/>
      <c r="O6" s="94"/>
      <c r="Q6" s="124"/>
    </row>
    <row r="7" spans="1:27" s="108" customFormat="1" ht="118.35" customHeight="1">
      <c r="A7" s="286" t="s">
        <v>664</v>
      </c>
      <c r="B7" s="286"/>
      <c r="C7" s="286"/>
      <c r="D7" s="286"/>
      <c r="E7" s="98" t="s">
        <v>1449</v>
      </c>
      <c r="F7" s="98" t="s">
        <v>1450</v>
      </c>
      <c r="G7" s="98" t="s">
        <v>1451</v>
      </c>
      <c r="H7" s="98" t="s">
        <v>1452</v>
      </c>
      <c r="I7" s="98" t="s">
        <v>1453</v>
      </c>
      <c r="J7" s="98" t="s">
        <v>1454</v>
      </c>
      <c r="K7" s="98" t="s">
        <v>1455</v>
      </c>
      <c r="L7" s="98" t="s">
        <v>1456</v>
      </c>
      <c r="M7" s="94"/>
      <c r="N7" s="94"/>
      <c r="O7" s="94"/>
    </row>
    <row r="8" spans="1:27" s="108" customFormat="1" ht="96.6">
      <c r="A8" s="285" t="s">
        <v>574</v>
      </c>
      <c r="B8" s="285"/>
      <c r="C8" s="285"/>
      <c r="D8" s="285"/>
      <c r="E8" s="103" t="s">
        <v>1457</v>
      </c>
      <c r="F8" s="103" t="s">
        <v>1458</v>
      </c>
      <c r="G8" s="103" t="s">
        <v>1459</v>
      </c>
      <c r="H8" s="103" t="s">
        <v>1460</v>
      </c>
      <c r="I8" s="103" t="s">
        <v>1461</v>
      </c>
      <c r="J8" s="103" t="s">
        <v>1462</v>
      </c>
      <c r="K8" s="104" t="s">
        <v>1463</v>
      </c>
      <c r="L8" s="126" t="s">
        <v>1464</v>
      </c>
      <c r="M8" s="128"/>
      <c r="N8" s="128"/>
      <c r="O8" s="128"/>
    </row>
    <row r="9" spans="1:27" s="108" customFormat="1" ht="192">
      <c r="A9" s="285" t="s">
        <v>96</v>
      </c>
      <c r="B9" s="285"/>
      <c r="C9" s="285"/>
      <c r="D9" s="285"/>
      <c r="E9" s="99" t="s">
        <v>1465</v>
      </c>
      <c r="F9" s="99" t="s">
        <v>1466</v>
      </c>
      <c r="G9" s="99" t="s">
        <v>1467</v>
      </c>
      <c r="H9" s="99" t="s">
        <v>1468</v>
      </c>
      <c r="I9" s="99" t="s">
        <v>1469</v>
      </c>
      <c r="J9" s="99" t="s">
        <v>1470</v>
      </c>
      <c r="K9" s="99" t="s">
        <v>1471</v>
      </c>
      <c r="L9" s="99" t="s">
        <v>1472</v>
      </c>
      <c r="M9" s="100"/>
      <c r="N9" s="100"/>
      <c r="O9" s="100"/>
    </row>
    <row r="10" spans="1:27" s="108" customFormat="1" ht="303.60000000000002">
      <c r="A10" s="123" t="s">
        <v>595</v>
      </c>
      <c r="B10" s="172"/>
      <c r="C10" s="172"/>
      <c r="D10" s="172"/>
      <c r="E10" s="291" t="s">
        <v>1473</v>
      </c>
      <c r="F10" s="291" t="s">
        <v>1474</v>
      </c>
      <c r="G10" s="291" t="s">
        <v>1475</v>
      </c>
      <c r="H10" s="292" t="s">
        <v>1476</v>
      </c>
      <c r="I10" s="291" t="s">
        <v>1477</v>
      </c>
      <c r="J10" s="292" t="s">
        <v>1478</v>
      </c>
      <c r="K10" s="292" t="s">
        <v>1479</v>
      </c>
      <c r="L10" s="293" t="s">
        <v>1480</v>
      </c>
      <c r="M10" s="294"/>
      <c r="N10" s="294"/>
      <c r="O10" s="295"/>
    </row>
    <row r="11" spans="1:27" s="108" customFormat="1" ht="303.60000000000002">
      <c r="A11" s="288" t="s">
        <v>85</v>
      </c>
      <c r="B11" s="288"/>
      <c r="C11" s="288"/>
      <c r="D11" s="288"/>
      <c r="E11" s="103" t="s">
        <v>1481</v>
      </c>
      <c r="F11" s="293" t="s">
        <v>1482</v>
      </c>
      <c r="G11" s="293" t="s">
        <v>1483</v>
      </c>
      <c r="H11" s="293" t="s">
        <v>1484</v>
      </c>
      <c r="I11" s="293" t="s">
        <v>1485</v>
      </c>
      <c r="J11" s="293" t="s">
        <v>1486</v>
      </c>
      <c r="K11" s="293" t="s">
        <v>1487</v>
      </c>
      <c r="L11" s="293" t="s">
        <v>1488</v>
      </c>
      <c r="M11" s="294"/>
      <c r="N11" s="294"/>
      <c r="O11" s="295"/>
      <c r="P11" s="109"/>
      <c r="Q11" s="109"/>
    </row>
    <row r="12" spans="1:27" s="118" customFormat="1" ht="14.4">
      <c r="A12" s="124"/>
      <c r="B12" s="124"/>
      <c r="C12" s="124"/>
      <c r="D12" s="124"/>
      <c r="E12" s="124"/>
      <c r="F12" s="124"/>
      <c r="G12" s="109"/>
      <c r="H12" s="109"/>
      <c r="I12" s="109"/>
      <c r="J12" s="109"/>
      <c r="K12" s="109"/>
      <c r="L12" s="109"/>
      <c r="M12" s="109"/>
      <c r="N12" s="109"/>
      <c r="O12" s="109"/>
      <c r="P12" s="108"/>
      <c r="Q12" s="124"/>
    </row>
    <row r="13" spans="1:27" s="118" customFormat="1" ht="14.4">
      <c r="A13" s="124"/>
      <c r="B13" s="124"/>
      <c r="C13" s="124"/>
      <c r="D13" s="124"/>
      <c r="E13" s="124"/>
      <c r="F13" s="124"/>
      <c r="G13" s="109"/>
      <c r="H13" s="109"/>
      <c r="I13" s="109"/>
      <c r="J13" s="109"/>
      <c r="K13" s="109"/>
      <c r="L13" s="109"/>
      <c r="M13" s="109"/>
      <c r="N13" s="109"/>
      <c r="O13" s="109"/>
      <c r="P13" s="108"/>
      <c r="Q13" s="124"/>
    </row>
    <row r="14" spans="1:27" s="118" customFormat="1" ht="14.4">
      <c r="A14" s="124"/>
      <c r="B14" s="124"/>
      <c r="C14" s="124"/>
      <c r="D14" s="124"/>
      <c r="E14" s="124"/>
      <c r="F14" s="124"/>
      <c r="G14" s="109"/>
      <c r="H14" s="109"/>
      <c r="I14" s="109"/>
      <c r="J14" s="109"/>
      <c r="K14" s="109"/>
      <c r="L14" s="109"/>
      <c r="M14" s="109"/>
      <c r="N14" s="109"/>
      <c r="O14" s="109"/>
      <c r="P14" s="108"/>
      <c r="Q14" s="124"/>
    </row>
    <row r="15" spans="1:27" customFormat="1" ht="14.4">
      <c r="A15" t="s">
        <v>457</v>
      </c>
      <c r="B15" t="s">
        <v>104</v>
      </c>
      <c r="C15" t="s">
        <v>105</v>
      </c>
      <c r="D15" s="296" t="s">
        <v>456</v>
      </c>
      <c r="E15" s="14" t="s">
        <v>94</v>
      </c>
      <c r="F15" s="14" t="s">
        <v>386</v>
      </c>
      <c r="G15" s="14" t="s">
        <v>388</v>
      </c>
      <c r="H15" s="14" t="s">
        <v>389</v>
      </c>
      <c r="I15" s="14" t="s">
        <v>391</v>
      </c>
      <c r="J15" s="14" t="s">
        <v>393</v>
      </c>
      <c r="K15" s="14" t="s">
        <v>394</v>
      </c>
      <c r="L15" s="14" t="s">
        <v>395</v>
      </c>
      <c r="M15" s="14"/>
    </row>
    <row r="16" spans="1:27" s="118" customFormat="1" ht="14.4">
      <c r="A16" t="s">
        <v>557</v>
      </c>
      <c r="B16" s="15" t="s">
        <v>104</v>
      </c>
      <c r="C16" s="15" t="str">
        <f>HYPERLINK("01-组织级\01-组织财富库\01-标准过程文件库\04-组织过程类\02-过程资产管理\组织方针 (QCUBIC-SPI-OPAL-Ply-Doc)V1.2-engl.docx", "engl")</f>
        <v>engl</v>
      </c>
      <c r="D16"/>
      <c r="E16" t="s">
        <v>440</v>
      </c>
      <c r="F16" t="s">
        <v>440</v>
      </c>
      <c r="G16"/>
      <c r="H16"/>
      <c r="I16"/>
      <c r="J16"/>
      <c r="K16"/>
      <c r="L16"/>
      <c r="M16"/>
      <c r="N16"/>
      <c r="O16"/>
      <c r="P16"/>
      <c r="Q16"/>
      <c r="R16"/>
      <c r="S16"/>
      <c r="T16"/>
      <c r="U16"/>
      <c r="V16"/>
      <c r="W16"/>
      <c r="X16"/>
      <c r="Y16"/>
      <c r="Z16"/>
      <c r="AA16"/>
    </row>
    <row r="17" spans="1:27" s="118" customFormat="1" ht="14.4">
      <c r="A17" t="s">
        <v>557</v>
      </c>
      <c r="B17" s="15" t="s">
        <v>104</v>
      </c>
      <c r="C17" s="15" t="str">
        <f>HYPERLINK("01-组织级\02-组织工作库\02-EPG活动库\03-过程改进计划\过程改进计划(QCUBIC-SPI-PIM-PIPlan)V1.2-engl.docx", "engl")</f>
        <v>engl</v>
      </c>
      <c r="D17"/>
      <c r="E17"/>
      <c r="F17"/>
      <c r="G17" t="s">
        <v>440</v>
      </c>
      <c r="H17"/>
      <c r="I17"/>
      <c r="J17"/>
      <c r="K17"/>
      <c r="L17"/>
      <c r="M17"/>
      <c r="N17"/>
      <c r="O17"/>
      <c r="P17"/>
      <c r="Q17"/>
      <c r="R17"/>
      <c r="S17"/>
      <c r="T17"/>
      <c r="U17"/>
      <c r="V17"/>
      <c r="W17"/>
      <c r="X17"/>
      <c r="Y17"/>
      <c r="Z17"/>
      <c r="AA17"/>
    </row>
    <row r="18" spans="1:27" s="118" customFormat="1" ht="14.4">
      <c r="A18" t="s">
        <v>557</v>
      </c>
      <c r="B18" s="15" t="s">
        <v>104</v>
      </c>
      <c r="C18" s="15" t="str">
        <f>HYPERLINK("01-组织级\02-组织工作库\05-OT培训库\01_公司级培训\03_2022年培训计划\02_年度培训计划\2022培训课程表(ORG_OT_TraininCNSchedule)V1.0-engl.xlsx", "engl")</f>
        <v>engl</v>
      </c>
      <c r="D18"/>
      <c r="E18"/>
      <c r="F18"/>
      <c r="G18" t="s">
        <v>440</v>
      </c>
      <c r="H18"/>
      <c r="I18"/>
      <c r="J18"/>
      <c r="K18"/>
      <c r="L18"/>
      <c r="M18"/>
      <c r="N18"/>
      <c r="O18"/>
      <c r="P18"/>
      <c r="Q18"/>
      <c r="R18"/>
      <c r="S18"/>
      <c r="T18"/>
      <c r="U18"/>
      <c r="V18"/>
      <c r="W18"/>
      <c r="X18"/>
      <c r="Y18"/>
      <c r="Z18"/>
      <c r="AA18"/>
    </row>
    <row r="19" spans="1:27" s="118" customFormat="1" ht="14.4">
      <c r="A19" t="s">
        <v>557</v>
      </c>
      <c r="B19" s="15" t="s">
        <v>104</v>
      </c>
      <c r="C19"/>
      <c r="D19"/>
      <c r="E19"/>
      <c r="F19"/>
      <c r="G19" t="s">
        <v>440</v>
      </c>
      <c r="H19"/>
      <c r="I19"/>
      <c r="J19"/>
      <c r="K19"/>
      <c r="L19"/>
      <c r="M19"/>
      <c r="N19"/>
      <c r="O19"/>
      <c r="P19"/>
      <c r="Q19"/>
      <c r="R19"/>
      <c r="S19"/>
      <c r="T19"/>
      <c r="U19"/>
      <c r="V19"/>
      <c r="W19"/>
      <c r="X19"/>
      <c r="Y19"/>
      <c r="Z19"/>
      <c r="AA19"/>
    </row>
    <row r="20" spans="1:27" s="118" customFormat="1" ht="14.4">
      <c r="A20" t="s">
        <v>557</v>
      </c>
      <c r="B20" s="15" t="s">
        <v>104</v>
      </c>
      <c r="C20"/>
      <c r="D20"/>
      <c r="E20"/>
      <c r="F20"/>
      <c r="G20" t="s">
        <v>440</v>
      </c>
      <c r="H20"/>
      <c r="I20"/>
      <c r="J20"/>
      <c r="K20"/>
      <c r="L20"/>
      <c r="M20"/>
      <c r="N20"/>
      <c r="O20"/>
      <c r="P20"/>
      <c r="Q20"/>
      <c r="R20"/>
      <c r="S20"/>
      <c r="T20"/>
      <c r="U20"/>
      <c r="V20"/>
      <c r="W20"/>
      <c r="X20"/>
      <c r="Y20"/>
      <c r="Z20"/>
      <c r="AA20"/>
    </row>
    <row r="21" spans="1:27" s="118" customFormat="1" ht="14.4">
      <c r="A21" t="s">
        <v>557</v>
      </c>
      <c r="B21" s="15" t="s">
        <v>104</v>
      </c>
      <c r="C21"/>
      <c r="D21"/>
      <c r="E21"/>
      <c r="F21"/>
      <c r="G21"/>
      <c r="H21" t="s">
        <v>440</v>
      </c>
      <c r="I21" t="s">
        <v>440</v>
      </c>
      <c r="J21"/>
      <c r="K21"/>
      <c r="L21"/>
      <c r="M21"/>
      <c r="N21"/>
      <c r="O21"/>
      <c r="P21"/>
      <c r="Q21"/>
      <c r="R21"/>
      <c r="S21"/>
      <c r="T21"/>
      <c r="U21"/>
      <c r="V21"/>
      <c r="W21"/>
      <c r="X21"/>
      <c r="Y21"/>
      <c r="Z21"/>
      <c r="AA21"/>
    </row>
    <row r="22" spans="1:27" s="118" customFormat="1" ht="14.4">
      <c r="A22" t="s">
        <v>557</v>
      </c>
      <c r="B22" s="15" t="s">
        <v>104</v>
      </c>
      <c r="C22" s="15" t="str">
        <f>HYPERLINK("01-组织级\02-组织工作库\02-EPG活动库\过程改进总结报告-engl.pptx", "engl")</f>
        <v>engl</v>
      </c>
      <c r="D22"/>
      <c r="E22"/>
      <c r="F22"/>
      <c r="G22"/>
      <c r="H22" t="s">
        <v>440</v>
      </c>
      <c r="I22" t="s">
        <v>440</v>
      </c>
      <c r="J22"/>
      <c r="K22" t="s">
        <v>440</v>
      </c>
      <c r="L22"/>
      <c r="M22"/>
      <c r="N22"/>
      <c r="O22"/>
      <c r="P22"/>
      <c r="Q22"/>
      <c r="R22"/>
      <c r="S22"/>
      <c r="T22"/>
      <c r="U22"/>
      <c r="V22"/>
      <c r="W22"/>
      <c r="X22"/>
      <c r="Y22"/>
      <c r="Z22"/>
      <c r="AA22"/>
    </row>
    <row r="23" spans="1:27" s="118" customFormat="1" ht="14.4">
      <c r="A23" t="s">
        <v>557</v>
      </c>
      <c r="B23" s="15" t="s">
        <v>104</v>
      </c>
      <c r="C23" s="15" t="str">
        <f>HYPERLINK("01-组织级\02-组织工作库\02-EPG活动库\07-EPG跟踪\06-过程改进里程碑\过程改进里程碑报告(ORG_PCM_Milestone_20220628)V1.0-engl.docx", "engl")</f>
        <v>engl</v>
      </c>
      <c r="D23"/>
      <c r="E23"/>
      <c r="F23"/>
      <c r="G23"/>
      <c r="H23" t="s">
        <v>440</v>
      </c>
      <c r="I23" t="s">
        <v>440</v>
      </c>
      <c r="J23"/>
      <c r="K23"/>
      <c r="L23"/>
      <c r="M23"/>
      <c r="N23"/>
      <c r="O23"/>
      <c r="P23"/>
      <c r="Q23"/>
      <c r="R23"/>
      <c r="S23"/>
      <c r="T23"/>
      <c r="U23"/>
      <c r="V23"/>
      <c r="W23"/>
      <c r="X23"/>
      <c r="Y23"/>
      <c r="Z23"/>
      <c r="AA23"/>
    </row>
    <row r="24" spans="1:27" s="118" customFormat="1" ht="14.4">
      <c r="A24" t="s">
        <v>557</v>
      </c>
      <c r="B24" s="15" t="s">
        <v>104</v>
      </c>
      <c r="C24" s="15" t="str">
        <f>HYPERLINK("01-组织级\02-组织工作库\06-度量\组织度量表(QCUBIC-SPI-MPM-Tem-datasheet)V1.3-engl.xlsx", "engl")</f>
        <v>engl</v>
      </c>
      <c r="D24"/>
      <c r="E24"/>
      <c r="F24"/>
      <c r="G24"/>
      <c r="H24" t="s">
        <v>440</v>
      </c>
      <c r="I24" t="s">
        <v>440</v>
      </c>
      <c r="J24" t="s">
        <v>440</v>
      </c>
      <c r="K24" t="s">
        <v>440</v>
      </c>
      <c r="L24"/>
      <c r="M24"/>
      <c r="N24"/>
      <c r="O24"/>
      <c r="P24"/>
      <c r="Q24"/>
      <c r="R24"/>
      <c r="S24"/>
      <c r="T24"/>
      <c r="U24"/>
      <c r="V24"/>
      <c r="W24"/>
      <c r="X24"/>
      <c r="Y24"/>
      <c r="Z24"/>
      <c r="AA24"/>
    </row>
    <row r="25" spans="1:27" s="118" customFormat="1" ht="14.4">
      <c r="A25" t="s">
        <v>557</v>
      </c>
      <c r="B25" s="15" t="s">
        <v>104</v>
      </c>
      <c r="C25" s="15" t="str">
        <f>HYPERLINK("01-组织级\02-组织工作库\06-度量\组织度量计划(QCUBIC-SPI-MPM-Plan)V1.3-engl.xlsx", "engl")</f>
        <v>engl</v>
      </c>
      <c r="D25"/>
      <c r="E25"/>
      <c r="F25"/>
      <c r="G25"/>
      <c r="H25" t="s">
        <v>440</v>
      </c>
      <c r="I25" t="s">
        <v>440</v>
      </c>
      <c r="J25" t="s">
        <v>440</v>
      </c>
      <c r="K25" t="s">
        <v>440</v>
      </c>
      <c r="L25"/>
      <c r="M25"/>
      <c r="N25"/>
      <c r="O25"/>
      <c r="P25"/>
      <c r="Q25"/>
      <c r="R25"/>
      <c r="S25"/>
      <c r="T25"/>
      <c r="U25"/>
      <c r="V25"/>
      <c r="W25"/>
      <c r="X25"/>
      <c r="Y25"/>
      <c r="Z25"/>
      <c r="AA25"/>
    </row>
    <row r="26" spans="1:27" s="118" customFormat="1" ht="14.4">
      <c r="A26" t="s">
        <v>557</v>
      </c>
      <c r="B26" s="15" t="s">
        <v>104</v>
      </c>
      <c r="C26" s="15" t="str">
        <f>HYPERLINK("01-组织级\02-组织工作库\03-PQA活动库\组织级的质量保证计划(QCUBIC-SPI-PQA-OQAPlan)V1.4-engl.xlsx", "engl")</f>
        <v>engl</v>
      </c>
      <c r="D26"/>
      <c r="E26"/>
      <c r="F26"/>
      <c r="G26"/>
      <c r="H26"/>
      <c r="I26" t="s">
        <v>440</v>
      </c>
      <c r="J26"/>
      <c r="K26"/>
      <c r="L26"/>
      <c r="M26"/>
      <c r="N26"/>
      <c r="O26"/>
      <c r="P26"/>
      <c r="Q26"/>
      <c r="R26"/>
      <c r="S26"/>
      <c r="T26"/>
      <c r="U26"/>
      <c r="V26"/>
      <c r="W26"/>
      <c r="X26"/>
      <c r="Y26"/>
      <c r="Z26"/>
      <c r="AA26"/>
    </row>
    <row r="27" spans="1:27" s="118" customFormat="1" ht="14.4">
      <c r="A27"/>
      <c r="B27"/>
      <c r="C27"/>
      <c r="D27"/>
      <c r="E27"/>
      <c r="F27"/>
      <c r="G27"/>
      <c r="H27"/>
      <c r="I27"/>
      <c r="J27"/>
      <c r="K27"/>
      <c r="L27"/>
      <c r="M27"/>
      <c r="N27"/>
      <c r="O27"/>
      <c r="P27"/>
      <c r="Q27"/>
      <c r="R27"/>
      <c r="S27"/>
      <c r="T27"/>
      <c r="U27"/>
      <c r="V27"/>
      <c r="W27"/>
      <c r="X27"/>
      <c r="Y27"/>
      <c r="Z27"/>
      <c r="AA27"/>
    </row>
    <row r="28" spans="1:27" s="118" customFormat="1" ht="14.4">
      <c r="A28"/>
      <c r="B28"/>
      <c r="C28"/>
      <c r="D28"/>
      <c r="E28"/>
      <c r="F28"/>
      <c r="G28"/>
      <c r="H28"/>
      <c r="I28"/>
      <c r="J28"/>
      <c r="K28"/>
      <c r="L28"/>
      <c r="M28"/>
      <c r="N28"/>
      <c r="O28"/>
      <c r="P28"/>
      <c r="Q28"/>
      <c r="R28"/>
      <c r="S28"/>
      <c r="T28"/>
      <c r="U28"/>
      <c r="V28"/>
      <c r="W28"/>
      <c r="X28"/>
      <c r="Y28"/>
      <c r="Z28"/>
      <c r="AA28"/>
    </row>
    <row r="29" spans="1:27" s="131" customFormat="1" ht="14.4">
      <c r="A29"/>
      <c r="B29"/>
      <c r="C29"/>
      <c r="D29"/>
      <c r="E29"/>
      <c r="F29"/>
      <c r="G29"/>
      <c r="H29"/>
      <c r="I29"/>
      <c r="J29"/>
      <c r="K29"/>
      <c r="L29"/>
      <c r="M29"/>
      <c r="N29"/>
      <c r="O29"/>
      <c r="P29"/>
      <c r="Q29"/>
      <c r="R29"/>
      <c r="S29"/>
      <c r="T29"/>
      <c r="U29"/>
      <c r="V29"/>
      <c r="W29"/>
      <c r="X29"/>
      <c r="Y29"/>
      <c r="Z29"/>
      <c r="AA29"/>
    </row>
    <row r="30" spans="1:27" s="131" customFormat="1" ht="17.100000000000001" customHeight="1">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2" customWidth="1"/>
    <col min="2" max="3" width="14.6640625" style="72"/>
    <col min="4" max="4" width="6.33203125" style="72" customWidth="1"/>
    <col min="5" max="5" width="6" style="72" customWidth="1"/>
    <col min="6" max="7" width="14.6640625" style="72"/>
    <col min="8" max="8" width="6.5546875" style="72" customWidth="1"/>
    <col min="9" max="9" width="5.6640625" style="72" customWidth="1"/>
    <col min="10" max="16384" width="14.6640625" style="72"/>
  </cols>
  <sheetData>
    <row r="2" spans="1:1004">
      <c r="B2" s="72" t="s">
        <v>55</v>
      </c>
      <c r="C2" s="72" t="s">
        <v>109</v>
      </c>
      <c r="E2" s="72" t="s">
        <v>406</v>
      </c>
    </row>
    <row r="3" spans="1:1004">
      <c r="B3" s="72" t="s">
        <v>53</v>
      </c>
      <c r="C3" s="72" t="s">
        <v>110</v>
      </c>
      <c r="E3" s="72" t="s">
        <v>111</v>
      </c>
    </row>
    <row r="4" spans="1:1004">
      <c r="B4" s="72" t="s">
        <v>52</v>
      </c>
      <c r="C4" s="72" t="s">
        <v>407</v>
      </c>
      <c r="E4" s="72" t="s">
        <v>112</v>
      </c>
    </row>
    <row r="5" spans="1:1004">
      <c r="B5" s="72" t="s">
        <v>51</v>
      </c>
      <c r="C5" s="72" t="s">
        <v>113</v>
      </c>
      <c r="E5" s="72" t="s">
        <v>114</v>
      </c>
    </row>
    <row r="6" spans="1:1004">
      <c r="B6" s="72" t="s">
        <v>115</v>
      </c>
      <c r="C6" s="72" t="s">
        <v>116</v>
      </c>
      <c r="E6" s="72" t="s">
        <v>117</v>
      </c>
    </row>
    <row r="9" spans="1:1004">
      <c r="B9" s="72" t="s">
        <v>118</v>
      </c>
      <c r="C9" s="72" t="s">
        <v>119</v>
      </c>
    </row>
    <row r="10" spans="1:1004">
      <c r="B10" s="72" t="s">
        <v>120</v>
      </c>
      <c r="C10" s="72" t="s">
        <v>121</v>
      </c>
    </row>
    <row r="11" spans="1:1004">
      <c r="B11" s="72" t="s">
        <v>122</v>
      </c>
    </row>
    <row r="13" spans="1:1004">
      <c r="A13" s="315"/>
      <c r="B13" s="315"/>
    </row>
    <row r="16" spans="1:1004">
      <c r="A16">
        <v>1</v>
      </c>
      <c r="B16" t="s">
        <v>1539</v>
      </c>
      <c r="C16"/>
      <c r="D16" t="str">
        <f t="shared" ref="D16:D37" si="0">_xlfn.CONCAT(A16, ". ", B16)</f>
        <v>1. None</v>
      </c>
      <c r="E16">
        <v>1</v>
      </c>
      <c r="F16" t="s">
        <v>1539</v>
      </c>
      <c r="G16"/>
      <c r="H16" t="str">
        <f t="shared" ref="H16:H25" si="1">_xlfn.CONCAT(E16, ". ", F16)</f>
        <v>1. None</v>
      </c>
      <c r="I16">
        <v>1</v>
      </c>
      <c r="J16" t="s">
        <v>1539</v>
      </c>
      <c r="K16"/>
      <c r="L16" t="str">
        <f t="shared" ref="L16:L25" si="2">_xlfn.CONCAT(I16, ". ", J16)</f>
        <v>1. None</v>
      </c>
      <c r="M16">
        <v>1</v>
      </c>
      <c r="N16" t="s">
        <v>1539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1543</v>
      </c>
      <c r="C17"/>
      <c r="D17" t="str">
        <f t="shared" si="0"/>
        <v>2. Pieter van Zyl</v>
      </c>
      <c r="E17">
        <v>2</v>
      </c>
      <c r="F17" t="s">
        <v>1505</v>
      </c>
      <c r="G17"/>
      <c r="H17" t="str">
        <f t="shared" si="1"/>
        <v>2. ATL</v>
      </c>
      <c r="I17">
        <v>2</v>
      </c>
      <c r="J17" t="s">
        <v>1510</v>
      </c>
      <c r="K17"/>
      <c r="L17" t="str">
        <f t="shared" si="2"/>
        <v>2. 30p</v>
      </c>
      <c r="M17">
        <v>2</v>
      </c>
      <c r="N17" t="s">
        <v>1517</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1544</v>
      </c>
      <c r="C18"/>
      <c r="D18" t="str">
        <f t="shared" si="0"/>
        <v>3. Joan van Zyl</v>
      </c>
      <c r="E18">
        <v>3</v>
      </c>
      <c r="F18" t="s">
        <v>1506</v>
      </c>
      <c r="G18"/>
      <c r="H18" t="str">
        <f t="shared" si="1"/>
        <v>3. ATL Coordinator</v>
      </c>
      <c r="I18">
        <v>3</v>
      </c>
      <c r="J18" t="s">
        <v>1511</v>
      </c>
      <c r="K18"/>
      <c r="L18" t="str">
        <f t="shared" si="2"/>
        <v>3. 50p</v>
      </c>
      <c r="M18">
        <v>3</v>
      </c>
      <c r="N18" t="s">
        <v>1568</v>
      </c>
      <c r="O18"/>
      <c r="P18" t="str">
        <f>_xlfn.CONCAT(M18, ". ", N18)</f>
        <v>3. WIP</v>
      </c>
    </row>
    <row r="19" spans="1:1004">
      <c r="A19">
        <v>4</v>
      </c>
      <c r="B19" t="s">
        <v>1503</v>
      </c>
      <c r="C19"/>
      <c r="D19" t="str">
        <f t="shared" si="0"/>
        <v>4. Jared Twigg</v>
      </c>
      <c r="E19">
        <v>4</v>
      </c>
      <c r="F19" t="s">
        <v>1507</v>
      </c>
      <c r="G19"/>
      <c r="H19" t="str">
        <f t="shared" si="1"/>
        <v>4. Sponsor</v>
      </c>
      <c r="I19">
        <v>4</v>
      </c>
      <c r="J19" t="s">
        <v>1512</v>
      </c>
      <c r="K19"/>
      <c r="L19" t="str">
        <f t="shared" si="2"/>
        <v>4. 90p</v>
      </c>
      <c r="M19">
        <v>4</v>
      </c>
      <c r="N19" t="s">
        <v>1516</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1546</v>
      </c>
      <c r="C20"/>
      <c r="D20" t="str">
        <f t="shared" si="0"/>
        <v>5. Marike Matthee</v>
      </c>
      <c r="E20">
        <v>5</v>
      </c>
      <c r="F20" t="s">
        <v>1508</v>
      </c>
      <c r="G20"/>
      <c r="H20" t="str">
        <f t="shared" si="1"/>
        <v>5. Scheduler</v>
      </c>
      <c r="I20">
        <v>5</v>
      </c>
      <c r="J20" t="s">
        <v>1513</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1504</v>
      </c>
      <c r="C21"/>
      <c r="D21" t="str">
        <f t="shared" si="0"/>
        <v>6. Melanie van Zyl</v>
      </c>
      <c r="E21">
        <v>6</v>
      </c>
      <c r="F21" t="s">
        <v>1509</v>
      </c>
      <c r="G21"/>
      <c r="H21" t="str">
        <f t="shared" si="1"/>
        <v>6. BPOC</v>
      </c>
      <c r="I21">
        <v>6</v>
      </c>
      <c r="J21" t="s">
        <v>1514</v>
      </c>
      <c r="K21"/>
      <c r="L21" t="str">
        <f t="shared" si="2"/>
        <v>6. 60d b4 p2</v>
      </c>
      <c r="M21"/>
      <c r="N21"/>
      <c r="O21"/>
      <c r="P21"/>
    </row>
    <row r="22" spans="1:1004">
      <c r="A22">
        <v>7</v>
      </c>
      <c r="B22" t="s">
        <v>1545</v>
      </c>
      <c r="C22"/>
      <c r="D22" t="str">
        <f t="shared" si="0"/>
        <v>7. Bianca Coetzee</v>
      </c>
      <c r="E22">
        <v>7</v>
      </c>
      <c r="F22" t="s">
        <v>1562</v>
      </c>
      <c r="G22"/>
      <c r="H22" t="str">
        <f t="shared" si="1"/>
        <v>7. Translator</v>
      </c>
      <c r="I22">
        <v>7</v>
      </c>
      <c r="J22" t="s">
        <v>1515</v>
      </c>
      <c r="K22"/>
      <c r="L22" t="str">
        <f t="shared" si="2"/>
        <v>7. 40d b4 p2</v>
      </c>
      <c r="M22"/>
      <c r="N22"/>
      <c r="O22"/>
      <c r="P22"/>
    </row>
    <row r="23" spans="1:1004">
      <c r="A23">
        <v>9</v>
      </c>
      <c r="B23" t="s">
        <v>1547</v>
      </c>
      <c r="C23"/>
      <c r="D23" t="str">
        <f t="shared" si="0"/>
        <v>9. Francois van Niekerk</v>
      </c>
      <c r="E23">
        <v>8</v>
      </c>
      <c r="F23" t="s">
        <v>434</v>
      </c>
      <c r="G23"/>
      <c r="H23" t="str">
        <f t="shared" si="1"/>
        <v>8. ATM</v>
      </c>
      <c r="I23">
        <v>8</v>
      </c>
      <c r="J23" t="s">
        <v>1565</v>
      </c>
      <c r="K23"/>
      <c r="L23" t="str">
        <f t="shared" si="2"/>
        <v>8. Scope approval</v>
      </c>
      <c r="M23"/>
      <c r="N23"/>
      <c r="O23"/>
      <c r="P23"/>
    </row>
    <row r="24" spans="1:1004">
      <c r="A24">
        <v>11</v>
      </c>
      <c r="B24" t="s">
        <v>1548</v>
      </c>
      <c r="C24"/>
      <c r="D24" t="str">
        <f t="shared" si="0"/>
        <v>11. Andries vd Walt</v>
      </c>
      <c r="E24">
        <v>9</v>
      </c>
      <c r="F24" t="s">
        <v>1563</v>
      </c>
      <c r="G24"/>
      <c r="H24" t="str">
        <f t="shared" si="1"/>
        <v>9. IPOC</v>
      </c>
      <c r="I24">
        <v>9</v>
      </c>
      <c r="J24" t="s">
        <v>1566</v>
      </c>
      <c r="K24"/>
      <c r="L24" t="str">
        <f t="shared" si="2"/>
        <v>9. Tech Test</v>
      </c>
      <c r="M24"/>
      <c r="N24"/>
      <c r="O24"/>
      <c r="P24"/>
    </row>
    <row r="25" spans="1:1004">
      <c r="A25">
        <v>12</v>
      </c>
      <c r="B25" t="s">
        <v>1549</v>
      </c>
      <c r="C25"/>
      <c r="D25" t="str">
        <f t="shared" si="0"/>
        <v>12. Francina Botha</v>
      </c>
      <c r="E25">
        <v>10</v>
      </c>
      <c r="F25" t="s">
        <v>1564</v>
      </c>
      <c r="G25"/>
      <c r="H25" t="str">
        <f t="shared" si="1"/>
        <v>10. ATLC Leader</v>
      </c>
      <c r="I25">
        <v>10</v>
      </c>
      <c r="J25" t="s">
        <v>1567</v>
      </c>
      <c r="K25"/>
      <c r="L25" t="str">
        <f t="shared" si="2"/>
        <v>10. Final RR</v>
      </c>
      <c r="M25"/>
      <c r="N25"/>
      <c r="O25"/>
      <c r="P25"/>
    </row>
    <row r="26" spans="1:1004">
      <c r="A26">
        <v>14</v>
      </c>
      <c r="B26" t="s">
        <v>1550</v>
      </c>
      <c r="C26"/>
      <c r="D26" t="str">
        <f t="shared" si="0"/>
        <v>14. Tony Gardiner</v>
      </c>
      <c r="E26"/>
      <c r="F26"/>
      <c r="G26"/>
      <c r="H26"/>
      <c r="I26"/>
      <c r="J26"/>
      <c r="K26"/>
      <c r="L26"/>
      <c r="M26"/>
      <c r="N26"/>
      <c r="O26"/>
      <c r="P26"/>
    </row>
    <row r="27" spans="1:1004">
      <c r="A27">
        <v>15</v>
      </c>
      <c r="B27" t="s">
        <v>1551</v>
      </c>
      <c r="C27"/>
      <c r="D27" t="str">
        <f t="shared" si="0"/>
        <v>15. Elmo Scheffer</v>
      </c>
      <c r="E27"/>
      <c r="F27"/>
      <c r="G27"/>
      <c r="H27"/>
      <c r="I27"/>
      <c r="J27"/>
      <c r="K27"/>
      <c r="L27"/>
      <c r="M27"/>
      <c r="N27"/>
      <c r="O27"/>
      <c r="P27"/>
    </row>
    <row r="28" spans="1:1004">
      <c r="A28">
        <v>16</v>
      </c>
      <c r="B28" t="s">
        <v>1552</v>
      </c>
      <c r="C28"/>
      <c r="D28" t="str">
        <f t="shared" si="0"/>
        <v>16. Pieter Roos</v>
      </c>
      <c r="E28"/>
      <c r="F28"/>
      <c r="G28"/>
      <c r="H28"/>
      <c r="I28"/>
      <c r="J28"/>
      <c r="K28"/>
      <c r="L28"/>
      <c r="M28"/>
      <c r="N28"/>
      <c r="O28"/>
      <c r="P28"/>
    </row>
    <row r="29" spans="1:1004">
      <c r="A29">
        <v>17</v>
      </c>
      <c r="B29" t="s">
        <v>1553</v>
      </c>
      <c r="C29"/>
      <c r="D29" t="str">
        <f t="shared" si="0"/>
        <v>17. Barry Headland</v>
      </c>
      <c r="E29"/>
      <c r="F29"/>
      <c r="G29"/>
      <c r="H29"/>
      <c r="I29"/>
      <c r="J29"/>
      <c r="K29"/>
      <c r="L29"/>
      <c r="M29"/>
      <c r="N29"/>
      <c r="O29"/>
      <c r="P29"/>
    </row>
    <row r="30" spans="1:1004">
      <c r="A30">
        <v>18</v>
      </c>
      <c r="B30" t="s">
        <v>1554</v>
      </c>
      <c r="C30"/>
      <c r="D30" t="str">
        <f t="shared" si="0"/>
        <v>18. Nigel Owen</v>
      </c>
      <c r="E30"/>
      <c r="F30"/>
      <c r="G30"/>
      <c r="H30"/>
      <c r="I30"/>
      <c r="J30"/>
      <c r="K30"/>
      <c r="L30"/>
      <c r="M30"/>
      <c r="N30"/>
      <c r="O30"/>
      <c r="P30"/>
    </row>
    <row r="31" spans="1:1004">
      <c r="A31">
        <v>19</v>
      </c>
      <c r="B31" t="s">
        <v>1555</v>
      </c>
      <c r="C31"/>
      <c r="D31" t="str">
        <f t="shared" si="0"/>
        <v>19. Ria Fouche</v>
      </c>
      <c r="E31"/>
      <c r="F31"/>
      <c r="G31"/>
      <c r="H31"/>
      <c r="I31"/>
      <c r="J31"/>
      <c r="K31"/>
      <c r="L31"/>
      <c r="M31"/>
      <c r="N31"/>
      <c r="O31"/>
      <c r="P31"/>
    </row>
    <row r="32" spans="1:1004">
      <c r="A32">
        <v>20</v>
      </c>
      <c r="B32" t="s">
        <v>1556</v>
      </c>
      <c r="C32"/>
      <c r="D32" t="str">
        <f t="shared" si="0"/>
        <v>20. Elsabie Koster</v>
      </c>
      <c r="E32"/>
      <c r="F32"/>
      <c r="G32"/>
      <c r="H32"/>
      <c r="I32"/>
      <c r="J32"/>
      <c r="K32"/>
      <c r="L32"/>
      <c r="M32"/>
      <c r="N32"/>
      <c r="O32"/>
      <c r="P32"/>
    </row>
    <row r="33" spans="1:16">
      <c r="A33">
        <v>21</v>
      </c>
      <c r="B33" t="s">
        <v>1557</v>
      </c>
      <c r="C33"/>
      <c r="D33" t="str">
        <f t="shared" si="0"/>
        <v>21. Lizwin Jacobs</v>
      </c>
      <c r="E33"/>
      <c r="F33"/>
      <c r="G33"/>
      <c r="H33"/>
      <c r="I33"/>
      <c r="J33"/>
      <c r="K33"/>
      <c r="L33"/>
      <c r="M33"/>
      <c r="N33"/>
      <c r="O33"/>
      <c r="P33"/>
    </row>
    <row r="34" spans="1:16">
      <c r="A34">
        <v>22</v>
      </c>
      <c r="B34" t="s">
        <v>1558</v>
      </c>
      <c r="C34"/>
      <c r="D34" t="str">
        <f t="shared" si="0"/>
        <v>22. Michael</v>
      </c>
      <c r="E34"/>
      <c r="F34"/>
      <c r="G34"/>
      <c r="H34"/>
      <c r="I34"/>
      <c r="J34"/>
      <c r="K34"/>
      <c r="L34"/>
      <c r="M34"/>
      <c r="N34"/>
      <c r="O34"/>
      <c r="P34"/>
    </row>
    <row r="35" spans="1:16">
      <c r="A35">
        <v>23</v>
      </c>
      <c r="B35" t="s">
        <v>1559</v>
      </c>
      <c r="C35"/>
      <c r="D35" t="str">
        <f t="shared" si="0"/>
        <v>23. Alice Erasmus</v>
      </c>
      <c r="E35"/>
      <c r="F35"/>
      <c r="G35"/>
      <c r="H35"/>
      <c r="I35"/>
      <c r="J35"/>
      <c r="K35"/>
      <c r="L35"/>
      <c r="M35"/>
      <c r="N35"/>
      <c r="O35"/>
      <c r="P35"/>
    </row>
    <row r="36" spans="1:16">
      <c r="A36">
        <v>24</v>
      </c>
      <c r="B36" t="s">
        <v>1560</v>
      </c>
      <c r="C36"/>
      <c r="D36" t="str">
        <f t="shared" si="0"/>
        <v>24. Sasha</v>
      </c>
      <c r="E36"/>
      <c r="F36"/>
      <c r="G36"/>
      <c r="H36"/>
      <c r="I36"/>
      <c r="J36"/>
      <c r="K36"/>
      <c r="L36"/>
      <c r="M36"/>
      <c r="N36"/>
      <c r="O36"/>
      <c r="P36"/>
    </row>
    <row r="37" spans="1:16">
      <c r="A37">
        <v>25</v>
      </c>
      <c r="B37" t="s">
        <v>1561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7" customWidth="1"/>
    <col min="10" max="10" width="15.109375" style="317" customWidth="1"/>
    <col min="11" max="12" width="12" customWidth="1"/>
    <col min="13" max="18" width="9.21875" customWidth="1"/>
  </cols>
  <sheetData>
    <row r="4" spans="1:18" ht="15" thickBot="1"/>
    <row r="5" spans="1:18" ht="15" thickBot="1">
      <c r="F5" t="s">
        <v>1518</v>
      </c>
      <c r="H5" s="319"/>
      <c r="I5" s="319"/>
      <c r="J5" s="319"/>
    </row>
    <row r="6" spans="1:18" ht="15" thickBot="1">
      <c r="B6" s="318"/>
      <c r="C6" s="318" t="s">
        <v>1535</v>
      </c>
      <c r="E6" s="318" t="s">
        <v>1536</v>
      </c>
      <c r="F6" s="318" t="s">
        <v>1537</v>
      </c>
      <c r="G6" s="318" t="s">
        <v>1538</v>
      </c>
      <c r="H6" s="319"/>
      <c r="I6" s="319"/>
      <c r="J6" s="319"/>
    </row>
    <row r="7" spans="1:18" s="316" customFormat="1" ht="28.8">
      <c r="A7" s="316" t="s">
        <v>1528</v>
      </c>
      <c r="B7" s="316" t="s">
        <v>1540</v>
      </c>
      <c r="C7" s="322" t="s">
        <v>1527</v>
      </c>
      <c r="D7" s="316" t="s">
        <v>1519</v>
      </c>
      <c r="E7" s="316" t="s">
        <v>1526</v>
      </c>
      <c r="F7" s="316" t="s">
        <v>1524</v>
      </c>
      <c r="G7" s="316" t="s">
        <v>1525</v>
      </c>
      <c r="H7" t="s">
        <v>1521</v>
      </c>
      <c r="I7" s="316" t="s">
        <v>1523</v>
      </c>
      <c r="J7" s="316" t="s">
        <v>1522</v>
      </c>
      <c r="K7" s="321" t="s">
        <v>1520</v>
      </c>
      <c r="M7" s="316" t="s">
        <v>1529</v>
      </c>
      <c r="N7" s="316" t="s">
        <v>1530</v>
      </c>
      <c r="O7" s="316" t="s">
        <v>1531</v>
      </c>
      <c r="P7" s="316" t="s">
        <v>1532</v>
      </c>
      <c r="Q7" s="316" t="s">
        <v>1533</v>
      </c>
      <c r="R7" s="316" t="s">
        <v>1534</v>
      </c>
    </row>
    <row r="8" spans="1:18">
      <c r="A8">
        <v>1</v>
      </c>
      <c r="B8" t="s">
        <v>1542</v>
      </c>
      <c r="C8" t="str">
        <f>VLOOKUP(N8,tbl_TaskCodeX,4,FALSE)</f>
        <v>3. 50p</v>
      </c>
      <c r="D8" t="s">
        <v>1570</v>
      </c>
      <c r="E8" t="str">
        <f>VLOOKUP(O8,tbl_TaskStatusX,4,FALSE)</f>
        <v>3. WIP</v>
      </c>
      <c r="F8" t="str">
        <f>VLOOKUP(P8,tbl_StaffX,4,FALSE)</f>
        <v>3. Joan van Zyl</v>
      </c>
      <c r="G8" t="str">
        <f>VLOOKUP(Q8,tbl_StaffRoleX,4,FALSE)</f>
        <v>2. ATL</v>
      </c>
      <c r="H8" s="320">
        <v>44768</v>
      </c>
      <c r="I8" s="320">
        <v>44782</v>
      </c>
      <c r="J8" s="320">
        <v>44796</v>
      </c>
      <c r="N8">
        <v>3</v>
      </c>
      <c r="O8">
        <v>3</v>
      </c>
      <c r="P8">
        <v>3</v>
      </c>
      <c r="Q8">
        <v>2</v>
      </c>
    </row>
    <row r="9" spans="1:18">
      <c r="A9">
        <v>2</v>
      </c>
      <c r="B9" t="s">
        <v>1541</v>
      </c>
      <c r="C9" t="str">
        <f>VLOOKUP(N9,tbl_TaskCodeX,4,FALSE)</f>
        <v>2. 30p</v>
      </c>
      <c r="D9" t="s">
        <v>1571</v>
      </c>
      <c r="E9" t="str">
        <f>VLOOKUP(O9,tbl_TaskStatusX,4,FALSE)</f>
        <v>3. WIP</v>
      </c>
      <c r="F9" t="str">
        <f>VLOOKUP(P9,tbl_StaffX,4,FALSE)</f>
        <v>2. Pieter van Zyl</v>
      </c>
      <c r="G9" t="str">
        <f>VLOOKUP(Q9,tbl_StaffRoleX,4,FALSE)</f>
        <v>1. None</v>
      </c>
      <c r="H9" s="320">
        <v>44775</v>
      </c>
      <c r="I9" s="320">
        <v>44775</v>
      </c>
      <c r="J9" s="320">
        <v>44775</v>
      </c>
      <c r="N9">
        <v>2</v>
      </c>
      <c r="O9">
        <v>3</v>
      </c>
      <c r="P9">
        <v>2</v>
      </c>
      <c r="Q9">
        <v>1</v>
      </c>
    </row>
    <row r="10" spans="1:18">
      <c r="A10">
        <v>3</v>
      </c>
      <c r="B10" t="s">
        <v>1541</v>
      </c>
      <c r="C10" t="str">
        <f>VLOOKUP(N10,tbl_TaskCodeX,4,FALSE)</f>
        <v>2. 30p</v>
      </c>
      <c r="D10" t="s">
        <v>1572</v>
      </c>
      <c r="E10" t="str">
        <f>VLOOKUP(O10,tbl_TaskStatusX,4,FALSE)</f>
        <v>3. WIP</v>
      </c>
      <c r="F10" t="str">
        <f>VLOOKUP(P10,tbl_StaffX,4,FALSE)</f>
        <v>2. Pieter van Zyl</v>
      </c>
      <c r="G10" t="str">
        <f>VLOOKUP(Q10,tbl_StaffRoleX,4,FALSE)</f>
        <v>1. None</v>
      </c>
      <c r="H10" s="320">
        <v>44775</v>
      </c>
      <c r="I10" s="320">
        <v>44775</v>
      </c>
      <c r="J10"/>
      <c r="N10">
        <v>2</v>
      </c>
      <c r="O10">
        <v>3</v>
      </c>
      <c r="P10">
        <v>2</v>
      </c>
      <c r="Q10">
        <v>1</v>
      </c>
    </row>
    <row r="11" spans="1:18">
      <c r="A11">
        <v>4</v>
      </c>
      <c r="B11" t="s">
        <v>1569</v>
      </c>
      <c r="C11" t="str">
        <f>VLOOKUP(N11,tbl_TaskCodeX,4,FALSE)</f>
        <v>2. 30p</v>
      </c>
      <c r="D11" t="s">
        <v>1573</v>
      </c>
      <c r="E11" t="str">
        <f>VLOOKUP(O11,tbl_TaskStatusX,4,FALSE)</f>
        <v>2. Not started</v>
      </c>
      <c r="F11" t="str">
        <f>VLOOKUP(P11,tbl_StaffX,4,FALSE)</f>
        <v>2. Pieter van Zyl</v>
      </c>
      <c r="G11" t="str">
        <f>VLOOKUP(Q11,tbl_StaffRoleX,4,FALSE)</f>
        <v>2. ATL</v>
      </c>
      <c r="H11" s="320">
        <v>44775</v>
      </c>
      <c r="I11" s="320">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70" t="s">
        <v>433</v>
      </c>
      <c r="E2" s="71"/>
    </row>
    <row r="4" spans="1:7">
      <c r="A4" s="14" t="s">
        <v>398</v>
      </c>
      <c r="B4" s="14" t="s">
        <v>399</v>
      </c>
      <c r="C4" s="14" t="s">
        <v>402</v>
      </c>
      <c r="D4" s="14" t="s">
        <v>404</v>
      </c>
      <c r="E4" s="14" t="s">
        <v>400</v>
      </c>
      <c r="F4" s="14" t="s">
        <v>401</v>
      </c>
      <c r="G4" s="14" t="s">
        <v>403</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70" t="s">
        <v>433</v>
      </c>
      <c r="G2" s="71"/>
    </row>
    <row r="4" spans="1:9" ht="28.8">
      <c r="A4" s="14" t="s">
        <v>398</v>
      </c>
      <c r="B4" s="14" t="s">
        <v>399</v>
      </c>
      <c r="C4" s="14" t="s">
        <v>447</v>
      </c>
      <c r="D4" s="14" t="s">
        <v>448</v>
      </c>
      <c r="E4" s="14" t="s">
        <v>449</v>
      </c>
      <c r="F4" s="14" t="s">
        <v>450</v>
      </c>
      <c r="G4" s="14" t="s">
        <v>451</v>
      </c>
      <c r="H4" s="14" t="s">
        <v>401</v>
      </c>
      <c r="I4" s="14" t="s">
        <v>403</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2"/>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408</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409</v>
      </c>
    </row>
    <row r="16" spans="2:3">
      <c r="C16" s="24" t="s">
        <v>410</v>
      </c>
    </row>
    <row r="17" spans="2:3">
      <c r="C17" s="23" t="s">
        <v>411</v>
      </c>
    </row>
    <row r="18" spans="2:3">
      <c r="C18" s="24" t="s">
        <v>11</v>
      </c>
    </row>
    <row r="19" spans="2:3">
      <c r="C19" s="24" t="s">
        <v>12</v>
      </c>
    </row>
    <row r="20" spans="2:3">
      <c r="C20" s="23" t="s">
        <v>13</v>
      </c>
    </row>
    <row r="21" spans="2:3">
      <c r="C21" s="23" t="s">
        <v>14</v>
      </c>
    </row>
    <row r="22" spans="2:3">
      <c r="C22" s="23" t="s">
        <v>15</v>
      </c>
    </row>
    <row r="25" spans="2:3">
      <c r="B25" s="23" t="s">
        <v>412</v>
      </c>
    </row>
    <row r="26" spans="2:3">
      <c r="C26" s="25" t="s">
        <v>413</v>
      </c>
    </row>
    <row r="27" spans="2:3">
      <c r="C27" s="15" t="s">
        <v>2085</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4"/>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4"/>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4"/>
      <c r="B7" s="31">
        <v>1.3</v>
      </c>
      <c r="C7" s="35"/>
      <c r="D7" s="35"/>
      <c r="E7" s="35"/>
      <c r="F7" s="35"/>
      <c r="G7" s="35"/>
      <c r="H7" s="35"/>
      <c r="I7" s="35"/>
      <c r="J7" s="35"/>
      <c r="K7" s="35" t="s">
        <v>50</v>
      </c>
      <c r="L7" s="35"/>
      <c r="M7" s="35"/>
      <c r="N7" s="35"/>
      <c r="O7" s="35"/>
      <c r="P7" s="35"/>
      <c r="Q7" s="35"/>
      <c r="R7" s="35"/>
      <c r="S7" s="35"/>
      <c r="T7" s="35"/>
      <c r="U7" s="35"/>
      <c r="V7" s="34" t="s">
        <v>53</v>
      </c>
    </row>
    <row r="8" spans="1:22" ht="15.6">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4"/>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4"/>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4"/>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4"/>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4"/>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4"/>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4"/>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4"/>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4"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4"/>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4"/>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4"/>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4"/>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4"/>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4"/>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4"/>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4" t="s">
        <v>415</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4"/>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4"/>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4"/>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4"/>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4"/>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4"/>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4"/>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7" t="s">
        <v>16</v>
      </c>
      <c r="B2" s="377" t="s">
        <v>17</v>
      </c>
      <c r="C2" s="375" t="s">
        <v>18</v>
      </c>
      <c r="D2" s="375"/>
      <c r="E2" s="376" t="s">
        <v>19</v>
      </c>
      <c r="F2" s="376"/>
      <c r="G2" s="375" t="s">
        <v>20</v>
      </c>
      <c r="H2" s="375"/>
      <c r="I2" s="375"/>
      <c r="J2" s="375"/>
      <c r="K2" s="376" t="s">
        <v>21</v>
      </c>
      <c r="L2" s="376"/>
      <c r="M2" s="376"/>
      <c r="N2" s="26" t="s">
        <v>22</v>
      </c>
      <c r="O2" s="27" t="s">
        <v>23</v>
      </c>
      <c r="P2" s="375" t="s">
        <v>24</v>
      </c>
      <c r="Q2" s="375"/>
      <c r="R2" s="375"/>
      <c r="S2" s="376" t="s">
        <v>25</v>
      </c>
      <c r="T2" s="376"/>
      <c r="U2" s="376"/>
      <c r="V2" s="28" t="s">
        <v>26</v>
      </c>
    </row>
    <row r="3" spans="1:22" ht="15.6">
      <c r="A3" s="377"/>
      <c r="B3" s="377"/>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4" t="s">
        <v>414</v>
      </c>
      <c r="B4" s="32" t="s">
        <v>47</v>
      </c>
      <c r="C4" s="33"/>
      <c r="D4" s="33"/>
      <c r="E4" s="33"/>
      <c r="F4" s="33"/>
      <c r="G4" s="33"/>
      <c r="H4" s="33"/>
      <c r="I4" s="33"/>
      <c r="J4" s="33"/>
      <c r="K4" s="33"/>
      <c r="L4" s="33"/>
      <c r="M4" s="33"/>
      <c r="N4" s="33"/>
      <c r="O4" s="33"/>
      <c r="P4" s="33"/>
      <c r="Q4" s="33"/>
      <c r="R4" s="33"/>
      <c r="S4" s="33"/>
      <c r="T4" s="33"/>
      <c r="U4" s="33"/>
      <c r="V4" s="34" t="s">
        <v>49</v>
      </c>
    </row>
    <row r="5" spans="1:22" ht="15.6">
      <c r="A5" s="374"/>
      <c r="B5" s="31">
        <v>1.1000000000000001</v>
      </c>
      <c r="C5" s="33"/>
      <c r="D5" s="33"/>
      <c r="E5" s="35"/>
      <c r="F5" s="35"/>
      <c r="G5" s="35"/>
      <c r="H5" s="35"/>
      <c r="I5" s="35"/>
      <c r="J5" s="35"/>
      <c r="K5" s="35"/>
      <c r="L5" s="35"/>
      <c r="M5" s="35"/>
      <c r="N5" s="35"/>
      <c r="O5" s="35"/>
      <c r="P5" s="35"/>
      <c r="Q5" s="35"/>
      <c r="R5" s="35"/>
      <c r="S5" s="35"/>
      <c r="T5" s="35"/>
      <c r="U5" s="35"/>
      <c r="V5" s="34" t="s">
        <v>51</v>
      </c>
    </row>
    <row r="6" spans="1:22" ht="15.6">
      <c r="A6" s="374"/>
      <c r="B6" s="31">
        <v>1.2</v>
      </c>
      <c r="C6" s="35"/>
      <c r="D6" s="35"/>
      <c r="E6" s="35"/>
      <c r="F6" s="35"/>
      <c r="G6" s="35"/>
      <c r="H6" s="35"/>
      <c r="I6" s="35"/>
      <c r="J6" s="35"/>
      <c r="K6" s="35"/>
      <c r="L6" s="35"/>
      <c r="M6" s="35"/>
      <c r="N6" s="35"/>
      <c r="O6" s="35"/>
      <c r="P6" s="35"/>
      <c r="Q6" s="35"/>
      <c r="R6" s="35"/>
      <c r="S6" s="35"/>
      <c r="T6" s="35"/>
      <c r="U6" s="35"/>
      <c r="V6" s="34" t="s">
        <v>52</v>
      </c>
    </row>
    <row r="7" spans="1:22" ht="15.6">
      <c r="A7" s="374"/>
      <c r="B7" s="31">
        <v>1.3</v>
      </c>
      <c r="C7" s="35"/>
      <c r="D7" s="35"/>
      <c r="E7" s="35"/>
      <c r="F7" s="35"/>
      <c r="G7" s="35"/>
      <c r="H7" s="35"/>
      <c r="I7" s="35"/>
      <c r="J7" s="35"/>
      <c r="K7" s="35"/>
      <c r="L7" s="35"/>
      <c r="M7" s="35"/>
      <c r="N7" s="35"/>
      <c r="O7" s="35"/>
      <c r="P7" s="35"/>
      <c r="Q7" s="35"/>
      <c r="R7" s="35"/>
      <c r="S7" s="35"/>
      <c r="T7" s="35"/>
      <c r="U7" s="35"/>
      <c r="V7" s="34" t="s">
        <v>53</v>
      </c>
    </row>
    <row r="8" spans="1:22" ht="15.6" hidden="1">
      <c r="A8" s="374"/>
      <c r="B8" s="31">
        <v>1.4</v>
      </c>
      <c r="C8" s="35"/>
      <c r="D8" s="35"/>
      <c r="E8" s="35"/>
      <c r="F8" s="35"/>
      <c r="G8" s="35"/>
      <c r="H8" s="35"/>
      <c r="I8" s="35"/>
      <c r="J8" s="35"/>
      <c r="K8" s="35"/>
      <c r="L8" s="35"/>
      <c r="M8" s="35"/>
      <c r="N8" s="35"/>
      <c r="O8" s="35"/>
      <c r="P8" s="35"/>
      <c r="Q8" s="35"/>
      <c r="R8" s="35"/>
      <c r="S8" s="35"/>
      <c r="T8" s="35"/>
      <c r="U8" s="35"/>
      <c r="V8" s="34" t="s">
        <v>53</v>
      </c>
    </row>
    <row r="9" spans="1:22" ht="15.6">
      <c r="A9" s="374" t="s">
        <v>54</v>
      </c>
      <c r="B9" s="32" t="s">
        <v>54</v>
      </c>
      <c r="C9" s="33"/>
      <c r="D9" s="33"/>
      <c r="E9" s="33"/>
      <c r="F9" s="33"/>
      <c r="G9" s="33"/>
      <c r="H9" s="33"/>
      <c r="I9" s="33"/>
      <c r="J9" s="33"/>
      <c r="K9" s="33"/>
      <c r="L9" s="33"/>
      <c r="M9" s="33"/>
      <c r="N9" s="33"/>
      <c r="O9" s="33"/>
      <c r="P9" s="33"/>
      <c r="Q9" s="33"/>
      <c r="R9" s="33"/>
      <c r="S9" s="33"/>
      <c r="T9" s="33"/>
      <c r="U9" s="33"/>
      <c r="V9" s="34"/>
    </row>
    <row r="10" spans="1:22" ht="15.6">
      <c r="A10" s="374"/>
      <c r="B10" s="31">
        <v>2.1</v>
      </c>
      <c r="C10" s="33"/>
      <c r="D10" s="33"/>
      <c r="E10" s="35"/>
      <c r="F10" s="35"/>
      <c r="G10" s="35"/>
      <c r="H10" s="35"/>
      <c r="I10" s="35"/>
      <c r="J10" s="35"/>
      <c r="K10" s="35"/>
      <c r="L10" s="35"/>
      <c r="M10" s="35"/>
      <c r="N10" s="35"/>
      <c r="O10" s="35"/>
      <c r="P10" s="35"/>
      <c r="Q10" s="35"/>
      <c r="R10" s="35"/>
      <c r="S10" s="35"/>
      <c r="T10" s="35"/>
      <c r="U10" s="35"/>
      <c r="V10" s="34" t="s">
        <v>51</v>
      </c>
    </row>
    <row r="11" spans="1:22" ht="15.6">
      <c r="A11" s="374"/>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6">
      <c r="A12" s="374"/>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6">
      <c r="A13" s="374"/>
      <c r="B13" s="31">
        <v>2.4</v>
      </c>
      <c r="C13" s="33"/>
      <c r="D13" s="35"/>
      <c r="E13" s="35"/>
      <c r="F13" s="35"/>
      <c r="G13" s="35"/>
      <c r="H13" s="35"/>
      <c r="I13" s="35"/>
      <c r="J13" s="35"/>
      <c r="K13" s="35"/>
      <c r="L13" s="35"/>
      <c r="M13" s="35"/>
      <c r="N13" s="35"/>
      <c r="O13" s="35"/>
      <c r="P13" s="35"/>
      <c r="Q13" s="35"/>
      <c r="R13" s="35"/>
      <c r="S13" s="35"/>
      <c r="T13" s="35"/>
      <c r="U13" s="35"/>
      <c r="V13" s="34" t="s">
        <v>53</v>
      </c>
    </row>
    <row r="14" spans="1:22" ht="15.6">
      <c r="A14" s="374"/>
      <c r="B14" s="31">
        <v>2.5</v>
      </c>
      <c r="C14" s="35"/>
      <c r="D14" s="35"/>
      <c r="E14" s="35"/>
      <c r="F14" s="35"/>
      <c r="G14" s="35"/>
      <c r="H14" s="35"/>
      <c r="I14" s="35"/>
      <c r="J14" s="35"/>
      <c r="K14" s="35"/>
      <c r="L14" s="35"/>
      <c r="M14" s="35"/>
      <c r="N14" s="35"/>
      <c r="O14" s="35"/>
      <c r="P14" s="35"/>
      <c r="Q14" s="35"/>
      <c r="R14" s="35"/>
      <c r="S14" s="35"/>
      <c r="T14" s="35"/>
      <c r="U14" s="35"/>
      <c r="V14" s="34"/>
    </row>
    <row r="15" spans="1:22" ht="15.6">
      <c r="A15" s="374"/>
      <c r="B15" s="31">
        <v>2.6</v>
      </c>
      <c r="C15" s="35"/>
      <c r="D15" s="35"/>
      <c r="E15" s="35"/>
      <c r="F15" s="35"/>
      <c r="G15" s="35"/>
      <c r="H15" s="35"/>
      <c r="I15" s="35"/>
      <c r="J15" s="35"/>
      <c r="K15" s="35"/>
      <c r="L15" s="35"/>
      <c r="M15" s="35"/>
      <c r="N15" s="35"/>
      <c r="O15" s="35"/>
      <c r="P15" s="35"/>
      <c r="Q15" s="35"/>
      <c r="R15" s="35"/>
      <c r="S15" s="35"/>
      <c r="T15" s="35"/>
      <c r="U15" s="35"/>
      <c r="V15" s="34"/>
    </row>
    <row r="16" spans="1:22" ht="15.6">
      <c r="A16" s="374"/>
      <c r="B16" s="31">
        <v>2.7</v>
      </c>
      <c r="C16" s="35"/>
      <c r="D16" s="35"/>
      <c r="E16" s="35"/>
      <c r="F16" s="35"/>
      <c r="G16" s="35"/>
      <c r="H16" s="35"/>
      <c r="I16" s="35"/>
      <c r="J16" s="35"/>
      <c r="K16" s="35"/>
      <c r="L16" s="35"/>
      <c r="M16" s="35"/>
      <c r="N16" s="35"/>
      <c r="O16" s="35"/>
      <c r="P16" s="35"/>
      <c r="Q16" s="35"/>
      <c r="R16" s="35"/>
      <c r="S16" s="35"/>
      <c r="T16" s="35"/>
      <c r="U16" s="35"/>
      <c r="V16" s="34"/>
    </row>
    <row r="17" spans="1:22" ht="15.6">
      <c r="A17" s="374"/>
      <c r="B17" s="31">
        <v>2.8</v>
      </c>
      <c r="C17" s="35"/>
      <c r="D17" s="35"/>
      <c r="E17" s="35"/>
      <c r="F17" s="35"/>
      <c r="G17" s="35"/>
      <c r="H17" s="35"/>
      <c r="I17" s="35"/>
      <c r="J17" s="35"/>
      <c r="K17" s="35"/>
      <c r="L17" s="35"/>
      <c r="M17" s="35"/>
      <c r="N17" s="35"/>
      <c r="O17" s="35"/>
      <c r="P17" s="35"/>
      <c r="Q17" s="35"/>
      <c r="R17" s="35"/>
      <c r="S17" s="35"/>
      <c r="T17" s="35"/>
      <c r="U17" s="35"/>
      <c r="V17" s="34"/>
    </row>
    <row r="18" spans="1:22" ht="15.6">
      <c r="A18" s="374" t="s">
        <v>56</v>
      </c>
      <c r="B18" s="32" t="s">
        <v>56</v>
      </c>
      <c r="C18" s="33"/>
      <c r="D18" s="33"/>
      <c r="E18" s="33"/>
      <c r="F18" s="33"/>
      <c r="G18" s="33"/>
      <c r="H18" s="33"/>
      <c r="I18" s="33"/>
      <c r="J18" s="33"/>
      <c r="K18" s="33"/>
      <c r="L18" s="33"/>
      <c r="M18" s="33"/>
      <c r="N18" s="33"/>
      <c r="O18" s="33"/>
      <c r="P18" s="33"/>
      <c r="Q18" s="33"/>
      <c r="R18" s="33"/>
      <c r="S18" s="33"/>
      <c r="T18" s="33"/>
      <c r="U18" s="35"/>
      <c r="V18" s="34"/>
    </row>
    <row r="19" spans="1:22" ht="15.6">
      <c r="A19" s="374"/>
      <c r="B19" s="31">
        <v>3.1</v>
      </c>
      <c r="C19" s="33"/>
      <c r="D19" s="33"/>
      <c r="E19" s="35"/>
      <c r="F19" s="35"/>
      <c r="G19" s="35"/>
      <c r="H19" s="35"/>
      <c r="I19" s="35"/>
      <c r="J19" s="35"/>
      <c r="K19" s="35"/>
      <c r="L19" s="35"/>
      <c r="M19" s="35"/>
      <c r="N19" s="35"/>
      <c r="O19" s="35"/>
      <c r="P19" s="35"/>
      <c r="Q19" s="35"/>
      <c r="R19" s="35"/>
      <c r="S19" s="35"/>
      <c r="T19" s="35"/>
      <c r="U19" s="35"/>
      <c r="V19" s="34" t="s">
        <v>51</v>
      </c>
    </row>
    <row r="20" spans="1:22" ht="15.6">
      <c r="A20" s="374"/>
      <c r="B20" s="31">
        <v>3.2</v>
      </c>
      <c r="C20" s="33"/>
      <c r="D20" s="33"/>
      <c r="E20" s="35"/>
      <c r="F20" s="35"/>
      <c r="G20" s="35"/>
      <c r="H20" s="35"/>
      <c r="I20" s="35"/>
      <c r="J20" s="35"/>
      <c r="K20" s="35"/>
      <c r="L20" s="35"/>
      <c r="M20" s="35"/>
      <c r="N20" s="35"/>
      <c r="O20" s="35"/>
      <c r="P20" s="35"/>
      <c r="Q20" s="35"/>
      <c r="R20" s="35"/>
      <c r="S20" s="35"/>
      <c r="T20" s="35"/>
      <c r="U20" s="35"/>
      <c r="V20" s="34" t="s">
        <v>51</v>
      </c>
    </row>
    <row r="21" spans="1:22" ht="15.6">
      <c r="A21" s="374"/>
      <c r="B21" s="31">
        <v>3.3</v>
      </c>
      <c r="C21" s="35"/>
      <c r="D21" s="33"/>
      <c r="E21" s="35"/>
      <c r="F21" s="35"/>
      <c r="G21" s="35"/>
      <c r="H21" s="35"/>
      <c r="I21" s="35"/>
      <c r="J21" s="35"/>
      <c r="K21" s="35"/>
      <c r="L21" s="35"/>
      <c r="M21" s="35"/>
      <c r="N21" s="35"/>
      <c r="O21" s="35"/>
      <c r="P21" s="35"/>
      <c r="Q21" s="35"/>
      <c r="R21" s="35"/>
      <c r="S21" s="35"/>
      <c r="T21" s="35"/>
      <c r="U21" s="35"/>
      <c r="V21" s="34"/>
    </row>
    <row r="22" spans="1:22" ht="15.6">
      <c r="A22" s="374"/>
      <c r="B22" s="31">
        <v>3.4</v>
      </c>
      <c r="C22" s="35"/>
      <c r="D22" s="35"/>
      <c r="E22" s="35"/>
      <c r="F22" s="35"/>
      <c r="G22" s="35"/>
      <c r="H22" s="35"/>
      <c r="I22" s="35"/>
      <c r="J22" s="35"/>
      <c r="K22" s="35"/>
      <c r="L22" s="35"/>
      <c r="M22" s="35"/>
      <c r="N22" s="35"/>
      <c r="O22" s="35"/>
      <c r="P22" s="35"/>
      <c r="Q22" s="35"/>
      <c r="R22" s="35"/>
      <c r="S22" s="35"/>
      <c r="T22" s="35"/>
      <c r="U22" s="35"/>
      <c r="V22" s="34"/>
    </row>
    <row r="23" spans="1:22" ht="15.6">
      <c r="A23" s="374"/>
      <c r="B23" s="31">
        <v>3.5</v>
      </c>
      <c r="C23" s="35"/>
      <c r="D23" s="35"/>
      <c r="E23" s="35"/>
      <c r="F23" s="35"/>
      <c r="G23" s="35"/>
      <c r="H23" s="35"/>
      <c r="I23" s="35"/>
      <c r="J23" s="35"/>
      <c r="K23" s="35"/>
      <c r="L23" s="35"/>
      <c r="M23" s="35"/>
      <c r="N23" s="35"/>
      <c r="O23" s="35"/>
      <c r="P23" s="35"/>
      <c r="Q23" s="35"/>
      <c r="R23" s="35"/>
      <c r="S23" s="35"/>
      <c r="T23" s="35"/>
      <c r="U23" s="35"/>
      <c r="V23" s="34"/>
    </row>
    <row r="24" spans="1:22" ht="15.6">
      <c r="A24" s="374"/>
      <c r="B24" s="31">
        <v>3.6</v>
      </c>
      <c r="C24" s="35"/>
      <c r="D24" s="35"/>
      <c r="E24" s="35"/>
      <c r="F24" s="35"/>
      <c r="G24" s="35"/>
      <c r="H24" s="35"/>
      <c r="I24" s="35"/>
      <c r="J24" s="35"/>
      <c r="K24" s="35"/>
      <c r="L24" s="35"/>
      <c r="M24" s="35"/>
      <c r="N24" s="35"/>
      <c r="O24" s="35"/>
      <c r="P24" s="35"/>
      <c r="Q24" s="35"/>
      <c r="R24" s="35"/>
      <c r="S24" s="35"/>
      <c r="T24" s="35"/>
      <c r="U24" s="35"/>
      <c r="V24" s="34"/>
    </row>
    <row r="25" spans="1:22" ht="15.6">
      <c r="A25" s="374"/>
      <c r="B25" s="31">
        <v>3.7</v>
      </c>
      <c r="C25" s="35"/>
      <c r="D25" s="35"/>
      <c r="E25" s="35"/>
      <c r="F25" s="35"/>
      <c r="G25" s="35"/>
      <c r="H25" s="35"/>
      <c r="I25" s="35"/>
      <c r="J25" s="35"/>
      <c r="K25" s="35"/>
      <c r="L25" s="35"/>
      <c r="M25" s="35"/>
      <c r="N25" s="35"/>
      <c r="O25" s="35"/>
      <c r="P25" s="35"/>
      <c r="Q25" s="35"/>
      <c r="R25" s="35"/>
      <c r="S25" s="35"/>
      <c r="T25" s="35"/>
      <c r="U25" s="35"/>
      <c r="V25" s="34"/>
    </row>
    <row r="26" spans="1:22" ht="15.6">
      <c r="A26" s="374" t="s">
        <v>415</v>
      </c>
      <c r="B26" s="32" t="s">
        <v>57</v>
      </c>
      <c r="C26" s="33"/>
      <c r="D26" s="35"/>
      <c r="E26" s="35"/>
      <c r="F26" s="35"/>
      <c r="G26" s="35"/>
      <c r="H26" s="35"/>
      <c r="I26" s="35"/>
      <c r="J26" s="35"/>
      <c r="K26" s="33"/>
      <c r="L26" s="35"/>
      <c r="M26" s="33"/>
      <c r="N26" s="35"/>
      <c r="O26" s="35"/>
      <c r="P26" s="35"/>
      <c r="Q26" s="33"/>
      <c r="R26" s="35"/>
      <c r="S26" s="33"/>
      <c r="T26" s="35"/>
      <c r="U26" s="35"/>
      <c r="V26" s="34"/>
    </row>
    <row r="27" spans="1:22" ht="15.6">
      <c r="A27" s="374"/>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6">
      <c r="A28" s="374"/>
      <c r="B28" s="31">
        <v>4.2</v>
      </c>
      <c r="C28" s="35"/>
      <c r="D28" s="35"/>
      <c r="E28" s="35"/>
      <c r="F28" s="35"/>
      <c r="G28" s="35"/>
      <c r="H28" s="35"/>
      <c r="I28" s="35"/>
      <c r="J28" s="35"/>
      <c r="K28" s="35"/>
      <c r="L28" s="35"/>
      <c r="M28" s="35"/>
      <c r="N28" s="35"/>
      <c r="O28" s="35"/>
      <c r="P28" s="35"/>
      <c r="Q28" s="35"/>
      <c r="R28" s="35"/>
      <c r="S28" s="35"/>
      <c r="T28" s="35"/>
      <c r="U28" s="35"/>
      <c r="V28" s="34"/>
    </row>
    <row r="29" spans="1:22" ht="15.6">
      <c r="A29" s="374"/>
      <c r="B29" s="31">
        <v>4.3</v>
      </c>
      <c r="C29" s="35"/>
      <c r="D29" s="35"/>
      <c r="E29" s="35"/>
      <c r="F29" s="35"/>
      <c r="G29" s="35"/>
      <c r="H29" s="35"/>
      <c r="I29" s="35"/>
      <c r="J29" s="35"/>
      <c r="K29" s="35"/>
      <c r="L29" s="35"/>
      <c r="M29" s="35"/>
      <c r="N29" s="35"/>
      <c r="O29" s="35"/>
      <c r="P29" s="35"/>
      <c r="Q29" s="35"/>
      <c r="R29" s="35"/>
      <c r="S29" s="35"/>
      <c r="T29" s="35"/>
      <c r="U29" s="35"/>
      <c r="V29" s="34"/>
    </row>
    <row r="30" spans="1:22" ht="15.6">
      <c r="A30" s="374"/>
      <c r="B30" s="31">
        <v>4.4000000000000004</v>
      </c>
      <c r="C30" s="35"/>
      <c r="D30" s="35"/>
      <c r="E30" s="35"/>
      <c r="F30" s="35"/>
      <c r="G30" s="35"/>
      <c r="H30" s="35"/>
      <c r="I30" s="35"/>
      <c r="J30" s="35"/>
      <c r="K30" s="35"/>
      <c r="L30" s="35"/>
      <c r="M30" s="35"/>
      <c r="N30" s="35"/>
      <c r="O30" s="35"/>
      <c r="P30" s="35"/>
      <c r="Q30" s="35"/>
      <c r="R30" s="35"/>
      <c r="S30" s="35"/>
      <c r="T30" s="35"/>
      <c r="U30" s="35"/>
      <c r="V30" s="34"/>
    </row>
    <row r="31" spans="1:22" ht="15.6">
      <c r="A31" s="374"/>
      <c r="B31" s="31">
        <v>4.5</v>
      </c>
      <c r="C31" s="35"/>
      <c r="D31" s="35"/>
      <c r="E31" s="35"/>
      <c r="F31" s="35"/>
      <c r="G31" s="35"/>
      <c r="H31" s="35"/>
      <c r="I31" s="35"/>
      <c r="J31" s="35"/>
      <c r="K31" s="35"/>
      <c r="L31" s="35"/>
      <c r="M31" s="35"/>
      <c r="N31" s="35"/>
      <c r="O31" s="35"/>
      <c r="P31" s="35"/>
      <c r="Q31" s="35"/>
      <c r="R31" s="35"/>
      <c r="S31" s="35"/>
      <c r="T31" s="35"/>
      <c r="U31" s="35"/>
      <c r="V31" s="34"/>
    </row>
    <row r="32" spans="1:22" ht="15.6">
      <c r="A32" s="374" t="s">
        <v>58</v>
      </c>
      <c r="B32" s="32" t="s">
        <v>58</v>
      </c>
      <c r="C32" s="35"/>
      <c r="D32" s="35"/>
      <c r="E32" s="35"/>
      <c r="F32" s="35"/>
      <c r="G32" s="35"/>
      <c r="H32" s="35"/>
      <c r="I32" s="35"/>
      <c r="J32" s="35"/>
      <c r="K32" s="35"/>
      <c r="L32" s="35"/>
      <c r="M32" s="33"/>
      <c r="N32" s="35"/>
      <c r="O32" s="35"/>
      <c r="P32" s="35"/>
      <c r="Q32" s="35"/>
      <c r="R32" s="35"/>
      <c r="S32" s="33"/>
      <c r="T32" s="35"/>
      <c r="U32" s="35"/>
      <c r="V32" s="34"/>
    </row>
    <row r="33" spans="1:22" ht="15.6">
      <c r="A33" s="374"/>
      <c r="B33" s="31">
        <v>5.0999999999999996</v>
      </c>
      <c r="C33" s="35"/>
      <c r="D33" s="35"/>
      <c r="E33" s="35"/>
      <c r="F33" s="35"/>
      <c r="G33" s="35"/>
      <c r="H33" s="35"/>
      <c r="I33" s="35"/>
      <c r="J33" s="35"/>
      <c r="K33" s="35"/>
      <c r="L33" s="35"/>
      <c r="M33" s="35"/>
      <c r="N33" s="35"/>
      <c r="O33" s="35"/>
      <c r="P33" s="35"/>
      <c r="Q33" s="35"/>
      <c r="R33" s="35"/>
      <c r="S33" s="35"/>
      <c r="T33" s="35"/>
      <c r="U33" s="35"/>
      <c r="V33" s="34"/>
    </row>
    <row r="34" spans="1:22" ht="15.6">
      <c r="A34" s="374"/>
      <c r="B34" s="31">
        <v>5.2</v>
      </c>
      <c r="C34" s="35"/>
      <c r="D34" s="35"/>
      <c r="E34" s="35"/>
      <c r="F34" s="35"/>
      <c r="G34" s="35"/>
      <c r="H34" s="35"/>
      <c r="I34" s="35"/>
      <c r="J34" s="35"/>
      <c r="K34" s="35"/>
      <c r="L34" s="35"/>
      <c r="M34" s="35"/>
      <c r="N34" s="35"/>
      <c r="O34" s="35"/>
      <c r="P34" s="35"/>
      <c r="Q34" s="35"/>
      <c r="R34" s="35"/>
      <c r="S34" s="35"/>
      <c r="T34" s="35"/>
      <c r="U34" s="35"/>
      <c r="V34" s="34"/>
    </row>
    <row r="35" spans="1:22" ht="15.6">
      <c r="A35" s="374"/>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4" t="s">
        <v>414</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4"/>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4"/>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4"/>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4"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4"/>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4"/>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4"/>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4"/>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4"/>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4"/>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4"/>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4"/>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4"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4"/>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4"/>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4"/>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4"/>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4"/>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4"/>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4"/>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4" t="s">
        <v>415</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4"/>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4"/>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4"/>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4"/>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4"/>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4"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4"/>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4"/>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4"/>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7" t="s">
        <v>16</v>
      </c>
      <c r="B2" s="377"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7"/>
      <c r="B3" s="377"/>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4" t="s">
        <v>414</v>
      </c>
      <c r="B4" s="32" t="s">
        <v>47</v>
      </c>
      <c r="C4" s="50"/>
      <c r="D4" s="50"/>
      <c r="E4" s="50"/>
      <c r="F4" s="50"/>
      <c r="G4" s="50"/>
      <c r="H4" s="50"/>
      <c r="I4" s="50"/>
      <c r="J4" s="31"/>
      <c r="K4" s="50"/>
      <c r="L4" s="50"/>
      <c r="M4" s="50"/>
      <c r="N4" s="50"/>
      <c r="O4" s="50"/>
      <c r="P4" s="50"/>
      <c r="Q4" s="50"/>
      <c r="R4" s="50"/>
    </row>
    <row r="5" spans="1:18">
      <c r="A5" s="374"/>
      <c r="B5" s="31">
        <v>1.1000000000000001</v>
      </c>
      <c r="C5" s="50"/>
      <c r="D5" s="50"/>
      <c r="E5" s="50"/>
      <c r="F5" s="50"/>
      <c r="G5" s="50"/>
      <c r="H5" s="50"/>
      <c r="I5" s="50"/>
      <c r="J5" s="31"/>
      <c r="K5" s="50"/>
      <c r="L5" s="50"/>
      <c r="M5" s="50"/>
      <c r="N5" s="50"/>
      <c r="O5" s="50"/>
      <c r="P5" s="50"/>
      <c r="Q5" s="50"/>
      <c r="R5" s="50"/>
    </row>
    <row r="6" spans="1:18">
      <c r="A6" s="374"/>
      <c r="B6" s="31">
        <v>1.2</v>
      </c>
      <c r="C6" s="32"/>
      <c r="D6" s="32"/>
      <c r="E6" s="32"/>
      <c r="F6" s="32"/>
      <c r="G6" s="32"/>
      <c r="H6" s="32"/>
      <c r="I6" s="32"/>
      <c r="J6" s="31"/>
      <c r="K6" s="32"/>
      <c r="L6" s="32"/>
      <c r="M6" s="32"/>
      <c r="N6" s="32"/>
      <c r="O6" s="32"/>
      <c r="P6" s="32"/>
      <c r="Q6" s="32"/>
      <c r="R6" s="32"/>
    </row>
    <row r="7" spans="1:18">
      <c r="A7" s="374"/>
      <c r="B7" s="67">
        <v>1.3</v>
      </c>
      <c r="C7" s="32"/>
      <c r="D7" s="32"/>
      <c r="E7" s="32"/>
      <c r="F7" s="32"/>
      <c r="G7" s="32"/>
      <c r="H7" s="32"/>
      <c r="I7" s="32"/>
      <c r="J7" s="67"/>
      <c r="K7" s="32"/>
      <c r="L7" s="32"/>
      <c r="M7" s="32"/>
      <c r="N7" s="32"/>
      <c r="O7" s="32"/>
      <c r="P7" s="32"/>
      <c r="Q7" s="32"/>
      <c r="R7" s="32"/>
    </row>
    <row r="8" spans="1:18" hidden="1">
      <c r="A8" s="374"/>
      <c r="B8" s="31">
        <v>1.4</v>
      </c>
      <c r="C8" s="32"/>
      <c r="D8" s="32"/>
      <c r="E8" s="32"/>
      <c r="F8" s="32"/>
      <c r="G8" s="32"/>
      <c r="H8" s="32"/>
      <c r="I8" s="32"/>
      <c r="J8" s="31"/>
      <c r="K8" s="32"/>
      <c r="L8" s="32"/>
      <c r="M8" s="32"/>
      <c r="N8" s="32"/>
      <c r="O8" s="32"/>
      <c r="P8" s="32"/>
      <c r="Q8" s="32"/>
      <c r="R8" s="32"/>
    </row>
    <row r="9" spans="1:18">
      <c r="A9" s="374" t="s">
        <v>54</v>
      </c>
      <c r="B9" s="32" t="s">
        <v>54</v>
      </c>
      <c r="C9" s="50"/>
      <c r="D9" s="50"/>
      <c r="E9" s="50"/>
      <c r="F9" s="50"/>
      <c r="G9" s="50"/>
      <c r="H9" s="50"/>
      <c r="I9" s="50"/>
      <c r="J9" s="31"/>
      <c r="K9" s="50"/>
      <c r="L9" s="50"/>
      <c r="M9" s="50"/>
      <c r="N9" s="50"/>
      <c r="O9" s="50"/>
      <c r="P9" s="50"/>
      <c r="Q9" s="50"/>
      <c r="R9" s="50"/>
    </row>
    <row r="10" spans="1:18">
      <c r="A10" s="374"/>
      <c r="B10" s="31">
        <v>2.1</v>
      </c>
      <c r="C10" s="50"/>
      <c r="D10" s="50"/>
      <c r="E10" s="50"/>
      <c r="F10" s="50"/>
      <c r="G10" s="50"/>
      <c r="H10" s="50"/>
      <c r="I10" s="50"/>
      <c r="J10" s="31"/>
      <c r="K10" s="50"/>
      <c r="L10" s="50"/>
      <c r="M10" s="50"/>
      <c r="N10" s="50"/>
      <c r="O10" s="50"/>
      <c r="P10" s="50"/>
      <c r="Q10" s="50"/>
      <c r="R10" s="50"/>
    </row>
    <row r="11" spans="1:18">
      <c r="A11" s="374"/>
      <c r="B11" s="31">
        <v>2.2000000000000002</v>
      </c>
      <c r="C11" s="50"/>
      <c r="D11" s="50"/>
      <c r="E11" s="50"/>
      <c r="F11" s="50"/>
      <c r="G11" s="50"/>
      <c r="H11" s="50"/>
      <c r="I11" s="50"/>
      <c r="J11" s="31"/>
      <c r="K11" s="50"/>
      <c r="L11" s="50"/>
      <c r="M11" s="50"/>
      <c r="N11" s="50"/>
      <c r="O11" s="50"/>
      <c r="P11" s="50"/>
      <c r="Q11" s="50"/>
      <c r="R11" s="50"/>
    </row>
    <row r="12" spans="1:18">
      <c r="A12" s="374"/>
      <c r="B12" s="31">
        <v>2.2999999999999998</v>
      </c>
      <c r="C12" s="50"/>
      <c r="D12" s="50"/>
      <c r="E12" s="50"/>
      <c r="F12" s="50"/>
      <c r="G12" s="50"/>
      <c r="H12" s="50"/>
      <c r="I12" s="50"/>
      <c r="J12" s="31"/>
      <c r="K12" s="32"/>
      <c r="L12" s="32"/>
      <c r="M12" s="32"/>
      <c r="N12" s="32"/>
      <c r="O12" s="32"/>
      <c r="P12" s="32"/>
      <c r="Q12" s="32"/>
      <c r="R12" s="32"/>
    </row>
    <row r="13" spans="1:18">
      <c r="A13" s="374"/>
      <c r="B13" s="31">
        <v>2.4</v>
      </c>
      <c r="C13" s="50"/>
      <c r="D13" s="50"/>
      <c r="E13" s="50"/>
      <c r="F13" s="50"/>
      <c r="G13" s="50"/>
      <c r="H13" s="50"/>
      <c r="I13" s="50"/>
      <c r="J13" s="31"/>
      <c r="K13" s="32"/>
      <c r="L13" s="32"/>
      <c r="M13" s="32"/>
      <c r="N13" s="32"/>
      <c r="O13" s="32"/>
      <c r="P13" s="32"/>
      <c r="Q13" s="32"/>
      <c r="R13" s="32"/>
    </row>
    <row r="14" spans="1:18">
      <c r="A14" s="374"/>
      <c r="B14" s="31">
        <v>2.5</v>
      </c>
      <c r="C14" s="32"/>
      <c r="D14" s="32"/>
      <c r="E14" s="32"/>
      <c r="F14" s="32"/>
      <c r="G14" s="32"/>
      <c r="H14" s="32"/>
      <c r="I14" s="32"/>
      <c r="J14" s="31"/>
      <c r="K14" s="32"/>
      <c r="L14" s="32"/>
      <c r="M14" s="32"/>
      <c r="N14" s="32"/>
      <c r="O14" s="32"/>
      <c r="P14" s="32"/>
      <c r="Q14" s="32"/>
      <c r="R14" s="32"/>
    </row>
    <row r="15" spans="1:18">
      <c r="A15" s="374"/>
      <c r="B15" s="31">
        <v>2.6</v>
      </c>
      <c r="C15" s="32"/>
      <c r="D15" s="32"/>
      <c r="E15" s="32"/>
      <c r="F15" s="32"/>
      <c r="G15" s="32"/>
      <c r="H15" s="32"/>
      <c r="I15" s="32"/>
      <c r="J15" s="31"/>
      <c r="K15" s="32"/>
      <c r="L15" s="32"/>
      <c r="M15" s="32"/>
      <c r="N15" s="32"/>
      <c r="O15" s="32"/>
      <c r="P15" s="32"/>
      <c r="Q15" s="32"/>
      <c r="R15" s="32"/>
    </row>
    <row r="16" spans="1:18">
      <c r="A16" s="374"/>
      <c r="B16" s="31">
        <v>2.7</v>
      </c>
      <c r="C16" s="32"/>
      <c r="D16" s="32"/>
      <c r="E16" s="32"/>
      <c r="F16" s="32"/>
      <c r="G16" s="32"/>
      <c r="H16" s="32"/>
      <c r="I16" s="32"/>
      <c r="J16" s="31"/>
      <c r="K16" s="32"/>
      <c r="L16" s="32"/>
      <c r="M16" s="32"/>
      <c r="N16" s="32"/>
      <c r="O16" s="32"/>
      <c r="P16" s="32"/>
      <c r="Q16" s="32"/>
      <c r="R16" s="32"/>
    </row>
    <row r="17" spans="1:18">
      <c r="A17" s="374"/>
      <c r="B17" s="31">
        <v>2.8</v>
      </c>
      <c r="C17" s="32"/>
      <c r="D17" s="32"/>
      <c r="E17" s="32"/>
      <c r="F17" s="32"/>
      <c r="G17" s="32"/>
      <c r="H17" s="32"/>
      <c r="I17" s="32"/>
      <c r="J17" s="31"/>
      <c r="K17" s="32"/>
      <c r="L17" s="32"/>
      <c r="M17" s="32"/>
      <c r="N17" s="32"/>
      <c r="O17" s="32"/>
      <c r="P17" s="32"/>
      <c r="Q17" s="32"/>
      <c r="R17" s="32"/>
    </row>
    <row r="18" spans="1:18">
      <c r="A18" s="374" t="s">
        <v>56</v>
      </c>
      <c r="B18" s="32" t="s">
        <v>56</v>
      </c>
      <c r="C18" s="50"/>
      <c r="D18" s="50"/>
      <c r="E18" s="50"/>
      <c r="F18" s="50"/>
      <c r="G18" s="50"/>
      <c r="H18" s="50"/>
      <c r="I18" s="50"/>
      <c r="J18" s="31"/>
      <c r="K18" s="50"/>
      <c r="L18" s="50"/>
      <c r="M18" s="50"/>
      <c r="N18" s="50"/>
      <c r="O18" s="50"/>
      <c r="P18" s="50"/>
      <c r="Q18" s="50"/>
      <c r="R18" s="50"/>
    </row>
    <row r="19" spans="1:18">
      <c r="A19" s="374"/>
      <c r="B19" s="31">
        <v>3.1</v>
      </c>
      <c r="C19" s="50"/>
      <c r="D19" s="50"/>
      <c r="E19" s="50"/>
      <c r="F19" s="50"/>
      <c r="G19" s="50"/>
      <c r="H19" s="50"/>
      <c r="I19" s="50"/>
      <c r="J19" s="31"/>
      <c r="K19" s="50"/>
      <c r="L19" s="50"/>
      <c r="M19" s="50"/>
      <c r="N19" s="50"/>
      <c r="O19" s="50"/>
      <c r="P19" s="50"/>
      <c r="Q19" s="50"/>
      <c r="R19" s="50"/>
    </row>
    <row r="20" spans="1:18">
      <c r="A20" s="374"/>
      <c r="B20" s="31">
        <v>3.2</v>
      </c>
      <c r="C20" s="50"/>
      <c r="D20" s="50"/>
      <c r="E20" s="50"/>
      <c r="F20" s="50"/>
      <c r="G20" s="50"/>
      <c r="H20" s="50"/>
      <c r="I20" s="50"/>
      <c r="J20" s="31"/>
      <c r="K20" s="50"/>
      <c r="L20" s="50"/>
      <c r="M20" s="50"/>
      <c r="N20" s="50"/>
      <c r="O20" s="50"/>
      <c r="P20" s="50"/>
      <c r="Q20" s="50"/>
      <c r="R20" s="50"/>
    </row>
    <row r="21" spans="1:18">
      <c r="A21" s="374"/>
      <c r="B21" s="31">
        <v>3.3</v>
      </c>
      <c r="C21" s="32"/>
      <c r="D21" s="32"/>
      <c r="E21" s="32"/>
      <c r="F21" s="32"/>
      <c r="G21" s="32"/>
      <c r="H21" s="32"/>
      <c r="I21" s="32"/>
      <c r="J21" s="31"/>
      <c r="K21" s="50"/>
      <c r="L21" s="50"/>
      <c r="M21" s="50"/>
      <c r="N21" s="50"/>
      <c r="O21" s="50"/>
      <c r="P21" s="50"/>
      <c r="Q21" s="50"/>
      <c r="R21" s="50"/>
    </row>
    <row r="22" spans="1:18">
      <c r="A22" s="374"/>
      <c r="B22" s="31">
        <v>3.4</v>
      </c>
      <c r="C22" s="32"/>
      <c r="D22" s="32"/>
      <c r="E22" s="32"/>
      <c r="F22" s="32"/>
      <c r="G22" s="32"/>
      <c r="H22" s="32"/>
      <c r="I22" s="32"/>
      <c r="J22" s="31"/>
      <c r="K22" s="32"/>
      <c r="L22" s="32"/>
      <c r="M22" s="32"/>
      <c r="N22" s="32"/>
      <c r="O22" s="32"/>
      <c r="P22" s="32"/>
      <c r="Q22" s="32"/>
      <c r="R22" s="32"/>
    </row>
    <row r="23" spans="1:18">
      <c r="A23" s="374"/>
      <c r="B23" s="31">
        <v>3.5</v>
      </c>
      <c r="C23" s="32"/>
      <c r="D23" s="32"/>
      <c r="E23" s="32"/>
      <c r="F23" s="32"/>
      <c r="G23" s="32"/>
      <c r="H23" s="32"/>
      <c r="I23" s="32"/>
      <c r="J23" s="31"/>
      <c r="K23" s="32"/>
      <c r="L23" s="32"/>
      <c r="M23" s="32"/>
      <c r="N23" s="32"/>
      <c r="O23" s="32"/>
      <c r="P23" s="32"/>
      <c r="Q23" s="32"/>
      <c r="R23" s="32"/>
    </row>
    <row r="24" spans="1:18">
      <c r="A24" s="374"/>
      <c r="B24" s="31">
        <v>3.6</v>
      </c>
      <c r="C24" s="32"/>
      <c r="D24" s="32"/>
      <c r="E24" s="32"/>
      <c r="F24" s="32"/>
      <c r="G24" s="32"/>
      <c r="H24" s="32"/>
      <c r="I24" s="32"/>
      <c r="J24" s="31"/>
      <c r="K24" s="32"/>
      <c r="L24" s="32"/>
      <c r="M24" s="32"/>
      <c r="N24" s="32"/>
      <c r="O24" s="32"/>
      <c r="P24" s="32"/>
      <c r="Q24" s="32"/>
      <c r="R24" s="32"/>
    </row>
    <row r="25" spans="1:18">
      <c r="A25" s="374"/>
      <c r="B25" s="31">
        <v>3.7</v>
      </c>
      <c r="C25" s="32"/>
      <c r="D25" s="32"/>
      <c r="E25" s="32"/>
      <c r="F25" s="32"/>
      <c r="G25" s="32"/>
      <c r="H25" s="32"/>
      <c r="I25" s="32"/>
      <c r="J25" s="31"/>
      <c r="K25" s="32"/>
      <c r="L25" s="32"/>
      <c r="M25" s="32"/>
      <c r="N25" s="32"/>
      <c r="O25" s="32"/>
      <c r="P25" s="32"/>
      <c r="Q25" s="32"/>
      <c r="R25" s="32"/>
    </row>
    <row r="26" spans="1:18">
      <c r="A26" s="374" t="s">
        <v>415</v>
      </c>
      <c r="B26" s="32" t="s">
        <v>57</v>
      </c>
      <c r="C26" s="50"/>
      <c r="D26" s="50"/>
      <c r="E26" s="50"/>
      <c r="F26" s="50"/>
      <c r="G26" s="50"/>
      <c r="H26" s="50"/>
      <c r="I26" s="50"/>
      <c r="J26" s="31"/>
      <c r="K26" s="50"/>
      <c r="L26" s="50"/>
      <c r="M26" s="50"/>
      <c r="N26" s="50"/>
      <c r="O26" s="50"/>
      <c r="P26" s="50"/>
      <c r="Q26" s="50"/>
      <c r="R26" s="50"/>
    </row>
    <row r="27" spans="1:18">
      <c r="A27" s="374"/>
      <c r="B27" s="31">
        <v>4.0999999999999996</v>
      </c>
      <c r="C27" s="50"/>
      <c r="D27" s="50"/>
      <c r="E27" s="50"/>
      <c r="F27" s="50"/>
      <c r="G27" s="50"/>
      <c r="H27" s="50"/>
      <c r="I27" s="50"/>
      <c r="J27" s="31"/>
      <c r="K27" s="32"/>
      <c r="L27" s="32"/>
      <c r="M27" s="32"/>
      <c r="N27" s="32"/>
      <c r="O27" s="32"/>
      <c r="P27" s="32"/>
      <c r="Q27" s="32"/>
      <c r="R27" s="32"/>
    </row>
    <row r="28" spans="1:18">
      <c r="A28" s="374"/>
      <c r="B28" s="31">
        <v>4.2</v>
      </c>
      <c r="C28" s="32"/>
      <c r="D28" s="32"/>
      <c r="E28" s="32"/>
      <c r="F28" s="32"/>
      <c r="G28" s="32"/>
      <c r="H28" s="32"/>
      <c r="I28" s="32"/>
      <c r="J28" s="31"/>
      <c r="K28" s="32"/>
      <c r="L28" s="32"/>
      <c r="M28" s="32"/>
      <c r="N28" s="32"/>
      <c r="O28" s="32"/>
      <c r="P28" s="32"/>
      <c r="Q28" s="32"/>
      <c r="R28" s="32"/>
    </row>
    <row r="29" spans="1:18">
      <c r="A29" s="374"/>
      <c r="B29" s="31">
        <v>4.3</v>
      </c>
      <c r="C29" s="32"/>
      <c r="D29" s="32"/>
      <c r="E29" s="32"/>
      <c r="F29" s="32"/>
      <c r="G29" s="32"/>
      <c r="H29" s="32"/>
      <c r="I29" s="32"/>
      <c r="J29" s="31"/>
      <c r="K29" s="32"/>
      <c r="L29" s="32"/>
      <c r="M29" s="32"/>
      <c r="N29" s="32"/>
      <c r="O29" s="32"/>
      <c r="P29" s="32"/>
      <c r="Q29" s="32"/>
      <c r="R29" s="32"/>
    </row>
    <row r="30" spans="1:18">
      <c r="A30" s="374"/>
      <c r="B30" s="31">
        <v>4.4000000000000004</v>
      </c>
      <c r="C30" s="32"/>
      <c r="D30" s="32"/>
      <c r="E30" s="32"/>
      <c r="F30" s="32"/>
      <c r="G30" s="32"/>
      <c r="H30" s="32"/>
      <c r="I30" s="32"/>
      <c r="J30" s="31"/>
      <c r="K30" s="32"/>
      <c r="L30" s="32"/>
      <c r="M30" s="32"/>
      <c r="N30" s="32"/>
      <c r="O30" s="32"/>
      <c r="P30" s="32"/>
      <c r="Q30" s="32"/>
      <c r="R30" s="32"/>
    </row>
    <row r="31" spans="1:18">
      <c r="A31" s="374"/>
      <c r="B31" s="31">
        <v>4.5</v>
      </c>
      <c r="C31" s="32"/>
      <c r="D31" s="32"/>
      <c r="E31" s="32"/>
      <c r="F31" s="32"/>
      <c r="G31" s="32"/>
      <c r="H31" s="32"/>
      <c r="I31" s="32"/>
      <c r="J31" s="31"/>
      <c r="K31" s="32"/>
      <c r="L31" s="32"/>
      <c r="M31" s="32"/>
      <c r="N31" s="32"/>
      <c r="O31" s="32"/>
      <c r="P31" s="32"/>
      <c r="Q31" s="32"/>
      <c r="R31" s="32"/>
    </row>
    <row r="32" spans="1:18">
      <c r="A32" s="374" t="s">
        <v>58</v>
      </c>
      <c r="B32" s="32" t="s">
        <v>58</v>
      </c>
      <c r="C32" s="32"/>
      <c r="D32" s="32"/>
      <c r="E32" s="32"/>
      <c r="F32" s="32"/>
      <c r="G32" s="32"/>
      <c r="H32" s="32"/>
      <c r="I32" s="32"/>
      <c r="J32" s="31"/>
      <c r="K32" s="32"/>
      <c r="L32" s="32"/>
      <c r="M32" s="32"/>
      <c r="N32" s="32"/>
      <c r="O32" s="32"/>
      <c r="P32" s="32"/>
      <c r="Q32" s="32"/>
      <c r="R32" s="32"/>
    </row>
    <row r="33" spans="1:18">
      <c r="A33" s="374"/>
      <c r="B33" s="31">
        <v>5.0999999999999996</v>
      </c>
      <c r="C33" s="32"/>
      <c r="D33" s="32"/>
      <c r="E33" s="32"/>
      <c r="F33" s="32"/>
      <c r="G33" s="32"/>
      <c r="H33" s="32"/>
      <c r="I33" s="32"/>
      <c r="J33" s="31"/>
      <c r="K33" s="32"/>
      <c r="L33" s="32"/>
      <c r="M33" s="32"/>
      <c r="N33" s="32"/>
      <c r="O33" s="32"/>
      <c r="P33" s="32"/>
      <c r="Q33" s="32"/>
      <c r="R33" s="32"/>
    </row>
    <row r="34" spans="1:18">
      <c r="A34" s="374"/>
      <c r="B34" s="31">
        <v>5.2</v>
      </c>
      <c r="C34" s="32"/>
      <c r="D34" s="32"/>
      <c r="E34" s="32"/>
      <c r="F34" s="32"/>
      <c r="G34" s="32"/>
      <c r="H34" s="32"/>
      <c r="I34" s="32"/>
      <c r="J34" s="31"/>
      <c r="K34" s="32"/>
      <c r="L34" s="32"/>
      <c r="M34" s="32"/>
      <c r="N34" s="32"/>
      <c r="O34" s="32"/>
      <c r="P34" s="32"/>
      <c r="Q34" s="32"/>
      <c r="R34" s="32"/>
    </row>
    <row r="35" spans="1:18">
      <c r="A35" s="374"/>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9"/>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4"/>
    </row>
    <row r="3" spans="1:3">
      <c r="C3" s="314"/>
    </row>
    <row r="4" spans="1:3">
      <c r="C4" s="313"/>
    </row>
    <row r="5" spans="1:3">
      <c r="C5" s="314"/>
    </row>
    <row r="6" spans="1:3">
      <c r="C6" s="314"/>
    </row>
    <row r="9" spans="1:3">
      <c r="C9" s="314"/>
    </row>
    <row r="10" spans="1:3">
      <c r="C10" s="312"/>
    </row>
    <row r="12" spans="1:3">
      <c r="C12" s="313"/>
    </row>
    <row r="13" spans="1:3">
      <c r="C13" s="314"/>
    </row>
    <row r="14" spans="1:3">
      <c r="C14" s="312"/>
    </row>
    <row r="16" spans="1:3">
      <c r="C16" s="313"/>
    </row>
    <row r="18" spans="3:3">
      <c r="C18" s="313"/>
    </row>
    <row r="19" spans="3:3">
      <c r="C19" s="314"/>
    </row>
    <row r="20" spans="3:3">
      <c r="C20" s="314"/>
    </row>
    <row r="21" spans="3:3">
      <c r="C21" s="314"/>
    </row>
    <row r="23" spans="3:3">
      <c r="C23" s="311"/>
    </row>
    <row r="24" spans="3:3">
      <c r="C24" s="313"/>
    </row>
    <row r="26" spans="3:3">
      <c r="C26" s="313"/>
    </row>
    <row r="27" spans="3:3">
      <c r="C27" s="311"/>
    </row>
    <row r="29" spans="3:3">
      <c r="C29"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416</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8" t="s">
        <v>417</v>
      </c>
      <c r="D4" s="378"/>
      <c r="E4" s="378"/>
      <c r="F4" s="378"/>
      <c r="G4" s="378"/>
      <c r="H4" s="378"/>
      <c r="I4" s="22" t="s">
        <v>95</v>
      </c>
      <c r="J4" s="22" t="s">
        <v>96</v>
      </c>
      <c r="K4" s="11" t="s">
        <v>85</v>
      </c>
      <c r="L4" s="11"/>
      <c r="M4" s="11"/>
      <c r="N4" s="11"/>
      <c r="O4" s="9"/>
      <c r="P4" s="10"/>
      <c r="Q4" s="9"/>
    </row>
    <row r="5" spans="1:17" s="60" customFormat="1" ht="13.8">
      <c r="A5" s="56" t="s">
        <v>97</v>
      </c>
      <c r="B5" s="22" t="s">
        <v>94</v>
      </c>
      <c r="C5" s="379" t="s">
        <v>98</v>
      </c>
      <c r="D5" s="380"/>
      <c r="E5" s="380"/>
      <c r="F5" s="380"/>
      <c r="G5" s="380"/>
      <c r="H5" s="380"/>
      <c r="I5" s="380"/>
      <c r="J5" s="380"/>
      <c r="K5" s="381"/>
      <c r="L5" s="9"/>
      <c r="M5" s="9"/>
      <c r="N5" s="9"/>
      <c r="O5" s="9"/>
      <c r="P5" s="9"/>
      <c r="Q5" s="9"/>
    </row>
    <row r="6" spans="1:17" s="60" customFormat="1" ht="13.8">
      <c r="A6" s="56" t="s">
        <v>99</v>
      </c>
      <c r="B6" s="21" t="s">
        <v>94</v>
      </c>
      <c r="C6" s="382" t="s">
        <v>100</v>
      </c>
      <c r="D6" s="383"/>
      <c r="E6" s="383"/>
      <c r="F6" s="383"/>
      <c r="G6" s="384"/>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8" t="s">
        <v>417</v>
      </c>
      <c r="D19" s="378"/>
      <c r="E19" s="378"/>
      <c r="F19" s="378"/>
      <c r="G19" s="378"/>
      <c r="H19" s="378"/>
      <c r="I19" s="22" t="s">
        <v>95</v>
      </c>
      <c r="J19" s="22" t="s">
        <v>96</v>
      </c>
      <c r="K19" s="11" t="s">
        <v>85</v>
      </c>
      <c r="L19" s="11"/>
      <c r="M19" s="11"/>
      <c r="N19" s="11"/>
      <c r="O19" s="385"/>
      <c r="P19" s="386"/>
      <c r="Q19" s="387"/>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418</v>
      </c>
    </row>
    <row r="2" spans="1:17" s="63" customFormat="1" ht="21">
      <c r="A2" s="62" t="s">
        <v>419</v>
      </c>
    </row>
    <row r="3" spans="1:17">
      <c r="A3" s="64" t="s">
        <v>420</v>
      </c>
      <c r="B3" s="65" t="s">
        <v>421</v>
      </c>
    </row>
    <row r="4" spans="1:17">
      <c r="A4" s="65" t="s">
        <v>422</v>
      </c>
      <c r="B4" s="65" t="s">
        <v>423</v>
      </c>
    </row>
    <row r="5" spans="1:17">
      <c r="A5" s="64" t="s">
        <v>424</v>
      </c>
      <c r="B5" s="65" t="s">
        <v>425</v>
      </c>
    </row>
    <row r="6" spans="1:17">
      <c r="A6" s="65" t="s">
        <v>426</v>
      </c>
      <c r="B6" s="65" t="s">
        <v>427</v>
      </c>
    </row>
    <row r="8" spans="1:17" s="66" customFormat="1" ht="55.2">
      <c r="A8" s="1" t="s">
        <v>76</v>
      </c>
      <c r="B8" s="53" t="s">
        <v>77</v>
      </c>
      <c r="C8" s="53" t="s">
        <v>78</v>
      </c>
      <c r="D8" s="54" t="s">
        <v>79</v>
      </c>
      <c r="E8" s="54" t="s">
        <v>80</v>
      </c>
      <c r="F8" s="54" t="s">
        <v>81</v>
      </c>
      <c r="G8" s="54" t="s">
        <v>82</v>
      </c>
      <c r="H8" s="2" t="s">
        <v>83</v>
      </c>
      <c r="I8" s="53" t="s">
        <v>416</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3" customWidth="1"/>
    <col min="5" max="24" width="4.33203125" style="303" customWidth="1"/>
  </cols>
  <sheetData>
    <row r="1" spans="1:24" ht="31.8">
      <c r="A1" t="s">
        <v>434</v>
      </c>
      <c r="C1" t="s">
        <v>435</v>
      </c>
      <c r="E1" s="304" t="s">
        <v>30</v>
      </c>
      <c r="F1" s="304" t="s">
        <v>29</v>
      </c>
      <c r="G1" s="304" t="s">
        <v>33</v>
      </c>
      <c r="H1" s="304" t="s">
        <v>31</v>
      </c>
      <c r="I1" s="304" t="s">
        <v>34</v>
      </c>
      <c r="J1" s="304" t="s">
        <v>32</v>
      </c>
      <c r="K1" s="304" t="s">
        <v>37</v>
      </c>
      <c r="L1" s="304" t="s">
        <v>36</v>
      </c>
      <c r="M1" s="304" t="s">
        <v>35</v>
      </c>
      <c r="N1" s="304" t="s">
        <v>38</v>
      </c>
      <c r="O1" s="304" t="s">
        <v>39</v>
      </c>
      <c r="P1" s="304" t="s">
        <v>42</v>
      </c>
      <c r="Q1" s="304" t="s">
        <v>40</v>
      </c>
      <c r="R1" s="304" t="s">
        <v>41</v>
      </c>
      <c r="S1" s="304" t="s">
        <v>43</v>
      </c>
      <c r="T1" s="304" t="s">
        <v>45</v>
      </c>
      <c r="U1" s="304" t="s">
        <v>44</v>
      </c>
      <c r="V1" s="304" t="s">
        <v>46</v>
      </c>
      <c r="W1" s="304" t="s">
        <v>27</v>
      </c>
      <c r="X1" s="304" t="s">
        <v>28</v>
      </c>
    </row>
    <row r="2" spans="1:24">
      <c r="A2" t="s">
        <v>436</v>
      </c>
      <c r="B2" s="305"/>
      <c r="C2" s="305"/>
    </row>
    <row r="3" spans="1:24">
      <c r="A3" t="s">
        <v>437</v>
      </c>
      <c r="B3" s="305"/>
    </row>
    <row r="4" spans="1:24">
      <c r="A4" t="s">
        <v>438</v>
      </c>
      <c r="B4" s="305"/>
    </row>
    <row r="5" spans="1:24">
      <c r="B5" s="305"/>
    </row>
    <row r="6" spans="1:24">
      <c r="A6" t="s">
        <v>439</v>
      </c>
      <c r="B6" s="305"/>
      <c r="C6" s="305"/>
    </row>
    <row r="7" spans="1:24">
      <c r="B7" s="305"/>
    </row>
    <row r="8" spans="1:24">
      <c r="A8" t="s">
        <v>441</v>
      </c>
      <c r="B8" s="305"/>
      <c r="D8" s="303">
        <f>COUNTIF(E8:Y8,"x")</f>
        <v>0</v>
      </c>
    </row>
    <row r="9" spans="1:24">
      <c r="A9" t="s">
        <v>441</v>
      </c>
      <c r="B9" s="305"/>
      <c r="D9" s="303">
        <f t="shared" ref="D9:D14" si="0">COUNTIF(E9:Y9,"x")</f>
        <v>0</v>
      </c>
    </row>
    <row r="10" spans="1:24">
      <c r="A10" t="s">
        <v>441</v>
      </c>
      <c r="B10" s="305"/>
      <c r="D10" s="303">
        <f t="shared" si="0"/>
        <v>0</v>
      </c>
    </row>
    <row r="11" spans="1:24">
      <c r="A11" t="s">
        <v>441</v>
      </c>
      <c r="B11" s="305"/>
      <c r="D11" s="303">
        <f t="shared" si="0"/>
        <v>0</v>
      </c>
    </row>
    <row r="12" spans="1:24">
      <c r="A12" t="s">
        <v>441</v>
      </c>
      <c r="B12" s="305"/>
      <c r="D12" s="303">
        <f t="shared" si="0"/>
        <v>0</v>
      </c>
    </row>
    <row r="13" spans="1:24">
      <c r="A13" t="s">
        <v>441</v>
      </c>
      <c r="B13" s="305"/>
      <c r="D13" s="303">
        <f t="shared" si="0"/>
        <v>0</v>
      </c>
    </row>
    <row r="14" spans="1:24">
      <c r="A14" t="s">
        <v>441</v>
      </c>
      <c r="B14" s="305"/>
      <c r="D14" s="303">
        <f t="shared" si="0"/>
        <v>0</v>
      </c>
    </row>
    <row r="15" spans="1:24">
      <c r="B15" s="305"/>
      <c r="E15" s="303">
        <f t="shared" ref="E15:X15" si="1">COUNTIF(E6:E14,"x")</f>
        <v>0</v>
      </c>
      <c r="F15" s="303">
        <f t="shared" si="1"/>
        <v>0</v>
      </c>
      <c r="G15" s="303">
        <f t="shared" si="1"/>
        <v>0</v>
      </c>
      <c r="H15" s="303">
        <f t="shared" si="1"/>
        <v>0</v>
      </c>
      <c r="I15" s="303">
        <f t="shared" si="1"/>
        <v>0</v>
      </c>
      <c r="J15" s="303">
        <f t="shared" si="1"/>
        <v>0</v>
      </c>
      <c r="K15" s="303">
        <f t="shared" si="1"/>
        <v>0</v>
      </c>
      <c r="L15" s="303">
        <f t="shared" si="1"/>
        <v>0</v>
      </c>
      <c r="M15" s="303">
        <f t="shared" si="1"/>
        <v>0</v>
      </c>
      <c r="N15" s="303">
        <f t="shared" si="1"/>
        <v>0</v>
      </c>
      <c r="O15" s="303">
        <f t="shared" si="1"/>
        <v>0</v>
      </c>
      <c r="P15" s="303">
        <f t="shared" si="1"/>
        <v>0</v>
      </c>
      <c r="Q15" s="303">
        <f t="shared" si="1"/>
        <v>0</v>
      </c>
      <c r="R15" s="303">
        <f t="shared" si="1"/>
        <v>0</v>
      </c>
      <c r="S15" s="303">
        <f t="shared" si="1"/>
        <v>0</v>
      </c>
      <c r="T15" s="303">
        <f t="shared" si="1"/>
        <v>0</v>
      </c>
      <c r="U15" s="303">
        <f t="shared" si="1"/>
        <v>0</v>
      </c>
      <c r="V15" s="303">
        <f t="shared" si="1"/>
        <v>0</v>
      </c>
      <c r="W15" s="303">
        <f t="shared" si="1"/>
        <v>0</v>
      </c>
      <c r="X15" s="303">
        <f t="shared" si="1"/>
        <v>0</v>
      </c>
    </row>
    <row r="17" spans="3:3">
      <c r="C17" s="306" t="s">
        <v>442</v>
      </c>
    </row>
    <row r="18" spans="3:3">
      <c r="C18" s="307" t="s">
        <v>443</v>
      </c>
    </row>
    <row r="19" spans="3:3">
      <c r="C19" s="308" t="s">
        <v>444</v>
      </c>
    </row>
    <row r="20" spans="3:3">
      <c r="C20" s="309" t="s">
        <v>445</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88.77734375" style="333" customWidth="1"/>
    <col min="3" max="4" width="22" style="333" customWidth="1"/>
    <col min="5" max="5" width="84.21875" style="333" bestFit="1" customWidth="1"/>
    <col min="6" max="6" width="84.21875" style="333" customWidth="1"/>
    <col min="7" max="7" width="20.77734375" style="328" customWidth="1"/>
    <col min="8" max="11" width="8.77734375" style="328" customWidth="1"/>
    <col min="12" max="12" width="8.77734375" style="328"/>
    <col min="13" max="13" width="38.77734375" style="328" customWidth="1"/>
    <col min="14" max="18" width="8.77734375" style="328"/>
    <col min="19" max="16384" width="8.77734375" style="333"/>
  </cols>
  <sheetData>
    <row r="1" spans="1:18" s="326" customFormat="1" ht="25.8">
      <c r="A1" s="325" t="s">
        <v>385</v>
      </c>
      <c r="C1" s="327"/>
      <c r="G1" s="328"/>
      <c r="H1" s="328"/>
      <c r="I1" s="328"/>
      <c r="J1" s="328"/>
      <c r="K1" s="328"/>
      <c r="L1" s="328"/>
      <c r="M1" s="328"/>
      <c r="N1" s="328"/>
      <c r="O1" s="328"/>
      <c r="P1" s="328"/>
      <c r="Q1" s="328"/>
      <c r="R1" s="328"/>
    </row>
    <row r="2" spans="1:18" s="326" customFormat="1" ht="25.8">
      <c r="A2" s="325" t="s">
        <v>419</v>
      </c>
      <c r="C2" s="327"/>
      <c r="G2" s="328"/>
      <c r="H2" s="328"/>
      <c r="I2" s="328"/>
      <c r="J2" s="328"/>
      <c r="K2" s="328"/>
      <c r="L2" s="328"/>
      <c r="M2" s="328"/>
      <c r="N2" s="328"/>
      <c r="O2" s="328"/>
      <c r="P2" s="328"/>
      <c r="Q2" s="328"/>
      <c r="R2" s="328"/>
    </row>
    <row r="3" spans="1:18" s="326" customFormat="1">
      <c r="A3" s="329" t="s">
        <v>1681</v>
      </c>
      <c r="B3" s="326" t="s">
        <v>1682</v>
      </c>
      <c r="G3" s="328"/>
      <c r="H3" s="328"/>
      <c r="I3" s="328"/>
      <c r="J3" s="328"/>
      <c r="K3" s="328"/>
      <c r="L3" s="328"/>
      <c r="M3" s="328"/>
      <c r="N3" s="328"/>
      <c r="O3" s="328"/>
      <c r="P3" s="328"/>
      <c r="Q3" s="328"/>
      <c r="R3" s="328"/>
    </row>
    <row r="4" spans="1:18" s="326" customFormat="1">
      <c r="A4" s="329" t="s">
        <v>422</v>
      </c>
      <c r="B4" s="326" t="s">
        <v>423</v>
      </c>
      <c r="G4" s="328"/>
      <c r="H4" s="328"/>
      <c r="I4" s="328"/>
      <c r="J4" s="328"/>
      <c r="K4" s="328"/>
      <c r="L4" s="328"/>
      <c r="M4" s="328"/>
      <c r="N4" s="328"/>
      <c r="O4" s="328"/>
      <c r="P4" s="328"/>
      <c r="Q4" s="328"/>
      <c r="R4" s="328"/>
    </row>
    <row r="5" spans="1:18" s="326" customFormat="1">
      <c r="A5" s="326" t="s">
        <v>1683</v>
      </c>
      <c r="B5" s="326" t="s">
        <v>1684</v>
      </c>
      <c r="G5" s="328"/>
      <c r="H5" s="328"/>
      <c r="I5" s="328"/>
      <c r="J5" s="328"/>
      <c r="K5" s="328"/>
      <c r="L5" s="328"/>
      <c r="M5" s="328"/>
      <c r="N5" s="328"/>
      <c r="O5" s="328"/>
      <c r="P5" s="328"/>
      <c r="Q5" s="328"/>
      <c r="R5" s="328"/>
    </row>
    <row r="6" spans="1:18" s="326" customFormat="1">
      <c r="A6" s="326" t="s">
        <v>426</v>
      </c>
      <c r="B6" s="326" t="s">
        <v>427</v>
      </c>
      <c r="G6" s="328"/>
      <c r="H6" s="328"/>
      <c r="I6" s="328"/>
      <c r="J6" s="328"/>
      <c r="K6" s="328"/>
      <c r="L6" s="328"/>
      <c r="M6" s="328"/>
      <c r="N6" s="328"/>
      <c r="O6" s="328"/>
      <c r="P6" s="328"/>
      <c r="Q6" s="328"/>
      <c r="R6" s="328"/>
    </row>
    <row r="7" spans="1:18" s="326" customFormat="1">
      <c r="G7" s="328"/>
      <c r="H7" s="328"/>
      <c r="I7" s="328"/>
      <c r="J7" s="328"/>
      <c r="K7" s="328"/>
      <c r="L7" s="328"/>
      <c r="M7" s="328"/>
      <c r="N7" s="328"/>
      <c r="O7" s="328"/>
      <c r="P7" s="328"/>
      <c r="Q7" s="328"/>
      <c r="R7" s="328"/>
    </row>
    <row r="8" spans="1:18">
      <c r="A8" s="330"/>
      <c r="B8" s="330"/>
      <c r="C8" s="330" t="s">
        <v>96</v>
      </c>
      <c r="D8" s="330" t="s">
        <v>574</v>
      </c>
      <c r="E8" s="330" t="s">
        <v>85</v>
      </c>
      <c r="F8" s="331" t="s">
        <v>1685</v>
      </c>
      <c r="G8" s="332"/>
    </row>
    <row r="9" spans="1:18" s="339" customFormat="1">
      <c r="A9" s="334" t="s">
        <v>47</v>
      </c>
      <c r="B9" s="334"/>
      <c r="C9" s="335"/>
      <c r="D9" s="335"/>
      <c r="E9" s="335"/>
      <c r="F9" s="336"/>
      <c r="G9" s="337"/>
      <c r="H9" s="338"/>
      <c r="I9" s="338"/>
      <c r="J9" s="338"/>
      <c r="K9" s="338"/>
      <c r="L9" s="337"/>
      <c r="M9" s="337"/>
      <c r="N9" s="337"/>
      <c r="O9" s="337"/>
      <c r="P9" s="337"/>
      <c r="Q9" s="337"/>
      <c r="R9" s="337"/>
    </row>
    <row r="10" spans="1:18" s="329" customFormat="1" ht="124.2">
      <c r="A10" s="3" t="s">
        <v>94</v>
      </c>
      <c r="B10" s="3" t="s">
        <v>1686</v>
      </c>
      <c r="C10" s="340" t="s">
        <v>1687</v>
      </c>
      <c r="D10" s="340" t="s">
        <v>1688</v>
      </c>
      <c r="E10" s="340" t="s">
        <v>1689</v>
      </c>
      <c r="F10" s="341" t="s">
        <v>1690</v>
      </c>
      <c r="G10" s="337"/>
      <c r="H10" s="338"/>
      <c r="I10" s="338"/>
      <c r="J10" s="338"/>
      <c r="K10" s="338"/>
      <c r="L10" s="337"/>
      <c r="M10" s="337"/>
      <c r="N10" s="337"/>
      <c r="O10" s="337"/>
      <c r="P10" s="337"/>
      <c r="Q10" s="337"/>
      <c r="R10" s="337"/>
    </row>
    <row r="11" spans="1:18" s="329" customFormat="1">
      <c r="A11" s="334" t="s">
        <v>54</v>
      </c>
      <c r="B11" s="334"/>
      <c r="C11" s="335"/>
      <c r="D11" s="335"/>
      <c r="E11" s="335"/>
      <c r="F11" s="336"/>
      <c r="G11" s="337"/>
      <c r="H11" s="338"/>
      <c r="I11" s="338"/>
      <c r="J11" s="338"/>
      <c r="K11" s="338"/>
      <c r="L11" s="337"/>
      <c r="M11" s="337"/>
      <c r="N11" s="337"/>
      <c r="O11" s="337"/>
      <c r="P11" s="337"/>
      <c r="Q11" s="337"/>
      <c r="R11" s="337"/>
    </row>
    <row r="12" spans="1:18" s="329" customFormat="1" ht="82.8">
      <c r="A12" s="3" t="s">
        <v>386</v>
      </c>
      <c r="B12" s="3" t="s">
        <v>387</v>
      </c>
      <c r="C12" s="340" t="s">
        <v>1691</v>
      </c>
      <c r="D12" s="340" t="s">
        <v>1692</v>
      </c>
      <c r="E12" s="340" t="s">
        <v>1693</v>
      </c>
      <c r="F12" s="341" t="s">
        <v>1694</v>
      </c>
      <c r="G12" s="337"/>
      <c r="H12" s="338"/>
      <c r="I12" s="338"/>
      <c r="J12" s="338"/>
      <c r="K12" s="338"/>
      <c r="L12" s="337"/>
      <c r="M12" s="337"/>
      <c r="N12" s="337"/>
      <c r="O12" s="337"/>
      <c r="P12" s="337"/>
      <c r="Q12" s="337"/>
      <c r="R12" s="337"/>
    </row>
    <row r="13" spans="1:18" s="329" customFormat="1" ht="69">
      <c r="A13" s="3" t="s">
        <v>388</v>
      </c>
      <c r="B13" s="3" t="s">
        <v>1695</v>
      </c>
      <c r="C13" s="340" t="s">
        <v>551</v>
      </c>
      <c r="D13" s="340" t="s">
        <v>1696</v>
      </c>
      <c r="E13" s="340" t="s">
        <v>1697</v>
      </c>
      <c r="F13" s="341" t="s">
        <v>1698</v>
      </c>
      <c r="G13" s="337"/>
      <c r="H13" s="338"/>
      <c r="I13" s="338"/>
      <c r="J13" s="338"/>
      <c r="K13" s="338"/>
      <c r="L13" s="337"/>
      <c r="M13" s="337"/>
      <c r="N13" s="337"/>
      <c r="O13" s="337"/>
      <c r="P13" s="337"/>
      <c r="Q13" s="337"/>
      <c r="R13" s="337"/>
    </row>
    <row r="14" spans="1:18" s="149" customFormat="1" ht="96.6">
      <c r="A14" s="3" t="s">
        <v>389</v>
      </c>
      <c r="B14" s="3" t="s">
        <v>390</v>
      </c>
      <c r="C14" s="340" t="s">
        <v>1699</v>
      </c>
      <c r="D14" s="340" t="s">
        <v>1700</v>
      </c>
      <c r="E14" s="340" t="s">
        <v>552</v>
      </c>
      <c r="F14" s="341" t="s">
        <v>1701</v>
      </c>
      <c r="G14" s="337"/>
      <c r="H14" s="338"/>
      <c r="I14" s="338"/>
      <c r="J14" s="338"/>
      <c r="K14" s="338"/>
      <c r="L14" s="337"/>
      <c r="M14" s="337"/>
      <c r="N14" s="337"/>
      <c r="O14" s="337"/>
      <c r="P14" s="337"/>
      <c r="Q14" s="337"/>
      <c r="R14" s="337"/>
    </row>
    <row r="15" spans="1:18" s="149" customFormat="1" ht="82.8">
      <c r="A15" s="3" t="s">
        <v>391</v>
      </c>
      <c r="B15" s="3" t="s">
        <v>392</v>
      </c>
      <c r="C15" s="340" t="s">
        <v>1702</v>
      </c>
      <c r="D15" s="340" t="s">
        <v>553</v>
      </c>
      <c r="E15" s="340" t="s">
        <v>1703</v>
      </c>
      <c r="F15" s="341" t="s">
        <v>1701</v>
      </c>
      <c r="G15" s="337"/>
      <c r="H15" s="338"/>
      <c r="I15" s="338"/>
      <c r="J15" s="338"/>
      <c r="K15" s="338"/>
      <c r="L15" s="337"/>
      <c r="M15" s="337"/>
      <c r="N15" s="337"/>
      <c r="O15" s="337"/>
      <c r="P15" s="337"/>
      <c r="Q15" s="337"/>
      <c r="R15" s="337"/>
    </row>
    <row r="16" spans="1:18" s="94" customFormat="1">
      <c r="A16" s="334" t="s">
        <v>56</v>
      </c>
      <c r="B16" s="334"/>
      <c r="C16" s="342"/>
      <c r="D16" s="335"/>
      <c r="E16" s="335"/>
      <c r="F16" s="336"/>
      <c r="G16" s="337"/>
      <c r="H16" s="338"/>
      <c r="I16" s="338"/>
      <c r="J16" s="338"/>
      <c r="K16" s="338"/>
      <c r="L16" s="337"/>
      <c r="M16" s="337"/>
      <c r="N16" s="337"/>
      <c r="O16" s="337"/>
      <c r="P16" s="337"/>
      <c r="Q16" s="337"/>
      <c r="R16" s="337"/>
    </row>
    <row r="17" spans="1:18" s="329" customFormat="1" ht="110.4">
      <c r="A17" s="3" t="s">
        <v>393</v>
      </c>
      <c r="B17" s="3" t="s">
        <v>1704</v>
      </c>
      <c r="C17" s="340" t="s">
        <v>555</v>
      </c>
      <c r="D17" s="340" t="s">
        <v>554</v>
      </c>
      <c r="E17" s="340" t="s">
        <v>1705</v>
      </c>
      <c r="F17" s="341" t="s">
        <v>1706</v>
      </c>
      <c r="G17" s="337"/>
      <c r="H17" s="338"/>
      <c r="I17" s="338"/>
      <c r="J17" s="338"/>
      <c r="K17" s="338"/>
      <c r="L17" s="337"/>
      <c r="M17" s="337"/>
      <c r="N17" s="337"/>
      <c r="O17" s="337"/>
      <c r="P17" s="337"/>
      <c r="Q17" s="337"/>
      <c r="R17" s="337"/>
    </row>
    <row r="18" spans="1:18" s="149" customFormat="1" ht="41.4">
      <c r="A18" s="3" t="s">
        <v>394</v>
      </c>
      <c r="B18" s="3" t="s">
        <v>1707</v>
      </c>
      <c r="C18" s="340" t="s">
        <v>556</v>
      </c>
      <c r="D18" s="3"/>
      <c r="E18" s="340" t="s">
        <v>1708</v>
      </c>
      <c r="F18" s="341" t="s">
        <v>1709</v>
      </c>
      <c r="G18" s="337"/>
      <c r="H18" s="338"/>
      <c r="I18" s="338"/>
      <c r="J18" s="338"/>
      <c r="K18" s="338"/>
      <c r="L18" s="337"/>
      <c r="M18" s="337"/>
      <c r="N18" s="337"/>
      <c r="O18" s="337"/>
      <c r="P18" s="337"/>
      <c r="Q18" s="337"/>
      <c r="R18" s="337"/>
    </row>
    <row r="19" spans="1:18" s="149" customFormat="1">
      <c r="A19" s="334" t="s">
        <v>57</v>
      </c>
      <c r="B19" s="334"/>
      <c r="C19" s="335"/>
      <c r="D19" s="335"/>
      <c r="E19" s="335"/>
      <c r="F19" s="336"/>
      <c r="G19" s="337"/>
      <c r="H19" s="338"/>
      <c r="I19" s="338"/>
      <c r="J19" s="338"/>
      <c r="K19" s="338"/>
      <c r="L19" s="337"/>
      <c r="M19" s="337"/>
      <c r="N19" s="337"/>
      <c r="O19" s="337"/>
      <c r="P19" s="337"/>
      <c r="Q19" s="337"/>
      <c r="R19" s="337"/>
    </row>
    <row r="20" spans="1:18" s="94" customFormat="1" ht="110.4">
      <c r="A20" s="3" t="s">
        <v>395</v>
      </c>
      <c r="B20" s="3" t="s">
        <v>1710</v>
      </c>
      <c r="C20" s="340" t="s">
        <v>1711</v>
      </c>
      <c r="D20" s="3"/>
      <c r="E20" s="340" t="s">
        <v>1712</v>
      </c>
      <c r="F20" s="341" t="s">
        <v>1713</v>
      </c>
      <c r="G20" s="337"/>
      <c r="H20" s="338"/>
      <c r="I20" s="338"/>
      <c r="J20" s="338"/>
      <c r="K20" s="338"/>
      <c r="L20" s="337"/>
      <c r="M20" s="337"/>
      <c r="N20" s="337"/>
      <c r="O20" s="337"/>
      <c r="P20" s="337"/>
      <c r="Q20" s="337"/>
      <c r="R20" s="337"/>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7.21875" style="333" customWidth="1"/>
    <col min="3" max="4" width="29.6640625" style="333" customWidth="1"/>
    <col min="5" max="5" width="83.44140625" style="333" customWidth="1"/>
    <col min="6" max="6" width="31.21875" style="333" customWidth="1"/>
    <col min="7" max="7" width="24.77734375" style="328" customWidth="1"/>
    <col min="8" max="11" width="8.77734375" style="326"/>
    <col min="12" max="23" width="8.77734375" style="328"/>
    <col min="24" max="16384" width="8.77734375" style="333"/>
  </cols>
  <sheetData>
    <row r="1" spans="1:23" s="326" customFormat="1" ht="25.8">
      <c r="A1" s="325" t="s">
        <v>375</v>
      </c>
      <c r="C1" s="327"/>
      <c r="G1" s="328"/>
      <c r="L1" s="328"/>
      <c r="M1" s="328"/>
      <c r="N1" s="328"/>
      <c r="O1" s="328"/>
      <c r="P1" s="328"/>
      <c r="Q1" s="328"/>
      <c r="R1" s="328"/>
      <c r="S1" s="328"/>
      <c r="T1" s="328"/>
      <c r="U1" s="328"/>
      <c r="V1" s="328"/>
      <c r="W1" s="328"/>
    </row>
    <row r="2" spans="1:23" s="326" customFormat="1" ht="25.8">
      <c r="A2" s="325" t="s">
        <v>1714</v>
      </c>
      <c r="C2" s="327"/>
      <c r="G2" s="328"/>
      <c r="L2" s="328"/>
      <c r="M2" s="328"/>
      <c r="N2" s="328"/>
      <c r="O2" s="328"/>
      <c r="P2" s="328"/>
      <c r="Q2" s="328"/>
      <c r="R2" s="328"/>
      <c r="S2" s="328"/>
      <c r="T2" s="328"/>
      <c r="U2" s="328"/>
      <c r="V2" s="328"/>
      <c r="W2" s="328"/>
    </row>
    <row r="3" spans="1:23" s="326" customFormat="1">
      <c r="A3" s="329" t="s">
        <v>1715</v>
      </c>
      <c r="B3" s="326" t="s">
        <v>1716</v>
      </c>
      <c r="G3" s="328"/>
      <c r="L3" s="328"/>
      <c r="M3" s="328"/>
      <c r="N3" s="328"/>
      <c r="O3" s="328"/>
      <c r="P3" s="328"/>
      <c r="Q3" s="328"/>
      <c r="R3" s="328"/>
      <c r="S3" s="328"/>
      <c r="T3" s="328"/>
      <c r="U3" s="328"/>
      <c r="V3" s="328"/>
      <c r="W3" s="328"/>
    </row>
    <row r="4" spans="1:23" s="326" customFormat="1">
      <c r="A4" s="329" t="s">
        <v>422</v>
      </c>
      <c r="B4" s="326" t="s">
        <v>1717</v>
      </c>
      <c r="G4" s="328"/>
      <c r="L4" s="328"/>
      <c r="M4" s="328"/>
      <c r="N4" s="328"/>
      <c r="O4" s="328"/>
      <c r="P4" s="328"/>
      <c r="Q4" s="328"/>
      <c r="R4" s="328"/>
      <c r="S4" s="328"/>
      <c r="T4" s="328"/>
      <c r="U4" s="328"/>
      <c r="V4" s="328"/>
      <c r="W4" s="328"/>
    </row>
    <row r="5" spans="1:23" s="326" customFormat="1">
      <c r="A5" s="326" t="s">
        <v>1718</v>
      </c>
      <c r="B5" s="326" t="s">
        <v>1719</v>
      </c>
      <c r="G5" s="328"/>
      <c r="L5" s="328"/>
      <c r="M5" s="328"/>
      <c r="N5" s="328"/>
      <c r="O5" s="328"/>
      <c r="P5" s="328"/>
      <c r="Q5" s="328"/>
      <c r="R5" s="328"/>
      <c r="S5" s="328"/>
      <c r="T5" s="328"/>
      <c r="U5" s="328"/>
      <c r="V5" s="328"/>
      <c r="W5" s="328"/>
    </row>
    <row r="6" spans="1:23" s="326" customFormat="1">
      <c r="A6" s="326" t="s">
        <v>426</v>
      </c>
      <c r="B6" s="326" t="s">
        <v>1720</v>
      </c>
      <c r="G6" s="328"/>
      <c r="L6" s="328"/>
      <c r="M6" s="328"/>
      <c r="N6" s="328"/>
      <c r="O6" s="328"/>
      <c r="P6" s="328"/>
      <c r="Q6" s="328"/>
      <c r="R6" s="328"/>
      <c r="S6" s="328"/>
      <c r="T6" s="328"/>
      <c r="U6" s="328"/>
      <c r="V6" s="328"/>
      <c r="W6" s="328"/>
    </row>
    <row r="8" spans="1:23">
      <c r="A8" s="330"/>
      <c r="B8" s="330"/>
      <c r="C8" s="330" t="s">
        <v>96</v>
      </c>
      <c r="D8" s="330" t="s">
        <v>574</v>
      </c>
      <c r="E8" s="330" t="s">
        <v>85</v>
      </c>
      <c r="F8" s="330" t="s">
        <v>1685</v>
      </c>
      <c r="G8" s="345" t="s">
        <v>1721</v>
      </c>
      <c r="L8" s="333"/>
      <c r="M8" s="333"/>
      <c r="N8" s="333"/>
      <c r="O8" s="333"/>
      <c r="P8" s="333"/>
      <c r="Q8" s="333"/>
      <c r="R8" s="333"/>
      <c r="S8" s="333"/>
      <c r="T8" s="333"/>
      <c r="U8" s="333"/>
      <c r="V8" s="333"/>
      <c r="W8" s="333"/>
    </row>
    <row r="9" spans="1:23" s="350" customFormat="1">
      <c r="A9" s="346" t="s">
        <v>47</v>
      </c>
      <c r="B9" s="346"/>
      <c r="C9" s="347"/>
      <c r="D9" s="347"/>
      <c r="E9" s="347"/>
      <c r="F9" s="347"/>
      <c r="G9" s="348"/>
      <c r="H9" s="326"/>
      <c r="I9" s="326"/>
      <c r="J9" s="326"/>
      <c r="K9" s="326"/>
      <c r="L9" s="349"/>
      <c r="M9" s="349"/>
      <c r="N9" s="349"/>
      <c r="O9" s="349"/>
      <c r="P9" s="349"/>
      <c r="Q9" s="349"/>
      <c r="R9" s="349"/>
      <c r="S9" s="349"/>
      <c r="T9" s="349"/>
      <c r="U9" s="349"/>
      <c r="V9" s="349"/>
      <c r="W9" s="349"/>
    </row>
    <row r="10" spans="1:23" s="350" customFormat="1" ht="41.4">
      <c r="A10" s="323" t="s">
        <v>376</v>
      </c>
      <c r="B10" s="323" t="s">
        <v>1722</v>
      </c>
      <c r="C10" s="351" t="s">
        <v>1723</v>
      </c>
      <c r="D10" s="351" t="s">
        <v>1670</v>
      </c>
      <c r="E10" s="351" t="s">
        <v>377</v>
      </c>
      <c r="F10" s="351"/>
      <c r="G10" s="352"/>
      <c r="H10" s="326"/>
      <c r="I10" s="326"/>
      <c r="J10" s="326"/>
      <c r="K10" s="326"/>
      <c r="L10" s="349"/>
      <c r="M10" s="349"/>
      <c r="N10" s="349"/>
      <c r="O10" s="349"/>
      <c r="P10" s="349"/>
      <c r="Q10" s="349"/>
      <c r="R10" s="349"/>
      <c r="S10" s="349"/>
      <c r="T10" s="349"/>
      <c r="U10" s="349"/>
      <c r="V10" s="349"/>
      <c r="W10" s="349"/>
    </row>
    <row r="11" spans="1:23" s="140" customFormat="1">
      <c r="A11" s="346" t="s">
        <v>54</v>
      </c>
      <c r="B11" s="346"/>
      <c r="C11" s="347"/>
      <c r="D11" s="347"/>
      <c r="E11" s="347"/>
      <c r="F11" s="347"/>
      <c r="G11" s="348"/>
      <c r="H11" s="326"/>
      <c r="I11" s="326"/>
      <c r="J11" s="326"/>
      <c r="K11" s="326"/>
      <c r="L11" s="349"/>
      <c r="M11" s="349"/>
      <c r="N11" s="349"/>
      <c r="O11" s="349"/>
      <c r="P11" s="349"/>
      <c r="Q11" s="349"/>
      <c r="R11" s="349"/>
      <c r="S11" s="349"/>
      <c r="T11" s="349"/>
      <c r="U11" s="349"/>
      <c r="V11" s="349"/>
      <c r="W11" s="349"/>
    </row>
    <row r="12" spans="1:23" s="140" customFormat="1" ht="82.8">
      <c r="A12" s="323" t="s">
        <v>378</v>
      </c>
      <c r="B12" s="323" t="s">
        <v>1724</v>
      </c>
      <c r="C12" s="351" t="s">
        <v>1725</v>
      </c>
      <c r="D12" s="351" t="s">
        <v>379</v>
      </c>
      <c r="E12" s="351" t="s">
        <v>1671</v>
      </c>
      <c r="F12" s="323"/>
      <c r="G12" s="352" t="s">
        <v>1726</v>
      </c>
      <c r="H12" s="326"/>
      <c r="I12" s="326"/>
      <c r="J12" s="326"/>
      <c r="K12" s="326"/>
      <c r="L12" s="349"/>
      <c r="M12" s="349"/>
      <c r="N12" s="349"/>
      <c r="O12" s="349"/>
      <c r="P12" s="349"/>
      <c r="Q12" s="349"/>
      <c r="R12" s="349"/>
      <c r="S12" s="349"/>
      <c r="T12" s="349"/>
      <c r="U12" s="349"/>
      <c r="V12" s="349"/>
      <c r="W12" s="349"/>
    </row>
    <row r="13" spans="1:23" s="138" customFormat="1" ht="27.6">
      <c r="A13" s="323" t="s">
        <v>380</v>
      </c>
      <c r="B13" s="323" t="s">
        <v>1727</v>
      </c>
      <c r="C13" s="351" t="s">
        <v>550</v>
      </c>
      <c r="D13" s="351" t="s">
        <v>549</v>
      </c>
      <c r="E13" s="351" t="s">
        <v>1672</v>
      </c>
      <c r="F13" s="351"/>
      <c r="G13" s="352"/>
      <c r="H13" s="326"/>
      <c r="I13" s="326"/>
      <c r="J13" s="326"/>
      <c r="K13" s="326"/>
      <c r="L13" s="349"/>
      <c r="M13" s="349"/>
      <c r="N13" s="349"/>
      <c r="O13" s="349"/>
      <c r="P13" s="349"/>
      <c r="Q13" s="349"/>
      <c r="R13" s="349"/>
      <c r="S13" s="349"/>
      <c r="T13" s="349"/>
      <c r="U13" s="349"/>
      <c r="V13" s="349"/>
      <c r="W13" s="349"/>
    </row>
    <row r="14" spans="1:23" s="350" customFormat="1">
      <c r="A14" s="346" t="s">
        <v>56</v>
      </c>
      <c r="B14" s="346"/>
      <c r="C14" s="347"/>
      <c r="D14" s="347"/>
      <c r="E14" s="347"/>
      <c r="F14" s="347"/>
      <c r="G14" s="348"/>
      <c r="H14" s="326"/>
      <c r="I14" s="326"/>
      <c r="J14" s="326"/>
      <c r="K14" s="326"/>
      <c r="L14" s="349"/>
      <c r="M14" s="349"/>
      <c r="N14" s="349"/>
      <c r="O14" s="349"/>
      <c r="P14" s="349"/>
      <c r="Q14" s="349"/>
      <c r="R14" s="349"/>
      <c r="S14" s="349"/>
      <c r="T14" s="349"/>
      <c r="U14" s="349"/>
      <c r="V14" s="349"/>
      <c r="W14" s="349"/>
    </row>
    <row r="15" spans="1:23" s="350" customFormat="1" ht="69">
      <c r="A15" s="323" t="s">
        <v>381</v>
      </c>
      <c r="B15" s="323" t="s">
        <v>1728</v>
      </c>
      <c r="C15" s="351" t="s">
        <v>1673</v>
      </c>
      <c r="D15" s="351" t="s">
        <v>1729</v>
      </c>
      <c r="E15" s="351" t="s">
        <v>1730</v>
      </c>
      <c r="F15" s="351" t="s">
        <v>1731</v>
      </c>
      <c r="G15" s="353" t="s">
        <v>1732</v>
      </c>
      <c r="H15" s="326"/>
      <c r="I15" s="326"/>
      <c r="J15" s="326"/>
      <c r="K15" s="326"/>
      <c r="L15" s="349"/>
      <c r="M15" s="349"/>
      <c r="N15" s="349"/>
      <c r="O15" s="349"/>
      <c r="P15" s="349"/>
      <c r="Q15" s="349"/>
      <c r="R15" s="349"/>
      <c r="S15" s="349"/>
      <c r="T15" s="349"/>
      <c r="U15" s="349"/>
      <c r="V15" s="349"/>
      <c r="W15" s="349"/>
    </row>
    <row r="16" spans="1:23" s="140" customFormat="1" ht="27.6">
      <c r="A16" s="323" t="s">
        <v>382</v>
      </c>
      <c r="B16" s="323" t="s">
        <v>383</v>
      </c>
      <c r="C16" s="351" t="s">
        <v>1675</v>
      </c>
      <c r="D16" s="351" t="s">
        <v>1674</v>
      </c>
      <c r="E16" s="351" t="s">
        <v>1676</v>
      </c>
      <c r="F16" s="351"/>
      <c r="G16" s="353" t="s">
        <v>1733</v>
      </c>
      <c r="H16" s="326"/>
      <c r="I16" s="326"/>
      <c r="J16" s="326"/>
      <c r="K16" s="326"/>
      <c r="L16" s="349"/>
      <c r="M16" s="349"/>
      <c r="N16" s="349"/>
      <c r="O16" s="349"/>
      <c r="P16" s="349"/>
      <c r="Q16" s="349"/>
      <c r="R16" s="349"/>
      <c r="S16" s="349"/>
      <c r="T16" s="349"/>
      <c r="U16" s="349"/>
      <c r="V16" s="349"/>
      <c r="W16" s="349"/>
    </row>
    <row r="17" spans="1:23" s="140" customFormat="1" ht="41.4">
      <c r="A17" s="323" t="s">
        <v>384</v>
      </c>
      <c r="B17" s="323" t="s">
        <v>1734</v>
      </c>
      <c r="C17" s="351" t="s">
        <v>1735</v>
      </c>
      <c r="D17" s="351" t="s">
        <v>1677</v>
      </c>
      <c r="E17" s="351" t="s">
        <v>1678</v>
      </c>
      <c r="F17" s="351"/>
      <c r="G17" s="352"/>
      <c r="H17" s="326"/>
      <c r="I17" s="326"/>
      <c r="J17" s="326"/>
      <c r="K17" s="326"/>
      <c r="L17" s="349"/>
      <c r="M17" s="349"/>
      <c r="N17" s="349"/>
      <c r="O17" s="349"/>
      <c r="P17" s="349"/>
      <c r="Q17" s="349"/>
      <c r="R17" s="349"/>
      <c r="S17" s="349"/>
      <c r="T17" s="349"/>
      <c r="U17" s="349"/>
      <c r="V17" s="349"/>
      <c r="W17" s="349"/>
    </row>
    <row r="18" spans="1:23" s="343" customFormat="1">
      <c r="G18" s="328"/>
      <c r="H18" s="326"/>
      <c r="I18" s="326"/>
      <c r="J18" s="326"/>
      <c r="K18" s="326"/>
      <c r="L18" s="328"/>
      <c r="M18" s="328"/>
      <c r="N18" s="328"/>
      <c r="O18" s="328"/>
      <c r="P18" s="328"/>
      <c r="Q18" s="328"/>
      <c r="R18" s="328"/>
      <c r="S18" s="328"/>
      <c r="T18" s="328"/>
      <c r="U18" s="328"/>
      <c r="V18" s="328"/>
      <c r="W18" s="328"/>
    </row>
    <row r="19" spans="1:23" s="343" customFormat="1">
      <c r="G19" s="328"/>
      <c r="H19" s="326"/>
      <c r="I19" s="326"/>
      <c r="J19" s="326"/>
      <c r="K19" s="326"/>
      <c r="L19" s="328"/>
      <c r="M19" s="328"/>
      <c r="N19" s="328"/>
      <c r="O19" s="328"/>
      <c r="P19" s="328"/>
      <c r="Q19" s="328"/>
      <c r="R19" s="328"/>
      <c r="S19" s="328"/>
      <c r="T19" s="328"/>
      <c r="U19" s="328"/>
      <c r="V19" s="328"/>
      <c r="W19" s="328"/>
    </row>
    <row r="20" spans="1:23" s="343" customFormat="1">
      <c r="G20" s="328"/>
      <c r="H20" s="326"/>
      <c r="I20" s="326"/>
      <c r="J20" s="326"/>
      <c r="K20" s="326"/>
      <c r="L20" s="328"/>
      <c r="M20" s="328"/>
      <c r="N20" s="328"/>
      <c r="O20" s="328"/>
      <c r="P20" s="328"/>
      <c r="Q20" s="328"/>
      <c r="R20" s="328"/>
      <c r="S20" s="328"/>
      <c r="T20" s="328"/>
      <c r="U20" s="328"/>
      <c r="V20" s="328"/>
      <c r="W20" s="328"/>
    </row>
    <row r="21" spans="1:23" s="343" customFormat="1">
      <c r="G21" s="328"/>
      <c r="H21" s="326"/>
      <c r="I21" s="326"/>
      <c r="J21" s="326"/>
      <c r="K21" s="326"/>
      <c r="L21" s="328"/>
      <c r="M21" s="328"/>
      <c r="N21" s="328"/>
      <c r="O21" s="328"/>
      <c r="P21" s="328"/>
      <c r="Q21" s="328"/>
      <c r="R21" s="328"/>
      <c r="S21" s="328"/>
      <c r="T21" s="328"/>
      <c r="U21" s="328"/>
      <c r="V21" s="328"/>
      <c r="W21" s="328"/>
    </row>
    <row r="22" spans="1:23" s="343" customFormat="1">
      <c r="G22" s="328"/>
      <c r="H22" s="326"/>
      <c r="I22" s="326"/>
      <c r="J22" s="326"/>
      <c r="K22" s="326"/>
      <c r="L22" s="328"/>
      <c r="M22" s="328"/>
      <c r="N22" s="328"/>
      <c r="O22" s="328"/>
      <c r="P22" s="328"/>
      <c r="Q22" s="328"/>
      <c r="R22" s="328"/>
      <c r="S22" s="328"/>
      <c r="T22" s="328"/>
      <c r="U22" s="328"/>
      <c r="V22" s="328"/>
      <c r="W22" s="328"/>
    </row>
    <row r="23" spans="1:23" s="343" customFormat="1">
      <c r="G23" s="328"/>
      <c r="H23" s="326"/>
      <c r="I23" s="326"/>
      <c r="J23" s="326"/>
      <c r="K23" s="326"/>
      <c r="L23" s="328"/>
      <c r="M23" s="328"/>
      <c r="N23" s="328"/>
      <c r="O23" s="328"/>
      <c r="P23" s="328"/>
      <c r="Q23" s="328"/>
      <c r="R23" s="328"/>
      <c r="S23" s="328"/>
      <c r="T23" s="328"/>
      <c r="U23" s="328"/>
      <c r="V23" s="328"/>
      <c r="W23" s="328"/>
    </row>
    <row r="24" spans="1:23" s="343" customFormat="1">
      <c r="G24" s="328"/>
      <c r="H24" s="326"/>
      <c r="I24" s="326"/>
      <c r="J24" s="326"/>
      <c r="K24" s="326"/>
      <c r="L24" s="328"/>
      <c r="M24" s="328"/>
      <c r="N24" s="328"/>
      <c r="O24" s="328"/>
      <c r="P24" s="328"/>
      <c r="Q24" s="328"/>
      <c r="R24" s="328"/>
      <c r="S24" s="328"/>
      <c r="T24" s="328"/>
      <c r="U24" s="328"/>
      <c r="V24" s="328"/>
      <c r="W24" s="328"/>
    </row>
    <row r="25" spans="1:23" s="343" customFormat="1">
      <c r="G25" s="328"/>
      <c r="H25" s="326"/>
      <c r="I25" s="326"/>
      <c r="J25" s="326"/>
      <c r="K25" s="326"/>
      <c r="L25" s="328"/>
      <c r="M25" s="328"/>
      <c r="N25" s="328"/>
      <c r="O25" s="328"/>
      <c r="P25" s="328"/>
      <c r="Q25" s="328"/>
      <c r="R25" s="328"/>
      <c r="S25" s="328"/>
      <c r="T25" s="328"/>
      <c r="U25" s="328"/>
      <c r="V25" s="328"/>
      <c r="W25" s="328"/>
    </row>
    <row r="26" spans="1:23" s="343" customFormat="1">
      <c r="G26" s="328"/>
      <c r="H26" s="326"/>
      <c r="I26" s="326"/>
      <c r="J26" s="326"/>
      <c r="K26" s="326"/>
      <c r="L26" s="328"/>
      <c r="M26" s="328"/>
      <c r="N26" s="328"/>
      <c r="O26" s="328"/>
      <c r="P26" s="328"/>
      <c r="Q26" s="328"/>
      <c r="R26" s="328"/>
      <c r="S26" s="328"/>
      <c r="T26" s="328"/>
      <c r="U26" s="328"/>
      <c r="V26" s="328"/>
      <c r="W26" s="328"/>
    </row>
    <row r="27" spans="1:23" s="343" customFormat="1">
      <c r="G27" s="328"/>
      <c r="H27" s="326"/>
      <c r="I27" s="326"/>
      <c r="J27" s="326"/>
      <c r="K27" s="326"/>
      <c r="L27" s="328"/>
      <c r="M27" s="328"/>
      <c r="N27" s="328"/>
      <c r="O27" s="328"/>
      <c r="P27" s="328"/>
      <c r="Q27" s="328"/>
      <c r="R27" s="328"/>
      <c r="S27" s="328"/>
      <c r="T27" s="328"/>
      <c r="U27" s="328"/>
      <c r="V27" s="328"/>
      <c r="W27" s="328"/>
    </row>
    <row r="28" spans="1:23" s="343" customFormat="1">
      <c r="G28" s="328"/>
      <c r="H28" s="326"/>
      <c r="I28" s="326"/>
      <c r="J28" s="326"/>
      <c r="K28" s="326"/>
      <c r="L28" s="328"/>
      <c r="M28" s="328"/>
      <c r="N28" s="328"/>
      <c r="O28" s="328"/>
      <c r="P28" s="328"/>
      <c r="Q28" s="328"/>
      <c r="R28" s="328"/>
      <c r="S28" s="328"/>
      <c r="T28" s="328"/>
      <c r="U28" s="328"/>
      <c r="V28" s="328"/>
      <c r="W28" s="328"/>
    </row>
    <row r="29" spans="1:23" s="343" customFormat="1">
      <c r="G29" s="328"/>
      <c r="H29" s="326"/>
      <c r="I29" s="326"/>
      <c r="J29" s="326"/>
      <c r="K29" s="326"/>
      <c r="L29" s="328"/>
      <c r="M29" s="328"/>
      <c r="N29" s="328"/>
      <c r="O29" s="328"/>
      <c r="P29" s="328"/>
      <c r="Q29" s="328"/>
      <c r="R29" s="328"/>
      <c r="S29" s="328"/>
      <c r="T29" s="328"/>
      <c r="U29" s="328"/>
      <c r="V29" s="328"/>
      <c r="W29" s="328"/>
    </row>
    <row r="30" spans="1:23" s="343" customFormat="1">
      <c r="G30" s="328"/>
      <c r="H30" s="326"/>
      <c r="I30" s="326"/>
      <c r="J30" s="326"/>
      <c r="K30" s="326"/>
      <c r="L30" s="328"/>
      <c r="M30" s="328"/>
      <c r="N30" s="328"/>
      <c r="O30" s="328"/>
      <c r="P30" s="328"/>
      <c r="Q30" s="328"/>
      <c r="R30" s="328"/>
      <c r="S30" s="328"/>
      <c r="T30" s="328"/>
      <c r="U30" s="328"/>
      <c r="V30" s="328"/>
      <c r="W30" s="328"/>
    </row>
    <row r="31" spans="1:23" s="343" customFormat="1">
      <c r="G31" s="328"/>
      <c r="H31" s="326"/>
      <c r="I31" s="326"/>
      <c r="J31" s="326"/>
      <c r="K31" s="326"/>
      <c r="L31" s="328"/>
      <c r="M31" s="328"/>
      <c r="N31" s="328"/>
      <c r="O31" s="328"/>
      <c r="P31" s="328"/>
      <c r="Q31" s="328"/>
      <c r="R31" s="328"/>
      <c r="S31" s="328"/>
      <c r="T31" s="328"/>
      <c r="U31" s="328"/>
      <c r="V31" s="328"/>
      <c r="W31" s="328"/>
    </row>
    <row r="32" spans="1:23" s="343" customFormat="1">
      <c r="G32" s="328"/>
      <c r="H32" s="326"/>
      <c r="I32" s="326"/>
      <c r="J32" s="326"/>
      <c r="K32" s="326"/>
      <c r="L32" s="328"/>
      <c r="M32" s="328"/>
      <c r="N32" s="328"/>
      <c r="O32" s="328"/>
      <c r="P32" s="328"/>
      <c r="Q32" s="328"/>
      <c r="R32" s="328"/>
      <c r="S32" s="328"/>
      <c r="T32" s="328"/>
      <c r="U32" s="328"/>
      <c r="V32" s="328"/>
      <c r="W32" s="328"/>
    </row>
    <row r="33" spans="7:23" s="343" customFormat="1">
      <c r="G33" s="328"/>
      <c r="H33" s="326"/>
      <c r="I33" s="326"/>
      <c r="J33" s="326"/>
      <c r="K33" s="326"/>
      <c r="L33" s="328"/>
      <c r="M33" s="328"/>
      <c r="N33" s="328"/>
      <c r="O33" s="328"/>
      <c r="P33" s="328"/>
      <c r="Q33" s="328"/>
      <c r="R33" s="328"/>
      <c r="S33" s="328"/>
      <c r="T33" s="328"/>
      <c r="U33" s="328"/>
      <c r="V33" s="328"/>
      <c r="W33" s="328"/>
    </row>
    <row r="34" spans="7:23" s="343" customFormat="1">
      <c r="G34" s="328"/>
      <c r="H34" s="326"/>
      <c r="I34" s="326"/>
      <c r="J34" s="326"/>
      <c r="K34" s="326"/>
      <c r="L34" s="328"/>
      <c r="M34" s="328"/>
      <c r="N34" s="328"/>
      <c r="O34" s="328"/>
      <c r="P34" s="328"/>
      <c r="Q34" s="328"/>
      <c r="R34" s="328"/>
      <c r="S34" s="328"/>
      <c r="T34" s="328"/>
      <c r="U34" s="328"/>
      <c r="V34" s="328"/>
      <c r="W34" s="328"/>
    </row>
    <row r="35" spans="7:23" s="343" customFormat="1">
      <c r="G35" s="328"/>
      <c r="H35" s="326"/>
      <c r="I35" s="326"/>
      <c r="J35" s="326"/>
      <c r="K35" s="326"/>
      <c r="L35" s="328"/>
      <c r="M35" s="328"/>
      <c r="N35" s="328"/>
      <c r="O35" s="328"/>
      <c r="P35" s="328"/>
      <c r="Q35" s="328"/>
      <c r="R35" s="328"/>
      <c r="S35" s="328"/>
      <c r="T35" s="328"/>
      <c r="U35" s="328"/>
      <c r="V35" s="328"/>
      <c r="W35" s="328"/>
    </row>
    <row r="36" spans="7:23" s="343" customFormat="1">
      <c r="G36" s="328"/>
      <c r="H36" s="326"/>
      <c r="I36" s="326"/>
      <c r="J36" s="326"/>
      <c r="K36" s="326"/>
      <c r="L36" s="328"/>
      <c r="M36" s="328"/>
      <c r="N36" s="328"/>
      <c r="O36" s="328"/>
      <c r="P36" s="328"/>
      <c r="Q36" s="328"/>
      <c r="R36" s="328"/>
      <c r="S36" s="328"/>
      <c r="T36" s="328"/>
      <c r="U36" s="328"/>
      <c r="V36" s="328"/>
      <c r="W36" s="328"/>
    </row>
    <row r="37" spans="7:23" s="343" customFormat="1">
      <c r="G37" s="328"/>
      <c r="H37" s="326"/>
      <c r="I37" s="326"/>
      <c r="J37" s="326"/>
      <c r="K37" s="326"/>
      <c r="L37" s="328"/>
      <c r="M37" s="328"/>
      <c r="N37" s="328"/>
      <c r="O37" s="328"/>
      <c r="P37" s="328"/>
      <c r="Q37" s="328"/>
      <c r="R37" s="328"/>
      <c r="S37" s="328"/>
      <c r="T37" s="328"/>
      <c r="U37" s="328"/>
      <c r="V37" s="328"/>
      <c r="W37" s="328"/>
    </row>
    <row r="38" spans="7:23" s="343" customFormat="1">
      <c r="G38" s="328"/>
      <c r="H38" s="326"/>
      <c r="I38" s="326"/>
      <c r="J38" s="326"/>
      <c r="K38" s="326"/>
      <c r="L38" s="328"/>
      <c r="M38" s="328"/>
      <c r="N38" s="328"/>
      <c r="O38" s="328"/>
      <c r="P38" s="328"/>
      <c r="Q38" s="328"/>
      <c r="R38" s="328"/>
      <c r="S38" s="328"/>
      <c r="T38" s="328"/>
      <c r="U38" s="328"/>
      <c r="V38" s="328"/>
      <c r="W38" s="328"/>
    </row>
    <row r="39" spans="7:23" s="343" customFormat="1">
      <c r="G39" s="328"/>
      <c r="H39" s="326"/>
      <c r="I39" s="326"/>
      <c r="J39" s="326"/>
      <c r="K39" s="326"/>
      <c r="L39" s="328"/>
      <c r="M39" s="328"/>
      <c r="N39" s="328"/>
      <c r="O39" s="328"/>
      <c r="P39" s="328"/>
      <c r="Q39" s="328"/>
      <c r="R39" s="328"/>
      <c r="S39" s="328"/>
      <c r="T39" s="328"/>
      <c r="U39" s="328"/>
      <c r="V39" s="328"/>
      <c r="W39" s="328"/>
    </row>
    <row r="40" spans="7:23" s="343" customFormat="1">
      <c r="G40" s="328"/>
      <c r="H40" s="326"/>
      <c r="I40" s="326"/>
      <c r="J40" s="326"/>
      <c r="K40" s="326"/>
      <c r="L40" s="328"/>
      <c r="M40" s="328"/>
      <c r="N40" s="328"/>
      <c r="O40" s="328"/>
      <c r="P40" s="328"/>
      <c r="Q40" s="328"/>
      <c r="R40" s="328"/>
      <c r="S40" s="328"/>
      <c r="T40" s="328"/>
      <c r="U40" s="328"/>
      <c r="V40" s="328"/>
      <c r="W40" s="328"/>
    </row>
    <row r="41" spans="7:23" s="343" customFormat="1">
      <c r="G41" s="328"/>
      <c r="H41" s="326"/>
      <c r="I41" s="326"/>
      <c r="J41" s="326"/>
      <c r="K41" s="326"/>
      <c r="L41" s="328"/>
      <c r="M41" s="328"/>
      <c r="N41" s="328"/>
      <c r="O41" s="328"/>
      <c r="P41" s="328"/>
      <c r="Q41" s="328"/>
      <c r="R41" s="328"/>
      <c r="S41" s="328"/>
      <c r="T41" s="328"/>
      <c r="U41" s="328"/>
      <c r="V41" s="328"/>
      <c r="W41" s="328"/>
    </row>
    <row r="42" spans="7:23" s="343" customFormat="1">
      <c r="G42" s="328"/>
      <c r="H42" s="326"/>
      <c r="I42" s="326"/>
      <c r="J42" s="326"/>
      <c r="K42" s="326"/>
      <c r="L42" s="328"/>
      <c r="M42" s="328"/>
      <c r="N42" s="328"/>
      <c r="O42" s="328"/>
      <c r="P42" s="328"/>
      <c r="Q42" s="328"/>
      <c r="R42" s="328"/>
      <c r="S42" s="328"/>
      <c r="T42" s="328"/>
      <c r="U42" s="328"/>
      <c r="V42" s="328"/>
      <c r="W42" s="328"/>
    </row>
    <row r="43" spans="7:23" s="343" customFormat="1">
      <c r="G43" s="328"/>
      <c r="H43" s="326"/>
      <c r="I43" s="326"/>
      <c r="J43" s="326"/>
      <c r="K43" s="326"/>
      <c r="L43" s="328"/>
      <c r="M43" s="328"/>
      <c r="N43" s="328"/>
      <c r="O43" s="328"/>
      <c r="P43" s="328"/>
      <c r="Q43" s="328"/>
      <c r="R43" s="328"/>
      <c r="S43" s="328"/>
      <c r="T43" s="328"/>
      <c r="U43" s="328"/>
      <c r="V43" s="328"/>
      <c r="W43" s="328"/>
    </row>
    <row r="44" spans="7:23" s="344" customFormat="1">
      <c r="G44" s="328"/>
      <c r="H44" s="326"/>
      <c r="I44" s="326"/>
      <c r="J44" s="326"/>
      <c r="K44" s="326"/>
      <c r="L44" s="328"/>
      <c r="M44" s="328"/>
      <c r="N44" s="328"/>
      <c r="O44" s="328"/>
      <c r="P44" s="328"/>
      <c r="Q44" s="328"/>
      <c r="R44" s="328"/>
      <c r="S44" s="328"/>
      <c r="T44" s="328"/>
      <c r="U44" s="328"/>
      <c r="V44" s="328"/>
      <c r="W44" s="328"/>
    </row>
    <row r="45" spans="7:23" s="344" customFormat="1">
      <c r="G45" s="328"/>
      <c r="H45" s="326"/>
      <c r="I45" s="326"/>
      <c r="J45" s="326"/>
      <c r="K45" s="326"/>
      <c r="L45" s="328"/>
      <c r="M45" s="328"/>
      <c r="N45" s="328"/>
      <c r="O45" s="328"/>
      <c r="P45" s="328"/>
      <c r="Q45" s="328"/>
      <c r="R45" s="328"/>
      <c r="S45" s="328"/>
      <c r="T45" s="328"/>
      <c r="U45" s="328"/>
      <c r="V45" s="328"/>
      <c r="W45" s="328"/>
    </row>
    <row r="46" spans="7:23" s="344" customFormat="1">
      <c r="G46" s="328"/>
      <c r="H46" s="326"/>
      <c r="I46" s="326"/>
      <c r="J46" s="326"/>
      <c r="K46" s="326"/>
      <c r="L46" s="328"/>
      <c r="M46" s="328"/>
      <c r="N46" s="328"/>
      <c r="O46" s="328"/>
      <c r="P46" s="328"/>
      <c r="Q46" s="328"/>
      <c r="R46" s="328"/>
      <c r="S46" s="328"/>
      <c r="T46" s="328"/>
      <c r="U46" s="328"/>
      <c r="V46" s="328"/>
      <c r="W46" s="328"/>
    </row>
    <row r="47" spans="7:23" s="344" customFormat="1">
      <c r="G47" s="328"/>
      <c r="H47" s="326"/>
      <c r="I47" s="326"/>
      <c r="J47" s="326"/>
      <c r="K47" s="326"/>
      <c r="L47" s="328"/>
      <c r="M47" s="328"/>
      <c r="N47" s="328"/>
      <c r="O47" s="328"/>
      <c r="P47" s="328"/>
      <c r="Q47" s="328"/>
      <c r="R47" s="328"/>
      <c r="S47" s="328"/>
      <c r="T47" s="328"/>
      <c r="U47" s="328"/>
      <c r="V47" s="328"/>
      <c r="W47" s="328"/>
    </row>
    <row r="48" spans="7:23" s="344" customFormat="1">
      <c r="G48" s="328"/>
      <c r="H48" s="326"/>
      <c r="I48" s="326"/>
      <c r="J48" s="326"/>
      <c r="K48" s="326"/>
      <c r="L48" s="328"/>
      <c r="M48" s="328"/>
      <c r="N48" s="328"/>
      <c r="O48" s="328"/>
      <c r="P48" s="328"/>
      <c r="Q48" s="328"/>
      <c r="R48" s="328"/>
      <c r="S48" s="328"/>
      <c r="T48" s="328"/>
      <c r="U48" s="328"/>
      <c r="V48" s="328"/>
      <c r="W48" s="328"/>
    </row>
    <row r="49" spans="7:23" s="344" customFormat="1">
      <c r="G49" s="328"/>
      <c r="H49" s="326"/>
      <c r="I49" s="326"/>
      <c r="J49" s="326"/>
      <c r="K49" s="326"/>
      <c r="L49" s="328"/>
      <c r="M49" s="328"/>
      <c r="N49" s="328"/>
      <c r="O49" s="328"/>
      <c r="P49" s="328"/>
      <c r="Q49" s="328"/>
      <c r="R49" s="328"/>
      <c r="S49" s="328"/>
      <c r="T49" s="328"/>
      <c r="U49" s="328"/>
      <c r="V49" s="328"/>
      <c r="W49" s="328"/>
    </row>
    <row r="50" spans="7:23" s="344" customFormat="1">
      <c r="G50" s="328"/>
      <c r="H50" s="326"/>
      <c r="I50" s="326"/>
      <c r="J50" s="326"/>
      <c r="K50" s="326"/>
      <c r="L50" s="328"/>
      <c r="M50" s="328"/>
      <c r="N50" s="328"/>
      <c r="O50" s="328"/>
      <c r="P50" s="328"/>
      <c r="Q50" s="328"/>
      <c r="R50" s="328"/>
      <c r="S50" s="328"/>
      <c r="T50" s="328"/>
      <c r="U50" s="328"/>
      <c r="V50" s="328"/>
      <c r="W50" s="328"/>
    </row>
    <row r="51" spans="7:23" s="344" customFormat="1">
      <c r="G51" s="328"/>
      <c r="H51" s="326"/>
      <c r="I51" s="326"/>
      <c r="J51" s="326"/>
      <c r="K51" s="326"/>
      <c r="L51" s="328"/>
      <c r="M51" s="328"/>
      <c r="N51" s="328"/>
      <c r="O51" s="328"/>
      <c r="P51" s="328"/>
      <c r="Q51" s="328"/>
      <c r="R51" s="328"/>
      <c r="S51" s="328"/>
      <c r="T51" s="328"/>
      <c r="U51" s="328"/>
      <c r="V51" s="328"/>
      <c r="W51" s="328"/>
    </row>
    <row r="52" spans="7:23" s="344" customFormat="1">
      <c r="G52" s="328"/>
      <c r="H52" s="326"/>
      <c r="I52" s="326"/>
      <c r="J52" s="326"/>
      <c r="K52" s="326"/>
      <c r="L52" s="328"/>
      <c r="M52" s="328"/>
      <c r="N52" s="328"/>
      <c r="O52" s="328"/>
      <c r="P52" s="328"/>
      <c r="Q52" s="328"/>
      <c r="R52" s="328"/>
      <c r="S52" s="328"/>
      <c r="T52" s="328"/>
      <c r="U52" s="328"/>
      <c r="V52" s="328"/>
      <c r="W52" s="328"/>
    </row>
    <row r="53" spans="7:23" s="344" customFormat="1">
      <c r="G53" s="328"/>
      <c r="H53" s="326"/>
      <c r="I53" s="326"/>
      <c r="J53" s="326"/>
      <c r="K53" s="326"/>
      <c r="L53" s="328"/>
      <c r="M53" s="328"/>
      <c r="N53" s="328"/>
      <c r="O53" s="328"/>
      <c r="P53" s="328"/>
      <c r="Q53" s="328"/>
      <c r="R53" s="328"/>
      <c r="S53" s="328"/>
      <c r="T53" s="328"/>
      <c r="U53" s="328"/>
      <c r="V53" s="328"/>
      <c r="W53" s="328"/>
    </row>
    <row r="54" spans="7:23" s="344" customFormat="1">
      <c r="G54" s="328"/>
      <c r="H54" s="326"/>
      <c r="I54" s="326"/>
      <c r="J54" s="326"/>
      <c r="K54" s="326"/>
      <c r="L54" s="328"/>
      <c r="M54" s="328"/>
      <c r="N54" s="328"/>
      <c r="O54" s="328"/>
      <c r="P54" s="328"/>
      <c r="Q54" s="328"/>
      <c r="R54" s="328"/>
      <c r="S54" s="328"/>
      <c r="T54" s="328"/>
      <c r="U54" s="328"/>
      <c r="V54" s="328"/>
      <c r="W54" s="328"/>
    </row>
    <row r="55" spans="7:23" s="344" customFormat="1">
      <c r="G55" s="328"/>
      <c r="H55" s="326"/>
      <c r="I55" s="326"/>
      <c r="J55" s="326"/>
      <c r="K55" s="326"/>
      <c r="L55" s="328"/>
      <c r="M55" s="328"/>
      <c r="N55" s="328"/>
      <c r="O55" s="328"/>
      <c r="P55" s="328"/>
      <c r="Q55" s="328"/>
      <c r="R55" s="328"/>
      <c r="S55" s="328"/>
      <c r="T55" s="328"/>
      <c r="U55" s="328"/>
      <c r="V55" s="328"/>
      <c r="W55" s="328"/>
    </row>
    <row r="56" spans="7:23" s="344" customFormat="1">
      <c r="G56" s="328"/>
      <c r="H56" s="326"/>
      <c r="I56" s="326"/>
      <c r="J56" s="326"/>
      <c r="K56" s="326"/>
      <c r="L56" s="328"/>
      <c r="M56" s="328"/>
      <c r="N56" s="328"/>
      <c r="O56" s="328"/>
      <c r="P56" s="328"/>
      <c r="Q56" s="328"/>
      <c r="R56" s="328"/>
      <c r="S56" s="328"/>
      <c r="T56" s="328"/>
      <c r="U56" s="328"/>
      <c r="V56" s="328"/>
      <c r="W56" s="328"/>
    </row>
    <row r="57" spans="7:23" s="344" customFormat="1">
      <c r="G57" s="328"/>
      <c r="H57" s="326"/>
      <c r="I57" s="326"/>
      <c r="J57" s="326"/>
      <c r="K57" s="326"/>
      <c r="L57" s="328"/>
      <c r="M57" s="328"/>
      <c r="N57" s="328"/>
      <c r="O57" s="328"/>
      <c r="P57" s="328"/>
      <c r="Q57" s="328"/>
      <c r="R57" s="328"/>
      <c r="S57" s="328"/>
      <c r="T57" s="328"/>
      <c r="U57" s="328"/>
      <c r="V57" s="328"/>
      <c r="W57" s="328"/>
    </row>
    <row r="58" spans="7:23" s="344" customFormat="1">
      <c r="G58" s="328"/>
      <c r="H58" s="326"/>
      <c r="I58" s="326"/>
      <c r="J58" s="326"/>
      <c r="K58" s="326"/>
      <c r="L58" s="328"/>
      <c r="M58" s="328"/>
      <c r="N58" s="328"/>
      <c r="O58" s="328"/>
      <c r="P58" s="328"/>
      <c r="Q58" s="328"/>
      <c r="R58" s="328"/>
      <c r="S58" s="328"/>
      <c r="T58" s="328"/>
      <c r="U58" s="328"/>
      <c r="V58" s="328"/>
      <c r="W58" s="328"/>
    </row>
    <row r="59" spans="7:23" s="344" customFormat="1">
      <c r="G59" s="328"/>
      <c r="H59" s="326"/>
      <c r="I59" s="326"/>
      <c r="J59" s="326"/>
      <c r="K59" s="326"/>
      <c r="L59" s="328"/>
      <c r="M59" s="328"/>
      <c r="N59" s="328"/>
      <c r="O59" s="328"/>
      <c r="P59" s="328"/>
      <c r="Q59" s="328"/>
      <c r="R59" s="328"/>
      <c r="S59" s="328"/>
      <c r="T59" s="328"/>
      <c r="U59" s="328"/>
      <c r="V59" s="328"/>
      <c r="W59" s="328"/>
    </row>
    <row r="60" spans="7:23" s="344" customFormat="1">
      <c r="G60" s="328"/>
      <c r="H60" s="326"/>
      <c r="I60" s="326"/>
      <c r="J60" s="326"/>
      <c r="K60" s="326"/>
      <c r="L60" s="328"/>
      <c r="M60" s="328"/>
      <c r="N60" s="328"/>
      <c r="O60" s="328"/>
      <c r="P60" s="328"/>
      <c r="Q60" s="328"/>
      <c r="R60" s="328"/>
      <c r="S60" s="328"/>
      <c r="T60" s="328"/>
      <c r="U60" s="328"/>
      <c r="V60" s="328"/>
      <c r="W60" s="328"/>
    </row>
    <row r="61" spans="7:23" s="344" customFormat="1">
      <c r="G61" s="328"/>
      <c r="H61" s="326"/>
      <c r="I61" s="326"/>
      <c r="J61" s="326"/>
      <c r="K61" s="326"/>
      <c r="L61" s="328"/>
      <c r="M61" s="328"/>
      <c r="N61" s="328"/>
      <c r="O61" s="328"/>
      <c r="P61" s="328"/>
      <c r="Q61" s="328"/>
      <c r="R61" s="328"/>
      <c r="S61" s="328"/>
      <c r="T61" s="328"/>
      <c r="U61" s="328"/>
      <c r="V61" s="328"/>
      <c r="W61" s="328"/>
    </row>
    <row r="62" spans="7:23" s="344" customFormat="1">
      <c r="G62" s="328"/>
      <c r="H62" s="326"/>
      <c r="I62" s="326"/>
      <c r="J62" s="326"/>
      <c r="K62" s="326"/>
      <c r="L62" s="328"/>
      <c r="M62" s="328"/>
      <c r="N62" s="328"/>
      <c r="O62" s="328"/>
      <c r="P62" s="328"/>
      <c r="Q62" s="328"/>
      <c r="R62" s="328"/>
      <c r="S62" s="328"/>
      <c r="T62" s="328"/>
      <c r="U62" s="328"/>
      <c r="V62" s="328"/>
      <c r="W62" s="328"/>
    </row>
    <row r="63" spans="7:23" s="344" customFormat="1">
      <c r="G63" s="328"/>
      <c r="H63" s="326"/>
      <c r="I63" s="326"/>
      <c r="J63" s="326"/>
      <c r="K63" s="326"/>
      <c r="L63" s="328"/>
      <c r="M63" s="328"/>
      <c r="N63" s="328"/>
      <c r="O63" s="328"/>
      <c r="P63" s="328"/>
      <c r="Q63" s="328"/>
      <c r="R63" s="328"/>
      <c r="S63" s="328"/>
      <c r="T63" s="328"/>
      <c r="U63" s="328"/>
      <c r="V63" s="328"/>
      <c r="W63" s="328"/>
    </row>
    <row r="64" spans="7:23" s="344" customFormat="1">
      <c r="G64" s="328"/>
      <c r="H64" s="326"/>
      <c r="I64" s="326"/>
      <c r="J64" s="326"/>
      <c r="K64" s="326"/>
      <c r="L64" s="328"/>
      <c r="M64" s="328"/>
      <c r="N64" s="328"/>
      <c r="O64" s="328"/>
      <c r="P64" s="328"/>
      <c r="Q64" s="328"/>
      <c r="R64" s="328"/>
      <c r="S64" s="328"/>
      <c r="T64" s="328"/>
      <c r="U64" s="328"/>
      <c r="V64" s="328"/>
      <c r="W64" s="32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I11" sqref="I11:J14"/>
    </sheetView>
  </sheetViews>
  <sheetFormatPr defaultColWidth="8.77734375" defaultRowHeight="13.8"/>
  <cols>
    <col min="1" max="1" width="10.21875" style="333" customWidth="1"/>
    <col min="2" max="2" width="87.21875" style="333" customWidth="1"/>
    <col min="3" max="4" width="22" style="333" customWidth="1"/>
    <col min="5" max="6" width="82.77734375" style="333" customWidth="1"/>
    <col min="7" max="7" width="24.21875" style="328" customWidth="1"/>
    <col min="8" max="8" width="8.77734375" style="328"/>
    <col min="9" max="9" width="8.77734375" style="326"/>
    <col min="10" max="22" width="8.77734375" style="328"/>
    <col min="23" max="16384" width="8.77734375" style="333"/>
  </cols>
  <sheetData>
    <row r="1" spans="1:22" s="326" customFormat="1" ht="25.8">
      <c r="A1" s="325" t="s">
        <v>356</v>
      </c>
      <c r="C1" s="327"/>
      <c r="G1" s="328"/>
      <c r="H1" s="328"/>
      <c r="J1" s="328"/>
      <c r="K1" s="328"/>
      <c r="L1" s="328"/>
      <c r="M1" s="328"/>
      <c r="N1" s="328"/>
      <c r="O1" s="328"/>
      <c r="P1" s="328"/>
      <c r="Q1" s="328"/>
      <c r="R1" s="328"/>
      <c r="S1" s="328"/>
      <c r="T1" s="328"/>
      <c r="U1" s="328"/>
      <c r="V1" s="328"/>
    </row>
    <row r="2" spans="1:22" s="326" customFormat="1" ht="25.8">
      <c r="A2" s="325" t="s">
        <v>1736</v>
      </c>
      <c r="C2" s="327"/>
      <c r="G2" s="328"/>
      <c r="H2" s="328"/>
      <c r="J2" s="328"/>
      <c r="K2" s="328"/>
      <c r="L2" s="328"/>
      <c r="M2" s="328"/>
      <c r="N2" s="328"/>
      <c r="O2" s="328"/>
      <c r="P2" s="328"/>
      <c r="Q2" s="328"/>
      <c r="R2" s="328"/>
      <c r="S2" s="328"/>
      <c r="T2" s="328"/>
      <c r="U2" s="328"/>
      <c r="V2" s="328"/>
    </row>
    <row r="3" spans="1:22" s="326" customFormat="1">
      <c r="A3" s="329" t="s">
        <v>1715</v>
      </c>
      <c r="B3" s="326" t="s">
        <v>1737</v>
      </c>
      <c r="G3" s="328"/>
      <c r="H3" s="328"/>
      <c r="J3" s="328"/>
      <c r="K3" s="328"/>
      <c r="L3" s="328"/>
      <c r="M3" s="328"/>
      <c r="N3" s="328"/>
      <c r="O3" s="328"/>
      <c r="P3" s="328"/>
      <c r="Q3" s="328"/>
      <c r="R3" s="328"/>
      <c r="S3" s="328"/>
      <c r="T3" s="328"/>
      <c r="U3" s="328"/>
      <c r="V3" s="328"/>
    </row>
    <row r="4" spans="1:22" s="326" customFormat="1">
      <c r="A4" s="329" t="s">
        <v>422</v>
      </c>
      <c r="B4" s="326" t="s">
        <v>1738</v>
      </c>
      <c r="G4" s="328"/>
      <c r="H4" s="328"/>
      <c r="J4" s="328"/>
      <c r="K4" s="328"/>
      <c r="L4" s="328"/>
      <c r="M4" s="328"/>
      <c r="N4" s="328"/>
      <c r="O4" s="328"/>
      <c r="P4" s="328"/>
      <c r="Q4" s="328"/>
      <c r="R4" s="328"/>
      <c r="S4" s="328"/>
      <c r="T4" s="328"/>
      <c r="U4" s="328"/>
      <c r="V4" s="328"/>
    </row>
    <row r="5" spans="1:22" s="326" customFormat="1">
      <c r="A5" s="326" t="s">
        <v>1718</v>
      </c>
      <c r="B5" s="326" t="s">
        <v>1739</v>
      </c>
      <c r="G5" s="328"/>
      <c r="H5" s="328"/>
      <c r="J5" s="328"/>
      <c r="K5" s="328"/>
      <c r="L5" s="328"/>
      <c r="M5" s="328"/>
      <c r="N5" s="328"/>
      <c r="O5" s="328"/>
      <c r="P5" s="328"/>
      <c r="Q5" s="328"/>
      <c r="R5" s="328"/>
      <c r="S5" s="328"/>
      <c r="T5" s="328"/>
      <c r="U5" s="328"/>
      <c r="V5" s="328"/>
    </row>
    <row r="6" spans="1:22" s="326" customFormat="1">
      <c r="A6" s="326" t="s">
        <v>426</v>
      </c>
      <c r="B6" s="326" t="s">
        <v>1740</v>
      </c>
      <c r="G6" s="328"/>
      <c r="H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c r="G8" s="354" t="s">
        <v>1721</v>
      </c>
    </row>
    <row r="9" spans="1:22" s="329" customFormat="1">
      <c r="A9" s="355" t="s">
        <v>47</v>
      </c>
      <c r="B9" s="356"/>
      <c r="C9" s="357"/>
      <c r="D9" s="357"/>
      <c r="E9" s="357"/>
      <c r="F9" s="357"/>
      <c r="G9" s="357"/>
      <c r="I9" s="326"/>
    </row>
    <row r="10" spans="1:22" s="329" customFormat="1" ht="82.8">
      <c r="A10" s="3" t="s">
        <v>357</v>
      </c>
      <c r="B10" s="3" t="s">
        <v>1741</v>
      </c>
      <c r="C10" s="340" t="s">
        <v>1742</v>
      </c>
      <c r="D10" s="340" t="s">
        <v>539</v>
      </c>
      <c r="E10" s="340" t="s">
        <v>358</v>
      </c>
      <c r="F10" s="340"/>
      <c r="G10" s="3"/>
      <c r="I10" s="326"/>
    </row>
    <row r="11" spans="1:22" s="149" customFormat="1">
      <c r="A11" s="334" t="s">
        <v>54</v>
      </c>
      <c r="B11" s="334"/>
      <c r="C11" s="335"/>
      <c r="D11" s="335"/>
      <c r="E11" s="335"/>
      <c r="F11" s="335"/>
      <c r="G11" s="335"/>
      <c r="H11" s="329"/>
      <c r="I11" s="326"/>
      <c r="J11" s="329"/>
      <c r="K11" s="329"/>
      <c r="L11" s="329"/>
      <c r="M11" s="329"/>
      <c r="N11" s="329"/>
      <c r="O11" s="329"/>
      <c r="P11" s="329"/>
      <c r="Q11" s="329"/>
      <c r="R11" s="329"/>
      <c r="S11" s="329"/>
      <c r="T11" s="329"/>
      <c r="U11" s="329"/>
      <c r="V11" s="329"/>
    </row>
    <row r="12" spans="1:22" s="149" customFormat="1" ht="41.4">
      <c r="A12" s="3" t="s">
        <v>359</v>
      </c>
      <c r="B12" s="3" t="s">
        <v>360</v>
      </c>
      <c r="C12" s="340" t="s">
        <v>541</v>
      </c>
      <c r="D12" s="340" t="s">
        <v>540</v>
      </c>
      <c r="E12" s="340" t="s">
        <v>1665</v>
      </c>
      <c r="F12" s="340"/>
      <c r="G12" s="3"/>
      <c r="H12" s="329"/>
      <c r="I12" s="326"/>
      <c r="J12" s="329"/>
      <c r="K12" s="329"/>
      <c r="L12" s="329"/>
      <c r="M12" s="329"/>
      <c r="N12" s="329"/>
      <c r="O12" s="329"/>
      <c r="P12" s="329"/>
      <c r="Q12" s="329"/>
      <c r="R12" s="329"/>
      <c r="S12" s="329"/>
      <c r="T12" s="329"/>
      <c r="U12" s="329"/>
      <c r="V12" s="329"/>
    </row>
    <row r="13" spans="1:22" s="94" customFormat="1" ht="41.4">
      <c r="A13" s="3" t="s">
        <v>361</v>
      </c>
      <c r="B13" s="3" t="s">
        <v>1743</v>
      </c>
      <c r="C13" s="340" t="s">
        <v>543</v>
      </c>
      <c r="D13" s="340" t="s">
        <v>542</v>
      </c>
      <c r="E13" s="340" t="s">
        <v>1666</v>
      </c>
      <c r="F13" s="340"/>
      <c r="G13" s="3"/>
      <c r="H13" s="329"/>
      <c r="I13" s="326"/>
      <c r="J13" s="329"/>
      <c r="K13" s="329"/>
      <c r="L13" s="329"/>
      <c r="M13" s="329"/>
      <c r="N13" s="329"/>
      <c r="O13" s="329"/>
      <c r="P13" s="329"/>
      <c r="Q13" s="329"/>
      <c r="R13" s="329"/>
      <c r="S13" s="329"/>
      <c r="T13" s="329"/>
      <c r="U13" s="329"/>
      <c r="V13" s="329"/>
    </row>
    <row r="14" spans="1:22" s="329" customFormat="1" ht="69">
      <c r="A14" s="358" t="s">
        <v>362</v>
      </c>
      <c r="B14" s="359" t="s">
        <v>1744</v>
      </c>
      <c r="C14" s="340" t="s">
        <v>1745</v>
      </c>
      <c r="D14" s="340" t="s">
        <v>1746</v>
      </c>
      <c r="E14" s="340" t="s">
        <v>1747</v>
      </c>
      <c r="F14" s="340" t="s">
        <v>1748</v>
      </c>
      <c r="G14" s="3"/>
      <c r="I14" s="326"/>
    </row>
    <row r="15" spans="1:22" s="329" customFormat="1" ht="124.2">
      <c r="A15" s="3" t="s">
        <v>363</v>
      </c>
      <c r="B15" s="3" t="s">
        <v>1749</v>
      </c>
      <c r="C15" s="340" t="s">
        <v>1750</v>
      </c>
      <c r="D15" s="340" t="s">
        <v>544</v>
      </c>
      <c r="E15" s="340" t="s">
        <v>1667</v>
      </c>
      <c r="F15" s="340"/>
      <c r="G15" s="3"/>
      <c r="I15" s="326"/>
    </row>
    <row r="16" spans="1:22" s="149" customFormat="1" ht="55.2">
      <c r="A16" s="3" t="s">
        <v>364</v>
      </c>
      <c r="B16" s="3" t="s">
        <v>1751</v>
      </c>
      <c r="C16" s="340" t="s">
        <v>545</v>
      </c>
      <c r="D16" s="340" t="s">
        <v>1752</v>
      </c>
      <c r="E16" s="340" t="s">
        <v>1668</v>
      </c>
      <c r="F16" s="340"/>
      <c r="G16" s="3"/>
      <c r="H16" s="329"/>
      <c r="I16" s="326"/>
      <c r="J16" s="329"/>
      <c r="K16" s="329"/>
      <c r="L16" s="329"/>
      <c r="M16" s="329"/>
      <c r="N16" s="329"/>
      <c r="O16" s="329"/>
      <c r="P16" s="329"/>
      <c r="Q16" s="329"/>
      <c r="R16" s="329"/>
      <c r="S16" s="329"/>
      <c r="T16" s="329"/>
      <c r="U16" s="329"/>
      <c r="V16" s="329"/>
    </row>
    <row r="17" spans="1:22" s="149" customFormat="1" ht="69">
      <c r="A17" s="3" t="s">
        <v>365</v>
      </c>
      <c r="B17" s="3" t="s">
        <v>1753</v>
      </c>
      <c r="C17" s="340" t="s">
        <v>547</v>
      </c>
      <c r="D17" s="340" t="s">
        <v>546</v>
      </c>
      <c r="E17" s="340" t="s">
        <v>1669</v>
      </c>
      <c r="F17" s="340"/>
      <c r="G17" s="3"/>
      <c r="H17" s="329"/>
      <c r="I17" s="326"/>
      <c r="J17" s="329"/>
      <c r="K17" s="329"/>
      <c r="L17" s="329"/>
      <c r="M17" s="329"/>
      <c r="N17" s="329"/>
      <c r="O17" s="329"/>
      <c r="P17" s="329"/>
      <c r="Q17" s="329"/>
      <c r="R17" s="329"/>
      <c r="S17" s="329"/>
      <c r="T17" s="329"/>
      <c r="U17" s="329"/>
      <c r="V17" s="329"/>
    </row>
    <row r="18" spans="1:22" s="326" customFormat="1"/>
    <row r="19" spans="1:22" s="343" customFormat="1">
      <c r="G19" s="328"/>
      <c r="H19" s="328"/>
      <c r="I19" s="326"/>
      <c r="J19" s="328"/>
      <c r="K19" s="328"/>
      <c r="L19" s="328"/>
      <c r="M19" s="328"/>
      <c r="N19" s="328"/>
      <c r="O19" s="328"/>
      <c r="P19" s="328"/>
      <c r="Q19" s="328"/>
      <c r="R19" s="328"/>
      <c r="S19" s="328"/>
      <c r="T19" s="328"/>
      <c r="U19" s="328"/>
      <c r="V19" s="328"/>
    </row>
    <row r="20" spans="1:22" s="343" customFormat="1">
      <c r="G20" s="328"/>
      <c r="H20" s="328"/>
      <c r="I20" s="326"/>
      <c r="J20" s="328"/>
      <c r="K20" s="328"/>
      <c r="L20" s="328"/>
      <c r="M20" s="328"/>
      <c r="N20" s="328"/>
      <c r="O20" s="328"/>
      <c r="P20" s="328"/>
      <c r="Q20" s="328"/>
      <c r="R20" s="328"/>
      <c r="S20" s="328"/>
      <c r="T20" s="328"/>
      <c r="U20" s="328"/>
      <c r="V20" s="328"/>
    </row>
    <row r="21" spans="1:22" s="343" customFormat="1">
      <c r="G21" s="328"/>
      <c r="H21" s="328"/>
      <c r="I21" s="326"/>
      <c r="J21" s="328"/>
      <c r="K21" s="328"/>
      <c r="L21" s="328"/>
      <c r="M21" s="328"/>
      <c r="N21" s="328"/>
      <c r="O21" s="328"/>
      <c r="P21" s="328"/>
      <c r="Q21" s="328"/>
      <c r="R21" s="328"/>
      <c r="S21" s="328"/>
      <c r="T21" s="328"/>
      <c r="U21" s="328"/>
      <c r="V21" s="328"/>
    </row>
    <row r="22" spans="1:22" s="343" customFormat="1">
      <c r="G22" s="328"/>
      <c r="H22" s="328"/>
      <c r="I22" s="326"/>
      <c r="J22" s="328"/>
      <c r="K22" s="328"/>
      <c r="L22" s="328"/>
      <c r="M22" s="328"/>
      <c r="N22" s="328"/>
      <c r="O22" s="328"/>
      <c r="P22" s="328"/>
      <c r="Q22" s="328"/>
      <c r="R22" s="328"/>
      <c r="S22" s="328"/>
      <c r="T22" s="328"/>
      <c r="U22" s="328"/>
      <c r="V22" s="328"/>
    </row>
    <row r="23" spans="1:22" s="343" customFormat="1">
      <c r="G23" s="328"/>
      <c r="H23" s="328"/>
      <c r="I23" s="326"/>
      <c r="J23" s="328"/>
      <c r="K23" s="328"/>
      <c r="L23" s="328"/>
      <c r="M23" s="328"/>
      <c r="N23" s="328"/>
      <c r="O23" s="328"/>
      <c r="P23" s="328"/>
      <c r="Q23" s="328"/>
      <c r="R23" s="328"/>
      <c r="S23" s="328"/>
      <c r="T23" s="328"/>
      <c r="U23" s="328"/>
      <c r="V23" s="328"/>
    </row>
    <row r="24" spans="1:22" s="343" customFormat="1">
      <c r="G24" s="328"/>
      <c r="H24" s="328"/>
      <c r="I24" s="326"/>
      <c r="J24" s="328"/>
      <c r="K24" s="328"/>
      <c r="L24" s="328"/>
      <c r="M24" s="328"/>
      <c r="N24" s="328"/>
      <c r="O24" s="328"/>
      <c r="P24" s="328"/>
      <c r="Q24" s="328"/>
      <c r="R24" s="328"/>
      <c r="S24" s="328"/>
      <c r="T24" s="328"/>
      <c r="U24" s="328"/>
      <c r="V24" s="328"/>
    </row>
    <row r="25" spans="1:22" s="343" customFormat="1">
      <c r="G25" s="328"/>
      <c r="H25" s="328"/>
      <c r="I25" s="326"/>
      <c r="J25" s="328"/>
      <c r="K25" s="328"/>
      <c r="L25" s="328"/>
      <c r="M25" s="328"/>
      <c r="N25" s="328"/>
      <c r="O25" s="328"/>
      <c r="P25" s="328"/>
      <c r="Q25" s="328"/>
      <c r="R25" s="328"/>
      <c r="S25" s="328"/>
      <c r="T25" s="328"/>
      <c r="U25" s="328"/>
      <c r="V25" s="328"/>
    </row>
    <row r="26" spans="1:22" s="343" customFormat="1">
      <c r="G26" s="328"/>
      <c r="H26" s="328"/>
      <c r="I26" s="326"/>
      <c r="J26" s="328"/>
      <c r="K26" s="328"/>
      <c r="L26" s="328"/>
      <c r="M26" s="328"/>
      <c r="N26" s="328"/>
      <c r="O26" s="328"/>
      <c r="P26" s="328"/>
      <c r="Q26" s="328"/>
      <c r="R26" s="328"/>
      <c r="S26" s="328"/>
      <c r="T26" s="328"/>
      <c r="U26" s="328"/>
      <c r="V26" s="328"/>
    </row>
    <row r="27" spans="1:22" s="343" customFormat="1">
      <c r="G27" s="328"/>
      <c r="H27" s="328"/>
      <c r="I27" s="326"/>
      <c r="J27" s="328"/>
      <c r="K27" s="328"/>
      <c r="L27" s="328"/>
      <c r="M27" s="328"/>
      <c r="N27" s="328"/>
      <c r="O27" s="328"/>
      <c r="P27" s="328"/>
      <c r="Q27" s="328"/>
      <c r="R27" s="328"/>
      <c r="S27" s="328"/>
      <c r="T27" s="328"/>
      <c r="U27" s="328"/>
      <c r="V27" s="328"/>
    </row>
    <row r="28" spans="1:22" s="343" customFormat="1">
      <c r="G28" s="328"/>
      <c r="H28" s="328"/>
      <c r="I28" s="326"/>
      <c r="J28" s="328"/>
      <c r="K28" s="328"/>
      <c r="L28" s="328"/>
      <c r="M28" s="328"/>
      <c r="N28" s="328"/>
      <c r="O28" s="328"/>
      <c r="P28" s="328"/>
      <c r="Q28" s="328"/>
      <c r="R28" s="328"/>
      <c r="S28" s="328"/>
      <c r="T28" s="328"/>
      <c r="U28" s="328"/>
      <c r="V28" s="328"/>
    </row>
    <row r="29" spans="1:22" s="343" customFormat="1">
      <c r="G29" s="328"/>
      <c r="H29" s="328"/>
      <c r="I29" s="326"/>
      <c r="J29" s="328"/>
      <c r="K29" s="328"/>
      <c r="L29" s="328"/>
      <c r="M29" s="328"/>
      <c r="N29" s="328"/>
      <c r="O29" s="328"/>
      <c r="P29" s="328"/>
      <c r="Q29" s="328"/>
      <c r="R29" s="328"/>
      <c r="S29" s="328"/>
      <c r="T29" s="328"/>
      <c r="U29" s="328"/>
      <c r="V29" s="328"/>
    </row>
    <row r="30" spans="1:22" s="343" customFormat="1">
      <c r="G30" s="328"/>
      <c r="H30" s="328"/>
      <c r="I30" s="326"/>
      <c r="J30" s="328"/>
      <c r="K30" s="328"/>
      <c r="L30" s="328"/>
      <c r="M30" s="328"/>
      <c r="N30" s="328"/>
      <c r="O30" s="328"/>
      <c r="P30" s="328"/>
      <c r="Q30" s="328"/>
      <c r="R30" s="328"/>
      <c r="S30" s="328"/>
      <c r="T30" s="328"/>
      <c r="U30" s="328"/>
      <c r="V30" s="328"/>
    </row>
    <row r="31" spans="1:22" s="343" customFormat="1">
      <c r="G31" s="328"/>
      <c r="H31" s="328"/>
      <c r="I31" s="326"/>
      <c r="J31" s="328"/>
      <c r="K31" s="328"/>
      <c r="L31" s="328"/>
      <c r="M31" s="328"/>
      <c r="N31" s="328"/>
      <c r="O31" s="328"/>
      <c r="P31" s="328"/>
      <c r="Q31" s="328"/>
      <c r="R31" s="328"/>
      <c r="S31" s="328"/>
      <c r="T31" s="328"/>
      <c r="U31" s="328"/>
      <c r="V31" s="328"/>
    </row>
    <row r="32" spans="1:22" s="343" customFormat="1">
      <c r="G32" s="328"/>
      <c r="H32" s="328"/>
      <c r="I32" s="326"/>
      <c r="J32" s="328"/>
      <c r="K32" s="328"/>
      <c r="L32" s="328"/>
      <c r="M32" s="328"/>
      <c r="N32" s="328"/>
      <c r="O32" s="328"/>
      <c r="P32" s="328"/>
      <c r="Q32" s="328"/>
      <c r="R32" s="328"/>
      <c r="S32" s="328"/>
      <c r="T32" s="328"/>
      <c r="U32" s="328"/>
      <c r="V32" s="328"/>
    </row>
    <row r="33" spans="7:22" s="343" customFormat="1">
      <c r="G33" s="328"/>
      <c r="H33" s="328"/>
      <c r="I33" s="326"/>
      <c r="J33" s="328"/>
      <c r="K33" s="328"/>
      <c r="L33" s="328"/>
      <c r="M33" s="328"/>
      <c r="N33" s="328"/>
      <c r="O33" s="328"/>
      <c r="P33" s="328"/>
      <c r="Q33" s="328"/>
      <c r="R33" s="328"/>
      <c r="S33" s="328"/>
      <c r="T33" s="328"/>
      <c r="U33" s="328"/>
      <c r="V33" s="328"/>
    </row>
    <row r="34" spans="7:22" s="343" customFormat="1">
      <c r="G34" s="328"/>
      <c r="H34" s="328"/>
      <c r="I34" s="326"/>
      <c r="J34" s="328"/>
      <c r="K34" s="328"/>
      <c r="L34" s="328"/>
      <c r="M34" s="328"/>
      <c r="N34" s="328"/>
      <c r="O34" s="328"/>
      <c r="P34" s="328"/>
      <c r="Q34" s="328"/>
      <c r="R34" s="328"/>
      <c r="S34" s="328"/>
      <c r="T34" s="328"/>
      <c r="U34" s="328"/>
      <c r="V34" s="328"/>
    </row>
    <row r="35" spans="7:22" s="343" customFormat="1">
      <c r="G35" s="328"/>
      <c r="H35" s="328"/>
      <c r="I35" s="326"/>
      <c r="J35" s="328"/>
      <c r="K35" s="328"/>
      <c r="L35" s="328"/>
      <c r="M35" s="328"/>
      <c r="N35" s="328"/>
      <c r="O35" s="328"/>
      <c r="P35" s="328"/>
      <c r="Q35" s="328"/>
      <c r="R35" s="328"/>
      <c r="S35" s="328"/>
      <c r="T35" s="328"/>
      <c r="U35" s="328"/>
      <c r="V35" s="328"/>
    </row>
    <row r="36" spans="7:22" s="343" customFormat="1">
      <c r="G36" s="328"/>
      <c r="H36" s="328"/>
      <c r="I36" s="326"/>
      <c r="J36" s="328"/>
      <c r="K36" s="328"/>
      <c r="L36" s="328"/>
      <c r="M36" s="328"/>
      <c r="N36" s="328"/>
      <c r="O36" s="328"/>
      <c r="P36" s="328"/>
      <c r="Q36" s="328"/>
      <c r="R36" s="328"/>
      <c r="S36" s="328"/>
      <c r="T36" s="328"/>
      <c r="U36" s="328"/>
      <c r="V36" s="328"/>
    </row>
    <row r="37" spans="7:22" s="343" customFormat="1">
      <c r="G37" s="328"/>
      <c r="H37" s="328"/>
      <c r="I37" s="326"/>
      <c r="J37" s="328"/>
      <c r="K37" s="328"/>
      <c r="L37" s="328"/>
      <c r="M37" s="328"/>
      <c r="N37" s="328"/>
      <c r="O37" s="328"/>
      <c r="P37" s="328"/>
      <c r="Q37" s="328"/>
      <c r="R37" s="328"/>
      <c r="S37" s="328"/>
      <c r="T37" s="328"/>
      <c r="U37" s="328"/>
      <c r="V37" s="328"/>
    </row>
    <row r="38" spans="7:22" s="344" customFormat="1">
      <c r="G38" s="328"/>
      <c r="H38" s="328"/>
      <c r="I38" s="326"/>
      <c r="J38" s="328"/>
      <c r="K38" s="328"/>
      <c r="L38" s="328"/>
      <c r="M38" s="328"/>
      <c r="N38" s="328"/>
      <c r="O38" s="328"/>
      <c r="P38" s="328"/>
      <c r="Q38" s="328"/>
      <c r="R38" s="328"/>
      <c r="S38" s="328"/>
      <c r="T38" s="328"/>
      <c r="U38" s="328"/>
      <c r="V38" s="328"/>
    </row>
    <row r="39" spans="7:22" s="344" customFormat="1">
      <c r="G39" s="328"/>
      <c r="H39" s="328"/>
      <c r="I39" s="326"/>
      <c r="J39" s="328"/>
      <c r="K39" s="328"/>
      <c r="L39" s="328"/>
      <c r="M39" s="328"/>
      <c r="N39" s="328"/>
      <c r="O39" s="328"/>
      <c r="P39" s="328"/>
      <c r="Q39" s="328"/>
      <c r="R39" s="328"/>
      <c r="S39" s="328"/>
      <c r="T39" s="328"/>
      <c r="U39" s="328"/>
      <c r="V39" s="328"/>
    </row>
    <row r="40" spans="7:22" s="344" customFormat="1">
      <c r="G40" s="328"/>
      <c r="H40" s="328"/>
      <c r="I40" s="326"/>
      <c r="J40" s="328"/>
      <c r="K40" s="328"/>
      <c r="L40" s="328"/>
      <c r="M40" s="328"/>
      <c r="N40" s="328"/>
      <c r="O40" s="328"/>
      <c r="P40" s="328"/>
      <c r="Q40" s="328"/>
      <c r="R40" s="328"/>
      <c r="S40" s="328"/>
      <c r="T40" s="328"/>
      <c r="U40" s="328"/>
      <c r="V40" s="328"/>
    </row>
    <row r="41" spans="7:22" s="344" customFormat="1">
      <c r="G41" s="328"/>
      <c r="H41" s="328"/>
      <c r="I41" s="326"/>
      <c r="J41" s="328"/>
      <c r="K41" s="328"/>
      <c r="L41" s="328"/>
      <c r="M41" s="328"/>
      <c r="N41" s="328"/>
      <c r="O41" s="328"/>
      <c r="P41" s="328"/>
      <c r="Q41" s="328"/>
      <c r="R41" s="328"/>
      <c r="S41" s="328"/>
      <c r="T41" s="328"/>
      <c r="U41" s="328"/>
      <c r="V41" s="328"/>
    </row>
    <row r="42" spans="7:22" s="344" customFormat="1">
      <c r="G42" s="328"/>
      <c r="H42" s="328"/>
      <c r="I42" s="326"/>
      <c r="J42" s="328"/>
      <c r="K42" s="328"/>
      <c r="L42" s="328"/>
      <c r="M42" s="328"/>
      <c r="N42" s="328"/>
      <c r="O42" s="328"/>
      <c r="P42" s="328"/>
      <c r="Q42" s="328"/>
      <c r="R42" s="328"/>
      <c r="S42" s="328"/>
      <c r="T42" s="328"/>
      <c r="U42" s="328"/>
      <c r="V42" s="328"/>
    </row>
    <row r="43" spans="7:22" s="344" customFormat="1">
      <c r="G43" s="328"/>
      <c r="H43" s="328"/>
      <c r="I43" s="326"/>
      <c r="J43" s="328"/>
      <c r="K43" s="328"/>
      <c r="L43" s="328"/>
      <c r="M43" s="328"/>
      <c r="N43" s="328"/>
      <c r="O43" s="328"/>
      <c r="P43" s="328"/>
      <c r="Q43" s="328"/>
      <c r="R43" s="328"/>
      <c r="S43" s="328"/>
      <c r="T43" s="328"/>
      <c r="U43" s="328"/>
      <c r="V43" s="328"/>
    </row>
    <row r="44" spans="7:22" s="344" customFormat="1">
      <c r="G44" s="328"/>
      <c r="H44" s="328"/>
      <c r="I44" s="326"/>
      <c r="J44" s="328"/>
      <c r="K44" s="328"/>
      <c r="L44" s="328"/>
      <c r="M44" s="328"/>
      <c r="N44" s="328"/>
      <c r="O44" s="328"/>
      <c r="P44" s="328"/>
      <c r="Q44" s="328"/>
      <c r="R44" s="328"/>
      <c r="S44" s="328"/>
      <c r="T44" s="328"/>
      <c r="U44" s="328"/>
      <c r="V44" s="328"/>
    </row>
    <row r="45" spans="7:22" s="344" customFormat="1">
      <c r="G45" s="328"/>
      <c r="H45" s="328"/>
      <c r="I45" s="326"/>
      <c r="J45" s="328"/>
      <c r="K45" s="328"/>
      <c r="L45" s="328"/>
      <c r="M45" s="328"/>
      <c r="N45" s="328"/>
      <c r="O45" s="328"/>
      <c r="P45" s="328"/>
      <c r="Q45" s="328"/>
      <c r="R45" s="328"/>
      <c r="S45" s="328"/>
      <c r="T45" s="328"/>
      <c r="U45" s="328"/>
      <c r="V45" s="328"/>
    </row>
    <row r="46" spans="7:22" s="344" customFormat="1">
      <c r="G46" s="328"/>
      <c r="H46" s="328"/>
      <c r="I46" s="326"/>
      <c r="J46" s="328"/>
      <c r="K46" s="328"/>
      <c r="L46" s="328"/>
      <c r="M46" s="328"/>
      <c r="N46" s="328"/>
      <c r="O46" s="328"/>
      <c r="P46" s="328"/>
      <c r="Q46" s="328"/>
      <c r="R46" s="328"/>
      <c r="S46" s="328"/>
      <c r="T46" s="328"/>
      <c r="U46" s="328"/>
      <c r="V46" s="328"/>
    </row>
    <row r="47" spans="7:22" s="344" customFormat="1">
      <c r="G47" s="328"/>
      <c r="H47" s="328"/>
      <c r="I47" s="326"/>
      <c r="J47" s="328"/>
      <c r="K47" s="328"/>
      <c r="L47" s="328"/>
      <c r="M47" s="328"/>
      <c r="N47" s="328"/>
      <c r="O47" s="328"/>
      <c r="P47" s="328"/>
      <c r="Q47" s="328"/>
      <c r="R47" s="328"/>
      <c r="S47" s="328"/>
      <c r="T47" s="328"/>
      <c r="U47" s="328"/>
      <c r="V47" s="328"/>
    </row>
    <row r="48" spans="7:22" s="344" customFormat="1">
      <c r="G48" s="328"/>
      <c r="H48" s="328"/>
      <c r="I48" s="326"/>
      <c r="J48" s="328"/>
      <c r="K48" s="328"/>
      <c r="L48" s="328"/>
      <c r="M48" s="328"/>
      <c r="N48" s="328"/>
      <c r="O48" s="328"/>
      <c r="P48" s="328"/>
      <c r="Q48" s="328"/>
      <c r="R48" s="328"/>
      <c r="S48" s="328"/>
      <c r="T48" s="328"/>
      <c r="U48" s="328"/>
      <c r="V48" s="328"/>
    </row>
    <row r="49" spans="7:22" s="344" customFormat="1">
      <c r="G49" s="328"/>
      <c r="H49" s="328"/>
      <c r="I49" s="326"/>
      <c r="J49" s="328"/>
      <c r="K49" s="328"/>
      <c r="L49" s="328"/>
      <c r="M49" s="328"/>
      <c r="N49" s="328"/>
      <c r="O49" s="328"/>
      <c r="P49" s="328"/>
      <c r="Q49" s="328"/>
      <c r="R49" s="328"/>
      <c r="S49" s="328"/>
      <c r="T49" s="328"/>
      <c r="U49" s="328"/>
      <c r="V49" s="328"/>
    </row>
    <row r="50" spans="7:22" s="344" customFormat="1">
      <c r="G50" s="328"/>
      <c r="H50" s="328"/>
      <c r="I50" s="326"/>
      <c r="J50" s="328"/>
      <c r="K50" s="328"/>
      <c r="L50" s="328"/>
      <c r="M50" s="328"/>
      <c r="N50" s="328"/>
      <c r="O50" s="328"/>
      <c r="P50" s="328"/>
      <c r="Q50" s="328"/>
      <c r="R50" s="328"/>
      <c r="S50" s="328"/>
      <c r="T50" s="328"/>
      <c r="U50" s="328"/>
      <c r="V50" s="328"/>
    </row>
    <row r="51" spans="7:22" s="344" customFormat="1">
      <c r="G51" s="328"/>
      <c r="H51" s="328"/>
      <c r="I51" s="326"/>
      <c r="J51" s="328"/>
      <c r="K51" s="328"/>
      <c r="L51" s="328"/>
      <c r="M51" s="328"/>
      <c r="N51" s="328"/>
      <c r="O51" s="328"/>
      <c r="P51" s="328"/>
      <c r="Q51" s="328"/>
      <c r="R51" s="328"/>
      <c r="S51" s="328"/>
      <c r="T51" s="328"/>
      <c r="U51" s="328"/>
      <c r="V51" s="328"/>
    </row>
    <row r="52" spans="7:22" s="344" customFormat="1">
      <c r="G52" s="328"/>
      <c r="H52" s="328"/>
      <c r="I52" s="326"/>
      <c r="J52" s="328"/>
      <c r="K52" s="328"/>
      <c r="L52" s="328"/>
      <c r="M52" s="328"/>
      <c r="N52" s="328"/>
      <c r="O52" s="328"/>
      <c r="P52" s="328"/>
      <c r="Q52" s="328"/>
      <c r="R52" s="328"/>
      <c r="S52" s="328"/>
      <c r="T52" s="328"/>
      <c r="U52" s="328"/>
      <c r="V52" s="328"/>
    </row>
    <row r="53" spans="7:22" s="344" customFormat="1">
      <c r="G53" s="328"/>
      <c r="H53" s="328"/>
      <c r="I53" s="326"/>
      <c r="J53" s="328"/>
      <c r="K53" s="328"/>
      <c r="L53" s="328"/>
      <c r="M53" s="328"/>
      <c r="N53" s="328"/>
      <c r="O53" s="328"/>
      <c r="P53" s="328"/>
      <c r="Q53" s="328"/>
      <c r="R53" s="328"/>
      <c r="S53" s="328"/>
      <c r="T53" s="328"/>
      <c r="U53" s="328"/>
      <c r="V53" s="328"/>
    </row>
    <row r="54" spans="7:22" s="344" customFormat="1">
      <c r="G54" s="328"/>
      <c r="H54" s="328"/>
      <c r="I54" s="326"/>
      <c r="J54" s="328"/>
      <c r="K54" s="328"/>
      <c r="L54" s="328"/>
      <c r="M54" s="328"/>
      <c r="N54" s="328"/>
      <c r="O54" s="328"/>
      <c r="P54" s="328"/>
      <c r="Q54" s="328"/>
      <c r="R54" s="328"/>
      <c r="S54" s="328"/>
      <c r="T54" s="328"/>
      <c r="U54" s="328"/>
      <c r="V54" s="328"/>
    </row>
    <row r="55" spans="7:22" s="344" customFormat="1">
      <c r="G55" s="328"/>
      <c r="H55" s="328"/>
      <c r="I55" s="326"/>
      <c r="J55" s="328"/>
      <c r="K55" s="328"/>
      <c r="L55" s="328"/>
      <c r="M55" s="328"/>
      <c r="N55" s="328"/>
      <c r="O55" s="328"/>
      <c r="P55" s="328"/>
      <c r="Q55" s="328"/>
      <c r="R55" s="328"/>
      <c r="S55" s="328"/>
      <c r="T55" s="328"/>
      <c r="U55" s="328"/>
      <c r="V55" s="328"/>
    </row>
    <row r="56" spans="7:22" s="344" customFormat="1">
      <c r="G56" s="328"/>
      <c r="H56" s="328"/>
      <c r="I56" s="326"/>
      <c r="J56" s="328"/>
      <c r="K56" s="328"/>
      <c r="L56" s="328"/>
      <c r="M56" s="328"/>
      <c r="N56" s="328"/>
      <c r="O56" s="328"/>
      <c r="P56" s="328"/>
      <c r="Q56" s="328"/>
      <c r="R56" s="328"/>
      <c r="S56" s="328"/>
      <c r="T56" s="328"/>
      <c r="U56" s="328"/>
      <c r="V56" s="328"/>
    </row>
    <row r="57" spans="7:22" s="344" customFormat="1">
      <c r="G57" s="328"/>
      <c r="H57" s="328"/>
      <c r="I57" s="326"/>
      <c r="J57" s="328"/>
      <c r="K57" s="328"/>
      <c r="L57" s="328"/>
      <c r="M57" s="328"/>
      <c r="N57" s="328"/>
      <c r="O57" s="328"/>
      <c r="P57" s="328"/>
      <c r="Q57" s="328"/>
      <c r="R57" s="328"/>
      <c r="S57" s="328"/>
      <c r="T57" s="328"/>
      <c r="U57" s="328"/>
      <c r="V57" s="328"/>
    </row>
    <row r="58" spans="7:22" s="344" customFormat="1">
      <c r="G58" s="328"/>
      <c r="H58" s="328"/>
      <c r="I58" s="326"/>
      <c r="J58" s="328"/>
      <c r="K58" s="328"/>
      <c r="L58" s="328"/>
      <c r="M58" s="328"/>
      <c r="N58" s="328"/>
      <c r="O58" s="328"/>
      <c r="P58" s="328"/>
      <c r="Q58" s="328"/>
      <c r="R58" s="328"/>
      <c r="S58" s="328"/>
      <c r="T58" s="328"/>
      <c r="U58" s="328"/>
      <c r="V58" s="328"/>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2.44140625" style="333" customWidth="1"/>
    <col min="5" max="6" width="81.77734375" style="333" customWidth="1"/>
    <col min="7" max="7" width="23.21875" style="328" customWidth="1"/>
    <col min="8" max="23" width="8.77734375" style="328"/>
    <col min="24" max="16384" width="8.77734375" style="333"/>
  </cols>
  <sheetData>
    <row r="1" spans="1:23" s="326" customFormat="1" ht="25.8">
      <c r="A1" s="325" t="s">
        <v>155</v>
      </c>
      <c r="C1" s="327"/>
      <c r="G1" s="328"/>
      <c r="H1" s="328"/>
      <c r="I1" s="328"/>
      <c r="J1" s="328"/>
      <c r="K1" s="328"/>
      <c r="L1" s="328"/>
      <c r="M1" s="328"/>
      <c r="N1" s="328"/>
      <c r="O1" s="328"/>
      <c r="P1" s="328"/>
      <c r="Q1" s="328"/>
      <c r="R1" s="328"/>
      <c r="S1" s="328"/>
      <c r="T1" s="328"/>
      <c r="U1" s="328"/>
      <c r="V1" s="328"/>
      <c r="W1" s="328"/>
    </row>
    <row r="2" spans="1:23" s="326" customFormat="1" ht="25.8">
      <c r="A2" s="325" t="s">
        <v>1754</v>
      </c>
      <c r="C2" s="327"/>
      <c r="G2" s="328"/>
      <c r="H2" s="328"/>
      <c r="I2" s="328"/>
      <c r="J2" s="328"/>
      <c r="K2" s="328"/>
      <c r="L2" s="328"/>
      <c r="M2" s="328"/>
      <c r="N2" s="328"/>
      <c r="O2" s="328"/>
      <c r="P2" s="328"/>
      <c r="Q2" s="328"/>
      <c r="R2" s="328"/>
      <c r="S2" s="328"/>
      <c r="T2" s="328"/>
      <c r="U2" s="328"/>
      <c r="V2" s="328"/>
      <c r="W2" s="328"/>
    </row>
    <row r="3" spans="1:23" s="326" customFormat="1">
      <c r="A3" s="329" t="s">
        <v>461</v>
      </c>
      <c r="B3" s="326" t="s">
        <v>156</v>
      </c>
      <c r="G3" s="328"/>
      <c r="H3" s="328"/>
      <c r="I3" s="328"/>
      <c r="J3" s="328"/>
      <c r="K3" s="328"/>
      <c r="L3" s="328"/>
      <c r="M3" s="328"/>
      <c r="N3" s="328"/>
      <c r="O3" s="328"/>
      <c r="P3" s="328"/>
      <c r="Q3" s="328"/>
      <c r="R3" s="328"/>
      <c r="S3" s="328"/>
      <c r="T3" s="328"/>
      <c r="U3" s="328"/>
      <c r="V3" s="328"/>
      <c r="W3" s="328"/>
    </row>
    <row r="4" spans="1:23" s="326" customFormat="1">
      <c r="A4" s="329" t="s">
        <v>1755</v>
      </c>
      <c r="B4" s="326" t="s">
        <v>1756</v>
      </c>
      <c r="G4" s="328"/>
      <c r="H4" s="328"/>
      <c r="I4" s="328"/>
      <c r="J4" s="328"/>
      <c r="K4" s="328"/>
      <c r="L4" s="328"/>
      <c r="M4" s="328"/>
      <c r="N4" s="328"/>
      <c r="O4" s="328"/>
      <c r="P4" s="328"/>
      <c r="Q4" s="328"/>
      <c r="R4" s="328"/>
      <c r="S4" s="328"/>
      <c r="T4" s="328"/>
      <c r="U4" s="328"/>
      <c r="V4" s="328"/>
      <c r="W4" s="328"/>
    </row>
    <row r="5" spans="1:23" s="326" customFormat="1">
      <c r="A5" s="326" t="s">
        <v>462</v>
      </c>
      <c r="B5" s="326" t="s">
        <v>157</v>
      </c>
      <c r="G5" s="328"/>
      <c r="H5" s="328"/>
      <c r="I5" s="328"/>
      <c r="J5" s="328"/>
      <c r="K5" s="328"/>
      <c r="L5" s="328"/>
      <c r="M5" s="328"/>
      <c r="N5" s="328"/>
      <c r="O5" s="328"/>
      <c r="P5" s="328"/>
      <c r="Q5" s="328"/>
      <c r="R5" s="328"/>
      <c r="S5" s="328"/>
      <c r="T5" s="328"/>
      <c r="U5" s="328"/>
      <c r="V5" s="328"/>
      <c r="W5" s="328"/>
    </row>
    <row r="6" spans="1:23" s="326" customFormat="1">
      <c r="A6" s="326" t="s">
        <v>1757</v>
      </c>
      <c r="B6" s="326" t="s">
        <v>1758</v>
      </c>
      <c r="G6" s="328"/>
      <c r="H6" s="328"/>
      <c r="I6" s="328"/>
      <c r="J6" s="328"/>
      <c r="K6" s="328"/>
      <c r="L6" s="328"/>
      <c r="M6" s="328"/>
      <c r="N6" s="328"/>
      <c r="O6" s="328"/>
      <c r="P6" s="328"/>
      <c r="Q6" s="328"/>
      <c r="R6" s="328"/>
      <c r="S6" s="328"/>
      <c r="T6" s="328"/>
      <c r="U6" s="328"/>
      <c r="V6" s="328"/>
      <c r="W6" s="328"/>
    </row>
    <row r="8" spans="1:23" s="326" customFormat="1">
      <c r="A8" s="354"/>
      <c r="B8" s="354"/>
      <c r="C8" s="354" t="s">
        <v>96</v>
      </c>
      <c r="D8" s="354" t="s">
        <v>574</v>
      </c>
      <c r="E8" s="354" t="s">
        <v>85</v>
      </c>
      <c r="F8" s="354" t="s">
        <v>1685</v>
      </c>
      <c r="G8" s="354" t="s">
        <v>1721</v>
      </c>
    </row>
    <row r="9" spans="1:23" s="329" customFormat="1">
      <c r="A9" s="334" t="s">
        <v>47</v>
      </c>
      <c r="B9" s="334"/>
      <c r="C9" s="335"/>
      <c r="D9" s="335"/>
      <c r="E9" s="335"/>
      <c r="F9" s="335"/>
      <c r="G9" s="335"/>
    </row>
    <row r="10" spans="1:23" s="329" customFormat="1" ht="41.4">
      <c r="A10" s="3" t="s">
        <v>158</v>
      </c>
      <c r="B10" s="3" t="s">
        <v>1759</v>
      </c>
      <c r="C10" s="340" t="s">
        <v>1760</v>
      </c>
      <c r="D10" s="340" t="s">
        <v>1761</v>
      </c>
      <c r="E10" s="340" t="s">
        <v>1586</v>
      </c>
      <c r="F10" s="340"/>
      <c r="G10" s="3"/>
    </row>
    <row r="11" spans="1:23" s="149" customFormat="1">
      <c r="A11" s="334" t="s">
        <v>54</v>
      </c>
      <c r="B11" s="334"/>
      <c r="C11" s="335"/>
      <c r="D11" s="335"/>
      <c r="E11" s="335"/>
      <c r="F11" s="335"/>
      <c r="G11" s="335"/>
      <c r="H11" s="329"/>
      <c r="I11" s="329"/>
      <c r="J11" s="329"/>
      <c r="K11" s="329"/>
      <c r="L11" s="329"/>
      <c r="M11" s="329"/>
      <c r="N11" s="329"/>
      <c r="O11" s="329"/>
      <c r="P11" s="329"/>
      <c r="Q11" s="329"/>
      <c r="R11" s="329"/>
      <c r="S11" s="329"/>
      <c r="T11" s="329"/>
      <c r="U11" s="329"/>
      <c r="V11" s="329"/>
      <c r="W11" s="329"/>
    </row>
    <row r="12" spans="1:23" s="149" customFormat="1" ht="110.4">
      <c r="A12" s="3" t="s">
        <v>159</v>
      </c>
      <c r="B12" s="3" t="s">
        <v>160</v>
      </c>
      <c r="C12" s="340" t="s">
        <v>1762</v>
      </c>
      <c r="D12" s="340" t="s">
        <v>1763</v>
      </c>
      <c r="E12" s="340" t="s">
        <v>1764</v>
      </c>
      <c r="F12" s="340"/>
      <c r="G12" s="3"/>
      <c r="H12" s="329"/>
      <c r="I12" s="329"/>
      <c r="J12" s="329"/>
      <c r="K12" s="329"/>
      <c r="L12" s="329"/>
      <c r="M12" s="329"/>
      <c r="N12" s="329"/>
      <c r="O12" s="329"/>
      <c r="P12" s="329"/>
      <c r="Q12" s="329"/>
      <c r="R12" s="329"/>
      <c r="S12" s="329"/>
      <c r="T12" s="329"/>
      <c r="U12" s="329"/>
      <c r="V12" s="329"/>
      <c r="W12" s="329"/>
    </row>
    <row r="13" spans="1:23" s="94" customFormat="1" ht="82.8">
      <c r="A13" s="3" t="s">
        <v>161</v>
      </c>
      <c r="B13" s="3" t="s">
        <v>1765</v>
      </c>
      <c r="C13" s="340" t="s">
        <v>1766</v>
      </c>
      <c r="D13" s="340" t="s">
        <v>1767</v>
      </c>
      <c r="E13" s="340" t="s">
        <v>1768</v>
      </c>
      <c r="F13" s="340"/>
      <c r="G13" s="3"/>
      <c r="H13" s="329"/>
      <c r="I13" s="329"/>
      <c r="J13" s="329"/>
      <c r="K13" s="329"/>
      <c r="L13" s="329"/>
      <c r="M13" s="329"/>
      <c r="N13" s="329"/>
      <c r="O13" s="329"/>
      <c r="P13" s="329"/>
      <c r="Q13" s="329"/>
      <c r="R13" s="329"/>
      <c r="S13" s="329"/>
      <c r="T13" s="329"/>
      <c r="U13" s="329"/>
      <c r="V13" s="329"/>
      <c r="W13" s="329"/>
    </row>
    <row r="14" spans="1:23" s="329" customFormat="1" ht="110.4">
      <c r="A14" s="3" t="s">
        <v>162</v>
      </c>
      <c r="B14" s="3" t="s">
        <v>1769</v>
      </c>
      <c r="C14" s="340" t="s">
        <v>1770</v>
      </c>
      <c r="D14" s="340" t="s">
        <v>1771</v>
      </c>
      <c r="E14" s="340" t="s">
        <v>1772</v>
      </c>
      <c r="F14" s="340"/>
      <c r="G14" s="3"/>
    </row>
    <row r="15" spans="1:23" s="329" customFormat="1" ht="27.6">
      <c r="A15" s="3" t="s">
        <v>163</v>
      </c>
      <c r="B15" s="3" t="s">
        <v>1773</v>
      </c>
      <c r="C15" s="340" t="s">
        <v>464</v>
      </c>
      <c r="D15" s="340" t="s">
        <v>463</v>
      </c>
      <c r="E15" s="340" t="s">
        <v>1587</v>
      </c>
      <c r="F15" s="340"/>
      <c r="G15" s="3"/>
    </row>
    <row r="16" spans="1:23" s="149" customFormat="1">
      <c r="A16" s="334" t="s">
        <v>56</v>
      </c>
      <c r="B16" s="334"/>
      <c r="C16" s="335"/>
      <c r="D16" s="335"/>
      <c r="E16" s="335"/>
      <c r="F16" s="335"/>
      <c r="G16" s="335"/>
      <c r="H16" s="329"/>
      <c r="I16" s="329"/>
      <c r="J16" s="329"/>
      <c r="K16" s="329"/>
      <c r="L16" s="329"/>
      <c r="M16" s="329"/>
      <c r="N16" s="329"/>
      <c r="O16" s="329"/>
      <c r="P16" s="329"/>
      <c r="Q16" s="329"/>
      <c r="R16" s="329"/>
      <c r="S16" s="329"/>
      <c r="T16" s="329"/>
      <c r="U16" s="329"/>
      <c r="V16" s="329"/>
      <c r="W16" s="329"/>
    </row>
    <row r="17" spans="1:23" s="149" customFormat="1" ht="69">
      <c r="A17" s="3" t="s">
        <v>164</v>
      </c>
      <c r="B17" s="3" t="s">
        <v>1774</v>
      </c>
      <c r="C17" s="340" t="s">
        <v>465</v>
      </c>
      <c r="D17" s="340" t="s">
        <v>1775</v>
      </c>
      <c r="E17" s="340" t="s">
        <v>1588</v>
      </c>
      <c r="F17" s="340"/>
      <c r="G17" s="3"/>
      <c r="H17" s="329"/>
      <c r="I17" s="329"/>
      <c r="J17" s="329"/>
      <c r="K17" s="329"/>
      <c r="L17" s="329"/>
      <c r="M17" s="329"/>
      <c r="N17" s="329"/>
      <c r="O17" s="329"/>
      <c r="P17" s="329"/>
      <c r="Q17" s="329"/>
      <c r="R17" s="329"/>
      <c r="S17" s="329"/>
      <c r="T17" s="329"/>
      <c r="U17" s="329"/>
      <c r="V17" s="329"/>
      <c r="W17" s="329"/>
    </row>
    <row r="18" spans="1:23" s="343" customFormat="1">
      <c r="G18" s="328"/>
      <c r="H18" s="328"/>
      <c r="I18" s="328"/>
      <c r="J18" s="328"/>
      <c r="K18" s="328"/>
      <c r="L18" s="328"/>
      <c r="M18" s="328"/>
      <c r="N18" s="328"/>
      <c r="O18" s="328"/>
      <c r="P18" s="328"/>
      <c r="Q18" s="328"/>
      <c r="R18" s="328"/>
      <c r="S18" s="328"/>
      <c r="T18" s="328"/>
      <c r="U18" s="328"/>
      <c r="V18" s="328"/>
      <c r="W18" s="328"/>
    </row>
    <row r="19" spans="1:23" s="343" customFormat="1">
      <c r="G19" s="328"/>
      <c r="H19" s="328"/>
      <c r="I19" s="328"/>
      <c r="J19" s="328"/>
      <c r="K19" s="328"/>
      <c r="L19" s="328"/>
      <c r="M19" s="328"/>
      <c r="N19" s="328"/>
      <c r="O19" s="328"/>
      <c r="P19" s="328"/>
      <c r="Q19" s="328"/>
      <c r="R19" s="328"/>
      <c r="S19" s="328"/>
      <c r="T19" s="328"/>
      <c r="U19" s="328"/>
      <c r="V19" s="328"/>
      <c r="W19" s="328"/>
    </row>
    <row r="20" spans="1:23" s="343" customFormat="1">
      <c r="G20" s="328"/>
      <c r="H20" s="328"/>
      <c r="I20" s="328"/>
      <c r="J20" s="328"/>
      <c r="K20" s="328"/>
      <c r="L20" s="328"/>
      <c r="M20" s="328"/>
      <c r="N20" s="328"/>
      <c r="O20" s="328"/>
      <c r="P20" s="328"/>
      <c r="Q20" s="328"/>
      <c r="R20" s="328"/>
      <c r="S20" s="328"/>
      <c r="T20" s="328"/>
      <c r="U20" s="328"/>
      <c r="V20" s="328"/>
      <c r="W20" s="328"/>
    </row>
    <row r="21" spans="1:23" s="343" customFormat="1">
      <c r="G21" s="328"/>
      <c r="H21" s="328"/>
      <c r="I21" s="328"/>
      <c r="J21" s="328"/>
      <c r="K21" s="328"/>
      <c r="L21" s="328"/>
      <c r="M21" s="328"/>
      <c r="N21" s="328"/>
      <c r="O21" s="328"/>
      <c r="P21" s="328"/>
      <c r="Q21" s="328"/>
      <c r="R21" s="328"/>
      <c r="S21" s="328"/>
      <c r="T21" s="328"/>
      <c r="U21" s="328"/>
      <c r="V21" s="328"/>
      <c r="W21" s="328"/>
    </row>
    <row r="22" spans="1:23" s="343" customFormat="1">
      <c r="G22" s="328"/>
      <c r="H22" s="328"/>
      <c r="I22" s="328"/>
      <c r="J22" s="328"/>
      <c r="K22" s="328"/>
      <c r="L22" s="328"/>
      <c r="M22" s="328"/>
      <c r="N22" s="328"/>
      <c r="O22" s="328"/>
      <c r="P22" s="328"/>
      <c r="Q22" s="328"/>
      <c r="R22" s="328"/>
      <c r="S22" s="328"/>
      <c r="T22" s="328"/>
      <c r="U22" s="328"/>
      <c r="V22" s="328"/>
      <c r="W22" s="328"/>
    </row>
    <row r="23" spans="1:23" s="343" customFormat="1">
      <c r="G23" s="328"/>
      <c r="H23" s="328"/>
      <c r="I23" s="328"/>
      <c r="J23" s="328"/>
      <c r="K23" s="328"/>
      <c r="L23" s="328"/>
      <c r="M23" s="328"/>
      <c r="N23" s="328"/>
      <c r="O23" s="328"/>
      <c r="P23" s="328"/>
      <c r="Q23" s="328"/>
      <c r="R23" s="328"/>
      <c r="S23" s="328"/>
      <c r="T23" s="328"/>
      <c r="U23" s="328"/>
      <c r="V23" s="328"/>
      <c r="W23" s="328"/>
    </row>
    <row r="24" spans="1:23" s="343" customFormat="1">
      <c r="G24" s="328"/>
      <c r="H24" s="328"/>
      <c r="I24" s="328"/>
      <c r="J24" s="328"/>
      <c r="K24" s="328"/>
      <c r="L24" s="328"/>
      <c r="M24" s="328"/>
      <c r="N24" s="328"/>
      <c r="O24" s="328"/>
      <c r="P24" s="328"/>
      <c r="Q24" s="328"/>
      <c r="R24" s="328"/>
      <c r="S24" s="328"/>
      <c r="T24" s="328"/>
      <c r="U24" s="328"/>
      <c r="V24" s="328"/>
      <c r="W24" s="328"/>
    </row>
    <row r="25" spans="1:23" s="343" customFormat="1">
      <c r="G25" s="328"/>
      <c r="H25" s="328"/>
      <c r="I25" s="328"/>
      <c r="J25" s="328"/>
      <c r="K25" s="328"/>
      <c r="L25" s="328"/>
      <c r="M25" s="328"/>
      <c r="N25" s="328"/>
      <c r="O25" s="328"/>
      <c r="P25" s="328"/>
      <c r="Q25" s="328"/>
      <c r="R25" s="328"/>
      <c r="S25" s="328"/>
      <c r="T25" s="328"/>
      <c r="U25" s="328"/>
      <c r="V25" s="328"/>
      <c r="W25" s="328"/>
    </row>
    <row r="26" spans="1:23" s="343" customFormat="1">
      <c r="G26" s="328"/>
      <c r="H26" s="328"/>
      <c r="I26" s="328"/>
      <c r="J26" s="328"/>
      <c r="K26" s="328"/>
      <c r="L26" s="328"/>
      <c r="M26" s="328"/>
      <c r="N26" s="328"/>
      <c r="O26" s="328"/>
      <c r="P26" s="328"/>
      <c r="Q26" s="328"/>
      <c r="R26" s="328"/>
      <c r="S26" s="328"/>
      <c r="T26" s="328"/>
      <c r="U26" s="328"/>
      <c r="V26" s="328"/>
      <c r="W26" s="328"/>
    </row>
    <row r="27" spans="1:23" s="343" customFormat="1">
      <c r="G27" s="328"/>
      <c r="H27" s="328"/>
      <c r="I27" s="328"/>
      <c r="J27" s="328"/>
      <c r="K27" s="328"/>
      <c r="L27" s="328"/>
      <c r="M27" s="328"/>
      <c r="N27" s="328"/>
      <c r="O27" s="328"/>
      <c r="P27" s="328"/>
      <c r="Q27" s="328"/>
      <c r="R27" s="328"/>
      <c r="S27" s="328"/>
      <c r="T27" s="328"/>
      <c r="U27" s="328"/>
      <c r="V27" s="328"/>
      <c r="W27" s="328"/>
    </row>
    <row r="28" spans="1:23" s="343" customFormat="1">
      <c r="G28" s="328"/>
      <c r="H28" s="328"/>
      <c r="I28" s="328"/>
      <c r="J28" s="328"/>
      <c r="K28" s="328"/>
      <c r="L28" s="328"/>
      <c r="M28" s="328"/>
      <c r="N28" s="328"/>
      <c r="O28" s="328"/>
      <c r="P28" s="328"/>
      <c r="Q28" s="328"/>
      <c r="R28" s="328"/>
      <c r="S28" s="328"/>
      <c r="T28" s="328"/>
      <c r="U28" s="328"/>
      <c r="V28" s="328"/>
      <c r="W28" s="328"/>
    </row>
    <row r="29" spans="1:23" s="343" customFormat="1">
      <c r="G29" s="328"/>
      <c r="H29" s="328"/>
      <c r="I29" s="328"/>
      <c r="J29" s="328"/>
      <c r="K29" s="328"/>
      <c r="L29" s="328"/>
      <c r="M29" s="328"/>
      <c r="N29" s="328"/>
      <c r="O29" s="328"/>
      <c r="P29" s="328"/>
      <c r="Q29" s="328"/>
      <c r="R29" s="328"/>
      <c r="S29" s="328"/>
      <c r="T29" s="328"/>
      <c r="U29" s="328"/>
      <c r="V29" s="328"/>
      <c r="W29" s="328"/>
    </row>
    <row r="30" spans="1:23" s="343" customFormat="1">
      <c r="G30" s="328"/>
      <c r="H30" s="328"/>
      <c r="I30" s="328"/>
      <c r="J30" s="328"/>
      <c r="K30" s="328"/>
      <c r="L30" s="328"/>
      <c r="M30" s="328"/>
      <c r="N30" s="328"/>
      <c r="O30" s="328"/>
      <c r="P30" s="328"/>
      <c r="Q30" s="328"/>
      <c r="R30" s="328"/>
      <c r="S30" s="328"/>
      <c r="T30" s="328"/>
      <c r="U30" s="328"/>
      <c r="V30" s="328"/>
      <c r="W30" s="328"/>
    </row>
    <row r="31" spans="1:23" s="343" customFormat="1">
      <c r="G31" s="328"/>
      <c r="H31" s="328"/>
      <c r="I31" s="328"/>
      <c r="J31" s="328"/>
      <c r="K31" s="328"/>
      <c r="L31" s="328"/>
      <c r="M31" s="328"/>
      <c r="N31" s="328"/>
      <c r="O31" s="328"/>
      <c r="P31" s="328"/>
      <c r="Q31" s="328"/>
      <c r="R31" s="328"/>
      <c r="S31" s="328"/>
      <c r="T31" s="328"/>
      <c r="U31" s="328"/>
      <c r="V31" s="328"/>
      <c r="W31" s="328"/>
    </row>
    <row r="32" spans="1:23" s="343" customFormat="1">
      <c r="G32" s="328"/>
      <c r="H32" s="328"/>
      <c r="I32" s="328"/>
      <c r="J32" s="328"/>
      <c r="K32" s="328"/>
      <c r="L32" s="328"/>
      <c r="M32" s="328"/>
      <c r="N32" s="328"/>
      <c r="O32" s="328"/>
      <c r="P32" s="328"/>
      <c r="Q32" s="328"/>
      <c r="R32" s="328"/>
      <c r="S32" s="328"/>
      <c r="T32" s="328"/>
      <c r="U32" s="328"/>
      <c r="V32" s="328"/>
      <c r="W32" s="328"/>
    </row>
    <row r="33" spans="7:23" s="343" customFormat="1">
      <c r="G33" s="328"/>
      <c r="H33" s="328"/>
      <c r="I33" s="328"/>
      <c r="J33" s="328"/>
      <c r="K33" s="328"/>
      <c r="L33" s="328"/>
      <c r="M33" s="328"/>
      <c r="N33" s="328"/>
      <c r="O33" s="328"/>
      <c r="P33" s="328"/>
      <c r="Q33" s="328"/>
      <c r="R33" s="328"/>
      <c r="S33" s="328"/>
      <c r="T33" s="328"/>
      <c r="U33" s="328"/>
      <c r="V33" s="328"/>
      <c r="W33" s="328"/>
    </row>
    <row r="34" spans="7:23" s="343" customFormat="1">
      <c r="G34" s="328"/>
      <c r="H34" s="328"/>
      <c r="I34" s="328"/>
      <c r="J34" s="328"/>
      <c r="K34" s="328"/>
      <c r="L34" s="328"/>
      <c r="M34" s="328"/>
      <c r="N34" s="328"/>
      <c r="O34" s="328"/>
      <c r="P34" s="328"/>
      <c r="Q34" s="328"/>
      <c r="R34" s="328"/>
      <c r="S34" s="328"/>
      <c r="T34" s="328"/>
      <c r="U34" s="328"/>
      <c r="V34" s="328"/>
      <c r="W34" s="328"/>
    </row>
    <row r="35" spans="7:23" s="343" customFormat="1">
      <c r="G35" s="328"/>
      <c r="H35" s="328"/>
      <c r="I35" s="328"/>
      <c r="J35" s="328"/>
      <c r="K35" s="328"/>
      <c r="L35" s="328"/>
      <c r="M35" s="328"/>
      <c r="N35" s="328"/>
      <c r="O35" s="328"/>
      <c r="P35" s="328"/>
      <c r="Q35" s="328"/>
      <c r="R35" s="328"/>
      <c r="S35" s="328"/>
      <c r="T35" s="328"/>
      <c r="U35" s="328"/>
      <c r="V35" s="328"/>
      <c r="W35" s="328"/>
    </row>
    <row r="36" spans="7:23" s="343" customFormat="1">
      <c r="G36" s="328"/>
      <c r="H36" s="328"/>
      <c r="I36" s="328"/>
      <c r="J36" s="328"/>
      <c r="K36" s="328"/>
      <c r="L36" s="328"/>
      <c r="M36" s="328"/>
      <c r="N36" s="328"/>
      <c r="O36" s="328"/>
      <c r="P36" s="328"/>
      <c r="Q36" s="328"/>
      <c r="R36" s="328"/>
      <c r="S36" s="328"/>
      <c r="T36" s="328"/>
      <c r="U36" s="328"/>
      <c r="V36" s="328"/>
      <c r="W36" s="328"/>
    </row>
    <row r="37" spans="7:23" s="343" customFormat="1">
      <c r="G37" s="328"/>
      <c r="H37" s="328"/>
      <c r="I37" s="328"/>
      <c r="J37" s="328"/>
      <c r="K37" s="328"/>
      <c r="L37" s="328"/>
      <c r="M37" s="328"/>
      <c r="N37" s="328"/>
      <c r="O37" s="328"/>
      <c r="P37" s="328"/>
      <c r="Q37" s="328"/>
      <c r="R37" s="328"/>
      <c r="S37" s="328"/>
      <c r="T37" s="328"/>
      <c r="U37" s="328"/>
      <c r="V37" s="328"/>
      <c r="W37" s="328"/>
    </row>
    <row r="38" spans="7:23" s="343" customFormat="1">
      <c r="G38" s="328"/>
      <c r="H38" s="328"/>
      <c r="I38" s="328"/>
      <c r="J38" s="328"/>
      <c r="K38" s="328"/>
      <c r="L38" s="328"/>
      <c r="M38" s="328"/>
      <c r="N38" s="328"/>
      <c r="O38" s="328"/>
      <c r="P38" s="328"/>
      <c r="Q38" s="328"/>
      <c r="R38" s="328"/>
      <c r="S38" s="328"/>
      <c r="T38" s="328"/>
      <c r="U38" s="328"/>
      <c r="V38" s="328"/>
      <c r="W38" s="328"/>
    </row>
    <row r="39" spans="7:23" s="343" customFormat="1">
      <c r="G39" s="328"/>
      <c r="H39" s="328"/>
      <c r="I39" s="328"/>
      <c r="J39" s="328"/>
      <c r="K39" s="328"/>
      <c r="L39" s="328"/>
      <c r="M39" s="328"/>
      <c r="N39" s="328"/>
      <c r="O39" s="328"/>
      <c r="P39" s="328"/>
      <c r="Q39" s="328"/>
      <c r="R39" s="328"/>
      <c r="S39" s="328"/>
      <c r="T39" s="328"/>
      <c r="U39" s="328"/>
      <c r="V39" s="328"/>
      <c r="W39" s="328"/>
    </row>
    <row r="40" spans="7:23" s="343" customFormat="1">
      <c r="G40" s="328"/>
      <c r="H40" s="328"/>
      <c r="I40" s="328"/>
      <c r="J40" s="328"/>
      <c r="K40" s="328"/>
      <c r="L40" s="328"/>
      <c r="M40" s="328"/>
      <c r="N40" s="328"/>
      <c r="O40" s="328"/>
      <c r="P40" s="328"/>
      <c r="Q40" s="328"/>
      <c r="R40" s="328"/>
      <c r="S40" s="328"/>
      <c r="T40" s="328"/>
      <c r="U40" s="328"/>
      <c r="V40" s="328"/>
      <c r="W40" s="328"/>
    </row>
    <row r="41" spans="7:23" s="343" customFormat="1">
      <c r="G41" s="328"/>
      <c r="H41" s="328"/>
      <c r="I41" s="328"/>
      <c r="J41" s="328"/>
      <c r="K41" s="328"/>
      <c r="L41" s="328"/>
      <c r="M41" s="328"/>
      <c r="N41" s="328"/>
      <c r="O41" s="328"/>
      <c r="P41" s="328"/>
      <c r="Q41" s="328"/>
      <c r="R41" s="328"/>
      <c r="S41" s="328"/>
      <c r="T41" s="328"/>
      <c r="U41" s="328"/>
      <c r="V41" s="328"/>
      <c r="W41" s="328"/>
    </row>
    <row r="42" spans="7:23" s="343" customFormat="1">
      <c r="G42" s="328"/>
      <c r="H42" s="328"/>
      <c r="I42" s="328"/>
      <c r="J42" s="328"/>
      <c r="K42" s="328"/>
      <c r="L42" s="328"/>
      <c r="M42" s="328"/>
      <c r="N42" s="328"/>
      <c r="O42" s="328"/>
      <c r="P42" s="328"/>
      <c r="Q42" s="328"/>
      <c r="R42" s="328"/>
      <c r="S42" s="328"/>
      <c r="T42" s="328"/>
      <c r="U42" s="328"/>
      <c r="V42" s="328"/>
      <c r="W42" s="328"/>
    </row>
    <row r="43" spans="7:23" s="344" customFormat="1">
      <c r="G43" s="328"/>
      <c r="H43" s="328"/>
      <c r="I43" s="328"/>
      <c r="J43" s="328"/>
      <c r="K43" s="328"/>
      <c r="L43" s="328"/>
      <c r="M43" s="328"/>
      <c r="N43" s="328"/>
      <c r="O43" s="328"/>
      <c r="P43" s="328"/>
      <c r="Q43" s="328"/>
      <c r="R43" s="328"/>
      <c r="S43" s="328"/>
      <c r="T43" s="328"/>
      <c r="U43" s="328"/>
      <c r="V43" s="328"/>
      <c r="W43" s="328"/>
    </row>
    <row r="44" spans="7:23" s="344" customFormat="1">
      <c r="G44" s="328"/>
      <c r="H44" s="328"/>
      <c r="I44" s="328"/>
      <c r="J44" s="328"/>
      <c r="K44" s="328"/>
      <c r="L44" s="328"/>
      <c r="M44" s="328"/>
      <c r="N44" s="328"/>
      <c r="O44" s="328"/>
      <c r="P44" s="328"/>
      <c r="Q44" s="328"/>
      <c r="R44" s="328"/>
      <c r="S44" s="328"/>
      <c r="T44" s="328"/>
      <c r="U44" s="328"/>
      <c r="V44" s="328"/>
      <c r="W44" s="328"/>
    </row>
    <row r="45" spans="7:23" s="344" customFormat="1">
      <c r="G45" s="328"/>
      <c r="H45" s="328"/>
      <c r="I45" s="328"/>
      <c r="J45" s="328"/>
      <c r="K45" s="328"/>
      <c r="L45" s="328"/>
      <c r="M45" s="328"/>
      <c r="N45" s="328"/>
      <c r="O45" s="328"/>
      <c r="P45" s="328"/>
      <c r="Q45" s="328"/>
      <c r="R45" s="328"/>
      <c r="S45" s="328"/>
      <c r="T45" s="328"/>
      <c r="U45" s="328"/>
      <c r="V45" s="328"/>
      <c r="W45" s="328"/>
    </row>
    <row r="46" spans="7:23" s="344" customFormat="1">
      <c r="G46" s="328"/>
      <c r="H46" s="328"/>
      <c r="I46" s="328"/>
      <c r="J46" s="328"/>
      <c r="K46" s="328"/>
      <c r="L46" s="328"/>
      <c r="M46" s="328"/>
      <c r="N46" s="328"/>
      <c r="O46" s="328"/>
      <c r="P46" s="328"/>
      <c r="Q46" s="328"/>
      <c r="R46" s="328"/>
      <c r="S46" s="328"/>
      <c r="T46" s="328"/>
      <c r="U46" s="328"/>
      <c r="V46" s="328"/>
      <c r="W46" s="328"/>
    </row>
    <row r="47" spans="7:23" s="344" customFormat="1">
      <c r="G47" s="328"/>
      <c r="H47" s="328"/>
      <c r="I47" s="328"/>
      <c r="J47" s="328"/>
      <c r="K47" s="328"/>
      <c r="L47" s="328"/>
      <c r="M47" s="328"/>
      <c r="N47" s="328"/>
      <c r="O47" s="328"/>
      <c r="P47" s="328"/>
      <c r="Q47" s="328"/>
      <c r="R47" s="328"/>
      <c r="S47" s="328"/>
      <c r="T47" s="328"/>
      <c r="U47" s="328"/>
      <c r="V47" s="328"/>
      <c r="W47" s="328"/>
    </row>
    <row r="48" spans="7:23" s="344" customFormat="1">
      <c r="G48" s="328"/>
      <c r="H48" s="328"/>
      <c r="I48" s="328"/>
      <c r="J48" s="328"/>
      <c r="K48" s="328"/>
      <c r="L48" s="328"/>
      <c r="M48" s="328"/>
      <c r="N48" s="328"/>
      <c r="O48" s="328"/>
      <c r="P48" s="328"/>
      <c r="Q48" s="328"/>
      <c r="R48" s="328"/>
      <c r="S48" s="328"/>
      <c r="T48" s="328"/>
      <c r="U48" s="328"/>
      <c r="V48" s="328"/>
      <c r="W48" s="328"/>
    </row>
    <row r="49" spans="7:23" s="344" customFormat="1">
      <c r="G49" s="328"/>
      <c r="H49" s="328"/>
      <c r="I49" s="328"/>
      <c r="J49" s="328"/>
      <c r="K49" s="328"/>
      <c r="L49" s="328"/>
      <c r="M49" s="328"/>
      <c r="N49" s="328"/>
      <c r="O49" s="328"/>
      <c r="P49" s="328"/>
      <c r="Q49" s="328"/>
      <c r="R49" s="328"/>
      <c r="S49" s="328"/>
      <c r="T49" s="328"/>
      <c r="U49" s="328"/>
      <c r="V49" s="328"/>
      <c r="W49" s="328"/>
    </row>
    <row r="50" spans="7:23" s="344" customFormat="1">
      <c r="G50" s="328"/>
      <c r="H50" s="328"/>
      <c r="I50" s="328"/>
      <c r="J50" s="328"/>
      <c r="K50" s="328"/>
      <c r="L50" s="328"/>
      <c r="M50" s="328"/>
      <c r="N50" s="328"/>
      <c r="O50" s="328"/>
      <c r="P50" s="328"/>
      <c r="Q50" s="328"/>
      <c r="R50" s="328"/>
      <c r="S50" s="328"/>
      <c r="T50" s="328"/>
      <c r="U50" s="328"/>
      <c r="V50" s="328"/>
      <c r="W50" s="328"/>
    </row>
    <row r="51" spans="7:23" s="344" customFormat="1">
      <c r="G51" s="328"/>
      <c r="H51" s="328"/>
      <c r="I51" s="328"/>
      <c r="J51" s="328"/>
      <c r="K51" s="328"/>
      <c r="L51" s="328"/>
      <c r="M51" s="328"/>
      <c r="N51" s="328"/>
      <c r="O51" s="328"/>
      <c r="P51" s="328"/>
      <c r="Q51" s="328"/>
      <c r="R51" s="328"/>
      <c r="S51" s="328"/>
      <c r="T51" s="328"/>
      <c r="U51" s="328"/>
      <c r="V51" s="328"/>
      <c r="W51" s="328"/>
    </row>
    <row r="52" spans="7:23" s="344" customFormat="1">
      <c r="G52" s="328"/>
      <c r="H52" s="328"/>
      <c r="I52" s="328"/>
      <c r="J52" s="328"/>
      <c r="K52" s="328"/>
      <c r="L52" s="328"/>
      <c r="M52" s="328"/>
      <c r="N52" s="328"/>
      <c r="O52" s="328"/>
      <c r="P52" s="328"/>
      <c r="Q52" s="328"/>
      <c r="R52" s="328"/>
      <c r="S52" s="328"/>
      <c r="T52" s="328"/>
      <c r="U52" s="328"/>
      <c r="V52" s="328"/>
      <c r="W52" s="328"/>
    </row>
    <row r="53" spans="7:23" s="344" customFormat="1">
      <c r="G53" s="328"/>
      <c r="H53" s="328"/>
      <c r="I53" s="328"/>
      <c r="J53" s="328"/>
      <c r="K53" s="328"/>
      <c r="L53" s="328"/>
      <c r="M53" s="328"/>
      <c r="N53" s="328"/>
      <c r="O53" s="328"/>
      <c r="P53" s="328"/>
      <c r="Q53" s="328"/>
      <c r="R53" s="328"/>
      <c r="S53" s="328"/>
      <c r="T53" s="328"/>
      <c r="U53" s="328"/>
      <c r="V53" s="328"/>
      <c r="W53" s="328"/>
    </row>
    <row r="54" spans="7:23" s="344" customFormat="1">
      <c r="G54" s="328"/>
      <c r="H54" s="328"/>
      <c r="I54" s="328"/>
      <c r="J54" s="328"/>
      <c r="K54" s="328"/>
      <c r="L54" s="328"/>
      <c r="M54" s="328"/>
      <c r="N54" s="328"/>
      <c r="O54" s="328"/>
      <c r="P54" s="328"/>
      <c r="Q54" s="328"/>
      <c r="R54" s="328"/>
      <c r="S54" s="328"/>
      <c r="T54" s="328"/>
      <c r="U54" s="328"/>
      <c r="V54" s="328"/>
      <c r="W54" s="328"/>
    </row>
    <row r="55" spans="7:23" s="344" customFormat="1">
      <c r="G55" s="328"/>
      <c r="H55" s="328"/>
      <c r="I55" s="328"/>
      <c r="J55" s="328"/>
      <c r="K55" s="328"/>
      <c r="L55" s="328"/>
      <c r="M55" s="328"/>
      <c r="N55" s="328"/>
      <c r="O55" s="328"/>
      <c r="P55" s="328"/>
      <c r="Q55" s="328"/>
      <c r="R55" s="328"/>
      <c r="S55" s="328"/>
      <c r="T55" s="328"/>
      <c r="U55" s="328"/>
      <c r="V55" s="328"/>
      <c r="W55" s="328"/>
    </row>
    <row r="56" spans="7:23" s="344" customFormat="1">
      <c r="G56" s="328"/>
      <c r="H56" s="328"/>
      <c r="I56" s="328"/>
      <c r="J56" s="328"/>
      <c r="K56" s="328"/>
      <c r="L56" s="328"/>
      <c r="M56" s="328"/>
      <c r="N56" s="328"/>
      <c r="O56" s="328"/>
      <c r="P56" s="328"/>
      <c r="Q56" s="328"/>
      <c r="R56" s="328"/>
      <c r="S56" s="328"/>
      <c r="T56" s="328"/>
      <c r="U56" s="328"/>
      <c r="V56" s="328"/>
      <c r="W56" s="328"/>
    </row>
    <row r="57" spans="7:23" s="344" customFormat="1">
      <c r="G57" s="328"/>
      <c r="H57" s="328"/>
      <c r="I57" s="328"/>
      <c r="J57" s="328"/>
      <c r="K57" s="328"/>
      <c r="L57" s="328"/>
      <c r="M57" s="328"/>
      <c r="N57" s="328"/>
      <c r="O57" s="328"/>
      <c r="P57" s="328"/>
      <c r="Q57" s="328"/>
      <c r="R57" s="328"/>
      <c r="S57" s="328"/>
      <c r="T57" s="328"/>
      <c r="U57" s="328"/>
      <c r="V57" s="328"/>
      <c r="W57" s="328"/>
    </row>
    <row r="58" spans="7:23" s="344" customFormat="1">
      <c r="G58" s="328"/>
      <c r="H58" s="328"/>
      <c r="I58" s="328"/>
      <c r="J58" s="328"/>
      <c r="K58" s="328"/>
      <c r="L58" s="328"/>
      <c r="M58" s="328"/>
      <c r="N58" s="328"/>
      <c r="O58" s="328"/>
      <c r="P58" s="328"/>
      <c r="Q58" s="328"/>
      <c r="R58" s="328"/>
      <c r="S58" s="328"/>
      <c r="T58" s="328"/>
      <c r="U58" s="328"/>
      <c r="V58" s="328"/>
      <c r="W58" s="328"/>
    </row>
    <row r="59" spans="7:23" s="344" customFormat="1">
      <c r="G59" s="328"/>
      <c r="H59" s="328"/>
      <c r="I59" s="328"/>
      <c r="J59" s="328"/>
      <c r="K59" s="328"/>
      <c r="L59" s="328"/>
      <c r="M59" s="328"/>
      <c r="N59" s="328"/>
      <c r="O59" s="328"/>
      <c r="P59" s="328"/>
      <c r="Q59" s="328"/>
      <c r="R59" s="328"/>
      <c r="S59" s="328"/>
      <c r="T59" s="328"/>
      <c r="U59" s="328"/>
      <c r="V59" s="328"/>
      <c r="W59" s="328"/>
    </row>
    <row r="60" spans="7:23" s="344" customFormat="1">
      <c r="G60" s="328"/>
      <c r="H60" s="328"/>
      <c r="I60" s="328"/>
      <c r="J60" s="328"/>
      <c r="K60" s="328"/>
      <c r="L60" s="328"/>
      <c r="M60" s="328"/>
      <c r="N60" s="328"/>
      <c r="O60" s="328"/>
      <c r="P60" s="328"/>
      <c r="Q60" s="328"/>
      <c r="R60" s="328"/>
      <c r="S60" s="328"/>
      <c r="T60" s="328"/>
      <c r="U60" s="328"/>
      <c r="V60" s="328"/>
      <c r="W60" s="328"/>
    </row>
    <row r="61" spans="7:23" s="344" customFormat="1">
      <c r="G61" s="328"/>
      <c r="H61" s="328"/>
      <c r="I61" s="328"/>
      <c r="J61" s="328"/>
      <c r="K61" s="328"/>
      <c r="L61" s="328"/>
      <c r="M61" s="328"/>
      <c r="N61" s="328"/>
      <c r="O61" s="328"/>
      <c r="P61" s="328"/>
      <c r="Q61" s="328"/>
      <c r="R61" s="328"/>
      <c r="S61" s="328"/>
      <c r="T61" s="328"/>
      <c r="U61" s="328"/>
      <c r="V61" s="328"/>
      <c r="W61" s="328"/>
    </row>
    <row r="62" spans="7:23" s="344" customFormat="1">
      <c r="G62" s="328"/>
      <c r="H62" s="328"/>
      <c r="I62" s="328"/>
      <c r="J62" s="328"/>
      <c r="K62" s="328"/>
      <c r="L62" s="328"/>
      <c r="M62" s="328"/>
      <c r="N62" s="328"/>
      <c r="O62" s="328"/>
      <c r="P62" s="328"/>
      <c r="Q62" s="328"/>
      <c r="R62" s="328"/>
      <c r="S62" s="328"/>
      <c r="T62" s="328"/>
      <c r="U62" s="328"/>
      <c r="V62" s="328"/>
      <c r="W62" s="328"/>
    </row>
    <row r="63" spans="7:23" s="344" customFormat="1">
      <c r="G63" s="328"/>
      <c r="H63" s="328"/>
      <c r="I63" s="328"/>
      <c r="J63" s="328"/>
      <c r="K63" s="328"/>
      <c r="L63" s="328"/>
      <c r="M63" s="328"/>
      <c r="N63" s="328"/>
      <c r="O63" s="328"/>
      <c r="P63" s="328"/>
      <c r="Q63" s="328"/>
      <c r="R63" s="328"/>
      <c r="S63" s="328"/>
      <c r="T63" s="328"/>
      <c r="U63" s="328"/>
      <c r="V63" s="328"/>
      <c r="W63" s="328"/>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zoomScale="70" zoomScaleNormal="70"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6" width="81.21875" style="333" customWidth="1"/>
    <col min="7" max="7" width="23.77734375" style="328" customWidth="1"/>
    <col min="8" max="22" width="8.77734375" style="328"/>
    <col min="23" max="16384" width="8.77734375" style="333"/>
  </cols>
  <sheetData>
    <row r="1" spans="1:22" s="326" customFormat="1" ht="25.8">
      <c r="A1" s="325" t="s">
        <v>205</v>
      </c>
      <c r="C1" s="327"/>
      <c r="G1" s="328"/>
      <c r="H1" s="328"/>
      <c r="I1" s="328"/>
      <c r="J1" s="328"/>
      <c r="K1" s="328"/>
      <c r="L1" s="328"/>
      <c r="M1" s="328"/>
      <c r="N1" s="328"/>
      <c r="O1" s="328"/>
      <c r="P1" s="328"/>
      <c r="Q1" s="328"/>
      <c r="R1" s="328"/>
      <c r="S1" s="328"/>
      <c r="T1" s="328"/>
      <c r="U1" s="328"/>
      <c r="V1" s="328"/>
    </row>
    <row r="2" spans="1:22" s="326" customFormat="1" ht="25.8">
      <c r="A2" s="325" t="s">
        <v>1776</v>
      </c>
      <c r="C2" s="327"/>
      <c r="G2" s="328"/>
      <c r="H2" s="328"/>
      <c r="I2" s="328"/>
      <c r="J2" s="328"/>
      <c r="K2" s="328"/>
      <c r="L2" s="328"/>
      <c r="M2" s="328"/>
      <c r="N2" s="328"/>
      <c r="O2" s="328"/>
      <c r="P2" s="328"/>
      <c r="Q2" s="328"/>
      <c r="R2" s="328"/>
      <c r="S2" s="328"/>
      <c r="T2" s="328"/>
      <c r="U2" s="328"/>
      <c r="V2" s="328"/>
    </row>
    <row r="3" spans="1:22" s="326" customFormat="1">
      <c r="A3" s="329" t="s">
        <v>461</v>
      </c>
      <c r="B3" s="326" t="s">
        <v>206</v>
      </c>
      <c r="G3" s="328"/>
      <c r="H3" s="328"/>
      <c r="I3" s="328"/>
      <c r="J3" s="328"/>
      <c r="K3" s="328"/>
      <c r="L3" s="328"/>
      <c r="M3" s="328"/>
      <c r="N3" s="328"/>
      <c r="O3" s="328"/>
      <c r="P3" s="328"/>
      <c r="Q3" s="328"/>
      <c r="R3" s="328"/>
      <c r="S3" s="328"/>
      <c r="T3" s="328"/>
      <c r="U3" s="328"/>
      <c r="V3" s="328"/>
    </row>
    <row r="4" spans="1:22" s="326" customFormat="1">
      <c r="A4" s="329" t="s">
        <v>1755</v>
      </c>
      <c r="B4" s="326" t="s">
        <v>1777</v>
      </c>
      <c r="G4" s="328"/>
      <c r="H4" s="328"/>
      <c r="I4" s="328"/>
      <c r="J4" s="328"/>
      <c r="K4" s="328"/>
      <c r="L4" s="328"/>
      <c r="M4" s="328"/>
      <c r="N4" s="328"/>
      <c r="O4" s="328"/>
      <c r="P4" s="328"/>
      <c r="Q4" s="328"/>
      <c r="R4" s="328"/>
      <c r="S4" s="328"/>
      <c r="T4" s="328"/>
      <c r="U4" s="328"/>
      <c r="V4" s="328"/>
    </row>
    <row r="5" spans="1:22" s="326" customFormat="1">
      <c r="A5" s="326" t="s">
        <v>462</v>
      </c>
      <c r="B5" s="326" t="s">
        <v>207</v>
      </c>
      <c r="G5" s="328"/>
      <c r="H5" s="328"/>
      <c r="I5" s="328"/>
      <c r="J5" s="328"/>
      <c r="K5" s="328"/>
      <c r="L5" s="328"/>
      <c r="M5" s="328"/>
      <c r="N5" s="328"/>
      <c r="O5" s="328"/>
      <c r="P5" s="328"/>
      <c r="Q5" s="328"/>
      <c r="R5" s="328"/>
      <c r="S5" s="328"/>
      <c r="T5" s="328"/>
      <c r="U5" s="328"/>
      <c r="V5" s="328"/>
    </row>
    <row r="6" spans="1:22" s="326" customFormat="1">
      <c r="A6" s="326" t="s">
        <v>1757</v>
      </c>
      <c r="B6" s="326" t="s">
        <v>1778</v>
      </c>
      <c r="G6" s="328"/>
      <c r="H6" s="328"/>
      <c r="I6" s="328"/>
      <c r="J6" s="328"/>
      <c r="K6" s="328"/>
      <c r="L6" s="328"/>
      <c r="M6" s="328"/>
      <c r="N6" s="328"/>
      <c r="O6" s="328"/>
      <c r="P6" s="328"/>
      <c r="Q6" s="328"/>
      <c r="R6" s="328"/>
      <c r="S6" s="328"/>
      <c r="T6" s="328"/>
      <c r="U6" s="328"/>
      <c r="V6" s="328"/>
    </row>
    <row r="8" spans="1:22" s="326" customFormat="1">
      <c r="A8" s="354"/>
      <c r="B8" s="354"/>
      <c r="C8" s="354" t="s">
        <v>96</v>
      </c>
      <c r="D8" s="354" t="s">
        <v>574</v>
      </c>
      <c r="E8" s="354" t="s">
        <v>85</v>
      </c>
      <c r="F8" s="354" t="s">
        <v>1685</v>
      </c>
      <c r="G8" s="354" t="s">
        <v>1721</v>
      </c>
    </row>
    <row r="9" spans="1:22" s="329" customFormat="1">
      <c r="A9" s="355" t="s">
        <v>47</v>
      </c>
      <c r="B9" s="356"/>
      <c r="C9" s="357"/>
      <c r="D9" s="357"/>
      <c r="E9" s="357"/>
      <c r="F9" s="357"/>
      <c r="G9" s="357"/>
    </row>
    <row r="10" spans="1:22" s="329" customFormat="1" ht="41.4">
      <c r="A10" s="3" t="s">
        <v>208</v>
      </c>
      <c r="B10" s="3" t="s">
        <v>1779</v>
      </c>
      <c r="C10" s="340" t="s">
        <v>467</v>
      </c>
      <c r="D10" s="340" t="s">
        <v>466</v>
      </c>
      <c r="E10" s="340" t="s">
        <v>1605</v>
      </c>
      <c r="F10" s="340"/>
      <c r="G10" s="3"/>
    </row>
    <row r="11" spans="1:22" s="149" customFormat="1" ht="27.6">
      <c r="A11" s="3" t="s">
        <v>209</v>
      </c>
      <c r="B11" s="3" t="s">
        <v>1780</v>
      </c>
      <c r="C11" s="340" t="s">
        <v>469</v>
      </c>
      <c r="D11" s="340" t="s">
        <v>468</v>
      </c>
      <c r="E11" s="340" t="s">
        <v>1606</v>
      </c>
      <c r="F11" s="340"/>
      <c r="G11" s="3"/>
      <c r="H11" s="329"/>
      <c r="I11" s="329"/>
      <c r="J11" s="329"/>
      <c r="K11" s="329"/>
      <c r="L11" s="329"/>
      <c r="M11" s="329"/>
      <c r="N11" s="329"/>
      <c r="O11" s="329"/>
      <c r="P11" s="329"/>
      <c r="Q11" s="329"/>
      <c r="R11" s="329"/>
      <c r="S11" s="329"/>
      <c r="T11" s="329"/>
      <c r="U11" s="329"/>
      <c r="V11" s="329"/>
    </row>
    <row r="12" spans="1:22" s="149" customFormat="1">
      <c r="A12" s="334" t="s">
        <v>54</v>
      </c>
      <c r="B12" s="334"/>
      <c r="C12" s="335"/>
      <c r="D12" s="335"/>
      <c r="E12" s="335"/>
      <c r="F12" s="335"/>
      <c r="G12" s="335"/>
      <c r="H12" s="329"/>
      <c r="I12" s="329"/>
      <c r="J12" s="329"/>
      <c r="K12" s="329"/>
      <c r="L12" s="329"/>
      <c r="M12" s="329"/>
      <c r="N12" s="329"/>
      <c r="O12" s="329"/>
      <c r="P12" s="329"/>
      <c r="Q12" s="329"/>
      <c r="R12" s="329"/>
      <c r="S12" s="329"/>
      <c r="T12" s="329"/>
      <c r="U12" s="329"/>
      <c r="V12" s="329"/>
    </row>
    <row r="13" spans="1:22" s="329" customFormat="1" ht="55.2">
      <c r="A13" s="3" t="s">
        <v>210</v>
      </c>
      <c r="B13" s="3" t="s">
        <v>1781</v>
      </c>
      <c r="C13" s="3"/>
      <c r="D13" s="340" t="s">
        <v>1782</v>
      </c>
      <c r="E13" s="340" t="s">
        <v>211</v>
      </c>
      <c r="F13" s="340"/>
      <c r="G13" s="3"/>
    </row>
    <row r="14" spans="1:22" s="329" customFormat="1" ht="55.2">
      <c r="A14" s="3" t="s">
        <v>212</v>
      </c>
      <c r="B14" s="3" t="s">
        <v>1783</v>
      </c>
      <c r="C14" s="3"/>
      <c r="D14" s="340" t="s">
        <v>1784</v>
      </c>
      <c r="E14" s="340" t="s">
        <v>1607</v>
      </c>
      <c r="F14" s="340"/>
      <c r="G14" s="3"/>
    </row>
    <row r="15" spans="1:22" s="149" customFormat="1" ht="27.6">
      <c r="A15" s="3" t="s">
        <v>213</v>
      </c>
      <c r="B15" s="3" t="s">
        <v>1785</v>
      </c>
      <c r="C15" s="340" t="s">
        <v>471</v>
      </c>
      <c r="D15" s="340" t="s">
        <v>470</v>
      </c>
      <c r="E15" s="340" t="s">
        <v>214</v>
      </c>
      <c r="F15" s="340"/>
      <c r="G15" s="3"/>
      <c r="H15" s="329"/>
      <c r="I15" s="329"/>
      <c r="J15" s="329"/>
      <c r="K15" s="329"/>
      <c r="L15" s="329"/>
      <c r="M15" s="329"/>
      <c r="N15" s="329"/>
      <c r="O15" s="329"/>
      <c r="P15" s="329"/>
      <c r="Q15" s="329"/>
      <c r="R15" s="329"/>
      <c r="S15" s="329"/>
      <c r="T15" s="329"/>
      <c r="U15" s="329"/>
      <c r="V15" s="329"/>
    </row>
    <row r="16" spans="1:22" s="149" customFormat="1" ht="27.6">
      <c r="A16" s="3" t="s">
        <v>215</v>
      </c>
      <c r="B16" s="3" t="s">
        <v>1786</v>
      </c>
      <c r="C16" s="340" t="s">
        <v>473</v>
      </c>
      <c r="D16" s="340" t="s">
        <v>472</v>
      </c>
      <c r="E16" s="340" t="s">
        <v>216</v>
      </c>
      <c r="F16" s="340"/>
      <c r="G16" s="3"/>
      <c r="H16" s="329"/>
      <c r="I16" s="329"/>
      <c r="J16" s="329"/>
      <c r="K16" s="329"/>
      <c r="L16" s="329"/>
      <c r="M16" s="329"/>
      <c r="N16" s="329"/>
      <c r="O16" s="329"/>
      <c r="P16" s="329"/>
      <c r="Q16" s="329"/>
      <c r="R16" s="329"/>
      <c r="S16" s="329"/>
      <c r="T16" s="329"/>
      <c r="U16" s="329"/>
      <c r="V16" s="329"/>
    </row>
    <row r="17" spans="1:22" s="329" customFormat="1" ht="41.4">
      <c r="A17" s="3" t="s">
        <v>217</v>
      </c>
      <c r="B17" s="3" t="s">
        <v>1787</v>
      </c>
      <c r="C17" s="340" t="s">
        <v>475</v>
      </c>
      <c r="D17" s="340" t="s">
        <v>474</v>
      </c>
      <c r="E17" s="340" t="s">
        <v>218</v>
      </c>
      <c r="F17" s="340"/>
      <c r="G17" s="3"/>
    </row>
    <row r="18" spans="1:22" s="329" customFormat="1" ht="41.4">
      <c r="A18" s="358" t="s">
        <v>219</v>
      </c>
      <c r="B18" s="359" t="s">
        <v>1788</v>
      </c>
      <c r="C18" s="360" t="s">
        <v>477</v>
      </c>
      <c r="D18" s="360" t="s">
        <v>476</v>
      </c>
      <c r="E18" s="360" t="s">
        <v>1608</v>
      </c>
      <c r="F18" s="358"/>
      <c r="G18" s="358"/>
    </row>
    <row r="19" spans="1:22" s="329" customFormat="1">
      <c r="A19" s="334" t="s">
        <v>56</v>
      </c>
      <c r="B19" s="334"/>
      <c r="C19" s="335"/>
      <c r="D19" s="335"/>
      <c r="E19" s="335"/>
      <c r="F19" s="335"/>
      <c r="G19" s="335"/>
    </row>
    <row r="20" spans="1:22" s="149" customFormat="1" ht="69">
      <c r="A20" s="3" t="s">
        <v>220</v>
      </c>
      <c r="B20" s="3" t="s">
        <v>1789</v>
      </c>
      <c r="C20" s="3"/>
      <c r="D20" s="340" t="s">
        <v>1790</v>
      </c>
      <c r="E20" s="340" t="s">
        <v>221</v>
      </c>
      <c r="F20" s="3"/>
      <c r="G20" s="3"/>
      <c r="H20" s="329"/>
      <c r="I20" s="329"/>
      <c r="J20" s="329"/>
      <c r="K20" s="329"/>
      <c r="L20" s="329"/>
      <c r="M20" s="329"/>
      <c r="N20" s="329"/>
      <c r="O20" s="329"/>
      <c r="P20" s="329"/>
      <c r="Q20" s="329"/>
      <c r="R20" s="329"/>
      <c r="S20" s="329"/>
      <c r="T20" s="329"/>
      <c r="U20" s="329"/>
      <c r="V20" s="329"/>
    </row>
    <row r="21" spans="1:22" s="149" customFormat="1" ht="41.4">
      <c r="A21" s="3" t="s">
        <v>222</v>
      </c>
      <c r="B21" s="3" t="s">
        <v>1791</v>
      </c>
      <c r="C21" s="3"/>
      <c r="D21" s="340" t="s">
        <v>478</v>
      </c>
      <c r="E21" s="340" t="s">
        <v>1609</v>
      </c>
      <c r="F21" s="3"/>
      <c r="G21" s="3"/>
      <c r="H21" s="329"/>
      <c r="I21" s="329"/>
      <c r="J21" s="329"/>
      <c r="K21" s="329"/>
      <c r="L21" s="329"/>
      <c r="M21" s="329"/>
      <c r="N21" s="329"/>
      <c r="O21" s="329"/>
      <c r="P21" s="329"/>
      <c r="Q21" s="329"/>
      <c r="R21" s="329"/>
      <c r="S21" s="329"/>
      <c r="T21" s="329"/>
      <c r="U21" s="329"/>
      <c r="V21" s="329"/>
    </row>
    <row r="22" spans="1:22" s="329" customFormat="1" ht="41.4">
      <c r="A22" s="3" t="s">
        <v>223</v>
      </c>
      <c r="B22" s="3" t="s">
        <v>1792</v>
      </c>
      <c r="C22" s="3"/>
      <c r="D22" s="340" t="s">
        <v>479</v>
      </c>
      <c r="E22" s="340" t="s">
        <v>1610</v>
      </c>
      <c r="F22" s="3"/>
      <c r="G22" s="3"/>
    </row>
    <row r="23" spans="1:22" s="329" customFormat="1" ht="41.4">
      <c r="A23" s="3" t="s">
        <v>224</v>
      </c>
      <c r="B23" s="3" t="s">
        <v>1793</v>
      </c>
      <c r="C23" s="3"/>
      <c r="D23" s="340" t="s">
        <v>480</v>
      </c>
      <c r="E23" s="340" t="s">
        <v>225</v>
      </c>
      <c r="F23" s="3"/>
      <c r="G23" s="3"/>
    </row>
    <row r="24" spans="1:22" s="149" customFormat="1" ht="41.4">
      <c r="A24" s="3" t="s">
        <v>226</v>
      </c>
      <c r="B24" s="3" t="s">
        <v>1794</v>
      </c>
      <c r="C24" s="3"/>
      <c r="D24" s="340" t="s">
        <v>481</v>
      </c>
      <c r="E24" s="340" t="s">
        <v>227</v>
      </c>
      <c r="F24" s="3"/>
      <c r="G24" s="3"/>
      <c r="H24" s="329"/>
      <c r="I24" s="329"/>
      <c r="J24" s="329"/>
      <c r="K24" s="329"/>
      <c r="L24" s="329"/>
      <c r="M24" s="329"/>
      <c r="N24" s="329"/>
      <c r="O24" s="329"/>
      <c r="P24" s="329"/>
      <c r="Q24" s="329"/>
      <c r="R24" s="329"/>
      <c r="S24" s="329"/>
      <c r="T24" s="329"/>
      <c r="U24" s="329"/>
      <c r="V24" s="329"/>
    </row>
    <row r="25" spans="1:22" s="149" customFormat="1" ht="27.6">
      <c r="A25" s="3" t="s">
        <v>228</v>
      </c>
      <c r="B25" s="3" t="s">
        <v>1795</v>
      </c>
      <c r="C25" s="3"/>
      <c r="D25" s="340" t="s">
        <v>482</v>
      </c>
      <c r="E25" s="340" t="s">
        <v>1611</v>
      </c>
      <c r="F25" s="3"/>
      <c r="G25" s="3"/>
      <c r="H25" s="329"/>
      <c r="I25" s="329"/>
      <c r="J25" s="329"/>
      <c r="K25" s="329"/>
      <c r="L25" s="329"/>
      <c r="M25" s="329"/>
      <c r="N25" s="329"/>
      <c r="O25" s="329"/>
      <c r="P25" s="329"/>
      <c r="Q25" s="329"/>
      <c r="R25" s="329"/>
      <c r="S25" s="329"/>
      <c r="T25" s="329"/>
      <c r="U25" s="329"/>
      <c r="V25" s="329"/>
    </row>
    <row r="26" spans="1:22" s="329" customFormat="1">
      <c r="A26" s="334" t="s">
        <v>57</v>
      </c>
      <c r="B26" s="334"/>
      <c r="C26" s="335"/>
      <c r="D26" s="335"/>
      <c r="E26" s="335"/>
      <c r="F26" s="335"/>
      <c r="G26" s="335"/>
    </row>
    <row r="27" spans="1:22" s="329" customFormat="1" ht="69">
      <c r="A27" s="3" t="s">
        <v>229</v>
      </c>
      <c r="B27" s="3" t="s">
        <v>1796</v>
      </c>
      <c r="C27" s="3"/>
      <c r="D27" s="340" t="s">
        <v>483</v>
      </c>
      <c r="E27" s="340" t="s">
        <v>1797</v>
      </c>
      <c r="F27" s="3"/>
      <c r="G27" s="3"/>
    </row>
    <row r="28" spans="1:22" s="149" customFormat="1" ht="55.2">
      <c r="A28" s="3" t="s">
        <v>230</v>
      </c>
      <c r="B28" s="3" t="s">
        <v>1798</v>
      </c>
      <c r="C28" s="3"/>
      <c r="D28" s="340" t="s">
        <v>484</v>
      </c>
      <c r="E28" s="340" t="s">
        <v>1612</v>
      </c>
      <c r="F28" s="3"/>
      <c r="G28" s="3"/>
      <c r="H28" s="329"/>
      <c r="I28" s="329"/>
      <c r="J28" s="329"/>
      <c r="K28" s="329"/>
      <c r="L28" s="329"/>
      <c r="M28" s="329"/>
      <c r="N28" s="329"/>
      <c r="O28" s="329"/>
      <c r="P28" s="329"/>
      <c r="Q28" s="329"/>
      <c r="R28" s="329"/>
      <c r="S28" s="329"/>
      <c r="T28" s="329"/>
      <c r="U28" s="329"/>
      <c r="V28" s="329"/>
    </row>
    <row r="29" spans="1:22" s="149" customFormat="1" ht="41.4">
      <c r="A29" s="3" t="s">
        <v>231</v>
      </c>
      <c r="B29" s="3" t="s">
        <v>1799</v>
      </c>
      <c r="C29" s="3"/>
      <c r="D29" s="340" t="s">
        <v>485</v>
      </c>
      <c r="E29" s="340" t="s">
        <v>1613</v>
      </c>
      <c r="F29" s="3"/>
      <c r="G29" s="3"/>
      <c r="H29" s="329"/>
      <c r="I29" s="329"/>
      <c r="J29" s="329"/>
      <c r="K29" s="329"/>
      <c r="L29" s="329"/>
      <c r="M29" s="329"/>
      <c r="N29" s="329"/>
      <c r="O29" s="329"/>
      <c r="P29" s="329"/>
      <c r="Q29" s="329"/>
      <c r="R29" s="329"/>
      <c r="S29" s="329"/>
      <c r="T29" s="329"/>
      <c r="U29" s="329"/>
      <c r="V29" s="329"/>
    </row>
    <row r="30" spans="1:22" s="149" customFormat="1" ht="41.4">
      <c r="A30" s="3" t="s">
        <v>232</v>
      </c>
      <c r="B30" s="3" t="s">
        <v>1800</v>
      </c>
      <c r="C30" s="3"/>
      <c r="D30" s="340" t="s">
        <v>486</v>
      </c>
      <c r="E30" s="340" t="s">
        <v>1614</v>
      </c>
      <c r="F30" s="3"/>
      <c r="G30" s="3"/>
      <c r="H30" s="329"/>
      <c r="I30" s="329"/>
      <c r="J30" s="329"/>
      <c r="K30" s="329"/>
      <c r="L30" s="329"/>
      <c r="M30" s="329"/>
      <c r="N30" s="329"/>
      <c r="O30" s="329"/>
      <c r="P30" s="329"/>
      <c r="Q30" s="329"/>
      <c r="R30" s="329"/>
      <c r="S30" s="329"/>
      <c r="T30" s="329"/>
      <c r="U30" s="329"/>
      <c r="V30" s="329"/>
    </row>
    <row r="31" spans="1:22" s="329" customFormat="1" ht="110.4">
      <c r="A31" s="3" t="s">
        <v>233</v>
      </c>
      <c r="B31" s="3" t="s">
        <v>1801</v>
      </c>
      <c r="C31" s="3"/>
      <c r="D31" s="340" t="s">
        <v>1802</v>
      </c>
      <c r="E31" s="3" t="s">
        <v>1803</v>
      </c>
      <c r="F31" s="3"/>
      <c r="G31" s="3"/>
    </row>
    <row r="32" spans="1:22" s="149" customFormat="1">
      <c r="A32" s="334" t="s">
        <v>58</v>
      </c>
      <c r="B32" s="334"/>
      <c r="C32" s="335"/>
      <c r="D32" s="335"/>
      <c r="E32" s="335"/>
      <c r="F32" s="335"/>
      <c r="G32" s="335"/>
      <c r="H32" s="329"/>
      <c r="I32" s="329"/>
      <c r="J32" s="329"/>
      <c r="K32" s="329"/>
      <c r="L32" s="329"/>
      <c r="M32" s="329"/>
      <c r="N32" s="329"/>
      <c r="O32" s="329"/>
      <c r="P32" s="329"/>
      <c r="Q32" s="329"/>
      <c r="R32" s="329"/>
      <c r="S32" s="329"/>
      <c r="T32" s="329"/>
      <c r="U32" s="329"/>
      <c r="V32" s="329"/>
    </row>
    <row r="33" spans="1:22" s="149" customFormat="1" ht="41.4">
      <c r="A33" s="3" t="s">
        <v>234</v>
      </c>
      <c r="B33" s="3" t="s">
        <v>1804</v>
      </c>
      <c r="C33" s="3"/>
      <c r="D33" s="340" t="s">
        <v>487</v>
      </c>
      <c r="E33" s="340" t="s">
        <v>1615</v>
      </c>
      <c r="F33" s="3"/>
      <c r="G33" s="3"/>
      <c r="H33" s="329"/>
      <c r="I33" s="329"/>
      <c r="J33" s="329"/>
      <c r="K33" s="329"/>
      <c r="L33" s="329"/>
      <c r="M33" s="329"/>
      <c r="N33" s="329"/>
      <c r="O33" s="329"/>
      <c r="P33" s="329"/>
      <c r="Q33" s="329"/>
      <c r="R33" s="329"/>
      <c r="S33" s="329"/>
      <c r="T33" s="329"/>
      <c r="U33" s="329"/>
      <c r="V33" s="329"/>
    </row>
    <row r="34" spans="1:22" s="149" customFormat="1" ht="69">
      <c r="A34" s="3" t="s">
        <v>235</v>
      </c>
      <c r="B34" s="3" t="s">
        <v>1805</v>
      </c>
      <c r="C34" s="3"/>
      <c r="D34" s="340" t="s">
        <v>488</v>
      </c>
      <c r="E34" s="340" t="s">
        <v>236</v>
      </c>
      <c r="F34" s="3"/>
      <c r="G34" s="3"/>
      <c r="H34" s="329"/>
      <c r="I34" s="329"/>
      <c r="J34" s="329"/>
      <c r="K34" s="329"/>
      <c r="L34" s="329"/>
      <c r="M34" s="329"/>
      <c r="N34" s="329"/>
      <c r="O34" s="329"/>
      <c r="P34" s="329"/>
      <c r="Q34" s="329"/>
      <c r="R34" s="329"/>
      <c r="S34" s="329"/>
      <c r="T34" s="329"/>
      <c r="U34" s="329"/>
      <c r="V34" s="329"/>
    </row>
    <row r="35" spans="1:22" s="329" customFormat="1" ht="69">
      <c r="A35" s="3" t="s">
        <v>237</v>
      </c>
      <c r="B35" s="3" t="s">
        <v>1806</v>
      </c>
      <c r="C35" s="3"/>
      <c r="D35" s="340" t="s">
        <v>489</v>
      </c>
      <c r="E35" s="340" t="s">
        <v>1616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I11" sqref="I11:J14"/>
    </sheetView>
  </sheetViews>
  <sheetFormatPr defaultColWidth="8.77734375" defaultRowHeight="13.8"/>
  <cols>
    <col min="1" max="1" width="10.21875" style="333" customWidth="1"/>
    <col min="2" max="2" width="67.21875" style="333" customWidth="1"/>
    <col min="3" max="4" width="21.44140625" style="333" customWidth="1"/>
    <col min="5" max="6" width="80.44140625" style="333" customWidth="1"/>
    <col min="7" max="7" width="21.44140625" style="328" customWidth="1"/>
    <col min="8" max="16384" width="8.77734375" style="333"/>
  </cols>
  <sheetData>
    <row r="1" spans="1:7" s="326" customFormat="1" ht="25.8">
      <c r="A1" s="325" t="s">
        <v>342</v>
      </c>
      <c r="C1" s="327"/>
      <c r="G1" s="328"/>
    </row>
    <row r="2" spans="1:7" s="326" customFormat="1" ht="25.8">
      <c r="A2" s="325" t="s">
        <v>1807</v>
      </c>
      <c r="C2" s="327"/>
      <c r="G2" s="328"/>
    </row>
    <row r="3" spans="1:7" s="326" customFormat="1">
      <c r="A3" s="329" t="s">
        <v>1715</v>
      </c>
      <c r="B3" s="326" t="s">
        <v>1808</v>
      </c>
      <c r="G3" s="328"/>
    </row>
    <row r="4" spans="1:7" s="326" customFormat="1">
      <c r="A4" s="329" t="s">
        <v>422</v>
      </c>
      <c r="B4" s="326" t="s">
        <v>1809</v>
      </c>
      <c r="G4" s="328"/>
    </row>
    <row r="5" spans="1:7" s="326" customFormat="1">
      <c r="A5" s="326" t="s">
        <v>1718</v>
      </c>
      <c r="B5" s="326" t="s">
        <v>1810</v>
      </c>
      <c r="G5" s="328"/>
    </row>
    <row r="6" spans="1:7" s="326" customFormat="1">
      <c r="A6" s="326" t="s">
        <v>426</v>
      </c>
      <c r="B6" s="326" t="s">
        <v>1811</v>
      </c>
      <c r="G6" s="328"/>
    </row>
    <row r="8" spans="1:7" s="326" customFormat="1">
      <c r="A8" s="354"/>
      <c r="B8" s="354"/>
      <c r="C8" s="354" t="s">
        <v>96</v>
      </c>
      <c r="D8" s="354" t="s">
        <v>574</v>
      </c>
      <c r="E8" s="354" t="s">
        <v>85</v>
      </c>
      <c r="F8" s="354"/>
      <c r="G8" s="354" t="s">
        <v>1721</v>
      </c>
    </row>
    <row r="9" spans="1:7" s="329" customFormat="1">
      <c r="A9" s="334" t="s">
        <v>47</v>
      </c>
      <c r="B9" s="334"/>
      <c r="C9" s="335"/>
      <c r="D9" s="335"/>
      <c r="E9" s="335"/>
      <c r="F9" s="335"/>
      <c r="G9" s="335"/>
    </row>
    <row r="10" spans="1:7" s="329" customFormat="1" ht="27.6">
      <c r="A10" s="3" t="s">
        <v>343</v>
      </c>
      <c r="B10" s="3" t="s">
        <v>344</v>
      </c>
      <c r="C10" s="3"/>
      <c r="D10" s="340" t="s">
        <v>1812</v>
      </c>
      <c r="E10" s="340" t="s">
        <v>1813</v>
      </c>
      <c r="F10" s="340"/>
      <c r="G10" s="3"/>
    </row>
    <row r="11" spans="1:7" s="149" customFormat="1">
      <c r="A11" s="334" t="s">
        <v>54</v>
      </c>
      <c r="B11" s="334"/>
      <c r="C11" s="335"/>
      <c r="D11" s="335"/>
      <c r="E11" s="335"/>
      <c r="F11" s="335"/>
      <c r="G11" s="335"/>
    </row>
    <row r="12" spans="1:7" s="149" customFormat="1" ht="82.8">
      <c r="A12" s="3" t="s">
        <v>345</v>
      </c>
      <c r="B12" s="3" t="s">
        <v>1814</v>
      </c>
      <c r="C12" s="340" t="s">
        <v>1815</v>
      </c>
      <c r="D12" s="340" t="s">
        <v>1816</v>
      </c>
      <c r="E12" s="340" t="s">
        <v>1817</v>
      </c>
      <c r="F12" s="340"/>
      <c r="G12" s="3"/>
    </row>
    <row r="13" spans="1:7" s="149" customFormat="1" ht="110.4">
      <c r="A13" s="3" t="s">
        <v>346</v>
      </c>
      <c r="B13" s="3" t="s">
        <v>1818</v>
      </c>
      <c r="C13" s="340" t="s">
        <v>1819</v>
      </c>
      <c r="D13" s="340" t="s">
        <v>1820</v>
      </c>
      <c r="E13" s="340" t="s">
        <v>1821</v>
      </c>
      <c r="F13" s="340"/>
      <c r="G13" s="3"/>
    </row>
    <row r="14" spans="1:7" s="329" customFormat="1">
      <c r="A14" s="334" t="s">
        <v>56</v>
      </c>
      <c r="B14" s="334"/>
      <c r="C14" s="335"/>
      <c r="D14" s="335"/>
      <c r="E14" s="335"/>
      <c r="F14" s="335"/>
      <c r="G14" s="335"/>
    </row>
    <row r="15" spans="1:7" s="149" customFormat="1" ht="138">
      <c r="A15" s="3" t="s">
        <v>347</v>
      </c>
      <c r="B15" s="3" t="s">
        <v>1822</v>
      </c>
      <c r="C15" s="340" t="s">
        <v>1823</v>
      </c>
      <c r="D15" s="340" t="s">
        <v>1824</v>
      </c>
      <c r="E15" s="340" t="s">
        <v>1825</v>
      </c>
      <c r="F15" s="340"/>
      <c r="G15" s="3"/>
    </row>
    <row r="16" spans="1:7" s="149" customFormat="1" ht="41.4">
      <c r="A16" s="3" t="s">
        <v>348</v>
      </c>
      <c r="B16" s="3" t="s">
        <v>1826</v>
      </c>
      <c r="C16" s="340" t="s">
        <v>529</v>
      </c>
      <c r="D16" s="340" t="s">
        <v>528</v>
      </c>
      <c r="E16" s="340" t="s">
        <v>1827</v>
      </c>
      <c r="F16" s="340"/>
      <c r="G16" s="3"/>
    </row>
    <row r="17" spans="1:7" s="149" customFormat="1" ht="69">
      <c r="A17" s="3" t="s">
        <v>349</v>
      </c>
      <c r="B17" s="3" t="s">
        <v>1828</v>
      </c>
      <c r="C17" s="340" t="s">
        <v>530</v>
      </c>
      <c r="D17" s="340" t="s">
        <v>1829</v>
      </c>
      <c r="E17" s="340" t="s">
        <v>1830</v>
      </c>
      <c r="F17" s="340"/>
      <c r="G17" s="3"/>
    </row>
    <row r="18" spans="1:7" s="149" customFormat="1" ht="41.4">
      <c r="A18" s="3" t="s">
        <v>350</v>
      </c>
      <c r="B18" s="3" t="s">
        <v>1831</v>
      </c>
      <c r="C18" s="340" t="s">
        <v>533</v>
      </c>
      <c r="D18" s="340" t="s">
        <v>532</v>
      </c>
      <c r="E18" s="340" t="s">
        <v>1832</v>
      </c>
      <c r="F18" s="340"/>
      <c r="G18" s="3"/>
    </row>
    <row r="19" spans="1:7" s="149" customFormat="1" ht="82.8">
      <c r="A19" s="3" t="s">
        <v>351</v>
      </c>
      <c r="B19" s="3" t="s">
        <v>1833</v>
      </c>
      <c r="C19" s="340" t="s">
        <v>1834</v>
      </c>
      <c r="D19" s="340" t="s">
        <v>1835</v>
      </c>
      <c r="E19" s="340" t="s">
        <v>1836</v>
      </c>
      <c r="F19" s="340"/>
      <c r="G19" s="3"/>
    </row>
    <row r="20" spans="1:7" s="149" customFormat="1">
      <c r="A20" s="334" t="s">
        <v>57</v>
      </c>
      <c r="B20" s="334"/>
      <c r="C20" s="335"/>
      <c r="D20" s="335"/>
      <c r="E20" s="335"/>
      <c r="F20" s="335"/>
      <c r="G20" s="335"/>
    </row>
    <row r="21" spans="1:7" s="149" customFormat="1" ht="41.4">
      <c r="A21" s="3" t="s">
        <v>352</v>
      </c>
      <c r="B21" s="3" t="s">
        <v>353</v>
      </c>
      <c r="C21" s="340" t="s">
        <v>535</v>
      </c>
      <c r="D21" s="340" t="s">
        <v>534</v>
      </c>
      <c r="E21" s="340" t="s">
        <v>1837</v>
      </c>
      <c r="F21" s="340"/>
      <c r="G21" s="3"/>
    </row>
    <row r="22" spans="1:7" s="329" customFormat="1" ht="96.6">
      <c r="A22" s="358" t="s">
        <v>354</v>
      </c>
      <c r="B22" s="359" t="s">
        <v>1838</v>
      </c>
      <c r="C22" s="360" t="s">
        <v>1839</v>
      </c>
      <c r="D22" s="360" t="s">
        <v>536</v>
      </c>
      <c r="E22" s="360" t="s">
        <v>1840</v>
      </c>
      <c r="F22" s="360"/>
      <c r="G22" s="3"/>
    </row>
    <row r="23" spans="1:7" s="329" customFormat="1">
      <c r="A23" s="334" t="s">
        <v>58</v>
      </c>
      <c r="B23" s="334"/>
      <c r="C23" s="335"/>
      <c r="D23" s="335"/>
      <c r="E23" s="335"/>
      <c r="F23" s="335"/>
      <c r="G23" s="335"/>
    </row>
    <row r="24" spans="1:7" s="149" customFormat="1" ht="96.6">
      <c r="A24" s="3" t="s">
        <v>355</v>
      </c>
      <c r="B24" s="3" t="s">
        <v>1841</v>
      </c>
      <c r="C24" s="340" t="s">
        <v>538</v>
      </c>
      <c r="D24" s="340" t="s">
        <v>537</v>
      </c>
      <c r="E24" s="340" t="s">
        <v>1842</v>
      </c>
      <c r="F24" s="340"/>
      <c r="G24" s="3"/>
    </row>
    <row r="25" spans="1:7" s="343" customFormat="1">
      <c r="G25" s="328"/>
    </row>
    <row r="26" spans="1:7" s="343" customFormat="1">
      <c r="G26" s="328"/>
    </row>
    <row r="27" spans="1:7" s="343" customFormat="1">
      <c r="G27" s="328"/>
    </row>
    <row r="28" spans="1:7" s="343" customFormat="1">
      <c r="G28" s="328"/>
    </row>
    <row r="29" spans="1:7" s="344" customFormat="1">
      <c r="G29" s="328"/>
    </row>
    <row r="30" spans="1:7" s="344" customFormat="1">
      <c r="G30" s="328"/>
    </row>
    <row r="31" spans="1:7" s="344" customFormat="1">
      <c r="G31" s="328"/>
    </row>
    <row r="32" spans="1:7" s="344" customFormat="1">
      <c r="G32" s="328"/>
    </row>
    <row r="33" spans="7:7" s="344" customFormat="1">
      <c r="G33" s="328"/>
    </row>
    <row r="34" spans="7:7" s="344" customFormat="1">
      <c r="G34" s="328"/>
    </row>
    <row r="35" spans="7:7" s="344" customFormat="1">
      <c r="G35" s="328"/>
    </row>
    <row r="36" spans="7:7" s="344" customFormat="1">
      <c r="G36" s="328"/>
    </row>
    <row r="37" spans="7:7" s="344" customFormat="1">
      <c r="G37" s="328"/>
    </row>
    <row r="38" spans="7:7" s="344" customFormat="1">
      <c r="G38" s="328"/>
    </row>
    <row r="39" spans="7:7" s="344" customFormat="1">
      <c r="G39" s="328"/>
    </row>
    <row r="40" spans="7:7" s="344" customFormat="1">
      <c r="G40" s="328"/>
    </row>
    <row r="41" spans="7:7" s="344" customFormat="1">
      <c r="G41" s="328"/>
    </row>
    <row r="42" spans="7:7" s="344" customFormat="1">
      <c r="G42" s="328"/>
    </row>
    <row r="43" spans="7:7" s="344" customFormat="1">
      <c r="G43" s="328"/>
    </row>
    <row r="44" spans="7:7" s="344" customFormat="1">
      <c r="G44" s="328"/>
    </row>
    <row r="45" spans="7:7" s="344" customFormat="1">
      <c r="G45" s="328"/>
    </row>
    <row r="46" spans="7:7" s="344" customFormat="1">
      <c r="G46" s="328"/>
    </row>
    <row r="47" spans="7:7" s="344" customFormat="1">
      <c r="G47" s="328"/>
    </row>
    <row r="48" spans="7:7" s="344" customFormat="1">
      <c r="G48" s="328"/>
    </row>
    <row r="49" spans="7:7" s="344" customFormat="1">
      <c r="G49" s="32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zoomScale="80" zoomScaleNormal="80" workbookViewId="0">
      <selection activeCell="I11" sqref="I11:J14"/>
    </sheetView>
  </sheetViews>
  <sheetFormatPr defaultColWidth="8.77734375" defaultRowHeight="13.8"/>
  <cols>
    <col min="1" max="1" width="10.21875" style="333" customWidth="1"/>
    <col min="2" max="2" width="88.77734375" style="333" customWidth="1"/>
    <col min="3" max="4" width="21.44140625" style="326" customWidth="1"/>
    <col min="5" max="5" width="67.77734375" style="326" customWidth="1"/>
    <col min="6" max="6" width="38.21875" style="333" customWidth="1"/>
    <col min="7" max="7" width="21.44140625" style="328" customWidth="1"/>
    <col min="8" max="16384" width="8.77734375" style="333"/>
  </cols>
  <sheetData>
    <row r="1" spans="1:33" s="350" customFormat="1" ht="25.8">
      <c r="A1" s="325" t="s">
        <v>459</v>
      </c>
      <c r="B1" s="326"/>
      <c r="C1" s="327"/>
      <c r="D1" s="326"/>
      <c r="E1" s="326"/>
      <c r="F1" s="326"/>
      <c r="G1" s="328"/>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row>
    <row r="2" spans="1:33" s="140" customFormat="1" ht="25.8">
      <c r="A2" s="325" t="s">
        <v>1843</v>
      </c>
      <c r="B2" s="326"/>
      <c r="C2" s="327"/>
      <c r="D2" s="326"/>
      <c r="E2" s="326"/>
      <c r="F2" s="326"/>
      <c r="G2" s="328"/>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row>
    <row r="3" spans="1:33" s="140" customFormat="1">
      <c r="A3" s="329" t="s">
        <v>461</v>
      </c>
      <c r="B3" s="326" t="s">
        <v>238</v>
      </c>
      <c r="C3" s="326"/>
      <c r="D3" s="326"/>
      <c r="E3" s="326"/>
      <c r="F3" s="326"/>
      <c r="G3" s="328"/>
      <c r="H3" s="326"/>
      <c r="I3" s="326"/>
      <c r="J3" s="326"/>
      <c r="K3" s="326"/>
      <c r="L3" s="326"/>
      <c r="M3" s="326"/>
      <c r="N3" s="326"/>
      <c r="O3" s="326"/>
      <c r="P3" s="326"/>
      <c r="Q3" s="326"/>
      <c r="R3" s="326"/>
      <c r="S3" s="326"/>
      <c r="T3" s="326"/>
      <c r="U3" s="326"/>
      <c r="V3" s="326"/>
      <c r="W3" s="326"/>
      <c r="X3" s="326"/>
      <c r="Y3" s="326"/>
      <c r="Z3" s="326"/>
      <c r="AA3" s="326"/>
      <c r="AB3" s="326"/>
      <c r="AC3" s="326"/>
      <c r="AD3" s="326"/>
      <c r="AE3" s="326"/>
      <c r="AF3" s="326"/>
      <c r="AG3" s="326"/>
    </row>
    <row r="4" spans="1:33" s="138" customFormat="1">
      <c r="A4" s="329" t="s">
        <v>1755</v>
      </c>
      <c r="B4" s="326" t="s">
        <v>1844</v>
      </c>
      <c r="C4" s="326"/>
      <c r="D4" s="326"/>
      <c r="E4" s="326"/>
      <c r="F4" s="326"/>
      <c r="G4" s="328"/>
      <c r="H4" s="326"/>
      <c r="I4" s="326"/>
      <c r="J4" s="326"/>
      <c r="K4" s="326"/>
      <c r="L4" s="326"/>
      <c r="M4" s="326"/>
      <c r="N4" s="326"/>
      <c r="O4" s="326"/>
      <c r="P4" s="326"/>
      <c r="Q4" s="326"/>
      <c r="R4" s="326"/>
      <c r="S4" s="326"/>
      <c r="T4" s="326"/>
      <c r="U4" s="326"/>
      <c r="V4" s="326"/>
      <c r="W4" s="326"/>
      <c r="X4" s="326"/>
      <c r="Y4" s="326"/>
      <c r="Z4" s="326"/>
      <c r="AA4" s="326"/>
      <c r="AB4" s="326"/>
      <c r="AC4" s="326"/>
      <c r="AD4" s="326"/>
      <c r="AE4" s="326"/>
      <c r="AF4" s="326"/>
      <c r="AG4" s="326"/>
    </row>
    <row r="5" spans="1:33" s="350" customFormat="1">
      <c r="A5" s="326" t="s">
        <v>462</v>
      </c>
      <c r="B5" s="326" t="s">
        <v>239</v>
      </c>
      <c r="C5" s="326"/>
      <c r="D5" s="326"/>
      <c r="E5" s="326"/>
      <c r="F5" s="326"/>
      <c r="G5" s="328"/>
      <c r="H5" s="326"/>
      <c r="I5" s="326"/>
      <c r="J5" s="326"/>
      <c r="K5" s="326"/>
      <c r="L5" s="326"/>
      <c r="M5" s="326"/>
      <c r="N5" s="326"/>
      <c r="O5" s="326"/>
      <c r="P5" s="326"/>
      <c r="Q5" s="326"/>
      <c r="R5" s="326"/>
      <c r="S5" s="326"/>
      <c r="T5" s="326"/>
      <c r="U5" s="326"/>
      <c r="V5" s="326"/>
      <c r="W5" s="326"/>
      <c r="X5" s="326"/>
      <c r="Y5" s="326"/>
      <c r="Z5" s="326"/>
      <c r="AA5" s="326"/>
      <c r="AB5" s="326"/>
      <c r="AC5" s="326"/>
      <c r="AD5" s="326"/>
      <c r="AE5" s="326"/>
      <c r="AF5" s="326"/>
      <c r="AG5" s="326"/>
    </row>
    <row r="6" spans="1:33" s="350" customFormat="1">
      <c r="A6" s="326" t="s">
        <v>1757</v>
      </c>
      <c r="B6" s="326" t="s">
        <v>1845</v>
      </c>
      <c r="C6" s="326"/>
      <c r="D6" s="326"/>
      <c r="E6" s="326"/>
      <c r="F6" s="326"/>
      <c r="G6" s="328"/>
      <c r="H6" s="326"/>
      <c r="I6" s="326"/>
      <c r="J6" s="326"/>
      <c r="K6" s="326"/>
      <c r="L6" s="326"/>
      <c r="M6" s="326"/>
      <c r="N6" s="326"/>
      <c r="O6" s="326"/>
      <c r="P6" s="326"/>
      <c r="Q6" s="326"/>
      <c r="R6" s="326"/>
      <c r="S6" s="326"/>
      <c r="T6" s="326"/>
      <c r="U6" s="326"/>
      <c r="V6" s="326"/>
      <c r="W6" s="326"/>
      <c r="X6" s="326"/>
      <c r="Y6" s="326"/>
      <c r="Z6" s="326"/>
      <c r="AA6" s="326"/>
      <c r="AB6" s="326"/>
      <c r="AC6" s="326"/>
      <c r="AD6" s="326"/>
      <c r="AE6" s="326"/>
      <c r="AF6" s="326"/>
      <c r="AG6" s="326"/>
    </row>
    <row r="7" spans="1:33" s="140" customFormat="1">
      <c r="A7" s="333"/>
      <c r="B7" s="333"/>
      <c r="C7" s="326"/>
      <c r="D7" s="326"/>
      <c r="E7" s="326"/>
      <c r="F7" s="333"/>
      <c r="G7" s="328"/>
      <c r="H7" s="333"/>
      <c r="I7" s="333"/>
      <c r="J7" s="333"/>
      <c r="K7" s="333"/>
      <c r="L7" s="333"/>
      <c r="M7" s="333"/>
      <c r="N7" s="333"/>
      <c r="O7" s="333"/>
      <c r="P7" s="333"/>
      <c r="Q7" s="333"/>
      <c r="R7" s="333"/>
      <c r="S7" s="333"/>
      <c r="T7" s="333"/>
      <c r="U7" s="333"/>
      <c r="V7" s="333"/>
      <c r="W7" s="333"/>
      <c r="X7" s="333"/>
      <c r="Y7" s="333"/>
      <c r="Z7" s="333"/>
      <c r="AA7" s="333"/>
      <c r="AB7" s="333"/>
      <c r="AC7" s="333"/>
      <c r="AD7" s="333"/>
      <c r="AE7" s="333"/>
      <c r="AF7" s="333"/>
      <c r="AG7" s="333"/>
    </row>
    <row r="8" spans="1:33" s="140" customFormat="1">
      <c r="A8" s="354"/>
      <c r="B8" s="354"/>
      <c r="C8" s="354" t="s">
        <v>96</v>
      </c>
      <c r="D8" s="354" t="s">
        <v>574</v>
      </c>
      <c r="E8" s="354" t="s">
        <v>85</v>
      </c>
      <c r="F8" s="354" t="s">
        <v>1685</v>
      </c>
      <c r="G8" s="354" t="s">
        <v>1721</v>
      </c>
      <c r="H8" s="326"/>
      <c r="I8" s="326"/>
      <c r="J8" s="326"/>
      <c r="K8" s="326"/>
      <c r="L8" s="326"/>
      <c r="M8" s="326"/>
      <c r="N8" s="326"/>
      <c r="O8" s="326"/>
      <c r="P8" s="326"/>
      <c r="Q8" s="326"/>
      <c r="R8" s="326"/>
      <c r="S8" s="326"/>
      <c r="T8" s="326"/>
      <c r="U8" s="326"/>
      <c r="V8" s="326"/>
      <c r="W8" s="326"/>
      <c r="X8" s="326"/>
      <c r="Y8" s="326"/>
      <c r="Z8" s="326"/>
      <c r="AA8" s="326"/>
      <c r="AB8" s="326"/>
      <c r="AC8" s="326"/>
      <c r="AD8" s="326"/>
      <c r="AE8" s="326"/>
      <c r="AF8" s="326"/>
      <c r="AG8" s="326"/>
    </row>
    <row r="9" spans="1:33" s="138" customFormat="1">
      <c r="A9" s="361" t="s">
        <v>47</v>
      </c>
      <c r="B9" s="346"/>
      <c r="C9" s="335"/>
      <c r="D9" s="335"/>
      <c r="E9" s="335"/>
      <c r="F9" s="347"/>
      <c r="G9" s="348"/>
      <c r="H9" s="350"/>
      <c r="I9" s="350"/>
      <c r="J9" s="350"/>
      <c r="K9" s="350"/>
      <c r="L9" s="350"/>
      <c r="M9" s="350"/>
      <c r="N9" s="350"/>
      <c r="O9" s="350"/>
      <c r="P9" s="350"/>
      <c r="Q9" s="350"/>
      <c r="R9" s="350"/>
      <c r="S9" s="350"/>
      <c r="T9" s="350"/>
      <c r="U9" s="350"/>
      <c r="V9" s="350"/>
      <c r="W9" s="350"/>
      <c r="X9" s="350"/>
      <c r="Y9" s="350"/>
      <c r="Z9" s="350"/>
      <c r="AA9" s="350"/>
      <c r="AB9" s="350"/>
      <c r="AC9" s="350"/>
      <c r="AD9" s="350"/>
      <c r="AE9" s="350"/>
      <c r="AF9" s="350"/>
      <c r="AG9" s="350"/>
    </row>
    <row r="10" spans="1:33" s="350" customFormat="1" ht="27.6">
      <c r="A10" s="352" t="s">
        <v>240</v>
      </c>
      <c r="B10" s="323" t="s">
        <v>1846</v>
      </c>
      <c r="C10" s="340" t="s">
        <v>491</v>
      </c>
      <c r="D10" s="340" t="s">
        <v>490</v>
      </c>
      <c r="E10" s="340" t="s">
        <v>1617</v>
      </c>
      <c r="F10" s="351"/>
      <c r="G10" s="352"/>
    </row>
    <row r="11" spans="1:33" s="140" customFormat="1">
      <c r="A11" s="361" t="s">
        <v>54</v>
      </c>
      <c r="B11" s="346"/>
      <c r="C11" s="335"/>
      <c r="D11" s="335"/>
      <c r="E11" s="335"/>
      <c r="F11" s="347"/>
      <c r="G11" s="348"/>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c r="AE11" s="350"/>
      <c r="AF11" s="350"/>
      <c r="AG11" s="350"/>
    </row>
    <row r="12" spans="1:33" s="140" customFormat="1" ht="69">
      <c r="A12" s="352" t="s">
        <v>241</v>
      </c>
      <c r="B12" s="323" t="s">
        <v>1847</v>
      </c>
      <c r="C12" s="3"/>
      <c r="D12" s="340" t="s">
        <v>1848</v>
      </c>
      <c r="E12" s="340" t="s">
        <v>1618</v>
      </c>
      <c r="F12" s="351"/>
      <c r="G12" s="352"/>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c r="AE12" s="350"/>
      <c r="AF12" s="350"/>
      <c r="AG12" s="350"/>
    </row>
    <row r="13" spans="1:33" s="138" customFormat="1" ht="69">
      <c r="A13" s="352" t="s">
        <v>242</v>
      </c>
      <c r="B13" s="323" t="s">
        <v>1849</v>
      </c>
      <c r="C13" s="3"/>
      <c r="D13" s="340" t="s">
        <v>1850</v>
      </c>
      <c r="E13" s="340" t="s">
        <v>1619</v>
      </c>
      <c r="F13" s="351"/>
      <c r="G13" s="352"/>
      <c r="H13" s="350"/>
      <c r="I13" s="350"/>
      <c r="J13" s="350"/>
      <c r="K13" s="350"/>
      <c r="L13" s="350"/>
      <c r="M13" s="350"/>
      <c r="N13" s="350"/>
      <c r="O13" s="350"/>
      <c r="P13" s="350"/>
      <c r="Q13" s="350"/>
      <c r="R13" s="350"/>
      <c r="S13" s="350"/>
      <c r="T13" s="350"/>
      <c r="U13" s="350"/>
      <c r="V13" s="350"/>
      <c r="W13" s="350"/>
      <c r="X13" s="350"/>
      <c r="Y13" s="350"/>
      <c r="Z13" s="350"/>
      <c r="AA13" s="350"/>
      <c r="AB13" s="350"/>
      <c r="AC13" s="350"/>
      <c r="AD13" s="350"/>
      <c r="AE13" s="350"/>
      <c r="AF13" s="350"/>
      <c r="AG13" s="350"/>
    </row>
    <row r="14" spans="1:33" s="350" customFormat="1" ht="77.25" customHeight="1">
      <c r="A14" s="352" t="s">
        <v>243</v>
      </c>
      <c r="B14" s="323" t="s">
        <v>1851</v>
      </c>
      <c r="C14" s="3"/>
      <c r="D14" s="340" t="s">
        <v>492</v>
      </c>
      <c r="E14" s="340" t="s">
        <v>1620</v>
      </c>
      <c r="F14" s="351"/>
      <c r="G14" s="352"/>
    </row>
    <row r="15" spans="1:33" s="140" customFormat="1">
      <c r="A15" s="361" t="s">
        <v>56</v>
      </c>
      <c r="B15" s="346"/>
      <c r="C15" s="335"/>
      <c r="D15" s="335"/>
      <c r="E15" s="335"/>
      <c r="F15" s="347"/>
      <c r="G15" s="348"/>
      <c r="H15" s="350"/>
      <c r="I15" s="350"/>
      <c r="J15" s="350"/>
      <c r="K15" s="350"/>
      <c r="L15" s="350"/>
      <c r="M15" s="350"/>
      <c r="N15" s="350"/>
      <c r="O15" s="350"/>
      <c r="P15" s="350"/>
      <c r="Q15" s="350"/>
      <c r="R15" s="350"/>
      <c r="S15" s="350"/>
      <c r="T15" s="350"/>
      <c r="U15" s="350"/>
      <c r="V15" s="350"/>
      <c r="W15" s="350"/>
      <c r="X15" s="350"/>
      <c r="Y15" s="350"/>
      <c r="Z15" s="350"/>
      <c r="AA15" s="350"/>
      <c r="AB15" s="350"/>
      <c r="AC15" s="350"/>
      <c r="AD15" s="350"/>
      <c r="AE15" s="350"/>
      <c r="AF15" s="350"/>
      <c r="AG15" s="350"/>
    </row>
    <row r="16" spans="1:33" s="140" customFormat="1" ht="75.75" customHeight="1">
      <c r="A16" s="352" t="s">
        <v>244</v>
      </c>
      <c r="B16" s="323" t="s">
        <v>1852</v>
      </c>
      <c r="C16" s="3"/>
      <c r="D16" s="340" t="s">
        <v>493</v>
      </c>
      <c r="E16" s="340" t="s">
        <v>1621</v>
      </c>
      <c r="F16" s="351"/>
      <c r="G16" s="352"/>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c r="AG16" s="350"/>
    </row>
    <row r="17" spans="1:33" s="140" customFormat="1" ht="124.2">
      <c r="A17" s="352" t="s">
        <v>245</v>
      </c>
      <c r="B17" s="323" t="s">
        <v>1853</v>
      </c>
      <c r="C17" s="3"/>
      <c r="D17" s="340" t="s">
        <v>1854</v>
      </c>
      <c r="E17" s="340" t="s">
        <v>1622</v>
      </c>
      <c r="F17" s="351"/>
      <c r="G17" s="352"/>
      <c r="H17" s="350"/>
      <c r="I17" s="350"/>
      <c r="J17" s="350"/>
      <c r="K17" s="350"/>
      <c r="L17" s="350"/>
      <c r="M17" s="350"/>
      <c r="N17" s="350"/>
      <c r="O17" s="350"/>
      <c r="P17" s="350"/>
      <c r="Q17" s="350"/>
      <c r="R17" s="350"/>
      <c r="S17" s="350"/>
      <c r="T17" s="350"/>
      <c r="U17" s="350"/>
      <c r="V17" s="350"/>
      <c r="W17" s="350"/>
      <c r="X17" s="350"/>
      <c r="Y17" s="350"/>
      <c r="Z17" s="350"/>
      <c r="AA17" s="350"/>
      <c r="AB17" s="350"/>
      <c r="AC17" s="350"/>
      <c r="AD17" s="350"/>
      <c r="AE17" s="350"/>
      <c r="AF17" s="350"/>
      <c r="AG17" s="350"/>
    </row>
    <row r="18" spans="1:33" s="138" customFormat="1" ht="82.8">
      <c r="A18" s="352" t="s">
        <v>246</v>
      </c>
      <c r="B18" s="323" t="s">
        <v>1855</v>
      </c>
      <c r="C18" s="340" t="s">
        <v>494</v>
      </c>
      <c r="D18" s="340" t="s">
        <v>1856</v>
      </c>
      <c r="E18" s="340" t="s">
        <v>247</v>
      </c>
      <c r="F18" s="351"/>
      <c r="G18" s="352"/>
      <c r="H18" s="350"/>
      <c r="I18" s="350"/>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row>
    <row r="19" spans="1:33" s="350" customFormat="1" ht="27.6">
      <c r="A19" s="352" t="s">
        <v>248</v>
      </c>
      <c r="B19" s="323" t="s">
        <v>1857</v>
      </c>
      <c r="C19" s="3"/>
      <c r="D19" s="3"/>
      <c r="E19" s="340" t="s">
        <v>1623</v>
      </c>
      <c r="F19" s="351"/>
      <c r="G19" s="352"/>
    </row>
    <row r="20" spans="1:33" s="140" customFormat="1" ht="27.6">
      <c r="A20" s="352" t="s">
        <v>249</v>
      </c>
      <c r="B20" s="323" t="s">
        <v>1858</v>
      </c>
      <c r="C20" s="3"/>
      <c r="D20" s="3"/>
      <c r="E20" s="340" t="s">
        <v>247</v>
      </c>
      <c r="F20" s="351"/>
      <c r="G20" s="352"/>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row>
    <row r="21" spans="1:33" s="140" customFormat="1" ht="27.6">
      <c r="A21" s="352" t="s">
        <v>250</v>
      </c>
      <c r="B21" s="323" t="s">
        <v>1859</v>
      </c>
      <c r="C21" s="3"/>
      <c r="D21" s="3"/>
      <c r="E21" s="340" t="s">
        <v>1624</v>
      </c>
      <c r="F21" s="351"/>
      <c r="G21" s="352"/>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row>
    <row r="22" spans="1:33" s="138" customFormat="1" ht="27.6">
      <c r="A22" s="352" t="s">
        <v>251</v>
      </c>
      <c r="B22" s="323" t="s">
        <v>1860</v>
      </c>
      <c r="C22" s="3"/>
      <c r="D22" s="3"/>
      <c r="E22" s="340" t="s">
        <v>1625</v>
      </c>
      <c r="F22" s="351"/>
      <c r="G22" s="352"/>
      <c r="H22" s="350"/>
      <c r="I22" s="350"/>
      <c r="J22" s="350"/>
      <c r="K22" s="350"/>
      <c r="L22" s="350"/>
      <c r="M22" s="350"/>
      <c r="N22" s="350"/>
      <c r="O22" s="350"/>
      <c r="P22" s="350"/>
      <c r="Q22" s="350"/>
      <c r="R22" s="350"/>
      <c r="S22" s="350"/>
      <c r="T22" s="350"/>
      <c r="U22" s="350"/>
      <c r="V22" s="350"/>
      <c r="W22" s="350"/>
      <c r="X22" s="350"/>
      <c r="Y22" s="350"/>
      <c r="Z22" s="350"/>
      <c r="AA22" s="350"/>
      <c r="AB22" s="350"/>
      <c r="AC22" s="350"/>
      <c r="AD22" s="350"/>
      <c r="AE22" s="350"/>
      <c r="AF22" s="350"/>
      <c r="AG22" s="350"/>
    </row>
    <row r="23" spans="1:33">
      <c r="A23" s="362"/>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46.77734375" style="333" customWidth="1"/>
    <col min="3" max="4" width="21.44140625" style="333" customWidth="1"/>
    <col min="5" max="5" width="43.77734375" style="333" customWidth="1"/>
    <col min="6" max="6" width="56.44140625" style="333" customWidth="1"/>
    <col min="7" max="7" width="21.44140625" style="328" customWidth="1"/>
    <col min="8" max="9" width="8.77734375" style="326" customWidth="1"/>
    <col min="10" max="10" width="8.77734375" style="328" customWidth="1"/>
    <col min="11" max="11" width="8.77734375" style="328"/>
    <col min="12" max="12" width="8.77734375" style="326"/>
    <col min="13" max="18" width="8.77734375" style="328"/>
    <col min="19" max="16384" width="8.77734375" style="333"/>
  </cols>
  <sheetData>
    <row r="1" spans="1:18" s="138" customFormat="1" ht="25.8">
      <c r="A1" s="325" t="s">
        <v>298</v>
      </c>
      <c r="B1" s="326"/>
      <c r="C1" s="327"/>
      <c r="D1" s="326"/>
      <c r="E1" s="326"/>
      <c r="F1" s="326"/>
      <c r="G1" s="328"/>
      <c r="H1" s="326"/>
      <c r="I1" s="326"/>
      <c r="J1" s="328"/>
      <c r="K1" s="328"/>
      <c r="L1" s="326"/>
      <c r="M1" s="328"/>
      <c r="N1" s="328"/>
      <c r="O1" s="328"/>
      <c r="P1" s="328"/>
      <c r="Q1" s="328"/>
      <c r="R1" s="328"/>
    </row>
    <row r="2" spans="1:18" s="350" customFormat="1" ht="25.8">
      <c r="A2" s="325" t="s">
        <v>1861</v>
      </c>
      <c r="B2" s="326"/>
      <c r="C2" s="327"/>
      <c r="D2" s="326"/>
      <c r="E2" s="326"/>
      <c r="F2" s="326"/>
      <c r="G2" s="328"/>
      <c r="H2" s="326"/>
      <c r="I2" s="326"/>
      <c r="J2" s="328"/>
      <c r="K2" s="328"/>
      <c r="L2" s="326"/>
      <c r="M2" s="328"/>
      <c r="N2" s="328"/>
      <c r="O2" s="328"/>
      <c r="P2" s="328"/>
      <c r="Q2" s="328"/>
      <c r="R2" s="328"/>
    </row>
    <row r="3" spans="1:18" s="350" customFormat="1">
      <c r="A3" s="329" t="s">
        <v>1681</v>
      </c>
      <c r="B3" s="326" t="s">
        <v>1862</v>
      </c>
      <c r="C3" s="326"/>
      <c r="D3" s="326"/>
      <c r="E3" s="326"/>
      <c r="F3" s="326"/>
      <c r="G3" s="328"/>
      <c r="H3" s="326"/>
      <c r="I3" s="326"/>
      <c r="J3" s="328"/>
      <c r="K3" s="328"/>
      <c r="L3" s="326"/>
      <c r="M3" s="328"/>
      <c r="N3" s="328"/>
      <c r="O3" s="328"/>
      <c r="P3" s="328"/>
      <c r="Q3" s="328"/>
      <c r="R3" s="328"/>
    </row>
    <row r="4" spans="1:18" s="140" customFormat="1">
      <c r="A4" s="329" t="s">
        <v>422</v>
      </c>
      <c r="B4" s="326" t="s">
        <v>1863</v>
      </c>
      <c r="C4" s="326"/>
      <c r="D4" s="326"/>
      <c r="E4" s="326"/>
      <c r="F4" s="326"/>
      <c r="G4" s="328"/>
      <c r="H4" s="326"/>
      <c r="I4" s="326"/>
      <c r="J4" s="328"/>
      <c r="K4" s="328"/>
      <c r="L4" s="326"/>
      <c r="M4" s="328"/>
      <c r="N4" s="328"/>
      <c r="O4" s="328"/>
      <c r="P4" s="328"/>
      <c r="Q4" s="328"/>
      <c r="R4" s="328"/>
    </row>
    <row r="5" spans="1:18" s="140" customFormat="1">
      <c r="A5" s="326" t="s">
        <v>1683</v>
      </c>
      <c r="B5" s="326" t="s">
        <v>1864</v>
      </c>
      <c r="C5" s="326"/>
      <c r="D5" s="326"/>
      <c r="E5" s="326"/>
      <c r="F5" s="326"/>
      <c r="G5" s="328"/>
      <c r="H5" s="326"/>
      <c r="I5" s="326"/>
      <c r="J5" s="328"/>
      <c r="K5" s="328"/>
      <c r="L5" s="326"/>
      <c r="M5" s="328"/>
      <c r="N5" s="328"/>
      <c r="O5" s="328"/>
      <c r="P5" s="328"/>
      <c r="Q5" s="328"/>
      <c r="R5" s="328"/>
    </row>
    <row r="6" spans="1:18" s="138" customFormat="1">
      <c r="A6" s="326" t="s">
        <v>426</v>
      </c>
      <c r="B6" s="326" t="s">
        <v>1865</v>
      </c>
      <c r="C6" s="326"/>
      <c r="D6" s="326"/>
      <c r="E6" s="326"/>
      <c r="F6" s="326"/>
      <c r="G6" s="328"/>
      <c r="H6" s="326"/>
      <c r="I6" s="326"/>
      <c r="J6" s="328"/>
      <c r="K6" s="328"/>
      <c r="L6" s="326"/>
      <c r="M6" s="328"/>
      <c r="N6" s="328"/>
      <c r="O6" s="328"/>
      <c r="P6" s="328"/>
      <c r="Q6" s="328"/>
      <c r="R6" s="328"/>
    </row>
    <row r="7" spans="1:18" s="350" customFormat="1">
      <c r="A7" s="333"/>
      <c r="B7" s="333"/>
      <c r="C7" s="333"/>
      <c r="D7" s="333"/>
      <c r="E7" s="326"/>
      <c r="F7" s="326"/>
      <c r="G7" s="363" t="e">
        <f>#REF!</f>
        <v>#REF!</v>
      </c>
      <c r="H7" s="326"/>
      <c r="I7" s="326"/>
      <c r="J7" s="328"/>
      <c r="K7" s="328"/>
      <c r="L7" s="326"/>
      <c r="M7" s="328"/>
      <c r="N7" s="328"/>
      <c r="O7" s="328"/>
      <c r="P7" s="328"/>
      <c r="Q7" s="328"/>
      <c r="R7" s="328"/>
    </row>
    <row r="8" spans="1:18" s="140" customFormat="1">
      <c r="A8" s="354"/>
      <c r="B8" s="354"/>
      <c r="C8" s="354" t="s">
        <v>96</v>
      </c>
      <c r="D8" s="354" t="s">
        <v>574</v>
      </c>
      <c r="E8" s="354" t="s">
        <v>85</v>
      </c>
      <c r="F8" s="354"/>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49"/>
      <c r="K9" s="349"/>
      <c r="L9" s="326"/>
      <c r="M9" s="349"/>
      <c r="N9" s="349"/>
      <c r="O9" s="349"/>
      <c r="P9" s="349"/>
      <c r="Q9" s="349"/>
      <c r="R9" s="349"/>
    </row>
    <row r="10" spans="1:18" s="138" customFormat="1" ht="41.4">
      <c r="A10" s="323" t="s">
        <v>299</v>
      </c>
      <c r="B10" s="323" t="s">
        <v>1866</v>
      </c>
      <c r="C10" s="351" t="s">
        <v>511</v>
      </c>
      <c r="D10" s="351" t="s">
        <v>1867</v>
      </c>
      <c r="E10" s="351" t="s">
        <v>1644</v>
      </c>
      <c r="F10" s="351"/>
      <c r="G10" s="352"/>
      <c r="H10" s="339"/>
      <c r="I10" s="326"/>
      <c r="J10" s="349"/>
      <c r="K10" s="349"/>
      <c r="L10" s="326"/>
      <c r="M10" s="349"/>
      <c r="N10" s="349"/>
      <c r="O10" s="349"/>
      <c r="P10" s="349"/>
      <c r="Q10" s="349"/>
      <c r="R10" s="349"/>
    </row>
    <row r="11" spans="1:18" s="350" customFormat="1">
      <c r="A11" s="346" t="s">
        <v>54</v>
      </c>
      <c r="B11" s="346"/>
      <c r="C11" s="347"/>
      <c r="D11" s="347"/>
      <c r="E11" s="347" t="s">
        <v>1868</v>
      </c>
      <c r="F11" s="347"/>
      <c r="G11" s="348"/>
      <c r="H11" s="326"/>
      <c r="I11" s="326"/>
      <c r="J11" s="349"/>
      <c r="K11" s="349"/>
      <c r="L11" s="326"/>
      <c r="M11" s="349"/>
      <c r="N11" s="349"/>
      <c r="O11" s="349"/>
      <c r="P11" s="349"/>
      <c r="Q11" s="349"/>
      <c r="R11" s="349"/>
    </row>
    <row r="12" spans="1:18" s="140" customFormat="1" ht="41.4">
      <c r="A12" s="323" t="s">
        <v>300</v>
      </c>
      <c r="B12" s="323" t="s">
        <v>1869</v>
      </c>
      <c r="C12" s="351" t="s">
        <v>512</v>
      </c>
      <c r="D12" s="351" t="s">
        <v>1870</v>
      </c>
      <c r="E12" s="351" t="s">
        <v>1645</v>
      </c>
      <c r="F12" s="351"/>
      <c r="G12" s="352"/>
      <c r="H12" s="326"/>
      <c r="I12" s="326"/>
      <c r="J12" s="349"/>
      <c r="K12" s="349"/>
      <c r="L12" s="326"/>
      <c r="M12" s="349"/>
      <c r="N12" s="349"/>
      <c r="O12" s="349"/>
      <c r="P12" s="349"/>
      <c r="Q12" s="349"/>
      <c r="R12" s="349"/>
    </row>
    <row r="13" spans="1:18" s="138" customFormat="1" ht="69">
      <c r="A13" s="323" t="s">
        <v>301</v>
      </c>
      <c r="B13" s="323" t="s">
        <v>1871</v>
      </c>
      <c r="C13" s="351" t="s">
        <v>514</v>
      </c>
      <c r="D13" s="351" t="s">
        <v>513</v>
      </c>
      <c r="E13" s="351" t="s">
        <v>1646</v>
      </c>
      <c r="F13" s="351"/>
      <c r="G13" s="352"/>
      <c r="H13" s="326"/>
      <c r="I13" s="364"/>
      <c r="J13" s="349"/>
      <c r="K13" s="349"/>
      <c r="L13" s="326"/>
      <c r="M13" s="349"/>
      <c r="N13" s="349"/>
      <c r="O13" s="349"/>
      <c r="P13" s="349"/>
      <c r="Q13" s="349"/>
      <c r="R13" s="349"/>
    </row>
    <row r="14" spans="1:18" s="350" customFormat="1" ht="82.8">
      <c r="A14" s="323" t="s">
        <v>302</v>
      </c>
      <c r="B14" s="323" t="s">
        <v>1872</v>
      </c>
      <c r="C14" s="351" t="s">
        <v>515</v>
      </c>
      <c r="D14" s="351" t="s">
        <v>1873</v>
      </c>
      <c r="E14" s="351" t="s">
        <v>1647</v>
      </c>
      <c r="F14" s="351"/>
      <c r="G14" s="352"/>
      <c r="H14" s="326"/>
      <c r="I14" s="326"/>
      <c r="J14" s="349"/>
      <c r="K14" s="349"/>
      <c r="L14" s="326"/>
      <c r="M14" s="349"/>
      <c r="N14" s="349"/>
      <c r="O14" s="349"/>
      <c r="P14" s="349"/>
      <c r="Q14" s="349"/>
      <c r="R14" s="349"/>
    </row>
    <row r="15" spans="1:18" s="140" customFormat="1">
      <c r="A15" s="346" t="s">
        <v>56</v>
      </c>
      <c r="B15" s="346"/>
      <c r="C15" s="347"/>
      <c r="D15" s="347"/>
      <c r="E15" s="347" t="s">
        <v>1868</v>
      </c>
      <c r="F15" s="347"/>
      <c r="G15" s="348"/>
      <c r="H15" s="326"/>
      <c r="I15" s="326"/>
      <c r="J15" s="349"/>
      <c r="K15" s="349"/>
      <c r="L15" s="326"/>
      <c r="M15" s="349"/>
      <c r="N15" s="349"/>
      <c r="O15" s="349"/>
      <c r="P15" s="349"/>
      <c r="Q15" s="349"/>
      <c r="R15" s="349"/>
    </row>
    <row r="16" spans="1:18" s="140" customFormat="1" ht="41.4">
      <c r="A16" s="323" t="s">
        <v>303</v>
      </c>
      <c r="B16" s="323" t="s">
        <v>1874</v>
      </c>
      <c r="C16" s="323"/>
      <c r="D16" s="351" t="s">
        <v>516</v>
      </c>
      <c r="E16" s="351" t="s">
        <v>304</v>
      </c>
      <c r="F16" s="351"/>
      <c r="G16" s="352"/>
      <c r="H16" s="326"/>
      <c r="I16" s="326"/>
      <c r="J16" s="349"/>
      <c r="K16" s="349"/>
      <c r="L16" s="326"/>
      <c r="M16" s="349"/>
      <c r="N16" s="349"/>
      <c r="O16" s="349"/>
      <c r="P16" s="349"/>
      <c r="Q16" s="349"/>
      <c r="R16" s="349"/>
    </row>
    <row r="17" spans="1:18" s="138" customFormat="1" ht="96.6">
      <c r="A17" s="323" t="s">
        <v>305</v>
      </c>
      <c r="B17" s="323" t="s">
        <v>1875</v>
      </c>
      <c r="C17" s="351" t="s">
        <v>518</v>
      </c>
      <c r="D17" s="351" t="s">
        <v>517</v>
      </c>
      <c r="E17" s="351" t="s">
        <v>1648</v>
      </c>
      <c r="F17" s="351"/>
      <c r="G17" s="352"/>
      <c r="H17" s="326"/>
      <c r="I17" s="326"/>
      <c r="J17" s="349"/>
      <c r="K17" s="349"/>
      <c r="L17" s="326"/>
      <c r="M17" s="349"/>
      <c r="N17" s="349"/>
      <c r="O17" s="349"/>
      <c r="P17" s="349"/>
      <c r="Q17" s="349"/>
      <c r="R17" s="349"/>
    </row>
    <row r="18" spans="1:18" s="343" customFormat="1">
      <c r="G18" s="328"/>
      <c r="H18" s="326"/>
      <c r="I18" s="326"/>
      <c r="J18" s="328"/>
      <c r="K18" s="328"/>
      <c r="L18" s="326"/>
      <c r="M18" s="328"/>
      <c r="N18" s="328"/>
      <c r="O18" s="328"/>
      <c r="P18" s="328"/>
      <c r="Q18" s="328"/>
      <c r="R18" s="328"/>
    </row>
    <row r="19" spans="1:18" s="343" customFormat="1">
      <c r="G19" s="328"/>
      <c r="H19" s="326"/>
      <c r="I19" s="326"/>
      <c r="J19" s="328"/>
      <c r="K19" s="328"/>
      <c r="L19" s="326"/>
      <c r="M19" s="328"/>
      <c r="N19" s="328"/>
      <c r="O19" s="328"/>
      <c r="P19" s="328"/>
      <c r="Q19" s="328"/>
      <c r="R19" s="328"/>
    </row>
    <row r="20" spans="1:18" s="343" customFormat="1">
      <c r="G20" s="328"/>
      <c r="H20" s="326"/>
      <c r="I20" s="326"/>
      <c r="J20" s="328"/>
      <c r="K20" s="328"/>
      <c r="L20" s="326"/>
      <c r="M20" s="328"/>
      <c r="N20" s="328"/>
      <c r="O20" s="328"/>
      <c r="P20" s="328"/>
      <c r="Q20" s="328"/>
      <c r="R20" s="328"/>
    </row>
    <row r="21" spans="1:18" s="343" customFormat="1">
      <c r="G21" s="328"/>
      <c r="H21" s="326"/>
      <c r="I21" s="326"/>
      <c r="J21" s="328"/>
      <c r="K21" s="328"/>
      <c r="L21" s="326"/>
      <c r="M21" s="328"/>
      <c r="N21" s="328"/>
      <c r="O21" s="328"/>
      <c r="P21" s="328"/>
      <c r="Q21" s="328"/>
      <c r="R21" s="328"/>
    </row>
    <row r="22" spans="1:18" s="343" customFormat="1">
      <c r="G22" s="328"/>
      <c r="H22" s="326"/>
      <c r="I22" s="326"/>
      <c r="J22" s="328"/>
      <c r="K22" s="328"/>
      <c r="L22" s="326"/>
      <c r="M22" s="328"/>
      <c r="N22" s="328"/>
      <c r="O22" s="328"/>
      <c r="P22" s="328"/>
      <c r="Q22" s="328"/>
      <c r="R22" s="328"/>
    </row>
    <row r="23" spans="1:18" s="343" customFormat="1">
      <c r="G23" s="328"/>
      <c r="H23" s="326"/>
      <c r="I23" s="326"/>
      <c r="J23" s="328"/>
      <c r="K23" s="328"/>
      <c r="L23" s="326"/>
      <c r="M23" s="328"/>
      <c r="N23" s="328"/>
      <c r="O23" s="328"/>
      <c r="P23" s="328"/>
      <c r="Q23" s="328"/>
      <c r="R23" s="328"/>
    </row>
    <row r="24" spans="1:18" s="343" customFormat="1">
      <c r="G24" s="328"/>
      <c r="H24" s="326"/>
      <c r="I24" s="326"/>
      <c r="J24" s="328"/>
      <c r="K24" s="328"/>
      <c r="L24" s="326"/>
      <c r="M24" s="328"/>
      <c r="N24" s="328"/>
      <c r="O24" s="328"/>
      <c r="P24" s="328"/>
      <c r="Q24" s="328"/>
      <c r="R24" s="328"/>
    </row>
    <row r="25" spans="1:18" s="343" customFormat="1">
      <c r="G25" s="328"/>
      <c r="H25" s="326"/>
      <c r="I25" s="326"/>
      <c r="J25" s="328"/>
      <c r="K25" s="328"/>
      <c r="L25" s="326"/>
      <c r="M25" s="328"/>
      <c r="N25" s="328"/>
      <c r="O25" s="328"/>
      <c r="P25" s="328"/>
      <c r="Q25" s="328"/>
      <c r="R25" s="328"/>
    </row>
    <row r="26" spans="1:18" s="343" customFormat="1">
      <c r="G26" s="328"/>
      <c r="H26" s="326"/>
      <c r="I26" s="326"/>
      <c r="J26" s="328"/>
      <c r="K26" s="328"/>
      <c r="L26" s="326"/>
      <c r="M26" s="328"/>
      <c r="N26" s="328"/>
      <c r="O26" s="328"/>
      <c r="P26" s="328"/>
      <c r="Q26" s="328"/>
      <c r="R26" s="328"/>
    </row>
    <row r="27" spans="1:18" s="343" customFormat="1">
      <c r="G27" s="328"/>
      <c r="H27" s="326"/>
      <c r="I27" s="326"/>
      <c r="J27" s="328"/>
      <c r="K27" s="328"/>
      <c r="L27" s="326"/>
      <c r="M27" s="328"/>
      <c r="N27" s="328"/>
      <c r="O27" s="328"/>
      <c r="P27" s="328"/>
      <c r="Q27" s="328"/>
      <c r="R27" s="328"/>
    </row>
    <row r="28" spans="1:18" s="343" customFormat="1">
      <c r="G28" s="328"/>
      <c r="H28" s="326"/>
      <c r="I28" s="326"/>
      <c r="J28" s="328"/>
      <c r="K28" s="328"/>
      <c r="L28" s="326"/>
      <c r="M28" s="328"/>
      <c r="N28" s="328"/>
      <c r="O28" s="328"/>
      <c r="P28" s="328"/>
      <c r="Q28" s="328"/>
      <c r="R28" s="328"/>
    </row>
    <row r="29" spans="1:18" s="343" customFormat="1">
      <c r="G29" s="328"/>
      <c r="H29" s="326"/>
      <c r="I29" s="326"/>
      <c r="J29" s="328"/>
      <c r="K29" s="328"/>
      <c r="L29" s="326"/>
      <c r="M29" s="328"/>
      <c r="N29" s="328"/>
      <c r="O29" s="328"/>
      <c r="P29" s="328"/>
      <c r="Q29" s="328"/>
      <c r="R29" s="328"/>
    </row>
    <row r="30" spans="1:18" s="343" customFormat="1">
      <c r="G30" s="328"/>
      <c r="H30" s="326"/>
      <c r="I30" s="326"/>
      <c r="J30" s="328"/>
      <c r="K30" s="328"/>
      <c r="L30" s="326"/>
      <c r="M30" s="328"/>
      <c r="N30" s="328"/>
      <c r="O30" s="328"/>
      <c r="P30" s="328"/>
      <c r="Q30" s="328"/>
      <c r="R30" s="328"/>
    </row>
    <row r="31" spans="1:18" s="343" customFormat="1">
      <c r="G31" s="328"/>
      <c r="H31" s="326"/>
      <c r="I31" s="326"/>
      <c r="J31" s="328"/>
      <c r="K31" s="328"/>
      <c r="L31" s="326"/>
      <c r="M31" s="328"/>
      <c r="N31" s="328"/>
      <c r="O31" s="328"/>
      <c r="P31" s="328"/>
      <c r="Q31" s="328"/>
      <c r="R31" s="328"/>
    </row>
    <row r="32" spans="1:18" s="343" customFormat="1">
      <c r="G32" s="328"/>
      <c r="H32" s="326"/>
      <c r="I32" s="326"/>
      <c r="J32" s="328"/>
      <c r="K32" s="328"/>
      <c r="L32" s="326"/>
      <c r="M32" s="328"/>
      <c r="N32" s="328"/>
      <c r="O32" s="328"/>
      <c r="P32" s="328"/>
      <c r="Q32" s="328"/>
      <c r="R32" s="328"/>
    </row>
    <row r="33" spans="7:18" s="343" customFormat="1">
      <c r="G33" s="328"/>
      <c r="H33" s="326"/>
      <c r="I33" s="326"/>
      <c r="J33" s="328"/>
      <c r="K33" s="328"/>
      <c r="L33" s="326"/>
      <c r="M33" s="328"/>
      <c r="N33" s="328"/>
      <c r="O33" s="328"/>
      <c r="P33" s="328"/>
      <c r="Q33" s="328"/>
      <c r="R33" s="328"/>
    </row>
    <row r="34" spans="7:18" s="343" customFormat="1">
      <c r="G34" s="328"/>
      <c r="H34" s="326"/>
      <c r="I34" s="326"/>
      <c r="J34" s="328"/>
      <c r="K34" s="328"/>
      <c r="L34" s="326"/>
      <c r="M34" s="328"/>
      <c r="N34" s="328"/>
      <c r="O34" s="328"/>
      <c r="P34" s="328"/>
      <c r="Q34" s="328"/>
      <c r="R34" s="328"/>
    </row>
    <row r="35" spans="7:18" s="343" customFormat="1">
      <c r="G35" s="328"/>
      <c r="H35" s="326"/>
      <c r="I35" s="326"/>
      <c r="J35" s="328"/>
      <c r="K35" s="328"/>
      <c r="L35" s="326"/>
      <c r="M35" s="328"/>
      <c r="N35" s="328"/>
      <c r="O35" s="328"/>
      <c r="P35" s="328"/>
      <c r="Q35" s="328"/>
      <c r="R35" s="328"/>
    </row>
    <row r="36" spans="7:18" s="343" customFormat="1">
      <c r="G36" s="328"/>
      <c r="H36" s="326"/>
      <c r="I36" s="326"/>
      <c r="J36" s="328"/>
      <c r="K36" s="328"/>
      <c r="L36" s="326"/>
      <c r="M36" s="328"/>
      <c r="N36" s="328"/>
      <c r="O36" s="328"/>
      <c r="P36" s="328"/>
      <c r="Q36" s="328"/>
      <c r="R36" s="328"/>
    </row>
    <row r="37" spans="7:18" s="343" customFormat="1">
      <c r="G37" s="328"/>
      <c r="H37" s="326"/>
      <c r="I37" s="326"/>
      <c r="J37" s="328"/>
      <c r="K37" s="328"/>
      <c r="L37" s="326"/>
      <c r="M37" s="328"/>
      <c r="N37" s="328"/>
      <c r="O37" s="328"/>
      <c r="P37" s="328"/>
      <c r="Q37" s="328"/>
      <c r="R37" s="328"/>
    </row>
    <row r="38" spans="7:18" s="343" customFormat="1">
      <c r="G38" s="328"/>
      <c r="H38" s="326"/>
      <c r="I38" s="326"/>
      <c r="J38" s="328"/>
      <c r="K38" s="328"/>
      <c r="L38" s="326"/>
      <c r="M38" s="328"/>
      <c r="N38" s="328"/>
      <c r="O38" s="328"/>
      <c r="P38" s="328"/>
      <c r="Q38" s="328"/>
      <c r="R38" s="328"/>
    </row>
    <row r="39" spans="7:18" s="343" customFormat="1">
      <c r="G39" s="328"/>
      <c r="H39" s="326"/>
      <c r="I39" s="326"/>
      <c r="J39" s="328"/>
      <c r="K39" s="328"/>
      <c r="L39" s="326"/>
      <c r="M39" s="328"/>
      <c r="N39" s="328"/>
      <c r="O39" s="328"/>
      <c r="P39" s="328"/>
      <c r="Q39" s="328"/>
      <c r="R39" s="328"/>
    </row>
    <row r="40" spans="7:18" s="343" customFormat="1">
      <c r="G40" s="328"/>
      <c r="H40" s="326"/>
      <c r="I40" s="326"/>
      <c r="J40" s="328"/>
      <c r="K40" s="328"/>
      <c r="L40" s="326"/>
      <c r="M40" s="328"/>
      <c r="N40" s="328"/>
      <c r="O40" s="328"/>
      <c r="P40" s="328"/>
      <c r="Q40" s="328"/>
      <c r="R40" s="328"/>
    </row>
    <row r="41" spans="7:18" s="343" customFormat="1">
      <c r="G41" s="328"/>
      <c r="H41" s="326"/>
      <c r="I41" s="326"/>
      <c r="J41" s="328"/>
      <c r="K41" s="328"/>
      <c r="L41" s="326"/>
      <c r="M41" s="328"/>
      <c r="N41" s="328"/>
      <c r="O41" s="328"/>
      <c r="P41" s="328"/>
      <c r="Q41" s="328"/>
      <c r="R41" s="328"/>
    </row>
    <row r="42" spans="7:18" s="343" customFormat="1">
      <c r="G42" s="328"/>
      <c r="H42" s="326"/>
      <c r="I42" s="326"/>
      <c r="J42" s="328"/>
      <c r="K42" s="328"/>
      <c r="L42" s="326"/>
      <c r="M42" s="328"/>
      <c r="N42" s="328"/>
      <c r="O42" s="328"/>
      <c r="P42" s="328"/>
      <c r="Q42" s="328"/>
      <c r="R42" s="328"/>
    </row>
    <row r="43" spans="7:18" s="343" customFormat="1">
      <c r="G43" s="328"/>
      <c r="H43" s="326"/>
      <c r="I43" s="326"/>
      <c r="J43" s="328"/>
      <c r="K43" s="328"/>
      <c r="L43" s="326"/>
      <c r="M43" s="328"/>
      <c r="N43" s="328"/>
      <c r="O43" s="328"/>
      <c r="P43" s="328"/>
      <c r="Q43" s="328"/>
      <c r="R43" s="328"/>
    </row>
    <row r="44" spans="7:18" s="344" customFormat="1">
      <c r="G44" s="328"/>
      <c r="H44" s="326"/>
      <c r="I44" s="326"/>
      <c r="J44" s="328"/>
      <c r="K44" s="328"/>
      <c r="L44" s="326"/>
      <c r="M44" s="328"/>
      <c r="N44" s="328"/>
      <c r="O44" s="328"/>
      <c r="P44" s="328"/>
      <c r="Q44" s="328"/>
      <c r="R44" s="328"/>
    </row>
    <row r="45" spans="7:18" s="344" customFormat="1">
      <c r="G45" s="328"/>
      <c r="H45" s="326"/>
      <c r="I45" s="326"/>
      <c r="J45" s="328"/>
      <c r="K45" s="328"/>
      <c r="L45" s="326"/>
      <c r="M45" s="328"/>
      <c r="N45" s="328"/>
      <c r="O45" s="328"/>
      <c r="P45" s="328"/>
      <c r="Q45" s="328"/>
      <c r="R45" s="328"/>
    </row>
    <row r="46" spans="7:18" s="344" customFormat="1">
      <c r="G46" s="328"/>
      <c r="H46" s="326"/>
      <c r="I46" s="326"/>
      <c r="J46" s="328"/>
      <c r="K46" s="328"/>
      <c r="L46" s="326"/>
      <c r="M46" s="328"/>
      <c r="N46" s="328"/>
      <c r="O46" s="328"/>
      <c r="P46" s="328"/>
      <c r="Q46" s="328"/>
      <c r="R46" s="328"/>
    </row>
    <row r="47" spans="7:18" s="344" customFormat="1">
      <c r="G47" s="328"/>
      <c r="H47" s="326"/>
      <c r="I47" s="326"/>
      <c r="J47" s="328"/>
      <c r="K47" s="328"/>
      <c r="L47" s="326"/>
      <c r="M47" s="328"/>
      <c r="N47" s="328"/>
      <c r="O47" s="328"/>
      <c r="P47" s="328"/>
      <c r="Q47" s="328"/>
      <c r="R47" s="328"/>
    </row>
    <row r="48" spans="7:18" s="344" customFormat="1">
      <c r="G48" s="328"/>
      <c r="H48" s="326"/>
      <c r="I48" s="326"/>
      <c r="J48" s="328"/>
      <c r="K48" s="328"/>
      <c r="L48" s="326"/>
      <c r="M48" s="328"/>
      <c r="N48" s="328"/>
      <c r="O48" s="328"/>
      <c r="P48" s="328"/>
      <c r="Q48" s="328"/>
      <c r="R48" s="328"/>
    </row>
    <row r="49" spans="7:18" s="344" customFormat="1">
      <c r="G49" s="328"/>
      <c r="H49" s="326"/>
      <c r="I49" s="326"/>
      <c r="J49" s="328"/>
      <c r="K49" s="328"/>
      <c r="L49" s="326"/>
      <c r="M49" s="328"/>
      <c r="N49" s="328"/>
      <c r="O49" s="328"/>
      <c r="P49" s="328"/>
      <c r="Q49" s="328"/>
      <c r="R49" s="328"/>
    </row>
    <row r="50" spans="7:18" s="344" customFormat="1">
      <c r="G50" s="328"/>
      <c r="H50" s="326"/>
      <c r="I50" s="326"/>
      <c r="J50" s="328"/>
      <c r="K50" s="328"/>
      <c r="L50" s="326"/>
      <c r="M50" s="328"/>
      <c r="N50" s="328"/>
      <c r="O50" s="328"/>
      <c r="P50" s="328"/>
      <c r="Q50" s="328"/>
      <c r="R50" s="328"/>
    </row>
    <row r="51" spans="7:18" s="344" customFormat="1">
      <c r="G51" s="328"/>
      <c r="H51" s="326"/>
      <c r="I51" s="326"/>
      <c r="J51" s="328"/>
      <c r="K51" s="328"/>
      <c r="L51" s="326"/>
      <c r="M51" s="328"/>
      <c r="N51" s="328"/>
      <c r="O51" s="328"/>
      <c r="P51" s="328"/>
      <c r="Q51" s="328"/>
      <c r="R51" s="328"/>
    </row>
    <row r="52" spans="7:18" s="344" customFormat="1">
      <c r="G52" s="328"/>
      <c r="H52" s="326"/>
      <c r="I52" s="326"/>
      <c r="J52" s="328"/>
      <c r="K52" s="328"/>
      <c r="L52" s="326"/>
      <c r="M52" s="328"/>
      <c r="N52" s="328"/>
      <c r="O52" s="328"/>
      <c r="P52" s="328"/>
      <c r="Q52" s="328"/>
      <c r="R52" s="328"/>
    </row>
    <row r="53" spans="7:18" s="344" customFormat="1">
      <c r="G53" s="328"/>
      <c r="H53" s="326"/>
      <c r="I53" s="326"/>
      <c r="J53" s="328"/>
      <c r="K53" s="328"/>
      <c r="L53" s="326"/>
      <c r="M53" s="328"/>
      <c r="N53" s="328"/>
      <c r="O53" s="328"/>
      <c r="P53" s="328"/>
      <c r="Q53" s="328"/>
      <c r="R53" s="328"/>
    </row>
    <row r="54" spans="7:18" s="344" customFormat="1">
      <c r="G54" s="328"/>
      <c r="H54" s="326"/>
      <c r="I54" s="326"/>
      <c r="J54" s="328"/>
      <c r="K54" s="328"/>
      <c r="L54" s="326"/>
      <c r="M54" s="328"/>
      <c r="N54" s="328"/>
      <c r="O54" s="328"/>
      <c r="P54" s="328"/>
      <c r="Q54" s="328"/>
      <c r="R54" s="328"/>
    </row>
    <row r="55" spans="7:18" s="344" customFormat="1">
      <c r="G55" s="328"/>
      <c r="H55" s="326"/>
      <c r="I55" s="326"/>
      <c r="J55" s="328"/>
      <c r="K55" s="328"/>
      <c r="L55" s="326"/>
      <c r="M55" s="328"/>
      <c r="N55" s="328"/>
      <c r="O55" s="328"/>
      <c r="P55" s="328"/>
      <c r="Q55" s="328"/>
      <c r="R55" s="328"/>
    </row>
    <row r="56" spans="7:18" s="344" customFormat="1">
      <c r="G56" s="328"/>
      <c r="H56" s="326"/>
      <c r="I56" s="326"/>
      <c r="J56" s="328"/>
      <c r="K56" s="328"/>
      <c r="L56" s="326"/>
      <c r="M56" s="328"/>
      <c r="N56" s="328"/>
      <c r="O56" s="328"/>
      <c r="P56" s="328"/>
      <c r="Q56" s="328"/>
      <c r="R56" s="328"/>
    </row>
    <row r="57" spans="7:18" s="344" customFormat="1">
      <c r="G57" s="328"/>
      <c r="H57" s="326"/>
      <c r="I57" s="326"/>
      <c r="J57" s="328"/>
      <c r="K57" s="328"/>
      <c r="L57" s="326"/>
      <c r="M57" s="328"/>
      <c r="N57" s="328"/>
      <c r="O57" s="328"/>
      <c r="P57" s="328"/>
      <c r="Q57" s="328"/>
      <c r="R57" s="328"/>
    </row>
    <row r="58" spans="7:18" s="344" customFormat="1">
      <c r="G58" s="328"/>
      <c r="H58" s="326"/>
      <c r="I58" s="326"/>
      <c r="J58" s="328"/>
      <c r="K58" s="328"/>
      <c r="L58" s="326"/>
      <c r="M58" s="328"/>
      <c r="N58" s="328"/>
      <c r="O58" s="328"/>
      <c r="P58" s="328"/>
      <c r="Q58" s="328"/>
      <c r="R58" s="328"/>
    </row>
    <row r="59" spans="7:18" s="344" customFormat="1">
      <c r="G59" s="328"/>
      <c r="H59" s="326"/>
      <c r="I59" s="326"/>
      <c r="J59" s="328"/>
      <c r="K59" s="328"/>
      <c r="L59" s="326"/>
      <c r="M59" s="328"/>
      <c r="N59" s="328"/>
      <c r="O59" s="328"/>
      <c r="P59" s="328"/>
      <c r="Q59" s="328"/>
      <c r="R59" s="328"/>
    </row>
    <row r="60" spans="7:18" s="344" customFormat="1">
      <c r="G60" s="328"/>
      <c r="H60" s="326"/>
      <c r="I60" s="326"/>
      <c r="J60" s="328"/>
      <c r="K60" s="328"/>
      <c r="L60" s="326"/>
      <c r="M60" s="328"/>
      <c r="N60" s="328"/>
      <c r="O60" s="328"/>
      <c r="P60" s="328"/>
      <c r="Q60" s="328"/>
      <c r="R60" s="328"/>
    </row>
    <row r="61" spans="7:18" s="344" customFormat="1">
      <c r="G61" s="328"/>
      <c r="H61" s="326"/>
      <c r="I61" s="326"/>
      <c r="J61" s="328"/>
      <c r="K61" s="328"/>
      <c r="L61" s="326"/>
      <c r="M61" s="328"/>
      <c r="N61" s="328"/>
      <c r="O61" s="328"/>
      <c r="P61" s="328"/>
      <c r="Q61" s="328"/>
      <c r="R61" s="328"/>
    </row>
    <row r="62" spans="7:18" s="344" customFormat="1">
      <c r="G62" s="328"/>
      <c r="H62" s="326"/>
      <c r="I62" s="326"/>
      <c r="J62" s="328"/>
      <c r="K62" s="328"/>
      <c r="L62" s="326"/>
      <c r="M62" s="328"/>
      <c r="N62" s="328"/>
      <c r="O62" s="328"/>
      <c r="P62" s="328"/>
      <c r="Q62" s="328"/>
      <c r="R62" s="328"/>
    </row>
    <row r="63" spans="7:18" s="344" customFormat="1">
      <c r="G63" s="328"/>
      <c r="H63" s="326"/>
      <c r="I63" s="326"/>
      <c r="J63" s="328"/>
      <c r="K63" s="328"/>
      <c r="L63" s="326"/>
      <c r="M63" s="328"/>
      <c r="N63" s="328"/>
      <c r="O63" s="328"/>
      <c r="P63" s="328"/>
      <c r="Q63" s="328"/>
      <c r="R63" s="328"/>
    </row>
    <row r="64" spans="7:18" s="344" customFormat="1">
      <c r="G64" s="328"/>
      <c r="H64" s="326"/>
      <c r="I64" s="326"/>
      <c r="J64" s="328"/>
      <c r="K64" s="328"/>
      <c r="L64" s="326"/>
      <c r="M64" s="328"/>
      <c r="N64" s="328"/>
      <c r="O64" s="328"/>
      <c r="P64" s="328"/>
      <c r="Q64" s="328"/>
      <c r="R64" s="328"/>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zoomScale="85" zoomScaleNormal="85"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4.5546875" style="333" customWidth="1"/>
    <col min="6" max="6" width="47.77734375" style="333" customWidth="1"/>
    <col min="7" max="7" width="21.44140625" style="328" customWidth="1"/>
    <col min="8" max="9" width="8.77734375" style="328"/>
    <col min="10" max="16384" width="8.77734375" style="333"/>
  </cols>
  <sheetData>
    <row r="1" spans="1:9" s="326" customFormat="1" ht="25.8">
      <c r="A1" s="325" t="s">
        <v>252</v>
      </c>
      <c r="C1" s="327"/>
      <c r="G1" s="328"/>
      <c r="H1" s="328"/>
      <c r="I1" s="328"/>
    </row>
    <row r="2" spans="1:9" s="326" customFormat="1" ht="25.8">
      <c r="A2" s="325" t="s">
        <v>1876</v>
      </c>
      <c r="C2" s="327"/>
      <c r="G2" s="328"/>
      <c r="H2" s="328"/>
      <c r="I2" s="328"/>
    </row>
    <row r="3" spans="1:9" s="326" customFormat="1" ht="55.2">
      <c r="A3" s="329" t="s">
        <v>461</v>
      </c>
      <c r="B3" s="329" t="s">
        <v>253</v>
      </c>
      <c r="G3" s="328"/>
      <c r="H3" s="328"/>
      <c r="I3" s="328"/>
    </row>
    <row r="4" spans="1:9" s="326" customFormat="1" ht="27.6">
      <c r="A4" s="329" t="s">
        <v>1755</v>
      </c>
      <c r="B4" s="329" t="s">
        <v>1877</v>
      </c>
      <c r="G4" s="328"/>
      <c r="H4" s="328"/>
      <c r="I4" s="328"/>
    </row>
    <row r="5" spans="1:9" s="326" customFormat="1">
      <c r="A5" s="326" t="s">
        <v>462</v>
      </c>
      <c r="B5" s="326" t="s">
        <v>428</v>
      </c>
      <c r="G5" s="328"/>
      <c r="H5" s="328"/>
      <c r="I5" s="328"/>
    </row>
    <row r="6" spans="1:9" s="326" customFormat="1">
      <c r="A6" s="326" t="s">
        <v>1757</v>
      </c>
      <c r="B6" s="326" t="s">
        <v>1878</v>
      </c>
      <c r="G6" s="328"/>
      <c r="H6" s="328"/>
      <c r="I6" s="328"/>
    </row>
    <row r="8" spans="1:9" s="94" customFormat="1">
      <c r="A8" s="354"/>
      <c r="B8" s="354"/>
      <c r="C8" s="354" t="s">
        <v>96</v>
      </c>
      <c r="D8" s="354" t="s">
        <v>574</v>
      </c>
      <c r="E8" s="354" t="s">
        <v>85</v>
      </c>
      <c r="F8" s="354" t="s">
        <v>1685</v>
      </c>
      <c r="G8" s="354" t="s">
        <v>1721</v>
      </c>
      <c r="H8" s="326"/>
      <c r="I8" s="326"/>
    </row>
    <row r="9" spans="1:9" s="329" customFormat="1">
      <c r="A9" s="334" t="s">
        <v>47</v>
      </c>
      <c r="B9" s="334"/>
      <c r="C9" s="335"/>
      <c r="D9" s="335"/>
      <c r="E9" s="335"/>
      <c r="F9" s="335"/>
      <c r="G9" s="335"/>
    </row>
    <row r="10" spans="1:9" s="329" customFormat="1" ht="41.4">
      <c r="A10" s="3" t="s">
        <v>254</v>
      </c>
      <c r="B10" s="3" t="s">
        <v>1879</v>
      </c>
      <c r="C10" s="340" t="s">
        <v>496</v>
      </c>
      <c r="D10" s="340" t="s">
        <v>495</v>
      </c>
      <c r="E10" s="340" t="s">
        <v>1626</v>
      </c>
      <c r="F10" s="3"/>
      <c r="G10" s="3"/>
    </row>
    <row r="11" spans="1:9" s="149" customFormat="1" ht="41.4">
      <c r="A11" s="3" t="s">
        <v>255</v>
      </c>
      <c r="B11" s="3" t="s">
        <v>1880</v>
      </c>
      <c r="C11" s="3"/>
      <c r="D11" s="340" t="s">
        <v>497</v>
      </c>
      <c r="E11" s="340" t="s">
        <v>1627</v>
      </c>
      <c r="F11" s="365"/>
      <c r="G11" s="3"/>
      <c r="H11" s="329"/>
      <c r="I11" s="329"/>
    </row>
    <row r="12" spans="1:9" s="149" customFormat="1" ht="69">
      <c r="A12" s="3" t="s">
        <v>256</v>
      </c>
      <c r="B12" s="3" t="s">
        <v>1881</v>
      </c>
      <c r="C12" s="3"/>
      <c r="D12" s="340" t="s">
        <v>498</v>
      </c>
      <c r="E12" s="340" t="s">
        <v>1882</v>
      </c>
      <c r="F12" s="365"/>
      <c r="G12" s="3"/>
      <c r="H12" s="329"/>
      <c r="I12" s="329"/>
    </row>
    <row r="13" spans="1:9" s="94" customFormat="1">
      <c r="A13" s="334" t="s">
        <v>54</v>
      </c>
      <c r="B13" s="334"/>
      <c r="C13" s="335"/>
      <c r="D13" s="335"/>
      <c r="E13" s="335" t="s">
        <v>1868</v>
      </c>
      <c r="F13" s="335"/>
      <c r="G13" s="335"/>
      <c r="H13" s="329"/>
      <c r="I13" s="329"/>
    </row>
    <row r="14" spans="1:9" s="329" customFormat="1" ht="69">
      <c r="A14" s="3" t="s">
        <v>257</v>
      </c>
      <c r="B14" s="3" t="s">
        <v>1883</v>
      </c>
      <c r="C14" s="340" t="s">
        <v>500</v>
      </c>
      <c r="D14" s="340" t="s">
        <v>499</v>
      </c>
      <c r="E14" s="340" t="s">
        <v>1884</v>
      </c>
      <c r="F14" s="365"/>
      <c r="G14" s="3"/>
    </row>
    <row r="15" spans="1:9" s="149" customFormat="1" ht="82.8">
      <c r="A15" s="3" t="s">
        <v>258</v>
      </c>
      <c r="B15" s="3" t="s">
        <v>1885</v>
      </c>
      <c r="C15" s="340" t="s">
        <v>1886</v>
      </c>
      <c r="D15" s="340" t="s">
        <v>501</v>
      </c>
      <c r="E15" s="340" t="s">
        <v>1628</v>
      </c>
      <c r="F15" s="3"/>
      <c r="G15" s="3"/>
      <c r="H15" s="329"/>
      <c r="I15" s="329"/>
    </row>
    <row r="16" spans="1:9" s="149" customFormat="1">
      <c r="A16" s="334" t="s">
        <v>56</v>
      </c>
      <c r="B16" s="334"/>
      <c r="C16" s="335"/>
      <c r="D16" s="335"/>
      <c r="E16" s="335" t="s">
        <v>1868</v>
      </c>
      <c r="F16" s="335"/>
      <c r="G16" s="335"/>
      <c r="H16" s="329"/>
      <c r="I16" s="329"/>
    </row>
    <row r="17" spans="1:9" s="94" customFormat="1" ht="69">
      <c r="A17" s="3" t="s">
        <v>259</v>
      </c>
      <c r="B17" s="3" t="s">
        <v>1887</v>
      </c>
      <c r="C17" s="340" t="s">
        <v>1888</v>
      </c>
      <c r="D17" s="340" t="s">
        <v>502</v>
      </c>
      <c r="E17" s="340" t="s">
        <v>1629</v>
      </c>
      <c r="F17" s="365"/>
      <c r="G17" s="3"/>
      <c r="H17" s="329"/>
      <c r="I17" s="329"/>
    </row>
    <row r="18" spans="1:9" s="329" customFormat="1" ht="55.2">
      <c r="A18" s="3" t="s">
        <v>260</v>
      </c>
      <c r="B18" s="3" t="s">
        <v>1889</v>
      </c>
      <c r="C18" s="340" t="s">
        <v>504</v>
      </c>
      <c r="D18" s="340" t="s">
        <v>503</v>
      </c>
      <c r="E18" s="340" t="s">
        <v>1630</v>
      </c>
      <c r="F18" s="3"/>
      <c r="G18" s="3"/>
    </row>
    <row r="19" spans="1:9" s="149" customFormat="1" ht="69">
      <c r="A19" s="3" t="s">
        <v>261</v>
      </c>
      <c r="B19" s="3" t="s">
        <v>1890</v>
      </c>
      <c r="C19" s="3"/>
      <c r="D19" s="340" t="s">
        <v>505</v>
      </c>
      <c r="E19" s="340" t="s">
        <v>1631</v>
      </c>
      <c r="F19" s="3"/>
      <c r="G19" s="3"/>
      <c r="H19" s="329"/>
      <c r="I19" s="329"/>
    </row>
    <row r="20" spans="1:9" s="149" customFormat="1" ht="69">
      <c r="A20" s="3" t="s">
        <v>262</v>
      </c>
      <c r="B20" s="3" t="s">
        <v>1891</v>
      </c>
      <c r="C20" s="340" t="s">
        <v>1892</v>
      </c>
      <c r="D20" s="340" t="s">
        <v>1893</v>
      </c>
      <c r="E20" s="340" t="s">
        <v>1632</v>
      </c>
      <c r="F20" s="3"/>
      <c r="G20" s="3"/>
      <c r="H20" s="329"/>
      <c r="I20" s="329"/>
    </row>
    <row r="21" spans="1:9" s="94" customFormat="1" ht="55.2">
      <c r="A21" s="3" t="s">
        <v>263</v>
      </c>
      <c r="B21" s="3" t="s">
        <v>1894</v>
      </c>
      <c r="C21" s="340" t="s">
        <v>507</v>
      </c>
      <c r="D21" s="340" t="s">
        <v>506</v>
      </c>
      <c r="E21" s="340" t="s">
        <v>264</v>
      </c>
      <c r="F21" s="3"/>
      <c r="G21" s="3"/>
      <c r="H21" s="329"/>
      <c r="I21" s="329"/>
    </row>
    <row r="22" spans="1:9" s="94" customFormat="1" ht="55.2">
      <c r="A22" s="3" t="s">
        <v>265</v>
      </c>
      <c r="B22" s="3" t="s">
        <v>1895</v>
      </c>
      <c r="C22" s="3"/>
      <c r="D22" s="340" t="s">
        <v>508</v>
      </c>
      <c r="E22" s="340" t="s">
        <v>1633</v>
      </c>
      <c r="F22" s="3"/>
      <c r="G22" s="3"/>
      <c r="H22" s="329"/>
      <c r="I22" s="329"/>
    </row>
    <row r="23" spans="1:9" s="149" customFormat="1">
      <c r="A23" s="334" t="s">
        <v>57</v>
      </c>
      <c r="B23" s="334"/>
      <c r="C23" s="335"/>
      <c r="D23" s="335"/>
      <c r="E23" s="335" t="s">
        <v>1868</v>
      </c>
      <c r="F23" s="335"/>
      <c r="G23" s="335"/>
      <c r="H23" s="329"/>
      <c r="I23" s="329"/>
    </row>
    <row r="24" spans="1:9" s="94" customFormat="1" ht="165.6">
      <c r="A24" s="3" t="s">
        <v>266</v>
      </c>
      <c r="B24" s="3" t="s">
        <v>509</v>
      </c>
      <c r="C24" s="340" t="s">
        <v>1896</v>
      </c>
      <c r="D24" s="340" t="s">
        <v>510</v>
      </c>
      <c r="E24" s="340" t="s">
        <v>1634</v>
      </c>
      <c r="F24" s="3"/>
      <c r="G24" s="3"/>
      <c r="H24" s="329"/>
      <c r="I24" s="329"/>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workbookViewId="0">
      <selection activeCell="I11" sqref="I11:J14"/>
    </sheetView>
  </sheetViews>
  <sheetFormatPr defaultColWidth="8.77734375" defaultRowHeight="13.8"/>
  <cols>
    <col min="1" max="1" width="10.21875" style="333" customWidth="1"/>
    <col min="2" max="2" width="88.77734375" style="333" customWidth="1"/>
    <col min="3" max="4" width="21.44140625" style="333" customWidth="1"/>
    <col min="5" max="5" width="57.21875" style="366" customWidth="1"/>
    <col min="6" max="6" width="80.44140625" style="333" customWidth="1"/>
    <col min="7" max="7" width="21.44140625" style="328" customWidth="1"/>
    <col min="8" max="9" width="8.77734375" style="328"/>
    <col min="10" max="16384" width="8.77734375" style="333"/>
  </cols>
  <sheetData>
    <row r="1" spans="1:9" s="350" customFormat="1" ht="25.8">
      <c r="A1" s="325" t="s">
        <v>283</v>
      </c>
      <c r="B1" s="326"/>
      <c r="C1" s="327"/>
      <c r="D1" s="326"/>
      <c r="E1" s="329"/>
      <c r="F1" s="326"/>
      <c r="G1" s="328"/>
      <c r="H1" s="328"/>
      <c r="I1" s="328"/>
    </row>
    <row r="2" spans="1:9" s="140" customFormat="1" ht="25.8">
      <c r="A2" s="325" t="s">
        <v>1897</v>
      </c>
      <c r="B2" s="326"/>
      <c r="C2" s="327"/>
      <c r="D2" s="326"/>
      <c r="E2" s="329"/>
      <c r="F2" s="326"/>
      <c r="G2" s="328"/>
      <c r="H2" s="328"/>
      <c r="I2" s="328"/>
    </row>
    <row r="3" spans="1:9" s="140" customFormat="1">
      <c r="A3" s="329" t="s">
        <v>461</v>
      </c>
      <c r="B3" s="326" t="s">
        <v>284</v>
      </c>
      <c r="C3" s="326"/>
      <c r="D3" s="326"/>
      <c r="E3" s="329"/>
      <c r="F3" s="326"/>
      <c r="G3" s="328"/>
      <c r="H3" s="328"/>
      <c r="I3" s="328"/>
    </row>
    <row r="4" spans="1:9" s="138" customFormat="1">
      <c r="A4" s="329" t="s">
        <v>1755</v>
      </c>
      <c r="B4" s="326" t="s">
        <v>1898</v>
      </c>
      <c r="C4" s="326"/>
      <c r="D4" s="326"/>
      <c r="E4" s="329"/>
      <c r="F4" s="326"/>
      <c r="G4" s="328"/>
      <c r="H4" s="328"/>
      <c r="I4" s="328"/>
    </row>
    <row r="5" spans="1:9" s="350" customFormat="1">
      <c r="A5" s="326" t="s">
        <v>462</v>
      </c>
      <c r="B5" s="326" t="s">
        <v>285</v>
      </c>
      <c r="C5" s="326"/>
      <c r="D5" s="326"/>
      <c r="E5" s="329"/>
      <c r="F5" s="326"/>
      <c r="G5" s="328"/>
      <c r="H5" s="328"/>
      <c r="I5" s="328"/>
    </row>
    <row r="6" spans="1:9" s="350" customFormat="1">
      <c r="A6" s="326" t="s">
        <v>1757</v>
      </c>
      <c r="B6" s="326" t="s">
        <v>1899</v>
      </c>
      <c r="C6" s="326"/>
      <c r="D6" s="326"/>
      <c r="E6" s="329"/>
      <c r="F6" s="326"/>
      <c r="G6" s="328"/>
      <c r="H6" s="328"/>
      <c r="I6" s="328"/>
    </row>
    <row r="7" spans="1:9" s="140" customFormat="1">
      <c r="A7" s="333"/>
      <c r="B7" s="333"/>
      <c r="C7" s="333"/>
      <c r="D7" s="333"/>
      <c r="E7" s="366"/>
      <c r="F7" s="333"/>
      <c r="G7" s="328"/>
      <c r="H7" s="328"/>
      <c r="I7" s="328"/>
    </row>
    <row r="8" spans="1:9" s="140" customFormat="1">
      <c r="A8" s="354"/>
      <c r="B8" s="354"/>
      <c r="C8" s="354" t="s">
        <v>96</v>
      </c>
      <c r="D8" s="354" t="s">
        <v>574</v>
      </c>
      <c r="E8" s="367" t="s">
        <v>85</v>
      </c>
      <c r="F8" s="354" t="s">
        <v>1685</v>
      </c>
      <c r="G8" s="354" t="s">
        <v>1721</v>
      </c>
      <c r="H8" s="326"/>
      <c r="I8" s="326"/>
    </row>
    <row r="9" spans="1:9" s="138" customFormat="1">
      <c r="A9" s="346" t="s">
        <v>47</v>
      </c>
      <c r="B9" s="346"/>
      <c r="C9" s="347"/>
      <c r="D9" s="347"/>
      <c r="E9" s="347"/>
      <c r="F9" s="347"/>
      <c r="G9" s="348"/>
      <c r="H9" s="349"/>
      <c r="I9" s="349"/>
    </row>
    <row r="10" spans="1:9" s="350" customFormat="1" ht="27.6">
      <c r="A10" s="323" t="s">
        <v>286</v>
      </c>
      <c r="B10" s="323" t="s">
        <v>1900</v>
      </c>
      <c r="C10" s="323"/>
      <c r="D10" s="323"/>
      <c r="E10" s="351" t="s">
        <v>287</v>
      </c>
      <c r="F10" s="351"/>
      <c r="G10" s="352"/>
      <c r="H10" s="349"/>
      <c r="I10" s="349"/>
    </row>
    <row r="11" spans="1:9" s="140" customFormat="1">
      <c r="A11" s="346" t="s">
        <v>54</v>
      </c>
      <c r="B11" s="346"/>
      <c r="C11" s="347"/>
      <c r="D11" s="347"/>
      <c r="E11" s="347"/>
      <c r="F11" s="347"/>
      <c r="G11" s="348"/>
      <c r="H11" s="349"/>
      <c r="I11" s="349"/>
    </row>
    <row r="12" spans="1:9" s="140" customFormat="1" ht="27.6">
      <c r="A12" s="323" t="s">
        <v>288</v>
      </c>
      <c r="B12" s="323" t="s">
        <v>1901</v>
      </c>
      <c r="C12" s="323"/>
      <c r="D12" s="323"/>
      <c r="E12" s="351" t="s">
        <v>1638</v>
      </c>
      <c r="F12" s="351"/>
      <c r="G12" s="352"/>
      <c r="H12" s="349"/>
      <c r="I12" s="349"/>
    </row>
    <row r="13" spans="1:9" s="138" customFormat="1" ht="27.6">
      <c r="A13" s="323" t="s">
        <v>289</v>
      </c>
      <c r="B13" s="323" t="s">
        <v>1902</v>
      </c>
      <c r="C13" s="323"/>
      <c r="D13" s="323"/>
      <c r="E13" s="351" t="s">
        <v>1639</v>
      </c>
      <c r="F13" s="351"/>
      <c r="G13" s="352"/>
      <c r="H13" s="349"/>
      <c r="I13" s="349"/>
    </row>
    <row r="14" spans="1:9" s="350" customFormat="1">
      <c r="A14" s="346" t="s">
        <v>56</v>
      </c>
      <c r="B14" s="346"/>
      <c r="C14" s="347"/>
      <c r="D14" s="347"/>
      <c r="E14" s="347" t="s">
        <v>1868</v>
      </c>
      <c r="F14" s="347"/>
      <c r="G14" s="348"/>
      <c r="H14" s="349"/>
      <c r="I14" s="349"/>
    </row>
    <row r="15" spans="1:9" s="140" customFormat="1" ht="27.6">
      <c r="A15" s="323" t="s">
        <v>290</v>
      </c>
      <c r="B15" s="323" t="s">
        <v>1903</v>
      </c>
      <c r="C15" s="323"/>
      <c r="D15" s="323"/>
      <c r="E15" s="351" t="s">
        <v>1904</v>
      </c>
      <c r="F15" s="351"/>
      <c r="G15" s="352"/>
      <c r="H15" s="349"/>
      <c r="I15" s="349"/>
    </row>
    <row r="16" spans="1:9" s="138" customFormat="1" ht="55.2">
      <c r="A16" s="323" t="s">
        <v>291</v>
      </c>
      <c r="B16" s="323" t="s">
        <v>1905</v>
      </c>
      <c r="C16" s="323"/>
      <c r="D16" s="323"/>
      <c r="E16" s="351" t="s">
        <v>1640</v>
      </c>
      <c r="F16" s="351"/>
      <c r="G16" s="352"/>
      <c r="H16" s="349"/>
      <c r="I16" s="349"/>
    </row>
    <row r="17" spans="1:9" s="350" customFormat="1" ht="27.6">
      <c r="A17" s="323" t="s">
        <v>292</v>
      </c>
      <c r="B17" s="323" t="s">
        <v>1906</v>
      </c>
      <c r="C17" s="323"/>
      <c r="D17" s="323"/>
      <c r="E17" s="351" t="s">
        <v>1641</v>
      </c>
      <c r="F17" s="351"/>
      <c r="G17" s="352"/>
      <c r="H17" s="349"/>
      <c r="I17" s="349"/>
    </row>
    <row r="18" spans="1:9" s="140" customFormat="1" ht="55.2">
      <c r="A18" s="323" t="s">
        <v>293</v>
      </c>
      <c r="B18" s="323" t="s">
        <v>294</v>
      </c>
      <c r="C18" s="323"/>
      <c r="D18" s="351" t="s">
        <v>1907</v>
      </c>
      <c r="E18" s="351" t="s">
        <v>1642</v>
      </c>
      <c r="F18" s="351"/>
      <c r="G18" s="352"/>
      <c r="H18" s="349"/>
      <c r="I18" s="349"/>
    </row>
    <row r="19" spans="1:9" s="140" customFormat="1" ht="41.4">
      <c r="A19" s="323" t="s">
        <v>295</v>
      </c>
      <c r="B19" s="323" t="s">
        <v>1908</v>
      </c>
      <c r="C19" s="323"/>
      <c r="D19" s="323"/>
      <c r="E19" s="351" t="s">
        <v>296</v>
      </c>
      <c r="F19" s="351"/>
      <c r="G19" s="352"/>
      <c r="H19" s="349"/>
      <c r="I19" s="349"/>
    </row>
    <row r="20" spans="1:9" s="138" customFormat="1" ht="27.6">
      <c r="A20" s="323" t="s">
        <v>297</v>
      </c>
      <c r="B20" s="323" t="s">
        <v>1909</v>
      </c>
      <c r="C20" s="323"/>
      <c r="D20" s="323"/>
      <c r="E20" s="351" t="s">
        <v>1643</v>
      </c>
      <c r="F20" s="351"/>
      <c r="G20" s="352"/>
      <c r="H20" s="349"/>
      <c r="I20" s="349"/>
    </row>
    <row r="21" spans="1:9" s="343" customFormat="1">
      <c r="E21" s="350"/>
      <c r="G21" s="328"/>
      <c r="H21" s="328"/>
      <c r="I21" s="328"/>
    </row>
    <row r="22" spans="1:9" s="343" customFormat="1">
      <c r="E22" s="350"/>
      <c r="G22" s="328"/>
      <c r="H22" s="328"/>
      <c r="I22" s="328"/>
    </row>
    <row r="23" spans="1:9" s="343" customFormat="1">
      <c r="E23" s="350"/>
      <c r="G23" s="328"/>
      <c r="H23" s="328"/>
      <c r="I23" s="328"/>
    </row>
    <row r="24" spans="1:9" s="343" customFormat="1">
      <c r="E24" s="350"/>
      <c r="G24" s="328"/>
      <c r="H24" s="328"/>
      <c r="I24" s="328"/>
    </row>
    <row r="25" spans="1:9" s="343" customFormat="1">
      <c r="E25" s="350"/>
      <c r="G25" s="328"/>
      <c r="H25" s="328"/>
      <c r="I25" s="328"/>
    </row>
    <row r="26" spans="1:9" s="343" customFormat="1">
      <c r="E26" s="350"/>
      <c r="G26" s="328"/>
      <c r="H26" s="328"/>
      <c r="I26" s="328"/>
    </row>
    <row r="27" spans="1:9" s="343" customFormat="1">
      <c r="E27" s="350"/>
      <c r="G27" s="328"/>
      <c r="H27" s="328"/>
      <c r="I27" s="328"/>
    </row>
    <row r="28" spans="1:9" s="343" customFormat="1">
      <c r="E28" s="350"/>
      <c r="G28" s="328"/>
      <c r="H28" s="328"/>
      <c r="I28" s="328"/>
    </row>
    <row r="29" spans="1:9" s="343" customFormat="1">
      <c r="E29" s="350"/>
      <c r="G29" s="328"/>
      <c r="H29" s="328"/>
      <c r="I29" s="328"/>
    </row>
    <row r="30" spans="1:9" s="343" customFormat="1">
      <c r="E30" s="350"/>
      <c r="G30" s="328"/>
      <c r="H30" s="328"/>
      <c r="I30" s="328"/>
    </row>
    <row r="31" spans="1:9" s="343" customFormat="1">
      <c r="E31" s="350"/>
      <c r="G31" s="328"/>
      <c r="H31" s="328"/>
      <c r="I31" s="328"/>
    </row>
    <row r="32" spans="1:9" s="343" customFormat="1">
      <c r="E32" s="350"/>
      <c r="G32" s="328"/>
      <c r="H32" s="328"/>
      <c r="I32" s="328"/>
    </row>
    <row r="33" spans="5:9" s="343" customFormat="1">
      <c r="E33" s="350"/>
      <c r="G33" s="328"/>
      <c r="H33" s="328"/>
      <c r="I33" s="328"/>
    </row>
    <row r="34" spans="5:9" s="343" customFormat="1">
      <c r="E34" s="350"/>
      <c r="G34" s="328"/>
      <c r="H34" s="328"/>
      <c r="I34" s="328"/>
    </row>
    <row r="35" spans="5:9" s="344" customFormat="1">
      <c r="E35" s="368"/>
      <c r="G35" s="328"/>
      <c r="H35" s="328"/>
      <c r="I35" s="328"/>
    </row>
    <row r="36" spans="5:9" s="344" customFormat="1">
      <c r="E36" s="368"/>
      <c r="G36" s="328"/>
      <c r="H36" s="328"/>
      <c r="I36" s="328"/>
    </row>
    <row r="37" spans="5:9" s="344" customFormat="1">
      <c r="E37" s="368"/>
      <c r="G37" s="328"/>
      <c r="H37" s="328"/>
      <c r="I37" s="328"/>
    </row>
    <row r="38" spans="5:9" s="344" customFormat="1">
      <c r="E38" s="368"/>
      <c r="G38" s="328"/>
      <c r="H38" s="328"/>
      <c r="I38" s="328"/>
    </row>
    <row r="39" spans="5:9" s="344" customFormat="1">
      <c r="E39" s="368"/>
      <c r="G39" s="328"/>
      <c r="H39" s="328"/>
      <c r="I39" s="328"/>
    </row>
    <row r="40" spans="5:9" s="344" customFormat="1">
      <c r="E40" s="368"/>
      <c r="G40" s="328"/>
      <c r="H40" s="328"/>
      <c r="I40" s="328"/>
    </row>
    <row r="41" spans="5:9" s="344" customFormat="1">
      <c r="E41" s="368"/>
      <c r="G41" s="328"/>
      <c r="H41" s="328"/>
      <c r="I41" s="328"/>
    </row>
    <row r="42" spans="5:9" s="344" customFormat="1">
      <c r="E42" s="368"/>
      <c r="G42" s="328"/>
      <c r="H42" s="328"/>
      <c r="I42" s="328"/>
    </row>
    <row r="43" spans="5:9" s="344" customFormat="1">
      <c r="E43" s="368"/>
      <c r="G43" s="328"/>
      <c r="H43" s="328"/>
      <c r="I43" s="328"/>
    </row>
    <row r="44" spans="5:9" s="344" customFormat="1">
      <c r="E44" s="368"/>
      <c r="G44" s="328"/>
      <c r="H44" s="328"/>
      <c r="I44" s="328"/>
    </row>
    <row r="45" spans="5:9" s="344" customFormat="1">
      <c r="E45" s="368"/>
      <c r="G45" s="328"/>
      <c r="H45" s="328"/>
      <c r="I45" s="328"/>
    </row>
    <row r="46" spans="5:9" s="344" customFormat="1">
      <c r="E46" s="368"/>
      <c r="G46" s="328"/>
      <c r="H46" s="328"/>
      <c r="I46" s="328"/>
    </row>
    <row r="47" spans="5:9" s="344" customFormat="1">
      <c r="E47" s="368"/>
      <c r="G47" s="328"/>
      <c r="H47" s="328"/>
      <c r="I47" s="328"/>
    </row>
    <row r="48" spans="5:9" s="344" customFormat="1">
      <c r="E48" s="368"/>
      <c r="G48" s="328"/>
      <c r="H48" s="328"/>
      <c r="I48" s="328"/>
    </row>
    <row r="49" spans="5:9" s="344" customFormat="1">
      <c r="E49" s="368"/>
      <c r="G49" s="328"/>
      <c r="H49" s="328"/>
      <c r="I49" s="328"/>
    </row>
    <row r="50" spans="5:9" s="344" customFormat="1">
      <c r="E50" s="368"/>
      <c r="G50" s="328"/>
      <c r="H50" s="328"/>
      <c r="I50" s="328"/>
    </row>
    <row r="51" spans="5:9" s="344" customFormat="1">
      <c r="E51" s="368"/>
      <c r="G51" s="328"/>
      <c r="H51" s="328"/>
      <c r="I51" s="328"/>
    </row>
    <row r="52" spans="5:9" s="344" customFormat="1">
      <c r="E52" s="368"/>
      <c r="G52" s="328"/>
      <c r="H52" s="328"/>
      <c r="I52" s="328"/>
    </row>
    <row r="53" spans="5:9" s="344" customFormat="1">
      <c r="E53" s="368"/>
      <c r="G53" s="328"/>
      <c r="H53" s="328"/>
      <c r="I53" s="328"/>
    </row>
    <row r="54" spans="5:9" s="344" customFormat="1">
      <c r="E54" s="368"/>
      <c r="G54" s="328"/>
      <c r="H54" s="328"/>
      <c r="I54" s="328"/>
    </row>
    <row r="55" spans="5:9" s="344" customFormat="1">
      <c r="E55" s="368"/>
      <c r="G55" s="328"/>
      <c r="H55" s="328"/>
      <c r="I55" s="328"/>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7.44140625" style="333" customWidth="1"/>
    <col min="3" max="4" width="21.44140625" style="333" customWidth="1"/>
    <col min="5" max="5" width="60.21875" style="333" customWidth="1"/>
    <col min="6" max="6" width="41.77734375" style="333" customWidth="1"/>
    <col min="7" max="7" width="21.44140625" style="328" customWidth="1"/>
    <col min="8" max="10" width="8.77734375" style="326"/>
    <col min="11" max="18" width="8.77734375" style="328"/>
    <col min="19" max="16384" width="8.77734375" style="333"/>
  </cols>
  <sheetData>
    <row r="1" spans="1:18" s="138" customFormat="1" ht="25.8">
      <c r="A1" s="325" t="s">
        <v>366</v>
      </c>
      <c r="B1" s="326"/>
      <c r="C1" s="327"/>
      <c r="D1" s="326"/>
      <c r="E1" s="326"/>
      <c r="F1" s="326"/>
      <c r="G1" s="328"/>
      <c r="H1" s="326"/>
      <c r="I1" s="326"/>
      <c r="J1" s="326"/>
      <c r="K1" s="328"/>
      <c r="L1" s="328"/>
      <c r="M1" s="328"/>
      <c r="N1" s="328"/>
      <c r="O1" s="328"/>
      <c r="P1" s="328"/>
      <c r="Q1" s="328"/>
      <c r="R1" s="328"/>
    </row>
    <row r="2" spans="1:18" s="350" customFormat="1" ht="25.8">
      <c r="A2" s="325" t="s">
        <v>1910</v>
      </c>
      <c r="B2" s="326"/>
      <c r="C2" s="327"/>
      <c r="D2" s="326"/>
      <c r="E2" s="326"/>
      <c r="F2" s="326"/>
      <c r="G2" s="328"/>
      <c r="H2" s="326"/>
      <c r="I2" s="326"/>
      <c r="J2" s="326"/>
      <c r="K2" s="328"/>
      <c r="L2" s="328"/>
      <c r="M2" s="328"/>
      <c r="N2" s="328"/>
      <c r="O2" s="328"/>
      <c r="P2" s="328"/>
      <c r="Q2" s="328"/>
      <c r="R2" s="328"/>
    </row>
    <row r="3" spans="1:18" s="350" customFormat="1">
      <c r="A3" s="329" t="s">
        <v>1715</v>
      </c>
      <c r="B3" s="326" t="s">
        <v>1911</v>
      </c>
      <c r="C3" s="326"/>
      <c r="D3" s="326"/>
      <c r="E3" s="326"/>
      <c r="F3" s="326"/>
      <c r="G3" s="328"/>
      <c r="H3" s="326"/>
      <c r="I3" s="326"/>
      <c r="J3" s="326"/>
      <c r="K3" s="328"/>
      <c r="L3" s="328"/>
      <c r="M3" s="328"/>
      <c r="N3" s="328"/>
      <c r="O3" s="328"/>
      <c r="P3" s="328"/>
      <c r="Q3" s="328"/>
      <c r="R3" s="328"/>
    </row>
    <row r="4" spans="1:18" s="140" customFormat="1">
      <c r="A4" s="329" t="s">
        <v>422</v>
      </c>
      <c r="B4" s="326" t="s">
        <v>1912</v>
      </c>
      <c r="C4" s="326"/>
      <c r="D4" s="326"/>
      <c r="E4" s="326"/>
      <c r="F4" s="326"/>
      <c r="G4" s="328"/>
      <c r="H4" s="326"/>
      <c r="I4" s="326"/>
      <c r="J4" s="326"/>
      <c r="K4" s="328"/>
      <c r="L4" s="328"/>
      <c r="M4" s="328"/>
      <c r="N4" s="328"/>
      <c r="O4" s="328"/>
      <c r="P4" s="328"/>
      <c r="Q4" s="328"/>
      <c r="R4" s="328"/>
    </row>
    <row r="5" spans="1:18" s="140" customFormat="1">
      <c r="A5" s="326" t="s">
        <v>1718</v>
      </c>
      <c r="B5" s="326" t="s">
        <v>1913</v>
      </c>
      <c r="C5" s="326"/>
      <c r="D5" s="326"/>
      <c r="E5" s="326"/>
      <c r="F5" s="326"/>
      <c r="G5" s="328"/>
      <c r="H5" s="326"/>
      <c r="I5" s="326"/>
      <c r="J5" s="326"/>
      <c r="K5" s="328"/>
      <c r="L5" s="328"/>
      <c r="M5" s="328"/>
      <c r="N5" s="328"/>
      <c r="O5" s="328"/>
      <c r="P5" s="328"/>
      <c r="Q5" s="328"/>
      <c r="R5" s="328"/>
    </row>
    <row r="6" spans="1:18" s="138" customFormat="1">
      <c r="A6" s="326" t="s">
        <v>426</v>
      </c>
      <c r="B6" s="326" t="s">
        <v>1914</v>
      </c>
      <c r="C6" s="326"/>
      <c r="D6" s="326"/>
      <c r="E6" s="326"/>
      <c r="F6" s="326"/>
      <c r="G6" s="328"/>
      <c r="H6" s="326"/>
      <c r="I6" s="326"/>
      <c r="J6" s="326"/>
      <c r="K6" s="328"/>
      <c r="L6" s="328"/>
      <c r="M6" s="328"/>
      <c r="N6" s="328"/>
      <c r="O6" s="328"/>
      <c r="P6" s="328"/>
      <c r="Q6" s="328"/>
      <c r="R6" s="328"/>
    </row>
    <row r="7" spans="1:18" s="350" customFormat="1">
      <c r="A7" s="333"/>
      <c r="B7" s="333"/>
      <c r="C7" s="333"/>
      <c r="D7" s="333"/>
      <c r="E7" s="326"/>
      <c r="F7" s="326"/>
      <c r="G7" s="363"/>
      <c r="H7" s="326"/>
      <c r="I7" s="326"/>
      <c r="J7" s="326"/>
      <c r="K7" s="328"/>
      <c r="L7" s="328"/>
      <c r="M7" s="328"/>
      <c r="N7" s="328"/>
      <c r="O7" s="328"/>
      <c r="P7" s="328"/>
      <c r="Q7" s="328"/>
      <c r="R7" s="328"/>
    </row>
    <row r="8" spans="1:18" s="149"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9" customFormat="1">
      <c r="A9" s="334" t="s">
        <v>47</v>
      </c>
      <c r="B9" s="334"/>
      <c r="C9" s="335"/>
      <c r="D9" s="335"/>
      <c r="E9" s="335"/>
      <c r="F9" s="335"/>
      <c r="G9" s="335"/>
      <c r="H9" s="326"/>
      <c r="I9" s="326"/>
      <c r="J9" s="326"/>
      <c r="K9" s="329"/>
      <c r="L9" s="329"/>
      <c r="M9" s="329"/>
      <c r="N9" s="329"/>
      <c r="O9" s="329"/>
      <c r="P9" s="329"/>
      <c r="Q9" s="329"/>
      <c r="R9" s="329"/>
    </row>
    <row r="10" spans="1:18" s="94" customFormat="1" ht="69">
      <c r="A10" s="3" t="s">
        <v>367</v>
      </c>
      <c r="B10" s="3" t="s">
        <v>1915</v>
      </c>
      <c r="C10" s="3"/>
      <c r="D10" s="3"/>
      <c r="E10" s="340" t="s">
        <v>1916</v>
      </c>
      <c r="F10" s="340"/>
      <c r="G10" s="3"/>
      <c r="H10" s="326"/>
      <c r="I10" s="326"/>
      <c r="J10" s="326"/>
      <c r="K10" s="329"/>
      <c r="L10" s="329"/>
      <c r="M10" s="329"/>
      <c r="N10" s="329"/>
      <c r="O10" s="329"/>
      <c r="P10" s="329"/>
      <c r="Q10" s="329"/>
      <c r="R10" s="329"/>
    </row>
    <row r="11" spans="1:18" s="329" customFormat="1" ht="69">
      <c r="A11" s="3" t="s">
        <v>368</v>
      </c>
      <c r="B11" s="3" t="s">
        <v>1917</v>
      </c>
      <c r="C11" s="3"/>
      <c r="D11" s="3"/>
      <c r="E11" s="340" t="s">
        <v>1918</v>
      </c>
      <c r="F11" s="340"/>
      <c r="G11" s="3"/>
      <c r="H11" s="326"/>
      <c r="I11" s="326"/>
      <c r="J11" s="326"/>
    </row>
    <row r="12" spans="1:18" s="149" customFormat="1">
      <c r="A12" s="334" t="s">
        <v>54</v>
      </c>
      <c r="B12" s="334"/>
      <c r="C12" s="335"/>
      <c r="D12" s="335"/>
      <c r="E12" s="335" t="s">
        <v>1868</v>
      </c>
      <c r="F12" s="335"/>
      <c r="G12" s="335"/>
      <c r="H12" s="326"/>
      <c r="I12" s="326"/>
      <c r="J12" s="326"/>
      <c r="K12" s="329"/>
      <c r="L12" s="329"/>
      <c r="M12" s="329"/>
      <c r="N12" s="329"/>
      <c r="O12" s="329"/>
      <c r="P12" s="329"/>
      <c r="Q12" s="329"/>
      <c r="R12" s="329"/>
    </row>
    <row r="13" spans="1:18" s="149" customFormat="1" ht="82.8">
      <c r="A13" s="3" t="s">
        <v>369</v>
      </c>
      <c r="B13" s="3" t="s">
        <v>1919</v>
      </c>
      <c r="C13" s="3"/>
      <c r="D13" s="340" t="s">
        <v>1920</v>
      </c>
      <c r="E13" s="340" t="s">
        <v>1921</v>
      </c>
      <c r="F13" s="340"/>
      <c r="G13" s="3"/>
      <c r="H13" s="326"/>
      <c r="I13" s="326"/>
      <c r="J13" s="326"/>
      <c r="K13" s="329"/>
      <c r="L13" s="329"/>
      <c r="M13" s="329"/>
      <c r="N13" s="329"/>
      <c r="O13" s="329"/>
      <c r="P13" s="329"/>
      <c r="Q13" s="329"/>
      <c r="R13" s="329"/>
    </row>
    <row r="14" spans="1:18" s="94" customFormat="1" ht="82.8">
      <c r="A14" s="3" t="s">
        <v>370</v>
      </c>
      <c r="B14" s="3" t="s">
        <v>1922</v>
      </c>
      <c r="C14" s="3"/>
      <c r="D14" s="3"/>
      <c r="E14" s="340" t="s">
        <v>1923</v>
      </c>
      <c r="F14" s="340"/>
      <c r="G14" s="3"/>
      <c r="H14" s="326"/>
      <c r="I14" s="326"/>
      <c r="J14" s="326"/>
      <c r="K14" s="329"/>
      <c r="L14" s="329"/>
      <c r="M14" s="329"/>
      <c r="N14" s="329"/>
      <c r="O14" s="329"/>
      <c r="P14" s="329"/>
      <c r="Q14" s="329"/>
      <c r="R14" s="329"/>
    </row>
    <row r="15" spans="1:18" s="329" customFormat="1" ht="55.2">
      <c r="A15" s="3" t="s">
        <v>371</v>
      </c>
      <c r="B15" s="3" t="s">
        <v>1924</v>
      </c>
      <c r="C15" s="3"/>
      <c r="D15" s="3"/>
      <c r="E15" s="340" t="s">
        <v>1925</v>
      </c>
      <c r="F15" s="340"/>
      <c r="G15" s="3"/>
      <c r="H15" s="326"/>
      <c r="I15" s="326"/>
      <c r="J15" s="326"/>
    </row>
    <row r="16" spans="1:18" s="329" customFormat="1" ht="69">
      <c r="A16" s="3" t="s">
        <v>372</v>
      </c>
      <c r="B16" s="3" t="s">
        <v>1926</v>
      </c>
      <c r="C16" s="3"/>
      <c r="D16" s="3"/>
      <c r="E16" s="340" t="s">
        <v>1927</v>
      </c>
      <c r="F16" s="340"/>
      <c r="G16" s="3"/>
      <c r="H16" s="326"/>
      <c r="I16" s="326"/>
      <c r="J16" s="326"/>
    </row>
    <row r="17" spans="1:18" s="149" customFormat="1" ht="96.6">
      <c r="A17" s="3" t="s">
        <v>373</v>
      </c>
      <c r="B17" s="3" t="s">
        <v>1928</v>
      </c>
      <c r="C17" s="3"/>
      <c r="D17" s="3"/>
      <c r="E17" s="340" t="s">
        <v>1929</v>
      </c>
      <c r="F17" s="340"/>
      <c r="G17" s="3"/>
      <c r="H17" s="326"/>
      <c r="I17" s="326"/>
      <c r="J17" s="326"/>
      <c r="K17" s="329"/>
      <c r="L17" s="329"/>
      <c r="M17" s="329"/>
      <c r="N17" s="329"/>
      <c r="O17" s="329"/>
      <c r="P17" s="329"/>
      <c r="Q17" s="329"/>
      <c r="R17" s="329"/>
    </row>
    <row r="18" spans="1:18" s="149" customFormat="1">
      <c r="A18" s="334" t="s">
        <v>56</v>
      </c>
      <c r="B18" s="334"/>
      <c r="C18" s="335"/>
      <c r="D18" s="335"/>
      <c r="E18" s="335"/>
      <c r="F18" s="335"/>
      <c r="G18" s="335"/>
      <c r="H18" s="326"/>
      <c r="I18" s="326"/>
      <c r="J18" s="326"/>
      <c r="K18" s="329"/>
      <c r="L18" s="329"/>
      <c r="M18" s="329"/>
      <c r="N18" s="329"/>
      <c r="O18" s="329"/>
      <c r="P18" s="329"/>
      <c r="Q18" s="329"/>
      <c r="R18" s="329"/>
    </row>
    <row r="19" spans="1:18" s="94" customFormat="1" ht="55.2">
      <c r="A19" s="3" t="s">
        <v>374</v>
      </c>
      <c r="B19" s="3" t="s">
        <v>1930</v>
      </c>
      <c r="C19" s="3"/>
      <c r="D19" s="340" t="s">
        <v>548</v>
      </c>
      <c r="E19" s="340" t="s">
        <v>1931</v>
      </c>
      <c r="F19" s="340"/>
      <c r="G19" s="3"/>
      <c r="H19" s="326"/>
      <c r="I19" s="326"/>
      <c r="J19" s="326"/>
      <c r="K19" s="329"/>
      <c r="L19" s="329"/>
      <c r="M19" s="329"/>
      <c r="N19" s="329"/>
      <c r="O19" s="329"/>
      <c r="P19" s="329"/>
      <c r="Q19" s="329"/>
      <c r="R19" s="329"/>
    </row>
    <row r="20" spans="1:18" s="343" customFormat="1">
      <c r="G20" s="328"/>
      <c r="H20" s="326"/>
      <c r="I20" s="326"/>
      <c r="J20" s="326"/>
      <c r="K20" s="328"/>
      <c r="L20" s="328"/>
      <c r="M20" s="328"/>
      <c r="N20" s="328"/>
      <c r="O20" s="328"/>
      <c r="P20" s="328"/>
      <c r="Q20" s="328"/>
      <c r="R20" s="328"/>
    </row>
    <row r="21" spans="1:18" s="343" customFormat="1">
      <c r="G21" s="328"/>
      <c r="H21" s="326"/>
      <c r="I21" s="326"/>
      <c r="J21" s="326"/>
      <c r="K21" s="328"/>
      <c r="L21" s="328"/>
      <c r="M21" s="328"/>
      <c r="N21" s="328"/>
      <c r="O21" s="328"/>
      <c r="P21" s="328"/>
      <c r="Q21" s="328"/>
      <c r="R21" s="328"/>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4" customFormat="1">
      <c r="G38" s="328"/>
      <c r="H38" s="326"/>
      <c r="I38" s="326"/>
      <c r="J38" s="326"/>
      <c r="K38" s="328"/>
      <c r="L38" s="328"/>
      <c r="M38" s="328"/>
      <c r="N38" s="328"/>
      <c r="O38" s="328"/>
      <c r="P38" s="328"/>
      <c r="Q38" s="328"/>
      <c r="R38" s="328"/>
    </row>
    <row r="39" spans="7:18" s="344" customFormat="1">
      <c r="G39" s="328"/>
      <c r="H39" s="326"/>
      <c r="I39" s="326"/>
      <c r="J39" s="326"/>
      <c r="K39" s="328"/>
      <c r="L39" s="328"/>
      <c r="M39" s="328"/>
      <c r="N39" s="328"/>
      <c r="O39" s="328"/>
      <c r="P39" s="328"/>
      <c r="Q39" s="328"/>
      <c r="R39" s="328"/>
    </row>
    <row r="40" spans="7:18" s="344" customFormat="1">
      <c r="G40" s="328"/>
      <c r="H40" s="326"/>
      <c r="I40" s="326"/>
      <c r="J40" s="326"/>
      <c r="K40" s="328"/>
      <c r="L40" s="328"/>
      <c r="M40" s="328"/>
      <c r="N40" s="328"/>
      <c r="O40" s="328"/>
      <c r="P40" s="328"/>
      <c r="Q40" s="328"/>
      <c r="R40" s="328"/>
    </row>
    <row r="41" spans="7:18" s="344" customFormat="1">
      <c r="G41" s="328"/>
      <c r="H41" s="326"/>
      <c r="I41" s="326"/>
      <c r="J41" s="326"/>
      <c r="K41" s="328"/>
      <c r="L41" s="328"/>
      <c r="M41" s="328"/>
      <c r="N41" s="328"/>
      <c r="O41" s="328"/>
      <c r="P41" s="328"/>
      <c r="Q41" s="328"/>
      <c r="R41" s="328"/>
    </row>
    <row r="42" spans="7:18" s="344" customFormat="1">
      <c r="G42" s="328"/>
      <c r="H42" s="326"/>
      <c r="I42" s="326"/>
      <c r="J42" s="326"/>
      <c r="K42" s="328"/>
      <c r="L42" s="328"/>
      <c r="M42" s="328"/>
      <c r="N42" s="328"/>
      <c r="O42" s="328"/>
      <c r="P42" s="328"/>
      <c r="Q42" s="328"/>
      <c r="R42" s="328"/>
    </row>
    <row r="43" spans="7:18" s="344" customFormat="1">
      <c r="G43" s="328"/>
      <c r="H43" s="326"/>
      <c r="I43" s="326"/>
      <c r="J43" s="326"/>
      <c r="K43" s="328"/>
      <c r="L43" s="328"/>
      <c r="M43" s="328"/>
      <c r="N43" s="328"/>
      <c r="O43" s="328"/>
      <c r="P43" s="328"/>
      <c r="Q43" s="328"/>
      <c r="R43" s="328"/>
    </row>
    <row r="44" spans="7:18" s="344" customFormat="1">
      <c r="G44" s="328"/>
      <c r="H44" s="326"/>
      <c r="I44" s="326"/>
      <c r="J44" s="326"/>
      <c r="K44" s="328"/>
      <c r="L44" s="328"/>
      <c r="M44" s="328"/>
      <c r="N44" s="328"/>
      <c r="O44" s="328"/>
      <c r="P44" s="328"/>
      <c r="Q44" s="328"/>
      <c r="R44" s="328"/>
    </row>
    <row r="45" spans="7:18" s="344" customFormat="1">
      <c r="G45" s="328"/>
      <c r="H45" s="326"/>
      <c r="I45" s="326"/>
      <c r="J45" s="326"/>
      <c r="K45" s="328"/>
      <c r="L45" s="328"/>
      <c r="M45" s="328"/>
      <c r="N45" s="328"/>
      <c r="O45" s="328"/>
      <c r="P45" s="328"/>
      <c r="Q45" s="328"/>
      <c r="R45" s="328"/>
    </row>
    <row r="46" spans="7:18" s="344" customFormat="1">
      <c r="G46" s="328"/>
      <c r="H46" s="326"/>
      <c r="I46" s="326"/>
      <c r="J46" s="326"/>
      <c r="K46" s="328"/>
      <c r="L46" s="328"/>
      <c r="M46" s="328"/>
      <c r="N46" s="328"/>
      <c r="O46" s="328"/>
      <c r="P46" s="328"/>
      <c r="Q46" s="328"/>
      <c r="R46" s="328"/>
    </row>
    <row r="47" spans="7:18" s="344"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65.21875" style="366" customWidth="1"/>
    <col min="3" max="4" width="21.44140625" style="333" customWidth="1"/>
    <col min="5" max="5" width="48.77734375" style="333" customWidth="1"/>
    <col min="6" max="6" width="34.77734375" style="333" customWidth="1"/>
    <col min="7" max="7" width="21.44140625" style="328" customWidth="1"/>
    <col min="8" max="9" width="17.77734375" style="343" customWidth="1"/>
    <col min="10" max="18" width="8.77734375" style="328"/>
    <col min="19" max="16384" width="8.77734375" style="333"/>
  </cols>
  <sheetData>
    <row r="1" spans="1:18" s="140" customFormat="1" ht="25.8">
      <c r="A1" s="325" t="s">
        <v>306</v>
      </c>
      <c r="B1" s="329"/>
      <c r="C1" s="327"/>
      <c r="D1" s="326"/>
      <c r="E1" s="326"/>
      <c r="F1" s="326"/>
      <c r="G1" s="328"/>
      <c r="H1" s="343"/>
      <c r="I1" s="343"/>
      <c r="J1" s="328"/>
      <c r="K1" s="328"/>
      <c r="L1" s="328"/>
      <c r="M1" s="328"/>
      <c r="N1" s="328"/>
      <c r="O1" s="328"/>
      <c r="P1" s="328"/>
      <c r="Q1" s="328"/>
      <c r="R1" s="328"/>
    </row>
    <row r="2" spans="1:18" s="138" customFormat="1" ht="25.8">
      <c r="A2" s="325" t="s">
        <v>1932</v>
      </c>
      <c r="B2" s="329"/>
      <c r="C2" s="327"/>
      <c r="D2" s="326"/>
      <c r="E2" s="326"/>
      <c r="F2" s="326"/>
      <c r="G2" s="328"/>
      <c r="H2" s="343"/>
      <c r="I2" s="343"/>
      <c r="J2" s="328"/>
      <c r="K2" s="328"/>
      <c r="L2" s="328"/>
      <c r="M2" s="328"/>
      <c r="N2" s="328"/>
      <c r="O2" s="328"/>
      <c r="P2" s="328"/>
      <c r="Q2" s="328"/>
      <c r="R2" s="328"/>
    </row>
    <row r="3" spans="1:18" s="350" customFormat="1" ht="27.6">
      <c r="A3" s="329" t="s">
        <v>461</v>
      </c>
      <c r="B3" s="329" t="s">
        <v>307</v>
      </c>
      <c r="C3" s="326"/>
      <c r="D3" s="326"/>
      <c r="E3" s="326"/>
      <c r="F3" s="326"/>
      <c r="G3" s="328"/>
      <c r="H3" s="343"/>
      <c r="I3" s="343"/>
      <c r="J3" s="328"/>
      <c r="K3" s="328"/>
      <c r="L3" s="328"/>
      <c r="M3" s="328"/>
      <c r="N3" s="328"/>
      <c r="O3" s="328"/>
      <c r="P3" s="328"/>
      <c r="Q3" s="328"/>
      <c r="R3" s="328"/>
    </row>
    <row r="4" spans="1:18" s="140" customFormat="1" ht="27.6">
      <c r="A4" s="329" t="s">
        <v>1755</v>
      </c>
      <c r="B4" s="329" t="s">
        <v>1933</v>
      </c>
      <c r="C4" s="326"/>
      <c r="D4" s="326"/>
      <c r="E4" s="326"/>
      <c r="F4" s="326"/>
      <c r="G4" s="328"/>
      <c r="H4" s="343"/>
      <c r="I4" s="343"/>
      <c r="J4" s="328"/>
      <c r="K4" s="328"/>
      <c r="L4" s="328"/>
      <c r="M4" s="328"/>
      <c r="N4" s="328"/>
      <c r="O4" s="328"/>
      <c r="P4" s="328"/>
      <c r="Q4" s="328"/>
      <c r="R4" s="328"/>
    </row>
    <row r="5" spans="1:18" s="140" customFormat="1" ht="27.6">
      <c r="A5" s="326" t="s">
        <v>462</v>
      </c>
      <c r="B5" s="329" t="s">
        <v>308</v>
      </c>
      <c r="C5" s="326"/>
      <c r="D5" s="326"/>
      <c r="E5" s="326"/>
      <c r="F5" s="326"/>
      <c r="G5" s="328"/>
      <c r="H5" s="343"/>
      <c r="I5" s="343"/>
      <c r="J5" s="328"/>
      <c r="K5" s="328"/>
      <c r="L5" s="328"/>
      <c r="M5" s="328"/>
      <c r="N5" s="328"/>
      <c r="O5" s="328"/>
      <c r="P5" s="328"/>
      <c r="Q5" s="328"/>
      <c r="R5" s="328"/>
    </row>
    <row r="6" spans="1:18" s="138" customFormat="1">
      <c r="A6" s="326" t="s">
        <v>1757</v>
      </c>
      <c r="B6" s="329" t="s">
        <v>1934</v>
      </c>
      <c r="C6" s="326"/>
      <c r="D6" s="326"/>
      <c r="E6" s="326"/>
      <c r="F6" s="326"/>
      <c r="G6" s="328"/>
      <c r="H6" s="343"/>
      <c r="I6" s="343"/>
      <c r="J6" s="328"/>
      <c r="K6" s="328"/>
      <c r="L6" s="328"/>
      <c r="M6" s="328"/>
      <c r="N6" s="328"/>
      <c r="O6" s="328"/>
      <c r="P6" s="328"/>
      <c r="Q6" s="328"/>
      <c r="R6" s="328"/>
    </row>
    <row r="7" spans="1:18" s="350" customFormat="1">
      <c r="A7" s="333"/>
      <c r="B7" s="366"/>
      <c r="C7" s="333"/>
      <c r="D7" s="333"/>
      <c r="E7" s="326"/>
      <c r="F7" s="326"/>
      <c r="G7" s="363" t="e">
        <f>#REF!</f>
        <v>#REF!</v>
      </c>
      <c r="H7" s="343"/>
      <c r="I7" s="343"/>
      <c r="J7" s="328"/>
      <c r="K7" s="328"/>
      <c r="L7" s="328"/>
      <c r="M7" s="328"/>
      <c r="N7" s="328"/>
      <c r="O7" s="328"/>
      <c r="P7" s="328"/>
      <c r="Q7" s="328"/>
      <c r="R7" s="328"/>
    </row>
    <row r="8" spans="1:18" s="140" customFormat="1">
      <c r="A8" s="354"/>
      <c r="B8" s="367"/>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3"/>
      <c r="I9" s="343"/>
      <c r="J9" s="349"/>
      <c r="K9" s="349"/>
      <c r="L9" s="349"/>
      <c r="M9" s="349"/>
      <c r="N9" s="349"/>
      <c r="O9" s="349"/>
      <c r="P9" s="349"/>
      <c r="Q9" s="349"/>
      <c r="R9" s="349"/>
    </row>
    <row r="10" spans="1:18" s="138" customFormat="1" ht="55.2">
      <c r="A10" s="323" t="s">
        <v>309</v>
      </c>
      <c r="B10" s="323" t="s">
        <v>1935</v>
      </c>
      <c r="C10" s="323"/>
      <c r="D10" s="351" t="s">
        <v>1936</v>
      </c>
      <c r="E10" s="351" t="s">
        <v>1649</v>
      </c>
      <c r="F10" s="351"/>
      <c r="G10" s="352"/>
      <c r="H10" s="343"/>
      <c r="I10" s="343"/>
      <c r="J10" s="349"/>
      <c r="K10" s="349"/>
      <c r="L10" s="349"/>
      <c r="M10" s="349"/>
      <c r="N10" s="349"/>
      <c r="O10" s="349"/>
      <c r="P10" s="349"/>
      <c r="Q10" s="349"/>
      <c r="R10" s="349"/>
    </row>
    <row r="11" spans="1:18" s="350" customFormat="1" ht="27.6">
      <c r="A11" s="323" t="s">
        <v>310</v>
      </c>
      <c r="B11" s="323" t="s">
        <v>1937</v>
      </c>
      <c r="C11" s="323"/>
      <c r="D11" s="351" t="s">
        <v>519</v>
      </c>
      <c r="E11" s="351" t="s">
        <v>1650</v>
      </c>
      <c r="F11" s="351"/>
      <c r="G11" s="352"/>
      <c r="H11" s="343"/>
      <c r="I11" s="343"/>
      <c r="J11" s="349"/>
      <c r="K11" s="349"/>
      <c r="L11" s="349"/>
      <c r="M11" s="349"/>
      <c r="N11" s="349"/>
      <c r="O11" s="349"/>
      <c r="P11" s="349"/>
      <c r="Q11" s="349"/>
      <c r="R11" s="349"/>
    </row>
    <row r="12" spans="1:18" s="140" customFormat="1">
      <c r="A12" s="346" t="s">
        <v>54</v>
      </c>
      <c r="B12" s="346"/>
      <c r="C12" s="347"/>
      <c r="D12" s="347"/>
      <c r="E12" s="347" t="s">
        <v>1868</v>
      </c>
      <c r="F12" s="347"/>
      <c r="G12" s="348"/>
      <c r="H12" s="343"/>
      <c r="I12" s="343"/>
      <c r="J12" s="349"/>
      <c r="K12" s="349"/>
      <c r="L12" s="349"/>
      <c r="M12" s="349"/>
      <c r="N12" s="349"/>
      <c r="O12" s="349"/>
      <c r="P12" s="349"/>
      <c r="Q12" s="349"/>
      <c r="R12" s="349"/>
    </row>
    <row r="13" spans="1:18" s="140" customFormat="1" ht="55.2">
      <c r="A13" s="323" t="s">
        <v>311</v>
      </c>
      <c r="B13" s="323" t="s">
        <v>1938</v>
      </c>
      <c r="C13" s="323"/>
      <c r="D13" s="323"/>
      <c r="E13" s="351" t="s">
        <v>1651</v>
      </c>
      <c r="F13" s="351"/>
      <c r="G13" s="352"/>
      <c r="H13" s="343"/>
      <c r="I13" s="343"/>
      <c r="J13" s="349"/>
      <c r="K13" s="349"/>
      <c r="L13" s="349"/>
      <c r="M13" s="349"/>
      <c r="N13" s="349"/>
      <c r="O13" s="349"/>
      <c r="P13" s="349"/>
      <c r="Q13" s="349"/>
      <c r="R13" s="349"/>
    </row>
    <row r="14" spans="1:18" s="138" customFormat="1" ht="69">
      <c r="A14" s="323" t="s">
        <v>312</v>
      </c>
      <c r="B14" s="323" t="s">
        <v>1939</v>
      </c>
      <c r="C14" s="323"/>
      <c r="D14" s="351" t="s">
        <v>520</v>
      </c>
      <c r="E14" s="351" t="s">
        <v>1940</v>
      </c>
      <c r="F14" s="351"/>
      <c r="G14" s="352"/>
      <c r="H14" s="343"/>
      <c r="I14" s="343"/>
      <c r="J14" s="349"/>
      <c r="K14" s="349"/>
      <c r="L14" s="349"/>
      <c r="M14" s="349"/>
      <c r="N14" s="349"/>
      <c r="O14" s="349"/>
      <c r="P14" s="349"/>
      <c r="Q14" s="349"/>
      <c r="R14" s="349"/>
    </row>
    <row r="15" spans="1:18" s="350" customFormat="1" ht="124.2">
      <c r="A15" s="323" t="s">
        <v>313</v>
      </c>
      <c r="B15" s="323" t="s">
        <v>1941</v>
      </c>
      <c r="C15" s="351" t="s">
        <v>1942</v>
      </c>
      <c r="D15" s="351" t="s">
        <v>1943</v>
      </c>
      <c r="E15" s="351" t="s">
        <v>1652</v>
      </c>
      <c r="F15" s="351"/>
      <c r="G15" s="352"/>
      <c r="H15" s="343"/>
      <c r="I15" s="343"/>
      <c r="J15" s="349"/>
      <c r="K15" s="349"/>
      <c r="L15" s="349"/>
      <c r="M15" s="349"/>
      <c r="N15" s="349"/>
      <c r="O15" s="349"/>
      <c r="P15" s="349"/>
      <c r="Q15" s="349"/>
      <c r="R15" s="349"/>
    </row>
    <row r="16" spans="1:18" s="140" customFormat="1" ht="55.2">
      <c r="A16" s="323" t="s">
        <v>314</v>
      </c>
      <c r="B16" s="323" t="s">
        <v>1944</v>
      </c>
      <c r="C16" s="351" t="s">
        <v>522</v>
      </c>
      <c r="D16" s="351" t="s">
        <v>521</v>
      </c>
      <c r="E16" s="351" t="s">
        <v>1653</v>
      </c>
      <c r="F16" s="351"/>
      <c r="G16" s="352"/>
      <c r="H16" s="343"/>
      <c r="I16" s="343"/>
      <c r="J16" s="349"/>
      <c r="K16" s="349"/>
      <c r="L16" s="349"/>
      <c r="M16" s="349"/>
      <c r="N16" s="349"/>
      <c r="O16" s="349"/>
      <c r="P16" s="349"/>
      <c r="Q16" s="349"/>
      <c r="R16" s="349"/>
    </row>
    <row r="17" spans="1:18" s="138" customFormat="1">
      <c r="A17" s="346" t="s">
        <v>56</v>
      </c>
      <c r="B17" s="346"/>
      <c r="C17" s="347"/>
      <c r="D17" s="347"/>
      <c r="E17" s="347" t="s">
        <v>1868</v>
      </c>
      <c r="F17" s="347"/>
      <c r="G17" s="348"/>
      <c r="H17" s="343"/>
      <c r="I17" s="343"/>
      <c r="J17" s="349"/>
      <c r="K17" s="349"/>
      <c r="L17" s="349"/>
      <c r="M17" s="349"/>
      <c r="N17" s="349"/>
      <c r="O17" s="349"/>
      <c r="P17" s="349"/>
      <c r="Q17" s="349"/>
      <c r="R17" s="349"/>
    </row>
    <row r="18" spans="1:18" s="350" customFormat="1" ht="82.8">
      <c r="A18" s="323" t="s">
        <v>315</v>
      </c>
      <c r="B18" s="323" t="s">
        <v>1945</v>
      </c>
      <c r="C18" s="351" t="s">
        <v>523</v>
      </c>
      <c r="D18" s="351" t="s">
        <v>1946</v>
      </c>
      <c r="E18" s="351" t="s">
        <v>524</v>
      </c>
      <c r="F18" s="351"/>
      <c r="G18" s="352"/>
      <c r="H18" s="369"/>
      <c r="I18" s="369"/>
      <c r="J18" s="349"/>
      <c r="K18" s="349"/>
      <c r="L18" s="349"/>
      <c r="M18" s="349"/>
      <c r="N18" s="349"/>
      <c r="O18" s="349"/>
      <c r="P18" s="349"/>
      <c r="Q18" s="349"/>
      <c r="R18" s="349"/>
    </row>
    <row r="19" spans="1:18" s="140" customFormat="1" ht="41.4">
      <c r="A19" s="323" t="s">
        <v>316</v>
      </c>
      <c r="B19" s="323" t="s">
        <v>1947</v>
      </c>
      <c r="C19" s="323"/>
      <c r="D19" s="351" t="s">
        <v>525</v>
      </c>
      <c r="E19" s="351" t="s">
        <v>1654</v>
      </c>
      <c r="F19" s="351"/>
      <c r="G19" s="352"/>
      <c r="H19" s="343"/>
      <c r="I19" s="343"/>
      <c r="J19" s="349"/>
      <c r="K19" s="349"/>
      <c r="L19" s="349"/>
      <c r="M19" s="349"/>
      <c r="N19" s="349"/>
      <c r="O19" s="349"/>
      <c r="P19" s="349"/>
      <c r="Q19" s="349"/>
      <c r="R19" s="349"/>
    </row>
    <row r="20" spans="1:18" s="140" customFormat="1" ht="41.4">
      <c r="A20" s="323" t="s">
        <v>317</v>
      </c>
      <c r="B20" s="323" t="s">
        <v>318</v>
      </c>
      <c r="C20" s="323"/>
      <c r="D20" s="351" t="s">
        <v>526</v>
      </c>
      <c r="E20" s="351" t="s">
        <v>1655</v>
      </c>
      <c r="F20" s="351"/>
      <c r="G20" s="352"/>
      <c r="H20" s="343"/>
      <c r="I20" s="343"/>
      <c r="J20" s="349"/>
      <c r="K20" s="349"/>
      <c r="L20" s="349"/>
      <c r="M20" s="349"/>
      <c r="N20" s="349"/>
      <c r="O20" s="349"/>
      <c r="P20" s="349"/>
      <c r="Q20" s="349"/>
      <c r="R20" s="349"/>
    </row>
    <row r="21" spans="1:18" s="138" customFormat="1" ht="96.6">
      <c r="A21" s="323" t="s">
        <v>319</v>
      </c>
      <c r="B21" s="323" t="s">
        <v>1948</v>
      </c>
      <c r="C21" s="323"/>
      <c r="D21" s="351" t="s">
        <v>527</v>
      </c>
      <c r="E21" s="351" t="s">
        <v>1949</v>
      </c>
      <c r="F21" s="351"/>
      <c r="G21" s="352"/>
      <c r="H21" s="369"/>
      <c r="I21" s="343"/>
      <c r="J21" s="349"/>
      <c r="K21" s="349"/>
      <c r="L21" s="349"/>
      <c r="M21" s="349"/>
      <c r="N21" s="349"/>
      <c r="O21" s="349"/>
      <c r="P21" s="349"/>
      <c r="Q21" s="349"/>
      <c r="R21" s="349"/>
    </row>
    <row r="22" spans="1:18" s="343" customFormat="1">
      <c r="B22" s="350"/>
      <c r="G22" s="328"/>
      <c r="H22" s="369"/>
      <c r="I22" s="369"/>
      <c r="J22" s="328"/>
      <c r="K22" s="328"/>
      <c r="L22" s="328"/>
      <c r="M22" s="328"/>
      <c r="N22" s="328"/>
      <c r="O22" s="328"/>
      <c r="P22" s="328"/>
      <c r="Q22" s="328"/>
      <c r="R22" s="328"/>
    </row>
    <row r="23" spans="1:18" s="343" customFormat="1">
      <c r="B23" s="350"/>
      <c r="G23" s="328"/>
      <c r="J23" s="328"/>
      <c r="K23" s="328"/>
      <c r="L23" s="328"/>
      <c r="M23" s="328"/>
      <c r="N23" s="328"/>
      <c r="O23" s="328"/>
      <c r="P23" s="328"/>
      <c r="Q23" s="328"/>
      <c r="R23" s="328"/>
    </row>
    <row r="24" spans="1:18" s="343" customFormat="1">
      <c r="B24" s="350"/>
      <c r="G24" s="328"/>
      <c r="J24" s="328"/>
      <c r="K24" s="328"/>
      <c r="L24" s="328"/>
      <c r="M24" s="328"/>
      <c r="N24" s="328"/>
      <c r="O24" s="328"/>
      <c r="P24" s="328"/>
      <c r="Q24" s="328"/>
      <c r="R24" s="328"/>
    </row>
    <row r="25" spans="1:18" s="343" customFormat="1">
      <c r="B25" s="350"/>
      <c r="G25" s="328"/>
      <c r="J25" s="328"/>
      <c r="K25" s="328"/>
      <c r="L25" s="328"/>
      <c r="M25" s="328"/>
      <c r="N25" s="328"/>
      <c r="O25" s="328"/>
      <c r="P25" s="328"/>
      <c r="Q25" s="328"/>
      <c r="R25" s="328"/>
    </row>
    <row r="26" spans="1:18" s="343" customFormat="1">
      <c r="B26" s="350"/>
      <c r="G26" s="328"/>
      <c r="J26" s="328"/>
      <c r="K26" s="328"/>
      <c r="L26" s="328"/>
      <c r="M26" s="328"/>
      <c r="N26" s="328"/>
      <c r="O26" s="328"/>
      <c r="P26" s="328"/>
      <c r="Q26" s="328"/>
      <c r="R26" s="328"/>
    </row>
    <row r="27" spans="1:18" s="343" customFormat="1">
      <c r="B27" s="350"/>
      <c r="G27" s="328"/>
      <c r="J27" s="328"/>
      <c r="K27" s="328"/>
      <c r="L27" s="328"/>
      <c r="M27" s="328"/>
      <c r="N27" s="328"/>
      <c r="O27" s="328"/>
      <c r="P27" s="328"/>
      <c r="Q27" s="328"/>
      <c r="R27" s="328"/>
    </row>
    <row r="28" spans="1:18" s="343" customFormat="1">
      <c r="B28" s="350"/>
      <c r="G28" s="328"/>
      <c r="J28" s="328"/>
      <c r="K28" s="328"/>
      <c r="L28" s="328"/>
      <c r="M28" s="328"/>
      <c r="N28" s="328"/>
      <c r="O28" s="328"/>
      <c r="P28" s="328"/>
      <c r="Q28" s="328"/>
      <c r="R28" s="328"/>
    </row>
    <row r="29" spans="1:18" s="343" customFormat="1">
      <c r="B29" s="350"/>
      <c r="G29" s="328"/>
      <c r="J29" s="328"/>
      <c r="K29" s="328"/>
      <c r="L29" s="328"/>
      <c r="M29" s="328"/>
      <c r="N29" s="328"/>
      <c r="O29" s="328"/>
      <c r="P29" s="328"/>
      <c r="Q29" s="328"/>
      <c r="R29" s="328"/>
    </row>
    <row r="30" spans="1:18" s="343" customFormat="1">
      <c r="B30" s="350"/>
      <c r="G30" s="328"/>
      <c r="J30" s="328"/>
      <c r="K30" s="328"/>
      <c r="L30" s="328"/>
      <c r="M30" s="328"/>
      <c r="N30" s="328"/>
      <c r="O30" s="328"/>
      <c r="P30" s="328"/>
      <c r="Q30" s="328"/>
      <c r="R30" s="328"/>
    </row>
    <row r="31" spans="1:18" s="343" customFormat="1">
      <c r="B31" s="350"/>
      <c r="G31" s="328"/>
      <c r="J31" s="328"/>
      <c r="K31" s="328"/>
      <c r="L31" s="328"/>
      <c r="M31" s="328"/>
      <c r="N31" s="328"/>
      <c r="O31" s="328"/>
      <c r="P31" s="328"/>
      <c r="Q31" s="328"/>
      <c r="R31" s="328"/>
    </row>
    <row r="32" spans="1:18" s="344" customFormat="1">
      <c r="B32" s="368"/>
      <c r="G32" s="328"/>
      <c r="H32" s="343"/>
      <c r="I32" s="343"/>
      <c r="J32" s="328"/>
      <c r="K32" s="328"/>
      <c r="L32" s="328"/>
      <c r="M32" s="328"/>
      <c r="N32" s="328"/>
      <c r="O32" s="328"/>
      <c r="P32" s="328"/>
      <c r="Q32" s="328"/>
      <c r="R32" s="328"/>
    </row>
    <row r="33" spans="2:18" s="344" customFormat="1">
      <c r="B33" s="368"/>
      <c r="G33" s="328"/>
      <c r="H33" s="343"/>
      <c r="I33" s="343"/>
      <c r="J33" s="328"/>
      <c r="K33" s="328"/>
      <c r="L33" s="328"/>
      <c r="M33" s="328"/>
      <c r="N33" s="328"/>
      <c r="O33" s="328"/>
      <c r="P33" s="328"/>
      <c r="Q33" s="328"/>
      <c r="R33" s="328"/>
    </row>
    <row r="34" spans="2:18" s="344" customFormat="1">
      <c r="B34" s="368"/>
      <c r="G34" s="328"/>
      <c r="H34" s="343"/>
      <c r="I34" s="343"/>
      <c r="J34" s="328"/>
      <c r="K34" s="328"/>
      <c r="L34" s="328"/>
      <c r="M34" s="328"/>
      <c r="N34" s="328"/>
      <c r="O34" s="328"/>
      <c r="P34" s="328"/>
      <c r="Q34" s="328"/>
      <c r="R34" s="328"/>
    </row>
    <row r="35" spans="2:18" s="344" customFormat="1">
      <c r="B35" s="368"/>
      <c r="G35" s="328"/>
      <c r="H35" s="343"/>
      <c r="I35" s="343"/>
      <c r="J35" s="328"/>
      <c r="K35" s="328"/>
      <c r="L35" s="328"/>
      <c r="M35" s="328"/>
      <c r="N35" s="328"/>
      <c r="O35" s="328"/>
      <c r="P35" s="328"/>
      <c r="Q35" s="328"/>
      <c r="R35" s="328"/>
    </row>
    <row r="36" spans="2:18" s="344" customFormat="1">
      <c r="B36" s="368"/>
      <c r="G36" s="328"/>
      <c r="H36" s="343"/>
      <c r="I36" s="343"/>
      <c r="J36" s="328"/>
      <c r="K36" s="328"/>
      <c r="L36" s="328"/>
      <c r="M36" s="328"/>
      <c r="N36" s="328"/>
      <c r="O36" s="328"/>
      <c r="P36" s="328"/>
      <c r="Q36" s="328"/>
      <c r="R36" s="328"/>
    </row>
    <row r="37" spans="2:18" s="344" customFormat="1">
      <c r="B37" s="368"/>
      <c r="G37" s="328"/>
      <c r="H37" s="343"/>
      <c r="I37" s="343"/>
      <c r="J37" s="328"/>
      <c r="K37" s="328"/>
      <c r="L37" s="328"/>
      <c r="M37" s="328"/>
      <c r="N37" s="328"/>
      <c r="O37" s="328"/>
      <c r="P37" s="328"/>
      <c r="Q37" s="328"/>
      <c r="R37" s="328"/>
    </row>
    <row r="38" spans="2:18" s="344" customFormat="1">
      <c r="B38" s="368"/>
      <c r="G38" s="328"/>
      <c r="H38" s="343"/>
      <c r="I38" s="343"/>
      <c r="J38" s="328"/>
      <c r="K38" s="328"/>
      <c r="L38" s="328"/>
      <c r="M38" s="328"/>
      <c r="N38" s="328"/>
      <c r="O38" s="328"/>
      <c r="P38" s="328"/>
      <c r="Q38" s="328"/>
      <c r="R38" s="328"/>
    </row>
    <row r="39" spans="2:18" s="344" customFormat="1">
      <c r="B39" s="368"/>
      <c r="G39" s="328"/>
      <c r="H39" s="343"/>
      <c r="I39" s="343"/>
      <c r="J39" s="328"/>
      <c r="K39" s="328"/>
      <c r="L39" s="328"/>
      <c r="M39" s="328"/>
      <c r="N39" s="328"/>
      <c r="O39" s="328"/>
      <c r="P39" s="328"/>
      <c r="Q39" s="328"/>
      <c r="R39" s="328"/>
    </row>
    <row r="40" spans="2:18" s="344" customFormat="1">
      <c r="B40" s="368"/>
      <c r="G40" s="328"/>
      <c r="H40" s="343"/>
      <c r="I40" s="343"/>
      <c r="J40" s="328"/>
      <c r="K40" s="328"/>
      <c r="L40" s="328"/>
      <c r="M40" s="328"/>
      <c r="N40" s="328"/>
      <c r="O40" s="328"/>
      <c r="P40" s="328"/>
      <c r="Q40" s="328"/>
      <c r="R40" s="328"/>
    </row>
    <row r="41" spans="2:18" s="344" customFormat="1">
      <c r="B41" s="368"/>
      <c r="G41" s="328"/>
      <c r="H41" s="343"/>
      <c r="I41" s="343"/>
      <c r="J41" s="328"/>
      <c r="K41" s="328"/>
      <c r="L41" s="328"/>
      <c r="M41" s="328"/>
      <c r="N41" s="328"/>
      <c r="O41" s="328"/>
      <c r="P41" s="328"/>
      <c r="Q41" s="328"/>
      <c r="R41" s="328"/>
    </row>
    <row r="42" spans="2:18" s="344" customFormat="1">
      <c r="B42" s="368"/>
      <c r="G42" s="328"/>
      <c r="H42" s="343"/>
      <c r="I42" s="343"/>
      <c r="J42" s="328"/>
      <c r="K42" s="328"/>
      <c r="L42" s="328"/>
      <c r="M42" s="328"/>
      <c r="N42" s="328"/>
      <c r="O42" s="328"/>
      <c r="P42" s="328"/>
      <c r="Q42" s="328"/>
      <c r="R42" s="328"/>
    </row>
    <row r="43" spans="2:18" s="344" customFormat="1">
      <c r="B43" s="368"/>
      <c r="G43" s="328"/>
      <c r="H43" s="343"/>
      <c r="I43" s="343"/>
      <c r="J43" s="328"/>
      <c r="K43" s="328"/>
      <c r="L43" s="328"/>
      <c r="M43" s="328"/>
      <c r="N43" s="328"/>
      <c r="O43" s="328"/>
      <c r="P43" s="328"/>
      <c r="Q43" s="328"/>
      <c r="R43" s="328"/>
    </row>
    <row r="44" spans="2:18" s="344" customFormat="1">
      <c r="B44" s="368"/>
      <c r="G44" s="328"/>
      <c r="H44" s="343"/>
      <c r="I44" s="343"/>
      <c r="J44" s="328"/>
      <c r="K44" s="328"/>
      <c r="L44" s="328"/>
      <c r="M44" s="328"/>
      <c r="N44" s="328"/>
      <c r="O44" s="328"/>
      <c r="P44" s="328"/>
      <c r="Q44" s="328"/>
      <c r="R44" s="328"/>
    </row>
    <row r="45" spans="2:18" s="344" customFormat="1">
      <c r="B45" s="368"/>
      <c r="G45" s="328"/>
      <c r="H45" s="343"/>
      <c r="I45" s="343"/>
      <c r="J45" s="328"/>
      <c r="K45" s="328"/>
      <c r="L45" s="328"/>
      <c r="M45" s="328"/>
      <c r="N45" s="328"/>
      <c r="O45" s="328"/>
      <c r="P45" s="328"/>
      <c r="Q45" s="328"/>
      <c r="R45" s="328"/>
    </row>
    <row r="46" spans="2:18" s="344" customFormat="1">
      <c r="B46" s="368"/>
      <c r="G46" s="328"/>
      <c r="H46" s="343"/>
      <c r="I46" s="343"/>
      <c r="J46" s="328"/>
      <c r="K46" s="328"/>
      <c r="L46" s="328"/>
      <c r="M46" s="328"/>
      <c r="N46" s="328"/>
      <c r="O46" s="328"/>
      <c r="P46" s="328"/>
      <c r="Q46" s="328"/>
      <c r="R46" s="328"/>
    </row>
    <row r="47" spans="2:18" s="344" customFormat="1">
      <c r="B47" s="368"/>
      <c r="G47" s="328"/>
      <c r="H47" s="343"/>
      <c r="I47" s="343"/>
      <c r="J47" s="328"/>
      <c r="K47" s="328"/>
      <c r="L47" s="328"/>
      <c r="M47" s="328"/>
      <c r="N47" s="328"/>
      <c r="O47" s="328"/>
      <c r="P47" s="328"/>
      <c r="Q47" s="328"/>
      <c r="R47" s="328"/>
    </row>
    <row r="48" spans="2:18" s="344" customFormat="1">
      <c r="B48" s="368"/>
      <c r="G48" s="328"/>
      <c r="H48" s="343"/>
      <c r="I48" s="343"/>
      <c r="J48" s="328"/>
      <c r="K48" s="328"/>
      <c r="L48" s="328"/>
      <c r="M48" s="328"/>
      <c r="N48" s="328"/>
      <c r="O48" s="328"/>
      <c r="P48" s="328"/>
      <c r="Q48" s="328"/>
      <c r="R48" s="328"/>
    </row>
    <row r="49" spans="2:18" s="344" customFormat="1">
      <c r="B49" s="368"/>
      <c r="G49" s="328"/>
      <c r="H49" s="343"/>
      <c r="I49" s="343"/>
      <c r="J49" s="328"/>
      <c r="K49" s="328"/>
      <c r="L49" s="328"/>
      <c r="M49" s="328"/>
      <c r="N49" s="328"/>
      <c r="O49" s="328"/>
      <c r="P49" s="328"/>
      <c r="Q49" s="328"/>
      <c r="R49" s="328"/>
    </row>
    <row r="50" spans="2:18" s="344" customFormat="1">
      <c r="B50" s="368"/>
      <c r="G50" s="328"/>
      <c r="H50" s="343"/>
      <c r="I50" s="343"/>
      <c r="J50" s="328"/>
      <c r="K50" s="328"/>
      <c r="L50" s="328"/>
      <c r="M50" s="328"/>
      <c r="N50" s="328"/>
      <c r="O50" s="328"/>
      <c r="P50" s="328"/>
      <c r="Q50" s="328"/>
      <c r="R50" s="328"/>
    </row>
    <row r="51" spans="2:18" s="344" customFormat="1">
      <c r="B51" s="368"/>
      <c r="G51" s="328"/>
      <c r="H51" s="343"/>
      <c r="I51" s="343"/>
      <c r="J51" s="328"/>
      <c r="K51" s="328"/>
      <c r="L51" s="328"/>
      <c r="M51" s="328"/>
      <c r="N51" s="328"/>
      <c r="O51" s="328"/>
      <c r="P51" s="328"/>
      <c r="Q51" s="328"/>
      <c r="R51" s="328"/>
    </row>
    <row r="52" spans="2:18" s="344" customFormat="1">
      <c r="B52" s="368"/>
      <c r="G52" s="328"/>
      <c r="H52" s="343"/>
      <c r="I52" s="343"/>
      <c r="J52" s="328"/>
      <c r="K52" s="328"/>
      <c r="L52" s="328"/>
      <c r="M52" s="328"/>
      <c r="N52" s="328"/>
      <c r="O52" s="328"/>
      <c r="P52" s="328"/>
      <c r="Q52" s="328"/>
      <c r="R52" s="328"/>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workbookViewId="0">
      <selection activeCell="I11" sqref="I11:J14"/>
    </sheetView>
  </sheetViews>
  <sheetFormatPr defaultColWidth="8.77734375" defaultRowHeight="13.8"/>
  <cols>
    <col min="1" max="1" width="10.21875" style="333" customWidth="1"/>
    <col min="2" max="2" width="58.21875" style="333" customWidth="1"/>
    <col min="3" max="4" width="21.44140625" style="333" customWidth="1"/>
    <col min="5" max="6" width="37.5546875" style="333" customWidth="1"/>
    <col min="7" max="7" width="21.44140625" style="328" customWidth="1"/>
    <col min="8" max="18" width="8.77734375" style="328"/>
    <col min="19" max="16384" width="8.77734375" style="333"/>
  </cols>
  <sheetData>
    <row r="1" spans="1:18" s="138" customFormat="1" ht="25.8">
      <c r="A1" s="325" t="s">
        <v>165</v>
      </c>
      <c r="B1" s="326"/>
      <c r="C1" s="327"/>
      <c r="D1" s="326"/>
      <c r="E1" s="326"/>
      <c r="F1" s="326"/>
      <c r="G1" s="328"/>
      <c r="H1" s="328"/>
      <c r="I1" s="328"/>
      <c r="J1" s="328"/>
      <c r="K1" s="328"/>
      <c r="L1" s="328"/>
      <c r="M1" s="328"/>
      <c r="N1" s="328"/>
      <c r="O1" s="328"/>
      <c r="P1" s="328"/>
      <c r="Q1" s="328"/>
      <c r="R1" s="328"/>
    </row>
    <row r="2" spans="1:18" s="350" customFormat="1" ht="25.8">
      <c r="A2" s="325" t="s">
        <v>1950</v>
      </c>
      <c r="B2" s="326"/>
      <c r="C2" s="327"/>
      <c r="D2" s="326"/>
      <c r="E2" s="326"/>
      <c r="F2" s="326"/>
      <c r="G2" s="328"/>
      <c r="H2" s="328"/>
      <c r="I2" s="328"/>
      <c r="J2" s="328"/>
      <c r="K2" s="328"/>
      <c r="L2" s="328"/>
      <c r="M2" s="328"/>
      <c r="N2" s="328"/>
      <c r="O2" s="328"/>
      <c r="P2" s="328"/>
      <c r="Q2" s="328"/>
      <c r="R2" s="328"/>
    </row>
    <row r="3" spans="1:18" s="350" customFormat="1">
      <c r="A3" s="329" t="s">
        <v>461</v>
      </c>
      <c r="B3" s="326" t="s">
        <v>166</v>
      </c>
      <c r="C3" s="326"/>
      <c r="D3" s="326"/>
      <c r="E3" s="326"/>
      <c r="F3" s="326"/>
      <c r="G3" s="328"/>
      <c r="H3" s="328"/>
      <c r="I3" s="328"/>
      <c r="J3" s="328"/>
      <c r="K3" s="328"/>
      <c r="L3" s="328"/>
      <c r="M3" s="328"/>
      <c r="N3" s="328"/>
      <c r="O3" s="328"/>
      <c r="P3" s="328"/>
      <c r="Q3" s="328"/>
      <c r="R3" s="328"/>
    </row>
    <row r="4" spans="1:18" s="140" customFormat="1">
      <c r="A4" s="329" t="s">
        <v>1755</v>
      </c>
      <c r="B4" s="326" t="s">
        <v>1951</v>
      </c>
      <c r="C4" s="326"/>
      <c r="D4" s="326"/>
      <c r="E4" s="326"/>
      <c r="F4" s="326"/>
      <c r="G4" s="328"/>
      <c r="H4" s="328"/>
      <c r="I4" s="328"/>
      <c r="J4" s="328"/>
      <c r="K4" s="328"/>
      <c r="L4" s="328"/>
      <c r="M4" s="328"/>
      <c r="N4" s="328"/>
      <c r="O4" s="328"/>
      <c r="P4" s="328"/>
      <c r="Q4" s="328"/>
      <c r="R4" s="328"/>
    </row>
    <row r="5" spans="1:18" s="350" customFormat="1">
      <c r="A5" s="326" t="s">
        <v>462</v>
      </c>
      <c r="B5" s="326" t="s">
        <v>167</v>
      </c>
      <c r="C5" s="326"/>
      <c r="D5" s="326"/>
      <c r="E5" s="326"/>
      <c r="F5" s="326"/>
      <c r="G5" s="328"/>
      <c r="H5" s="328"/>
      <c r="I5" s="328"/>
      <c r="J5" s="328"/>
      <c r="K5" s="328"/>
      <c r="L5" s="328"/>
      <c r="M5" s="328"/>
      <c r="N5" s="328"/>
      <c r="O5" s="328"/>
      <c r="P5" s="328"/>
      <c r="Q5" s="328"/>
      <c r="R5" s="328"/>
    </row>
    <row r="6" spans="1:18" s="140" customFormat="1">
      <c r="A6" s="326" t="s">
        <v>1757</v>
      </c>
      <c r="B6" s="326" t="s">
        <v>1952</v>
      </c>
      <c r="C6" s="326"/>
      <c r="D6" s="326"/>
      <c r="E6" s="326"/>
      <c r="F6" s="326"/>
      <c r="G6" s="328"/>
      <c r="H6" s="328"/>
      <c r="I6" s="328"/>
      <c r="J6" s="328"/>
      <c r="K6" s="328"/>
      <c r="L6" s="328"/>
      <c r="M6" s="328"/>
      <c r="N6" s="328"/>
      <c r="O6" s="328"/>
      <c r="P6" s="328"/>
      <c r="Q6" s="328"/>
      <c r="R6" s="328"/>
    </row>
    <row r="7" spans="1:18" s="140" customFormat="1">
      <c r="A7" s="333"/>
      <c r="B7" s="333"/>
      <c r="C7" s="333"/>
      <c r="D7" s="333"/>
      <c r="E7" s="326"/>
      <c r="F7" s="326"/>
      <c r="G7" s="363" t="e">
        <f>CONCATENATE(#REF!," | ",#REF!," | ",#REF!)</f>
        <v>#REF!</v>
      </c>
      <c r="H7" s="328"/>
      <c r="I7" s="328"/>
      <c r="J7" s="328"/>
      <c r="K7" s="328"/>
      <c r="L7" s="328"/>
      <c r="M7" s="328"/>
      <c r="N7" s="328"/>
      <c r="O7" s="328"/>
      <c r="P7" s="328"/>
      <c r="Q7" s="328"/>
      <c r="R7" s="328"/>
    </row>
    <row r="8" spans="1:18" s="94"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29" customFormat="1">
      <c r="A9" s="334" t="s">
        <v>47</v>
      </c>
      <c r="B9" s="334"/>
      <c r="C9" s="335"/>
      <c r="D9" s="335"/>
      <c r="E9" s="335"/>
      <c r="F9" s="335"/>
      <c r="G9" s="335"/>
    </row>
    <row r="10" spans="1:18" s="149" customFormat="1" ht="55.2">
      <c r="A10" s="3" t="s">
        <v>168</v>
      </c>
      <c r="B10" s="3" t="s">
        <v>1953</v>
      </c>
      <c r="C10" s="3"/>
      <c r="D10" s="3"/>
      <c r="E10" s="340" t="s">
        <v>1589</v>
      </c>
      <c r="F10" s="340"/>
      <c r="G10" s="3"/>
      <c r="H10" s="329"/>
      <c r="I10" s="329"/>
      <c r="J10" s="329"/>
      <c r="K10" s="329"/>
      <c r="L10" s="329"/>
      <c r="M10" s="329"/>
      <c r="N10" s="329"/>
      <c r="O10" s="329"/>
      <c r="P10" s="329"/>
      <c r="Q10" s="329"/>
      <c r="R10" s="329"/>
    </row>
    <row r="11" spans="1:18" s="149" customFormat="1">
      <c r="A11" s="334" t="s">
        <v>54</v>
      </c>
      <c r="B11" s="334"/>
      <c r="C11" s="335"/>
      <c r="D11" s="335"/>
      <c r="E11" s="335"/>
      <c r="F11" s="335"/>
      <c r="G11" s="335"/>
      <c r="H11" s="329"/>
      <c r="I11" s="329"/>
      <c r="J11" s="329"/>
      <c r="K11" s="329"/>
      <c r="L11" s="329"/>
      <c r="M11" s="329"/>
      <c r="N11" s="329"/>
      <c r="O11" s="329"/>
      <c r="P11" s="329"/>
      <c r="Q11" s="329"/>
      <c r="R11" s="329"/>
    </row>
    <row r="12" spans="1:18" s="94" customFormat="1" ht="41.4">
      <c r="A12" s="3" t="s">
        <v>169</v>
      </c>
      <c r="B12" s="3" t="s">
        <v>1954</v>
      </c>
      <c r="C12" s="3"/>
      <c r="D12" s="3"/>
      <c r="E12" s="340" t="s">
        <v>1590</v>
      </c>
      <c r="F12" s="340"/>
      <c r="G12" s="3"/>
      <c r="H12" s="329"/>
      <c r="I12" s="329"/>
      <c r="J12" s="329"/>
      <c r="K12" s="329"/>
      <c r="L12" s="329"/>
      <c r="M12" s="329"/>
      <c r="N12" s="329"/>
      <c r="O12" s="329"/>
      <c r="P12" s="329"/>
      <c r="Q12" s="329"/>
      <c r="R12" s="329"/>
    </row>
    <row r="13" spans="1:18" s="329" customFormat="1" ht="41.4">
      <c r="A13" s="3" t="s">
        <v>170</v>
      </c>
      <c r="B13" s="3" t="s">
        <v>1955</v>
      </c>
      <c r="C13" s="3"/>
      <c r="D13" s="3"/>
      <c r="E13" s="340" t="s">
        <v>1591</v>
      </c>
      <c r="F13" s="340"/>
      <c r="G13" s="3"/>
    </row>
    <row r="14" spans="1:18" s="329" customFormat="1" ht="69">
      <c r="A14" s="3" t="s">
        <v>171</v>
      </c>
      <c r="B14" s="3" t="s">
        <v>1956</v>
      </c>
      <c r="C14" s="340" t="s">
        <v>1957</v>
      </c>
      <c r="D14" s="3"/>
      <c r="E14" s="340" t="s">
        <v>172</v>
      </c>
      <c r="F14" s="340"/>
      <c r="G14" s="3"/>
    </row>
    <row r="15" spans="1:18" s="149" customFormat="1" ht="41.4">
      <c r="A15" s="3" t="s">
        <v>173</v>
      </c>
      <c r="B15" s="3" t="s">
        <v>1958</v>
      </c>
      <c r="C15" s="3"/>
      <c r="D15" s="3"/>
      <c r="E15" s="340" t="s">
        <v>1592</v>
      </c>
      <c r="F15" s="340"/>
      <c r="G15" s="3"/>
      <c r="H15" s="329"/>
      <c r="I15" s="329"/>
      <c r="J15" s="329"/>
      <c r="K15" s="329"/>
      <c r="L15" s="329"/>
      <c r="M15" s="329"/>
      <c r="N15" s="329"/>
      <c r="O15" s="329"/>
      <c r="P15" s="329"/>
      <c r="Q15" s="329"/>
      <c r="R15" s="329"/>
    </row>
    <row r="16" spans="1:18" s="149" customFormat="1">
      <c r="A16" s="334" t="s">
        <v>56</v>
      </c>
      <c r="B16" s="334"/>
      <c r="C16" s="335"/>
      <c r="D16" s="335"/>
      <c r="E16" s="335"/>
      <c r="F16" s="335"/>
      <c r="G16" s="335"/>
      <c r="H16" s="329"/>
      <c r="I16" s="329"/>
      <c r="J16" s="329"/>
      <c r="K16" s="329"/>
      <c r="L16" s="329"/>
      <c r="M16" s="329"/>
      <c r="N16" s="329"/>
      <c r="O16" s="329"/>
      <c r="P16" s="329"/>
      <c r="Q16" s="329"/>
      <c r="R16" s="329"/>
    </row>
    <row r="17" spans="1:18" s="94" customFormat="1" ht="38.549999999999997" customHeight="1">
      <c r="A17" s="3" t="s">
        <v>174</v>
      </c>
      <c r="B17" s="3" t="s">
        <v>1959</v>
      </c>
      <c r="C17" s="340" t="s">
        <v>1960</v>
      </c>
      <c r="D17" s="3"/>
      <c r="E17" s="340" t="s">
        <v>1593</v>
      </c>
      <c r="F17" s="340"/>
      <c r="G17" s="3"/>
      <c r="H17" s="329"/>
      <c r="I17" s="329"/>
      <c r="J17" s="329"/>
      <c r="K17" s="329"/>
      <c r="L17" s="329"/>
      <c r="M17" s="329"/>
      <c r="N17" s="329"/>
      <c r="O17" s="329"/>
      <c r="P17" s="329"/>
      <c r="Q17" s="329"/>
      <c r="R17" s="329"/>
    </row>
    <row r="18" spans="1:18" s="343" customFormat="1">
      <c r="G18" s="328"/>
      <c r="H18" s="328"/>
      <c r="I18" s="328"/>
      <c r="J18" s="328"/>
      <c r="K18" s="328"/>
      <c r="L18" s="328"/>
      <c r="M18" s="328"/>
      <c r="N18" s="328"/>
      <c r="O18" s="328"/>
      <c r="P18" s="328"/>
      <c r="Q18" s="328"/>
      <c r="R18" s="328"/>
    </row>
    <row r="19" spans="1:18" s="343" customFormat="1">
      <c r="G19" s="328"/>
      <c r="H19" s="328"/>
      <c r="I19" s="328"/>
      <c r="J19" s="328"/>
      <c r="K19" s="328"/>
      <c r="L19" s="328"/>
      <c r="M19" s="328"/>
      <c r="N19" s="328"/>
      <c r="O19" s="328"/>
      <c r="P19" s="328"/>
      <c r="Q19" s="328"/>
      <c r="R19" s="328"/>
    </row>
    <row r="20" spans="1:18" s="343" customFormat="1">
      <c r="G20" s="328"/>
      <c r="H20" s="328"/>
      <c r="I20" s="328"/>
      <c r="J20" s="328"/>
      <c r="K20" s="328"/>
      <c r="L20" s="328"/>
      <c r="M20" s="328"/>
      <c r="N20" s="328"/>
      <c r="O20" s="328"/>
      <c r="P20" s="328"/>
      <c r="Q20" s="328"/>
      <c r="R20" s="328"/>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3" customFormat="1">
      <c r="G26" s="328"/>
      <c r="H26" s="328"/>
      <c r="I26" s="328"/>
      <c r="J26" s="328"/>
      <c r="K26" s="328"/>
      <c r="L26" s="328"/>
      <c r="M26" s="328"/>
      <c r="N26" s="328"/>
      <c r="O26" s="328"/>
      <c r="P26" s="328"/>
      <c r="Q26" s="328"/>
      <c r="R26" s="328"/>
    </row>
    <row r="27" spans="1:18" s="343" customFormat="1">
      <c r="G27" s="328"/>
      <c r="H27" s="328"/>
      <c r="I27" s="328"/>
      <c r="J27" s="328"/>
      <c r="K27" s="328"/>
      <c r="L27" s="328"/>
      <c r="M27" s="328"/>
      <c r="N27" s="328"/>
      <c r="O27" s="328"/>
      <c r="P27" s="328"/>
      <c r="Q27" s="328"/>
      <c r="R27" s="328"/>
    </row>
    <row r="28" spans="1:18" s="343" customFormat="1">
      <c r="G28" s="328"/>
      <c r="H28" s="328"/>
      <c r="I28" s="328"/>
      <c r="J28" s="328"/>
      <c r="K28" s="328"/>
      <c r="L28" s="328"/>
      <c r="M28" s="328"/>
      <c r="N28" s="328"/>
      <c r="O28" s="328"/>
      <c r="P28" s="328"/>
      <c r="Q28" s="328"/>
      <c r="R28" s="328"/>
    </row>
    <row r="29" spans="1:18" s="343" customFormat="1">
      <c r="G29" s="328"/>
      <c r="H29" s="328"/>
      <c r="I29" s="328"/>
      <c r="J29" s="328"/>
      <c r="K29" s="328"/>
      <c r="L29" s="328"/>
      <c r="M29" s="328"/>
      <c r="N29" s="328"/>
      <c r="O29" s="328"/>
      <c r="P29" s="328"/>
      <c r="Q29" s="328"/>
      <c r="R29" s="328"/>
    </row>
    <row r="30" spans="1:18" s="343" customFormat="1">
      <c r="G30" s="328"/>
      <c r="H30" s="328"/>
      <c r="I30" s="328"/>
      <c r="J30" s="328"/>
      <c r="K30" s="328"/>
      <c r="L30" s="328"/>
      <c r="M30" s="328"/>
      <c r="N30" s="328"/>
      <c r="O30" s="328"/>
      <c r="P30" s="328"/>
      <c r="Q30" s="328"/>
      <c r="R30" s="328"/>
    </row>
    <row r="31" spans="1:18" s="343" customFormat="1">
      <c r="G31" s="328"/>
      <c r="H31" s="328"/>
      <c r="I31" s="328"/>
      <c r="J31" s="328"/>
      <c r="K31" s="328"/>
      <c r="L31" s="328"/>
      <c r="M31" s="328"/>
      <c r="N31" s="328"/>
      <c r="O31" s="328"/>
      <c r="P31" s="328"/>
      <c r="Q31" s="328"/>
      <c r="R31" s="328"/>
    </row>
    <row r="32" spans="1:18" s="343" customFormat="1">
      <c r="G32" s="328"/>
      <c r="H32" s="328"/>
      <c r="I32" s="328"/>
      <c r="J32" s="328"/>
      <c r="K32" s="328"/>
      <c r="L32" s="328"/>
      <c r="M32" s="328"/>
      <c r="N32" s="328"/>
      <c r="O32" s="328"/>
      <c r="P32" s="328"/>
      <c r="Q32" s="328"/>
      <c r="R32" s="328"/>
    </row>
    <row r="33" spans="7:18" s="343" customFormat="1">
      <c r="G33" s="328"/>
      <c r="H33" s="328"/>
      <c r="I33" s="328"/>
      <c r="J33" s="328"/>
      <c r="K33" s="328"/>
      <c r="L33" s="328"/>
      <c r="M33" s="328"/>
      <c r="N33" s="328"/>
      <c r="O33" s="328"/>
      <c r="P33" s="328"/>
      <c r="Q33" s="328"/>
      <c r="R33" s="328"/>
    </row>
    <row r="34" spans="7:18" s="343" customFormat="1">
      <c r="G34" s="328"/>
      <c r="H34" s="328"/>
      <c r="I34" s="328"/>
      <c r="J34" s="328"/>
      <c r="K34" s="328"/>
      <c r="L34" s="328"/>
      <c r="M34" s="328"/>
      <c r="N34" s="328"/>
      <c r="O34" s="328"/>
      <c r="P34" s="328"/>
      <c r="Q34" s="328"/>
      <c r="R34" s="328"/>
    </row>
    <row r="35" spans="7:18" s="343" customFormat="1">
      <c r="G35" s="328"/>
      <c r="H35" s="328"/>
      <c r="I35" s="328"/>
      <c r="J35" s="328"/>
      <c r="K35" s="328"/>
      <c r="L35" s="328"/>
      <c r="M35" s="328"/>
      <c r="N35" s="328"/>
      <c r="O35" s="328"/>
      <c r="P35" s="328"/>
      <c r="Q35" s="328"/>
      <c r="R35" s="328"/>
    </row>
    <row r="36" spans="7:18" s="343" customFormat="1">
      <c r="G36" s="328"/>
      <c r="H36" s="328"/>
      <c r="I36" s="328"/>
      <c r="J36" s="328"/>
      <c r="K36" s="328"/>
      <c r="L36" s="328"/>
      <c r="M36" s="328"/>
      <c r="N36" s="328"/>
      <c r="O36" s="328"/>
      <c r="P36" s="328"/>
      <c r="Q36" s="328"/>
      <c r="R36" s="328"/>
    </row>
    <row r="37" spans="7:18" s="343" customFormat="1">
      <c r="G37" s="328"/>
      <c r="H37" s="328"/>
      <c r="I37" s="328"/>
      <c r="J37" s="328"/>
      <c r="K37" s="328"/>
      <c r="L37" s="328"/>
      <c r="M37" s="328"/>
      <c r="N37" s="328"/>
      <c r="O37" s="328"/>
      <c r="P37" s="328"/>
      <c r="Q37" s="328"/>
      <c r="R37" s="328"/>
    </row>
    <row r="38" spans="7:18" s="343" customFormat="1">
      <c r="G38" s="328"/>
      <c r="H38" s="328"/>
      <c r="I38" s="328"/>
      <c r="J38" s="328"/>
      <c r="K38" s="328"/>
      <c r="L38" s="328"/>
      <c r="M38" s="328"/>
      <c r="N38" s="328"/>
      <c r="O38" s="328"/>
      <c r="P38" s="328"/>
      <c r="Q38" s="328"/>
      <c r="R38" s="328"/>
    </row>
    <row r="39" spans="7:18" s="343" customFormat="1">
      <c r="G39" s="328"/>
      <c r="H39" s="328"/>
      <c r="I39" s="328"/>
      <c r="J39" s="328"/>
      <c r="K39" s="328"/>
      <c r="L39" s="328"/>
      <c r="M39" s="328"/>
      <c r="N39" s="328"/>
      <c r="O39" s="328"/>
      <c r="P39" s="328"/>
      <c r="Q39" s="328"/>
      <c r="R39" s="328"/>
    </row>
    <row r="40" spans="7:18" s="343" customFormat="1">
      <c r="G40" s="328"/>
      <c r="H40" s="328"/>
      <c r="I40" s="328"/>
      <c r="J40" s="328"/>
      <c r="K40" s="328"/>
      <c r="L40" s="328"/>
      <c r="M40" s="328"/>
      <c r="N40" s="328"/>
      <c r="O40" s="328"/>
      <c r="P40" s="328"/>
      <c r="Q40" s="328"/>
      <c r="R40" s="328"/>
    </row>
    <row r="41" spans="7:18" s="343" customFormat="1">
      <c r="G41" s="328"/>
      <c r="H41" s="328"/>
      <c r="I41" s="328"/>
      <c r="J41" s="328"/>
      <c r="K41" s="328"/>
      <c r="L41" s="328"/>
      <c r="M41" s="328"/>
      <c r="N41" s="328"/>
      <c r="O41" s="328"/>
      <c r="P41" s="328"/>
      <c r="Q41" s="328"/>
      <c r="R41" s="328"/>
    </row>
    <row r="42" spans="7:18" s="343" customFormat="1">
      <c r="G42" s="328"/>
      <c r="H42" s="328"/>
      <c r="I42" s="328"/>
      <c r="J42" s="328"/>
      <c r="K42" s="328"/>
      <c r="L42" s="328"/>
      <c r="M42" s="328"/>
      <c r="N42" s="328"/>
      <c r="O42" s="328"/>
      <c r="P42" s="328"/>
      <c r="Q42" s="328"/>
      <c r="R42" s="328"/>
    </row>
    <row r="43" spans="7:18" s="343"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row r="47" spans="7:18" s="344" customFormat="1">
      <c r="G47" s="328"/>
      <c r="H47" s="328"/>
      <c r="I47" s="328"/>
      <c r="J47" s="328"/>
      <c r="K47" s="328"/>
      <c r="L47" s="328"/>
      <c r="M47" s="328"/>
      <c r="N47" s="328"/>
      <c r="O47" s="328"/>
      <c r="P47" s="328"/>
      <c r="Q47" s="328"/>
      <c r="R47" s="328"/>
    </row>
    <row r="48" spans="7:18" s="344" customFormat="1">
      <c r="G48" s="328"/>
      <c r="H48" s="328"/>
      <c r="I48" s="328"/>
      <c r="J48" s="328"/>
      <c r="K48" s="328"/>
      <c r="L48" s="328"/>
      <c r="M48" s="328"/>
      <c r="N48" s="328"/>
      <c r="O48" s="328"/>
      <c r="P48" s="328"/>
      <c r="Q48" s="328"/>
      <c r="R48" s="328"/>
    </row>
    <row r="49" spans="7:18" s="344" customFormat="1">
      <c r="G49" s="328"/>
      <c r="H49" s="328"/>
      <c r="I49" s="328"/>
      <c r="J49" s="328"/>
      <c r="K49" s="328"/>
      <c r="L49" s="328"/>
      <c r="M49" s="328"/>
      <c r="N49" s="328"/>
      <c r="O49" s="328"/>
      <c r="P49" s="328"/>
      <c r="Q49" s="328"/>
      <c r="R49" s="328"/>
    </row>
    <row r="50" spans="7:18" s="344" customFormat="1">
      <c r="G50" s="328"/>
      <c r="H50" s="328"/>
      <c r="I50" s="328"/>
      <c r="J50" s="328"/>
      <c r="K50" s="328"/>
      <c r="L50" s="328"/>
      <c r="M50" s="328"/>
      <c r="N50" s="328"/>
      <c r="O50" s="328"/>
      <c r="P50" s="328"/>
      <c r="Q50" s="328"/>
      <c r="R50" s="328"/>
    </row>
    <row r="51" spans="7:18" s="344" customFormat="1">
      <c r="G51" s="328"/>
      <c r="H51" s="328"/>
      <c r="I51" s="328"/>
      <c r="J51" s="328"/>
      <c r="K51" s="328"/>
      <c r="L51" s="328"/>
      <c r="M51" s="328"/>
      <c r="N51" s="328"/>
      <c r="O51" s="328"/>
      <c r="P51" s="328"/>
      <c r="Q51" s="328"/>
      <c r="R51" s="328"/>
    </row>
    <row r="52" spans="7:18" s="344" customFormat="1">
      <c r="G52" s="328"/>
      <c r="H52" s="328"/>
      <c r="I52" s="328"/>
      <c r="J52" s="328"/>
      <c r="K52" s="328"/>
      <c r="L52" s="328"/>
      <c r="M52" s="328"/>
      <c r="N52" s="328"/>
      <c r="O52" s="328"/>
      <c r="P52" s="328"/>
      <c r="Q52" s="328"/>
      <c r="R52" s="328"/>
    </row>
    <row r="53" spans="7:18" s="344" customFormat="1">
      <c r="G53" s="328"/>
      <c r="H53" s="328"/>
      <c r="I53" s="328"/>
      <c r="J53" s="328"/>
      <c r="K53" s="328"/>
      <c r="L53" s="328"/>
      <c r="M53" s="328"/>
      <c r="N53" s="328"/>
      <c r="O53" s="328"/>
      <c r="P53" s="328"/>
      <c r="Q53" s="328"/>
      <c r="R53" s="328"/>
    </row>
    <row r="54" spans="7:18" s="344" customFormat="1">
      <c r="G54" s="328"/>
      <c r="H54" s="328"/>
      <c r="I54" s="328"/>
      <c r="J54" s="328"/>
      <c r="K54" s="328"/>
      <c r="L54" s="328"/>
      <c r="M54" s="328"/>
      <c r="N54" s="328"/>
      <c r="O54" s="328"/>
      <c r="P54" s="328"/>
      <c r="Q54" s="328"/>
      <c r="R54" s="328"/>
    </row>
    <row r="55" spans="7:18" s="344" customFormat="1">
      <c r="G55" s="328"/>
      <c r="H55" s="328"/>
      <c r="I55" s="328"/>
      <c r="J55" s="328"/>
      <c r="K55" s="328"/>
      <c r="L55" s="328"/>
      <c r="M55" s="328"/>
      <c r="N55" s="328"/>
      <c r="O55" s="328"/>
      <c r="P55" s="328"/>
      <c r="Q55" s="328"/>
      <c r="R55" s="328"/>
    </row>
    <row r="56" spans="7:18" s="344" customFormat="1">
      <c r="G56" s="328"/>
      <c r="H56" s="328"/>
      <c r="I56" s="328"/>
      <c r="J56" s="328"/>
      <c r="K56" s="328"/>
      <c r="L56" s="328"/>
      <c r="M56" s="328"/>
      <c r="N56" s="328"/>
      <c r="O56" s="328"/>
      <c r="P56" s="328"/>
      <c r="Q56" s="328"/>
      <c r="R56" s="328"/>
    </row>
    <row r="57" spans="7:18" s="344" customFormat="1">
      <c r="G57" s="328"/>
      <c r="H57" s="328"/>
      <c r="I57" s="328"/>
      <c r="J57" s="328"/>
      <c r="K57" s="328"/>
      <c r="L57" s="328"/>
      <c r="M57" s="328"/>
      <c r="N57" s="328"/>
      <c r="O57" s="328"/>
      <c r="P57" s="328"/>
      <c r="Q57" s="328"/>
      <c r="R57" s="328"/>
    </row>
    <row r="58" spans="7:18" s="344" customFormat="1">
      <c r="G58" s="328"/>
      <c r="H58" s="328"/>
      <c r="I58" s="328"/>
      <c r="J58" s="328"/>
      <c r="K58" s="328"/>
      <c r="L58" s="328"/>
      <c r="M58" s="328"/>
      <c r="N58" s="328"/>
      <c r="O58" s="328"/>
      <c r="P58" s="328"/>
      <c r="Q58" s="328"/>
      <c r="R58" s="328"/>
    </row>
    <row r="59" spans="7:18" s="344" customFormat="1">
      <c r="G59" s="328"/>
      <c r="H59" s="328"/>
      <c r="I59" s="328"/>
      <c r="J59" s="328"/>
      <c r="K59" s="328"/>
      <c r="L59" s="328"/>
      <c r="M59" s="328"/>
      <c r="N59" s="328"/>
      <c r="O59" s="328"/>
      <c r="P59" s="328"/>
      <c r="Q59" s="328"/>
      <c r="R59" s="328"/>
    </row>
    <row r="60" spans="7:18" s="344" customFormat="1">
      <c r="G60" s="328"/>
      <c r="H60" s="328"/>
      <c r="I60" s="328"/>
      <c r="J60" s="328"/>
      <c r="K60" s="328"/>
      <c r="L60" s="328"/>
      <c r="M60" s="328"/>
      <c r="N60" s="328"/>
      <c r="O60" s="328"/>
      <c r="P60" s="328"/>
      <c r="Q60" s="328"/>
      <c r="R60" s="328"/>
    </row>
    <row r="61" spans="7:18" s="344" customFormat="1">
      <c r="G61" s="328"/>
      <c r="H61" s="328"/>
      <c r="I61" s="328"/>
      <c r="J61" s="328"/>
      <c r="K61" s="328"/>
      <c r="L61" s="328"/>
      <c r="M61" s="328"/>
      <c r="N61" s="328"/>
      <c r="O61" s="328"/>
      <c r="P61" s="328"/>
      <c r="Q61" s="328"/>
      <c r="R61" s="328"/>
    </row>
    <row r="62" spans="7:18" s="344" customFormat="1">
      <c r="G62" s="328"/>
      <c r="H62" s="328"/>
      <c r="I62" s="328"/>
      <c r="J62" s="328"/>
      <c r="K62" s="328"/>
      <c r="L62" s="328"/>
      <c r="M62" s="328"/>
      <c r="N62" s="328"/>
      <c r="O62" s="328"/>
      <c r="P62" s="328"/>
      <c r="Q62" s="328"/>
      <c r="R62" s="328"/>
    </row>
    <row r="63" spans="7:18" s="344" customFormat="1">
      <c r="G63" s="328"/>
      <c r="H63" s="328"/>
      <c r="I63" s="328"/>
      <c r="J63" s="328"/>
      <c r="K63" s="328"/>
      <c r="L63" s="328"/>
      <c r="M63" s="328"/>
      <c r="N63" s="328"/>
      <c r="O63" s="328"/>
      <c r="P63" s="328"/>
      <c r="Q63" s="328"/>
      <c r="R63" s="328"/>
    </row>
    <row r="64" spans="7:18" s="344" customFormat="1">
      <c r="G64" s="328"/>
      <c r="H64" s="328"/>
      <c r="I64" s="328"/>
      <c r="J64" s="328"/>
      <c r="K64" s="328"/>
      <c r="L64" s="328"/>
      <c r="M64" s="328"/>
      <c r="N64" s="328"/>
      <c r="O64" s="328"/>
      <c r="P64" s="328"/>
      <c r="Q64" s="328"/>
      <c r="R64" s="328"/>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33" customWidth="1"/>
    <col min="2" max="2" width="59.21875" style="366" customWidth="1"/>
    <col min="3" max="4" width="21.44140625" style="333" customWidth="1"/>
    <col min="5" max="5" width="41.77734375" style="329" customWidth="1"/>
    <col min="6" max="6" width="28.44140625" style="329" customWidth="1"/>
    <col min="7" max="7" width="21.44140625" style="329" customWidth="1"/>
    <col min="8" max="9" width="22.21875" style="326" customWidth="1"/>
    <col min="10" max="10" width="8.77734375" style="326"/>
    <col min="11" max="18" width="8.77734375" style="328"/>
    <col min="19" max="16384" width="8.77734375" style="333"/>
  </cols>
  <sheetData>
    <row r="1" spans="1:18" s="140" customFormat="1" ht="25.8">
      <c r="A1" s="325" t="s">
        <v>267</v>
      </c>
      <c r="B1" s="329"/>
      <c r="C1" s="327"/>
      <c r="D1" s="326"/>
      <c r="E1" s="329"/>
      <c r="F1" s="329"/>
      <c r="G1" s="329"/>
      <c r="H1" s="326"/>
      <c r="I1" s="326"/>
      <c r="J1" s="326"/>
      <c r="K1" s="328"/>
      <c r="L1" s="328"/>
      <c r="M1" s="328"/>
      <c r="N1" s="328"/>
      <c r="O1" s="328"/>
      <c r="P1" s="328"/>
      <c r="Q1" s="328"/>
      <c r="R1" s="328"/>
    </row>
    <row r="2" spans="1:18" s="138" customFormat="1" ht="25.8">
      <c r="A2" s="325" t="s">
        <v>1961</v>
      </c>
      <c r="B2" s="329"/>
      <c r="C2" s="327"/>
      <c r="D2" s="326"/>
      <c r="E2" s="329"/>
      <c r="F2" s="329"/>
      <c r="G2" s="329"/>
      <c r="H2" s="326"/>
      <c r="I2" s="326"/>
      <c r="J2" s="326"/>
      <c r="K2" s="328"/>
      <c r="L2" s="328"/>
      <c r="M2" s="328"/>
      <c r="N2" s="328"/>
      <c r="O2" s="328"/>
      <c r="P2" s="328"/>
      <c r="Q2" s="328"/>
      <c r="R2" s="328"/>
    </row>
    <row r="3" spans="1:18" s="350" customFormat="1">
      <c r="A3" s="329" t="s">
        <v>461</v>
      </c>
      <c r="B3" s="329" t="s">
        <v>268</v>
      </c>
      <c r="C3" s="326"/>
      <c r="D3" s="326"/>
      <c r="E3" s="329"/>
      <c r="F3" s="329"/>
      <c r="G3" s="329"/>
      <c r="H3" s="326"/>
      <c r="I3" s="326"/>
      <c r="J3" s="326"/>
      <c r="K3" s="328"/>
      <c r="L3" s="328"/>
      <c r="M3" s="328"/>
      <c r="N3" s="328"/>
      <c r="O3" s="328"/>
      <c r="P3" s="328"/>
      <c r="Q3" s="328"/>
      <c r="R3" s="328"/>
    </row>
    <row r="4" spans="1:18" s="140" customFormat="1">
      <c r="A4" s="329" t="s">
        <v>1755</v>
      </c>
      <c r="B4" s="329" t="s">
        <v>1962</v>
      </c>
      <c r="C4" s="326"/>
      <c r="D4" s="326"/>
      <c r="E4" s="329"/>
      <c r="F4" s="329"/>
      <c r="G4" s="329"/>
      <c r="H4" s="326"/>
      <c r="I4" s="326"/>
      <c r="J4" s="326"/>
      <c r="K4" s="328"/>
      <c r="L4" s="328"/>
      <c r="M4" s="328"/>
      <c r="N4" s="328"/>
      <c r="O4" s="328"/>
      <c r="P4" s="328"/>
      <c r="Q4" s="328"/>
      <c r="R4" s="328"/>
    </row>
    <row r="5" spans="1:18" s="140" customFormat="1" ht="27.6">
      <c r="A5" s="326" t="s">
        <v>462</v>
      </c>
      <c r="B5" s="329" t="s">
        <v>269</v>
      </c>
      <c r="C5" s="326"/>
      <c r="D5" s="326"/>
      <c r="E5" s="329"/>
      <c r="F5" s="329"/>
      <c r="G5" s="329"/>
      <c r="H5" s="326"/>
      <c r="I5" s="326"/>
      <c r="J5" s="326"/>
      <c r="K5" s="328"/>
      <c r="L5" s="328"/>
      <c r="M5" s="328"/>
      <c r="N5" s="328"/>
      <c r="O5" s="328"/>
      <c r="P5" s="328"/>
      <c r="Q5" s="328"/>
      <c r="R5" s="328"/>
    </row>
    <row r="6" spans="1:18" s="140" customFormat="1">
      <c r="A6" s="326" t="s">
        <v>1757</v>
      </c>
      <c r="B6" s="329" t="s">
        <v>1963</v>
      </c>
      <c r="C6" s="326"/>
      <c r="D6" s="326"/>
      <c r="E6" s="329"/>
      <c r="F6" s="329"/>
      <c r="G6" s="329"/>
      <c r="H6" s="326"/>
      <c r="I6" s="326"/>
      <c r="J6" s="326"/>
      <c r="K6" s="328"/>
      <c r="L6" s="328"/>
      <c r="M6" s="328"/>
      <c r="N6" s="328"/>
      <c r="O6" s="328"/>
      <c r="P6" s="328"/>
      <c r="Q6" s="328"/>
      <c r="R6" s="328"/>
    </row>
    <row r="7" spans="1:18" s="138" customFormat="1">
      <c r="A7" s="333"/>
      <c r="B7" s="366"/>
      <c r="C7" s="333"/>
      <c r="D7" s="333"/>
      <c r="E7" s="329"/>
      <c r="F7" s="329"/>
      <c r="G7" s="329" t="e">
        <f>#REF!</f>
        <v>#REF!</v>
      </c>
      <c r="H7" s="326"/>
      <c r="I7" s="326"/>
      <c r="J7" s="326"/>
      <c r="K7" s="328"/>
      <c r="L7" s="328"/>
      <c r="M7" s="328"/>
      <c r="N7" s="328"/>
      <c r="O7" s="328"/>
      <c r="P7" s="328"/>
      <c r="Q7" s="328"/>
      <c r="R7" s="328"/>
    </row>
    <row r="8" spans="1:18" s="350" customFormat="1">
      <c r="A8" s="367"/>
      <c r="B8" s="367"/>
      <c r="C8" s="367" t="s">
        <v>96</v>
      </c>
      <c r="D8" s="367" t="s">
        <v>574</v>
      </c>
      <c r="E8" s="367" t="s">
        <v>85</v>
      </c>
      <c r="F8" s="367" t="s">
        <v>1685</v>
      </c>
      <c r="G8" s="367" t="s">
        <v>1721</v>
      </c>
      <c r="H8" s="329"/>
      <c r="I8" s="326"/>
      <c r="J8" s="326"/>
      <c r="K8" s="326"/>
      <c r="L8" s="329"/>
      <c r="M8" s="329"/>
      <c r="N8" s="329"/>
      <c r="O8" s="329"/>
      <c r="P8" s="329"/>
      <c r="Q8" s="329"/>
      <c r="R8" s="329"/>
    </row>
    <row r="9" spans="1:18" s="140" customFormat="1">
      <c r="A9" s="346" t="s">
        <v>47</v>
      </c>
      <c r="B9" s="346"/>
      <c r="C9" s="347"/>
      <c r="D9" s="347"/>
      <c r="E9" s="335"/>
      <c r="F9" s="335"/>
      <c r="G9" s="335"/>
      <c r="H9" s="329"/>
      <c r="I9" s="326"/>
      <c r="J9" s="326"/>
      <c r="K9" s="328"/>
      <c r="L9" s="349"/>
      <c r="M9" s="349"/>
      <c r="N9" s="349"/>
      <c r="O9" s="349"/>
      <c r="P9" s="349"/>
      <c r="Q9" s="349"/>
      <c r="R9" s="349"/>
    </row>
    <row r="10" spans="1:18" s="140" customFormat="1" ht="41.4">
      <c r="A10" s="323" t="s">
        <v>270</v>
      </c>
      <c r="B10" s="323" t="s">
        <v>1964</v>
      </c>
      <c r="C10" s="323"/>
      <c r="D10" s="323"/>
      <c r="E10" s="340" t="s">
        <v>1635</v>
      </c>
      <c r="F10" s="340"/>
      <c r="G10" s="3"/>
      <c r="H10" s="329"/>
      <c r="I10" s="326"/>
      <c r="J10" s="326"/>
      <c r="K10" s="328"/>
      <c r="L10" s="349"/>
      <c r="M10" s="349"/>
      <c r="N10" s="349"/>
      <c r="O10" s="349"/>
      <c r="P10" s="349"/>
      <c r="Q10" s="349"/>
      <c r="R10" s="349"/>
    </row>
    <row r="11" spans="1:18" s="138" customFormat="1">
      <c r="A11" s="346" t="s">
        <v>54</v>
      </c>
      <c r="B11" s="346"/>
      <c r="C11" s="347"/>
      <c r="D11" s="347"/>
      <c r="E11" s="335" t="s">
        <v>1868</v>
      </c>
      <c r="F11" s="335"/>
      <c r="G11" s="335"/>
      <c r="H11" s="329"/>
      <c r="I11" s="326"/>
      <c r="J11" s="326"/>
      <c r="K11" s="328"/>
      <c r="L11" s="349"/>
      <c r="M11" s="349"/>
      <c r="N11" s="349"/>
      <c r="O11" s="349"/>
      <c r="P11" s="349"/>
      <c r="Q11" s="349"/>
      <c r="R11" s="349"/>
    </row>
    <row r="12" spans="1:18" s="350" customFormat="1" ht="37.5" customHeight="1">
      <c r="A12" s="323" t="s">
        <v>271</v>
      </c>
      <c r="B12" s="323" t="s">
        <v>1965</v>
      </c>
      <c r="C12" s="323"/>
      <c r="D12" s="323"/>
      <c r="E12" s="340" t="s">
        <v>272</v>
      </c>
      <c r="F12" s="340"/>
      <c r="G12" s="3"/>
      <c r="H12" s="329"/>
      <c r="I12" s="326"/>
      <c r="J12" s="326"/>
      <c r="K12" s="328"/>
      <c r="L12" s="349"/>
      <c r="M12" s="349"/>
      <c r="N12" s="349"/>
      <c r="O12" s="349"/>
      <c r="P12" s="349"/>
      <c r="Q12" s="349"/>
      <c r="R12" s="349"/>
    </row>
    <row r="13" spans="1:18" s="140" customFormat="1" ht="58.5" customHeight="1">
      <c r="A13" s="323" t="s">
        <v>273</v>
      </c>
      <c r="B13" s="323" t="s">
        <v>1966</v>
      </c>
      <c r="C13" s="323"/>
      <c r="D13" s="323"/>
      <c r="E13" s="340" t="s">
        <v>1636</v>
      </c>
      <c r="F13" s="340"/>
      <c r="G13" s="3"/>
      <c r="H13" s="329"/>
      <c r="I13" s="326"/>
      <c r="J13" s="326"/>
      <c r="K13" s="328"/>
      <c r="L13" s="349"/>
      <c r="M13" s="349"/>
      <c r="N13" s="349"/>
      <c r="O13" s="349"/>
      <c r="P13" s="349"/>
      <c r="Q13" s="349"/>
      <c r="R13" s="349"/>
    </row>
    <row r="14" spans="1:18" s="140" customFormat="1">
      <c r="A14" s="346" t="s">
        <v>56</v>
      </c>
      <c r="B14" s="346"/>
      <c r="C14" s="347"/>
      <c r="D14" s="347"/>
      <c r="E14" s="335" t="s">
        <v>1868</v>
      </c>
      <c r="F14" s="335"/>
      <c r="G14" s="335"/>
      <c r="H14" s="329"/>
      <c r="I14" s="326"/>
      <c r="J14" s="326"/>
      <c r="K14" s="328"/>
      <c r="L14" s="349"/>
      <c r="M14" s="349"/>
      <c r="N14" s="349"/>
      <c r="O14" s="349"/>
      <c r="P14" s="349"/>
      <c r="Q14" s="349"/>
      <c r="R14" s="349"/>
    </row>
    <row r="15" spans="1:18" s="138" customFormat="1" ht="41.4">
      <c r="A15" s="323" t="s">
        <v>274</v>
      </c>
      <c r="B15" s="323" t="s">
        <v>1967</v>
      </c>
      <c r="C15" s="323"/>
      <c r="D15" s="323"/>
      <c r="E15" s="340" t="s">
        <v>275</v>
      </c>
      <c r="F15" s="340"/>
      <c r="G15" s="3"/>
      <c r="H15" s="329"/>
      <c r="I15" s="326"/>
      <c r="J15" s="326"/>
      <c r="K15" s="328"/>
      <c r="L15" s="349"/>
      <c r="M15" s="349"/>
      <c r="N15" s="349"/>
      <c r="O15" s="349"/>
      <c r="P15" s="349"/>
      <c r="Q15" s="349"/>
      <c r="R15" s="349"/>
    </row>
    <row r="16" spans="1:18" s="350" customFormat="1" ht="55.2">
      <c r="A16" s="323" t="s">
        <v>276</v>
      </c>
      <c r="B16" s="323" t="s">
        <v>1968</v>
      </c>
      <c r="C16" s="323"/>
      <c r="D16" s="323"/>
      <c r="E16" s="340" t="s">
        <v>1637</v>
      </c>
      <c r="F16" s="340"/>
      <c r="G16" s="3"/>
      <c r="H16" s="329"/>
      <c r="I16" s="326"/>
      <c r="J16" s="326"/>
      <c r="K16" s="328"/>
      <c r="L16" s="349"/>
      <c r="M16" s="349"/>
      <c r="N16" s="349"/>
      <c r="O16" s="349"/>
      <c r="P16" s="349"/>
      <c r="Q16" s="349"/>
      <c r="R16" s="349"/>
    </row>
    <row r="17" spans="1:18" s="140" customFormat="1" ht="41.4">
      <c r="A17" s="323" t="s">
        <v>277</v>
      </c>
      <c r="B17" s="323" t="s">
        <v>1969</v>
      </c>
      <c r="C17" s="323"/>
      <c r="D17" s="323"/>
      <c r="E17" s="340" t="s">
        <v>278</v>
      </c>
      <c r="F17" s="340"/>
      <c r="G17" s="3"/>
      <c r="H17" s="329"/>
      <c r="I17" s="326"/>
      <c r="J17" s="326"/>
      <c r="K17" s="328"/>
      <c r="L17" s="349"/>
      <c r="M17" s="349"/>
      <c r="N17" s="349"/>
      <c r="O17" s="349"/>
      <c r="P17" s="349"/>
      <c r="Q17" s="349"/>
      <c r="R17" s="349"/>
    </row>
    <row r="18" spans="1:18" s="140" customFormat="1" ht="41.4">
      <c r="A18" s="323" t="s">
        <v>279</v>
      </c>
      <c r="B18" s="323" t="s">
        <v>1970</v>
      </c>
      <c r="C18" s="323"/>
      <c r="D18" s="323"/>
      <c r="E18" s="340" t="s">
        <v>280</v>
      </c>
      <c r="F18" s="340"/>
      <c r="G18" s="3"/>
      <c r="H18" s="329"/>
      <c r="I18" s="326"/>
      <c r="J18" s="326"/>
      <c r="K18" s="328"/>
      <c r="L18" s="349"/>
      <c r="M18" s="349"/>
      <c r="N18" s="349"/>
      <c r="O18" s="349"/>
      <c r="P18" s="349"/>
      <c r="Q18" s="349"/>
      <c r="R18" s="349"/>
    </row>
    <row r="19" spans="1:18" s="138" customFormat="1" ht="41.4">
      <c r="A19" s="323" t="s">
        <v>281</v>
      </c>
      <c r="B19" s="323" t="s">
        <v>1971</v>
      </c>
      <c r="C19" s="323"/>
      <c r="D19" s="323"/>
      <c r="E19" s="340" t="s">
        <v>282</v>
      </c>
      <c r="F19" s="340"/>
      <c r="G19" s="3"/>
      <c r="H19" s="329"/>
      <c r="I19" s="326"/>
      <c r="J19" s="326"/>
      <c r="K19" s="328"/>
      <c r="L19" s="349"/>
      <c r="M19" s="349"/>
      <c r="N19" s="349"/>
      <c r="O19" s="349"/>
      <c r="P19" s="349"/>
      <c r="Q19" s="349"/>
      <c r="R19" s="349"/>
    </row>
    <row r="20" spans="1:18" s="350" customFormat="1">
      <c r="E20" s="329"/>
      <c r="F20" s="329"/>
      <c r="G20" s="329"/>
      <c r="H20" s="329"/>
      <c r="I20" s="326"/>
      <c r="J20" s="326"/>
      <c r="K20" s="328"/>
      <c r="L20" s="349"/>
      <c r="M20" s="349"/>
      <c r="N20" s="349"/>
      <c r="O20" s="349"/>
      <c r="P20" s="349"/>
      <c r="Q20" s="349"/>
      <c r="R20" s="349"/>
    </row>
    <row r="21" spans="1:18" s="343" customFormat="1">
      <c r="B21" s="350"/>
      <c r="E21" s="329"/>
      <c r="F21" s="329"/>
      <c r="G21" s="329"/>
      <c r="H21" s="326"/>
      <c r="I21" s="326"/>
      <c r="J21" s="326"/>
      <c r="K21" s="328"/>
      <c r="L21" s="328"/>
      <c r="M21" s="328"/>
      <c r="N21" s="328"/>
      <c r="O21" s="328"/>
      <c r="P21" s="328"/>
      <c r="Q21" s="328"/>
      <c r="R21" s="328"/>
    </row>
    <row r="22" spans="1:18" s="343" customFormat="1">
      <c r="B22" s="350"/>
      <c r="E22" s="329"/>
      <c r="F22" s="329"/>
      <c r="G22" s="329"/>
      <c r="H22" s="326"/>
      <c r="I22" s="326"/>
      <c r="J22" s="326"/>
      <c r="K22" s="328"/>
      <c r="L22" s="328"/>
      <c r="M22" s="328"/>
      <c r="N22" s="328"/>
      <c r="O22" s="328"/>
      <c r="P22" s="328"/>
      <c r="Q22" s="328"/>
      <c r="R22" s="328"/>
    </row>
    <row r="23" spans="1:18" s="343" customFormat="1">
      <c r="B23" s="350"/>
      <c r="E23" s="329"/>
      <c r="F23" s="329"/>
      <c r="G23" s="329"/>
      <c r="H23" s="326"/>
      <c r="I23" s="326"/>
      <c r="J23" s="326"/>
      <c r="K23" s="328"/>
      <c r="L23" s="328"/>
      <c r="M23" s="328"/>
      <c r="N23" s="328"/>
      <c r="O23" s="328"/>
      <c r="P23" s="328"/>
      <c r="Q23" s="328"/>
      <c r="R23" s="328"/>
    </row>
    <row r="24" spans="1:18" s="343" customFormat="1">
      <c r="B24" s="350"/>
      <c r="E24" s="329"/>
      <c r="F24" s="329"/>
      <c r="G24" s="329"/>
      <c r="H24" s="326"/>
      <c r="I24" s="326"/>
      <c r="J24" s="326"/>
      <c r="K24" s="328"/>
      <c r="L24" s="328"/>
      <c r="M24" s="328"/>
      <c r="N24" s="328"/>
      <c r="O24" s="328"/>
      <c r="P24" s="328"/>
      <c r="Q24" s="328"/>
      <c r="R24" s="328"/>
    </row>
    <row r="25" spans="1:18" s="343" customFormat="1">
      <c r="B25" s="350"/>
      <c r="E25" s="329"/>
      <c r="F25" s="329"/>
      <c r="G25" s="329"/>
      <c r="H25" s="326"/>
      <c r="I25" s="326"/>
      <c r="J25" s="326"/>
      <c r="K25" s="328"/>
      <c r="L25" s="328"/>
      <c r="M25" s="328"/>
      <c r="N25" s="328"/>
      <c r="O25" s="328"/>
      <c r="P25" s="328"/>
      <c r="Q25" s="328"/>
      <c r="R25" s="328"/>
    </row>
    <row r="26" spans="1:18" s="343" customFormat="1">
      <c r="B26" s="350"/>
      <c r="E26" s="329"/>
      <c r="F26" s="329"/>
      <c r="G26" s="329"/>
      <c r="H26" s="326"/>
      <c r="I26" s="326"/>
      <c r="J26" s="326"/>
      <c r="K26" s="328"/>
      <c r="L26" s="328"/>
      <c r="M26" s="328"/>
      <c r="N26" s="328"/>
      <c r="O26" s="328"/>
      <c r="P26" s="328"/>
      <c r="Q26" s="328"/>
      <c r="R26" s="328"/>
    </row>
    <row r="27" spans="1:18" s="344" customFormat="1">
      <c r="B27" s="368"/>
      <c r="E27" s="329"/>
      <c r="F27" s="329"/>
      <c r="G27" s="329"/>
      <c r="H27" s="326"/>
      <c r="J27" s="326"/>
      <c r="K27" s="328"/>
      <c r="L27" s="328"/>
      <c r="M27" s="328"/>
      <c r="N27" s="328"/>
      <c r="O27" s="328"/>
      <c r="P27" s="328"/>
      <c r="Q27" s="328"/>
      <c r="R27" s="328"/>
    </row>
    <row r="28" spans="1:18" s="344" customFormat="1">
      <c r="B28" s="368"/>
      <c r="E28" s="329"/>
      <c r="F28" s="329"/>
      <c r="G28" s="329"/>
      <c r="H28" s="326"/>
      <c r="I28" s="326"/>
      <c r="J28" s="326"/>
      <c r="K28" s="328"/>
      <c r="L28" s="328"/>
      <c r="M28" s="328"/>
      <c r="N28" s="328"/>
      <c r="O28" s="328"/>
      <c r="P28" s="328"/>
      <c r="Q28" s="328"/>
      <c r="R28" s="328"/>
    </row>
    <row r="29" spans="1:18" s="344" customFormat="1">
      <c r="B29" s="368"/>
      <c r="E29" s="329"/>
      <c r="F29" s="329"/>
      <c r="G29" s="329"/>
      <c r="H29" s="326"/>
      <c r="I29" s="326"/>
      <c r="J29" s="326"/>
      <c r="K29" s="328"/>
      <c r="L29" s="328"/>
      <c r="M29" s="328"/>
      <c r="N29" s="328"/>
      <c r="O29" s="328"/>
      <c r="P29" s="328"/>
      <c r="Q29" s="328"/>
      <c r="R29" s="328"/>
    </row>
    <row r="30" spans="1:18" s="344" customFormat="1">
      <c r="B30" s="368"/>
      <c r="E30" s="329"/>
      <c r="F30" s="329"/>
      <c r="G30" s="329"/>
      <c r="H30" s="326"/>
      <c r="I30" s="326"/>
      <c r="J30" s="326"/>
      <c r="K30" s="328"/>
      <c r="L30" s="328"/>
      <c r="M30" s="328"/>
      <c r="N30" s="328"/>
      <c r="O30" s="328"/>
      <c r="P30" s="328"/>
      <c r="Q30" s="328"/>
      <c r="R30" s="328"/>
    </row>
    <row r="31" spans="1:18" s="344" customFormat="1">
      <c r="B31" s="368"/>
      <c r="E31" s="329"/>
      <c r="F31" s="329"/>
      <c r="G31" s="329"/>
      <c r="H31" s="326"/>
      <c r="I31" s="326"/>
      <c r="J31" s="326"/>
      <c r="K31" s="328"/>
      <c r="L31" s="328"/>
      <c r="M31" s="328"/>
      <c r="N31" s="328"/>
      <c r="O31" s="328"/>
      <c r="P31" s="328"/>
      <c r="Q31" s="328"/>
      <c r="R31" s="328"/>
    </row>
    <row r="32" spans="1:18" s="344" customFormat="1">
      <c r="B32" s="368"/>
      <c r="E32" s="329"/>
      <c r="F32" s="329"/>
      <c r="G32" s="329"/>
      <c r="H32" s="326"/>
      <c r="I32" s="326"/>
      <c r="J32" s="326"/>
      <c r="K32" s="328"/>
      <c r="L32" s="328"/>
      <c r="M32" s="328"/>
      <c r="N32" s="328"/>
      <c r="O32" s="328"/>
      <c r="P32" s="328"/>
      <c r="Q32" s="328"/>
      <c r="R32" s="328"/>
    </row>
    <row r="33" spans="2:18" s="344" customFormat="1">
      <c r="B33" s="368"/>
      <c r="E33" s="329"/>
      <c r="F33" s="329"/>
      <c r="G33" s="329"/>
      <c r="H33" s="326"/>
      <c r="I33" s="326"/>
      <c r="J33" s="326"/>
      <c r="K33" s="328"/>
      <c r="L33" s="328"/>
      <c r="M33" s="328"/>
      <c r="N33" s="328"/>
      <c r="O33" s="328"/>
      <c r="P33" s="328"/>
      <c r="Q33" s="328"/>
      <c r="R33" s="328"/>
    </row>
    <row r="34" spans="2:18" s="344" customFormat="1">
      <c r="B34" s="368"/>
      <c r="E34" s="329"/>
      <c r="F34" s="329"/>
      <c r="G34" s="329"/>
      <c r="H34" s="326"/>
      <c r="I34" s="326"/>
      <c r="J34" s="326"/>
      <c r="K34" s="328"/>
      <c r="L34" s="328"/>
      <c r="M34" s="328"/>
      <c r="N34" s="328"/>
      <c r="O34" s="328"/>
      <c r="P34" s="328"/>
      <c r="Q34" s="328"/>
      <c r="R34" s="328"/>
    </row>
    <row r="35" spans="2:18" s="344" customFormat="1">
      <c r="B35" s="368"/>
      <c r="E35" s="329"/>
      <c r="F35" s="329"/>
      <c r="G35" s="329"/>
      <c r="H35" s="326"/>
      <c r="I35" s="326"/>
      <c r="J35" s="326"/>
      <c r="K35" s="328"/>
      <c r="L35" s="328"/>
      <c r="M35" s="328"/>
      <c r="N35" s="328"/>
      <c r="O35" s="328"/>
      <c r="P35" s="328"/>
      <c r="Q35" s="328"/>
      <c r="R35" s="328"/>
    </row>
    <row r="36" spans="2:18" s="344" customFormat="1">
      <c r="B36" s="368"/>
      <c r="E36" s="329"/>
      <c r="F36" s="329"/>
      <c r="G36" s="329"/>
      <c r="H36" s="326"/>
      <c r="I36" s="326"/>
      <c r="J36" s="326"/>
      <c r="K36" s="328"/>
      <c r="L36" s="328"/>
      <c r="M36" s="328"/>
      <c r="N36" s="328"/>
      <c r="O36" s="328"/>
      <c r="P36" s="328"/>
      <c r="Q36" s="328"/>
      <c r="R36" s="328"/>
    </row>
    <row r="37" spans="2:18" s="344" customFormat="1">
      <c r="B37" s="368"/>
      <c r="E37" s="329"/>
      <c r="F37" s="329"/>
      <c r="G37" s="329"/>
      <c r="H37" s="326"/>
      <c r="I37" s="326"/>
      <c r="J37" s="326"/>
      <c r="K37" s="328"/>
      <c r="L37" s="328"/>
      <c r="M37" s="328"/>
      <c r="N37" s="328"/>
      <c r="O37" s="328"/>
      <c r="P37" s="328"/>
      <c r="Q37" s="328"/>
      <c r="R37" s="328"/>
    </row>
    <row r="38" spans="2:18" s="344" customFormat="1">
      <c r="B38" s="368"/>
      <c r="E38" s="329"/>
      <c r="F38" s="329"/>
      <c r="G38" s="329"/>
      <c r="H38" s="326"/>
      <c r="I38" s="326"/>
      <c r="J38" s="326"/>
      <c r="K38" s="328"/>
      <c r="L38" s="328"/>
      <c r="M38" s="328"/>
      <c r="N38" s="328"/>
      <c r="O38" s="328"/>
      <c r="P38" s="328"/>
      <c r="Q38" s="328"/>
      <c r="R38" s="328"/>
    </row>
    <row r="39" spans="2:18" s="344" customFormat="1">
      <c r="B39" s="368"/>
      <c r="E39" s="329"/>
      <c r="F39" s="329"/>
      <c r="G39" s="329"/>
      <c r="H39" s="326"/>
      <c r="I39" s="326"/>
      <c r="J39" s="326"/>
      <c r="K39" s="328"/>
      <c r="L39" s="328"/>
      <c r="M39" s="328"/>
      <c r="N39" s="328"/>
      <c r="O39" s="328"/>
      <c r="P39" s="328"/>
      <c r="Q39" s="328"/>
      <c r="R39" s="328"/>
    </row>
    <row r="40" spans="2:18" s="344" customFormat="1">
      <c r="B40" s="368"/>
      <c r="E40" s="329"/>
      <c r="F40" s="329"/>
      <c r="G40" s="329"/>
      <c r="H40" s="326"/>
      <c r="I40" s="326"/>
      <c r="J40" s="326"/>
      <c r="K40" s="328"/>
      <c r="L40" s="328"/>
      <c r="M40" s="328"/>
      <c r="N40" s="328"/>
      <c r="O40" s="328"/>
      <c r="P40" s="328"/>
      <c r="Q40" s="328"/>
      <c r="R40" s="328"/>
    </row>
    <row r="41" spans="2:18" s="344" customFormat="1">
      <c r="B41" s="368"/>
      <c r="E41" s="329"/>
      <c r="F41" s="329"/>
      <c r="G41" s="329"/>
      <c r="H41" s="326"/>
      <c r="I41" s="326"/>
      <c r="J41" s="326"/>
      <c r="K41" s="328"/>
      <c r="L41" s="328"/>
      <c r="M41" s="328"/>
      <c r="N41" s="328"/>
      <c r="O41" s="328"/>
      <c r="P41" s="328"/>
      <c r="Q41" s="328"/>
      <c r="R41" s="328"/>
    </row>
    <row r="42" spans="2:18" s="344" customFormat="1">
      <c r="B42" s="368"/>
      <c r="E42" s="329"/>
      <c r="F42" s="329"/>
      <c r="G42" s="329"/>
      <c r="H42" s="326"/>
      <c r="I42" s="326"/>
      <c r="J42" s="326"/>
      <c r="K42" s="328"/>
      <c r="L42" s="328"/>
      <c r="M42" s="328"/>
      <c r="N42" s="328"/>
      <c r="O42" s="328"/>
      <c r="P42" s="328"/>
      <c r="Q42" s="328"/>
      <c r="R42" s="328"/>
    </row>
    <row r="43" spans="2:18" s="344" customFormat="1">
      <c r="B43" s="368"/>
      <c r="E43" s="329"/>
      <c r="F43" s="329"/>
      <c r="G43" s="329"/>
      <c r="H43" s="326"/>
      <c r="I43" s="326"/>
      <c r="J43" s="326"/>
      <c r="K43" s="328"/>
      <c r="L43" s="328"/>
      <c r="M43" s="328"/>
      <c r="N43" s="328"/>
      <c r="O43" s="328"/>
      <c r="P43" s="328"/>
      <c r="Q43" s="328"/>
      <c r="R43" s="328"/>
    </row>
    <row r="44" spans="2:18" s="344" customFormat="1">
      <c r="B44" s="368"/>
      <c r="E44" s="329"/>
      <c r="F44" s="329"/>
      <c r="G44" s="329"/>
      <c r="H44" s="326"/>
      <c r="I44" s="326"/>
      <c r="J44" s="326"/>
      <c r="K44" s="328"/>
      <c r="L44" s="328"/>
      <c r="M44" s="328"/>
      <c r="N44" s="328"/>
      <c r="O44" s="328"/>
      <c r="P44" s="328"/>
      <c r="Q44" s="328"/>
      <c r="R44" s="328"/>
    </row>
    <row r="45" spans="2:18" s="344" customFormat="1">
      <c r="B45" s="368"/>
      <c r="E45" s="329"/>
      <c r="F45" s="329"/>
      <c r="G45" s="329"/>
      <c r="H45" s="326"/>
      <c r="I45" s="326"/>
      <c r="J45" s="326"/>
      <c r="K45" s="328"/>
      <c r="L45" s="328"/>
      <c r="M45" s="328"/>
      <c r="N45" s="328"/>
      <c r="O45" s="328"/>
      <c r="P45" s="328"/>
      <c r="Q45" s="328"/>
      <c r="R45" s="328"/>
    </row>
    <row r="46" spans="2:18" s="344" customFormat="1">
      <c r="B46" s="368"/>
      <c r="E46" s="329"/>
      <c r="F46" s="329"/>
      <c r="G46" s="329"/>
      <c r="H46" s="326"/>
      <c r="I46" s="326"/>
      <c r="J46" s="326"/>
      <c r="K46" s="328"/>
      <c r="L46" s="328"/>
      <c r="M46" s="328"/>
      <c r="N46" s="328"/>
      <c r="O46" s="328"/>
      <c r="P46" s="328"/>
      <c r="Q46" s="328"/>
      <c r="R46" s="328"/>
    </row>
    <row r="47" spans="2:18" s="344" customFormat="1">
      <c r="B47" s="368"/>
      <c r="E47" s="329"/>
      <c r="F47" s="329"/>
      <c r="G47" s="329"/>
      <c r="H47" s="326"/>
      <c r="I47" s="326"/>
      <c r="J47" s="326"/>
      <c r="K47" s="328"/>
      <c r="L47" s="328"/>
      <c r="M47" s="328"/>
      <c r="N47" s="328"/>
      <c r="O47" s="328"/>
      <c r="P47" s="328"/>
      <c r="Q47" s="328"/>
      <c r="R47" s="328"/>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6" customWidth="1"/>
    <col min="2" max="2" width="61" style="326" customWidth="1"/>
    <col min="3" max="4" width="21.44140625" style="326" customWidth="1"/>
    <col min="5" max="6" width="35.44140625" style="326" customWidth="1"/>
    <col min="7" max="7" width="21.44140625" style="328" customWidth="1"/>
    <col min="8" max="10" width="8.77734375" style="326" customWidth="1"/>
    <col min="11" max="11" width="8.77734375" style="328"/>
    <col min="12" max="12" width="8.77734375" style="326"/>
    <col min="13" max="18" width="8.77734375" style="328"/>
    <col min="19" max="16384" width="8.77734375" style="326"/>
  </cols>
  <sheetData>
    <row r="1" spans="1:18" s="350" customFormat="1" ht="25.8">
      <c r="A1" s="325" t="s">
        <v>320</v>
      </c>
      <c r="B1" s="326"/>
      <c r="C1" s="327"/>
      <c r="D1" s="326"/>
      <c r="E1" s="326"/>
      <c r="F1" s="326"/>
      <c r="G1" s="328"/>
      <c r="H1" s="326"/>
      <c r="I1" s="326"/>
      <c r="J1" s="326"/>
      <c r="K1" s="328"/>
      <c r="L1" s="326"/>
      <c r="M1" s="328"/>
      <c r="N1" s="328"/>
      <c r="O1" s="328"/>
      <c r="P1" s="328"/>
      <c r="Q1" s="328"/>
      <c r="R1" s="328"/>
    </row>
    <row r="2" spans="1:18" s="140" customFormat="1" ht="25.8">
      <c r="A2" s="325" t="s">
        <v>1972</v>
      </c>
      <c r="B2" s="326"/>
      <c r="C2" s="327"/>
      <c r="D2" s="326"/>
      <c r="E2" s="326"/>
      <c r="F2" s="326"/>
      <c r="G2" s="328"/>
      <c r="H2" s="326"/>
      <c r="I2" s="326"/>
      <c r="J2" s="326"/>
      <c r="K2" s="328"/>
      <c r="L2" s="326"/>
      <c r="M2" s="328"/>
      <c r="N2" s="328"/>
      <c r="O2" s="328"/>
      <c r="P2" s="328"/>
      <c r="Q2" s="328"/>
      <c r="R2" s="328"/>
    </row>
    <row r="3" spans="1:18" s="140" customFormat="1" ht="248.4">
      <c r="A3" s="329" t="s">
        <v>461</v>
      </c>
      <c r="B3" s="329" t="s">
        <v>1973</v>
      </c>
      <c r="C3" s="326"/>
      <c r="D3" s="326"/>
      <c r="E3" s="326"/>
      <c r="F3" s="326"/>
      <c r="G3" s="328"/>
      <c r="H3" s="326"/>
      <c r="I3" s="326"/>
      <c r="J3" s="326"/>
      <c r="K3" s="328"/>
      <c r="L3" s="326"/>
      <c r="M3" s="328"/>
      <c r="N3" s="328"/>
      <c r="O3" s="328"/>
      <c r="P3" s="328"/>
      <c r="Q3" s="328"/>
      <c r="R3" s="328"/>
    </row>
    <row r="4" spans="1:18" s="138" customFormat="1" ht="69">
      <c r="A4" s="329" t="s">
        <v>1755</v>
      </c>
      <c r="B4" s="329" t="s">
        <v>1974</v>
      </c>
      <c r="C4" s="326"/>
      <c r="D4" s="326"/>
      <c r="E4" s="326"/>
      <c r="F4" s="326"/>
      <c r="G4" s="328"/>
      <c r="H4" s="326"/>
      <c r="I4" s="326"/>
      <c r="J4" s="326"/>
      <c r="K4" s="328"/>
      <c r="L4" s="326"/>
      <c r="M4" s="328"/>
      <c r="N4" s="328"/>
      <c r="O4" s="328"/>
      <c r="P4" s="328"/>
      <c r="Q4" s="328"/>
      <c r="R4" s="328"/>
    </row>
    <row r="5" spans="1:18" s="350" customFormat="1">
      <c r="A5" s="326" t="s">
        <v>462</v>
      </c>
      <c r="B5" s="326" t="s">
        <v>321</v>
      </c>
      <c r="C5" s="326"/>
      <c r="D5" s="326"/>
      <c r="E5" s="326"/>
      <c r="F5" s="326"/>
      <c r="G5" s="328"/>
      <c r="H5" s="326"/>
      <c r="I5" s="326"/>
      <c r="J5" s="326"/>
      <c r="K5" s="328"/>
      <c r="L5" s="326"/>
      <c r="M5" s="328"/>
      <c r="N5" s="328"/>
      <c r="O5" s="328"/>
      <c r="P5" s="328"/>
      <c r="Q5" s="328"/>
      <c r="R5" s="328"/>
    </row>
    <row r="6" spans="1:18" s="350" customFormat="1">
      <c r="A6" s="326" t="s">
        <v>1757</v>
      </c>
      <c r="B6" s="326" t="s">
        <v>1975</v>
      </c>
      <c r="C6" s="326"/>
      <c r="D6" s="326"/>
      <c r="E6" s="326"/>
      <c r="F6" s="326"/>
      <c r="G6" s="328"/>
      <c r="H6" s="326"/>
      <c r="I6" s="326"/>
      <c r="J6" s="326"/>
      <c r="K6" s="328"/>
      <c r="L6" s="326"/>
      <c r="M6" s="328"/>
      <c r="N6" s="328"/>
      <c r="O6" s="328"/>
      <c r="P6" s="328"/>
      <c r="Q6" s="328"/>
      <c r="R6" s="328"/>
    </row>
    <row r="7" spans="1:18" s="350" customFormat="1">
      <c r="A7" s="326"/>
      <c r="B7" s="326"/>
      <c r="C7" s="326"/>
      <c r="D7" s="326"/>
      <c r="E7" s="326"/>
      <c r="F7" s="326"/>
      <c r="G7" s="363"/>
      <c r="H7" s="326"/>
      <c r="I7" s="326"/>
      <c r="J7" s="326"/>
      <c r="K7" s="328"/>
      <c r="L7" s="326"/>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26"/>
      <c r="I9" s="326"/>
      <c r="J9" s="326"/>
      <c r="K9" s="349"/>
      <c r="L9" s="326"/>
      <c r="M9" s="349"/>
      <c r="N9" s="349"/>
      <c r="O9" s="349"/>
      <c r="P9" s="349"/>
      <c r="Q9" s="349"/>
      <c r="R9" s="349"/>
    </row>
    <row r="10" spans="1:18" s="138" customFormat="1" ht="41.4">
      <c r="A10" s="323" t="s">
        <v>322</v>
      </c>
      <c r="B10" s="323" t="s">
        <v>1976</v>
      </c>
      <c r="C10" s="323"/>
      <c r="D10" s="323"/>
      <c r="E10" s="351" t="s">
        <v>323</v>
      </c>
      <c r="F10" s="351"/>
      <c r="G10" s="352"/>
      <c r="H10" s="326"/>
      <c r="I10" s="326"/>
      <c r="J10" s="326"/>
      <c r="K10" s="349"/>
      <c r="L10" s="326"/>
      <c r="M10" s="349"/>
      <c r="N10" s="349"/>
      <c r="O10" s="349"/>
      <c r="P10" s="349"/>
      <c r="Q10" s="349"/>
      <c r="R10" s="349"/>
    </row>
    <row r="11" spans="1:18" s="350" customFormat="1" ht="27.6">
      <c r="A11" s="323" t="s">
        <v>324</v>
      </c>
      <c r="B11" s="323" t="s">
        <v>1977</v>
      </c>
      <c r="C11" s="323"/>
      <c r="D11" s="323"/>
      <c r="E11" s="351" t="s">
        <v>325</v>
      </c>
      <c r="F11" s="351"/>
      <c r="G11" s="352"/>
      <c r="H11" s="326"/>
      <c r="I11" s="326"/>
      <c r="J11" s="326"/>
      <c r="K11" s="349"/>
      <c r="L11" s="326"/>
      <c r="M11" s="349"/>
      <c r="N11" s="349"/>
      <c r="O11" s="349"/>
      <c r="P11" s="349"/>
      <c r="Q11" s="349"/>
      <c r="R11" s="349"/>
    </row>
    <row r="12" spans="1:18" s="140" customFormat="1">
      <c r="A12" s="346" t="s">
        <v>54</v>
      </c>
      <c r="B12" s="346"/>
      <c r="C12" s="347"/>
      <c r="D12" s="347"/>
      <c r="E12" s="347" t="s">
        <v>1868</v>
      </c>
      <c r="F12" s="347"/>
      <c r="G12" s="348"/>
      <c r="H12" s="326"/>
      <c r="I12" s="326"/>
      <c r="J12" s="326"/>
      <c r="K12" s="349"/>
      <c r="L12" s="326"/>
      <c r="M12" s="349"/>
      <c r="N12" s="349"/>
      <c r="O12" s="349"/>
      <c r="P12" s="349"/>
      <c r="Q12" s="349"/>
      <c r="R12" s="349"/>
    </row>
    <row r="13" spans="1:18" s="140" customFormat="1" ht="41.4">
      <c r="A13" s="323" t="s">
        <v>326</v>
      </c>
      <c r="B13" s="323" t="s">
        <v>1978</v>
      </c>
      <c r="C13" s="323"/>
      <c r="D13" s="323"/>
      <c r="E13" s="351" t="s">
        <v>327</v>
      </c>
      <c r="F13" s="351"/>
      <c r="G13" s="352"/>
      <c r="H13" s="326"/>
      <c r="I13" s="326"/>
      <c r="J13" s="326"/>
      <c r="K13" s="349"/>
      <c r="L13" s="326"/>
      <c r="M13" s="349"/>
      <c r="N13" s="349"/>
      <c r="O13" s="349"/>
      <c r="P13" s="349"/>
      <c r="Q13" s="349"/>
      <c r="R13" s="349"/>
    </row>
    <row r="14" spans="1:18" s="138" customFormat="1" ht="69">
      <c r="A14" s="323" t="s">
        <v>328</v>
      </c>
      <c r="B14" s="323" t="s">
        <v>1979</v>
      </c>
      <c r="C14" s="323"/>
      <c r="D14" s="323"/>
      <c r="E14" s="351" t="s">
        <v>1656</v>
      </c>
      <c r="F14" s="351"/>
      <c r="G14" s="352"/>
      <c r="H14" s="326"/>
      <c r="I14" s="326"/>
      <c r="J14" s="326"/>
      <c r="K14" s="349"/>
      <c r="L14" s="326"/>
      <c r="M14" s="349"/>
      <c r="N14" s="349"/>
      <c r="O14" s="349"/>
      <c r="P14" s="349"/>
      <c r="Q14" s="349"/>
      <c r="R14" s="349"/>
    </row>
    <row r="15" spans="1:18" s="350" customFormat="1" ht="41.4">
      <c r="A15" s="323" t="s">
        <v>329</v>
      </c>
      <c r="B15" s="323" t="s">
        <v>1980</v>
      </c>
      <c r="C15" s="323"/>
      <c r="D15" s="323"/>
      <c r="E15" s="351" t="s">
        <v>1657</v>
      </c>
      <c r="F15" s="351"/>
      <c r="G15" s="352"/>
      <c r="H15" s="326"/>
      <c r="I15" s="326"/>
      <c r="J15" s="326"/>
      <c r="K15" s="349"/>
      <c r="L15" s="326"/>
      <c r="M15" s="349"/>
      <c r="N15" s="349"/>
      <c r="O15" s="349"/>
      <c r="P15" s="349"/>
      <c r="Q15" s="349"/>
      <c r="R15" s="349"/>
    </row>
    <row r="16" spans="1:18" s="140" customFormat="1" ht="41.4">
      <c r="A16" s="323" t="s">
        <v>330</v>
      </c>
      <c r="B16" s="323" t="s">
        <v>1981</v>
      </c>
      <c r="C16" s="323"/>
      <c r="D16" s="323"/>
      <c r="E16" s="351" t="s">
        <v>1658</v>
      </c>
      <c r="F16" s="351"/>
      <c r="G16" s="352"/>
      <c r="H16" s="326"/>
      <c r="I16" s="326"/>
      <c r="J16" s="326"/>
      <c r="K16" s="349"/>
      <c r="L16" s="326"/>
      <c r="M16" s="349"/>
      <c r="N16" s="349"/>
      <c r="O16" s="349"/>
      <c r="P16" s="349"/>
      <c r="Q16" s="349"/>
      <c r="R16" s="349"/>
    </row>
    <row r="17" spans="1:18" s="140" customFormat="1" ht="55.2">
      <c r="A17" s="323" t="s">
        <v>331</v>
      </c>
      <c r="B17" s="323" t="s">
        <v>1982</v>
      </c>
      <c r="C17" s="323"/>
      <c r="D17" s="323"/>
      <c r="E17" s="351" t="s">
        <v>1659</v>
      </c>
      <c r="F17" s="351"/>
      <c r="G17" s="352"/>
      <c r="H17" s="326"/>
      <c r="I17" s="326"/>
      <c r="J17" s="326"/>
      <c r="K17" s="349"/>
      <c r="L17" s="326"/>
      <c r="M17" s="349"/>
      <c r="N17" s="349"/>
      <c r="O17" s="349"/>
      <c r="P17" s="349"/>
      <c r="Q17" s="349"/>
      <c r="R17" s="349"/>
    </row>
    <row r="18" spans="1:18" s="138" customFormat="1" ht="69">
      <c r="A18" s="323" t="s">
        <v>332</v>
      </c>
      <c r="B18" s="323" t="s">
        <v>1983</v>
      </c>
      <c r="C18" s="323"/>
      <c r="D18" s="323"/>
      <c r="E18" s="351" t="s">
        <v>1660</v>
      </c>
      <c r="F18" s="351"/>
      <c r="G18" s="352"/>
      <c r="H18" s="326"/>
      <c r="I18" s="326"/>
      <c r="J18" s="326"/>
      <c r="K18" s="349"/>
      <c r="L18" s="326"/>
      <c r="M18" s="349"/>
      <c r="N18" s="349"/>
      <c r="O18" s="349"/>
      <c r="P18" s="349"/>
      <c r="Q18" s="349"/>
      <c r="R18" s="349"/>
    </row>
    <row r="19" spans="1:18" s="350" customFormat="1" ht="41.4">
      <c r="A19" s="323" t="s">
        <v>333</v>
      </c>
      <c r="B19" s="323" t="s">
        <v>1984</v>
      </c>
      <c r="C19" s="323"/>
      <c r="D19" s="323"/>
      <c r="E19" s="351" t="s">
        <v>1661</v>
      </c>
      <c r="F19" s="351"/>
      <c r="G19" s="352"/>
      <c r="H19" s="326"/>
      <c r="I19" s="326"/>
      <c r="J19" s="326"/>
      <c r="K19" s="349"/>
      <c r="L19" s="326"/>
      <c r="M19" s="349"/>
      <c r="N19" s="349"/>
      <c r="O19" s="349"/>
      <c r="P19" s="349"/>
      <c r="Q19" s="349"/>
      <c r="R19" s="349"/>
    </row>
    <row r="20" spans="1:18" s="140" customFormat="1" ht="69">
      <c r="A20" s="323" t="s">
        <v>334</v>
      </c>
      <c r="B20" s="323" t="s">
        <v>1985</v>
      </c>
      <c r="C20" s="323"/>
      <c r="D20" s="323"/>
      <c r="E20" s="351" t="s">
        <v>1662</v>
      </c>
      <c r="F20" s="351"/>
      <c r="G20" s="352"/>
      <c r="H20" s="326"/>
      <c r="I20" s="326"/>
      <c r="J20" s="326"/>
      <c r="K20" s="349"/>
      <c r="L20" s="326"/>
      <c r="M20" s="349"/>
      <c r="N20" s="349"/>
      <c r="O20" s="349"/>
      <c r="P20" s="349"/>
      <c r="Q20" s="349"/>
      <c r="R20" s="349"/>
    </row>
    <row r="21" spans="1:18" s="140" customFormat="1">
      <c r="A21" s="346" t="s">
        <v>56</v>
      </c>
      <c r="B21" s="346"/>
      <c r="C21" s="347"/>
      <c r="D21" s="347"/>
      <c r="E21" s="347" t="s">
        <v>1868</v>
      </c>
      <c r="F21" s="347"/>
      <c r="G21" s="348"/>
      <c r="H21" s="326"/>
      <c r="I21" s="326"/>
      <c r="J21" s="326"/>
      <c r="K21" s="349"/>
      <c r="L21" s="326"/>
      <c r="M21" s="349"/>
      <c r="N21" s="349"/>
      <c r="O21" s="349"/>
      <c r="P21" s="349"/>
      <c r="Q21" s="349"/>
      <c r="R21" s="349"/>
    </row>
    <row r="22" spans="1:18" s="138" customFormat="1" ht="110.4">
      <c r="A22" s="323" t="s">
        <v>335</v>
      </c>
      <c r="B22" s="323" t="s">
        <v>1986</v>
      </c>
      <c r="C22" s="323"/>
      <c r="D22" s="323"/>
      <c r="E22" s="351" t="s">
        <v>1987</v>
      </c>
      <c r="F22" s="351"/>
      <c r="G22" s="352"/>
      <c r="H22" s="326"/>
      <c r="I22" s="326"/>
      <c r="J22" s="326"/>
      <c r="K22" s="349"/>
      <c r="L22" s="326"/>
      <c r="M22" s="349"/>
      <c r="N22" s="349"/>
      <c r="O22" s="349"/>
      <c r="P22" s="349"/>
      <c r="Q22" s="349"/>
      <c r="R22" s="349"/>
    </row>
    <row r="23" spans="1:18" s="350" customFormat="1" ht="69">
      <c r="A23" s="323" t="s">
        <v>336</v>
      </c>
      <c r="B23" s="323" t="s">
        <v>1988</v>
      </c>
      <c r="C23" s="323"/>
      <c r="D23" s="323"/>
      <c r="E23" s="351" t="s">
        <v>1663</v>
      </c>
      <c r="F23" s="351"/>
      <c r="G23" s="352"/>
      <c r="H23" s="326"/>
      <c r="I23" s="326"/>
      <c r="J23" s="326"/>
      <c r="K23" s="349"/>
      <c r="L23" s="326"/>
      <c r="M23" s="349"/>
      <c r="N23" s="349"/>
      <c r="O23" s="349"/>
      <c r="P23" s="349"/>
      <c r="Q23" s="349"/>
      <c r="R23" s="349"/>
    </row>
    <row r="24" spans="1:18" s="350" customFormat="1" ht="41.4">
      <c r="A24" s="323" t="s">
        <v>337</v>
      </c>
      <c r="B24" s="323" t="s">
        <v>1989</v>
      </c>
      <c r="C24" s="323"/>
      <c r="D24" s="323"/>
      <c r="E24" s="351" t="s">
        <v>338</v>
      </c>
      <c r="F24" s="351"/>
      <c r="G24" s="352"/>
      <c r="H24" s="326"/>
      <c r="I24" s="326"/>
      <c r="J24" s="326"/>
      <c r="K24" s="349"/>
      <c r="L24" s="326"/>
      <c r="M24" s="349"/>
      <c r="N24" s="349"/>
      <c r="O24" s="349"/>
      <c r="P24" s="349"/>
      <c r="Q24" s="349"/>
      <c r="R24" s="349"/>
    </row>
    <row r="25" spans="1:18" s="140" customFormat="1" ht="69">
      <c r="A25" s="323" t="s">
        <v>339</v>
      </c>
      <c r="B25" s="323" t="s">
        <v>1990</v>
      </c>
      <c r="C25" s="323"/>
      <c r="D25" s="323"/>
      <c r="E25" s="351" t="s">
        <v>340</v>
      </c>
      <c r="F25" s="351"/>
      <c r="G25" s="352"/>
      <c r="H25" s="326"/>
      <c r="I25" s="326"/>
      <c r="J25" s="326"/>
      <c r="K25" s="349"/>
      <c r="L25" s="326"/>
      <c r="M25" s="349"/>
      <c r="N25" s="349"/>
      <c r="O25" s="349"/>
      <c r="P25" s="349"/>
      <c r="Q25" s="349"/>
      <c r="R25" s="349"/>
    </row>
    <row r="26" spans="1:18" s="140" customFormat="1">
      <c r="A26" s="346" t="s">
        <v>57</v>
      </c>
      <c r="B26" s="346"/>
      <c r="C26" s="347"/>
      <c r="D26" s="347"/>
      <c r="E26" s="347" t="s">
        <v>1868</v>
      </c>
      <c r="F26" s="347"/>
      <c r="G26" s="348"/>
      <c r="H26" s="326"/>
      <c r="I26" s="326"/>
      <c r="J26" s="326"/>
      <c r="K26" s="349"/>
      <c r="L26" s="326"/>
      <c r="M26" s="349"/>
      <c r="N26" s="349"/>
      <c r="O26" s="349"/>
      <c r="P26" s="349"/>
      <c r="Q26" s="349"/>
      <c r="R26" s="349"/>
    </row>
    <row r="27" spans="1:18" s="138" customFormat="1" ht="124.2">
      <c r="A27" s="323" t="s">
        <v>341</v>
      </c>
      <c r="B27" s="323" t="s">
        <v>1991</v>
      </c>
      <c r="C27" s="323"/>
      <c r="D27" s="323"/>
      <c r="E27" s="351" t="s">
        <v>1664</v>
      </c>
      <c r="F27" s="351"/>
      <c r="G27" s="352"/>
      <c r="H27" s="326"/>
      <c r="I27" s="326"/>
      <c r="J27" s="326"/>
      <c r="K27" s="349"/>
      <c r="L27" s="326"/>
      <c r="M27" s="349"/>
      <c r="N27" s="349"/>
      <c r="O27" s="349"/>
      <c r="P27" s="349"/>
      <c r="Q27" s="349"/>
      <c r="R27" s="349"/>
    </row>
    <row r="28" spans="1:18" s="343" customFormat="1">
      <c r="G28" s="328"/>
      <c r="H28" s="326"/>
      <c r="I28" s="326"/>
      <c r="J28" s="326"/>
      <c r="K28" s="328"/>
      <c r="L28" s="326"/>
      <c r="M28" s="328"/>
      <c r="N28" s="328"/>
      <c r="O28" s="328"/>
      <c r="P28" s="328"/>
      <c r="Q28" s="328"/>
      <c r="R28" s="328"/>
    </row>
    <row r="29" spans="1:18" s="343" customFormat="1">
      <c r="G29" s="328"/>
      <c r="H29" s="326"/>
      <c r="I29" s="326"/>
      <c r="J29" s="326"/>
      <c r="K29" s="328"/>
      <c r="L29" s="326"/>
      <c r="M29" s="328"/>
      <c r="N29" s="328"/>
      <c r="O29" s="328"/>
      <c r="P29" s="328"/>
      <c r="Q29" s="328"/>
      <c r="R29" s="328"/>
    </row>
    <row r="30" spans="1:18" s="343" customFormat="1">
      <c r="G30" s="328"/>
      <c r="H30" s="326"/>
      <c r="I30" s="326"/>
      <c r="J30" s="326"/>
      <c r="K30" s="328"/>
      <c r="L30" s="326"/>
      <c r="M30" s="328"/>
      <c r="N30" s="328"/>
      <c r="O30" s="328"/>
      <c r="P30" s="328"/>
      <c r="Q30" s="328"/>
      <c r="R30" s="328"/>
    </row>
    <row r="31" spans="1:18" s="343" customFormat="1">
      <c r="G31" s="328"/>
      <c r="H31" s="326"/>
      <c r="I31" s="326"/>
      <c r="J31" s="326"/>
      <c r="K31" s="328"/>
      <c r="L31" s="326"/>
      <c r="M31" s="328"/>
      <c r="N31" s="328"/>
      <c r="O31" s="328"/>
      <c r="P31" s="328"/>
      <c r="Q31" s="328"/>
      <c r="R31" s="328"/>
    </row>
    <row r="32" spans="1:18" s="343" customFormat="1">
      <c r="G32" s="328"/>
      <c r="H32" s="326"/>
      <c r="I32" s="326"/>
      <c r="J32" s="326"/>
      <c r="K32" s="328"/>
      <c r="L32" s="326"/>
      <c r="M32" s="328"/>
      <c r="N32" s="328"/>
      <c r="O32" s="328"/>
      <c r="P32" s="328"/>
      <c r="Q32" s="328"/>
      <c r="R32" s="328"/>
    </row>
    <row r="33" spans="7:18" s="343" customFormat="1">
      <c r="G33" s="328"/>
      <c r="H33" s="326"/>
      <c r="I33" s="326"/>
      <c r="J33" s="326"/>
      <c r="K33" s="328"/>
      <c r="L33" s="326"/>
      <c r="M33" s="328"/>
      <c r="N33" s="328"/>
      <c r="O33" s="328"/>
      <c r="P33" s="328"/>
      <c r="Q33" s="328"/>
      <c r="R33" s="328"/>
    </row>
    <row r="34" spans="7:18" s="343" customFormat="1">
      <c r="G34" s="328"/>
      <c r="H34" s="326"/>
      <c r="I34" s="326"/>
      <c r="J34" s="326"/>
      <c r="K34" s="328"/>
      <c r="L34" s="326"/>
      <c r="M34" s="328"/>
      <c r="N34" s="328"/>
      <c r="O34" s="328"/>
      <c r="P34" s="328"/>
      <c r="Q34" s="328"/>
      <c r="R34" s="328"/>
    </row>
    <row r="35" spans="7:18" s="343" customFormat="1">
      <c r="G35" s="328"/>
      <c r="H35" s="326"/>
      <c r="I35" s="326"/>
      <c r="J35" s="326"/>
      <c r="K35" s="328"/>
      <c r="L35" s="326"/>
      <c r="M35" s="328"/>
      <c r="N35" s="328"/>
      <c r="O35" s="328"/>
      <c r="P35" s="328"/>
      <c r="Q35" s="328"/>
      <c r="R35" s="328"/>
    </row>
    <row r="36" spans="7:18" s="343" customFormat="1">
      <c r="G36" s="328"/>
      <c r="H36" s="326"/>
      <c r="I36" s="326"/>
      <c r="J36" s="326"/>
      <c r="K36" s="328"/>
      <c r="L36" s="326"/>
      <c r="M36" s="328"/>
      <c r="N36" s="328"/>
      <c r="O36" s="328"/>
      <c r="P36" s="328"/>
      <c r="Q36" s="328"/>
      <c r="R36" s="328"/>
    </row>
    <row r="37" spans="7:18" s="343" customFormat="1">
      <c r="G37" s="328"/>
      <c r="H37" s="326"/>
      <c r="I37" s="326"/>
      <c r="J37" s="326"/>
      <c r="K37" s="328"/>
      <c r="L37" s="326"/>
      <c r="M37" s="328"/>
      <c r="N37" s="328"/>
      <c r="O37" s="328"/>
      <c r="P37" s="328"/>
      <c r="Q37" s="328"/>
      <c r="R37" s="328"/>
    </row>
    <row r="38" spans="7:18" s="343" customFormat="1">
      <c r="G38" s="328"/>
      <c r="H38" s="326"/>
      <c r="I38" s="326"/>
      <c r="J38" s="326"/>
      <c r="K38" s="328"/>
      <c r="L38" s="326"/>
      <c r="M38" s="328"/>
      <c r="N38" s="328"/>
      <c r="O38" s="328"/>
      <c r="P38" s="328"/>
      <c r="Q38" s="328"/>
      <c r="R38" s="328"/>
    </row>
    <row r="39" spans="7:18" s="343" customFormat="1">
      <c r="G39" s="328"/>
      <c r="H39" s="326"/>
      <c r="I39" s="326"/>
      <c r="J39" s="326"/>
      <c r="K39" s="328"/>
      <c r="L39" s="326"/>
      <c r="M39" s="328"/>
      <c r="N39" s="328"/>
      <c r="O39" s="328"/>
      <c r="P39" s="328"/>
      <c r="Q39" s="328"/>
      <c r="R39" s="328"/>
    </row>
    <row r="40" spans="7:18" s="343" customFormat="1">
      <c r="G40" s="328"/>
      <c r="H40" s="326"/>
      <c r="I40" s="326"/>
      <c r="J40" s="326"/>
      <c r="K40" s="328"/>
      <c r="L40" s="326"/>
      <c r="M40" s="328"/>
      <c r="N40" s="328"/>
      <c r="O40" s="328"/>
      <c r="P40" s="328"/>
      <c r="Q40" s="328"/>
      <c r="R40" s="328"/>
    </row>
    <row r="41" spans="7:18" s="343" customFormat="1">
      <c r="G41" s="328"/>
      <c r="H41" s="326"/>
      <c r="I41" s="326"/>
      <c r="J41" s="326"/>
      <c r="K41" s="328"/>
      <c r="L41" s="326"/>
      <c r="M41" s="328"/>
      <c r="N41" s="328"/>
      <c r="O41" s="328"/>
      <c r="P41" s="328"/>
      <c r="Q41" s="328"/>
      <c r="R41" s="328"/>
    </row>
    <row r="42" spans="7:18" s="343" customFormat="1">
      <c r="G42" s="328"/>
      <c r="H42" s="326"/>
      <c r="I42" s="326"/>
      <c r="J42" s="326"/>
      <c r="K42" s="328"/>
      <c r="L42" s="326"/>
      <c r="M42" s="328"/>
      <c r="N42" s="328"/>
      <c r="O42" s="328"/>
      <c r="P42" s="328"/>
      <c r="Q42" s="328"/>
      <c r="R42" s="328"/>
    </row>
    <row r="43" spans="7:18" s="343" customFormat="1">
      <c r="G43" s="328"/>
      <c r="H43" s="326"/>
      <c r="I43" s="326"/>
      <c r="J43" s="326"/>
      <c r="K43" s="328"/>
      <c r="L43" s="326"/>
      <c r="M43" s="328"/>
      <c r="N43" s="328"/>
      <c r="O43" s="328"/>
      <c r="P43" s="328"/>
      <c r="Q43" s="328"/>
      <c r="R43" s="328"/>
    </row>
    <row r="44" spans="7:18" s="343" customFormat="1">
      <c r="G44" s="328"/>
      <c r="H44" s="326"/>
      <c r="I44" s="326"/>
      <c r="J44" s="326"/>
      <c r="K44" s="328"/>
      <c r="L44" s="326"/>
      <c r="M44" s="328"/>
      <c r="N44" s="328"/>
      <c r="O44" s="328"/>
      <c r="P44" s="328"/>
      <c r="Q44" s="328"/>
      <c r="R44" s="328"/>
    </row>
    <row r="45" spans="7:18" s="343" customFormat="1">
      <c r="G45" s="328"/>
      <c r="H45" s="326"/>
      <c r="I45" s="326"/>
      <c r="J45" s="326"/>
      <c r="K45" s="328"/>
      <c r="L45" s="326"/>
      <c r="M45" s="328"/>
      <c r="N45" s="328"/>
      <c r="O45" s="328"/>
      <c r="P45" s="328"/>
      <c r="Q45" s="328"/>
      <c r="R45" s="328"/>
    </row>
    <row r="46" spans="7:18" s="343" customFormat="1">
      <c r="G46" s="328"/>
      <c r="H46" s="326"/>
      <c r="I46" s="326"/>
      <c r="J46" s="326"/>
      <c r="K46" s="328"/>
      <c r="L46" s="326"/>
      <c r="M46" s="328"/>
      <c r="N46" s="328"/>
      <c r="O46" s="328"/>
      <c r="P46" s="328"/>
      <c r="Q46" s="328"/>
      <c r="R46" s="328"/>
    </row>
    <row r="47" spans="7:18" s="343" customFormat="1">
      <c r="G47" s="328"/>
      <c r="H47" s="326"/>
      <c r="I47" s="326"/>
      <c r="J47" s="326"/>
      <c r="K47" s="328"/>
      <c r="L47" s="326"/>
      <c r="M47" s="328"/>
      <c r="N47" s="328"/>
      <c r="O47" s="328"/>
      <c r="P47" s="328"/>
      <c r="Q47" s="328"/>
      <c r="R47" s="328"/>
    </row>
    <row r="48" spans="7:18" s="343" customFormat="1">
      <c r="G48" s="328"/>
      <c r="H48" s="326"/>
      <c r="I48" s="326"/>
      <c r="J48" s="326"/>
      <c r="K48" s="328"/>
      <c r="L48" s="326"/>
      <c r="M48" s="328"/>
      <c r="N48" s="328"/>
      <c r="O48" s="328"/>
      <c r="P48" s="328"/>
      <c r="Q48" s="328"/>
      <c r="R48" s="328"/>
    </row>
    <row r="49" spans="7:18" s="343" customFormat="1">
      <c r="G49" s="328"/>
      <c r="H49" s="326"/>
      <c r="I49" s="326"/>
      <c r="J49" s="326"/>
      <c r="K49" s="328"/>
      <c r="L49" s="326"/>
      <c r="M49" s="328"/>
      <c r="N49" s="328"/>
      <c r="O49" s="328"/>
      <c r="P49" s="328"/>
      <c r="Q49" s="328"/>
      <c r="R49" s="328"/>
    </row>
    <row r="50" spans="7:18" s="343" customFormat="1">
      <c r="G50" s="328"/>
      <c r="H50" s="326"/>
      <c r="I50" s="326"/>
      <c r="J50" s="326"/>
      <c r="K50" s="328"/>
      <c r="L50" s="326"/>
      <c r="M50" s="328"/>
      <c r="N50" s="328"/>
      <c r="O50" s="328"/>
      <c r="P50" s="328"/>
      <c r="Q50" s="328"/>
      <c r="R50" s="328"/>
    </row>
    <row r="51" spans="7:18" s="343" customFormat="1">
      <c r="G51" s="328"/>
      <c r="H51" s="326"/>
      <c r="I51" s="326"/>
      <c r="J51" s="326"/>
      <c r="K51" s="328"/>
      <c r="L51" s="326"/>
      <c r="M51" s="328"/>
      <c r="N51" s="328"/>
      <c r="O51" s="328"/>
      <c r="P51" s="328"/>
      <c r="Q51" s="328"/>
      <c r="R51" s="328"/>
    </row>
    <row r="52" spans="7:18" s="343" customFormat="1">
      <c r="G52" s="328"/>
      <c r="H52" s="326"/>
      <c r="I52" s="326"/>
      <c r="J52" s="326"/>
      <c r="K52" s="328"/>
      <c r="L52" s="326"/>
      <c r="M52" s="328"/>
      <c r="N52" s="328"/>
      <c r="O52" s="328"/>
      <c r="P52" s="328"/>
      <c r="Q52" s="328"/>
      <c r="R52" s="328"/>
    </row>
    <row r="53" spans="7:18" s="343" customFormat="1">
      <c r="G53" s="328"/>
      <c r="H53" s="326"/>
      <c r="I53" s="326"/>
      <c r="J53" s="326"/>
      <c r="K53" s="328"/>
      <c r="L53" s="326"/>
      <c r="M53" s="328"/>
      <c r="N53" s="328"/>
      <c r="O53" s="328"/>
      <c r="P53" s="328"/>
      <c r="Q53" s="328"/>
      <c r="R53" s="328"/>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8.44140625" style="333" customWidth="1"/>
    <col min="6" max="6" width="30.21875" style="333" customWidth="1"/>
    <col min="7" max="7" width="21.44140625" style="328" customWidth="1"/>
    <col min="8" max="9" width="8.77734375" style="326"/>
    <col min="10" max="18" width="8.77734375" style="328"/>
    <col min="19" max="16384" width="8.77734375" style="333"/>
  </cols>
  <sheetData>
    <row r="1" spans="1:18" s="140" customFormat="1" ht="25.8">
      <c r="A1" s="325" t="s">
        <v>175</v>
      </c>
      <c r="B1" s="326"/>
      <c r="C1" s="327"/>
      <c r="D1" s="326"/>
      <c r="E1" s="326"/>
      <c r="F1" s="326"/>
      <c r="G1" s="328"/>
      <c r="H1" s="326"/>
      <c r="I1" s="326"/>
      <c r="J1" s="328"/>
      <c r="K1" s="328"/>
      <c r="L1" s="328"/>
      <c r="M1" s="328"/>
      <c r="N1" s="328"/>
      <c r="O1" s="328"/>
      <c r="P1" s="328"/>
      <c r="Q1" s="328"/>
      <c r="R1" s="328"/>
    </row>
    <row r="2" spans="1:18" s="138" customFormat="1" ht="25.8">
      <c r="A2" s="325" t="s">
        <v>1992</v>
      </c>
      <c r="B2" s="326"/>
      <c r="C2" s="327"/>
      <c r="D2" s="326"/>
      <c r="E2" s="326"/>
      <c r="F2" s="326"/>
      <c r="G2" s="328"/>
      <c r="H2" s="326"/>
      <c r="I2" s="326"/>
      <c r="J2" s="328"/>
      <c r="K2" s="328"/>
      <c r="L2" s="328"/>
      <c r="M2" s="328"/>
      <c r="N2" s="328"/>
      <c r="O2" s="328"/>
      <c r="P2" s="328"/>
      <c r="Q2" s="328"/>
      <c r="R2" s="328"/>
    </row>
    <row r="3" spans="1:18" s="350" customFormat="1">
      <c r="A3" s="329" t="s">
        <v>461</v>
      </c>
      <c r="B3" s="326" t="s">
        <v>176</v>
      </c>
      <c r="C3" s="326"/>
      <c r="D3" s="326"/>
      <c r="E3" s="326"/>
      <c r="F3" s="326"/>
      <c r="G3" s="328"/>
      <c r="H3" s="326"/>
      <c r="I3" s="326"/>
      <c r="J3" s="328"/>
      <c r="K3" s="328"/>
      <c r="L3" s="328"/>
      <c r="M3" s="328"/>
      <c r="N3" s="328"/>
      <c r="O3" s="328"/>
      <c r="P3" s="328"/>
      <c r="Q3" s="328"/>
      <c r="R3" s="328"/>
    </row>
    <row r="4" spans="1:18" s="140" customFormat="1">
      <c r="A4" s="329" t="s">
        <v>1755</v>
      </c>
      <c r="B4" s="326" t="s">
        <v>1993</v>
      </c>
      <c r="C4" s="326"/>
      <c r="D4" s="326"/>
      <c r="E4" s="326"/>
      <c r="F4" s="326"/>
      <c r="G4" s="328"/>
      <c r="H4" s="326"/>
      <c r="I4" s="326"/>
      <c r="J4" s="328"/>
      <c r="K4" s="328"/>
      <c r="L4" s="328"/>
      <c r="M4" s="328"/>
      <c r="N4" s="328"/>
      <c r="O4" s="328"/>
      <c r="P4" s="328"/>
      <c r="Q4" s="328"/>
      <c r="R4" s="328"/>
    </row>
    <row r="5" spans="1:18" s="138" customFormat="1">
      <c r="A5" s="326" t="s">
        <v>462</v>
      </c>
      <c r="B5" s="326" t="s">
        <v>177</v>
      </c>
      <c r="C5" s="326"/>
      <c r="D5" s="326"/>
      <c r="E5" s="326"/>
      <c r="F5" s="326"/>
      <c r="G5" s="328"/>
      <c r="H5" s="326"/>
      <c r="I5" s="326"/>
      <c r="J5" s="328"/>
      <c r="K5" s="328"/>
      <c r="L5" s="328"/>
      <c r="M5" s="328"/>
      <c r="N5" s="328"/>
      <c r="O5" s="328"/>
      <c r="P5" s="328"/>
      <c r="Q5" s="328"/>
      <c r="R5" s="328"/>
    </row>
    <row r="6" spans="1:18" s="350" customFormat="1">
      <c r="A6" s="326" t="s">
        <v>1757</v>
      </c>
      <c r="B6" s="326" t="s">
        <v>1994</v>
      </c>
      <c r="C6" s="326"/>
      <c r="D6" s="326"/>
      <c r="E6" s="326"/>
      <c r="F6" s="326"/>
      <c r="G6" s="328"/>
      <c r="H6" s="326"/>
      <c r="I6" s="326"/>
      <c r="J6" s="328"/>
      <c r="K6" s="328"/>
      <c r="L6" s="328"/>
      <c r="M6" s="328"/>
      <c r="N6" s="328"/>
      <c r="O6" s="328"/>
      <c r="P6" s="328"/>
      <c r="Q6" s="328"/>
      <c r="R6" s="328"/>
    </row>
    <row r="7" spans="1:18" s="140" customFormat="1">
      <c r="A7" s="333"/>
      <c r="B7" s="333"/>
      <c r="C7" s="333"/>
      <c r="D7" s="333"/>
      <c r="E7" s="326"/>
      <c r="F7" s="326"/>
      <c r="G7" s="363"/>
      <c r="H7" s="326"/>
      <c r="I7" s="326"/>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49"/>
      <c r="K9" s="349"/>
      <c r="L9" s="349"/>
      <c r="M9" s="349"/>
      <c r="N9" s="349"/>
      <c r="O9" s="349"/>
      <c r="P9" s="349"/>
      <c r="Q9" s="349"/>
      <c r="R9" s="349"/>
    </row>
    <row r="10" spans="1:18" s="350" customFormat="1" ht="27.6">
      <c r="A10" s="323" t="s">
        <v>178</v>
      </c>
      <c r="B10" s="323" t="s">
        <v>1995</v>
      </c>
      <c r="C10" s="323"/>
      <c r="D10" s="323"/>
      <c r="E10" s="351" t="s">
        <v>1594</v>
      </c>
      <c r="F10" s="351"/>
      <c r="G10" s="352"/>
      <c r="H10" s="326"/>
      <c r="I10" s="326"/>
      <c r="J10" s="349"/>
      <c r="K10" s="349"/>
      <c r="L10" s="349"/>
      <c r="M10" s="349"/>
      <c r="N10" s="349"/>
      <c r="O10" s="349"/>
      <c r="P10" s="349"/>
      <c r="Q10" s="349"/>
      <c r="R10" s="349"/>
    </row>
    <row r="11" spans="1:18" s="140" customFormat="1">
      <c r="A11" s="346" t="s">
        <v>54</v>
      </c>
      <c r="B11" s="346"/>
      <c r="C11" s="347"/>
      <c r="D11" s="347"/>
      <c r="E11" s="347" t="s">
        <v>1868</v>
      </c>
      <c r="F11" s="347"/>
      <c r="G11" s="348"/>
      <c r="H11" s="326"/>
      <c r="I11" s="326"/>
      <c r="J11" s="349"/>
      <c r="K11" s="349"/>
      <c r="L11" s="349"/>
      <c r="M11" s="349"/>
      <c r="N11" s="349"/>
      <c r="O11" s="349"/>
      <c r="P11" s="349"/>
      <c r="Q11" s="349"/>
      <c r="R11" s="349"/>
    </row>
    <row r="12" spans="1:18" s="140" customFormat="1" ht="55.2">
      <c r="A12" s="323" t="s">
        <v>179</v>
      </c>
      <c r="B12" s="323" t="s">
        <v>1996</v>
      </c>
      <c r="C12" s="323"/>
      <c r="D12" s="323"/>
      <c r="E12" s="351" t="s">
        <v>1595</v>
      </c>
      <c r="F12" s="351"/>
      <c r="G12" s="352"/>
      <c r="H12" s="326"/>
      <c r="I12" s="326"/>
      <c r="J12" s="349"/>
      <c r="K12" s="349"/>
      <c r="L12" s="349"/>
      <c r="M12" s="349"/>
      <c r="N12" s="349"/>
      <c r="O12" s="349"/>
      <c r="P12" s="349"/>
      <c r="Q12" s="349"/>
      <c r="R12" s="349"/>
    </row>
    <row r="13" spans="1:18" s="138" customFormat="1" ht="69">
      <c r="A13" s="323" t="s">
        <v>180</v>
      </c>
      <c r="B13" s="323" t="s">
        <v>1997</v>
      </c>
      <c r="C13" s="323"/>
      <c r="D13" s="323"/>
      <c r="E13" s="351" t="s">
        <v>1596</v>
      </c>
      <c r="F13" s="351"/>
      <c r="G13" s="352"/>
      <c r="H13" s="326"/>
      <c r="I13" s="326"/>
      <c r="J13" s="349"/>
      <c r="K13" s="349"/>
      <c r="L13" s="349"/>
      <c r="M13" s="349"/>
      <c r="N13" s="349"/>
      <c r="O13" s="349"/>
      <c r="P13" s="349"/>
      <c r="Q13" s="349"/>
      <c r="R13" s="349"/>
    </row>
    <row r="14" spans="1:18" s="350" customFormat="1" ht="55.2">
      <c r="A14" s="323" t="s">
        <v>181</v>
      </c>
      <c r="B14" s="323" t="s">
        <v>1998</v>
      </c>
      <c r="C14" s="323"/>
      <c r="D14" s="323"/>
      <c r="E14" s="351" t="s">
        <v>1597</v>
      </c>
      <c r="F14" s="351"/>
      <c r="G14" s="352"/>
      <c r="H14" s="326"/>
      <c r="I14" s="326"/>
      <c r="J14" s="349"/>
      <c r="K14" s="349"/>
      <c r="L14" s="349"/>
      <c r="M14" s="349"/>
      <c r="N14" s="349"/>
      <c r="O14" s="349"/>
      <c r="P14" s="349"/>
      <c r="Q14" s="349"/>
      <c r="R14" s="349"/>
    </row>
    <row r="15" spans="1:18" s="140" customFormat="1" ht="69">
      <c r="A15" s="323" t="s">
        <v>182</v>
      </c>
      <c r="B15" s="323" t="s">
        <v>1999</v>
      </c>
      <c r="C15" s="323"/>
      <c r="D15" s="323"/>
      <c r="E15" s="351" t="s">
        <v>183</v>
      </c>
      <c r="F15" s="351"/>
      <c r="G15" s="352"/>
      <c r="H15" s="326"/>
      <c r="I15" s="326"/>
      <c r="J15" s="349"/>
      <c r="K15" s="349"/>
      <c r="L15" s="349"/>
      <c r="M15" s="349"/>
      <c r="N15" s="349"/>
      <c r="O15" s="349"/>
      <c r="P15" s="349"/>
      <c r="Q15" s="349"/>
      <c r="R15" s="349"/>
    </row>
    <row r="16" spans="1:18" s="140" customFormat="1" ht="69">
      <c r="A16" s="323" t="s">
        <v>184</v>
      </c>
      <c r="B16" s="323" t="s">
        <v>2000</v>
      </c>
      <c r="C16" s="323"/>
      <c r="D16" s="323"/>
      <c r="E16" s="323" t="s">
        <v>2001</v>
      </c>
      <c r="F16" s="323"/>
      <c r="G16" s="352"/>
      <c r="H16" s="326"/>
      <c r="I16" s="326"/>
      <c r="J16" s="349"/>
      <c r="K16" s="349"/>
      <c r="L16" s="349"/>
      <c r="M16" s="349"/>
      <c r="N16" s="349"/>
      <c r="O16" s="349"/>
      <c r="P16" s="349"/>
      <c r="Q16" s="349"/>
      <c r="R16" s="349"/>
    </row>
    <row r="17" spans="1:18" s="138" customFormat="1" ht="55.2">
      <c r="A17" s="323" t="s">
        <v>185</v>
      </c>
      <c r="B17" s="323" t="s">
        <v>2002</v>
      </c>
      <c r="C17" s="323"/>
      <c r="D17" s="323"/>
      <c r="E17" s="323" t="s">
        <v>2003</v>
      </c>
      <c r="F17" s="323"/>
      <c r="G17" s="352"/>
      <c r="H17" s="326"/>
      <c r="I17" s="326"/>
      <c r="J17" s="349"/>
      <c r="K17" s="349"/>
      <c r="L17" s="349"/>
      <c r="M17" s="349"/>
      <c r="N17" s="349"/>
      <c r="O17" s="349"/>
      <c r="P17" s="349"/>
      <c r="Q17" s="349"/>
      <c r="R17" s="349"/>
    </row>
    <row r="18" spans="1:18" s="350" customFormat="1">
      <c r="A18" s="346" t="s">
        <v>56</v>
      </c>
      <c r="B18" s="346"/>
      <c r="C18" s="347"/>
      <c r="D18" s="347"/>
      <c r="E18" s="347" t="s">
        <v>1868</v>
      </c>
      <c r="F18" s="347"/>
      <c r="G18" s="348"/>
      <c r="H18" s="326"/>
      <c r="I18" s="326"/>
      <c r="J18" s="349"/>
      <c r="K18" s="349"/>
      <c r="L18" s="349"/>
      <c r="M18" s="349"/>
      <c r="N18" s="349"/>
      <c r="O18" s="349"/>
      <c r="P18" s="349"/>
      <c r="Q18" s="349"/>
      <c r="R18" s="349"/>
    </row>
    <row r="19" spans="1:18" s="140" customFormat="1" ht="41.4">
      <c r="A19" s="323" t="s">
        <v>186</v>
      </c>
      <c r="B19" s="323" t="s">
        <v>2004</v>
      </c>
      <c r="C19" s="323"/>
      <c r="D19" s="323"/>
      <c r="E19" s="323" t="s">
        <v>2005</v>
      </c>
      <c r="F19" s="323"/>
      <c r="G19" s="352"/>
      <c r="H19" s="326"/>
      <c r="I19" s="326"/>
      <c r="J19" s="349"/>
      <c r="K19" s="349"/>
      <c r="L19" s="349"/>
      <c r="M19" s="349"/>
      <c r="N19" s="349"/>
      <c r="O19" s="349"/>
      <c r="P19" s="349"/>
      <c r="Q19" s="349"/>
      <c r="R19" s="349"/>
    </row>
    <row r="20" spans="1:18" s="140" customFormat="1" ht="41.4">
      <c r="A20" s="323" t="s">
        <v>187</v>
      </c>
      <c r="B20" s="323" t="s">
        <v>2006</v>
      </c>
      <c r="C20" s="323"/>
      <c r="D20" s="323"/>
      <c r="E20" s="351" t="s">
        <v>1598</v>
      </c>
      <c r="F20" s="351"/>
      <c r="G20" s="352"/>
      <c r="H20" s="326"/>
      <c r="I20" s="326"/>
      <c r="J20" s="349"/>
      <c r="K20" s="349"/>
      <c r="L20" s="349"/>
      <c r="M20" s="349"/>
      <c r="N20" s="349"/>
      <c r="O20" s="349"/>
      <c r="P20" s="349"/>
      <c r="Q20" s="349"/>
      <c r="R20" s="349"/>
    </row>
    <row r="21" spans="1:18" s="138" customFormat="1" ht="27.6">
      <c r="A21" s="323" t="s">
        <v>188</v>
      </c>
      <c r="B21" s="323" t="s">
        <v>2007</v>
      </c>
      <c r="C21" s="323"/>
      <c r="D21" s="323"/>
      <c r="E21" s="351" t="s">
        <v>189</v>
      </c>
      <c r="F21" s="351"/>
      <c r="G21" s="352"/>
      <c r="H21" s="326"/>
      <c r="I21" s="326"/>
      <c r="J21" s="349"/>
      <c r="K21" s="349"/>
      <c r="L21" s="349"/>
      <c r="M21" s="349"/>
      <c r="N21" s="349"/>
      <c r="O21" s="349"/>
      <c r="P21" s="349"/>
      <c r="Q21" s="349"/>
      <c r="R21" s="349"/>
    </row>
    <row r="22" spans="1:18" s="350" customFormat="1" ht="41.4">
      <c r="A22" s="323" t="s">
        <v>190</v>
      </c>
      <c r="B22" s="323" t="s">
        <v>2008</v>
      </c>
      <c r="C22" s="323"/>
      <c r="D22" s="323"/>
      <c r="E22" s="351" t="s">
        <v>1599</v>
      </c>
      <c r="F22" s="351"/>
      <c r="G22" s="352"/>
      <c r="H22" s="326"/>
      <c r="I22" s="326"/>
      <c r="J22" s="349"/>
      <c r="K22" s="349"/>
      <c r="L22" s="349"/>
      <c r="M22" s="349"/>
      <c r="N22" s="349"/>
      <c r="O22" s="349"/>
      <c r="P22" s="349"/>
      <c r="Q22" s="349"/>
      <c r="R22" s="349"/>
    </row>
    <row r="23" spans="1:18" s="140" customFormat="1" ht="41.4">
      <c r="A23" s="323" t="s">
        <v>191</v>
      </c>
      <c r="B23" s="323" t="s">
        <v>2009</v>
      </c>
      <c r="C23" s="323"/>
      <c r="D23" s="323"/>
      <c r="E23" s="351" t="s">
        <v>1600</v>
      </c>
      <c r="F23" s="351"/>
      <c r="G23" s="352"/>
      <c r="H23" s="326"/>
      <c r="I23" s="326"/>
      <c r="J23" s="349"/>
      <c r="K23" s="349"/>
      <c r="L23" s="349"/>
      <c r="M23" s="349"/>
      <c r="N23" s="349"/>
      <c r="O23" s="349"/>
      <c r="P23" s="349"/>
      <c r="Q23" s="349"/>
      <c r="R23" s="349"/>
    </row>
    <row r="24" spans="1:18" s="140" customFormat="1" ht="27.6">
      <c r="A24" s="323" t="s">
        <v>192</v>
      </c>
      <c r="B24" s="323" t="s">
        <v>2010</v>
      </c>
      <c r="C24" s="323"/>
      <c r="D24" s="323"/>
      <c r="E24" s="351" t="s">
        <v>193</v>
      </c>
      <c r="F24" s="351"/>
      <c r="G24" s="352"/>
      <c r="H24" s="326"/>
      <c r="I24" s="326"/>
      <c r="J24" s="349"/>
      <c r="K24" s="349"/>
      <c r="L24" s="349"/>
      <c r="M24" s="349"/>
      <c r="N24" s="349"/>
      <c r="O24" s="349"/>
      <c r="P24" s="349"/>
      <c r="Q24" s="349"/>
      <c r="R24" s="349"/>
    </row>
    <row r="25" spans="1:18" s="138" customFormat="1" ht="82.8">
      <c r="A25" s="323" t="s">
        <v>194</v>
      </c>
      <c r="B25" s="323" t="s">
        <v>2011</v>
      </c>
      <c r="C25" s="323"/>
      <c r="D25" s="323"/>
      <c r="E25" s="351" t="s">
        <v>1601</v>
      </c>
      <c r="F25" s="351"/>
      <c r="G25" s="352"/>
      <c r="H25" s="326"/>
      <c r="I25" s="326"/>
      <c r="J25" s="349"/>
      <c r="K25" s="349"/>
      <c r="L25" s="349"/>
      <c r="M25" s="349"/>
      <c r="N25" s="349"/>
      <c r="O25" s="349"/>
      <c r="P25" s="349"/>
      <c r="Q25" s="349"/>
      <c r="R25" s="349"/>
    </row>
    <row r="26" spans="1:18" s="343" customFormat="1">
      <c r="G26" s="328"/>
      <c r="H26" s="326"/>
      <c r="I26" s="326"/>
      <c r="J26" s="328"/>
      <c r="K26" s="328"/>
      <c r="L26" s="328"/>
      <c r="M26" s="328"/>
      <c r="N26" s="328"/>
      <c r="O26" s="328"/>
      <c r="P26" s="328"/>
      <c r="Q26" s="328"/>
      <c r="R26" s="328"/>
    </row>
    <row r="27" spans="1:18" s="343" customFormat="1">
      <c r="G27" s="328"/>
      <c r="H27" s="326"/>
      <c r="I27" s="326"/>
      <c r="J27" s="328"/>
      <c r="K27" s="328"/>
      <c r="L27" s="328"/>
      <c r="M27" s="328"/>
      <c r="N27" s="328"/>
      <c r="O27" s="328"/>
      <c r="P27" s="328"/>
      <c r="Q27" s="328"/>
      <c r="R27" s="328"/>
    </row>
    <row r="28" spans="1:18" s="344" customFormat="1">
      <c r="G28" s="328"/>
      <c r="H28" s="326"/>
      <c r="I28" s="326"/>
      <c r="J28" s="328"/>
      <c r="K28" s="328"/>
      <c r="L28" s="328"/>
      <c r="M28" s="328"/>
      <c r="N28" s="328"/>
      <c r="O28" s="328"/>
      <c r="P28" s="328"/>
      <c r="Q28" s="328"/>
      <c r="R28" s="328"/>
    </row>
    <row r="29" spans="1:18" s="344" customFormat="1">
      <c r="G29" s="328"/>
      <c r="H29" s="326"/>
      <c r="I29" s="326"/>
      <c r="J29" s="328"/>
      <c r="K29" s="328"/>
      <c r="L29" s="328"/>
      <c r="M29" s="328"/>
      <c r="N29" s="328"/>
      <c r="O29" s="328"/>
      <c r="P29" s="328"/>
      <c r="Q29" s="328"/>
      <c r="R29" s="328"/>
    </row>
    <row r="30" spans="1:18" s="344" customFormat="1">
      <c r="G30" s="328"/>
      <c r="H30" s="326"/>
      <c r="I30" s="326"/>
      <c r="J30" s="328"/>
      <c r="K30" s="328"/>
      <c r="L30" s="328"/>
      <c r="M30" s="328"/>
      <c r="N30" s="328"/>
      <c r="O30" s="328"/>
      <c r="P30" s="328"/>
      <c r="Q30" s="328"/>
      <c r="R30" s="328"/>
    </row>
    <row r="31" spans="1:18" s="344" customFormat="1">
      <c r="G31" s="328"/>
      <c r="H31" s="326"/>
      <c r="I31" s="326"/>
      <c r="J31" s="328"/>
      <c r="K31" s="328"/>
      <c r="L31" s="328"/>
      <c r="M31" s="328"/>
      <c r="N31" s="328"/>
      <c r="O31" s="328"/>
      <c r="P31" s="328"/>
      <c r="Q31" s="328"/>
      <c r="R31" s="328"/>
    </row>
    <row r="32" spans="1:18" s="344" customFormat="1">
      <c r="G32" s="328"/>
      <c r="H32" s="326"/>
      <c r="I32" s="326"/>
      <c r="J32" s="328"/>
      <c r="K32" s="328"/>
      <c r="L32" s="328"/>
      <c r="M32" s="328"/>
      <c r="N32" s="328"/>
      <c r="O32" s="328"/>
      <c r="P32" s="328"/>
      <c r="Q32" s="328"/>
      <c r="R32" s="328"/>
    </row>
    <row r="33" spans="7:18" s="344" customFormat="1">
      <c r="G33" s="328"/>
      <c r="H33" s="326"/>
      <c r="I33" s="326"/>
      <c r="J33" s="328"/>
      <c r="K33" s="328"/>
      <c r="L33" s="328"/>
      <c r="M33" s="328"/>
      <c r="N33" s="328"/>
      <c r="O33" s="328"/>
      <c r="P33" s="328"/>
      <c r="Q33" s="328"/>
      <c r="R33" s="328"/>
    </row>
    <row r="34" spans="7:18" s="344" customFormat="1">
      <c r="G34" s="328"/>
      <c r="H34" s="326"/>
      <c r="I34" s="326"/>
      <c r="J34" s="328"/>
      <c r="K34" s="328"/>
      <c r="L34" s="328"/>
      <c r="M34" s="328"/>
      <c r="N34" s="328"/>
      <c r="O34" s="328"/>
      <c r="P34" s="328"/>
      <c r="Q34" s="328"/>
      <c r="R34" s="328"/>
    </row>
    <row r="35" spans="7:18" s="344" customFormat="1">
      <c r="G35" s="328"/>
      <c r="H35" s="326"/>
      <c r="I35" s="326"/>
      <c r="J35" s="328"/>
      <c r="K35" s="328"/>
      <c r="L35" s="328"/>
      <c r="M35" s="328"/>
      <c r="N35" s="328"/>
      <c r="O35" s="328"/>
      <c r="P35" s="328"/>
      <c r="Q35" s="328"/>
      <c r="R35" s="328"/>
    </row>
    <row r="36" spans="7:18" s="344" customFormat="1">
      <c r="G36" s="328"/>
      <c r="H36" s="326"/>
      <c r="I36" s="326"/>
      <c r="J36" s="328"/>
      <c r="K36" s="328"/>
      <c r="L36" s="328"/>
      <c r="M36" s="328"/>
      <c r="N36" s="328"/>
      <c r="O36" s="328"/>
      <c r="P36" s="328"/>
      <c r="Q36" s="328"/>
      <c r="R36" s="328"/>
    </row>
    <row r="37" spans="7:18" s="344" customFormat="1">
      <c r="G37" s="328"/>
      <c r="H37" s="326"/>
      <c r="I37" s="326"/>
      <c r="J37" s="328"/>
      <c r="K37" s="328"/>
      <c r="L37" s="328"/>
      <c r="M37" s="328"/>
      <c r="N37" s="328"/>
      <c r="O37" s="328"/>
      <c r="P37" s="328"/>
      <c r="Q37" s="328"/>
      <c r="R37" s="328"/>
    </row>
    <row r="38" spans="7:18" s="344" customFormat="1">
      <c r="G38" s="328"/>
      <c r="H38" s="326"/>
      <c r="I38" s="326"/>
      <c r="J38" s="328"/>
      <c r="K38" s="328"/>
      <c r="L38" s="328"/>
      <c r="M38" s="328"/>
      <c r="N38" s="328"/>
      <c r="O38" s="328"/>
      <c r="P38" s="328"/>
      <c r="Q38" s="328"/>
      <c r="R38" s="328"/>
    </row>
    <row r="39" spans="7:18" s="344" customFormat="1">
      <c r="G39" s="328"/>
      <c r="H39" s="326"/>
      <c r="I39" s="326"/>
      <c r="J39" s="328"/>
      <c r="K39" s="328"/>
      <c r="L39" s="328"/>
      <c r="M39" s="328"/>
      <c r="N39" s="328"/>
      <c r="O39" s="328"/>
      <c r="P39" s="328"/>
      <c r="Q39" s="328"/>
      <c r="R39" s="328"/>
    </row>
    <row r="40" spans="7:18" s="344" customFormat="1">
      <c r="G40" s="328"/>
      <c r="H40" s="326"/>
      <c r="I40" s="326"/>
      <c r="J40" s="328"/>
      <c r="K40" s="328"/>
      <c r="L40" s="328"/>
      <c r="M40" s="328"/>
      <c r="N40" s="328"/>
      <c r="O40" s="328"/>
      <c r="P40" s="328"/>
      <c r="Q40" s="328"/>
      <c r="R40" s="328"/>
    </row>
    <row r="41" spans="7:18" s="344" customFormat="1">
      <c r="G41" s="328"/>
      <c r="H41" s="326"/>
      <c r="I41" s="326"/>
      <c r="J41" s="328"/>
      <c r="K41" s="328"/>
      <c r="L41" s="328"/>
      <c r="M41" s="328"/>
      <c r="N41" s="328"/>
      <c r="O41" s="328"/>
      <c r="P41" s="328"/>
      <c r="Q41" s="328"/>
      <c r="R41" s="328"/>
    </row>
    <row r="42" spans="7:18" s="344" customFormat="1">
      <c r="G42" s="328"/>
      <c r="H42" s="326"/>
      <c r="I42" s="326"/>
      <c r="J42" s="328"/>
      <c r="K42" s="328"/>
      <c r="L42" s="328"/>
      <c r="M42" s="328"/>
      <c r="N42" s="328"/>
      <c r="O42" s="328"/>
      <c r="P42" s="328"/>
      <c r="Q42" s="328"/>
      <c r="R42" s="328"/>
    </row>
    <row r="43" spans="7:18" s="344" customFormat="1">
      <c r="G43" s="328"/>
      <c r="H43" s="326"/>
      <c r="I43" s="326"/>
      <c r="J43" s="328"/>
      <c r="K43" s="328"/>
      <c r="L43" s="328"/>
      <c r="M43" s="328"/>
      <c r="N43" s="328"/>
      <c r="O43" s="328"/>
      <c r="P43" s="328"/>
      <c r="Q43" s="328"/>
      <c r="R43" s="328"/>
    </row>
    <row r="44" spans="7:18" s="344" customFormat="1">
      <c r="G44" s="328"/>
      <c r="H44" s="326"/>
      <c r="I44" s="326"/>
      <c r="J44" s="328"/>
      <c r="K44" s="328"/>
      <c r="L44" s="328"/>
      <c r="M44" s="328"/>
      <c r="N44" s="328"/>
      <c r="O44" s="328"/>
      <c r="P44" s="328"/>
      <c r="Q44" s="328"/>
      <c r="R44" s="328"/>
    </row>
    <row r="45" spans="7:18" s="344" customFormat="1">
      <c r="G45" s="328"/>
      <c r="H45" s="326"/>
      <c r="I45" s="326"/>
      <c r="J45" s="328"/>
      <c r="K45" s="328"/>
      <c r="L45" s="328"/>
      <c r="M45" s="328"/>
      <c r="N45" s="328"/>
      <c r="O45" s="328"/>
      <c r="P45" s="328"/>
      <c r="Q45" s="328"/>
      <c r="R45" s="328"/>
    </row>
    <row r="46" spans="7:18" s="344" customFormat="1">
      <c r="G46" s="328"/>
      <c r="H46" s="326"/>
      <c r="I46" s="326"/>
      <c r="J46" s="328"/>
      <c r="K46" s="328"/>
      <c r="L46" s="328"/>
      <c r="M46" s="328"/>
      <c r="N46" s="328"/>
      <c r="O46" s="328"/>
      <c r="P46" s="328"/>
      <c r="Q46" s="328"/>
      <c r="R46" s="328"/>
    </row>
    <row r="47" spans="7:18" s="344" customFormat="1">
      <c r="G47" s="328"/>
      <c r="H47" s="326"/>
      <c r="I47" s="326"/>
      <c r="J47" s="328"/>
      <c r="K47" s="328"/>
      <c r="L47" s="328"/>
      <c r="M47" s="328"/>
      <c r="N47" s="328"/>
      <c r="O47" s="328"/>
      <c r="P47" s="328"/>
      <c r="Q47" s="328"/>
      <c r="R47" s="328"/>
    </row>
    <row r="48" spans="7:18" s="344" customFormat="1">
      <c r="G48" s="328"/>
      <c r="H48" s="326"/>
      <c r="I48" s="326"/>
      <c r="J48" s="328"/>
      <c r="K48" s="328"/>
      <c r="L48" s="328"/>
      <c r="M48" s="328"/>
      <c r="N48" s="328"/>
      <c r="O48" s="328"/>
      <c r="P48" s="328"/>
      <c r="Q48" s="328"/>
      <c r="R48" s="328"/>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33" customWidth="1"/>
    <col min="2" max="2" width="63.77734375" style="333" customWidth="1"/>
    <col min="3" max="4" width="21.44140625" style="333" customWidth="1"/>
    <col min="5" max="5" width="45.21875" style="333" customWidth="1"/>
    <col min="6" max="6" width="31.5546875" style="333" customWidth="1"/>
    <col min="7" max="7" width="21.44140625" style="328" customWidth="1"/>
    <col min="8" max="8" width="8.77734375" style="326"/>
    <col min="9" max="10" width="8.77734375" style="326" customWidth="1"/>
    <col min="11" max="18" width="8.77734375" style="328"/>
    <col min="19" max="16384" width="8.77734375" style="333"/>
  </cols>
  <sheetData>
    <row r="1" spans="1:18" s="140" customFormat="1" ht="25.8">
      <c r="A1" s="325" t="s">
        <v>123</v>
      </c>
      <c r="B1" s="326"/>
      <c r="C1" s="327"/>
      <c r="D1" s="326"/>
      <c r="E1" s="326"/>
      <c r="F1" s="326"/>
      <c r="G1" s="328"/>
      <c r="H1" s="326"/>
      <c r="I1" s="326"/>
      <c r="J1" s="326"/>
      <c r="K1" s="328"/>
      <c r="L1" s="328"/>
      <c r="M1" s="328"/>
      <c r="N1" s="328"/>
      <c r="O1" s="328"/>
      <c r="P1" s="328"/>
      <c r="Q1" s="328"/>
      <c r="R1" s="328"/>
    </row>
    <row r="2" spans="1:18" s="138" customFormat="1" ht="25.8">
      <c r="A2" s="325" t="s">
        <v>2012</v>
      </c>
      <c r="B2" s="326"/>
      <c r="C2" s="327"/>
      <c r="D2" s="326"/>
      <c r="E2" s="326"/>
      <c r="F2" s="326"/>
      <c r="G2" s="328"/>
      <c r="H2" s="326"/>
      <c r="I2" s="326"/>
      <c r="J2" s="326"/>
      <c r="K2" s="328"/>
      <c r="L2" s="328"/>
      <c r="M2" s="328"/>
      <c r="N2" s="328"/>
      <c r="O2" s="328"/>
      <c r="P2" s="328"/>
      <c r="Q2" s="328"/>
      <c r="R2" s="328"/>
    </row>
    <row r="3" spans="1:18" s="350" customFormat="1">
      <c r="A3" s="329" t="s">
        <v>461</v>
      </c>
      <c r="B3" s="326" t="s">
        <v>124</v>
      </c>
      <c r="C3" s="326"/>
      <c r="D3" s="326"/>
      <c r="E3" s="326"/>
      <c r="F3" s="326"/>
      <c r="G3" s="328"/>
      <c r="H3" s="326"/>
      <c r="I3" s="326"/>
      <c r="J3" s="326"/>
      <c r="K3" s="328"/>
      <c r="L3" s="328"/>
      <c r="M3" s="328"/>
      <c r="N3" s="328"/>
      <c r="O3" s="328"/>
      <c r="P3" s="328"/>
      <c r="Q3" s="328"/>
      <c r="R3" s="328"/>
    </row>
    <row r="4" spans="1:18" s="140" customFormat="1">
      <c r="A4" s="329" t="s">
        <v>1755</v>
      </c>
      <c r="B4" s="326" t="s">
        <v>2013</v>
      </c>
      <c r="C4" s="326"/>
      <c r="D4" s="326"/>
      <c r="E4" s="326"/>
      <c r="F4" s="326"/>
      <c r="G4" s="328"/>
      <c r="H4" s="326"/>
      <c r="I4" s="326"/>
      <c r="J4" s="326"/>
      <c r="K4" s="328"/>
      <c r="L4" s="328"/>
      <c r="M4" s="328"/>
      <c r="N4" s="328"/>
      <c r="O4" s="328"/>
      <c r="P4" s="328"/>
      <c r="Q4" s="328"/>
      <c r="R4" s="328"/>
    </row>
    <row r="5" spans="1:18" s="350" customFormat="1">
      <c r="A5" s="326" t="s">
        <v>462</v>
      </c>
      <c r="B5" s="326" t="s">
        <v>125</v>
      </c>
      <c r="C5" s="326"/>
      <c r="D5" s="326"/>
      <c r="E5" s="326"/>
      <c r="F5" s="326"/>
      <c r="G5" s="328"/>
      <c r="H5" s="326"/>
      <c r="I5" s="326"/>
      <c r="J5" s="326"/>
      <c r="K5" s="328"/>
      <c r="L5" s="328"/>
      <c r="M5" s="328"/>
      <c r="N5" s="328"/>
      <c r="O5" s="328"/>
      <c r="P5" s="328"/>
      <c r="Q5" s="328"/>
      <c r="R5" s="328"/>
    </row>
    <row r="6" spans="1:18" s="140" customFormat="1">
      <c r="A6" s="326" t="s">
        <v>1757</v>
      </c>
      <c r="B6" s="326" t="s">
        <v>2014</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38"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350" customFormat="1">
      <c r="A9" s="346" t="s">
        <v>47</v>
      </c>
      <c r="B9" s="346"/>
      <c r="C9" s="347"/>
      <c r="D9" s="347"/>
      <c r="E9" s="347"/>
      <c r="F9" s="347"/>
      <c r="G9" s="348"/>
      <c r="H9" s="326"/>
      <c r="I9" s="326"/>
      <c r="J9" s="326"/>
      <c r="K9" s="349"/>
      <c r="L9" s="349"/>
      <c r="M9" s="349"/>
      <c r="N9" s="349"/>
      <c r="O9" s="349"/>
      <c r="P9" s="349"/>
      <c r="Q9" s="349"/>
      <c r="R9" s="349"/>
    </row>
    <row r="10" spans="1:18" s="350" customFormat="1" ht="41.4">
      <c r="A10" s="323" t="s">
        <v>126</v>
      </c>
      <c r="B10" s="323" t="s">
        <v>2015</v>
      </c>
      <c r="C10" s="323"/>
      <c r="D10" s="323"/>
      <c r="E10" s="351" t="s">
        <v>127</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27.6">
      <c r="A12" s="323" t="s">
        <v>128</v>
      </c>
      <c r="B12" s="323" t="s">
        <v>2016</v>
      </c>
      <c r="C12" s="323"/>
      <c r="D12" s="323"/>
      <c r="E12" s="351" t="s">
        <v>129</v>
      </c>
      <c r="F12" s="351"/>
      <c r="G12" s="352"/>
      <c r="H12" s="326"/>
      <c r="I12" s="326"/>
      <c r="J12" s="326"/>
      <c r="K12" s="349"/>
      <c r="L12" s="349"/>
      <c r="M12" s="349"/>
      <c r="N12" s="349"/>
      <c r="O12" s="349"/>
      <c r="P12" s="349"/>
      <c r="Q12" s="349"/>
      <c r="R12" s="349"/>
    </row>
    <row r="13" spans="1:18" s="138" customFormat="1" ht="27.6">
      <c r="A13" s="323" t="s">
        <v>130</v>
      </c>
      <c r="B13" s="323" t="s">
        <v>2017</v>
      </c>
      <c r="C13" s="323"/>
      <c r="D13" s="323"/>
      <c r="E13" s="351" t="s">
        <v>131</v>
      </c>
      <c r="F13" s="351"/>
      <c r="G13" s="352"/>
      <c r="H13" s="326"/>
      <c r="I13" s="326"/>
      <c r="J13" s="326"/>
      <c r="K13" s="349"/>
      <c r="L13" s="349"/>
      <c r="M13" s="349"/>
      <c r="N13" s="349"/>
      <c r="O13" s="349"/>
      <c r="P13" s="349"/>
      <c r="Q13" s="349"/>
      <c r="R13" s="349"/>
    </row>
    <row r="14" spans="1:18" s="350" customFormat="1" ht="41.4">
      <c r="A14" s="323" t="s">
        <v>132</v>
      </c>
      <c r="B14" s="323" t="s">
        <v>2018</v>
      </c>
      <c r="C14" s="323"/>
      <c r="D14" s="323"/>
      <c r="E14" s="351" t="s">
        <v>133</v>
      </c>
      <c r="F14" s="351"/>
      <c r="G14" s="352"/>
      <c r="H14" s="326"/>
      <c r="I14" s="326"/>
      <c r="J14" s="326"/>
      <c r="K14" s="349"/>
      <c r="L14" s="349"/>
      <c r="M14" s="349"/>
      <c r="N14" s="349"/>
      <c r="O14" s="349"/>
      <c r="P14" s="349"/>
      <c r="Q14" s="349"/>
      <c r="R14" s="349"/>
    </row>
    <row r="15" spans="1:18" s="140" customFormat="1" ht="69">
      <c r="A15" s="323" t="s">
        <v>134</v>
      </c>
      <c r="B15" s="323" t="s">
        <v>2019</v>
      </c>
      <c r="C15" s="323"/>
      <c r="D15" s="323"/>
      <c r="E15" s="351" t="s">
        <v>2020</v>
      </c>
      <c r="F15" s="351"/>
      <c r="G15" s="352"/>
      <c r="H15" s="326"/>
      <c r="I15" s="326"/>
      <c r="J15" s="326"/>
      <c r="K15" s="349"/>
      <c r="L15" s="349"/>
      <c r="M15" s="349"/>
      <c r="N15" s="349"/>
      <c r="O15" s="349"/>
      <c r="P15" s="349"/>
      <c r="Q15" s="349"/>
      <c r="R15" s="349"/>
    </row>
    <row r="16" spans="1:18" s="140" customFormat="1" ht="69">
      <c r="A16" s="323" t="s">
        <v>135</v>
      </c>
      <c r="B16" s="323" t="s">
        <v>2021</v>
      </c>
      <c r="C16" s="323"/>
      <c r="D16" s="323"/>
      <c r="E16" s="351" t="s">
        <v>1574</v>
      </c>
      <c r="F16" s="351"/>
      <c r="G16" s="352"/>
      <c r="H16" s="326"/>
      <c r="I16" s="326"/>
      <c r="J16" s="326"/>
      <c r="K16" s="349"/>
      <c r="L16" s="349"/>
      <c r="M16" s="349"/>
      <c r="N16" s="349"/>
      <c r="O16" s="349"/>
      <c r="P16" s="349"/>
      <c r="Q16" s="349"/>
      <c r="R16" s="349"/>
    </row>
    <row r="17" spans="1:18" s="138" customFormat="1" ht="27.6">
      <c r="A17" s="323" t="s">
        <v>136</v>
      </c>
      <c r="B17" s="323" t="s">
        <v>2022</v>
      </c>
      <c r="C17" s="323"/>
      <c r="D17" s="323"/>
      <c r="E17" s="351" t="s">
        <v>1575</v>
      </c>
      <c r="F17" s="351"/>
      <c r="G17" s="352"/>
      <c r="H17" s="326"/>
      <c r="I17" s="326"/>
      <c r="J17" s="326"/>
      <c r="K17" s="349"/>
      <c r="L17" s="349"/>
      <c r="M17" s="349"/>
      <c r="N17" s="349"/>
      <c r="O17" s="349"/>
      <c r="P17" s="349"/>
      <c r="Q17" s="349"/>
      <c r="R17" s="349"/>
    </row>
    <row r="18" spans="1:18" s="350" customFormat="1">
      <c r="A18" s="346" t="s">
        <v>56</v>
      </c>
      <c r="B18" s="346"/>
      <c r="C18" s="347"/>
      <c r="D18" s="347"/>
      <c r="E18" s="347" t="s">
        <v>1868</v>
      </c>
      <c r="F18" s="347"/>
      <c r="G18" s="348"/>
      <c r="H18" s="326"/>
      <c r="I18" s="326"/>
      <c r="J18" s="326"/>
      <c r="K18" s="349"/>
      <c r="L18" s="349"/>
      <c r="M18" s="349"/>
      <c r="N18" s="349"/>
      <c r="O18" s="349"/>
      <c r="P18" s="349"/>
      <c r="Q18" s="349"/>
      <c r="R18" s="349"/>
    </row>
    <row r="19" spans="1:18" s="140" customFormat="1" ht="54" customHeight="1">
      <c r="A19" s="323" t="s">
        <v>137</v>
      </c>
      <c r="B19" s="323" t="s">
        <v>429</v>
      </c>
      <c r="C19" s="323"/>
      <c r="D19" s="323"/>
      <c r="E19" s="351" t="s">
        <v>1576</v>
      </c>
      <c r="F19" s="351"/>
      <c r="G19" s="352"/>
      <c r="H19" s="326"/>
      <c r="I19" s="326"/>
      <c r="J19" s="326"/>
      <c r="K19" s="349"/>
      <c r="L19" s="349"/>
      <c r="M19" s="349"/>
      <c r="N19" s="349"/>
      <c r="O19" s="349"/>
      <c r="P19" s="349"/>
      <c r="Q19" s="349"/>
      <c r="R19" s="349"/>
    </row>
    <row r="20" spans="1:18" s="140" customFormat="1" ht="69">
      <c r="A20" s="323" t="s">
        <v>138</v>
      </c>
      <c r="B20" s="323" t="s">
        <v>139</v>
      </c>
      <c r="C20" s="323"/>
      <c r="D20" s="323"/>
      <c r="E20" s="351" t="s">
        <v>1577</v>
      </c>
      <c r="F20" s="351"/>
      <c r="G20" s="352"/>
      <c r="H20" s="326"/>
      <c r="I20" s="326"/>
      <c r="J20" s="326"/>
      <c r="K20" s="349"/>
      <c r="L20" s="349"/>
      <c r="M20" s="349"/>
      <c r="N20" s="349"/>
      <c r="O20" s="349"/>
      <c r="P20" s="349"/>
      <c r="Q20" s="349"/>
      <c r="R20" s="349"/>
    </row>
    <row r="21" spans="1:18" s="138" customFormat="1" ht="41.4">
      <c r="A21" s="323" t="s">
        <v>140</v>
      </c>
      <c r="B21" s="323" t="s">
        <v>2023</v>
      </c>
      <c r="C21" s="323"/>
      <c r="D21" s="323"/>
      <c r="E21" s="351" t="s">
        <v>1578</v>
      </c>
      <c r="F21" s="351"/>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33" customWidth="1"/>
    <col min="2" max="2" width="62.44140625" style="333" customWidth="1"/>
    <col min="3" max="4" width="21.44140625" style="333" customWidth="1"/>
    <col min="5" max="6" width="28.77734375" style="333" customWidth="1"/>
    <col min="7" max="7" width="21.44140625" style="328" customWidth="1"/>
    <col min="8" max="10" width="8.77734375" style="326"/>
    <col min="11" max="18" width="8.77734375" style="328"/>
    <col min="19" max="16384" width="8.77734375" style="333"/>
  </cols>
  <sheetData>
    <row r="1" spans="1:18" s="140" customFormat="1" ht="25.8">
      <c r="A1" s="325" t="s">
        <v>141</v>
      </c>
      <c r="B1" s="326"/>
      <c r="C1" s="327"/>
      <c r="D1" s="326"/>
      <c r="E1" s="326"/>
      <c r="F1" s="326"/>
      <c r="G1" s="328"/>
      <c r="H1" s="326"/>
      <c r="I1" s="326"/>
      <c r="J1" s="326"/>
      <c r="K1" s="328"/>
      <c r="L1" s="328"/>
      <c r="M1" s="328"/>
      <c r="N1" s="328"/>
      <c r="O1" s="328"/>
      <c r="P1" s="328"/>
      <c r="Q1" s="328"/>
      <c r="R1" s="328"/>
    </row>
    <row r="2" spans="1:18" s="138" customFormat="1" ht="25.8">
      <c r="A2" s="325" t="s">
        <v>2024</v>
      </c>
      <c r="B2" s="326"/>
      <c r="C2" s="327"/>
      <c r="D2" s="326"/>
      <c r="E2" s="326"/>
      <c r="F2" s="326"/>
      <c r="G2" s="328"/>
      <c r="H2" s="326"/>
      <c r="I2" s="326"/>
      <c r="J2" s="326"/>
      <c r="K2" s="328"/>
      <c r="L2" s="328"/>
      <c r="M2" s="328"/>
      <c r="N2" s="328"/>
      <c r="O2" s="328"/>
      <c r="P2" s="328"/>
      <c r="Q2" s="328"/>
      <c r="R2" s="328"/>
    </row>
    <row r="3" spans="1:18" s="350" customFormat="1">
      <c r="A3" s="329" t="s">
        <v>461</v>
      </c>
      <c r="B3" s="326" t="s">
        <v>142</v>
      </c>
      <c r="C3" s="326"/>
      <c r="D3" s="326"/>
      <c r="E3" s="326"/>
      <c r="F3" s="326"/>
      <c r="G3" s="328"/>
      <c r="H3" s="326"/>
      <c r="I3" s="326"/>
      <c r="J3" s="326"/>
      <c r="K3" s="328"/>
      <c r="L3" s="328"/>
      <c r="M3" s="328"/>
      <c r="N3" s="328"/>
      <c r="O3" s="328"/>
      <c r="P3" s="328"/>
      <c r="Q3" s="328"/>
      <c r="R3" s="328"/>
    </row>
    <row r="4" spans="1:18" s="140" customFormat="1">
      <c r="A4" s="329" t="s">
        <v>1755</v>
      </c>
      <c r="B4" s="326" t="s">
        <v>2025</v>
      </c>
      <c r="C4" s="326"/>
      <c r="D4" s="326"/>
      <c r="E4" s="326"/>
      <c r="F4" s="326"/>
      <c r="G4" s="328"/>
      <c r="H4" s="326"/>
      <c r="I4" s="326"/>
      <c r="J4" s="326"/>
      <c r="K4" s="328"/>
      <c r="L4" s="328"/>
      <c r="M4" s="328"/>
      <c r="N4" s="328"/>
      <c r="O4" s="328"/>
      <c r="P4" s="328"/>
      <c r="Q4" s="328"/>
      <c r="R4" s="328"/>
    </row>
    <row r="5" spans="1:18" s="138" customFormat="1">
      <c r="A5" s="326" t="s">
        <v>462</v>
      </c>
      <c r="B5" s="326" t="s">
        <v>458</v>
      </c>
      <c r="C5" s="326"/>
      <c r="D5" s="326"/>
      <c r="E5" s="326"/>
      <c r="F5" s="326"/>
      <c r="G5" s="328"/>
      <c r="H5" s="326"/>
      <c r="I5" s="326"/>
      <c r="J5" s="326"/>
      <c r="K5" s="328"/>
      <c r="L5" s="328"/>
      <c r="M5" s="328"/>
      <c r="N5" s="328"/>
      <c r="O5" s="328"/>
      <c r="P5" s="328"/>
      <c r="Q5" s="328"/>
      <c r="R5" s="328"/>
    </row>
    <row r="6" spans="1:18" s="350" customFormat="1">
      <c r="A6" s="326" t="s">
        <v>1757</v>
      </c>
      <c r="B6" s="326" t="s">
        <v>2026</v>
      </c>
      <c r="C6" s="326"/>
      <c r="D6" s="326"/>
      <c r="E6" s="326"/>
      <c r="F6" s="326"/>
      <c r="G6" s="328"/>
      <c r="H6" s="326"/>
      <c r="I6" s="326"/>
      <c r="J6" s="326"/>
      <c r="K6" s="328"/>
      <c r="L6" s="328"/>
      <c r="M6" s="328"/>
      <c r="N6" s="328"/>
      <c r="O6" s="328"/>
      <c r="P6" s="328"/>
      <c r="Q6" s="328"/>
      <c r="R6" s="328"/>
    </row>
    <row r="7" spans="1:18" s="140" customFormat="1">
      <c r="A7" s="333"/>
      <c r="B7" s="333"/>
      <c r="C7" s="333"/>
      <c r="D7" s="333"/>
      <c r="E7" s="326"/>
      <c r="F7" s="326"/>
      <c r="G7" s="363" t="e">
        <f>#REF!</f>
        <v>#REF!</v>
      </c>
      <c r="H7" s="326"/>
      <c r="I7" s="326"/>
      <c r="J7" s="326"/>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26"/>
      <c r="I9" s="326"/>
      <c r="J9" s="326"/>
      <c r="K9" s="349"/>
      <c r="L9" s="349"/>
      <c r="M9" s="349"/>
      <c r="N9" s="349"/>
      <c r="O9" s="349"/>
      <c r="P9" s="349"/>
      <c r="Q9" s="349"/>
      <c r="R9" s="349"/>
    </row>
    <row r="10" spans="1:18" s="350" customFormat="1" ht="55.2">
      <c r="A10" s="323" t="s">
        <v>143</v>
      </c>
      <c r="B10" s="323" t="s">
        <v>2027</v>
      </c>
      <c r="C10" s="323"/>
      <c r="D10" s="323"/>
      <c r="E10" s="351" t="s">
        <v>144</v>
      </c>
      <c r="F10" s="351"/>
      <c r="G10" s="352"/>
      <c r="H10" s="326"/>
      <c r="I10" s="326"/>
      <c r="J10" s="326"/>
      <c r="K10" s="349"/>
      <c r="L10" s="349"/>
      <c r="M10" s="349"/>
      <c r="N10" s="349"/>
      <c r="O10" s="349"/>
      <c r="P10" s="349"/>
      <c r="Q10" s="349"/>
      <c r="R10" s="349"/>
    </row>
    <row r="11" spans="1:18" s="140" customFormat="1">
      <c r="A11" s="346" t="s">
        <v>54</v>
      </c>
      <c r="B11" s="346"/>
      <c r="C11" s="347"/>
      <c r="D11" s="347"/>
      <c r="E11" s="347"/>
      <c r="F11" s="347"/>
      <c r="G11" s="348"/>
      <c r="H11" s="326"/>
      <c r="I11" s="326"/>
      <c r="J11" s="326"/>
      <c r="K11" s="349"/>
      <c r="L11" s="349"/>
      <c r="M11" s="349"/>
      <c r="N11" s="349"/>
      <c r="O11" s="349"/>
      <c r="P11" s="349"/>
      <c r="Q11" s="349"/>
      <c r="R11" s="349"/>
    </row>
    <row r="12" spans="1:18" s="140" customFormat="1" ht="69">
      <c r="A12" s="323" t="s">
        <v>145</v>
      </c>
      <c r="B12" s="323" t="s">
        <v>2028</v>
      </c>
      <c r="C12" s="323"/>
      <c r="D12" s="323"/>
      <c r="E12" s="351" t="s">
        <v>146</v>
      </c>
      <c r="F12" s="351"/>
      <c r="G12" s="352"/>
      <c r="H12" s="326"/>
      <c r="I12" s="326"/>
      <c r="J12" s="326"/>
      <c r="K12" s="349"/>
      <c r="L12" s="349"/>
      <c r="M12" s="349"/>
      <c r="N12" s="349"/>
      <c r="O12" s="349"/>
      <c r="P12" s="349"/>
      <c r="Q12" s="349"/>
      <c r="R12" s="349"/>
    </row>
    <row r="13" spans="1:18" s="138" customFormat="1" ht="69">
      <c r="A13" s="323" t="s">
        <v>147</v>
      </c>
      <c r="B13" s="323" t="s">
        <v>2029</v>
      </c>
      <c r="C13" s="323"/>
      <c r="D13" s="323"/>
      <c r="E13" s="351" t="s">
        <v>1579</v>
      </c>
      <c r="F13" s="351"/>
      <c r="G13" s="352"/>
      <c r="H13" s="326"/>
      <c r="I13" s="326"/>
      <c r="J13" s="326"/>
      <c r="K13" s="349"/>
      <c r="L13" s="349"/>
      <c r="M13" s="349"/>
      <c r="N13" s="349"/>
      <c r="O13" s="349"/>
      <c r="P13" s="349"/>
      <c r="Q13" s="349"/>
      <c r="R13" s="349"/>
    </row>
    <row r="14" spans="1:18" s="350" customFormat="1" ht="69">
      <c r="A14" s="323" t="s">
        <v>148</v>
      </c>
      <c r="B14" s="323" t="s">
        <v>2030</v>
      </c>
      <c r="C14" s="323"/>
      <c r="D14" s="323"/>
      <c r="E14" s="351" t="s">
        <v>1580</v>
      </c>
      <c r="F14" s="351"/>
      <c r="G14" s="352"/>
      <c r="H14" s="326"/>
      <c r="I14" s="326"/>
      <c r="J14" s="326"/>
      <c r="K14" s="349"/>
      <c r="L14" s="349"/>
      <c r="M14" s="349"/>
      <c r="N14" s="349"/>
      <c r="O14" s="349"/>
      <c r="P14" s="349"/>
      <c r="Q14" s="349"/>
      <c r="R14" s="349"/>
    </row>
    <row r="15" spans="1:18" s="140" customFormat="1">
      <c r="A15" s="346" t="s">
        <v>56</v>
      </c>
      <c r="B15" s="346"/>
      <c r="C15" s="347"/>
      <c r="D15" s="347"/>
      <c r="E15" s="347" t="s">
        <v>1868</v>
      </c>
      <c r="F15" s="347"/>
      <c r="G15" s="348"/>
      <c r="H15" s="326"/>
      <c r="I15" s="326"/>
      <c r="J15" s="326"/>
      <c r="K15" s="349"/>
      <c r="L15" s="349"/>
      <c r="M15" s="349"/>
      <c r="N15" s="349"/>
      <c r="O15" s="349"/>
      <c r="P15" s="349"/>
      <c r="Q15" s="349"/>
      <c r="R15" s="349"/>
    </row>
    <row r="16" spans="1:18" s="140" customFormat="1" ht="41.4">
      <c r="A16" s="323" t="s">
        <v>149</v>
      </c>
      <c r="B16" s="323" t="s">
        <v>2031</v>
      </c>
      <c r="C16" s="323"/>
      <c r="D16" s="323"/>
      <c r="E16" s="351" t="s">
        <v>1581</v>
      </c>
      <c r="F16" s="351"/>
      <c r="G16" s="352"/>
      <c r="H16" s="326"/>
      <c r="I16" s="326"/>
      <c r="J16" s="326"/>
      <c r="K16" s="349"/>
      <c r="L16" s="349"/>
      <c r="M16" s="349"/>
      <c r="N16" s="349"/>
      <c r="O16" s="349"/>
      <c r="P16" s="349"/>
      <c r="Q16" s="349"/>
      <c r="R16" s="349"/>
    </row>
    <row r="17" spans="1:18" s="138" customFormat="1" ht="69">
      <c r="A17" s="323" t="s">
        <v>150</v>
      </c>
      <c r="B17" s="323" t="s">
        <v>2032</v>
      </c>
      <c r="C17" s="323"/>
      <c r="D17" s="323"/>
      <c r="E17" s="351" t="s">
        <v>1582</v>
      </c>
      <c r="F17" s="351"/>
      <c r="G17" s="352"/>
      <c r="H17" s="326"/>
      <c r="I17" s="364"/>
      <c r="J17" s="326"/>
      <c r="K17" s="349"/>
      <c r="L17" s="349"/>
      <c r="M17" s="349"/>
      <c r="N17" s="349"/>
      <c r="O17" s="349"/>
      <c r="P17" s="349"/>
      <c r="Q17" s="349"/>
      <c r="R17" s="349"/>
    </row>
    <row r="18" spans="1:18" s="350" customFormat="1" ht="55.2">
      <c r="A18" s="323" t="s">
        <v>151</v>
      </c>
      <c r="B18" s="323" t="s">
        <v>2033</v>
      </c>
      <c r="C18" s="323"/>
      <c r="D18" s="323"/>
      <c r="E18" s="351" t="s">
        <v>1583</v>
      </c>
      <c r="F18" s="351"/>
      <c r="G18" s="352"/>
      <c r="H18" s="326"/>
      <c r="I18" s="326"/>
      <c r="J18" s="326"/>
      <c r="K18" s="349"/>
      <c r="L18" s="349"/>
      <c r="M18" s="349"/>
      <c r="N18" s="349"/>
      <c r="O18" s="349"/>
      <c r="P18" s="349"/>
      <c r="Q18" s="349"/>
      <c r="R18" s="349"/>
    </row>
    <row r="19" spans="1:18" s="140" customFormat="1" ht="55.2">
      <c r="A19" s="323" t="s">
        <v>152</v>
      </c>
      <c r="B19" s="323" t="s">
        <v>2034</v>
      </c>
      <c r="C19" s="323"/>
      <c r="D19" s="323"/>
      <c r="E19" s="351" t="s">
        <v>1584</v>
      </c>
      <c r="F19" s="351"/>
      <c r="G19" s="352"/>
      <c r="H19" s="326"/>
      <c r="I19" s="326"/>
      <c r="J19" s="326"/>
      <c r="K19" s="349"/>
      <c r="L19" s="349"/>
      <c r="M19" s="349"/>
      <c r="N19" s="349"/>
      <c r="O19" s="349"/>
      <c r="P19" s="349"/>
      <c r="Q19" s="349"/>
      <c r="R19" s="349"/>
    </row>
    <row r="20" spans="1:18" s="140" customFormat="1" ht="69">
      <c r="A20" s="323" t="s">
        <v>153</v>
      </c>
      <c r="B20" s="323" t="s">
        <v>2035</v>
      </c>
      <c r="C20" s="323"/>
      <c r="D20" s="323"/>
      <c r="E20" s="351" t="s">
        <v>1585</v>
      </c>
      <c r="F20" s="351"/>
      <c r="G20" s="352"/>
      <c r="H20" s="326"/>
      <c r="I20" s="326"/>
      <c r="J20" s="326"/>
      <c r="K20" s="349"/>
      <c r="L20" s="349"/>
      <c r="M20" s="349"/>
      <c r="N20" s="349"/>
      <c r="O20" s="349"/>
      <c r="P20" s="349"/>
      <c r="Q20" s="349"/>
      <c r="R20" s="349"/>
    </row>
    <row r="21" spans="1:18" s="138" customFormat="1" ht="69">
      <c r="A21" s="323" t="s">
        <v>154</v>
      </c>
      <c r="B21" s="323" t="s">
        <v>2036</v>
      </c>
      <c r="C21" s="323"/>
      <c r="D21" s="323"/>
      <c r="E21" s="323" t="s">
        <v>2037</v>
      </c>
      <c r="F21" s="323"/>
      <c r="G21" s="352"/>
      <c r="H21" s="326"/>
      <c r="I21" s="326"/>
      <c r="J21" s="326"/>
      <c r="K21" s="349"/>
      <c r="L21" s="349"/>
      <c r="M21" s="349"/>
      <c r="N21" s="349"/>
      <c r="O21" s="349"/>
      <c r="P21" s="349"/>
      <c r="Q21" s="349"/>
      <c r="R21" s="349"/>
    </row>
    <row r="22" spans="1:18" s="343" customFormat="1">
      <c r="G22" s="328"/>
      <c r="H22" s="326"/>
      <c r="I22" s="326"/>
      <c r="J22" s="326"/>
      <c r="K22" s="328"/>
      <c r="L22" s="328"/>
      <c r="M22" s="328"/>
      <c r="N22" s="328"/>
      <c r="O22" s="328"/>
      <c r="P22" s="328"/>
      <c r="Q22" s="328"/>
      <c r="R22" s="328"/>
    </row>
    <row r="23" spans="1:18" s="343" customFormat="1">
      <c r="G23" s="328"/>
      <c r="H23" s="326"/>
      <c r="I23" s="326"/>
      <c r="J23" s="326"/>
      <c r="K23" s="328"/>
      <c r="L23" s="328"/>
      <c r="M23" s="328"/>
      <c r="N23" s="328"/>
      <c r="O23" s="328"/>
      <c r="P23" s="328"/>
      <c r="Q23" s="328"/>
      <c r="R23" s="328"/>
    </row>
    <row r="24" spans="1:18" s="343" customFormat="1">
      <c r="G24" s="328"/>
      <c r="H24" s="326"/>
      <c r="I24" s="326"/>
      <c r="J24" s="326"/>
      <c r="K24" s="328"/>
      <c r="L24" s="328"/>
      <c r="M24" s="328"/>
      <c r="N24" s="328"/>
      <c r="O24" s="328"/>
      <c r="P24" s="328"/>
      <c r="Q24" s="328"/>
      <c r="R24" s="328"/>
    </row>
    <row r="25" spans="1:18" s="343" customFormat="1">
      <c r="G25" s="328"/>
      <c r="H25" s="326"/>
      <c r="I25" s="326"/>
      <c r="J25" s="326"/>
      <c r="K25" s="328"/>
      <c r="L25" s="328"/>
      <c r="M25" s="328"/>
      <c r="N25" s="328"/>
      <c r="O25" s="328"/>
      <c r="P25" s="328"/>
      <c r="Q25" s="328"/>
      <c r="R25" s="328"/>
    </row>
    <row r="26" spans="1:18" s="343" customFormat="1">
      <c r="G26" s="328"/>
      <c r="H26" s="326"/>
      <c r="I26" s="326"/>
      <c r="J26" s="326"/>
      <c r="K26" s="328"/>
      <c r="L26" s="328"/>
      <c r="M26" s="328"/>
      <c r="N26" s="328"/>
      <c r="O26" s="328"/>
      <c r="P26" s="328"/>
      <c r="Q26" s="328"/>
      <c r="R26" s="328"/>
    </row>
    <row r="27" spans="1:18" s="343" customFormat="1">
      <c r="G27" s="328"/>
      <c r="H27" s="326"/>
      <c r="I27" s="326"/>
      <c r="J27" s="326"/>
      <c r="K27" s="328"/>
      <c r="L27" s="328"/>
      <c r="M27" s="328"/>
      <c r="N27" s="328"/>
      <c r="O27" s="328"/>
      <c r="P27" s="328"/>
      <c r="Q27" s="328"/>
      <c r="R27" s="328"/>
    </row>
    <row r="28" spans="1:18" s="343" customFormat="1">
      <c r="G28" s="328"/>
      <c r="H28" s="326"/>
      <c r="I28" s="326"/>
      <c r="J28" s="326"/>
      <c r="K28" s="328"/>
      <c r="L28" s="328"/>
      <c r="M28" s="328"/>
      <c r="N28" s="328"/>
      <c r="O28" s="328"/>
      <c r="P28" s="328"/>
      <c r="Q28" s="328"/>
      <c r="R28" s="328"/>
    </row>
    <row r="29" spans="1:18" s="343" customFormat="1">
      <c r="G29" s="328"/>
      <c r="H29" s="326"/>
      <c r="I29" s="326"/>
      <c r="J29" s="326"/>
      <c r="K29" s="328"/>
      <c r="L29" s="328"/>
      <c r="M29" s="328"/>
      <c r="N29" s="328"/>
      <c r="O29" s="328"/>
      <c r="P29" s="328"/>
      <c r="Q29" s="328"/>
      <c r="R29" s="328"/>
    </row>
    <row r="30" spans="1:18" s="343" customFormat="1">
      <c r="G30" s="328"/>
      <c r="H30" s="326"/>
      <c r="I30" s="326"/>
      <c r="J30" s="326"/>
      <c r="K30" s="328"/>
      <c r="L30" s="328"/>
      <c r="M30" s="328"/>
      <c r="N30" s="328"/>
      <c r="O30" s="328"/>
      <c r="P30" s="328"/>
      <c r="Q30" s="328"/>
      <c r="R30" s="328"/>
    </row>
    <row r="31" spans="1:18" s="343" customFormat="1">
      <c r="G31" s="328"/>
      <c r="H31" s="326"/>
      <c r="I31" s="326"/>
      <c r="J31" s="326"/>
      <c r="K31" s="328"/>
      <c r="L31" s="328"/>
      <c r="M31" s="328"/>
      <c r="N31" s="328"/>
      <c r="O31" s="328"/>
      <c r="P31" s="328"/>
      <c r="Q31" s="328"/>
      <c r="R31" s="328"/>
    </row>
    <row r="32" spans="1:18" s="343" customFormat="1">
      <c r="G32" s="328"/>
      <c r="H32" s="326"/>
      <c r="I32" s="326"/>
      <c r="J32" s="326"/>
      <c r="K32" s="328"/>
      <c r="L32" s="328"/>
      <c r="M32" s="328"/>
      <c r="N32" s="328"/>
      <c r="O32" s="328"/>
      <c r="P32" s="328"/>
      <c r="Q32" s="328"/>
      <c r="R32" s="328"/>
    </row>
    <row r="33" spans="7:18" s="343" customFormat="1">
      <c r="G33" s="328"/>
      <c r="H33" s="326"/>
      <c r="I33" s="326"/>
      <c r="J33" s="326"/>
      <c r="K33" s="328"/>
      <c r="L33" s="328"/>
      <c r="M33" s="328"/>
      <c r="N33" s="328"/>
      <c r="O33" s="328"/>
      <c r="P33" s="328"/>
      <c r="Q33" s="328"/>
      <c r="R33" s="328"/>
    </row>
    <row r="34" spans="7:18" s="343" customFormat="1">
      <c r="G34" s="328"/>
      <c r="H34" s="326"/>
      <c r="I34" s="326"/>
      <c r="J34" s="326"/>
      <c r="K34" s="328"/>
      <c r="L34" s="328"/>
      <c r="M34" s="328"/>
      <c r="N34" s="328"/>
      <c r="O34" s="328"/>
      <c r="P34" s="328"/>
      <c r="Q34" s="328"/>
      <c r="R34" s="328"/>
    </row>
    <row r="35" spans="7:18" s="343" customFormat="1">
      <c r="G35" s="328"/>
      <c r="H35" s="326"/>
      <c r="I35" s="326"/>
      <c r="J35" s="326"/>
      <c r="K35" s="328"/>
      <c r="L35" s="328"/>
      <c r="M35" s="328"/>
      <c r="N35" s="328"/>
      <c r="O35" s="328"/>
      <c r="P35" s="328"/>
      <c r="Q35" s="328"/>
      <c r="R35" s="328"/>
    </row>
    <row r="36" spans="7:18" s="343" customFormat="1">
      <c r="G36" s="328"/>
      <c r="H36" s="326"/>
      <c r="I36" s="326"/>
      <c r="J36" s="326"/>
      <c r="K36" s="328"/>
      <c r="L36" s="328"/>
      <c r="M36" s="328"/>
      <c r="N36" s="328"/>
      <c r="O36" s="328"/>
      <c r="P36" s="328"/>
      <c r="Q36" s="328"/>
      <c r="R36" s="328"/>
    </row>
    <row r="37" spans="7:18" s="343" customFormat="1">
      <c r="G37" s="328"/>
      <c r="H37" s="326"/>
      <c r="I37" s="326"/>
      <c r="J37" s="326"/>
      <c r="K37" s="328"/>
      <c r="L37" s="328"/>
      <c r="M37" s="328"/>
      <c r="N37" s="328"/>
      <c r="O37" s="328"/>
      <c r="P37" s="328"/>
      <c r="Q37" s="328"/>
      <c r="R37" s="328"/>
    </row>
    <row r="38" spans="7:18" s="343" customFormat="1">
      <c r="G38" s="328"/>
      <c r="H38" s="326"/>
      <c r="I38" s="326"/>
      <c r="J38" s="326"/>
      <c r="K38" s="328"/>
      <c r="L38" s="328"/>
      <c r="M38" s="328"/>
      <c r="N38" s="328"/>
      <c r="O38" s="328"/>
      <c r="P38" s="328"/>
      <c r="Q38" s="328"/>
      <c r="R38" s="328"/>
    </row>
    <row r="39" spans="7:18" s="343" customFormat="1">
      <c r="G39" s="328"/>
      <c r="H39" s="326"/>
      <c r="I39" s="326"/>
      <c r="J39" s="326"/>
      <c r="K39" s="328"/>
      <c r="L39" s="328"/>
      <c r="M39" s="328"/>
      <c r="N39" s="328"/>
      <c r="O39" s="328"/>
      <c r="P39" s="328"/>
      <c r="Q39" s="328"/>
      <c r="R39" s="328"/>
    </row>
    <row r="40" spans="7:18" s="343" customFormat="1">
      <c r="G40" s="328"/>
      <c r="H40" s="326"/>
      <c r="I40" s="326"/>
      <c r="J40" s="326"/>
      <c r="K40" s="328"/>
      <c r="L40" s="328"/>
      <c r="M40" s="328"/>
      <c r="N40" s="328"/>
      <c r="O40" s="328"/>
      <c r="P40" s="328"/>
      <c r="Q40" s="328"/>
      <c r="R40" s="328"/>
    </row>
    <row r="41" spans="7:18" s="343" customFormat="1">
      <c r="G41" s="328"/>
      <c r="H41" s="326"/>
      <c r="I41" s="326"/>
      <c r="J41" s="326"/>
      <c r="K41" s="328"/>
      <c r="L41" s="328"/>
      <c r="M41" s="328"/>
      <c r="N41" s="328"/>
      <c r="O41" s="328"/>
      <c r="P41" s="328"/>
      <c r="Q41" s="328"/>
      <c r="R41" s="328"/>
    </row>
    <row r="42" spans="7:18" s="343" customFormat="1">
      <c r="G42" s="328"/>
      <c r="H42" s="326"/>
      <c r="I42" s="326"/>
      <c r="J42" s="326"/>
      <c r="K42" s="328"/>
      <c r="L42" s="328"/>
      <c r="M42" s="328"/>
      <c r="N42" s="328"/>
      <c r="O42" s="328"/>
      <c r="P42" s="328"/>
      <c r="Q42" s="328"/>
      <c r="R42" s="328"/>
    </row>
    <row r="43" spans="7:18" s="343" customFormat="1">
      <c r="G43" s="328"/>
      <c r="H43" s="326"/>
      <c r="I43" s="326"/>
      <c r="J43" s="326"/>
      <c r="K43" s="328"/>
      <c r="L43" s="328"/>
      <c r="M43" s="328"/>
      <c r="N43" s="328"/>
      <c r="O43" s="328"/>
      <c r="P43" s="328"/>
      <c r="Q43" s="328"/>
      <c r="R43" s="328"/>
    </row>
    <row r="44" spans="7:18" s="343" customFormat="1">
      <c r="G44" s="328"/>
      <c r="H44" s="326"/>
      <c r="I44" s="326"/>
      <c r="J44" s="326"/>
      <c r="K44" s="328"/>
      <c r="L44" s="328"/>
      <c r="M44" s="328"/>
      <c r="N44" s="328"/>
      <c r="O44" s="328"/>
      <c r="P44" s="328"/>
      <c r="Q44" s="328"/>
      <c r="R44" s="328"/>
    </row>
    <row r="45" spans="7:18" s="343" customFormat="1">
      <c r="G45" s="328"/>
      <c r="H45" s="326"/>
      <c r="I45" s="326"/>
      <c r="J45" s="326"/>
      <c r="K45" s="328"/>
      <c r="L45" s="328"/>
      <c r="M45" s="328"/>
      <c r="N45" s="328"/>
      <c r="O45" s="328"/>
      <c r="P45" s="328"/>
      <c r="Q45" s="328"/>
      <c r="R45" s="328"/>
    </row>
    <row r="46" spans="7:18" s="343" customFormat="1">
      <c r="G46" s="328"/>
      <c r="H46" s="326"/>
      <c r="I46" s="326"/>
      <c r="J46" s="326"/>
      <c r="K46" s="328"/>
      <c r="L46" s="328"/>
      <c r="M46" s="328"/>
      <c r="N46" s="328"/>
      <c r="O46" s="328"/>
      <c r="P46" s="328"/>
      <c r="Q46" s="328"/>
      <c r="R46" s="328"/>
    </row>
    <row r="47" spans="7:18" s="343" customFormat="1">
      <c r="G47" s="328"/>
      <c r="H47" s="326"/>
      <c r="I47" s="326"/>
      <c r="J47" s="326"/>
      <c r="K47" s="328"/>
      <c r="L47" s="328"/>
      <c r="M47" s="328"/>
      <c r="N47" s="328"/>
      <c r="O47" s="328"/>
      <c r="P47" s="328"/>
      <c r="Q47" s="328"/>
      <c r="R47" s="328"/>
    </row>
    <row r="48" spans="7:18" s="344" customFormat="1">
      <c r="G48" s="328"/>
      <c r="H48" s="326"/>
      <c r="I48" s="326"/>
      <c r="J48" s="326"/>
      <c r="K48" s="328"/>
      <c r="L48" s="328"/>
      <c r="M48" s="328"/>
      <c r="N48" s="328"/>
      <c r="O48" s="328"/>
      <c r="P48" s="328"/>
      <c r="Q48" s="328"/>
      <c r="R48" s="328"/>
    </row>
    <row r="49" spans="7:18" s="344" customFormat="1">
      <c r="G49" s="328"/>
      <c r="H49" s="326"/>
      <c r="I49" s="326"/>
      <c r="J49" s="326"/>
      <c r="K49" s="328"/>
      <c r="L49" s="328"/>
      <c r="M49" s="328"/>
      <c r="N49" s="328"/>
      <c r="O49" s="328"/>
      <c r="P49" s="328"/>
      <c r="Q49" s="328"/>
      <c r="R49" s="328"/>
    </row>
    <row r="50" spans="7:18" s="344" customFormat="1">
      <c r="G50" s="328"/>
      <c r="H50" s="326"/>
      <c r="I50" s="326"/>
      <c r="J50" s="326"/>
      <c r="K50" s="328"/>
      <c r="L50" s="328"/>
      <c r="M50" s="328"/>
      <c r="N50" s="328"/>
      <c r="O50" s="328"/>
      <c r="P50" s="328"/>
      <c r="Q50" s="328"/>
      <c r="R50" s="328"/>
    </row>
    <row r="51" spans="7:18" s="344" customFormat="1">
      <c r="G51" s="328"/>
      <c r="H51" s="326"/>
      <c r="I51" s="326"/>
      <c r="J51" s="326"/>
      <c r="K51" s="328"/>
      <c r="L51" s="328"/>
      <c r="M51" s="328"/>
      <c r="N51" s="328"/>
      <c r="O51" s="328"/>
      <c r="P51" s="328"/>
      <c r="Q51" s="328"/>
      <c r="R51" s="328"/>
    </row>
    <row r="52" spans="7:18" s="344" customFormat="1">
      <c r="G52" s="328"/>
      <c r="H52" s="326"/>
      <c r="I52" s="326"/>
      <c r="J52" s="326"/>
      <c r="K52" s="328"/>
      <c r="L52" s="328"/>
      <c r="M52" s="328"/>
      <c r="N52" s="328"/>
      <c r="O52" s="328"/>
      <c r="P52" s="328"/>
      <c r="Q52" s="328"/>
      <c r="R52" s="328"/>
    </row>
    <row r="53" spans="7:18" s="344" customFormat="1">
      <c r="G53" s="328"/>
      <c r="H53" s="326"/>
      <c r="I53" s="326"/>
      <c r="J53" s="326"/>
      <c r="K53" s="328"/>
      <c r="L53" s="328"/>
      <c r="M53" s="328"/>
      <c r="N53" s="328"/>
      <c r="O53" s="328"/>
      <c r="P53" s="328"/>
      <c r="Q53" s="328"/>
      <c r="R53" s="328"/>
    </row>
    <row r="54" spans="7:18" s="344" customFormat="1">
      <c r="G54" s="328"/>
      <c r="H54" s="326"/>
      <c r="I54" s="326"/>
      <c r="J54" s="326"/>
      <c r="K54" s="328"/>
      <c r="L54" s="328"/>
      <c r="M54" s="328"/>
      <c r="N54" s="328"/>
      <c r="O54" s="328"/>
      <c r="P54" s="328"/>
      <c r="Q54" s="328"/>
      <c r="R54" s="328"/>
    </row>
    <row r="55" spans="7:18" s="344" customFormat="1">
      <c r="G55" s="328"/>
      <c r="H55" s="326"/>
      <c r="I55" s="326"/>
      <c r="J55" s="326"/>
      <c r="K55" s="328"/>
      <c r="L55" s="328"/>
      <c r="M55" s="328"/>
      <c r="N55" s="328"/>
      <c r="O55" s="328"/>
      <c r="P55" s="328"/>
      <c r="Q55" s="328"/>
      <c r="R55" s="328"/>
    </row>
    <row r="56" spans="7:18" s="344" customFormat="1">
      <c r="G56" s="328"/>
      <c r="H56" s="326"/>
      <c r="I56" s="326"/>
      <c r="J56" s="326"/>
      <c r="K56" s="328"/>
      <c r="L56" s="328"/>
      <c r="M56" s="328"/>
      <c r="N56" s="328"/>
      <c r="O56" s="328"/>
      <c r="P56" s="328"/>
      <c r="Q56" s="328"/>
      <c r="R56" s="328"/>
    </row>
    <row r="57" spans="7:18" s="344" customFormat="1">
      <c r="G57" s="328"/>
      <c r="H57" s="326"/>
      <c r="I57" s="326"/>
      <c r="J57" s="326"/>
      <c r="K57" s="328"/>
      <c r="L57" s="328"/>
      <c r="M57" s="328"/>
      <c r="N57" s="328"/>
      <c r="O57" s="328"/>
      <c r="P57" s="328"/>
      <c r="Q57" s="328"/>
      <c r="R57" s="328"/>
    </row>
    <row r="58" spans="7:18" s="344" customFormat="1">
      <c r="G58" s="328"/>
      <c r="H58" s="326"/>
      <c r="I58" s="326"/>
      <c r="J58" s="326"/>
      <c r="K58" s="328"/>
      <c r="L58" s="328"/>
      <c r="M58" s="328"/>
      <c r="N58" s="328"/>
      <c r="O58" s="328"/>
      <c r="P58" s="328"/>
      <c r="Q58" s="328"/>
      <c r="R58" s="328"/>
    </row>
    <row r="59" spans="7:18" s="344" customFormat="1">
      <c r="G59" s="328"/>
      <c r="H59" s="326"/>
      <c r="I59" s="326"/>
      <c r="J59" s="326"/>
      <c r="K59" s="328"/>
      <c r="L59" s="328"/>
      <c r="M59" s="328"/>
      <c r="N59" s="328"/>
      <c r="O59" s="328"/>
      <c r="P59" s="328"/>
      <c r="Q59" s="328"/>
      <c r="R59" s="328"/>
    </row>
    <row r="60" spans="7:18" s="344" customFormat="1">
      <c r="G60" s="328"/>
      <c r="H60" s="326"/>
      <c r="I60" s="326"/>
      <c r="J60" s="326"/>
      <c r="K60" s="328"/>
      <c r="L60" s="328"/>
      <c r="M60" s="328"/>
      <c r="N60" s="328"/>
      <c r="O60" s="328"/>
      <c r="P60" s="328"/>
      <c r="Q60" s="328"/>
      <c r="R60" s="328"/>
    </row>
    <row r="61" spans="7:18" s="344" customFormat="1">
      <c r="G61" s="328"/>
      <c r="H61" s="326"/>
      <c r="I61" s="326"/>
      <c r="J61" s="326"/>
      <c r="K61" s="328"/>
      <c r="L61" s="328"/>
      <c r="M61" s="328"/>
      <c r="N61" s="328"/>
      <c r="O61" s="328"/>
      <c r="P61" s="328"/>
      <c r="Q61" s="328"/>
      <c r="R61" s="328"/>
    </row>
    <row r="62" spans="7:18" s="344" customFormat="1">
      <c r="G62" s="328"/>
      <c r="H62" s="326"/>
      <c r="I62" s="326"/>
      <c r="J62" s="326"/>
      <c r="K62" s="328"/>
      <c r="L62" s="328"/>
      <c r="M62" s="328"/>
      <c r="N62" s="328"/>
      <c r="O62" s="328"/>
      <c r="P62" s="328"/>
      <c r="Q62" s="328"/>
      <c r="R62" s="328"/>
    </row>
    <row r="63" spans="7:18" s="344" customFormat="1">
      <c r="G63" s="328"/>
      <c r="H63" s="326"/>
      <c r="I63" s="326"/>
      <c r="J63" s="326"/>
      <c r="K63" s="328"/>
      <c r="L63" s="328"/>
      <c r="M63" s="328"/>
      <c r="N63" s="328"/>
      <c r="O63" s="328"/>
      <c r="P63" s="328"/>
      <c r="Q63" s="328"/>
      <c r="R63" s="328"/>
    </row>
    <row r="64" spans="7:18" s="344" customFormat="1">
      <c r="G64" s="328"/>
      <c r="H64" s="326"/>
      <c r="I64" s="326"/>
      <c r="J64" s="326"/>
      <c r="K64" s="328"/>
      <c r="L64" s="328"/>
      <c r="M64" s="328"/>
      <c r="N64" s="328"/>
      <c r="O64" s="328"/>
      <c r="P64" s="328"/>
      <c r="Q64" s="328"/>
      <c r="R64" s="328"/>
    </row>
    <row r="65" spans="7:18" s="344" customFormat="1">
      <c r="G65" s="328"/>
      <c r="H65" s="326"/>
      <c r="I65" s="326"/>
      <c r="J65" s="326"/>
      <c r="K65" s="328"/>
      <c r="L65" s="328"/>
      <c r="M65" s="328"/>
      <c r="N65" s="328"/>
      <c r="O65" s="328"/>
      <c r="P65" s="328"/>
      <c r="Q65" s="328"/>
      <c r="R65" s="328"/>
    </row>
    <row r="66" spans="7:18" s="344" customFormat="1">
      <c r="G66" s="328"/>
      <c r="H66" s="326"/>
      <c r="I66" s="326"/>
      <c r="J66" s="326"/>
      <c r="K66" s="328"/>
      <c r="L66" s="328"/>
      <c r="M66" s="328"/>
      <c r="N66" s="328"/>
      <c r="O66" s="328"/>
      <c r="P66" s="328"/>
      <c r="Q66" s="328"/>
      <c r="R66" s="328"/>
    </row>
    <row r="67" spans="7:18" s="344" customFormat="1">
      <c r="G67" s="328"/>
      <c r="H67" s="326"/>
      <c r="I67" s="326"/>
      <c r="J67" s="326"/>
      <c r="K67" s="328"/>
      <c r="L67" s="328"/>
      <c r="M67" s="328"/>
      <c r="N67" s="328"/>
      <c r="O67" s="328"/>
      <c r="P67" s="328"/>
      <c r="Q67" s="328"/>
      <c r="R67" s="328"/>
    </row>
    <row r="68" spans="7:18" s="344" customFormat="1">
      <c r="G68" s="328"/>
      <c r="H68" s="326"/>
      <c r="I68" s="326"/>
      <c r="J68" s="326"/>
      <c r="K68" s="328"/>
      <c r="L68" s="328"/>
      <c r="M68" s="328"/>
      <c r="N68" s="328"/>
      <c r="O68" s="328"/>
      <c r="P68" s="328"/>
      <c r="Q68" s="328"/>
      <c r="R68" s="328"/>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33" customWidth="1"/>
    <col min="2" max="2" width="64.21875" style="333" customWidth="1"/>
    <col min="3" max="4" width="21.44140625" style="333" customWidth="1"/>
    <col min="5" max="5" width="39" style="333" customWidth="1"/>
    <col min="6" max="6" width="36.44140625" style="333" customWidth="1"/>
    <col min="7" max="7" width="21.44140625" style="328" customWidth="1"/>
    <col min="8" max="18" width="8.77734375" style="328"/>
    <col min="19" max="16384" width="8.77734375" style="333"/>
  </cols>
  <sheetData>
    <row r="1" spans="1:18" s="140" customFormat="1" ht="25.8">
      <c r="A1" s="325" t="s">
        <v>195</v>
      </c>
      <c r="B1" s="326"/>
      <c r="C1" s="327"/>
      <c r="D1" s="326"/>
      <c r="E1" s="326"/>
      <c r="F1" s="326"/>
      <c r="G1" s="328"/>
      <c r="H1" s="328"/>
      <c r="I1" s="328"/>
      <c r="J1" s="328"/>
      <c r="K1" s="328"/>
      <c r="L1" s="328"/>
      <c r="M1" s="328"/>
      <c r="N1" s="328"/>
      <c r="O1" s="328"/>
      <c r="P1" s="328"/>
      <c r="Q1" s="328"/>
      <c r="R1" s="328"/>
    </row>
    <row r="2" spans="1:18" s="140" customFormat="1" ht="25.8">
      <c r="A2" s="325" t="s">
        <v>2038</v>
      </c>
      <c r="B2" s="326"/>
      <c r="C2" s="327"/>
      <c r="D2" s="326"/>
      <c r="E2" s="326"/>
      <c r="F2" s="326"/>
      <c r="G2" s="328"/>
      <c r="H2" s="328"/>
      <c r="I2" s="328"/>
      <c r="J2" s="328"/>
      <c r="K2" s="328"/>
      <c r="L2" s="328"/>
      <c r="M2" s="328"/>
      <c r="N2" s="328"/>
      <c r="O2" s="328"/>
      <c r="P2" s="328"/>
      <c r="Q2" s="328"/>
      <c r="R2" s="328"/>
    </row>
    <row r="3" spans="1:18" s="138" customFormat="1" ht="69">
      <c r="A3" s="329" t="s">
        <v>461</v>
      </c>
      <c r="B3" s="329" t="s">
        <v>196</v>
      </c>
      <c r="C3" s="326"/>
      <c r="D3" s="326"/>
      <c r="E3" s="326"/>
      <c r="F3" s="326"/>
      <c r="G3" s="328"/>
      <c r="H3" s="328"/>
      <c r="I3" s="328"/>
      <c r="J3" s="328"/>
      <c r="K3" s="328"/>
      <c r="L3" s="328"/>
      <c r="M3" s="328"/>
      <c r="N3" s="328"/>
      <c r="O3" s="328"/>
      <c r="P3" s="328"/>
      <c r="Q3" s="328"/>
      <c r="R3" s="328"/>
    </row>
    <row r="4" spans="1:18" s="350" customFormat="1">
      <c r="A4" s="329" t="s">
        <v>1755</v>
      </c>
      <c r="B4" s="329" t="s">
        <v>2039</v>
      </c>
      <c r="C4" s="326"/>
      <c r="D4" s="326"/>
      <c r="E4" s="326"/>
      <c r="F4" s="326"/>
      <c r="G4" s="328"/>
      <c r="H4" s="328"/>
      <c r="I4" s="328"/>
      <c r="J4" s="328"/>
      <c r="K4" s="328"/>
      <c r="L4" s="328"/>
      <c r="M4" s="328"/>
      <c r="N4" s="328"/>
      <c r="O4" s="328"/>
      <c r="P4" s="328"/>
      <c r="Q4" s="328"/>
      <c r="R4" s="328"/>
    </row>
    <row r="5" spans="1:18" s="138" customFormat="1">
      <c r="A5" s="326" t="s">
        <v>462</v>
      </c>
      <c r="B5" s="326" t="s">
        <v>197</v>
      </c>
      <c r="C5" s="326"/>
      <c r="D5" s="326"/>
      <c r="E5" s="326"/>
      <c r="F5" s="326"/>
      <c r="G5" s="328"/>
      <c r="H5" s="328"/>
      <c r="I5" s="328"/>
      <c r="J5" s="328"/>
      <c r="K5" s="328"/>
      <c r="L5" s="328"/>
      <c r="M5" s="328"/>
      <c r="N5" s="328"/>
      <c r="O5" s="328"/>
      <c r="P5" s="328"/>
      <c r="Q5" s="328"/>
      <c r="R5" s="328"/>
    </row>
    <row r="6" spans="1:18" s="350" customFormat="1">
      <c r="A6" s="333" t="s">
        <v>1757</v>
      </c>
      <c r="B6" s="333" t="s">
        <v>2040</v>
      </c>
      <c r="C6" s="333"/>
      <c r="D6" s="333"/>
      <c r="E6" s="326"/>
      <c r="F6" s="326"/>
      <c r="G6" s="328"/>
      <c r="H6" s="328"/>
      <c r="I6" s="328"/>
      <c r="J6" s="328"/>
      <c r="K6" s="328"/>
      <c r="L6" s="328"/>
      <c r="M6" s="328"/>
      <c r="N6" s="328"/>
      <c r="O6" s="328"/>
      <c r="P6" s="328"/>
      <c r="Q6" s="328"/>
      <c r="R6" s="328"/>
    </row>
    <row r="7" spans="1:18" s="140" customFormat="1">
      <c r="A7" s="333"/>
      <c r="B7" s="333"/>
      <c r="C7" s="333"/>
      <c r="D7" s="333"/>
      <c r="E7" s="326"/>
      <c r="F7" s="326"/>
      <c r="G7" s="363" t="e">
        <f>#REF!</f>
        <v>#REF!</v>
      </c>
      <c r="H7" s="328"/>
      <c r="I7" s="328"/>
      <c r="J7" s="328"/>
      <c r="K7" s="328"/>
      <c r="L7" s="328"/>
      <c r="M7" s="328"/>
      <c r="N7" s="328"/>
      <c r="O7" s="328"/>
      <c r="P7" s="328"/>
      <c r="Q7" s="328"/>
      <c r="R7" s="328"/>
    </row>
    <row r="8" spans="1:18" s="14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38" customFormat="1">
      <c r="A9" s="346" t="s">
        <v>47</v>
      </c>
      <c r="B9" s="346"/>
      <c r="C9" s="347"/>
      <c r="D9" s="347"/>
      <c r="E9" s="347"/>
      <c r="F9" s="347"/>
      <c r="G9" s="348"/>
      <c r="H9" s="349"/>
      <c r="I9" s="349"/>
      <c r="J9" s="349"/>
      <c r="K9" s="349"/>
      <c r="L9" s="349"/>
      <c r="M9" s="349"/>
      <c r="N9" s="349"/>
      <c r="O9" s="349"/>
      <c r="P9" s="349"/>
      <c r="Q9" s="349"/>
      <c r="R9" s="349"/>
    </row>
    <row r="10" spans="1:18" s="350" customFormat="1" ht="41.4">
      <c r="A10" s="323" t="s">
        <v>198</v>
      </c>
      <c r="B10" s="323" t="s">
        <v>2041</v>
      </c>
      <c r="C10" s="323"/>
      <c r="D10" s="323"/>
      <c r="E10" s="351" t="s">
        <v>2042</v>
      </c>
      <c r="F10" s="323"/>
      <c r="G10" s="352"/>
      <c r="H10" s="349"/>
      <c r="I10" s="349"/>
      <c r="J10" s="349"/>
      <c r="K10" s="349"/>
      <c r="L10" s="349"/>
      <c r="M10" s="349"/>
      <c r="N10" s="349"/>
      <c r="O10" s="349"/>
      <c r="P10" s="349"/>
      <c r="Q10" s="349"/>
      <c r="R10" s="349"/>
    </row>
    <row r="11" spans="1:18" s="350" customFormat="1" ht="69">
      <c r="A11" s="323" t="s">
        <v>199</v>
      </c>
      <c r="B11" s="323" t="s">
        <v>2043</v>
      </c>
      <c r="C11" s="323"/>
      <c r="D11" s="323"/>
      <c r="E11" s="351" t="s">
        <v>1602</v>
      </c>
      <c r="F11" s="351"/>
      <c r="G11" s="352"/>
      <c r="H11" s="349"/>
      <c r="I11" s="349"/>
      <c r="J11" s="349"/>
      <c r="K11" s="349"/>
      <c r="L11" s="349"/>
      <c r="M11" s="349"/>
      <c r="N11" s="349"/>
      <c r="O11" s="349"/>
      <c r="P11" s="349"/>
      <c r="Q11" s="349"/>
      <c r="R11" s="349"/>
    </row>
    <row r="12" spans="1:18" s="140" customFormat="1">
      <c r="A12" s="346" t="s">
        <v>54</v>
      </c>
      <c r="B12" s="346"/>
      <c r="C12" s="347"/>
      <c r="D12" s="347"/>
      <c r="E12" s="347" t="s">
        <v>1868</v>
      </c>
      <c r="F12" s="347"/>
      <c r="G12" s="348"/>
      <c r="H12" s="349"/>
      <c r="I12" s="349"/>
      <c r="J12" s="349"/>
      <c r="K12" s="349"/>
      <c r="L12" s="349"/>
      <c r="M12" s="349"/>
      <c r="N12" s="349"/>
      <c r="O12" s="349"/>
      <c r="P12" s="349"/>
      <c r="Q12" s="349"/>
      <c r="R12" s="349"/>
    </row>
    <row r="13" spans="1:18" s="140" customFormat="1" ht="55.2">
      <c r="A13" s="323" t="s">
        <v>200</v>
      </c>
      <c r="B13" s="323" t="s">
        <v>2044</v>
      </c>
      <c r="C13" s="323"/>
      <c r="D13" s="323"/>
      <c r="E13" s="351" t="s">
        <v>1603</v>
      </c>
      <c r="F13" s="351"/>
      <c r="G13" s="352"/>
      <c r="H13" s="349"/>
      <c r="I13" s="349"/>
      <c r="J13" s="349"/>
      <c r="K13" s="349"/>
      <c r="L13" s="349"/>
      <c r="M13" s="349"/>
      <c r="N13" s="349"/>
      <c r="O13" s="349"/>
      <c r="P13" s="349"/>
      <c r="Q13" s="349"/>
      <c r="R13" s="349"/>
    </row>
    <row r="14" spans="1:18" s="138" customFormat="1" ht="69">
      <c r="A14" s="323" t="s">
        <v>201</v>
      </c>
      <c r="B14" s="323" t="s">
        <v>2045</v>
      </c>
      <c r="C14" s="323"/>
      <c r="D14" s="323"/>
      <c r="E14" s="351" t="s">
        <v>1604</v>
      </c>
      <c r="F14" s="351"/>
      <c r="G14" s="352"/>
      <c r="H14" s="349"/>
      <c r="I14" s="349"/>
      <c r="J14" s="349"/>
      <c r="K14" s="349"/>
      <c r="L14" s="349"/>
      <c r="M14" s="349"/>
      <c r="N14" s="349"/>
      <c r="O14" s="349"/>
      <c r="P14" s="349"/>
      <c r="Q14" s="349"/>
      <c r="R14" s="349"/>
    </row>
    <row r="15" spans="1:18" s="350" customFormat="1" ht="69">
      <c r="A15" s="323" t="s">
        <v>202</v>
      </c>
      <c r="B15" s="323" t="s">
        <v>2046</v>
      </c>
      <c r="C15" s="323"/>
      <c r="D15" s="323"/>
      <c r="E15" s="351" t="s">
        <v>2047</v>
      </c>
      <c r="F15" s="351"/>
      <c r="G15" s="352"/>
      <c r="H15" s="349"/>
      <c r="I15" s="349"/>
      <c r="J15" s="349"/>
      <c r="K15" s="349"/>
      <c r="L15" s="349"/>
      <c r="M15" s="349"/>
      <c r="N15" s="349"/>
      <c r="O15" s="349"/>
      <c r="P15" s="349"/>
      <c r="Q15" s="349"/>
      <c r="R15" s="349"/>
    </row>
    <row r="16" spans="1:18" s="140" customFormat="1">
      <c r="A16" s="346" t="s">
        <v>56</v>
      </c>
      <c r="B16" s="346"/>
      <c r="C16" s="347"/>
      <c r="D16" s="347"/>
      <c r="E16" s="347" t="s">
        <v>1868</v>
      </c>
      <c r="F16" s="347"/>
      <c r="G16" s="348"/>
      <c r="H16" s="349"/>
      <c r="I16" s="349"/>
      <c r="J16" s="349"/>
      <c r="K16" s="349"/>
      <c r="L16" s="349"/>
      <c r="M16" s="349"/>
      <c r="N16" s="349"/>
      <c r="O16" s="349"/>
      <c r="P16" s="349"/>
      <c r="Q16" s="349"/>
      <c r="R16" s="349"/>
    </row>
    <row r="17" spans="1:18" s="140" customFormat="1" ht="69">
      <c r="A17" s="323" t="s">
        <v>203</v>
      </c>
      <c r="B17" s="323" t="s">
        <v>2048</v>
      </c>
      <c r="C17" s="323"/>
      <c r="D17" s="323"/>
      <c r="E17" s="351" t="s">
        <v>2049</v>
      </c>
      <c r="F17" s="351"/>
      <c r="G17" s="352"/>
      <c r="H17" s="349"/>
      <c r="I17" s="349"/>
      <c r="J17" s="349"/>
      <c r="K17" s="349"/>
      <c r="L17" s="349"/>
      <c r="M17" s="349"/>
      <c r="N17" s="349"/>
      <c r="O17" s="349"/>
      <c r="P17" s="349"/>
      <c r="Q17" s="349"/>
      <c r="R17" s="349"/>
    </row>
    <row r="18" spans="1:18" s="138" customFormat="1" ht="69">
      <c r="A18" s="323" t="s">
        <v>204</v>
      </c>
      <c r="B18" s="323" t="s">
        <v>2050</v>
      </c>
      <c r="C18" s="323"/>
      <c r="D18" s="323"/>
      <c r="E18" s="351" t="s">
        <v>2051</v>
      </c>
      <c r="F18" s="351"/>
      <c r="G18" s="352"/>
      <c r="H18" s="349"/>
      <c r="I18" s="349"/>
      <c r="J18" s="349"/>
      <c r="K18" s="349"/>
      <c r="L18" s="349"/>
      <c r="M18" s="349"/>
      <c r="N18" s="349"/>
      <c r="O18" s="349"/>
      <c r="P18" s="349"/>
      <c r="Q18" s="349"/>
      <c r="R18" s="349"/>
    </row>
    <row r="19" spans="1:18" s="343" customFormat="1">
      <c r="G19" s="328"/>
      <c r="H19" s="328"/>
      <c r="I19" s="328"/>
      <c r="J19" s="328"/>
      <c r="K19" s="328"/>
      <c r="L19" s="328"/>
      <c r="M19" s="328"/>
      <c r="N19" s="328"/>
      <c r="O19" s="328"/>
      <c r="P19" s="328"/>
      <c r="Q19" s="328"/>
      <c r="R19" s="328"/>
    </row>
    <row r="20" spans="1:18" s="344" customFormat="1">
      <c r="G20" s="328"/>
      <c r="H20" s="328"/>
      <c r="I20" s="328"/>
      <c r="J20" s="328"/>
      <c r="K20" s="328"/>
      <c r="L20" s="328"/>
      <c r="M20" s="328"/>
      <c r="N20" s="328"/>
      <c r="O20" s="328"/>
      <c r="P20" s="328"/>
      <c r="Q20" s="328"/>
      <c r="R20" s="328"/>
    </row>
    <row r="21" spans="1:18" s="344" customFormat="1">
      <c r="G21" s="328"/>
      <c r="H21" s="328"/>
      <c r="I21" s="328"/>
      <c r="J21" s="328"/>
      <c r="K21" s="328"/>
      <c r="L21" s="328"/>
      <c r="M21" s="328"/>
      <c r="N21" s="328"/>
      <c r="O21" s="328"/>
      <c r="P21" s="328"/>
      <c r="Q21" s="328"/>
      <c r="R21" s="328"/>
    </row>
    <row r="22" spans="1:18" s="344" customFormat="1">
      <c r="G22" s="328"/>
      <c r="H22" s="328"/>
      <c r="I22" s="328"/>
      <c r="J22" s="328"/>
      <c r="K22" s="328"/>
      <c r="L22" s="328"/>
      <c r="M22" s="328"/>
      <c r="N22" s="328"/>
      <c r="O22" s="328"/>
      <c r="P22" s="328"/>
      <c r="Q22" s="328"/>
      <c r="R22" s="328"/>
    </row>
    <row r="23" spans="1:18" s="344" customFormat="1">
      <c r="G23" s="328"/>
      <c r="H23" s="328"/>
      <c r="I23" s="328"/>
      <c r="J23" s="328"/>
      <c r="K23" s="328"/>
      <c r="L23" s="328"/>
      <c r="M23" s="328"/>
      <c r="N23" s="328"/>
      <c r="O23" s="328"/>
      <c r="P23" s="328"/>
      <c r="Q23" s="328"/>
      <c r="R23" s="328"/>
    </row>
    <row r="24" spans="1:18" s="344" customFormat="1">
      <c r="G24" s="328"/>
      <c r="H24" s="328"/>
      <c r="I24" s="328"/>
      <c r="J24" s="328"/>
      <c r="K24" s="328"/>
      <c r="L24" s="328"/>
      <c r="M24" s="328"/>
      <c r="N24" s="328"/>
      <c r="O24" s="328"/>
      <c r="P24" s="328"/>
      <c r="Q24" s="328"/>
      <c r="R24" s="328"/>
    </row>
    <row r="25" spans="1:18" s="344"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33" customWidth="1"/>
    <col min="2" max="2" width="53.21875" style="333" customWidth="1"/>
    <col min="3" max="4" width="21.44140625" style="333" customWidth="1"/>
    <col min="5" max="5" width="38.21875" style="333" customWidth="1"/>
    <col min="6" max="6" width="24.44140625" style="333" customWidth="1"/>
    <col min="7" max="7" width="21.44140625" style="328" customWidth="1"/>
    <col min="8" max="18" width="8.77734375" style="328"/>
    <col min="19" max="16384" width="8.77734375" style="333"/>
  </cols>
  <sheetData>
    <row r="1" spans="1:18" s="140" customFormat="1" ht="25.8">
      <c r="A1" s="325" t="s">
        <v>2052</v>
      </c>
      <c r="B1" s="326"/>
      <c r="C1" s="327"/>
      <c r="D1" s="326"/>
      <c r="E1" s="326"/>
      <c r="F1" s="326"/>
      <c r="G1" s="328"/>
      <c r="H1" s="328"/>
      <c r="I1" s="328"/>
      <c r="J1" s="328"/>
      <c r="K1" s="328"/>
      <c r="L1" s="328"/>
      <c r="M1" s="328"/>
      <c r="N1" s="328"/>
      <c r="O1" s="328"/>
      <c r="P1" s="328"/>
      <c r="Q1" s="328"/>
      <c r="R1" s="328"/>
    </row>
    <row r="2" spans="1:18" s="140" customFormat="1" ht="25.8">
      <c r="A2" s="325" t="s">
        <v>2053</v>
      </c>
      <c r="B2" s="326"/>
      <c r="C2" s="327"/>
      <c r="D2" s="326"/>
      <c r="E2" s="326"/>
      <c r="F2" s="326"/>
      <c r="G2" s="328"/>
      <c r="H2" s="328"/>
      <c r="I2" s="328"/>
      <c r="J2" s="328"/>
      <c r="K2" s="328"/>
      <c r="L2" s="328"/>
      <c r="M2" s="328"/>
      <c r="N2" s="328"/>
      <c r="O2" s="328"/>
      <c r="P2" s="328"/>
      <c r="Q2" s="328"/>
      <c r="R2" s="328"/>
    </row>
    <row r="3" spans="1:18" s="138" customFormat="1">
      <c r="A3" s="329" t="s">
        <v>461</v>
      </c>
      <c r="B3" s="326" t="s">
        <v>2054</v>
      </c>
      <c r="C3" s="326"/>
      <c r="D3" s="326"/>
      <c r="E3" s="326"/>
      <c r="F3" s="326"/>
      <c r="G3" s="328"/>
      <c r="H3" s="328"/>
      <c r="I3" s="328"/>
      <c r="J3" s="328"/>
      <c r="K3" s="328"/>
      <c r="L3" s="328"/>
      <c r="M3" s="328"/>
      <c r="N3" s="328"/>
      <c r="O3" s="328"/>
      <c r="P3" s="328"/>
      <c r="Q3" s="328"/>
      <c r="R3" s="328"/>
    </row>
    <row r="4" spans="1:18" s="350" customFormat="1">
      <c r="A4" s="329" t="s">
        <v>1755</v>
      </c>
      <c r="B4" s="326" t="s">
        <v>2055</v>
      </c>
      <c r="C4" s="326"/>
      <c r="D4" s="326"/>
      <c r="E4" s="326"/>
      <c r="F4" s="326"/>
      <c r="G4" s="328"/>
      <c r="H4" s="328"/>
      <c r="I4" s="328"/>
      <c r="J4" s="328"/>
      <c r="K4" s="328"/>
      <c r="L4" s="328"/>
      <c r="M4" s="328"/>
      <c r="N4" s="328"/>
      <c r="O4" s="328"/>
      <c r="P4" s="328"/>
      <c r="Q4" s="328"/>
      <c r="R4" s="328"/>
    </row>
    <row r="5" spans="1:18" s="140" customFormat="1">
      <c r="A5" s="326" t="s">
        <v>462</v>
      </c>
      <c r="B5" s="326" t="s">
        <v>2056</v>
      </c>
      <c r="C5" s="326"/>
      <c r="D5" s="326"/>
      <c r="E5" s="326"/>
      <c r="F5" s="326"/>
      <c r="G5" s="328"/>
      <c r="H5" s="328"/>
      <c r="I5" s="328"/>
      <c r="J5" s="328"/>
      <c r="K5" s="328"/>
      <c r="L5" s="328"/>
      <c r="M5" s="328"/>
      <c r="N5" s="328"/>
      <c r="O5" s="328"/>
      <c r="P5" s="328"/>
      <c r="Q5" s="328"/>
      <c r="R5" s="328"/>
    </row>
    <row r="6" spans="1:18" s="140" customFormat="1">
      <c r="A6" s="326" t="s">
        <v>1757</v>
      </c>
      <c r="B6" s="326" t="s">
        <v>2057</v>
      </c>
      <c r="C6" s="326"/>
      <c r="D6" s="326"/>
      <c r="E6" s="326"/>
      <c r="F6" s="326"/>
      <c r="G6" s="328"/>
      <c r="H6" s="328"/>
      <c r="I6" s="328"/>
      <c r="J6" s="328"/>
      <c r="K6" s="328"/>
      <c r="L6" s="328"/>
      <c r="M6" s="328"/>
      <c r="N6" s="328"/>
      <c r="O6" s="328"/>
      <c r="P6" s="328"/>
      <c r="Q6" s="328"/>
      <c r="R6" s="328"/>
    </row>
    <row r="7" spans="1:18" s="138" customFormat="1">
      <c r="A7" s="333"/>
      <c r="B7" s="333"/>
      <c r="C7" s="333"/>
      <c r="D7" s="333"/>
      <c r="E7" s="333"/>
      <c r="F7" s="333"/>
      <c r="G7" s="326" t="e">
        <f>#REF!</f>
        <v>#REF!</v>
      </c>
      <c r="H7" s="328"/>
      <c r="I7" s="328"/>
      <c r="J7" s="328"/>
      <c r="K7" s="328"/>
      <c r="L7" s="328"/>
      <c r="M7" s="328"/>
      <c r="N7" s="328"/>
      <c r="O7" s="328"/>
      <c r="P7" s="328"/>
      <c r="Q7" s="328"/>
      <c r="R7" s="328"/>
    </row>
    <row r="8" spans="1:18" s="350" customFormat="1">
      <c r="A8" s="354"/>
      <c r="B8" s="354"/>
      <c r="C8" s="354" t="s">
        <v>96</v>
      </c>
      <c r="D8" s="354" t="s">
        <v>574</v>
      </c>
      <c r="E8" s="354" t="s">
        <v>85</v>
      </c>
      <c r="F8" s="354" t="s">
        <v>1685</v>
      </c>
      <c r="G8" s="354" t="s">
        <v>1721</v>
      </c>
      <c r="H8" s="326"/>
      <c r="I8" s="326"/>
      <c r="J8" s="326"/>
      <c r="K8" s="326"/>
      <c r="L8" s="326"/>
      <c r="M8" s="326"/>
      <c r="N8" s="326"/>
      <c r="O8" s="326"/>
      <c r="P8" s="326"/>
      <c r="Q8" s="326"/>
      <c r="R8" s="326"/>
    </row>
    <row r="9" spans="1:18" s="140" customFormat="1">
      <c r="A9" s="346" t="s">
        <v>47</v>
      </c>
      <c r="B9" s="346"/>
      <c r="C9" s="347"/>
      <c r="D9" s="347"/>
      <c r="E9" s="347"/>
      <c r="F9" s="347"/>
      <c r="G9" s="348"/>
      <c r="H9" s="349"/>
      <c r="I9" s="349"/>
      <c r="J9" s="349"/>
      <c r="K9" s="349"/>
      <c r="L9" s="349"/>
      <c r="M9" s="349"/>
      <c r="N9" s="349"/>
      <c r="O9" s="349"/>
      <c r="P9" s="349"/>
      <c r="Q9" s="349"/>
      <c r="R9" s="349"/>
    </row>
    <row r="10" spans="1:18" s="140" customFormat="1" ht="27.6">
      <c r="A10" s="323" t="s">
        <v>2058</v>
      </c>
      <c r="B10" s="323" t="s">
        <v>2059</v>
      </c>
      <c r="C10" s="323"/>
      <c r="D10" s="323"/>
      <c r="E10" s="351" t="s">
        <v>2060</v>
      </c>
      <c r="F10" s="351"/>
      <c r="G10" s="352"/>
      <c r="H10" s="349"/>
      <c r="I10" s="349"/>
      <c r="J10" s="349"/>
      <c r="K10" s="349"/>
      <c r="L10" s="349"/>
      <c r="M10" s="349"/>
      <c r="N10" s="349"/>
      <c r="O10" s="349"/>
      <c r="P10" s="349"/>
      <c r="Q10" s="349"/>
      <c r="R10" s="349"/>
    </row>
    <row r="11" spans="1:18" s="138" customFormat="1" ht="41.4">
      <c r="A11" s="323" t="s">
        <v>2061</v>
      </c>
      <c r="B11" s="323" t="s">
        <v>2062</v>
      </c>
      <c r="C11" s="323"/>
      <c r="D11" s="323"/>
      <c r="E11" s="351" t="s">
        <v>2063</v>
      </c>
      <c r="F11" s="351"/>
      <c r="G11" s="352"/>
      <c r="H11" s="349"/>
      <c r="I11" s="349"/>
      <c r="J11" s="349"/>
      <c r="K11" s="349"/>
      <c r="L11" s="349"/>
      <c r="M11" s="349"/>
      <c r="N11" s="349"/>
      <c r="O11" s="349"/>
      <c r="P11" s="349"/>
      <c r="Q11" s="349"/>
      <c r="R11" s="349"/>
    </row>
    <row r="12" spans="1:18" s="350" customFormat="1" ht="27.6">
      <c r="A12" s="323" t="s">
        <v>2064</v>
      </c>
      <c r="B12" s="323" t="s">
        <v>2065</v>
      </c>
      <c r="C12" s="323"/>
      <c r="D12" s="323"/>
      <c r="E12" s="351" t="s">
        <v>2066</v>
      </c>
      <c r="F12" s="351"/>
      <c r="G12" s="352"/>
      <c r="H12" s="349"/>
      <c r="I12" s="349"/>
      <c r="J12" s="349"/>
      <c r="K12" s="349"/>
      <c r="L12" s="349"/>
      <c r="M12" s="349"/>
      <c r="N12" s="349"/>
      <c r="O12" s="349"/>
      <c r="P12" s="349"/>
      <c r="Q12" s="349"/>
      <c r="R12" s="349"/>
    </row>
    <row r="13" spans="1:18" s="350" customFormat="1">
      <c r="A13" s="346" t="s">
        <v>54</v>
      </c>
      <c r="B13" s="346"/>
      <c r="C13" s="347"/>
      <c r="D13" s="347"/>
      <c r="E13" s="347" t="s">
        <v>1868</v>
      </c>
      <c r="F13" s="347"/>
      <c r="G13" s="348"/>
      <c r="H13" s="349"/>
      <c r="I13" s="349"/>
      <c r="J13" s="349"/>
      <c r="K13" s="349"/>
      <c r="L13" s="349"/>
      <c r="M13" s="349"/>
      <c r="N13" s="349"/>
      <c r="O13" s="349"/>
      <c r="P13" s="349"/>
      <c r="Q13" s="349"/>
      <c r="R13" s="349"/>
    </row>
    <row r="14" spans="1:18" s="140" customFormat="1" ht="69">
      <c r="A14" s="323" t="s">
        <v>2067</v>
      </c>
      <c r="B14" s="323" t="s">
        <v>2068</v>
      </c>
      <c r="C14" s="323"/>
      <c r="D14" s="323"/>
      <c r="E14" s="351" t="s">
        <v>2069</v>
      </c>
      <c r="F14" s="351"/>
      <c r="G14" s="352"/>
      <c r="H14" s="349"/>
      <c r="I14" s="349"/>
      <c r="J14" s="349"/>
      <c r="K14" s="349"/>
      <c r="L14" s="349"/>
      <c r="M14" s="349"/>
      <c r="N14" s="349"/>
      <c r="O14" s="349"/>
      <c r="P14" s="349"/>
      <c r="Q14" s="349"/>
      <c r="R14" s="349"/>
    </row>
    <row r="15" spans="1:18" s="140" customFormat="1" ht="41.4">
      <c r="A15" s="323" t="s">
        <v>2070</v>
      </c>
      <c r="B15" s="323" t="s">
        <v>2071</v>
      </c>
      <c r="C15" s="323"/>
      <c r="D15" s="323"/>
      <c r="E15" s="351" t="s">
        <v>2072</v>
      </c>
      <c r="F15" s="351"/>
      <c r="G15" s="352"/>
      <c r="H15" s="349"/>
      <c r="I15" s="349"/>
      <c r="J15" s="349"/>
      <c r="K15" s="349"/>
      <c r="L15" s="349"/>
      <c r="M15" s="349"/>
      <c r="N15" s="349"/>
      <c r="O15" s="349"/>
      <c r="P15" s="349"/>
      <c r="Q15" s="349"/>
      <c r="R15" s="349"/>
    </row>
    <row r="16" spans="1:18" s="138" customFormat="1" ht="69">
      <c r="A16" s="323" t="s">
        <v>2073</v>
      </c>
      <c r="B16" s="323" t="s">
        <v>2074</v>
      </c>
      <c r="C16" s="323"/>
      <c r="D16" s="323"/>
      <c r="E16" s="351" t="s">
        <v>2075</v>
      </c>
      <c r="F16" s="351"/>
      <c r="G16" s="352"/>
      <c r="H16" s="349"/>
      <c r="I16" s="349"/>
      <c r="J16" s="349"/>
      <c r="K16" s="349"/>
      <c r="L16" s="349"/>
      <c r="M16" s="349"/>
      <c r="N16" s="349"/>
      <c r="O16" s="349"/>
      <c r="P16" s="349"/>
      <c r="Q16" s="349"/>
      <c r="R16" s="349"/>
    </row>
    <row r="17" spans="1:18" s="350" customFormat="1" ht="69">
      <c r="A17" s="323" t="s">
        <v>2076</v>
      </c>
      <c r="B17" s="323" t="s">
        <v>2077</v>
      </c>
      <c r="C17" s="323"/>
      <c r="D17" s="323"/>
      <c r="E17" s="351" t="s">
        <v>2078</v>
      </c>
      <c r="F17" s="351"/>
      <c r="G17" s="352"/>
      <c r="H17" s="349"/>
      <c r="I17" s="349"/>
      <c r="J17" s="349"/>
      <c r="K17" s="349"/>
      <c r="L17" s="349"/>
      <c r="M17" s="349"/>
      <c r="N17" s="349"/>
      <c r="O17" s="349"/>
      <c r="P17" s="349"/>
      <c r="Q17" s="349"/>
      <c r="R17" s="349"/>
    </row>
    <row r="18" spans="1:18" s="140" customFormat="1">
      <c r="A18" s="346" t="s">
        <v>56</v>
      </c>
      <c r="B18" s="346"/>
      <c r="C18" s="347"/>
      <c r="D18" s="347"/>
      <c r="E18" s="347" t="s">
        <v>1868</v>
      </c>
      <c r="F18" s="347"/>
      <c r="G18" s="348"/>
      <c r="H18" s="349"/>
      <c r="I18" s="349"/>
      <c r="J18" s="349"/>
      <c r="K18" s="349"/>
      <c r="L18" s="349"/>
      <c r="M18" s="349"/>
      <c r="N18" s="349"/>
      <c r="O18" s="349"/>
      <c r="P18" s="349"/>
      <c r="Q18" s="349"/>
      <c r="R18" s="349"/>
    </row>
    <row r="19" spans="1:18" s="140" customFormat="1" ht="96.6">
      <c r="A19" s="323" t="s">
        <v>2079</v>
      </c>
      <c r="B19" s="323" t="s">
        <v>2080</v>
      </c>
      <c r="C19" s="323"/>
      <c r="D19" s="323"/>
      <c r="E19" s="351" t="s">
        <v>2081</v>
      </c>
      <c r="F19" s="351"/>
      <c r="G19" s="352"/>
      <c r="H19" s="349"/>
      <c r="I19" s="349"/>
      <c r="J19" s="349"/>
      <c r="K19" s="349"/>
      <c r="L19" s="349"/>
      <c r="M19" s="349"/>
      <c r="N19" s="349"/>
      <c r="O19" s="349"/>
      <c r="P19" s="349"/>
      <c r="Q19" s="349"/>
      <c r="R19" s="349"/>
    </row>
    <row r="20" spans="1:18" s="138" customFormat="1" ht="69">
      <c r="A20" s="323" t="s">
        <v>2082</v>
      </c>
      <c r="B20" s="323" t="s">
        <v>2083</v>
      </c>
      <c r="C20" s="323"/>
      <c r="D20" s="323"/>
      <c r="E20" s="351" t="s">
        <v>2084</v>
      </c>
      <c r="F20" s="351"/>
      <c r="G20" s="352"/>
      <c r="H20" s="349"/>
      <c r="I20" s="349"/>
      <c r="J20" s="349"/>
      <c r="K20" s="349"/>
      <c r="L20" s="349"/>
      <c r="M20" s="349"/>
      <c r="N20" s="349"/>
      <c r="O20" s="349"/>
      <c r="P20" s="349"/>
      <c r="Q20" s="349"/>
      <c r="R20" s="349"/>
    </row>
    <row r="21" spans="1:18" s="343" customFormat="1">
      <c r="G21" s="328"/>
      <c r="H21" s="328"/>
      <c r="I21" s="328"/>
      <c r="J21" s="328"/>
      <c r="K21" s="328"/>
      <c r="L21" s="328"/>
      <c r="M21" s="328"/>
      <c r="N21" s="328"/>
      <c r="O21" s="328"/>
      <c r="P21" s="328"/>
      <c r="Q21" s="328"/>
      <c r="R21" s="328"/>
    </row>
    <row r="22" spans="1:18" s="343" customFormat="1">
      <c r="G22" s="328"/>
      <c r="H22" s="328"/>
      <c r="I22" s="328"/>
      <c r="J22" s="328"/>
      <c r="K22" s="328"/>
      <c r="L22" s="328"/>
      <c r="M22" s="328"/>
      <c r="N22" s="328"/>
      <c r="O22" s="328"/>
      <c r="P22" s="328"/>
      <c r="Q22" s="328"/>
      <c r="R22" s="328"/>
    </row>
    <row r="23" spans="1:18" s="343" customFormat="1">
      <c r="G23" s="328"/>
      <c r="H23" s="328"/>
      <c r="I23" s="328"/>
      <c r="J23" s="328"/>
      <c r="K23" s="328"/>
      <c r="L23" s="328"/>
      <c r="M23" s="328"/>
      <c r="N23" s="328"/>
      <c r="O23" s="328"/>
      <c r="P23" s="328"/>
      <c r="Q23" s="328"/>
      <c r="R23" s="328"/>
    </row>
    <row r="24" spans="1:18" s="343" customFormat="1">
      <c r="G24" s="328"/>
      <c r="H24" s="328"/>
      <c r="I24" s="328"/>
      <c r="J24" s="328"/>
      <c r="K24" s="328"/>
      <c r="L24" s="328"/>
      <c r="M24" s="328"/>
      <c r="N24" s="328"/>
      <c r="O24" s="328"/>
      <c r="P24" s="328"/>
      <c r="Q24" s="328"/>
      <c r="R24" s="328"/>
    </row>
    <row r="25" spans="1:18" s="343" customFormat="1">
      <c r="G25" s="328"/>
      <c r="H25" s="328"/>
      <c r="I25" s="328"/>
      <c r="J25" s="328"/>
      <c r="K25" s="328"/>
      <c r="L25" s="328"/>
      <c r="M25" s="328"/>
      <c r="N25" s="328"/>
      <c r="O25" s="328"/>
      <c r="P25" s="328"/>
      <c r="Q25" s="328"/>
      <c r="R25" s="328"/>
    </row>
    <row r="26" spans="1:18" s="344" customFormat="1">
      <c r="G26" s="328"/>
      <c r="H26" s="328"/>
      <c r="I26" s="328"/>
      <c r="J26" s="328"/>
      <c r="K26" s="328"/>
      <c r="L26" s="328"/>
      <c r="M26" s="328"/>
      <c r="N26" s="328"/>
      <c r="O26" s="328"/>
      <c r="P26" s="328"/>
      <c r="Q26" s="328"/>
      <c r="R26" s="328"/>
    </row>
    <row r="27" spans="1:18" s="344" customFormat="1">
      <c r="G27" s="328"/>
      <c r="H27" s="328"/>
      <c r="I27" s="328"/>
      <c r="J27" s="328"/>
      <c r="K27" s="328"/>
      <c r="L27" s="328"/>
      <c r="M27" s="328"/>
      <c r="N27" s="328"/>
      <c r="O27" s="328"/>
      <c r="P27" s="328"/>
      <c r="Q27" s="328"/>
      <c r="R27" s="328"/>
    </row>
    <row r="28" spans="1:18" s="344" customFormat="1">
      <c r="G28" s="328"/>
      <c r="H28" s="328"/>
      <c r="I28" s="328"/>
      <c r="J28" s="328"/>
      <c r="K28" s="328"/>
      <c r="L28" s="328"/>
      <c r="M28" s="328"/>
      <c r="N28" s="328"/>
      <c r="O28" s="328"/>
      <c r="P28" s="328"/>
      <c r="Q28" s="328"/>
      <c r="R28" s="328"/>
    </row>
    <row r="29" spans="1:18" s="344" customFormat="1">
      <c r="G29" s="328"/>
      <c r="H29" s="328"/>
      <c r="I29" s="328"/>
      <c r="J29" s="328"/>
      <c r="K29" s="328"/>
      <c r="L29" s="328"/>
      <c r="M29" s="328"/>
      <c r="N29" s="328"/>
      <c r="O29" s="328"/>
      <c r="P29" s="328"/>
      <c r="Q29" s="328"/>
      <c r="R29" s="328"/>
    </row>
    <row r="30" spans="1:18" s="344" customFormat="1">
      <c r="G30" s="328"/>
      <c r="H30" s="328"/>
      <c r="I30" s="328"/>
      <c r="J30" s="328"/>
      <c r="K30" s="328"/>
      <c r="L30" s="328"/>
      <c r="M30" s="328"/>
      <c r="N30" s="328"/>
      <c r="O30" s="328"/>
      <c r="P30" s="328"/>
      <c r="Q30" s="328"/>
      <c r="R30" s="328"/>
    </row>
    <row r="31" spans="1:18" s="344" customFormat="1">
      <c r="G31" s="328"/>
      <c r="H31" s="328"/>
      <c r="I31" s="328"/>
      <c r="J31" s="328"/>
      <c r="K31" s="328"/>
      <c r="L31" s="328"/>
      <c r="M31" s="328"/>
      <c r="N31" s="328"/>
      <c r="O31" s="328"/>
      <c r="P31" s="328"/>
      <c r="Q31" s="328"/>
      <c r="R31" s="328"/>
    </row>
    <row r="32" spans="1:18" s="344" customFormat="1">
      <c r="G32" s="328"/>
      <c r="H32" s="328"/>
      <c r="I32" s="328"/>
      <c r="J32" s="328"/>
      <c r="K32" s="328"/>
      <c r="L32" s="328"/>
      <c r="M32" s="328"/>
      <c r="N32" s="328"/>
      <c r="O32" s="328"/>
      <c r="P32" s="328"/>
      <c r="Q32" s="328"/>
      <c r="R32" s="328"/>
    </row>
    <row r="33" spans="7:18" s="344" customFormat="1">
      <c r="G33" s="328"/>
      <c r="H33" s="328"/>
      <c r="I33" s="328"/>
      <c r="J33" s="328"/>
      <c r="K33" s="328"/>
      <c r="L33" s="328"/>
      <c r="M33" s="328"/>
      <c r="N33" s="328"/>
      <c r="O33" s="328"/>
      <c r="P33" s="328"/>
      <c r="Q33" s="328"/>
      <c r="R33" s="328"/>
    </row>
    <row r="34" spans="7:18" s="344" customFormat="1">
      <c r="G34" s="328"/>
      <c r="H34" s="328"/>
      <c r="I34" s="328"/>
      <c r="J34" s="328"/>
      <c r="K34" s="328"/>
      <c r="L34" s="328"/>
      <c r="M34" s="328"/>
      <c r="N34" s="328"/>
      <c r="O34" s="328"/>
      <c r="P34" s="328"/>
      <c r="Q34" s="328"/>
      <c r="R34" s="328"/>
    </row>
    <row r="35" spans="7:18" s="344" customFormat="1">
      <c r="G35" s="328"/>
      <c r="H35" s="328"/>
      <c r="I35" s="328"/>
      <c r="J35" s="328"/>
      <c r="K35" s="328"/>
      <c r="L35" s="328"/>
      <c r="M35" s="328"/>
      <c r="N35" s="328"/>
      <c r="O35" s="328"/>
      <c r="P35" s="328"/>
      <c r="Q35" s="328"/>
      <c r="R35" s="328"/>
    </row>
    <row r="36" spans="7:18" s="344" customFormat="1">
      <c r="G36" s="328"/>
      <c r="H36" s="328"/>
      <c r="I36" s="328"/>
      <c r="J36" s="328"/>
      <c r="K36" s="328"/>
      <c r="L36" s="328"/>
      <c r="M36" s="328"/>
      <c r="N36" s="328"/>
      <c r="O36" s="328"/>
      <c r="P36" s="328"/>
      <c r="Q36" s="328"/>
      <c r="R36" s="328"/>
    </row>
    <row r="37" spans="7:18" s="344" customFormat="1">
      <c r="G37" s="328"/>
      <c r="H37" s="328"/>
      <c r="I37" s="328"/>
      <c r="J37" s="328"/>
      <c r="K37" s="328"/>
      <c r="L37" s="328"/>
      <c r="M37" s="328"/>
      <c r="N37" s="328"/>
      <c r="O37" s="328"/>
      <c r="P37" s="328"/>
      <c r="Q37" s="328"/>
      <c r="R37" s="328"/>
    </row>
    <row r="38" spans="7:18" s="344" customFormat="1">
      <c r="G38" s="328"/>
      <c r="H38" s="328"/>
      <c r="I38" s="328"/>
      <c r="J38" s="328"/>
      <c r="K38" s="328"/>
      <c r="L38" s="328"/>
      <c r="M38" s="328"/>
      <c r="N38" s="328"/>
      <c r="O38" s="328"/>
      <c r="P38" s="328"/>
      <c r="Q38" s="328"/>
      <c r="R38" s="328"/>
    </row>
    <row r="39" spans="7:18" s="344" customFormat="1">
      <c r="G39" s="328"/>
      <c r="H39" s="328"/>
      <c r="I39" s="328"/>
      <c r="J39" s="328"/>
      <c r="K39" s="328"/>
      <c r="L39" s="328"/>
      <c r="M39" s="328"/>
      <c r="N39" s="328"/>
      <c r="O39" s="328"/>
      <c r="P39" s="328"/>
      <c r="Q39" s="328"/>
      <c r="R39" s="328"/>
    </row>
    <row r="40" spans="7:18" s="344" customFormat="1">
      <c r="G40" s="328"/>
      <c r="H40" s="328"/>
      <c r="I40" s="328"/>
      <c r="J40" s="328"/>
      <c r="K40" s="328"/>
      <c r="L40" s="328"/>
      <c r="M40" s="328"/>
      <c r="N40" s="328"/>
      <c r="O40" s="328"/>
      <c r="P40" s="328"/>
      <c r="Q40" s="328"/>
      <c r="R40" s="328"/>
    </row>
    <row r="41" spans="7:18" s="344" customFormat="1">
      <c r="G41" s="328"/>
      <c r="H41" s="328"/>
      <c r="I41" s="328"/>
      <c r="J41" s="328"/>
      <c r="K41" s="328"/>
      <c r="L41" s="328"/>
      <c r="M41" s="328"/>
      <c r="N41" s="328"/>
      <c r="O41" s="328"/>
      <c r="P41" s="328"/>
      <c r="Q41" s="328"/>
      <c r="R41" s="328"/>
    </row>
    <row r="42" spans="7:18" s="344" customFormat="1">
      <c r="G42" s="328"/>
      <c r="H42" s="328"/>
      <c r="I42" s="328"/>
      <c r="J42" s="328"/>
      <c r="K42" s="328"/>
      <c r="L42" s="328"/>
      <c r="M42" s="328"/>
      <c r="N42" s="328"/>
      <c r="O42" s="328"/>
      <c r="P42" s="328"/>
      <c r="Q42" s="328"/>
      <c r="R42" s="328"/>
    </row>
    <row r="43" spans="7:18" s="344" customFormat="1">
      <c r="G43" s="328"/>
      <c r="H43" s="328"/>
      <c r="I43" s="328"/>
      <c r="J43" s="328"/>
      <c r="K43" s="328"/>
      <c r="L43" s="328"/>
      <c r="M43" s="328"/>
      <c r="N43" s="328"/>
      <c r="O43" s="328"/>
      <c r="P43" s="328"/>
      <c r="Q43" s="328"/>
      <c r="R43" s="328"/>
    </row>
    <row r="44" spans="7:18" s="344" customFormat="1">
      <c r="G44" s="328"/>
      <c r="H44" s="328"/>
      <c r="I44" s="328"/>
      <c r="J44" s="328"/>
      <c r="K44" s="328"/>
      <c r="L44" s="328"/>
      <c r="M44" s="328"/>
      <c r="N44" s="328"/>
      <c r="O44" s="328"/>
      <c r="P44" s="328"/>
      <c r="Q44" s="328"/>
      <c r="R44" s="328"/>
    </row>
    <row r="45" spans="7:18" s="344" customFormat="1">
      <c r="G45" s="328"/>
      <c r="H45" s="328"/>
      <c r="I45" s="328"/>
      <c r="J45" s="328"/>
      <c r="K45" s="328"/>
      <c r="L45" s="328"/>
      <c r="M45" s="328"/>
      <c r="N45" s="328"/>
      <c r="O45" s="328"/>
      <c r="P45" s="328"/>
      <c r="Q45" s="328"/>
      <c r="R45" s="328"/>
    </row>
    <row r="46" spans="7:18" s="344" customFormat="1">
      <c r="G46" s="328"/>
      <c r="H46" s="328"/>
      <c r="I46" s="328"/>
      <c r="J46" s="328"/>
      <c r="K46" s="328"/>
      <c r="L46" s="328"/>
      <c r="M46" s="328"/>
      <c r="N46" s="328"/>
      <c r="O46" s="328"/>
      <c r="P46" s="328"/>
      <c r="Q46" s="328"/>
      <c r="R46" s="328"/>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customXml/itemProps2.xml><?xml version="1.0" encoding="utf-8"?>
<ds:datastoreItem xmlns:ds="http://schemas.openxmlformats.org/officeDocument/2006/customXml" ds:itemID="{8C21E29A-431E-46A1-9065-651DBD814E77}"/>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2022-09-06T02:18:46Z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