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AF5ECED9-C1A5-4DBC-9F59-4F4F8D2D9939}" xr6:coauthVersionLast="47" xr6:coauthVersionMax="47" xr10:uidLastSave="{00000000-0000-0000-0000-000000000000}"/>
  <bookViews>
    <workbookView xWindow="240" yWindow="264" windowWidth="17280" windowHeight="8880" tabRatio="859" firstSheet="1" activeTab="8"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12" r:id="rId57"/>
    <pivotCache cacheId="13" r:id="rId58"/>
    <pivotCache cacheId="14" r:id="rId59"/>
    <pivotCache cacheId="15" r:id="rId60"/>
    <pivotCache cacheId="16" r:id="rId61"/>
    <pivotCache cacheId="17"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9" i="44" l="1"/>
  <c r="A10" i="44"/>
  <c r="A11" i="44"/>
  <c r="A12" i="44"/>
  <c r="A13" i="44"/>
  <c r="A14" i="44"/>
  <c r="A15" i="44"/>
  <c r="A16" i="44"/>
  <c r="B9" i="44"/>
  <c r="B10" i="44"/>
  <c r="B11" i="44"/>
  <c r="B12" i="44"/>
  <c r="B13" i="44"/>
  <c r="B14" i="44"/>
  <c r="B15" i="44"/>
  <c r="B16" i="44"/>
  <c r="C9" i="44"/>
  <c r="C10" i="44"/>
  <c r="C11" i="44"/>
  <c r="C12" i="44"/>
  <c r="C13" i="44"/>
  <c r="C14" i="44"/>
  <c r="C15" i="44"/>
  <c r="C16" i="44"/>
  <c r="C8" i="44"/>
  <c r="B8" i="44"/>
  <c r="A8" i="44"/>
  <c r="C4" i="44"/>
  <c r="C3" i="44"/>
  <c r="B4" i="44"/>
  <c r="B3" i="44"/>
  <c r="A4" i="44"/>
  <c r="A3" i="44"/>
  <c r="B30" i="19"/>
  <c r="B7" i="19"/>
  <c r="B16" i="19"/>
  <c r="B45" i="19"/>
  <c r="B42" i="19"/>
  <c r="B28" i="1"/>
  <c r="B2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48" i="15"/>
  <c r="A3" i="77"/>
  <c r="B49" i="24"/>
  <c r="B8" i="85"/>
  <c r="B50" i="24"/>
  <c r="D8" i="85"/>
  <c r="B31" i="74"/>
  <c r="B22" i="74"/>
  <c r="B23" i="74"/>
  <c r="B24" i="74"/>
  <c r="B25" i="74"/>
  <c r="B26" i="74"/>
  <c r="B27" i="74"/>
  <c r="B28" i="74"/>
  <c r="B29" i="74"/>
  <c r="B21" i="74"/>
  <c r="B9" i="85"/>
  <c r="B110" i="15"/>
  <c r="B99" i="15"/>
  <c r="B48" i="19"/>
  <c r="B47" i="19"/>
  <c r="B51" i="19"/>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7" i="15"/>
  <c r="B46" i="15"/>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33"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7"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8" i="24"/>
  <c r="B4" i="24"/>
  <c r="B57" i="19"/>
  <c r="A15" i="52"/>
  <c r="I13" i="52"/>
  <c r="I12" i="52"/>
  <c r="J11" i="52"/>
  <c r="B16" i="47"/>
  <c r="B17" i="47"/>
  <c r="B18" i="47"/>
  <c r="D18" i="44"/>
  <c r="D19" i="44"/>
  <c r="B18" i="44"/>
  <c r="B19" i="44"/>
  <c r="C18" i="44"/>
  <c r="C19" i="44"/>
  <c r="A18" i="44"/>
  <c r="A19" i="44"/>
  <c r="B13" i="47"/>
  <c r="B33" i="47"/>
  <c r="B12" i="47"/>
  <c r="B10" i="47"/>
  <c r="B7" i="47"/>
  <c r="C22" i="44"/>
  <c r="L11" i="35"/>
  <c r="I19" i="38"/>
  <c r="I18" i="38"/>
  <c r="I17" i="38"/>
  <c r="I16" i="38"/>
  <c r="I15" i="38"/>
  <c r="I14" i="38"/>
  <c r="I13" i="38"/>
  <c r="I12" i="38"/>
  <c r="I11" i="38"/>
  <c r="I10" i="38"/>
  <c r="I9" i="38"/>
  <c r="I8" i="38"/>
  <c r="I7" i="38"/>
  <c r="B4" i="15"/>
  <c r="B38" i="15"/>
  <c r="B31" i="15"/>
  <c r="B32" i="15"/>
  <c r="B33" i="15"/>
  <c r="B34" i="15"/>
  <c r="B26" i="15"/>
  <c r="B56" i="19"/>
  <c r="A15" i="35"/>
  <c r="E4" i="35"/>
  <c r="E17" i="35"/>
  <c r="E36" i="35"/>
  <c r="E55" i="35"/>
  <c r="E74" i="35"/>
  <c r="E93" i="35"/>
  <c r="B82" i="15"/>
  <c r="B31"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I4" i="52"/>
  <c r="C16" i="52"/>
  <c r="B17" i="15"/>
  <c r="E4" i="52"/>
  <c r="E17" i="52"/>
  <c r="E36" i="52"/>
  <c r="E55" i="52"/>
  <c r="E74" i="52"/>
  <c r="E93" i="52"/>
  <c r="A22" i="44"/>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c r="E8" i="80"/>
  <c r="E9" i="80"/>
  <c r="E10" i="80"/>
  <c r="E11" i="80"/>
  <c r="E12" i="80"/>
  <c r="E13" i="80"/>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0"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2"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37"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4"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172"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<sst xmlns="http://schemas.openxmlformats.org/spreadsheetml/2006/main" count="4469" uniqueCount="1810">
  <si>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</si>
  <si>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</si>
  <si>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</si>
  <si>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</si>
  <si>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</si>
  <si>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</si>
  <si>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</si>
  <si>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</si>
  <si>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</si>
  <si>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</si>
  <si>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</si>
  <si>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</si>
  <si>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</si>
  <si>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</si>
  <si>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</si>
  <si>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</si>
  <si>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</si>
  <si>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</si>
  <si>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</si>
  <si>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</si>
  <si>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</si>
  <si>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</si>
  <si>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</si>
  <si>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</si>
  <si>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</si>
  <si>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</si>
  <si>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</si>
  <si>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</si>
  <si>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</si>
  <si>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</si>
  <si>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</si>
  <si>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</si>
  <si>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</si>
  <si>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</si>
  <si>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</si>
  <si>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</si>
  <si>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</si>
  <si>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</si>
  <si>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</si>
  <si>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</si>
  <si>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</si>
  <si>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</si>
  <si>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</si>
  <si>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</si>
  <si>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</si>
  <si>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</si>
  <si>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</si>
  <si>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</si>
  <si>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</si>
  <si>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</si>
  <si>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</si>
  <si>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</si>
  <si>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</si>
  <si>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</si>
  <si>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</si>
  <si>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</si>
  <si>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</si>
  <si>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</si>
  <si>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</si>
  <si>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</si>
  <si>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</si>
  <si>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</si>
  <si>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</si>
  <si>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</si>
  <si>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</si>
  <si>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</si>
  <si>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</si>
  <si>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</si>
  <si>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</si>
  <si>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</si>
  <si>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</si>
  <si>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</si>
  <si>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</si>
  <si>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</si>
  <si>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</si>
  <si>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</si>
  <si>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</si>
  <si>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</si>
  <si>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</si>
  <si>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</si>
  <si>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</si>
  <si>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</si>
  <si>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</si>
  <si>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</si>
  <si>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</si>
  <si>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</si>
  <si>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</si>
  <si>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</si>
  <si>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</si>
  <si>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</si>
  <si>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</si>
  <si>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</si>
  <si>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</si>
  <si>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</si>
  <si>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</si>
  <si>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</si>
  <si>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</si>
  <si>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</si>
  <si>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</si>
  <si>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</si>
  <si>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</si>
  <si>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</si>
  <si>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</si>
  <si>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</si>
  <si>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</si>
  <si>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</si>
  <si>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</si>
  <si>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</si>
  <si>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</si>
  <si>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</si>
  <si>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</si>
  <si>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</si>
  <si>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</si>
  <si>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</si>
  <si>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</si>
  <si>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</si>
  <si>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</si>
  <si>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</si>
  <si>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</si>
  <si>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</si>
  <si>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</si>
  <si>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</si>
  <si>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</si>
  <si>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</si>
  <si>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</si>
  <si>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</si>
  <si>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</si>
  <si>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</si>
  <si>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</si>
  <si>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</si>
  <si>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</si>
  <si>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</si>
  <si>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</si>
  <si>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</si>
  <si>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</si>
  <si>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</si>
  <si>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</si>
  <si>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</si>
  <si>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</si>
  <si>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</si>
  <si>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</si>
  <si>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</si>
  <si>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</si>
  <si>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</si>
  <si>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</si>
  <si>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</si>
  <si>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</si>
  <si>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</si>
  <si>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</si>
  <si>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</si>
  <si>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</si>
  <si>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</si>
  <si>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</si>
  <si>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</si>
  <si>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</si>
  <si>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</si>
  <si>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</si>
  <si>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</si>
  <si>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</si>
  <si>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</si>
  <si>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</si>
  <si>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</si>
  <si>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</si>
  <si>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</si>
  <si>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</si>
  <si>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</si>
  <si>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</si>
  <si>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</si>
  <si>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</si>
  <si>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</si>
  <si>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</si>
  <si>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</si>
  <si>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</si>
  <si>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</si>
  <si>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</si>
  <si>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</si>
  <si>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</si>
  <si>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</si>
  <si>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</si>
  <si>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</si>
  <si>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</si>
  <si>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</si>
  <si>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</si>
  <si>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</si>
  <si>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</si>
  <si>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</si>
  <si>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</si>
  <si>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</si>
  <si>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</si>
  <si>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</si>
  <si>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</si>
  <si>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</si>
  <si>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</si>
  <si>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</si>
  <si>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</si>
  <si>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</si>
  <si>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</si>
  <si>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</si>
  <si>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</si>
  <si>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</si>
  <si>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</si>
  <si>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</si>
  <si>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</si>
  <si>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</si>
  <si>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</si>
  <si>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</si>
  <si>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</si>
  <si>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</si>
  <si>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</si>
  <si>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</si>
  <si>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</si>
  <si>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</si>
  <si>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</si>
  <si>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</si>
  <si>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</si>
  <si>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</si>
  <si>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</si>
  <si>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</si>
  <si>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</si>
  <si>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</si>
  <si>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</si>
  <si>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</si>
  <si>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</si>
  <si>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</si>
  <si>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</si>
  <si>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</si>
  <si>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</si>
  <si>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</si>
  <si>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</si>
  <si>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</si>
  <si>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</si>
  <si>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</si>
  <si>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</si>
  <si>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</si>
  <si>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</si>
  <si>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</si>
  <si>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</si>
  <si>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</si>
  <si>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</si>
  <si>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</si>
  <si>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</si>
  <si>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</si>
  <si>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</si>
  <si>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</si>
  <si>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</si>
  <si>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</si>
  <si>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</si>
  <si>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</si>
  <si>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</si>
  <si>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</si>
  <si>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</si>
  <si>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</si>
  <si>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</si>
  <si>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</si>
  <si>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</si>
  <si>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</si>
  <si>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</si>
  <si>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</si>
  <si>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</si>
  <si>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</si>
  <si>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</si>
  <si>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</si>
  <si>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</si>
  <si>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</si>
  <si>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</si>
  <si>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</si>
  <si>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</si>
  <si>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</si>
  <si>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</si>
  <si>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</si>
  <si>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</si>
  <si>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</si>
  <si>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</si>
  <si>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</si>
  <si>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</si>
  <si>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</si>
  <si>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</si>
  <si>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</si>
  <si>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</si>
  <si>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</si>
  <si>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</si>
  <si>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</si>
  <si>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</si>
  <si>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</si>
  <si>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</si>
  <si>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</si>
  <si>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</si>
  <si>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</si>
  <si>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</si>
  <si>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</si>
  <si>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</si>
  <si>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</si>
  <si>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</si>
  <si>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</si>
  <si>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</si>
  <si>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</si>
  <si>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</si>
  <si>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</si>
  <si>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</si>
  <si>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</si>
  <si>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</si>
  <si>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</si>
  <si>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</si>
  <si>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</si>
  <si>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</si>
  <si>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</si>
  <si>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</si>
  <si>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</si>
  <si>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</si>
  <si>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</si>
  <si>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</si>
  <si>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</si>
  <si>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</si>
  <si>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</si>
  <si>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</si>
  <si>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</si>
  <si>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</si>
  <si>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</si>
  <si>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</si>
  <si>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</si>
  <si>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</si>
  <si>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</si>
  <si>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</si>
  <si>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</si>
  <si>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</si>
  <si>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</si>
  <si>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</si>
  <si>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</si>
  <si>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</si>
  <si>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</si>
  <si>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</si>
  <si>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</si>
  <si>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</si>
  <si>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</si>
  <si>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</si>
  <si>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</si>
  <si>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</si>
  <si>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</si>
  <si>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</si>
  <si>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</si>
  <si>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</si>
  <si>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</si>
  <si>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</si>
  <si>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</si>
  <si>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</si>
  <si>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</si>
  <si>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</si>
  <si>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</si>
  <si>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</si>
  <si>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</si>
  <si>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</si>
  <si>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</si>
  <si>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</si>
  <si>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</si>
  <si>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</si>
  <si>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</si>
  <si>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</si>
  <si>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</si>
  <si>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</si>
  <si>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</si>
  <si>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</si>
  <si>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</si>
  <si>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</si>
  <si>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</si>
  <si>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</si>
  <si>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</si>
  <si>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</si>
  <si>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</si>
  <si>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</si>
  <si>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</si>
  <si>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</si>
  <si>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</si>
  <si>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</si>
  <si>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</si>
  <si>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</si>
  <si>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</si>
  <si>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</si>
  <si>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</si>
  <si>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</si>
  <si>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</si>
  <si>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</si>
  <si>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</si>
  <si>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</si>
  <si>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</si>
  <si>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</si>
  <si>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</si>
  <si>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</si>
  <si>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</si>
  <si>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</si>
  <si>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</si>
  <si>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</si>
  <si>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</si>
  <si>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</si>
  <si>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</si>
  <si>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</si>
  <si>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</si>
  <si>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</si>
  <si>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</si>
  <si>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</si>
  <si>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</si>
  <si>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</si>
  <si>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</si>
  <si>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</si>
  <si>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</si>
  <si>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</si>
  <si>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</si>
  <si>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</si>
  <si>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</si>
  <si>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</si>
  <si>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</si>
  <si>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</si>
  <si>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</si>
  <si>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</si>
  <si>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</si>
  <si>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</si>
  <si>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</si>
  <si>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</si>
  <si>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</si>
  <si>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</si>
  <si>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</si>
  <si>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</si>
  <si>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</si>
  <si>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</si>
  <si>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</si>
  <si>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</si>
  <si>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</si>
  <si>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</si>
  <si>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</si>
  <si>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</si>
  <si>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</si>
  <si>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</si>
  <si>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</si>
  <si>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</si>
  <si>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</si>
  <si>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</si>
  <si>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</si>
  <si>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</si>
  <si>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</si>
  <si>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</si>
  <si>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</si>
  <si>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</si>
  <si>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</si>
  <si>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</si>
  <si>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</si>
  <si>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</si>
  <si>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</si>
  <si>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</si>
  <si>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</si>
  <si>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</si>
  <si>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</si>
  <si>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</si>
  <si>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</si>
  <si>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</si>
  <si>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</si>
  <si>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</si>
  <si>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</si>
  <si>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</si>
  <si>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</si>
  <si>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</si>
  <si>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</si>
  <si>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</si>
  <si>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</si>
  <si>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</si>
  <si>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</si>
  <si>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</si>
  <si>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</si>
  <si>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</si>
  <si>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</si>
  <si>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</si>
  <si>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</si>
  <si>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</si>
  <si>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</si>
  <si>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</si>
  <si>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</si>
  <si>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</si>
  <si>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</si>
  <si>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</si>
  <si>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</si>
  <si>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</si>
  <si>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</si>
  <si>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</si>
  <si>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</si>
  <si>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</si>
  <si>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</si>
  <si>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</si>
  <si>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</si>
  <si>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</si>
  <si>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</si>
  <si>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</si>
  <si>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</si>
  <si>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</si>
  <si>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</si>
  <si>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</si>
  <si>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</si>
  <si>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</si>
  <si>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</si>
  <si>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</si>
  <si>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</si>
  <si>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</si>
  <si>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</si>
  <si>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</si>
  <si>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</si>
  <si>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</si>
  <si>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</si>
  <si>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</si>
  <si>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</si>
  <si>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</si>
  <si>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</si>
  <si>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</si>
  <si>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</si>
  <si>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</si>
  <si>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</si>
  <si>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</si>
  <si>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</si>
  <si>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</si>
  <si>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</si>
  <si>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</si>
  <si>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</si>
  <si>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</si>
  <si>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</si>
  <si>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</si>
  <si>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</si>
  <si>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</si>
  <si>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</si>
  <si>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</si>
  <si>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</si>
  <si>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</si>
  <si>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</si>
  <si>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</si>
  <si>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</si>
  <si>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</si>
  <si>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</si>
  <si>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</si>
  <si>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</si>
  <si>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</si>
  <si>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</si>
  <si>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</si>
  <si>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</si>
  <si>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</si>
  <si>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</si>
  <si>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</si>
  <si>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</si>
  <si>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</si>
  <si>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</si>
  <si>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</si>
  <si>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</si>
  <si>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</si>
  <si>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</si>
  <si>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</si>
  <si>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</si>
  <si>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</si>
  <si>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</si>
  <si>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</si>
  <si>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</si>
  <si>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</si>
  <si>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</si>
  <si>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</si>
  <si>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</si>
  <si>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</si>
  <si>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</si>
  <si>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</si>
  <si>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</si>
  <si>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</si>
  <si>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</si>
  <si>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</si>
  <si>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</si>
  <si>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</si>
  <si>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</si>
  <si>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</si>
  <si>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</si>
  <si>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</si>
  <si>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</si>
  <si>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</si>
  <si>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</si>
  <si>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</si>
  <si>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</si>
  <si>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</si>
  <si>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</si>
  <si>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</si>
  <si>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</si>
  <si>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</si>
  <si>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</si>
  <si>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</si>
  <si>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</si>
  <si>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</si>
  <si>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</si>
  <si>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</si>
  <si>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</si>
  <si>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</si>
  <si>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</si>
  <si>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</si>
  <si>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</si>
  <si>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</si>
  <si>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</si>
  <si>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</si>
  <si>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</si>
  <si>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</si>
  <si>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</si>
  <si>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</si>
  <si>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</si>
  <si>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</si>
  <si>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</si>
  <si>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</si>
  <si>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</si>
  <si>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</si>
  <si>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</si>
  <si>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</si>
  <si>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</si>
  <si>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</si>
  <si>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</si>
  <si>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</si>
  <si>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</si>
  <si>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</si>
  <si>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</si>
  <si>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</si>
  <si>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</si>
  <si>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</si>
  <si>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</si>
  <si>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</si>
  <si>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</si>
  <si>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</si>
  <si>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</si>
  <si>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</si>
  <si>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</si>
  <si>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</si>
  <si>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</si>
  <si>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</si>
  <si>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</si>
  <si>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</si>
  <si>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</si>
  <si>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</si>
  <si>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</si>
  <si>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</si>
  <si>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</si>
  <si>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</si>
  <si>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</si>
  <si>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</si>
  <si>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</si>
  <si>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</si>
  <si>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</si>
  <si>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</si>
  <si>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</si>
  <si>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</si>
  <si>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</si>
  <si>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</si>
  <si>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</si>
  <si>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</si>
  <si>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</si>
  <si>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</si>
  <si>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</si>
  <si>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</si>
  <si>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</si>
  <si>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</si>
  <si>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</si>
  <si>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</si>
  <si>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</si>
  <si>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</si>
  <si>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</si>
  <si>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</si>
  <si>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</si>
  <si>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</si>
  <si>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</si>
  <si>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</si>
  <si>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</si>
  <si>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</si>
  <si>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</si>
  <si>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</si>
  <si>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</si>
  <si>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</si>
  <si>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</si>
  <si>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</si>
  <si>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</si>
  <si>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</si>
  <si>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</si>
  <si>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</si>
  <si>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</si>
  <si>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</si>
  <si>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</si>
  <si>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</si>
  <si>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</si>
  <si>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</si>
  <si>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</si>
  <si>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</si>
  <si>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</si>
  <si>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</si>
  <si>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</si>
  <si>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</si>
  <si>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</si>
  <si>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</si>
  <si>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</si>
  <si>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</si>
  <si>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</si>
  <si>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</si>
  <si>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</si>
  <si>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</si>
  <si>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</si>
  <si>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</si>
  <si>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</si>
  <si>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</si>
  <si>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</si>
  <si>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</si>
  <si>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</si>
  <si>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</si>
  <si>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</si>
  <si>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</si>
  <si>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</si>
  <si>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</si>
  <si>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</si>
  <si>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</si>
  <si>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</si>
  <si>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</si>
  <si>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</si>
  <si>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</si>
  <si>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</si>
  <si>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</si>
  <si>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</si>
  <si>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</si>
  <si>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</si>
  <si>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</si>
  <si>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</si>
  <si>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</si>
  <si>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</si>
  <si>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</si>
  <si>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</si>
  <si>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</si>
  <si>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</si>
  <si>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</si>
  <si>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</si>
  <si>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</si>
  <si>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</si>
  <si>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</si>
  <si>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</si>
  <si>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</si>
  <si>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</si>
  <si>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</si>
  <si>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</si>
  <si>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</si>
  <si>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</si>
  <si>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</si>
  <si>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</si>
  <si>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</si>
  <si>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</si>
  <si>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</si>
  <si>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</si>
  <si>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</si>
  <si>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</si>
  <si>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</si>
  <si>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</si>
  <si>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</si>
  <si>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</si>
  <si>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</si>
  <si>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</si>
  <si>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</si>
  <si>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</si>
  <si>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</si>
  <si>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</si>
  <si>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</si>
  <si>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</si>
  <si>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</si>
  <si>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</si>
  <si>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</si>
  <si>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</si>
  <si>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</si>
  <si>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</si>
  <si>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</si>
  <si>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</si>
  <si>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</si>
  <si>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</si>
  <si>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</si>
  <si>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</si>
  <si>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</si>
  <si>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</si>
  <si>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</si>
  <si>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</si>
  <si>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</si>
  <si>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</si>
  <si>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</si>
  <si>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</si>
  <si>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</si>
  <si>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</si>
  <si>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</si>
  <si>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</si>
  <si>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</si>
  <si>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</si>
  <si>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</si>
  <si>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</si>
  <si>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</si>
  <si>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</si>
  <si>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</si>
  <si>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</si>
  <si>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</si>
  <si>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</si>
  <si>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</si>
  <si>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</si>
  <si>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</si>
  <si>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</si>
  <si>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</si>
  <si>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</si>
  <si>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</si>
  <si>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</si>
  <si>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</si>
  <si>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</si>
  <si>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</si>
  <si>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</si>
  <si>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</si>
  <si>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</si>
  <si>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</si>
  <si>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</si>
  <si>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</si>
  <si>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</si>
  <si>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</si>
  <si>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</si>
  <si>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</si>
  <si>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</si>
  <si>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</si>
  <si>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</si>
  <si>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</si>
  <si>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</si>
  <si>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</si>
  <si>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</si>
  <si>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</si>
  <si>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</si>
  <si>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</si>
  <si>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</si>
  <si>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</si>
  <si>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</si>
  <si>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</si>
  <si>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</si>
  <si>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</si>
  <si>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</si>
  <si>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</si>
  <si>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</si>
  <si>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</si>
  <si>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</si>
  <si>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</si>
  <si>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</si>
  <si>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</si>
  <si>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</si>
  <si>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</si>
  <si>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</si>
  <si>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</si>
  <si>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</si>
  <si>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</si>
  <si>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</si>
  <si>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</si>
  <si>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</si>
  <si>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</si>
  <si>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</si>
  <si>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</si>
  <si>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</si>
  <si>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</si>
  <si>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</si>
  <si>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</si>
  <si>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</si>
  <si>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</si>
  <si>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</si>
  <si>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</si>
  <si>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</si>
  <si>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</si>
  <si>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</si>
  <si>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</si>
  <si>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</si>
  <si>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</si>
  <si>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</si>
  <si>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</si>
  <si>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</si>
  <si>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</si>
  <si>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</si>
  <si>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</si>
  <si>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</si>
  <si>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</si>
  <si>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</si>
  <si>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</si>
  <si>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</si>
  <si>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</si>
  <si>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</si>
  <si>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</si>
  <si>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</si>
  <si>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</si>
  <si>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</si>
  <si>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</si>
  <si>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</si>
  <si>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</si>
  <si>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</si>
  <si>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</si>
  <si>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</si>
  <si>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</si>
  <si>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</si>
  <si>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</si>
  <si>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</si>
  <si>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</si>
  <si>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</si>
  <si>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</si>
  <si>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</si>
  <si>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</si>
  <si>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</si>
  <si>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</si>
  <si>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</si>
  <si>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</si>
  <si>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</si>
  <si>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</si>
  <si>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</si>
  <si>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</si>
  <si>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</si>
  <si>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</si>
  <si>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</si>
  <si>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</si>
  <si>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</si>
  <si>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</si>
  <si>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</si>
  <si>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</si>
  <si>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</si>
  <si>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</si>
  <si>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</si>
  <si>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</si>
  <si>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</si>
  <si>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</si>
  <si>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</si>
  <si>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</si>
  <si>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</si>
  <si>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</si>
  <si>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</si>
  <si>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</si>
  <si>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</si>
  <si>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</si>
  <si>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</si>
  <si>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</si>
  <si>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</si>
  <si>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</si>
  <si>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</si>
  <si>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</si>
  <si>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</si>
  <si>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</si>
  <si>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</si>
  <si>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</si>
  <si>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</si>
  <si>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</si>
  <si>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</si>
  <si>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</si>
  <si>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</si>
  <si>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</si>
  <si>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</si>
  <si>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</si>
  <si>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</si>
  <si>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</si>
  <si>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</si>
  <si>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</si>
  <si>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</si>
  <si>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</si>
  <si>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</si>
  <si>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</si>
  <si>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</si>
  <si>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</si>
  <si>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</si>
  <si>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</si>
  <si>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</si>
  <si>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</si>
  <si>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</si>
  <si>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</si>
  <si>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</si>
  <si>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</si>
  <si>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</si>
  <si>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</si>
  <si>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</si>
  <si>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</si>
  <si>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</si>
  <si>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</si>
  <si>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</si>
  <si>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</si>
  <si>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</si>
  <si>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</si>
  <si>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</si>
  <si>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</si>
  <si>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</si>
  <si>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</si>
  <si>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</si>
  <si>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</si>
  <si>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</si>
  <si>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</si>
  <si>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</si>
  <si>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</si>
  <si>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</si>
  <si>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</si>
  <si>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</si>
  <si>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</si>
  <si>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</si>
  <si>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</si>
  <si>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</si>
  <si>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</si>
  <si>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</si>
  <si>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</si>
  <si>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</si>
  <si>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</si>
  <si>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</si>
  <si>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</si>
  <si>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</si>
  <si>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</si>
  <si>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</si>
  <si>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</si>
  <si>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</si>
  <si>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</si>
  <si>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</si>
  <si>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</si>
  <si>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</si>
  <si>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</si>
  <si>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</si>
  <si>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</si>
  <si>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</si>
  <si>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</si>
  <si>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</si>
  <si>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</si>
  <si>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</si>
  <si>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</si>
  <si>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</si>
  <si>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</si>
  <si>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</si>
  <si>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</si>
  <si>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</si>
  <si>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</si>
  <si>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</si>
  <si>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</si>
  <si>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</si>
  <si>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</si>
  <si>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</si>
  <si>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</si>
  <si>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</si>
  <si>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</si>
  <si>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</si>
  <si>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</si>
  <si>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</si>
  <si>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</si>
  <si>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</si>
  <si>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</si>
  <si>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</si>
  <si>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</si>
  <si>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</si>
  <si>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</si>
  <si>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</si>
  <si>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</si>
  <si>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</si>
  <si>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</si>
  <si>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</si>
  <si>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</si>
  <si>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</si>
  <si>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</si>
  <si>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</si>
  <si>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</si>
  <si>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</si>
  <si>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</si>
  <si>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</si>
  <si>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</si>
  <si>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</si>
  <si>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</si>
  <si>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</si>
  <si>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</si>
  <si>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</si>
  <si>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</si>
  <si>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</si>
  <si>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</si>
  <si>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</si>
  <si>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</si>
  <si>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</si>
  <si>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</si>
  <si>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</si>
  <si>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</si>
  <si>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</si>
  <si>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</si>
  <si>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</si>
  <si>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</si>
  <si>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</si>
  <si>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</si>
  <si>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</si>
  <si>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</si>
  <si>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</si>
  <si>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</si>
  <si>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</si>
  <si>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</si>
  <si>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</si>
  <si>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</si>
  <si>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</si>
  <si>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</si>
  <si>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</si>
  <si>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</si>
  <si>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</si>
  <si>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</si>
  <si>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</si>
  <si>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</si>
  <si>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</si>
  <si>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</si>
  <si>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</si>
  <si>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</si>
  <si>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</si>
  <si>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</si>
  <si>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</si>
  <si>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</si>
  <si>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</si>
  <si>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</si>
  <si>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</si>
  <si>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</si>
  <si>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</si>
  <si>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</si>
  <si>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</si>
  <si>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</si>
  <si>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</si>
  <si>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</si>
  <si>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</si>
  <si>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</si>
  <si>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</si>
  <si>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</si>
  <si>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</si>
  <si>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</si>
  <si>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</si>
  <si>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</si>
  <si>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</si>
  <si>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</si>
  <si>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</si>
  <si>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</si>
  <si>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</si>
  <si>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</si>
  <si>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</si>
  <si>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</si>
  <si>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</si>
  <si>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</si>
  <si>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</si>
  <si>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</si>
  <si>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</si>
  <si>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</si>
  <si>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</si>
  <si>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</si>
  <si>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</si>
  <si>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</si>
  <si>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</si>
  <si>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</si>
  <si>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</si>
  <si>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</si>
  <si>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</si>
  <si>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</si>
  <si>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</si>
  <si>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</si>
  <si>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</si>
  <si>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</si>
  <si>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</si>
  <si>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</si>
  <si>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</si>
  <si>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</si>
  <si>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</si>
  <si>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</si>
  <si>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</si>
  <si>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</si>
  <si>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</si>
  <si>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</si>
  <si>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</si>
  <si>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</si>
  <si>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</si>
  <si>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</si>
  <si>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</si>
  <si>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</si>
  <si>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</si>
  <si>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</si>
  <si>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</si>
  <si>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</si>
  <si>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</si>
  <si>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</si>
  <si>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</si>
  <si>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</si>
  <si>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</si>
  <si>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</si>
  <si>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</si>
  <si>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</si>
  <si>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</si>
  <si>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</si>
  <si>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</si>
  <si>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</si>
  <si>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</si>
  <si>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</si>
  <si>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</si>
  <si>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</si>
  <si>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</si>
  <si>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</si>
  <si>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</si>
  <si>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</si>
  <si>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</si>
  <si>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</si>
  <si>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</si>
  <si>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</si>
  <si>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</si>
  <si>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</si>
  <si>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</si>
  <si>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</si>
  <si>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</si>
  <si>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</si>
  <si>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</si>
  <si>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</si>
  <si>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</si>
  <si>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</si>
  <si>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</si>
  <si>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</si>
  <si>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</si>
  <si>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</si>
  <si>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</si>
  <si>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</si>
  <si>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</si>
  <si>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</si>
  <si>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</si>
  <si>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</si>
  <si>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</si>
  <si>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</si>
  <si>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</si>
  <si>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</si>
  <si>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</si>
  <si>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</si>
  <si>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</si>
  <si>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</si>
  <si>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</si>
  <si>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</si>
  <si>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</si>
  <si>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</si>
  <si>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</si>
  <si>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</si>
  <si>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</si>
  <si>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</si>
  <si>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</si>
  <si>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</si>
  <si>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</si>
  <si>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</si>
  <si>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</si>
  <si>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</si>
  <si>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</si>
  <si>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</si>
  <si>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</si>
  <si>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</si>
  <si>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</si>
  <si>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</si>
  <si>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</si>
  <si>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</si>
  <si>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</si>
  <si>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</si>
  <si>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</si>
  <si>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</si>
  <si>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</si>
  <si>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</si>
  <si>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</si>
  <si>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</si>
  <si>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</si>
  <si>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</si>
  <si>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</si>
  <si>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</si>
  <si>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</si>
  <si>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</si>
  <si>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</si>
  <si>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</si>
  <si>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</si>
  <si>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</si>
  <si>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</si>
  <si>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</si>
  <si>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</si>
  <si>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</si>
  <si>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</si>
  <si>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</si>
  <si>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</si>
  <si>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</si>
  <si>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</si>
  <si>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</si>
  <si>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</si>
  <si>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</si>
  <si>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</si>
  <si>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</si>
  <si>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</si>
  <si>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</si>
  <si>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</si>
  <si>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</si>
  <si>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</si>
  <si>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</si>
  <si>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</si>
  <si>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</si>
  <si>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</si>
  <si>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</si>
  <si>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</si>
  <si>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</si>
  <si>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</si>
  <si>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</si>
  <si>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</si>
  <si>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</si>
  <si>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</si>
  <si>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</si>
  <si>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</si>
  <si>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</si>
  <si>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</si>
  <si>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</si>
  <si>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</si>
  <si>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</si>
  <si>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</si>
  <si>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</si>
  <si>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</si>
  <si>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</si>
  <si>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</si>
  <si>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</si>
  <si>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</si>
  <si>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</si>
  <si>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</si>
  <si>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</si>
  <si>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</si>
  <si>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</si>
  <si>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</si>
  <si>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</si>
  <si>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</si>
  <si>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</si>
  <si>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</si>
  <si>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</si>
  <si>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</si>
  <si>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</si>
  <si>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</si>
  <si>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</si>
  <si>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</si>
  <si>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</si>
  <si>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</si>
  <si>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</si>
  <si>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</si>
  <si>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</si>
  <si>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</si>
  <si>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</si>
  <si>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</si>
  <si>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</si>
  <si>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</si>
  <si>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</si>
  <si>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</si>
  <si>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</si>
  <si>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</si>
  <si>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</si>
  <si>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</si>
  <si>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</si>
  <si>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</si>
  <si>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</si>
  <si>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</si>
  <si>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</si>
  <si>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</si>
  <si>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</si>
  <si>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</si>
  <si>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</si>
  <si>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</si>
  <si>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</si>
  <si>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</si>
  <si>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</si>
  <si>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</si>
  <si>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</si>
  <si>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</si>
  <si>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</si>
  <si>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</si>
  <si>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</si>
  <si>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</si>
  <si>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</si>
  <si>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</si>
  <si>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</si>
  <si>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</si>
  <si>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</si>
  <si>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</si>
  <si>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</si>
  <si>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</si>
  <si>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</si>
  <si>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</si>
  <si>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</si>
  <si>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</si>
  <si>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</si>
  <si>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</si>
  <si>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</si>
  <si>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</si>
  <si>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</si>
  <si>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</si>
  <si>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</si>
  <si>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</si>
  <si>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Virtual Delivery</t>
  </si>
  <si>
    <t xml:space="preserve">Potential Confidentiality breaches could happen when participant meetings and ATM meetings happen when using Virtual Delivery methods. </t>
  </si>
  <si>
    <t>Open</t>
  </si>
  <si>
    <t>The usage of DVS (Demix virtual services) tools is new or unfamiliar with some participants and ATMs.</t>
  </si>
  <si>
    <t>Medium</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</si>
  <si>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</si>
  <si>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</si>
  <si>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</si>
  <si>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</si>
  <si>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</si>
  <si>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</si>
  <si>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</si>
  <si>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</si>
  <si>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</si>
  <si>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</si>
  <si>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</si>
  <si>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</si>
  <si>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</si>
  <si>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</si>
  <si>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</si>
  <si>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</si>
  <si>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</si>
  <si>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</si>
  <si>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</si>
  <si>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</si>
  <si>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</si>
  <si>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</si>
  <si>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</si>
  <si>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</si>
  <si>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</si>
  <si>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</si>
  <si>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</si>
  <si>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</si>
  <si>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</si>
  <si>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</si>
  <si>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</si>
  <si>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</si>
  <si>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</si>
  <si>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</si>
  <si>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</si>
  <si>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</si>
  <si>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</si>
  <si>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</si>
  <si>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</si>
  <si>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</si>
  <si>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</si>
  <si>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</si>
  <si>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</si>
  <si>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</si>
  <si>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</si>
  <si>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</si>
  <si>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</si>
  <si>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</si>
  <si>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</si>
  <si>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</si>
  <si>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</si>
  <si>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</si>
  <si>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</si>
  <si>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</si>
  <si>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</si>
  <si>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</si>
  <si>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</si>
  <si>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</si>
  <si>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</si>
  <si>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</si>
  <si>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</si>
  <si>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</si>
  <si>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</si>
  <si>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</si>
  <si>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</si>
  <si>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</si>
  <si>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</si>
  <si>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</si>
  <si>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</si>
  <si>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</si>
  <si>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</si>
  <si>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</si>
  <si>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</si>
  <si>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</si>
  <si>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</si>
  <si>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</si>
  <si>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</si>
  <si>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</si>
  <si>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</si>
  <si>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</si>
  <si>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</si>
  <si>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</si>
  <si>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</si>
  <si>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</si>
  <si>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</si>
  <si>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</si>
  <si>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</si>
  <si>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</si>
  <si>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</si>
  <si>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</si>
  <si>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</si>
  <si>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</si>
  <si>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</si>
  <si>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</si>
  <si>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</si>
  <si>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</si>
  <si>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</si>
  <si>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</si>
  <si>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</si>
  <si>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</si>
  <si>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</si>
  <si>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</si>
  <si>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</si>
  <si>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</si>
  <si>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</si>
  <si>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</si>
  <si>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</si>
  <si>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</si>
  <si>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</si>
  <si>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</si>
  <si>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</si>
  <si>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</si>
  <si>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</si>
  <si>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</si>
  <si>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</si>
  <si>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</si>
  <si>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</si>
  <si>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</si>
  <si>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</si>
  <si>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</si>
  <si>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</si>
  <si>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</si>
  <si>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</si>
  <si>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</si>
  <si>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</si>
  <si>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</si>
  <si>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</si>
  <si>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</si>
  <si>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</si>
  <si>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</si>
  <si>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</si>
  <si>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</si>
  <si>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</si>
  <si>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</si>
  <si>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</si>
  <si>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</si>
  <si>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</si>
  <si>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</si>
  <si>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</si>
  <si>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</si>
  <si>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</si>
  <si>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</si>
  <si>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</si>
  <si>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</si>
  <si>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</si>
  <si>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</si>
  <si>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</si>
  <si>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</si>
  <si>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</si>
  <si>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</si>
  <si>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</si>
  <si>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</si>
  <si>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</si>
  <si>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</si>
  <si>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</si>
  <si>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</si>
  <si>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</si>
  <si>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1) The virtual environment may cause unwanted visitors to attend interviews and teamwork sessions and as a result breach confidentiality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</si>
  <si>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</si>
  <si>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</si>
  <si>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</si>
  <si>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</si>
  <si>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</si>
  <si>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</si>
  <si>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</si>
  <si>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</si>
  <si>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</si>
  <si>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</si>
  <si>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</si>
  <si>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</si>
  <si>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</si>
  <si>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</si>
  <si>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</si>
  <si>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</si>
  <si>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</si>
  <si>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</si>
  <si>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</si>
  <si>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</si>
  <si>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</si>
  <si>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</si>
  <si>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</si>
  <si>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</si>
  <si>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</si>
  <si>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</si>
  <si>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</si>
  <si>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</si>
  <si>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</si>
  <si>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</si>
  <si>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</si>
  <si>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</si>
  <si>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</si>
  <si>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</si>
  <si>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</si>
  <si>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</si>
  <si>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</si>
  <si>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</si>
  <si>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</si>
  <si>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</si>
  <si>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</si>
  <si>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</si>
  <si>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</si>
  <si>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</si>
  <si>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</si>
  <si>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</si>
  <si>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</si>
  <si>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</si>
  <si>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</si>
  <si>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</si>
  <si>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</si>
  <si>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</si>
  <si>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</si>
  <si>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</si>
  <si>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</si>
  <si>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</si>
  <si>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</si>
  <si>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</si>
  <si>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</si>
  <si>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</si>
  <si>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</si>
  <si>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</si>
  <si>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</si>
  <si>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</si>
  <si>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</si>
  <si>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</si>
  <si>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</si>
  <si>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</si>
  <si>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</si>
  <si>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</si>
  <si>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</si>
  <si>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</si>
  <si>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</si>
  <si>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</si>
  <si>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</si>
  <si>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</si>
  <si>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</si>
  <si>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</si>
  <si>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</si>
  <si>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</si>
  <si>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</si>
  <si>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</si>
  <si>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</si>
  <si>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</si>
  <si>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</si>
  <si>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</si>
  <si>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</si>
  <si>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</si>
  <si>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</si>
  <si>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</si>
  <si>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</si>
  <si>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</si>
  <si>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</si>
  <si>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</si>
  <si>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</si>
  <si>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</si>
  <si>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</si>
  <si>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</si>
  <si>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</si>
  <si>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</si>
  <si>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</si>
  <si>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</si>
  <si>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</si>
  <si>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</si>
  <si>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</si>
  <si>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</si>
  <si>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</si>
  <si>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</si>
  <si>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</si>
  <si>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</si>
  <si>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</si>
  <si>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</si>
  <si>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</si>
  <si>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</si>
  <si>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</si>
  <si>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</si>
  <si>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</si>
  <si>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</si>
  <si>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</si>
  <si>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</si>
  <si>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</si>
  <si>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</si>
  <si>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</si>
  <si>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</si>
  <si>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</si>
  <si>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</si>
  <si>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</si>
  <si>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</si>
  <si>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</si>
  <si>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</si>
  <si>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</si>
  <si>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</si>
  <si>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</si>
  <si>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</si>
  <si>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</si>
  <si>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</si>
  <si>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</si>
  <si>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</si>
  <si>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</si>
  <si>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</si>
  <si>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</si>
  <si>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</si>
  <si>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</si>
  <si>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</si>
  <si>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</si>
  <si>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</si>
  <si>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</si>
  <si>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</si>
  <si>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</si>
  <si>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</si>
  <si>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</si>
  <si>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</si>
  <si>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</si>
  <si>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</si>
  <si>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</si>
  <si>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</si>
  <si>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</si>
  <si>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</si>
  <si>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</si>
  <si>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</si>
  <si>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The virtual technology used, such as Zoom, may be blocked by the company's firewalls.</t>
  </si>
  <si>
    <t>10) Time zone impacts</t>
  </si>
  <si>
    <t>Time zone differences could make the appraisal team less effective.</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</si>
  <si>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</si>
  <si>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</si>
  <si>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</si>
  <si>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</si>
  <si>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</si>
  <si>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</si>
  <si>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</si>
  <si>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</si>
  <si>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</si>
  <si>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</si>
  <si>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</si>
  <si>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</si>
  <si>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</si>
  <si>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</si>
  <si>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</si>
  <si>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</si>
  <si>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</si>
  <si>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</si>
  <si>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</si>
  <si>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</si>
  <si>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</si>
  <si>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</si>
  <si>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</si>
  <si>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</si>
  <si>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</si>
  <si>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</si>
  <si>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</si>
  <si>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</si>
  <si>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</si>
  <si>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</si>
  <si>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</si>
  <si>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</si>
  <si>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</si>
  <si>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</si>
  <si>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</si>
  <si>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</si>
  <si>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</si>
  <si>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</si>
  <si>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</si>
  <si>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</si>
  <si>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</si>
  <si>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</si>
  <si>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</si>
  <si>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</si>
  <si>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</si>
  <si>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</si>
  <si>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</si>
  <si>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</si>
  <si>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</si>
  <si>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</si>
  <si>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</si>
  <si>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</si>
  <si>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</si>
  <si>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</si>
  <si>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</si>
  <si>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</si>
  <si>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</si>
  <si>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</si>
  <si>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</si>
  <si>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</si>
  <si>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</si>
  <si>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</si>
  <si>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</si>
  <si>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</si>
  <si>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</si>
  <si>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</si>
  <si>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</si>
  <si>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</si>
  <si>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</si>
  <si>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</si>
  <si>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</si>
  <si>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</si>
  <si>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</si>
  <si>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</si>
  <si>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</si>
  <si>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</si>
  <si>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</si>
  <si>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Days from Phase 2 start to on-site start</t>
  </si>
  <si>
    <t>Phase 3 start date</t>
  </si>
  <si>
    <t>Days in Phase 2</t>
  </si>
  <si>
    <t>On-site start date</t>
  </si>
  <si>
    <t>* Conflict of Interests</t>
  </si>
  <si>
    <t>* Other Conflict of Interest</t>
  </si>
  <si>
    <t>* Description</t>
  </si>
  <si>
    <t>* Impact</t>
  </si>
  <si>
    <t>* Management Strategy</t>
  </si>
  <si>
    <t>* Status</t>
  </si>
  <si>
    <t>* Risk Name</t>
  </si>
  <si>
    <t>* Risk Category</t>
  </si>
  <si>
    <t>* Other Risk Category Name</t>
  </si>
  <si>
    <t>* Risk Description</t>
  </si>
  <si>
    <t>* Risk Impact</t>
  </si>
  <si>
    <t>* Risk Mitigation</t>
  </si>
  <si>
    <t>* Risk Status</t>
  </si>
  <si>
    <t>1) Allocate Unique Zoom/VooV IDs. Separate interview meetings (unique Zoom/VooV ID X),  appraisal team meetings (unique Zoom/VooV ID Y) and presentations [van Zyl, Pieter]
2) The ATL (Appraisal Team Leader) will control access to the above meetings to ensure Confidentiality is maintained [van Zyl, Pieter]
3) All meetings will be scheduled with passwords to assist in controlling access to the meetings, ensure that Confidentiality is maintained [van Zyl, Pieter]</t>
  </si>
  <si>
    <t>1) Use a passcode to enable people to join
2) All participants must be visible and their video must be switched on
3) All participants must list their names
4) A waiting room facility will be used
5) Recording features will be disallowed and turned off
6) Webcamera to show room with all participants at all times
7) If required, participants must show their camera 360 degrees so that the appraisal team can see that no other persons are present in the room</t>
  </si>
  <si>
    <t>1) Perform a technology test the week before the Opening Briefing to ensure that all firewall entries are open and the virtual technology is functioning between the appraisal team and the participants. 
2) Use Zoom and VooV or Microsoft Teams as backup if needed.</t>
  </si>
  <si>
    <t>1) Plan for the forward in the time zone area to start later than normal and the earlier in time zone to start earlier. For example, GMT+8 start at 9:00 is and GMT+2 start at 3:am.</t>
  </si>
  <si>
    <t>01) ATM may become ill</t>
  </si>
  <si>
    <t>02) Virtual Tool Failure</t>
  </si>
  <si>
    <t xml:space="preserve">03) Confidentiality breaches as result of Virtual Delivery. </t>
  </si>
  <si>
    <t>04) Virtual Delivery Toolset being new</t>
  </si>
  <si>
    <t>05) CMMI V2.0 Model is new to Appraisal Team</t>
  </si>
  <si>
    <t>06) Confidentiality breach due to unknown participants in Virtual setting</t>
  </si>
  <si>
    <t>07) Opening Briefing delays due to virtual services</t>
  </si>
  <si>
    <t>08) Virtual technology may be blocked by company</t>
  </si>
  <si>
    <t>09) Delays due to usage of Virtual technology</t>
  </si>
  <si>
    <t>* Logistical requirement</t>
  </si>
  <si>
    <t>* Logistical requirement Equipment</t>
  </si>
  <si>
    <t>* Other logistical requirement</t>
  </si>
  <si>
    <t>* Description of the requirement</t>
  </si>
  <si>
    <t>* Role responsible for requirement</t>
  </si>
  <si>
    <t>Francina Botha</t>
  </si>
  <si>
    <t>Update broken links in ATM-PA
Update Logistical Req, COI, Risk Management in P1PA-R to CMMI import 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</si>
</sst>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quot;$&quot;* #,##0_);_(&quot;$&quot;* \(#,##0\);_(&quot;$&quot;* &quot;-&quot;_);_(@_)"/>
    <numFmt numFmtId="165" formatCode="_ * #,##0.00_ ;_ * \-#,##0.00_ ;_ * &quot;-&quot;??_ ;_ @_ "/>
    <numFmt numFmtId="166" formatCode="[$-F800]dddd\,\ mmmm\ dd\,\ yyyy"/>
    <numFmt numFmtId="167" formatCode="dd/mm/yyyy"/>
    <numFmt numFmtId="168" formatCode="dd\ mmmm\ yyyy"/>
    <numFmt numFmtId="169" formatCode="[$-F800]dddd\,/mmmm/dd\,/yyyy"/>
    <numFmt numFmtId="170" formatCode="dd\-mmm\-yyyy"/>
    <numFmt numFmtId="171" formatCode="dddd"/>
    <numFmt numFmtId="172" formatCode="0.0"/>
  </numFmts>
  <fonts count="69">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b/>
      <sz val="11"/>
      <name val="Calibri"/>
      <family val="2"/>
      <scheme val="minor"/>
    </font>
  </fonts>
  <fills count="64">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
      <patternFill patternType="solid">
        <fgColor rgb="FF007DC6"/>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165" fontId="4"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165" fontId="4" fillId="0" borderId="0" applyFont="0" applyFill="0" applyBorder="0" applyAlignment="0" applyProtection="0"/>
    <xf numFmtId="165"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4" fontId="23"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4"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164" fontId="23" fillId="0" borderId="0"/>
    <xf numFmtId="0" fontId="1" fillId="0" borderId="0"/>
    <xf numFmtId="165" fontId="4"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0" fontId="1" fillId="0" borderId="0"/>
    <xf numFmtId="0" fontId="1" fillId="0" borderId="0"/>
    <xf numFmtId="0" fontId="1" fillId="0" borderId="0"/>
    <xf numFmtId="165"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0" fontId="4"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xf numFmtId="165" fontId="1" fillId="0" borderId="0" applyFont="0" applyFill="0" applyBorder="0" applyAlignment="0" applyProtection="0"/>
    <xf numFmtId="0" fontId="1" fillId="0" borderId="0"/>
    <xf numFmtId="165"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5" fontId="1" fillId="0" borderId="0" applyFont="0" applyFill="0" applyBorder="0" applyAlignment="0" applyProtection="0"/>
    <xf numFmtId="0" fontId="20" fillId="0" borderId="0"/>
    <xf numFmtId="165" fontId="1" fillId="0" borderId="0" applyFont="0" applyFill="0" applyBorder="0" applyAlignment="0" applyProtection="0"/>
    <xf numFmtId="0" fontId="20" fillId="0" borderId="0"/>
    <xf numFmtId="165" fontId="1" fillId="0" borderId="0" applyFont="0" applyFill="0" applyBorder="0" applyAlignment="0" applyProtection="0"/>
    <xf numFmtId="0" fontId="1" fillId="0" borderId="0"/>
    <xf numFmtId="0" fontId="1" fillId="0" borderId="0"/>
    <xf numFmtId="165" fontId="1" fillId="0" borderId="0" applyFont="0" applyFill="0" applyBorder="0" applyAlignment="0" applyProtection="0"/>
    <xf numFmtId="0" fontId="20" fillId="0" borderId="0"/>
    <xf numFmtId="165"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5"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0" fontId="1" fillId="0" borderId="0"/>
  </cellStyleXfs>
  <cellXfs count="568">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6" fontId="18" fillId="15" borderId="0" xfId="0" quotePrefix="1" applyNumberFormat="1" applyFont="1" applyFill="1" applyAlignment="1">
      <alignment horizontal="left" vertical="top" wrapText="1"/>
    </xf>
    <xf numFmtId="166"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7"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6"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6" fontId="12" fillId="4" borderId="0" xfId="8" applyNumberFormat="1" applyFont="1" applyFill="1" applyAlignment="1">
      <alignment horizontal="center" vertical="center"/>
    </xf>
    <xf numFmtId="0" fontId="12" fillId="4" borderId="0" xfId="9" applyFont="1" applyFill="1" applyAlignment="1">
      <alignment horizontal="center" vertical="center"/>
    </xf>
    <xf numFmtId="166"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6"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7"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7"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7"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15" fontId="5" fillId="15" borderId="1" xfId="2" applyNumberFormat="1" applyFont="1" applyFill="1" applyBorder="1" applyAlignment="1">
      <alignment horizontal="left" vertical="top" wrapText="1"/>
    </xf>
    <xf numFmtId="15" fontId="5" fillId="15" borderId="1" xfId="2" quotePrefix="1" applyNumberFormat="1" applyFont="1" applyFill="1" applyBorder="1" applyAlignment="1">
      <alignment horizontal="left" vertical="top" wrapText="1"/>
    </xf>
    <xf numFmtId="0" fontId="5" fillId="4" borderId="1" xfId="2" quotePrefix="1" applyFont="1" applyFill="1" applyBorder="1" applyAlignment="1">
      <alignment horizontal="left" vertical="top" wrapText="1"/>
    </xf>
    <xf numFmtId="0" fontId="68" fillId="16" borderId="0" xfId="0" applyFont="1" applyFill="1" applyAlignment="1">
      <alignment horizontal="left" vertical="top"/>
    </xf>
    <xf numFmtId="0" fontId="0" fillId="16" borderId="41" xfId="0" applyFill="1" applyBorder="1" applyAlignment="1">
      <alignment horizontal="left" vertical="top" wrapText="1"/>
    </xf>
    <xf numFmtId="0" fontId="55" fillId="63" borderId="70" xfId="0" applyFont="1" applyFill="1" applyBorder="1" applyAlignment="1">
      <alignment horizontal="left" vertical="top"/>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6"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6"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1"/>
      </font>
      <fill>
        <patternFill patternType="solid">
          <bgColor rgb="FFFFD347"/>
        </patternFill>
      </fill>
    </dxf>
    <dxf>
      <font>
        <b/>
        <i val="0"/>
        <color theme="0"/>
      </font>
      <fill>
        <patternFill patternType="solid">
          <bgColor rgb="FFFF0000"/>
        </patternFill>
      </fill>
    </dxf>
    <dxf>
      <font>
        <b/>
        <i val="0"/>
        <color theme="1"/>
      </font>
      <fill>
        <patternFill patternType="solid">
          <bgColor rgb="FF00CC00"/>
        </patternFill>
      </fill>
    </dxf>
    <dxf>
      <font>
        <b/>
        <i val="0"/>
        <color theme="1"/>
      </font>
      <fill>
        <patternFill patternType="solid">
          <bgColor rgb="FFFFFF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33CC33"/>
        </patternFill>
      </fill>
    </dxf>
    <dxf>
      <font>
        <b/>
        <i val="0"/>
        <color theme="1"/>
      </font>
      <fill>
        <patternFill>
          <bgColor rgb="FF00CC00"/>
        </patternFill>
      </fill>
    </dxf>
    <dxf>
      <font>
        <b/>
        <i val="0"/>
        <color theme="0"/>
      </font>
      <fill>
        <patternFill>
          <bgColor rgb="FFFF00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1"/>
      </font>
      <fill>
        <patternFill>
          <bgColor rgb="FF33CC33"/>
        </patternFill>
      </fill>
    </dxf>
    <dxf>
      <font>
        <b/>
        <i val="0"/>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0"/>
      </font>
      <fill>
        <patternFill>
          <bgColor rgb="FFFF0000"/>
        </patternFill>
      </fill>
    </dxf>
    <dxf>
      <font>
        <b/>
        <i val="0"/>
        <color theme="1"/>
      </font>
      <fill>
        <patternFill>
          <bgColor rgb="FFFFD347"/>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30"/>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1179</v>
      </c>
    </row>
    <row r="3" spans="1:1">
      <c r="A3" s="126" t="s">
        <v>1180</v>
      </c>
    </row>
    <row r="4" spans="1:1">
      <c r="A4" s="126"/>
    </row>
    <row r="5" spans="1:1">
      <c r="A5" s="125" t="s">
        <v>1185</v>
      </c>
    </row>
    <row r="6" spans="1:1" s="125" customFormat="1">
      <c r="A6" s="126" t="s">
        <v>1186</v>
      </c>
    </row>
    <row r="8" spans="1:1">
      <c r="A8" s="125" t="s">
        <v>1188</v>
      </c>
    </row>
    <row r="9" spans="1:1">
      <c r="A9" s="126" t="s">
        <v>1184</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18" workbookViewId="0">
      <selection activeCell="C24" sqref="C24"/>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1151</v>
      </c>
    </row>
    <row r="4" spans="1:32">
      <c r="A4" s="39" t="s">
        <v>1005</v>
      </c>
      <c r="H4" s="184" t="s">
        <v>1071</v>
      </c>
    </row>
    <row r="5" spans="1:32">
      <c r="A5" s="43" t="s">
        <v>809</v>
      </c>
      <c r="B5" s="43" t="s">
        <v>810</v>
      </c>
      <c r="C5" s="43" t="s">
        <v>808</v>
      </c>
      <c r="D5" s="92" t="s">
        <v>379</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807</v>
      </c>
      <c r="D6" s="52" t="s">
        <v>1187</v>
      </c>
      <c r="G6" s="125"/>
      <c r="H6" s="125"/>
      <c r="I6" s="125"/>
      <c r="J6" s="125"/>
      <c r="K6" s="125"/>
      <c r="L6" s="125"/>
      <c r="M6" s="125"/>
      <c r="N6" s="125"/>
    </row>
    <row r="7" spans="1:32">
      <c r="A7" s="40">
        <v>10</v>
      </c>
      <c r="B7" s="41">
        <v>44137</v>
      </c>
      <c r="C7" s="40" t="s">
        <v>807</v>
      </c>
      <c r="D7" s="52" t="s">
        <v>813</v>
      </c>
      <c r="G7" s="125"/>
      <c r="H7" s="167"/>
      <c r="I7" s="167"/>
      <c r="J7" s="167"/>
      <c r="K7" s="167"/>
      <c r="L7" s="167"/>
      <c r="M7" s="125"/>
      <c r="N7" s="168"/>
      <c r="O7" s="169"/>
      <c r="P7" s="169"/>
      <c r="Q7" s="169"/>
      <c r="R7" s="169"/>
      <c r="S7" s="8"/>
    </row>
    <row r="8" spans="1:32" ht="28.8">
      <c r="A8" s="40">
        <v>13</v>
      </c>
      <c r="B8" s="41">
        <v>44142</v>
      </c>
      <c r="C8" s="40" t="s">
        <v>807</v>
      </c>
      <c r="D8" s="52" t="s">
        <v>927</v>
      </c>
      <c r="G8" s="125"/>
      <c r="H8" s="125"/>
      <c r="I8" s="125"/>
      <c r="J8" s="125"/>
      <c r="K8" s="125"/>
      <c r="L8" s="125"/>
      <c r="M8" s="125"/>
      <c r="N8" s="125"/>
      <c r="O8" s="125"/>
      <c r="P8" s="8"/>
      <c r="Q8" s="8"/>
      <c r="R8" s="8"/>
      <c r="S8" s="8"/>
      <c r="T8" s="8"/>
    </row>
    <row r="9" spans="1:32">
      <c r="A9" s="40">
        <v>16</v>
      </c>
      <c r="B9" s="41">
        <v>44145</v>
      </c>
      <c r="C9" s="40" t="s">
        <v>807</v>
      </c>
      <c r="D9" s="52" t="s">
        <v>960</v>
      </c>
      <c r="G9" s="125"/>
      <c r="H9" s="125"/>
      <c r="I9" s="125"/>
      <c r="J9" s="125"/>
      <c r="K9" s="125"/>
      <c r="L9" s="125"/>
      <c r="M9" s="125"/>
      <c r="N9" s="125"/>
      <c r="O9" s="125"/>
      <c r="P9" s="8"/>
      <c r="Q9" s="8"/>
      <c r="R9" s="8"/>
      <c r="S9" s="8"/>
    </row>
    <row r="10" spans="1:32">
      <c r="A10" s="40">
        <v>17</v>
      </c>
      <c r="B10" s="41">
        <v>44145</v>
      </c>
      <c r="C10" s="40" t="s">
        <v>807</v>
      </c>
      <c r="D10" s="52" t="s">
        <v>969</v>
      </c>
      <c r="G10" s="125"/>
      <c r="H10" s="125"/>
      <c r="I10" s="125"/>
      <c r="J10" s="125"/>
      <c r="K10" s="125"/>
      <c r="L10" s="125"/>
      <c r="M10" s="125"/>
      <c r="N10" s="125"/>
      <c r="O10" s="125"/>
      <c r="P10" s="8"/>
      <c r="Q10" s="8"/>
      <c r="R10" s="8"/>
      <c r="S10" s="8"/>
    </row>
    <row r="11" spans="1:32" ht="28.8">
      <c r="A11" s="40">
        <v>24</v>
      </c>
      <c r="B11" s="41">
        <v>44153</v>
      </c>
      <c r="C11" s="40" t="s">
        <v>807</v>
      </c>
      <c r="D11" s="52" t="s">
        <v>1009</v>
      </c>
      <c r="G11" s="125"/>
      <c r="H11" s="125"/>
      <c r="I11" s="125"/>
      <c r="J11" s="125"/>
      <c r="K11" s="125"/>
      <c r="L11" s="125"/>
      <c r="M11" s="125"/>
      <c r="N11" s="125"/>
      <c r="O11" s="125"/>
      <c r="P11" s="8"/>
      <c r="Q11" s="8"/>
      <c r="R11" s="8"/>
      <c r="S11" s="8"/>
    </row>
    <row r="12" spans="1:32">
      <c r="A12" s="40">
        <v>25</v>
      </c>
      <c r="B12" s="41">
        <v>44153</v>
      </c>
      <c r="C12" s="40" t="s">
        <v>807</v>
      </c>
      <c r="D12" s="52" t="s">
        <v>1034</v>
      </c>
      <c r="G12" s="125"/>
      <c r="H12" s="125"/>
      <c r="I12" s="125"/>
      <c r="J12" s="125"/>
      <c r="K12" s="125"/>
      <c r="L12" s="125"/>
      <c r="M12" s="125"/>
      <c r="N12" s="125"/>
      <c r="O12" s="125"/>
      <c r="P12" s="8"/>
      <c r="Q12" s="8"/>
      <c r="R12" s="8"/>
      <c r="S12" s="8"/>
    </row>
    <row r="13" spans="1:32" ht="28.8">
      <c r="A13" s="40">
        <v>26</v>
      </c>
      <c r="B13" s="41">
        <v>44154</v>
      </c>
      <c r="C13" s="40" t="s">
        <v>807</v>
      </c>
      <c r="D13" s="52" t="s">
        <v>1040</v>
      </c>
      <c r="G13" s="125"/>
      <c r="H13" s="125"/>
      <c r="I13" s="125"/>
      <c r="J13" s="125"/>
      <c r="K13" s="125"/>
      <c r="L13" s="125"/>
      <c r="M13" s="125"/>
      <c r="N13" s="125"/>
      <c r="O13" s="125"/>
      <c r="P13" s="8"/>
      <c r="Q13" s="8"/>
      <c r="R13" s="8"/>
      <c r="S13" s="8"/>
    </row>
    <row r="14" spans="1:32">
      <c r="A14" s="40">
        <v>34</v>
      </c>
      <c r="B14" s="41">
        <v>44170</v>
      </c>
      <c r="C14" s="40" t="s">
        <v>807</v>
      </c>
      <c r="D14" s="52" t="s">
        <v>1115</v>
      </c>
      <c r="G14" s="125"/>
      <c r="H14" s="125"/>
      <c r="I14" s="125"/>
      <c r="J14" s="125"/>
      <c r="K14" s="125"/>
      <c r="L14" s="125"/>
      <c r="M14" s="125"/>
      <c r="N14" s="125"/>
      <c r="O14" s="125"/>
      <c r="P14" s="8"/>
      <c r="Q14" s="8"/>
      <c r="R14" s="8"/>
      <c r="S14" s="8"/>
    </row>
    <row r="15" spans="1:32">
      <c r="A15" s="40">
        <v>38</v>
      </c>
      <c r="B15" s="41">
        <v>44175</v>
      </c>
      <c r="C15" s="40" t="s">
        <v>807</v>
      </c>
      <c r="D15" s="52" t="s">
        <v>1150</v>
      </c>
      <c r="G15" s="125"/>
      <c r="H15" s="125"/>
      <c r="I15" s="125"/>
      <c r="J15" s="125"/>
      <c r="K15" s="125"/>
      <c r="L15" s="125"/>
      <c r="M15" s="125"/>
      <c r="N15" s="125"/>
      <c r="O15" s="125"/>
      <c r="P15" s="8"/>
      <c r="Q15" s="8"/>
      <c r="R15" s="8"/>
      <c r="S15" s="8"/>
    </row>
    <row r="16" spans="1:32" ht="28.8">
      <c r="A16" s="40">
        <v>43</v>
      </c>
      <c r="B16" s="41">
        <v>44231</v>
      </c>
      <c r="C16" s="40" t="s">
        <v>1292</v>
      </c>
      <c r="D16" s="52" t="s">
        <v>1546</v>
      </c>
      <c r="G16" s="125"/>
      <c r="H16" s="125"/>
      <c r="I16" s="125"/>
      <c r="J16" s="125"/>
      <c r="K16" s="125"/>
      <c r="L16" s="125"/>
      <c r="M16" s="125"/>
      <c r="N16" s="125"/>
      <c r="O16" s="125"/>
      <c r="P16" s="8"/>
      <c r="Q16" s="8"/>
      <c r="R16" s="8"/>
      <c r="S16" s="8"/>
    </row>
    <row r="17" spans="1:19" ht="28.8">
      <c r="A17" s="40">
        <v>50</v>
      </c>
      <c r="B17" s="41">
        <v>44314</v>
      </c>
      <c r="C17" s="40" t="s">
        <v>807</v>
      </c>
      <c r="D17" s="52" t="s">
        <v>1545</v>
      </c>
      <c r="G17" s="125"/>
      <c r="H17" s="125"/>
      <c r="I17" s="125"/>
      <c r="J17" s="125"/>
      <c r="K17" s="125"/>
      <c r="L17" s="125"/>
      <c r="M17" s="125"/>
      <c r="N17" s="125"/>
      <c r="O17" s="125"/>
      <c r="P17" s="8"/>
      <c r="Q17" s="8"/>
      <c r="R17" s="8"/>
      <c r="S17" s="8"/>
    </row>
    <row r="18" spans="1:19" ht="28.8">
      <c r="A18" s="40">
        <v>51</v>
      </c>
      <c r="B18" s="41">
        <v>44318</v>
      </c>
      <c r="C18" s="40" t="s">
        <v>807</v>
      </c>
      <c r="D18" s="52" t="s">
        <v>1552</v>
      </c>
      <c r="G18" s="125"/>
      <c r="H18" s="125"/>
      <c r="I18" s="125"/>
      <c r="J18" s="125"/>
      <c r="K18" s="125"/>
      <c r="L18" s="125"/>
      <c r="M18" s="125"/>
      <c r="N18" s="125"/>
      <c r="O18" s="125"/>
      <c r="P18" s="8"/>
      <c r="Q18" s="8"/>
      <c r="R18" s="8"/>
      <c r="S18" s="8"/>
    </row>
    <row r="19" spans="1:19">
      <c r="A19" s="40">
        <v>52</v>
      </c>
      <c r="B19" s="41">
        <v>44324</v>
      </c>
      <c r="C19" s="40" t="s">
        <v>807</v>
      </c>
      <c r="D19" s="52" t="s">
        <v>1553</v>
      </c>
      <c r="G19" s="125"/>
      <c r="H19" s="125"/>
      <c r="I19" s="125"/>
      <c r="J19" s="125"/>
      <c r="K19" s="125"/>
      <c r="L19" s="125"/>
      <c r="M19" s="125"/>
    </row>
    <row r="20" spans="1:19" ht="28.8">
      <c r="A20" s="40">
        <v>53</v>
      </c>
      <c r="B20" s="41">
        <v>44343</v>
      </c>
      <c r="C20" s="40" t="s">
        <v>807</v>
      </c>
      <c r="D20" s="52" t="s">
        <v>1555</v>
      </c>
    </row>
    <row r="21" spans="1:19">
      <c r="A21" s="40">
        <v>53</v>
      </c>
      <c r="B21" s="41">
        <v>44354</v>
      </c>
      <c r="C21" s="40" t="s">
        <v>1559</v>
      </c>
      <c r="D21" s="52" t="s">
        <v>1567</v>
      </c>
    </row>
    <row r="22" spans="1:19">
      <c r="A22" s="40">
        <v>56</v>
      </c>
      <c r="B22" s="41">
        <v>44463</v>
      </c>
      <c r="C22" s="40" t="s">
        <v>807</v>
      </c>
      <c r="D22" s="52" t="s">
        <v>1566</v>
      </c>
    </row>
    <row r="23" spans="1:19">
      <c r="A23" s="40">
        <v>57</v>
      </c>
      <c r="B23" s="41">
        <v>44566</v>
      </c>
      <c r="C23" s="40" t="s">
        <v>1559</v>
      </c>
      <c r="D23" s="52" t="s">
        <v>1568</v>
      </c>
    </row>
    <row r="24" spans="1:19" ht="43.2">
      <c r="A24" s="40">
        <v>75</v>
      </c>
      <c r="B24" s="41">
        <v>45179</v>
      </c>
      <c r="C24" s="40" t="s">
        <v>1808</v>
      </c>
      <c r="D24" s="52" t="s">
        <v>1809</v>
      </c>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1409</v>
      </c>
      <c r="D45" s="294" t="s">
        <v>1408</v>
      </c>
      <c r="H45" s="293" t="s">
        <v>1045</v>
      </c>
      <c r="I45" s="293"/>
      <c r="J45" s="293"/>
      <c r="K45" s="293"/>
      <c r="L45" s="293"/>
    </row>
    <row r="64" spans="2:19">
      <c r="B64" s="296" t="s">
        <v>1047</v>
      </c>
      <c r="C64" s="296"/>
      <c r="D64" s="297" t="s">
        <v>1048</v>
      </c>
      <c r="F64" s="298" t="s">
        <v>1050</v>
      </c>
      <c r="G64" s="298"/>
      <c r="H64" s="298"/>
      <c r="I64" s="298"/>
      <c r="K64" s="299" t="s">
        <v>1410</v>
      </c>
      <c r="L64" s="299"/>
      <c r="M64" s="299"/>
      <c r="N64" s="299"/>
      <c r="P64" s="301" t="s">
        <v>1046</v>
      </c>
      <c r="Q64" s="300"/>
      <c r="R64" s="300"/>
      <c r="S64" s="300"/>
    </row>
    <row r="84" spans="6:8">
      <c r="F84" s="304" t="s">
        <v>1423</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1206</v>
      </c>
      <c r="B1" s="254"/>
    </row>
    <row r="2" spans="1:2" ht="43.2">
      <c r="A2" s="11" t="s">
        <v>1207</v>
      </c>
      <c r="B2" s="11" t="s">
        <v>1208</v>
      </c>
    </row>
    <row r="3" spans="1:2">
      <c r="B3" s="255" t="s">
        <v>1209</v>
      </c>
    </row>
    <row r="4" spans="1:2">
      <c r="B4" s="256" t="s">
        <v>1210</v>
      </c>
    </row>
    <row r="5" spans="1:2" ht="28.8">
      <c r="B5" s="257" t="s">
        <v>1211</v>
      </c>
    </row>
    <row r="7" spans="1:2" ht="72">
      <c r="A7" s="11" t="s">
        <v>1212</v>
      </c>
      <c r="B7" s="11" t="s">
        <v>1213</v>
      </c>
    </row>
    <row r="9" spans="1:2" ht="28.8">
      <c r="A9" s="11" t="s">
        <v>1214</v>
      </c>
      <c r="B9" s="11" t="s">
        <v>1215</v>
      </c>
    </row>
    <row r="11" spans="1:2">
      <c r="A11" s="254" t="s">
        <v>1216</v>
      </c>
      <c r="B11" s="254"/>
    </row>
    <row r="12" spans="1:2">
      <c r="A12" s="11" t="s">
        <v>1181</v>
      </c>
      <c r="B12" s="11" t="s">
        <v>1217</v>
      </c>
    </row>
    <row r="13" spans="1:2" ht="43.2">
      <c r="A13" s="11" t="s">
        <v>1152</v>
      </c>
      <c r="B13" s="11" t="s">
        <v>1218</v>
      </c>
    </row>
    <row r="14" spans="1:2">
      <c r="A14" s="11" t="s">
        <v>1219</v>
      </c>
      <c r="B14" s="11" t="s">
        <v>1220</v>
      </c>
    </row>
    <row r="15" spans="1:2" ht="57.6">
      <c r="A15" s="11" t="s">
        <v>909</v>
      </c>
      <c r="B15" s="11" t="s">
        <v>1221</v>
      </c>
    </row>
    <row r="16" spans="1:2" ht="43.2">
      <c r="A16" s="16" t="s">
        <v>910</v>
      </c>
      <c r="B16" s="11" t="s">
        <v>1222</v>
      </c>
    </row>
    <row r="17" spans="1:2">
      <c r="A17" s="16" t="s">
        <v>922</v>
      </c>
      <c r="B17" s="11" t="s">
        <v>1223</v>
      </c>
    </row>
    <row r="18" spans="1:2" ht="28.8">
      <c r="A18" s="16" t="s">
        <v>911</v>
      </c>
      <c r="B18" s="11" t="s">
        <v>1224</v>
      </c>
    </row>
    <row r="19" spans="1:2" ht="43.2">
      <c r="A19" s="16" t="s">
        <v>1133</v>
      </c>
      <c r="B19" s="11" t="s">
        <v>1225</v>
      </c>
    </row>
    <row r="20" spans="1:2">
      <c r="A20" s="16" t="s">
        <v>963</v>
      </c>
      <c r="B20" s="11" t="s">
        <v>1226</v>
      </c>
    </row>
    <row r="21" spans="1:2">
      <c r="A21" s="16" t="s">
        <v>1227</v>
      </c>
    </row>
    <row r="22" spans="1:2">
      <c r="A22" s="16" t="s">
        <v>1228</v>
      </c>
    </row>
    <row r="23" spans="1:2">
      <c r="A23" s="16" t="s">
        <v>1229</v>
      </c>
    </row>
    <row r="24" spans="1:2">
      <c r="A24" s="16" t="s">
        <v>1230</v>
      </c>
    </row>
    <row r="25" spans="1:2">
      <c r="A25" s="16" t="s">
        <v>915</v>
      </c>
    </row>
    <row r="26" spans="1:2">
      <c r="A26" s="16" t="s">
        <v>916</v>
      </c>
    </row>
    <row r="27" spans="1:2">
      <c r="A27" s="16" t="s">
        <v>917</v>
      </c>
    </row>
    <row r="28" spans="1:2">
      <c r="A28" s="16" t="s">
        <v>1182</v>
      </c>
    </row>
    <row r="29" spans="1:2">
      <c r="A29" s="16" t="s">
        <v>1183</v>
      </c>
    </row>
    <row r="30" spans="1:2">
      <c r="A30" s="16" t="s">
        <v>652</v>
      </c>
    </row>
    <row r="31" spans="1:2">
      <c r="A31" s="16" t="s">
        <v>1231</v>
      </c>
    </row>
    <row r="32" spans="1:2">
      <c r="A32" s="16" t="s">
        <v>913</v>
      </c>
    </row>
    <row r="33" spans="1:1">
      <c r="A33" s="16" t="s">
        <v>1232</v>
      </c>
    </row>
    <row r="34" spans="1:1">
      <c r="A34" s="16" t="s">
        <v>1233</v>
      </c>
    </row>
    <row r="35" spans="1:1">
      <c r="A35" s="16" t="s">
        <v>1234</v>
      </c>
    </row>
    <row r="36" spans="1:1">
      <c r="A36" s="16" t="s">
        <v>1235</v>
      </c>
    </row>
    <row r="37" spans="1:1">
      <c r="A37" s="16" t="s">
        <v>914</v>
      </c>
    </row>
    <row r="38" spans="1:1">
      <c r="A38" s="16" t="s">
        <v>1008</v>
      </c>
    </row>
    <row r="39" spans="1:1">
      <c r="A39" s="16" t="s">
        <v>1093</v>
      </c>
    </row>
    <row r="40" spans="1:1">
      <c r="A40" s="16" t="s">
        <v>1006</v>
      </c>
    </row>
    <row r="41" spans="1:1">
      <c r="A41" s="16" t="s">
        <v>1007</v>
      </c>
    </row>
    <row r="42" spans="1:1">
      <c r="A42" s="16" t="s">
        <v>959</v>
      </c>
    </row>
    <row r="43" spans="1:1">
      <c r="A43" s="16" t="s">
        <v>1094</v>
      </c>
    </row>
    <row r="44" spans="1:1">
      <c r="A44" s="16" t="s">
        <v>1095</v>
      </c>
    </row>
    <row r="45" spans="1:1">
      <c r="A45" s="16" t="s">
        <v>1096</v>
      </c>
    </row>
    <row r="46" spans="1:1">
      <c r="A46" s="16" t="s">
        <v>918</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919</v>
      </c>
      <c r="AE1" s="73">
        <v>48</v>
      </c>
    </row>
    <row r="2" spans="1:32" s="91" customFormat="1" ht="28.8">
      <c r="A2" s="265"/>
      <c r="B2" s="91" t="s">
        <v>1524</v>
      </c>
      <c r="C2" s="91" t="s">
        <v>1525</v>
      </c>
      <c r="D2" s="91" t="s">
        <v>1241</v>
      </c>
      <c r="E2" s="91" t="s">
        <v>1242</v>
      </c>
      <c r="F2" s="91" t="s">
        <v>1251</v>
      </c>
      <c r="G2" s="91" t="s">
        <v>1243</v>
      </c>
      <c r="H2" s="91" t="s">
        <v>1146</v>
      </c>
      <c r="AD2" s="266"/>
      <c r="AE2" s="266"/>
      <c r="AF2" s="266"/>
    </row>
    <row r="7" spans="1:32" s="73" customFormat="1">
      <c r="A7" t="s">
        <v>1181</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1152</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1219</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909</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910</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922</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911</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1133</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963</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1136</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1137</v>
      </c>
      <c r="I17" s="53">
        <f t="shared" si="0"/>
        <v>0</v>
      </c>
      <c r="K17"/>
    </row>
    <row r="18" spans="1:11">
      <c r="A18" t="s">
        <v>1138</v>
      </c>
      <c r="I18" s="53">
        <f t="shared" si="0"/>
        <v>0</v>
      </c>
      <c r="K18"/>
    </row>
    <row r="19" spans="1:11">
      <c r="A19" t="s">
        <v>1505</v>
      </c>
      <c r="I19" s="53">
        <f t="shared" si="0"/>
        <v>0</v>
      </c>
      <c r="K19"/>
    </row>
    <row r="20" spans="1:11">
      <c r="A20" t="s">
        <v>915</v>
      </c>
      <c r="B20" s="110" t="s">
        <v>403</v>
      </c>
      <c r="C20" s="110" t="s">
        <v>403</v>
      </c>
      <c r="E20" s="110" t="s">
        <v>403</v>
      </c>
      <c r="I20" s="53">
        <f t="shared" si="0"/>
        <v>3</v>
      </c>
      <c r="K20"/>
    </row>
    <row r="21" spans="1:11">
      <c r="A21" t="s">
        <v>916</v>
      </c>
      <c r="C21" s="110" t="s">
        <v>403</v>
      </c>
      <c r="E21" s="110" t="s">
        <v>403</v>
      </c>
      <c r="I21" s="53">
        <f t="shared" si="0"/>
        <v>2</v>
      </c>
      <c r="K21"/>
    </row>
    <row r="22" spans="1:11">
      <c r="A22" t="s">
        <v>917</v>
      </c>
      <c r="C22" s="110" t="s">
        <v>403</v>
      </c>
      <c r="E22" s="110" t="s">
        <v>403</v>
      </c>
      <c r="I22" s="53">
        <f t="shared" si="0"/>
        <v>2</v>
      </c>
      <c r="K22"/>
    </row>
    <row r="23" spans="1:11">
      <c r="A23" t="s">
        <v>1182</v>
      </c>
      <c r="I23" s="53">
        <f t="shared" si="0"/>
        <v>0</v>
      </c>
      <c r="K23"/>
    </row>
    <row r="24" spans="1:11">
      <c r="A24" t="s">
        <v>1183</v>
      </c>
      <c r="I24" s="53">
        <f t="shared" si="0"/>
        <v>0</v>
      </c>
      <c r="K24"/>
    </row>
    <row r="25" spans="1:11">
      <c r="A25" t="s">
        <v>652</v>
      </c>
      <c r="B25" s="110" t="s">
        <v>403</v>
      </c>
      <c r="C25" s="110" t="s">
        <v>403</v>
      </c>
      <c r="E25" s="110" t="s">
        <v>403</v>
      </c>
      <c r="I25" s="53">
        <f t="shared" si="0"/>
        <v>3</v>
      </c>
      <c r="K25"/>
    </row>
    <row r="26" spans="1:11">
      <c r="A26" t="s">
        <v>1125</v>
      </c>
      <c r="I26" s="53">
        <f t="shared" si="0"/>
        <v>0</v>
      </c>
      <c r="K26"/>
    </row>
    <row r="27" spans="1:11">
      <c r="A27" t="s">
        <v>913</v>
      </c>
      <c r="B27" s="110" t="s">
        <v>403</v>
      </c>
      <c r="C27" s="110" t="s">
        <v>403</v>
      </c>
      <c r="E27" s="110" t="s">
        <v>403</v>
      </c>
      <c r="F27" s="110" t="s">
        <v>403</v>
      </c>
      <c r="I27" s="53">
        <f t="shared" si="0"/>
        <v>4</v>
      </c>
      <c r="K27"/>
    </row>
    <row r="28" spans="1:11">
      <c r="A28" t="s">
        <v>1252</v>
      </c>
      <c r="F28" s="110" t="s">
        <v>403</v>
      </c>
      <c r="I28" s="53">
        <f t="shared" si="0"/>
        <v>1</v>
      </c>
      <c r="K28"/>
    </row>
    <row r="29" spans="1:11">
      <c r="A29" t="s">
        <v>1439</v>
      </c>
      <c r="I29" s="53">
        <f t="shared" si="0"/>
        <v>0</v>
      </c>
      <c r="K29"/>
    </row>
    <row r="30" spans="1:11">
      <c r="A30" t="s">
        <v>1440</v>
      </c>
      <c r="I30" s="53">
        <f t="shared" si="0"/>
        <v>0</v>
      </c>
    </row>
    <row r="31" spans="1:11">
      <c r="A31" t="s">
        <v>1441</v>
      </c>
      <c r="I31" s="53">
        <f t="shared" si="0"/>
        <v>0</v>
      </c>
    </row>
    <row r="32" spans="1:11">
      <c r="A32" t="s">
        <v>1008</v>
      </c>
      <c r="I32" s="53">
        <f t="shared" si="0"/>
        <v>0</v>
      </c>
    </row>
    <row r="33" spans="1:9">
      <c r="A33" t="s">
        <v>1438</v>
      </c>
      <c r="I33" s="53">
        <f t="shared" si="0"/>
        <v>0</v>
      </c>
    </row>
    <row r="34" spans="1:9">
      <c r="A34" t="s">
        <v>1287</v>
      </c>
      <c r="B34" s="110" t="s">
        <v>403</v>
      </c>
      <c r="I34" s="53">
        <f t="shared" si="0"/>
        <v>1</v>
      </c>
    </row>
    <row r="35" spans="1:9">
      <c r="A35" t="s">
        <v>1288</v>
      </c>
      <c r="B35" s="110" t="s">
        <v>403</v>
      </c>
      <c r="I35" s="53">
        <f t="shared" si="0"/>
        <v>1</v>
      </c>
    </row>
    <row r="36" spans="1:9">
      <c r="A36" t="s">
        <v>1289</v>
      </c>
      <c r="C36" s="110" t="s">
        <v>403</v>
      </c>
      <c r="I36" s="53">
        <f t="shared" si="0"/>
        <v>1</v>
      </c>
    </row>
    <row r="37" spans="1:9">
      <c r="A37" t="s">
        <v>1290</v>
      </c>
      <c r="C37" s="110" t="s">
        <v>403</v>
      </c>
      <c r="I37" s="53">
        <f t="shared" si="0"/>
        <v>1</v>
      </c>
    </row>
    <row r="38" spans="1:9">
      <c r="A38" t="s">
        <v>1291</v>
      </c>
      <c r="C38" s="110" t="s">
        <v>403</v>
      </c>
      <c r="I38" s="53">
        <f t="shared" si="0"/>
        <v>1</v>
      </c>
    </row>
    <row r="39" spans="1:9">
      <c r="A39" t="s">
        <v>1096</v>
      </c>
      <c r="I39" s="53">
        <f t="shared" si="0"/>
        <v>0</v>
      </c>
    </row>
    <row r="40" spans="1:9">
      <c r="A40" t="s">
        <v>1145</v>
      </c>
      <c r="I40" s="53">
        <f t="shared" si="0"/>
        <v>0</v>
      </c>
    </row>
    <row r="41" spans="1:9">
      <c r="A41" t="s">
        <v>1139</v>
      </c>
      <c r="I41" s="53">
        <f t="shared" si="0"/>
        <v>0</v>
      </c>
    </row>
    <row r="42" spans="1:9">
      <c r="A42" t="s">
        <v>1140</v>
      </c>
      <c r="I42" s="53">
        <f t="shared" si="0"/>
        <v>0</v>
      </c>
    </row>
    <row r="43" spans="1:9">
      <c r="A43" t="s">
        <v>1141</v>
      </c>
      <c r="I43" s="53">
        <f t="shared" si="0"/>
        <v>0</v>
      </c>
    </row>
    <row r="44" spans="1:9">
      <c r="A44" t="s">
        <v>1006</v>
      </c>
      <c r="I44" s="53">
        <f t="shared" si="0"/>
        <v>0</v>
      </c>
    </row>
    <row r="45" spans="1:9">
      <c r="A45" t="s">
        <v>1007</v>
      </c>
      <c r="I45" s="53">
        <f t="shared" si="0"/>
        <v>0</v>
      </c>
    </row>
    <row r="46" spans="1:9">
      <c r="A46" t="s">
        <v>1442</v>
      </c>
      <c r="I46" s="53">
        <f t="shared" si="0"/>
        <v>0</v>
      </c>
    </row>
    <row r="47" spans="1:9">
      <c r="A47" t="s">
        <v>1443</v>
      </c>
      <c r="I47" s="53">
        <f t="shared" si="0"/>
        <v>0</v>
      </c>
    </row>
    <row r="48" spans="1:9">
      <c r="A48" t="s">
        <v>1444</v>
      </c>
      <c r="I48" s="53">
        <f t="shared" si="0"/>
        <v>0</v>
      </c>
    </row>
    <row r="49" spans="1:9">
      <c r="A49" t="s">
        <v>1445</v>
      </c>
      <c r="I49" s="53">
        <f t="shared" si="0"/>
        <v>0</v>
      </c>
    </row>
    <row r="50" spans="1:9">
      <c r="A50" t="s">
        <v>1446</v>
      </c>
      <c r="I50" s="53">
        <f t="shared" si="0"/>
        <v>0</v>
      </c>
    </row>
    <row r="51" spans="1:9">
      <c r="A51" t="s">
        <v>1447</v>
      </c>
      <c r="I51" s="53">
        <f t="shared" si="0"/>
        <v>0</v>
      </c>
    </row>
    <row r="52" spans="1:9">
      <c r="A52" t="s">
        <v>1448</v>
      </c>
      <c r="I52" s="53">
        <f t="shared" si="0"/>
        <v>0</v>
      </c>
    </row>
    <row r="53" spans="1:9">
      <c r="A53" t="s">
        <v>918</v>
      </c>
      <c r="I53" s="53">
        <f t="shared" si="0"/>
        <v>0</v>
      </c>
    </row>
    <row r="54" spans="1:9">
      <c r="A54" t="s">
        <v>1242</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1625</v>
      </c>
      <c r="B1" s="393"/>
    </row>
    <row r="2" spans="1:3" s="46" customFormat="1" ht="15.6">
      <c r="A2" s="47" t="s">
        <v>1618</v>
      </c>
      <c r="B2" s="47" t="s">
        <v>1626</v>
      </c>
      <c r="C2" s="45"/>
    </row>
    <row r="3" spans="1:3" s="46" customFormat="1" ht="15.6">
      <c r="A3" s="45" t="s">
        <v>1627</v>
      </c>
      <c r="B3" s="394" t="str">
        <f>'Agreement 3'!B45</f>
        <v>barbara.land@email.com</v>
      </c>
      <c r="C3" s="45"/>
    </row>
    <row r="4" spans="1:3" s="46" customFormat="1" ht="15.6">
      <c r="A4" s="45" t="s">
        <v>1628</v>
      </c>
      <c r="B4" s="394" t="str">
        <f>_xlfn.CONCAT('Agreement 3'!B33,"; ",'Agreement 3'!B39)</f>
        <v>donald.kessler@email.com; nathalie.lake@email.com</v>
      </c>
      <c r="C4" s="45"/>
    </row>
    <row r="5" spans="1:3" s="16" customFormat="1">
      <c r="A5" s="16" t="s">
        <v>1619</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24</v>
      </c>
      <c r="B6" s="161" t="str">
        <f>'Agreement 3'!B41</f>
        <v>Miss Barbara Land</v>
      </c>
    </row>
    <row r="7" spans="1:3" s="16" customFormat="1">
      <c r="B7" s="161"/>
    </row>
    <row r="8" spans="1:3" s="16" customFormat="1">
      <c r="A8" s="16" t="s">
        <v>1629</v>
      </c>
      <c r="B8" s="161" t="str">
        <f>'Agreement 3'!B30</f>
        <v>Prof Donald Kessler</v>
      </c>
    </row>
    <row r="9" spans="1:3" s="16" customFormat="1">
      <c r="A9" s="16" t="s">
        <v>1630</v>
      </c>
      <c r="B9" s="161" t="str">
        <f>'Agreement 3'!B16</f>
        <v>Software for Mars (Pty) Ltd</v>
      </c>
    </row>
    <row r="10" spans="1:3" s="16" customFormat="1">
      <c r="A10" s="16" t="s">
        <v>1631</v>
      </c>
      <c r="B10" s="161" t="str">
        <f>'Agreement 3'!B31</f>
        <v>The Boss</v>
      </c>
    </row>
    <row r="11" spans="1:3" s="16" customFormat="1">
      <c r="A11" s="16" t="s">
        <v>1632</v>
      </c>
      <c r="B11" s="161" t="str">
        <f>'Agreement 3'!B32</f>
        <v>+000 1111 2222</v>
      </c>
    </row>
    <row r="12" spans="1:3" s="16" customFormat="1">
      <c r="A12" s="16" t="s">
        <v>1633</v>
      </c>
      <c r="B12" s="161" t="str">
        <f>'Agreement 3'!B33</f>
        <v>donald.kessler@email.com</v>
      </c>
    </row>
    <row r="13" spans="1:3" s="16" customFormat="1">
      <c r="B13" s="161"/>
    </row>
    <row r="14" spans="1:3" s="16" customFormat="1">
      <c r="A14" s="16" t="s">
        <v>1634</v>
      </c>
      <c r="B14" s="161" t="str">
        <f>'Agreement 3'!B35</f>
        <v>Miss Nathalie Lake</v>
      </c>
    </row>
    <row r="15" spans="1:3" s="16" customFormat="1">
      <c r="A15" s="16" t="s">
        <v>1635</v>
      </c>
      <c r="B15" s="16">
        <f ca="1">Planning!B42-TODAY()</f>
        <v>-393</v>
      </c>
    </row>
    <row r="16" spans="1:3" s="16" customFormat="1"/>
    <row r="17" spans="1:3" s="46" customFormat="1" ht="15.6">
      <c r="A17" s="47" t="s">
        <v>1636</v>
      </c>
      <c r="B17" s="47" t="s">
        <v>1637</v>
      </c>
      <c r="C17" s="45"/>
    </row>
    <row r="18" spans="1:3" s="16" customFormat="1">
      <c r="A18" s="16" t="s">
        <v>1638</v>
      </c>
      <c r="B18" s="16" t="str">
        <f>_xlfn.CONCAT('P1-Personnel'!B13,"; ",'P1-Personnel'!B14)</f>
        <v>ATM-1; ATM-2</v>
      </c>
    </row>
    <row r="19" spans="1:3" s="16" customFormat="1">
      <c r="A19" s="16" t="s">
        <v>1619</v>
      </c>
      <c r="B19" s="16" t="str">
        <f>_xlfn.CONCAT('Agreement 3'!B16, " (CASID",'Agreement 3'!B5,") | CAS review before submission")</f>
        <v>Software for Mars (Pty) Ltd (CASID53517) | CAS review before submission</v>
      </c>
    </row>
    <row r="20" spans="1:3" s="16" customFormat="1">
      <c r="A20" s="16" t="s">
        <v>1639</v>
      </c>
      <c r="B20" s="16" t="e">
        <f>_xlfn.CONCAT('P1-OrgScope'!#REF!," and ",'P1-OrgScope'!#REF!)</f>
        <v>#REF!</v>
      </c>
    </row>
    <row r="21" spans="1:3" s="16" customFormat="1">
      <c r="A21" s="16" t="s">
        <v>1640</v>
      </c>
      <c r="B21" s="16" t="str">
        <f>Planning!B7</f>
        <v>2023-04-10to04-16 (A5) C53517 SoftMARS</v>
      </c>
    </row>
    <row r="22" spans="1:3" s="16" customFormat="1">
      <c r="A22" s="16" t="s">
        <v>24</v>
      </c>
      <c r="B22" s="161" t="str">
        <f>'Agreement 3'!B41</f>
        <v>Miss Barbara Land</v>
      </c>
    </row>
    <row r="23" spans="1:3" s="16" customFormat="1"/>
    <row r="24" spans="1:3" s="46" customFormat="1" ht="15.6">
      <c r="A24" s="47" t="s">
        <v>1641</v>
      </c>
      <c r="B24" s="47" t="s">
        <v>1642</v>
      </c>
      <c r="C24" s="45"/>
    </row>
    <row r="25" spans="1:3" s="16" customFormat="1">
      <c r="A25" s="16" t="s">
        <v>1627</v>
      </c>
      <c r="B25" s="161" t="str">
        <f>'Agreement 3'!B45</f>
        <v>barbara.land@email.com</v>
      </c>
    </row>
    <row r="26" spans="1:3" s="16" customFormat="1">
      <c r="A26" s="16" t="s">
        <v>1643</v>
      </c>
      <c r="B26" s="16" t="e">
        <f>_xlfn.CONCAT('Agreement 3'!B33,"; ",'Agreement 3'!B39,"; ",'P1-OrgScope'!#REF!,"; ",'P1-OrgScope'!#REF!)</f>
        <v>#REF!</v>
      </c>
    </row>
    <row r="27" spans="1:3" s="16" customFormat="1">
      <c r="A27" s="16" t="s">
        <v>1619</v>
      </c>
      <c r="B27" s="16" t="str">
        <f>_xlfn.CONCAT('Agreement 3'!B16," (CASID",'Agreement 3'!B5,") | Random sample and OEdb")</f>
        <v>Software for Mars (Pty) Ltd (CASID53517) | Random sample and OEdb</v>
      </c>
    </row>
    <row r="28" spans="1:3" s="16" customFormat="1">
      <c r="A28" s="16" t="s">
        <v>1644</v>
      </c>
      <c r="B28" s="161" t="str">
        <f>'Agreement 3'!B41</f>
        <v>Miss Barbara Land</v>
      </c>
    </row>
    <row r="29" spans="1:3" s="16" customFormat="1">
      <c r="A29" s="16" t="s">
        <v>1645</v>
      </c>
      <c r="B29" s="161" t="str">
        <f>'Agreement 3'!B35</f>
        <v>Miss Nathalie Lake</v>
      </c>
    </row>
    <row r="30" spans="1:3" s="16" customFormat="1"/>
    <row r="31" spans="1:3" s="16" customFormat="1">
      <c r="A31" s="16" t="s">
        <v>1646</v>
      </c>
      <c r="B31" s="16" t="e">
        <f>'P1-OrgScope'!#REF!</f>
        <v>#REF!</v>
      </c>
    </row>
    <row r="32" spans="1:3" s="16" customFormat="1"/>
    <row r="33" spans="1:3" s="46" customFormat="1" ht="15.6">
      <c r="A33" s="47" t="s">
        <v>1622</v>
      </c>
      <c r="B33" s="47" t="s">
        <v>1647</v>
      </c>
      <c r="C33" s="45"/>
    </row>
    <row r="34" spans="1:3" s="16" customFormat="1">
      <c r="A34" s="16" t="s">
        <v>1648</v>
      </c>
      <c r="B34" s="161" t="e">
        <f>_xlfn.CONCAT('P1-OrgScope'!#REF!,"; ",'P1-OrgScope'!#REF!,"; ",'P1-OrgScope'!#REF!,"; ",'P1-OrgScope'!#REF!,"; ",'P1-OrgScope'!#REF!,"; ",'P1-OrgScope'!#REF!,"; ",'P1-OrgScope'!#REF!,"; ",'P1-OrgScope'!#REF!,"; ",'P1-OrgScope'!#REF!,"; ",'P1-OrgScope'!#REF!,"; ",'P1-OrgScope'!#REF!,"; ",'P1-OrgScope'!#REF!)</f>
        <v>#REF!</v>
      </c>
    </row>
    <row r="35" spans="1:3" s="16" customFormat="1">
      <c r="A35" s="16" t="s">
        <v>1619</v>
      </c>
      <c r="B35" s="161" t="str">
        <f>_xlfn.CONCAT('Agreement 3'!B16," (CASID",'Agreement 3'!B5,") | Please sign CAS documents")</f>
        <v>Software for Mars (Pty) Ltd (CASID53517) | Please sign CAS documents</v>
      </c>
    </row>
    <row r="36" spans="1:3" s="16" customFormat="1">
      <c r="B36" s="161"/>
    </row>
    <row r="37" spans="1:3" s="16" customFormat="1">
      <c r="A37" s="16" t="s">
        <v>1629</v>
      </c>
      <c r="B37" s="161" t="str">
        <f>'Agreement 3'!B30</f>
        <v>Prof Donald Kessler</v>
      </c>
    </row>
    <row r="38" spans="1:3" s="16" customFormat="1">
      <c r="A38" s="16" t="s">
        <v>1649</v>
      </c>
      <c r="B38" s="161" t="str">
        <f>_xlfn.CONCAT("https://cmmiinstitute.com/appraisals-sys/appraisals/",'Agreement 3'!B5,"/roles-responsibilities")</f>
        <v>https://cmmiinstitute.com/appraisals-sys/appraisals/53517/roles-responsibilities</v>
      </c>
    </row>
    <row r="39" spans="1:3" s="16" customFormat="1">
      <c r="A39" s="16" t="s">
        <v>1623</v>
      </c>
      <c r="B39" s="161" t="str">
        <f>_xlfn.CONCAT("https://cmmiinstitute.com/appraisals-sys/appraisals/",'Agreement 3'!B5,"/confidentiality-agreement")</f>
        <v>https://cmmiinstitute.com/appraisals-sys/appraisals/53517/confidentiality-agreement</v>
      </c>
    </row>
    <row r="40" spans="1:3" s="16" customFormat="1">
      <c r="A40" s="16" t="s">
        <v>1624</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1650</v>
      </c>
      <c r="B42" s="161" t="str">
        <f>_xlfn.CONCAT('Agreement 3'!B35," and ",'Agreement 3'!B41)</f>
        <v>Miss Nathalie Lake and Miss Barbara Land</v>
      </c>
    </row>
    <row r="43" spans="1:3" s="16" customFormat="1">
      <c r="A43" s="16" t="s">
        <v>1623</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1651</v>
      </c>
      <c r="B45" s="161" t="e">
        <f>_xlfn.CONCAT('P1-OrgScope'!#REF!,", ",'P1-OrgScope'!#REF!,", ",'P1-OrgScope'!#REF!,", ",'P1-OrgScope'!#REF!,", ",'P1-OrgScope'!#REF!,", ",'P1-OrgScope'!#REF!,", ",'P1-OrgScope'!#REF!,", ",'P1-OrgScope'!#REF!,", and ",'P1-OrgScope'!#REF!)</f>
        <v>#REF!</v>
      </c>
    </row>
    <row r="46" spans="1:3" s="16" customFormat="1">
      <c r="A46" s="16" t="s">
        <v>1623</v>
      </c>
      <c r="B46" s="161" t="str">
        <f>_xlfn.CONCAT("https://cmmiinstitute.com/appraisals-sys/appraisals/",'Agreement 3'!B5,"/confidentiality-agreement")</f>
        <v>https://cmmiinstitute.com/appraisals-sys/appraisals/53517/confidentiality-agreement</v>
      </c>
    </row>
    <row r="47" spans="1:3" s="16" customFormat="1">
      <c r="A47" s="16" t="s">
        <v>1624</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1620</v>
      </c>
      <c r="B49" s="47" t="s">
        <v>1652</v>
      </c>
      <c r="C49" s="45"/>
    </row>
    <row r="50" spans="1:3" s="16" customFormat="1">
      <c r="A50" s="16" t="s">
        <v>1653</v>
      </c>
      <c r="B50" s="161" t="str">
        <f>'Agreement 3'!B33</f>
        <v>donald.kessler@email.com</v>
      </c>
    </row>
    <row r="51" spans="1:3" s="16" customFormat="1">
      <c r="A51" s="16" t="s">
        <v>1654</v>
      </c>
      <c r="B51" s="16" t="e">
        <f>_xlfn.CONCAT('Agreement 3'!B45,"; ",'Agreement 3'!B39,"; ",'P1-OrgScope'!#REF!,"; ",'P1-OrgScope'!#REF!,"; ",'P1-OrgScope'!#REF!,"; ",'P1-OrgScope'!#REF!,"; ",'P1-OrgScope'!#REF!,"; ",'P1-OrgScope'!#REF!,"; ",'P1-OrgScope'!#REF!,"; ",'P1-OrgScope'!#REF!,"; ",'P1-OrgScope'!#REF!)</f>
        <v>#REF!</v>
      </c>
    </row>
    <row r="52" spans="1:3" s="16" customFormat="1">
      <c r="A52" s="16" t="s">
        <v>1619</v>
      </c>
      <c r="B52" s="16" t="str">
        <f>_xlfn.CONCAT('Agreement 3'!B16," (CASID",'Agreement 3'!B5,") | Readiness review completed")</f>
        <v>Software for Mars (Pty) Ltd (CASID53517) | Readiness review completed</v>
      </c>
    </row>
    <row r="53" spans="1:3" s="16" customFormat="1">
      <c r="A53" s="16" t="s">
        <v>1621</v>
      </c>
      <c r="B53" s="161" t="str">
        <f>'Agreement 3'!B30</f>
        <v>Prof Donald Kessler</v>
      </c>
    </row>
    <row r="54" spans="1:3" s="16" customFormat="1">
      <c r="A54" s="16" t="s">
        <v>1661</v>
      </c>
      <c r="B54" s="161" t="str">
        <f>_xlfn.CONCAT("https://cmmiinstitute.com/appraisals-sys/appraisals/",'Agreement 3'!B5,"/roles-responsibilities")</f>
        <v>https://cmmiinstitute.com/appraisals-sys/appraisals/53517/roles-responsibilities</v>
      </c>
    </row>
    <row r="55" spans="1:3" s="16" customFormat="1">
      <c r="A55" s="16" t="s">
        <v>1663</v>
      </c>
      <c r="B55" s="161" t="str">
        <f>_xlfn.CONCAT("https://cmmiinstitute.com/appraisals-sys/appraisals/",'Agreement 3'!B5,"/confidentiality-agreement")</f>
        <v>https://cmmiinstitute.com/appraisals-sys/appraisals/53517/confidentiality-agreement</v>
      </c>
    </row>
    <row r="56" spans="1:3" s="16" customFormat="1">
      <c r="A56" s="16" t="s">
        <v>1662</v>
      </c>
      <c r="B56" s="161" t="str">
        <f>_xlfn.CONCAT("https://cmmiinstitute.com/appraisals-sys/appraisals/",'Agreement 3'!B5,"/appraisal-plan-summary")</f>
        <v>https://cmmiinstitute.com/appraisals-sys/appraisals/53517/appraisal-plan-summary</v>
      </c>
    </row>
    <row r="57" spans="1:3" s="16" customFormat="1">
      <c r="A57" s="16" t="s">
        <v>1679</v>
      </c>
      <c r="B57" s="161" t="str">
        <f>_xlfn.CONCAT("https://cmmiinstitute.com/appraisals-sys/appraisals/",'Agreement 3'!B5,"/sign-final-findings")</f>
        <v>https://cmmiinstitute.com/appraisals-sys/appraisals/53517/sign-final-findings</v>
      </c>
    </row>
    <row r="58" spans="1:3" s="16" customFormat="1">
      <c r="A58" s="16" t="s">
        <v>1680</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1636</v>
      </c>
      <c r="B60" s="47" t="s">
        <v>1656</v>
      </c>
      <c r="C60" s="45"/>
    </row>
    <row r="61" spans="1:3" s="16" customFormat="1">
      <c r="A61" s="16" t="s">
        <v>1638</v>
      </c>
      <c r="B61" s="16" t="e">
        <f>_xlfn.CONCAT('P1-OrgScope'!#REF!,"; ",'P1-OrgScope'!#REF!)</f>
        <v>#REF!</v>
      </c>
    </row>
    <row r="62" spans="1:3" s="16" customFormat="1">
      <c r="A62" s="16" t="s">
        <v>1619</v>
      </c>
      <c r="B62" s="16" t="str">
        <f>_xlfn.CONCAT('Agreement 3'!B16, " (CASID",'Agreement 3'!B5,") | CAS review before submission")</f>
        <v>Software for Mars (Pty) Ltd (CASID53517) | CAS review before submission</v>
      </c>
    </row>
    <row r="63" spans="1:3" s="16" customFormat="1">
      <c r="A63" s="16" t="s">
        <v>1639</v>
      </c>
      <c r="B63" s="16" t="e">
        <f>_xlfn.CONCAT('P1-OrgScope'!#REF!," and ",'P1-OrgScope'!#REF!,", please review the appraisal for me before I submitt it. The SPS file and CAS link is below.")</f>
        <v>#REF!</v>
      </c>
    </row>
    <row r="64" spans="1:3" s="16" customFormat="1">
      <c r="A64" s="16" t="s">
        <v>1640</v>
      </c>
      <c r="B64" s="16" t="str">
        <f>Planning!B7</f>
        <v>2023-04-10to04-16 (A5) C53517 SoftMARS</v>
      </c>
    </row>
    <row r="65" spans="1:2" s="16" customFormat="1">
      <c r="A65" s="16" t="s">
        <v>1657</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1660</v>
      </c>
      <c r="C2" s="402">
        <v>0.3</v>
      </c>
      <c r="D2" s="402">
        <v>0.5</v>
      </c>
      <c r="E2" s="402">
        <v>1</v>
      </c>
    </row>
    <row r="3" spans="1:13">
      <c r="A3" s="16" t="s">
        <v>608</v>
      </c>
      <c r="B3" s="16" t="s">
        <v>1661</v>
      </c>
      <c r="C3" s="60" t="s">
        <v>385</v>
      </c>
      <c r="M3" s="29" t="str">
        <f>HYPERLINK(_xlfn.CONCAT("https://cmmiinstitute.com/appraisals-sys/appraisals/",'Agreement 3'!B5,"/roles-responsibilities"))</f>
        <v>https://cmmiinstitute.com/appraisals-sys/appraisals/53517/roles-responsibilities</v>
      </c>
    </row>
    <row r="4" spans="1:13">
      <c r="B4" s="16" t="s">
        <v>1662</v>
      </c>
      <c r="C4" s="60" t="s">
        <v>385</v>
      </c>
      <c r="M4" s="29" t="str">
        <f>HYPERLINK(_xlfn.CONCAT("https://cmmiinstitute.com/appraisals-sys/appraisals/",'Agreement 3'!B5,"/appraisal-plan-summary"))</f>
        <v>https://cmmiinstitute.com/appraisals-sys/appraisals/53517/appraisal-plan-summary</v>
      </c>
    </row>
    <row r="5" spans="1:13">
      <c r="B5" s="16" t="s">
        <v>1663</v>
      </c>
      <c r="C5" s="60" t="s">
        <v>385</v>
      </c>
      <c r="M5" s="29" t="str">
        <f>HYPERLINK(_xlfn.CONCAT("https://cmmiinstitute.com/appraisals-sys/appraisals/",'Agreement 3'!B5,"/confidentiality-agreement"))</f>
        <v>https://cmmiinstitute.com/appraisals-sys/appraisals/53517/confidentiality-agreement</v>
      </c>
    </row>
    <row r="6" spans="1:13">
      <c r="B6" s="16" t="s">
        <v>1664</v>
      </c>
      <c r="C6" s="60" t="s">
        <v>385</v>
      </c>
      <c r="M6" s="29" t="str">
        <f>HYPERLINK(_xlfn.CONCAT("https://cmmiinstitute.com/appraisals-sys/appraisals/",'Agreement 3'!B5,"/appraisal-team"))</f>
        <v>https://cmmiinstitute.com/appraisals-sys/appraisals/53517/appraisal-team</v>
      </c>
    </row>
    <row r="8" spans="1:13">
      <c r="A8" s="16" t="s">
        <v>583</v>
      </c>
      <c r="B8" s="16" t="s">
        <v>1661</v>
      </c>
      <c r="C8" s="60" t="s">
        <v>385</v>
      </c>
      <c r="M8" s="29" t="str">
        <f>HYPERLINK(_xlfn.CONCAT("https://cmmiinstitute.com/appraisals-sys/appraisals/",'Agreement 3'!B5,"/roles-responsibilities"))</f>
        <v>https://cmmiinstitute.com/appraisals-sys/appraisals/53517/roles-responsibilities</v>
      </c>
    </row>
    <row r="9" spans="1:13">
      <c r="B9" s="16" t="s">
        <v>1662</v>
      </c>
      <c r="C9" s="60" t="s">
        <v>385</v>
      </c>
      <c r="M9" s="29" t="str">
        <f>HYPERLINK(_xlfn.CONCAT("https://cmmiinstitute.com/appraisals-sys/appraisals/",'Agreement 3'!B5,"/appraisal-plan-summary"))</f>
        <v>https://cmmiinstitute.com/appraisals-sys/appraisals/53517/appraisal-plan-summary</v>
      </c>
    </row>
    <row r="10" spans="1:13">
      <c r="B10" s="16" t="s">
        <v>1663</v>
      </c>
      <c r="C10" s="60" t="s">
        <v>385</v>
      </c>
      <c r="M10" s="29" t="str">
        <f>HYPERLINK(_xlfn.CONCAT("https://cmmiinstitute.com/appraisals-sys/appraisals/",'Agreement 3'!B5,"/confidentiality-agreement"))</f>
        <v>https://cmmiinstitute.com/appraisals-sys/appraisals/53517/confidentiality-agreement</v>
      </c>
    </row>
    <row r="11" spans="1:13">
      <c r="B11" s="16" t="s">
        <v>1664</v>
      </c>
      <c r="C11" s="60" t="s">
        <v>385</v>
      </c>
      <c r="M11" s="29" t="str">
        <f>HYPERLINK(_xlfn.CONCAT("https://cmmiinstitute.com/appraisals-sys/appraisals/",'Agreement 3'!B5,"/appraisal-sponsor"))</f>
        <v>https://cmmiinstitute.com/appraisals-sys/appraisals/53517/appraisal-sponsor</v>
      </c>
    </row>
    <row r="12" spans="1:13">
      <c r="M12" s="29"/>
    </row>
    <row r="13" spans="1:13">
      <c r="A13" s="16" t="s">
        <v>1665</v>
      </c>
      <c r="B13" s="16" t="s">
        <v>1677</v>
      </c>
      <c r="C13" s="60" t="s">
        <v>385</v>
      </c>
      <c r="F13" s="60" t="s">
        <v>1672</v>
      </c>
      <c r="G13" s="60" t="s">
        <v>1673</v>
      </c>
      <c r="H13" s="60" t="s">
        <v>1674</v>
      </c>
      <c r="I13" s="60" t="s">
        <v>1675</v>
      </c>
      <c r="J13" s="60" t="s">
        <v>1676</v>
      </c>
    </row>
    <row r="14" spans="1:13">
      <c r="B14" s="16" t="s">
        <v>1678</v>
      </c>
      <c r="C14" s="60" t="s">
        <v>385</v>
      </c>
    </row>
    <row r="15" spans="1:13">
      <c r="B15" s="16" t="s">
        <v>1663</v>
      </c>
      <c r="C15" s="60" t="s">
        <v>385</v>
      </c>
      <c r="F15" s="60" t="s">
        <v>385</v>
      </c>
      <c r="G15" s="60" t="s">
        <v>385</v>
      </c>
      <c r="H15" s="60" t="s">
        <v>385</v>
      </c>
      <c r="I15" s="60" t="s">
        <v>385</v>
      </c>
      <c r="J15" s="60" t="s">
        <v>385</v>
      </c>
      <c r="M15" s="29" t="str">
        <f>HYPERLINK(_xlfn.CONCAT("https://cmmiinstitute.com/appraisals-sys/appraisals/",'Agreement 3'!B5,"/confidentiality-agreement"))</f>
        <v>https://cmmiinstitute.com/appraisals-sys/appraisals/53517/confidentiality-agreement</v>
      </c>
    </row>
    <row r="16" spans="1:13">
      <c r="B16" s="16" t="s">
        <v>1666</v>
      </c>
      <c r="C16" s="60" t="s">
        <v>385</v>
      </c>
      <c r="F16" s="60" t="s">
        <v>385</v>
      </c>
      <c r="G16" s="60" t="s">
        <v>385</v>
      </c>
      <c r="H16" s="60" t="s">
        <v>385</v>
      </c>
      <c r="I16" s="60" t="s">
        <v>385</v>
      </c>
      <c r="J16" s="60" t="s">
        <v>385</v>
      </c>
      <c r="M16" s="29" t="str">
        <f>HYPERLINK(_xlfn.CONCAT("https://cmmiinstitute.com/appraisals-sys/appraisals/",'Agreement 3'!B5,"/appraisal-plan-summary"))</f>
        <v>https://cmmiinstitute.com/appraisals-sys/appraisals/53517/appraisal-plan-summary</v>
      </c>
    </row>
    <row r="17" spans="1:13">
      <c r="B17" s="16" t="s">
        <v>1664</v>
      </c>
      <c r="C17" s="60" t="s">
        <v>385</v>
      </c>
      <c r="F17" s="60" t="s">
        <v>385</v>
      </c>
      <c r="G17" s="60" t="s">
        <v>385</v>
      </c>
      <c r="H17" s="60" t="s">
        <v>385</v>
      </c>
      <c r="I17" s="60" t="s">
        <v>385</v>
      </c>
      <c r="J17" s="60" t="s">
        <v>385</v>
      </c>
      <c r="M17" s="29" t="str">
        <f>HYPERLINK(_xlfn.CONCAT("https://cmmiinstitute.com/appraisals-sys/appraisals/",'Agreement 3'!B5,"/appraisal-team"))</f>
        <v>https://cmmiinstitute.com/appraisals-sys/appraisals/53517/appraisal-team</v>
      </c>
    </row>
    <row r="19" spans="1:13">
      <c r="A19" s="16" t="s">
        <v>1359</v>
      </c>
      <c r="B19" s="16" t="s">
        <v>1663</v>
      </c>
      <c r="C19" s="60" t="s">
        <v>385</v>
      </c>
      <c r="M19" s="29" t="str">
        <f>HYPERLINK(_xlfn.CONCAT("https://cmmiinstitute.com/appraisals-sys/appraisals/",'Agreement 3'!B5,"/confidentiality-agreement"))</f>
        <v>https://cmmiinstitute.com/appraisals-sys/appraisals/53517/confidentiality-agreement</v>
      </c>
    </row>
    <row r="20" spans="1:13">
      <c r="B20" s="16" t="s">
        <v>1664</v>
      </c>
      <c r="C20" s="60" t="s">
        <v>385</v>
      </c>
      <c r="M20" s="29" t="str">
        <f>HYPERLINK(_xlfn.CONCAT("https://cmmiinstitute.com/appraisals-sys/appraisals/",'Agreement 3'!B5,"/appraisal-team"))</f>
        <v>https://cmmiinstitute.com/appraisals-sys/appraisals/53517/appraisal-team</v>
      </c>
    </row>
    <row r="22" spans="1:13">
      <c r="A22" s="16" t="s">
        <v>1358</v>
      </c>
      <c r="B22" s="16" t="s">
        <v>1663</v>
      </c>
      <c r="C22" s="60" t="s">
        <v>385</v>
      </c>
      <c r="M22" s="29" t="str">
        <f>HYPERLINK(_xlfn.CONCAT("https://cmmiinstitute.com/appraisals-sys/appraisals/",'Agreement 3'!B5,"/confidentiality-agreement"))</f>
        <v>https://cmmiinstitute.com/appraisals-sys/appraisals/53517/confidentiality-agreement</v>
      </c>
    </row>
    <row r="23" spans="1:13">
      <c r="B23" s="16" t="s">
        <v>1664</v>
      </c>
      <c r="C23" s="60" t="s">
        <v>385</v>
      </c>
      <c r="M23" s="29" t="str">
        <f>HYPERLINK(_xlfn.CONCAT("https://cmmiinstitute.com/appraisals-sys/appraisals/",'Agreement 3'!B5,"/appraisal-team"))</f>
        <v>https://cmmiinstitute.com/appraisals-sys/appraisals/53517/appraisal-team</v>
      </c>
    </row>
    <row r="25" spans="1:13">
      <c r="A25" s="16" t="s">
        <v>1667</v>
      </c>
      <c r="B25" s="16" t="s">
        <v>1668</v>
      </c>
    </row>
    <row r="28" spans="1:13">
      <c r="A28" s="16" t="s">
        <v>1669</v>
      </c>
      <c r="B28" s="16" t="s">
        <v>1670</v>
      </c>
    </row>
    <row r="30" spans="1:13">
      <c r="A30" s="16" t="s">
        <v>1671</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opLeftCell="A16" workbookViewId="0">
      <selection activeCell="B43" sqref="B43"/>
    </sheetView>
  </sheetViews>
  <sheetFormatPr defaultRowHeight="14.4"/>
  <cols>
    <col min="1" max="1" width="54.33203125" style="8" customWidth="1"/>
    <col min="2" max="2" width="56" style="8" customWidth="1"/>
    <col min="3" max="3" width="16.6640625" customWidth="1"/>
  </cols>
  <sheetData>
    <row r="1" spans="1:2">
      <c r="A1" s="1" t="s">
        <v>0</v>
      </c>
      <c r="B1" s="23" t="s">
        <v>689</v>
      </c>
    </row>
    <row r="2" spans="1:2">
      <c r="A2" s="2" t="s">
        <v>1</v>
      </c>
      <c r="B2" s="3" t="s">
        <v>1449</v>
      </c>
    </row>
    <row r="3" spans="1:2">
      <c r="A3" s="2" t="s">
        <v>2</v>
      </c>
      <c r="B3" s="272"/>
    </row>
    <row r="4" spans="1:2">
      <c r="A4" s="2" t="s">
        <v>694</v>
      </c>
      <c r="B4" s="3" t="s">
        <v>1450</v>
      </c>
    </row>
    <row r="5" spans="1:2">
      <c r="A5" s="2" t="s">
        <v>1518</v>
      </c>
      <c r="B5" s="4">
        <v>53517</v>
      </c>
    </row>
    <row r="6" spans="1:2">
      <c r="A6" s="5" t="s">
        <v>3</v>
      </c>
      <c r="B6" s="5"/>
    </row>
    <row r="7" spans="1:2">
      <c r="A7" s="2" t="s">
        <v>4</v>
      </c>
      <c r="B7" s="6" t="s">
        <v>1753</v>
      </c>
    </row>
    <row r="8" spans="1:2">
      <c r="A8" s="2" t="s">
        <v>5</v>
      </c>
      <c r="B8" s="6" t="s">
        <v>6</v>
      </c>
    </row>
    <row r="9" spans="1:2">
      <c r="A9" s="2" t="s">
        <v>7</v>
      </c>
      <c r="B9" s="6" t="s">
        <v>1451</v>
      </c>
    </row>
    <row r="10" spans="1:2" ht="55.2">
      <c r="A10" s="2" t="s">
        <v>8</v>
      </c>
      <c r="B10" s="6" t="s">
        <v>1452</v>
      </c>
    </row>
    <row r="11" spans="1:2">
      <c r="A11" s="2" t="s">
        <v>1070</v>
      </c>
      <c r="B11" s="6" t="s">
        <v>1453</v>
      </c>
    </row>
    <row r="12" spans="1:2">
      <c r="A12" s="2" t="s">
        <v>9</v>
      </c>
      <c r="B12" s="6" t="s">
        <v>1454</v>
      </c>
    </row>
    <row r="13" spans="1:2">
      <c r="A13" s="2" t="s">
        <v>10</v>
      </c>
      <c r="B13" s="6" t="s">
        <v>1455</v>
      </c>
    </row>
    <row r="14" spans="1:2">
      <c r="A14" s="2" t="s">
        <v>11</v>
      </c>
      <c r="B14" s="6" t="s">
        <v>1456</v>
      </c>
    </row>
    <row r="15" spans="1:2">
      <c r="A15" s="5" t="s">
        <v>12</v>
      </c>
      <c r="B15" s="5"/>
    </row>
    <row r="16" spans="1:2">
      <c r="A16" s="2" t="s">
        <v>13</v>
      </c>
      <c r="B16" s="6" t="s">
        <v>1506</v>
      </c>
    </row>
    <row r="17" spans="1:3">
      <c r="A17" s="2" t="s">
        <v>14</v>
      </c>
      <c r="B17" s="6" t="s">
        <v>1507</v>
      </c>
    </row>
    <row r="18" spans="1:3">
      <c r="A18" s="2" t="s">
        <v>15</v>
      </c>
      <c r="B18" s="6" t="s">
        <v>1508</v>
      </c>
    </row>
    <row r="19" spans="1:3">
      <c r="A19" s="2" t="s">
        <v>16</v>
      </c>
      <c r="B19" s="6" t="s">
        <v>1509</v>
      </c>
    </row>
    <row r="20" spans="1:3">
      <c r="A20" s="2" t="s">
        <v>17</v>
      </c>
      <c r="B20" s="6" t="s">
        <v>1507</v>
      </c>
    </row>
    <row r="21" spans="1:3">
      <c r="A21" s="5" t="s">
        <v>19</v>
      </c>
      <c r="B21" s="5"/>
    </row>
    <row r="22" spans="1:3">
      <c r="A22" s="2" t="s">
        <v>20</v>
      </c>
      <c r="B22" s="6">
        <v>44933</v>
      </c>
    </row>
    <row r="23" spans="1:3">
      <c r="A23" s="2" t="s">
        <v>21</v>
      </c>
      <c r="B23" s="414" t="str">
        <f>_xlfn.CONCAT("Conduct ",Planning!B16," appraisal in ",TEXT('Agreement 3'!B27,"mmmm yyyy"))</f>
        <v>Conduct Maturity Level 5 appraisal in April 2023</v>
      </c>
      <c r="C23" t="s">
        <v>1752</v>
      </c>
    </row>
    <row r="24" spans="1:3">
      <c r="A24" s="2" t="s">
        <v>838</v>
      </c>
      <c r="B24" s="6">
        <v>45026</v>
      </c>
    </row>
    <row r="25" spans="1:3">
      <c r="A25" s="2" t="s">
        <v>1773</v>
      </c>
      <c r="B25" s="415">
        <v>2</v>
      </c>
    </row>
    <row r="26" spans="1:3">
      <c r="A26" s="2" t="s">
        <v>1775</v>
      </c>
      <c r="B26" s="415">
        <v>7</v>
      </c>
    </row>
    <row r="27" spans="1:3">
      <c r="A27" s="2" t="s">
        <v>1776</v>
      </c>
      <c r="B27" s="413">
        <f>B25+B24</f>
        <v>45028</v>
      </c>
    </row>
    <row r="28" spans="1:3">
      <c r="A28" s="2" t="s">
        <v>1774</v>
      </c>
      <c r="B28" s="258">
        <f>B24+B26-1</f>
        <v>45032</v>
      </c>
    </row>
    <row r="29" spans="1:3">
      <c r="A29" s="5" t="s">
        <v>22</v>
      </c>
      <c r="B29" s="22"/>
    </row>
    <row r="30" spans="1:3">
      <c r="A30" s="2" t="s">
        <v>4</v>
      </c>
      <c r="B30" s="6" t="s">
        <v>1754</v>
      </c>
    </row>
    <row r="31" spans="1:3">
      <c r="A31" s="2" t="s">
        <v>7</v>
      </c>
      <c r="B31" s="6" t="s">
        <v>1510</v>
      </c>
    </row>
    <row r="32" spans="1:3">
      <c r="A32" s="2" t="s">
        <v>9</v>
      </c>
      <c r="B32" s="6" t="s">
        <v>1457</v>
      </c>
    </row>
    <row r="33" spans="1:5">
      <c r="A33" s="2" t="s">
        <v>10</v>
      </c>
      <c r="B33" s="26" t="s">
        <v>1511</v>
      </c>
    </row>
    <row r="34" spans="1:5">
      <c r="A34" s="5" t="s">
        <v>23</v>
      </c>
      <c r="B34" s="5"/>
    </row>
    <row r="35" spans="1:5">
      <c r="A35" s="2" t="s">
        <v>4</v>
      </c>
      <c r="B35" s="273" t="s">
        <v>1755</v>
      </c>
    </row>
    <row r="36" spans="1:5">
      <c r="A36" s="2" t="s">
        <v>7</v>
      </c>
      <c r="B36" s="6" t="s">
        <v>1747</v>
      </c>
    </row>
    <row r="37" spans="1:5">
      <c r="A37" s="2" t="s">
        <v>5</v>
      </c>
      <c r="B37" s="363" t="str">
        <f>B16</f>
        <v>Software for Mars (Pty) Ltd</v>
      </c>
      <c r="C37" s="11"/>
    </row>
    <row r="38" spans="1:5">
      <c r="A38" s="2" t="s">
        <v>9</v>
      </c>
      <c r="B38" s="274" t="s">
        <v>1458</v>
      </c>
    </row>
    <row r="39" spans="1:5">
      <c r="A39" s="2" t="s">
        <v>10</v>
      </c>
      <c r="B39" s="275" t="s">
        <v>1512</v>
      </c>
    </row>
    <row r="40" spans="1:5">
      <c r="A40" s="5" t="s">
        <v>24</v>
      </c>
      <c r="B40" s="5"/>
    </row>
    <row r="41" spans="1:5">
      <c r="A41" s="2" t="s">
        <v>4</v>
      </c>
      <c r="B41" s="6" t="s">
        <v>1756</v>
      </c>
    </row>
    <row r="42" spans="1:5">
      <c r="A42" s="2" t="s">
        <v>5</v>
      </c>
      <c r="B42" s="6" t="s">
        <v>1293</v>
      </c>
    </row>
    <row r="43" spans="1:5">
      <c r="A43" s="2" t="s">
        <v>7</v>
      </c>
      <c r="B43" s="6" t="s">
        <v>415</v>
      </c>
    </row>
    <row r="44" spans="1:5">
      <c r="A44" s="2" t="s">
        <v>9</v>
      </c>
      <c r="B44" s="258" t="s">
        <v>1459</v>
      </c>
    </row>
    <row r="45" spans="1:5">
      <c r="A45" s="2" t="s">
        <v>10</v>
      </c>
      <c r="B45" s="79" t="s">
        <v>1513</v>
      </c>
    </row>
    <row r="46" spans="1:5">
      <c r="A46" s="7" t="s">
        <v>25</v>
      </c>
      <c r="B46" s="5"/>
    </row>
    <row r="47" spans="1:5">
      <c r="A47" s="2" t="s">
        <v>4</v>
      </c>
      <c r="B47" s="6" t="s">
        <v>1757</v>
      </c>
      <c r="D47" t="s">
        <v>1757</v>
      </c>
      <c r="E47" t="s">
        <v>1758</v>
      </c>
    </row>
    <row r="48" spans="1:5">
      <c r="A48" s="2" t="s">
        <v>5</v>
      </c>
      <c r="B48" s="6" t="s">
        <v>6</v>
      </c>
      <c r="D48" t="s">
        <v>6</v>
      </c>
      <c r="E48" t="s">
        <v>1088</v>
      </c>
    </row>
    <row r="49" spans="1:5">
      <c r="A49" s="2" t="s">
        <v>9</v>
      </c>
      <c r="B49" s="6" t="s">
        <v>1091</v>
      </c>
      <c r="D49" t="s">
        <v>1091</v>
      </c>
      <c r="E49" t="s">
        <v>1089</v>
      </c>
    </row>
    <row r="50" spans="1:5">
      <c r="A50" s="2" t="s">
        <v>10</v>
      </c>
      <c r="B50" s="26" t="s">
        <v>1092</v>
      </c>
      <c r="D50" t="s">
        <v>1092</v>
      </c>
      <c r="E50" t="s">
        <v>1090</v>
      </c>
    </row>
  </sheetData>
  <phoneticPr fontId="53" type="noConversion"/>
  <conditionalFormatting sqref="B1:B1048576">
    <cfRule type="cellIs" dxfId="113" priority="1" operator="equal">
      <formula>"xxx"</formula>
    </cfRule>
  </conditionalFormatting>
  <hyperlinks>
    <hyperlink ref="B33" r:id="rId1" xr:uid="{23051012-7087-4A8E-AF78-9CA1E2169F1A}"/>
    <hyperlink ref="B39" r:id="rId2" xr:uid="{225F4806-6E4C-4247-B2D6-3FCF0741FBF6}"/>
    <hyperlink ref="B45"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opLeftCell="A52" workbookViewId="0">
      <selection activeCell="B60" sqref="B60"/>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726</v>
      </c>
      <c r="B1" s="393"/>
    </row>
    <row r="2" spans="1:23" s="46" customFormat="1" ht="15.6">
      <c r="A2" s="47" t="s">
        <v>688</v>
      </c>
      <c r="B2" s="47"/>
      <c r="C2" s="45"/>
    </row>
    <row r="3" spans="1:23">
      <c r="A3" s="11" t="s">
        <v>683</v>
      </c>
      <c r="B3" s="80" t="str">
        <f>'Agreement 3'!B16</f>
        <v>Software for Mars (Pty) Ltd</v>
      </c>
      <c r="C3" s="11" t="s">
        <v>961</v>
      </c>
    </row>
    <row r="4" spans="1:23">
      <c r="A4" s="11" t="s">
        <v>682</v>
      </c>
      <c r="B4" s="11" t="s">
        <v>1514</v>
      </c>
    </row>
    <row r="6" spans="1:23">
      <c r="A6" s="11" t="s">
        <v>684</v>
      </c>
      <c r="B6" s="81" t="str">
        <f>CONCATENATE(TEXT(B42,"yyyy-mm-dd"),"to",TEXT(B51,"mm-dd")," (A",RIGHT(B16,1),") ","C",'Agreement 3'!B5, " ",Planning!B4)</f>
        <v>2023-04-10to04-16 (A5) C53517 SoftMARS</v>
      </c>
      <c r="C6" s="11" t="s">
        <v>962</v>
      </c>
    </row>
    <row r="7" spans="1:23">
      <c r="A7" s="11" t="s">
        <v>685</v>
      </c>
      <c r="B7" s="11" t="str">
        <f>CONCATENATE(TEXT(B42,"yyyy-mm-dd"),"to",TEXT(B51,"mm-dd")," (A",RIGHT(B16,1),") ","C",'Agreement 3'!B5, " ",Planning!B4)</f>
        <v>2023-04-10to04-16 (A5) C53517 SoftMARS</v>
      </c>
    </row>
    <row r="9" spans="1:23">
      <c r="A9" s="11" t="s">
        <v>429</v>
      </c>
      <c r="B9" s="13" t="s">
        <v>515</v>
      </c>
      <c r="C9" s="11" t="s">
        <v>381</v>
      </c>
    </row>
    <row r="10" spans="1:23">
      <c r="B10" s="13"/>
    </row>
    <row r="12" spans="1:23" s="46" customFormat="1" ht="15.6">
      <c r="A12" s="47" t="s">
        <v>1736</v>
      </c>
      <c r="B12" s="47"/>
      <c r="C12" s="45"/>
    </row>
    <row r="13" spans="1:23" s="46" customFormat="1" ht="15.6">
      <c r="A13" s="403" t="s">
        <v>1721</v>
      </c>
      <c r="B13" s="45"/>
      <c r="C13" s="45"/>
    </row>
    <row r="14" spans="1:23">
      <c r="A14" s="11" t="s">
        <v>1721</v>
      </c>
      <c r="B14" s="13" t="s">
        <v>401</v>
      </c>
      <c r="C14" s="16"/>
      <c r="D14" s="16"/>
      <c r="E14" s="16"/>
      <c r="F14" s="16"/>
      <c r="G14" s="16"/>
      <c r="H14" s="16"/>
      <c r="I14" s="16"/>
      <c r="J14" s="16"/>
      <c r="K14" s="16"/>
      <c r="L14" s="16"/>
      <c r="M14" s="16"/>
      <c r="N14" s="16"/>
      <c r="O14" s="16"/>
      <c r="P14" s="16"/>
      <c r="Q14" s="16"/>
      <c r="R14" s="16"/>
      <c r="S14" s="16"/>
      <c r="T14" s="16"/>
      <c r="U14" s="16"/>
      <c r="V14" s="16"/>
      <c r="W14" s="16"/>
    </row>
    <row r="15" spans="1:23">
      <c r="A15" s="11" t="s">
        <v>1245</v>
      </c>
      <c r="B15" s="13" t="s">
        <v>1062</v>
      </c>
      <c r="C15" s="16"/>
      <c r="D15" s="16"/>
      <c r="E15" s="16"/>
      <c r="F15" s="16"/>
      <c r="G15" s="16"/>
      <c r="H15" s="16"/>
      <c r="I15" s="16"/>
      <c r="J15" s="16"/>
      <c r="K15" s="16"/>
      <c r="L15" s="16"/>
      <c r="M15" s="16"/>
      <c r="N15" s="16"/>
      <c r="O15" s="16"/>
      <c r="P15" s="16"/>
      <c r="Q15" s="16"/>
      <c r="R15" s="16"/>
      <c r="S15" s="16"/>
      <c r="T15" s="16"/>
      <c r="U15" s="16"/>
      <c r="V15" s="16"/>
      <c r="W15" s="16"/>
    </row>
    <row r="16" spans="1:23">
      <c r="A16" s="11" t="s">
        <v>1407</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824</v>
      </c>
      <c r="C18" s="16"/>
      <c r="D18" s="16"/>
      <c r="E18" s="16"/>
      <c r="F18" s="16"/>
      <c r="G18" s="16"/>
      <c r="H18" s="16"/>
      <c r="I18" s="16"/>
      <c r="J18" s="16"/>
      <c r="K18" s="16"/>
      <c r="L18" s="16"/>
      <c r="M18" s="16"/>
      <c r="N18" s="16"/>
      <c r="O18" s="16"/>
      <c r="P18" s="16"/>
      <c r="Q18" s="16"/>
      <c r="R18" s="16"/>
      <c r="S18" s="16"/>
      <c r="T18" s="16"/>
      <c r="U18" s="16"/>
      <c r="V18" s="16"/>
      <c r="W18" s="16"/>
    </row>
    <row r="19" spans="1:23">
      <c r="A19" s="11" t="s">
        <v>1725</v>
      </c>
      <c r="B19" s="255" t="s">
        <v>403</v>
      </c>
      <c r="C19" s="16"/>
      <c r="D19" s="16"/>
      <c r="E19" s="16"/>
      <c r="F19" s="16"/>
      <c r="G19" s="16"/>
      <c r="H19" s="16"/>
      <c r="I19" s="16"/>
      <c r="J19" s="16"/>
      <c r="K19" s="16"/>
      <c r="L19" s="16"/>
      <c r="M19" s="16"/>
      <c r="N19" s="16"/>
      <c r="O19" s="16"/>
      <c r="P19" s="16"/>
      <c r="Q19" s="16"/>
      <c r="R19" s="16"/>
      <c r="S19" s="16"/>
      <c r="T19" s="16"/>
      <c r="U19" s="16"/>
      <c r="V19" s="16"/>
      <c r="W19" s="16"/>
    </row>
    <row r="20" spans="1:23">
      <c r="A20" s="11" t="s">
        <v>1726</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1727</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1728</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1729</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1730</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404</v>
      </c>
      <c r="B26" s="13" t="s">
        <v>406</v>
      </c>
      <c r="C26" s="11" t="s">
        <v>381</v>
      </c>
    </row>
    <row r="27" spans="1:23" ht="43.2">
      <c r="A27" s="11" t="s">
        <v>410</v>
      </c>
      <c r="B27" s="11" t="s">
        <v>693</v>
      </c>
    </row>
    <row r="29" spans="1:23">
      <c r="A29" s="11" t="s">
        <v>812</v>
      </c>
      <c r="B29" s="81" t="str">
        <f>CONCATENATE("D",'Agreement 3'!B2, " (A",RIGHT(B16,1),") ",B4," - ",'Agreement 3'!B18," (Q",ROUNDUP(MONTH('Agreement 3'!B28)/3,0),") ",YEAR('Agreement 3'!B28))</f>
        <v>D124 (A5) SoftMARS - Base Alpha City (Q2) 2023</v>
      </c>
      <c r="C29" s="11" t="s">
        <v>961</v>
      </c>
    </row>
    <row r="30" spans="1:23">
      <c r="A30" s="11" t="s">
        <v>811</v>
      </c>
      <c r="B30" s="11" t="str">
        <f>CONCATENATE("D",'Agreement 3'!B2, " (A",RIGHT(B16,1),") ",B4," - ",'Agreement 3'!B18," (Q",ROUNDUP(MONTH('Agreement 3'!B28)/3,0),") ",YEAR('Agreement 3'!B28))</f>
        <v>D124 (A5) SoftMARS - Base Alpha City (Q2) 2023</v>
      </c>
    </row>
    <row r="31" spans="1:23">
      <c r="A31" s="11" t="s">
        <v>729</v>
      </c>
      <c r="B31" s="82">
        <f>'Agreement 3'!B5</f>
        <v>53517</v>
      </c>
      <c r="C31" s="11" t="s">
        <v>961</v>
      </c>
    </row>
    <row r="33" spans="1:3" s="46" customFormat="1" ht="15.6">
      <c r="A33" s="47" t="s">
        <v>921</v>
      </c>
      <c r="B33" s="47"/>
      <c r="C33" s="45"/>
    </row>
    <row r="34" spans="1:3" s="46" customFormat="1" ht="15.6">
      <c r="A34" s="46" t="s">
        <v>836</v>
      </c>
      <c r="B34" s="46" t="s">
        <v>1294</v>
      </c>
      <c r="C34" s="45"/>
    </row>
    <row r="35" spans="1:3" s="46" customFormat="1" ht="15.6">
      <c r="A35" s="46" t="s">
        <v>923</v>
      </c>
      <c r="B35" s="121">
        <f>B51-35</f>
        <v>44997</v>
      </c>
      <c r="C35" s="45"/>
    </row>
    <row r="36" spans="1:3" s="46" customFormat="1" ht="15.6" hidden="1">
      <c r="A36" s="46" t="s">
        <v>965</v>
      </c>
      <c r="B36" s="121">
        <f>B35</f>
        <v>44997</v>
      </c>
      <c r="C36" s="45" t="s">
        <v>962</v>
      </c>
    </row>
    <row r="37" spans="1:3" s="46" customFormat="1" ht="15.6">
      <c r="B37" s="84"/>
      <c r="C37" s="45"/>
    </row>
    <row r="38" spans="1:3" s="46" customFormat="1" ht="15.6">
      <c r="A38" s="46" t="s">
        <v>924</v>
      </c>
      <c r="B38" s="121">
        <f>B51-17</f>
        <v>45015</v>
      </c>
      <c r="C38" s="45"/>
    </row>
    <row r="39" spans="1:3" s="46" customFormat="1" ht="15.6" hidden="1">
      <c r="A39" s="46" t="s">
        <v>966</v>
      </c>
      <c r="B39" s="121">
        <f>B38</f>
        <v>45015</v>
      </c>
      <c r="C39" s="45" t="s">
        <v>962</v>
      </c>
    </row>
    <row r="40" spans="1:3" s="46" customFormat="1" ht="15.6">
      <c r="B40" s="84"/>
      <c r="C40" s="45"/>
    </row>
    <row r="41" spans="1:3" s="46" customFormat="1" ht="15.6">
      <c r="A41" s="46" t="s">
        <v>837</v>
      </c>
      <c r="B41" s="84">
        <f>B42-2</f>
        <v>45024</v>
      </c>
      <c r="C41" s="45"/>
    </row>
    <row r="42" spans="1:3" s="46" customFormat="1" ht="15.6">
      <c r="A42" s="46" t="s">
        <v>838</v>
      </c>
      <c r="B42" s="121">
        <f>'Agreement 3'!B24</f>
        <v>45026</v>
      </c>
      <c r="C42" s="46" t="s">
        <v>962</v>
      </c>
    </row>
    <row r="43" spans="1:3" s="46" customFormat="1" ht="15.6">
      <c r="A43" s="46" t="s">
        <v>839</v>
      </c>
      <c r="B43" s="46">
        <v>0</v>
      </c>
      <c r="C43" s="45"/>
    </row>
    <row r="44" spans="1:3" s="46" customFormat="1" ht="15.6">
      <c r="A44" s="46" t="s">
        <v>970</v>
      </c>
      <c r="B44" s="46">
        <v>2</v>
      </c>
      <c r="C44" s="45" t="s">
        <v>945</v>
      </c>
    </row>
    <row r="45" spans="1:3" s="46" customFormat="1" ht="15.6">
      <c r="A45" s="46" t="s">
        <v>840</v>
      </c>
      <c r="B45" s="83">
        <f>'Agreement 3'!B27</f>
        <v>45028</v>
      </c>
      <c r="C45" s="107"/>
    </row>
    <row r="46" spans="1:3" s="46" customFormat="1" ht="15.6">
      <c r="A46" s="46" t="s">
        <v>1084</v>
      </c>
      <c r="B46" s="46">
        <v>0</v>
      </c>
      <c r="C46" s="107"/>
    </row>
    <row r="47" spans="1:3" s="46" customFormat="1" ht="15.6">
      <c r="A47" s="46" t="s">
        <v>720</v>
      </c>
      <c r="B47" s="83">
        <f>B48-B46</f>
        <v>45032</v>
      </c>
      <c r="C47" s="107" t="s">
        <v>962</v>
      </c>
    </row>
    <row r="48" spans="1:3" s="46" customFormat="1" ht="15.6">
      <c r="A48" s="46" t="s">
        <v>841</v>
      </c>
      <c r="B48" s="83">
        <f>'Agreement 3'!B28</f>
        <v>45032</v>
      </c>
      <c r="C48" s="45" t="s">
        <v>961</v>
      </c>
    </row>
    <row r="49" spans="1:5" ht="15.6">
      <c r="A49" s="46" t="s">
        <v>397</v>
      </c>
      <c r="B49" s="35">
        <f>B48-B42+1-B43</f>
        <v>7</v>
      </c>
      <c r="C49" s="11" t="s">
        <v>962</v>
      </c>
    </row>
    <row r="50" spans="1:5" ht="15.6">
      <c r="A50" s="11" t="s">
        <v>1086</v>
      </c>
      <c r="B50" s="46">
        <v>0</v>
      </c>
    </row>
    <row r="51" spans="1:5">
      <c r="A51" s="11" t="s">
        <v>1085</v>
      </c>
      <c r="B51" s="204">
        <f>B50+B47</f>
        <v>45032</v>
      </c>
      <c r="C51" s="11" t="s">
        <v>962</v>
      </c>
    </row>
    <row r="52" spans="1:5" ht="15.6">
      <c r="A52" s="11" t="s">
        <v>1295</v>
      </c>
      <c r="B52" s="46">
        <v>21</v>
      </c>
    </row>
    <row r="53" spans="1:5">
      <c r="A53" s="11" t="s">
        <v>1087</v>
      </c>
      <c r="B53" s="204">
        <f>B51+B52-1</f>
        <v>45052</v>
      </c>
      <c r="C53" s="11" t="s">
        <v>962</v>
      </c>
    </row>
    <row r="55" spans="1:5" s="46" customFormat="1" ht="31.2">
      <c r="A55" s="47" t="s">
        <v>925</v>
      </c>
      <c r="B55" s="47"/>
      <c r="C55" s="45"/>
    </row>
    <row r="56" spans="1:5" s="46" customFormat="1" ht="15.6">
      <c r="A56" s="46" t="s">
        <v>926</v>
      </c>
      <c r="B56" s="51" t="str">
        <f>'Agreement 3'!B23</f>
        <v>Conduct Maturity Level 5 appraisal in April 2023</v>
      </c>
      <c r="C56" s="45" t="s">
        <v>961</v>
      </c>
    </row>
    <row r="57" spans="1:5" s="46" customFormat="1" ht="43.2">
      <c r="A57" s="46" t="s">
        <v>818</v>
      </c>
      <c r="B57" s="81" t="str">
        <f>B59</f>
        <v>[BO-1] Improve production efficiency to improve productivity 
[BO-2] Improve delivery capacity
[BO-3] Reduce Code Acceptance Defects</v>
      </c>
      <c r="C57" s="45" t="s">
        <v>962</v>
      </c>
    </row>
    <row r="58" spans="1:5" s="16" customFormat="1">
      <c r="A58" s="16" t="s">
        <v>584</v>
      </c>
      <c r="B58" s="16" t="s">
        <v>1173</v>
      </c>
      <c r="C58" s="16" t="s">
        <v>846</v>
      </c>
      <c r="D58" s="16" t="s">
        <v>1038</v>
      </c>
    </row>
    <row r="59" spans="1:5" s="16" customFormat="1" ht="43.2">
      <c r="A59" s="16" t="s">
        <v>585</v>
      </c>
      <c r="B59" s="11" t="s">
        <v>1296</v>
      </c>
      <c r="C59" s="16" t="s">
        <v>846</v>
      </c>
      <c r="D59" s="16" t="s">
        <v>1038</v>
      </c>
    </row>
    <row r="60" spans="1:5" s="46" customFormat="1" ht="59.7" customHeight="1">
      <c r="A60" s="46" t="s">
        <v>1035</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abSelected="1" topLeftCell="A15" zoomScale="85" zoomScaleNormal="85" workbookViewId="0">
      <selection activeCell="B21" sqref="B21"/>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976</v>
      </c>
      <c r="B1" s="44"/>
      <c r="C1" s="45" t="s">
        <v>814</v>
      </c>
    </row>
    <row r="2" spans="1:3">
      <c r="A2" s="47" t="s">
        <v>386</v>
      </c>
      <c r="B2" s="47"/>
    </row>
    <row r="3" spans="1:3">
      <c r="A3" s="46" t="s">
        <v>815</v>
      </c>
      <c r="B3" s="51" t="str">
        <f>'Agreement 3'!B16</f>
        <v>Software for Mars (Pty) Ltd</v>
      </c>
      <c r="C3" s="45" t="s">
        <v>961</v>
      </c>
    </row>
    <row r="4" spans="1:3">
      <c r="A4" s="46" t="s">
        <v>14</v>
      </c>
      <c r="B4" s="51" t="str">
        <f>IF('Agreement 3'!B17&lt;&gt;"",'Agreement 3'!B17,"")</f>
        <v>Mars</v>
      </c>
      <c r="C4" s="45" t="s">
        <v>961</v>
      </c>
    </row>
    <row r="5" spans="1:3" s="11" customFormat="1" ht="14.4">
      <c r="A5" s="11" t="s">
        <v>28</v>
      </c>
      <c r="B5" s="11" t="s">
        <v>1516</v>
      </c>
    </row>
    <row r="6" spans="1:3" s="11" customFormat="1" ht="14.4">
      <c r="A6" s="11" t="s">
        <v>29</v>
      </c>
      <c r="B6" s="11" t="s">
        <v>1515</v>
      </c>
    </row>
    <row r="7" spans="1:3" s="11" customFormat="1">
      <c r="A7" s="11" t="s">
        <v>30</v>
      </c>
      <c r="B7" s="51" t="str">
        <f>'Agreement 3'!B18</f>
        <v>Base Alpha City</v>
      </c>
      <c r="C7" s="11" t="s">
        <v>961</v>
      </c>
    </row>
    <row r="8" spans="1:3" s="11" customFormat="1">
      <c r="A8" s="11" t="s">
        <v>31</v>
      </c>
      <c r="B8" s="51" t="str">
        <f>'Agreement 3'!B19</f>
        <v>Tharsis</v>
      </c>
      <c r="C8" s="11" t="s">
        <v>961</v>
      </c>
    </row>
    <row r="9" spans="1:3" s="11" customFormat="1" ht="14.4">
      <c r="A9" s="11" t="s">
        <v>32</v>
      </c>
      <c r="B9" s="11" t="s">
        <v>1520</v>
      </c>
    </row>
    <row r="10" spans="1:3" s="11" customFormat="1" ht="14.4">
      <c r="A10" s="11" t="s">
        <v>17</v>
      </c>
      <c r="B10" s="13" t="s">
        <v>18</v>
      </c>
      <c r="C10" s="11" t="s">
        <v>381</v>
      </c>
    </row>
    <row r="11" spans="1:3" ht="31.2">
      <c r="A11" s="46" t="s">
        <v>816</v>
      </c>
      <c r="B11" s="78" t="str">
        <f>_xlfn.CONCAT(B5,", ",B6,", ",B7,", ",B8,", ",B9,", ",B10)</f>
        <v>Room 1, Dome 1, No. 1 First Street, Base Alpha City, Tharsis, Planet04, China</v>
      </c>
      <c r="C11" s="45" t="s">
        <v>962</v>
      </c>
    </row>
    <row r="12" spans="1:3">
      <c r="A12" s="46" t="s">
        <v>817</v>
      </c>
      <c r="B12" s="259" t="s">
        <v>1517</v>
      </c>
    </row>
    <row r="13" spans="1:3" ht="46.8">
      <c r="A13" s="46" t="s">
        <v>818</v>
      </c>
      <c r="B13" s="51" t="str">
        <f>_xlfn.CONCAT(Planning!B59)</f>
        <v>[BO-1] Improve production efficiency to improve productivity 
[BO-2] Improve delivery capacity
[BO-3] Reduce Code Acceptance Defects</v>
      </c>
      <c r="C13" s="45" t="s">
        <v>922</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922</v>
      </c>
    </row>
    <row r="15" spans="1:3" ht="68.099999999999994" customHeight="1">
      <c r="A15" s="46" t="s">
        <v>946</v>
      </c>
      <c r="B15" s="352"/>
    </row>
    <row r="17" spans="1:3">
      <c r="A17" s="47" t="s">
        <v>819</v>
      </c>
      <c r="B17" s="47"/>
    </row>
    <row r="18" spans="1:3">
      <c r="A18" s="46" t="s">
        <v>820</v>
      </c>
      <c r="B18" s="11" t="s">
        <v>1297</v>
      </c>
    </row>
    <row r="19" spans="1:3">
      <c r="A19" s="46" t="s">
        <v>821</v>
      </c>
      <c r="B19" s="11"/>
    </row>
    <row r="20" spans="1:3">
      <c r="A20" s="46" t="s">
        <v>822</v>
      </c>
      <c r="B20" s="11" t="s">
        <v>1460</v>
      </c>
    </row>
    <row r="21" spans="1:3" ht="86.4">
      <c r="A21" s="46" t="s">
        <v>823</v>
      </c>
      <c r="B21" s="255" t="s">
        <v>1519</v>
      </c>
    </row>
    <row r="22" spans="1:3" ht="31.2">
      <c r="A22" s="46" t="s">
        <v>824</v>
      </c>
      <c r="B22" s="50" t="s">
        <v>344</v>
      </c>
      <c r="C22" s="45" t="s">
        <v>381</v>
      </c>
    </row>
    <row r="23" spans="1:3">
      <c r="A23" s="46" t="s">
        <v>825</v>
      </c>
      <c r="B23" s="401" t="s">
        <v>1658</v>
      </c>
    </row>
    <row r="24" spans="1:3" ht="46.8">
      <c r="A24" s="46" t="s">
        <v>937</v>
      </c>
      <c r="B24" s="276" t="s">
        <v>1437</v>
      </c>
      <c r="C24" s="45" t="s">
        <v>962</v>
      </c>
    </row>
    <row r="25" spans="1:3" s="11" customFormat="1" ht="14.4">
      <c r="A25" s="11" t="s">
        <v>28</v>
      </c>
      <c r="B25" s="11" t="str">
        <f t="shared" ref="B25:B30" si="0">B5</f>
        <v>Room 1, Dome 1</v>
      </c>
    </row>
    <row r="26" spans="1:3" s="11" customFormat="1" ht="14.4">
      <c r="A26" s="11" t="s">
        <v>29</v>
      </c>
      <c r="B26" s="11" t="str">
        <f t="shared" si="0"/>
        <v>No. 1 First Street</v>
      </c>
    </row>
    <row r="27" spans="1:3" s="11" customFormat="1">
      <c r="A27" s="11" t="s">
        <v>30</v>
      </c>
      <c r="B27" s="51" t="str">
        <f t="shared" si="0"/>
        <v>Base Alpha City</v>
      </c>
      <c r="C27" s="11" t="s">
        <v>961</v>
      </c>
    </row>
    <row r="28" spans="1:3" s="11" customFormat="1">
      <c r="A28" s="11" t="s">
        <v>31</v>
      </c>
      <c r="B28" s="51" t="str">
        <f t="shared" si="0"/>
        <v>Tharsis</v>
      </c>
      <c r="C28" s="11" t="s">
        <v>961</v>
      </c>
    </row>
    <row r="29" spans="1:3" s="11" customFormat="1" ht="14.4">
      <c r="A29" s="11" t="s">
        <v>32</v>
      </c>
      <c r="B29" s="11" t="str">
        <f t="shared" si="0"/>
        <v>Planet04</v>
      </c>
    </row>
    <row r="30" spans="1:3" s="11" customFormat="1" ht="14.4">
      <c r="A30" s="11" t="s">
        <v>17</v>
      </c>
      <c r="B30" s="13" t="str">
        <f t="shared" si="0"/>
        <v>China</v>
      </c>
      <c r="C30" s="11" t="s">
        <v>381</v>
      </c>
    </row>
    <row r="31" spans="1:3" ht="31.2">
      <c r="A31" s="46" t="s">
        <v>816</v>
      </c>
      <c r="B31" s="89" t="str">
        <f>_xlfn.CONCAT(B25,", ",B26,", ",B27,", ",B28,", ",B29,", ",B30)</f>
        <v>Room 1, Dome 1, No. 1 First Street, Base Alpha City, Tharsis, Planet04, China</v>
      </c>
      <c r="C31" s="45" t="s">
        <v>962</v>
      </c>
    </row>
    <row r="33" spans="1:3">
      <c r="A33" s="47" t="s">
        <v>826</v>
      </c>
      <c r="B33" s="47"/>
    </row>
    <row r="34" spans="1:3">
      <c r="A34" s="46" t="s">
        <v>827</v>
      </c>
      <c r="B34" s="51" t="str">
        <f>'Agreement 3'!B31</f>
        <v>The Boss</v>
      </c>
      <c r="C34" s="45" t="s">
        <v>961</v>
      </c>
    </row>
    <row r="35" spans="1:3">
      <c r="A35" s="46" t="s">
        <v>828</v>
      </c>
      <c r="B35" s="51" t="str">
        <f>'Agreement 3'!B30</f>
        <v>Prof Donald Kessler</v>
      </c>
      <c r="C35" s="45" t="s">
        <v>961</v>
      </c>
    </row>
    <row r="36" spans="1:3">
      <c r="A36" s="46" t="s">
        <v>829</v>
      </c>
      <c r="B36" s="51" t="str">
        <f>'Agreement 3'!B16</f>
        <v>Software for Mars (Pty) Ltd</v>
      </c>
      <c r="C36" s="45" t="s">
        <v>961</v>
      </c>
    </row>
    <row r="37" spans="1:3" ht="31.2">
      <c r="A37" s="46" t="s">
        <v>1039</v>
      </c>
      <c r="B37" s="50" t="s">
        <v>702</v>
      </c>
      <c r="C37" s="45" t="s">
        <v>381</v>
      </c>
    </row>
    <row r="38" spans="1:3" ht="31.2">
      <c r="A38" s="46" t="s">
        <v>830</v>
      </c>
      <c r="B38" s="48" t="str">
        <f>B11</f>
        <v>Room 1, Dome 1, No. 1 First Street, Base Alpha City, Tharsis, Planet04, China</v>
      </c>
      <c r="C38" s="45" t="s">
        <v>962</v>
      </c>
    </row>
    <row r="39" spans="1:3">
      <c r="A39" s="46" t="s">
        <v>831</v>
      </c>
      <c r="B39" s="74" t="str">
        <f>'Agreement 3'!B33</f>
        <v>donald.kessler@email.com</v>
      </c>
      <c r="C39" s="45" t="s">
        <v>961</v>
      </c>
    </row>
    <row r="40" spans="1:3">
      <c r="A40" s="46" t="s">
        <v>832</v>
      </c>
      <c r="B40" s="75" t="str">
        <f>'Agreement 3'!B32</f>
        <v>+000 1111 2222</v>
      </c>
      <c r="C40" s="45" t="s">
        <v>961</v>
      </c>
    </row>
    <row r="42" spans="1:3">
      <c r="A42" s="47" t="s">
        <v>416</v>
      </c>
      <c r="B42" s="47"/>
    </row>
    <row r="43" spans="1:3">
      <c r="A43" s="46" t="s">
        <v>977</v>
      </c>
      <c r="B43" s="51" t="str">
        <f>'Agreement 3'!B35</f>
        <v>Miss Nathalie Lake</v>
      </c>
      <c r="C43" s="45" t="s">
        <v>961</v>
      </c>
    </row>
    <row r="44" spans="1:3" ht="31.2">
      <c r="A44" s="46" t="s">
        <v>833</v>
      </c>
      <c r="B44" s="50" t="s">
        <v>702</v>
      </c>
      <c r="C44" s="45" t="s">
        <v>381</v>
      </c>
    </row>
    <row r="45" spans="1:3">
      <c r="A45" s="46" t="s">
        <v>834</v>
      </c>
      <c r="B45" s="75" t="str">
        <f>'Agreement 3'!B38</f>
        <v>+0000 1111 3333</v>
      </c>
      <c r="C45" s="45" t="s">
        <v>961</v>
      </c>
    </row>
    <row r="46" spans="1:3">
      <c r="A46" s="46" t="s">
        <v>835</v>
      </c>
      <c r="B46" s="74" t="str">
        <f>'Agreement 3'!B39</f>
        <v>nathalie.lake@email.com</v>
      </c>
      <c r="C46" s="45" t="s">
        <v>961</v>
      </c>
    </row>
    <row r="48" spans="1:3">
      <c r="A48" s="47" t="s">
        <v>24</v>
      </c>
      <c r="B48" s="47"/>
    </row>
    <row r="49" spans="1:3">
      <c r="A49" s="46" t="s">
        <v>13</v>
      </c>
      <c r="B49" s="51" t="str">
        <f>'Agreement 3'!B41</f>
        <v>Miss Barbara Land</v>
      </c>
      <c r="C49" s="45" t="s">
        <v>961</v>
      </c>
    </row>
    <row r="50" spans="1:3">
      <c r="A50" s="46" t="s">
        <v>972</v>
      </c>
      <c r="B50" s="51" t="str">
        <f>'Agreement 3'!B42</f>
        <v>Freelance</v>
      </c>
      <c r="C50" s="45" t="s">
        <v>961</v>
      </c>
    </row>
    <row r="51" spans="1:3">
      <c r="A51" s="46" t="s">
        <v>973</v>
      </c>
      <c r="B51" s="50" t="s">
        <v>971</v>
      </c>
      <c r="C51" s="45" t="s">
        <v>381</v>
      </c>
    </row>
    <row r="52" spans="1:3">
      <c r="A52" s="46" t="s">
        <v>695</v>
      </c>
      <c r="B52" s="50" t="s">
        <v>425</v>
      </c>
      <c r="C52" s="45" t="s">
        <v>381</v>
      </c>
    </row>
    <row r="53" spans="1:3">
      <c r="A53" s="46" t="s">
        <v>974</v>
      </c>
      <c r="B53" s="46" t="s">
        <v>975</v>
      </c>
    </row>
    <row r="54" spans="1:3">
      <c r="A54" s="46" t="s">
        <v>834</v>
      </c>
      <c r="B54" s="75" t="str">
        <f>'Agreement 3'!B44</f>
        <v>+000 1111 44444</v>
      </c>
      <c r="C54" s="45" t="s">
        <v>961</v>
      </c>
    </row>
    <row r="55" spans="1:3">
      <c r="A55" s="46" t="s">
        <v>835</v>
      </c>
      <c r="B55" s="74" t="str">
        <f>'Agreement 3'!B45</f>
        <v>barbara.land@email.com</v>
      </c>
      <c r="C55" s="45" t="s">
        <v>961</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1435</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1127</v>
      </c>
      <c r="AC1" s="419" t="s">
        <v>1128</v>
      </c>
      <c r="AD1" s="419"/>
      <c r="AE1" s="419"/>
      <c r="AF1" s="419"/>
      <c r="AG1" s="419"/>
      <c r="AH1" s="419"/>
      <c r="AI1" s="419"/>
      <c r="AJ1" s="419"/>
    </row>
    <row r="2" spans="1:36" s="341" customFormat="1" ht="70.2">
      <c r="A2" s="339" t="s">
        <v>842</v>
      </c>
      <c r="B2" s="339" t="s">
        <v>13</v>
      </c>
      <c r="C2" s="339" t="s">
        <v>379</v>
      </c>
      <c r="D2" s="339" t="s">
        <v>843</v>
      </c>
      <c r="E2" s="339" t="s">
        <v>1099</v>
      </c>
      <c r="F2" s="340" t="s">
        <v>1100</v>
      </c>
      <c r="G2" s="340" t="s">
        <v>1101</v>
      </c>
      <c r="H2" s="339" t="s">
        <v>1433</v>
      </c>
      <c r="I2" s="224" t="s">
        <v>1436</v>
      </c>
      <c r="J2" s="225" t="s">
        <v>844</v>
      </c>
      <c r="K2" s="225" t="s">
        <v>845</v>
      </c>
      <c r="L2" s="225" t="s">
        <v>798</v>
      </c>
      <c r="M2" s="225" t="s">
        <v>846</v>
      </c>
      <c r="N2" s="225" t="s">
        <v>847</v>
      </c>
      <c r="O2" s="225" t="s">
        <v>848</v>
      </c>
      <c r="P2" s="225" t="s">
        <v>849</v>
      </c>
      <c r="Q2" s="225" t="s">
        <v>850</v>
      </c>
      <c r="R2" s="225" t="s">
        <v>851</v>
      </c>
      <c r="S2" s="225" t="s">
        <v>852</v>
      </c>
      <c r="T2" s="225" t="s">
        <v>718</v>
      </c>
      <c r="U2" s="225" t="s">
        <v>853</v>
      </c>
      <c r="V2" s="225" t="s">
        <v>854</v>
      </c>
      <c r="W2" s="225" t="s">
        <v>855</v>
      </c>
      <c r="X2" s="225" t="s">
        <v>856</v>
      </c>
      <c r="Y2" s="225" t="s">
        <v>716</v>
      </c>
      <c r="Z2" s="225" t="s">
        <v>857</v>
      </c>
      <c r="AA2" s="225" t="s">
        <v>858</v>
      </c>
      <c r="AB2" s="224"/>
      <c r="AC2" s="226" t="s">
        <v>1129</v>
      </c>
      <c r="AD2" s="226" t="s">
        <v>1130</v>
      </c>
      <c r="AE2" s="226" t="s">
        <v>1549</v>
      </c>
      <c r="AF2" s="226" t="s">
        <v>1131</v>
      </c>
      <c r="AG2" s="226" t="s">
        <v>1550</v>
      </c>
      <c r="AH2" s="226" t="s">
        <v>1551</v>
      </c>
      <c r="AI2" s="226" t="s">
        <v>1108</v>
      </c>
      <c r="AJ2" s="227" t="s">
        <v>1132</v>
      </c>
    </row>
    <row r="3" spans="1:36" s="228" customFormat="1" ht="13.8">
      <c r="A3" s="229" t="s">
        <v>859</v>
      </c>
      <c r="B3" s="228" t="s">
        <v>1711</v>
      </c>
      <c r="C3" s="229" t="s">
        <v>1714</v>
      </c>
      <c r="D3" s="229" t="s">
        <v>1102</v>
      </c>
      <c r="E3" s="229" t="s">
        <v>1303</v>
      </c>
      <c r="F3" s="230">
        <v>44021</v>
      </c>
      <c r="G3" s="230">
        <v>44260</v>
      </c>
      <c r="H3" s="229" t="s">
        <v>1305</v>
      </c>
      <c r="I3" s="231" t="s">
        <v>1434</v>
      </c>
      <c r="J3" s="232" t="s">
        <v>1056</v>
      </c>
      <c r="K3" s="232" t="s">
        <v>1056</v>
      </c>
      <c r="L3" s="232"/>
      <c r="M3" s="232"/>
      <c r="N3" s="232"/>
      <c r="O3" s="232"/>
      <c r="P3" s="232"/>
      <c r="Q3" s="232"/>
      <c r="R3" s="232"/>
      <c r="S3" s="232"/>
      <c r="T3" s="232"/>
      <c r="U3" s="232"/>
      <c r="V3" s="232"/>
      <c r="W3" s="232"/>
      <c r="X3" s="232"/>
      <c r="Y3" s="232"/>
      <c r="Z3" s="232"/>
      <c r="AA3" s="232"/>
      <c r="AB3" s="231" t="s">
        <v>1617</v>
      </c>
      <c r="AC3" s="233" t="s">
        <v>403</v>
      </c>
      <c r="AD3" s="233"/>
      <c r="AE3" s="233"/>
      <c r="AF3" s="233"/>
      <c r="AG3" s="233"/>
      <c r="AH3" s="233"/>
      <c r="AI3" s="233"/>
      <c r="AJ3" s="234"/>
    </row>
    <row r="4" spans="1:36" s="228" customFormat="1" ht="13.8">
      <c r="A4" s="229" t="s">
        <v>860</v>
      </c>
      <c r="B4" s="228" t="s">
        <v>1710</v>
      </c>
      <c r="C4" s="229" t="s">
        <v>1715</v>
      </c>
      <c r="D4" s="229" t="s">
        <v>1102</v>
      </c>
      <c r="E4" s="229" t="s">
        <v>1303</v>
      </c>
      <c r="F4" s="235">
        <v>44086</v>
      </c>
      <c r="G4" s="235">
        <v>44258</v>
      </c>
      <c r="H4" s="229" t="s">
        <v>1305</v>
      </c>
      <c r="I4" s="231" t="s">
        <v>1434</v>
      </c>
      <c r="J4" s="232"/>
      <c r="K4" s="232"/>
      <c r="L4" s="232"/>
      <c r="M4" s="232" t="s">
        <v>1056</v>
      </c>
      <c r="N4" s="232" t="s">
        <v>1056</v>
      </c>
      <c r="O4" s="232" t="s">
        <v>1056</v>
      </c>
      <c r="P4" s="232"/>
      <c r="Q4" s="232"/>
      <c r="R4" s="232"/>
      <c r="S4" s="232"/>
      <c r="T4" s="232"/>
      <c r="U4" s="232"/>
      <c r="V4" s="232"/>
      <c r="W4" s="232"/>
      <c r="X4" s="232"/>
      <c r="Y4" s="232"/>
      <c r="Z4" s="232"/>
      <c r="AA4" s="232"/>
      <c r="AB4" s="231" t="s">
        <v>1617</v>
      </c>
      <c r="AC4" s="233" t="s">
        <v>403</v>
      </c>
      <c r="AD4" s="233"/>
      <c r="AE4" s="233"/>
      <c r="AF4" s="233"/>
      <c r="AG4" s="233"/>
      <c r="AH4" s="233"/>
      <c r="AI4" s="233"/>
      <c r="AJ4" s="234"/>
    </row>
    <row r="5" spans="1:36" s="228" customFormat="1" ht="13.8">
      <c r="A5" s="229" t="s">
        <v>861</v>
      </c>
      <c r="B5" s="228" t="s">
        <v>1709</v>
      </c>
      <c r="C5" s="229" t="s">
        <v>1716</v>
      </c>
      <c r="D5" s="229" t="s">
        <v>1102</v>
      </c>
      <c r="E5" s="229" t="s">
        <v>1303</v>
      </c>
      <c r="F5" s="235">
        <v>44062</v>
      </c>
      <c r="G5" s="235">
        <v>44247</v>
      </c>
      <c r="H5" s="229" t="s">
        <v>1305</v>
      </c>
      <c r="I5" s="231" t="s">
        <v>1434</v>
      </c>
      <c r="J5" s="232"/>
      <c r="K5" s="232"/>
      <c r="L5" s="232"/>
      <c r="M5" s="232"/>
      <c r="N5" s="232"/>
      <c r="O5" s="232"/>
      <c r="P5" s="232"/>
      <c r="Q5" s="232"/>
      <c r="R5" s="232"/>
      <c r="S5" s="232"/>
      <c r="T5" s="232"/>
      <c r="U5" s="232" t="s">
        <v>1056</v>
      </c>
      <c r="V5" s="232" t="s">
        <v>1056</v>
      </c>
      <c r="W5" s="232" t="s">
        <v>1056</v>
      </c>
      <c r="X5" s="232"/>
      <c r="Y5" s="232"/>
      <c r="Z5" s="232"/>
      <c r="AA5" s="232"/>
      <c r="AB5" s="231" t="s">
        <v>1617</v>
      </c>
      <c r="AC5" s="233"/>
      <c r="AD5" s="233" t="s">
        <v>403</v>
      </c>
      <c r="AE5" s="233"/>
      <c r="AF5" s="233"/>
      <c r="AG5" s="233"/>
      <c r="AH5" s="233"/>
      <c r="AI5" s="233"/>
      <c r="AJ5" s="234"/>
    </row>
    <row r="6" spans="1:36" s="228" customFormat="1" ht="13.8">
      <c r="A6" s="229" t="s">
        <v>862</v>
      </c>
      <c r="B6" s="228" t="s">
        <v>1708</v>
      </c>
      <c r="C6" s="235" t="s">
        <v>1717</v>
      </c>
      <c r="D6" s="229" t="s">
        <v>1102</v>
      </c>
      <c r="E6" s="229" t="s">
        <v>1303</v>
      </c>
      <c r="F6" s="235" t="s">
        <v>1304</v>
      </c>
      <c r="G6" s="235">
        <v>44265</v>
      </c>
      <c r="H6" s="229" t="s">
        <v>1305</v>
      </c>
      <c r="I6" s="231" t="s">
        <v>1434</v>
      </c>
      <c r="J6" s="232"/>
      <c r="K6" s="232"/>
      <c r="L6" s="232"/>
      <c r="M6" s="232"/>
      <c r="N6" s="232"/>
      <c r="O6" s="232"/>
      <c r="P6" s="232"/>
      <c r="Q6" s="232"/>
      <c r="R6" s="232"/>
      <c r="S6" s="232" t="s">
        <v>1056</v>
      </c>
      <c r="T6" s="232"/>
      <c r="U6" s="232"/>
      <c r="V6" s="232"/>
      <c r="W6" s="232"/>
      <c r="X6" s="232"/>
      <c r="Y6" s="232"/>
      <c r="Z6" s="232"/>
      <c r="AA6" s="232"/>
      <c r="AB6" s="231" t="s">
        <v>1617</v>
      </c>
      <c r="AC6" s="233" t="s">
        <v>403</v>
      </c>
      <c r="AD6" s="233"/>
      <c r="AE6" s="233"/>
      <c r="AF6" s="233"/>
      <c r="AG6" s="233"/>
      <c r="AH6" s="233"/>
      <c r="AI6" s="233"/>
      <c r="AJ6" s="234"/>
    </row>
    <row r="7" spans="1:36" s="228" customFormat="1" ht="13.8">
      <c r="A7" s="229" t="s">
        <v>1702</v>
      </c>
      <c r="B7" s="228" t="s">
        <v>1707</v>
      </c>
      <c r="C7" s="235" t="s">
        <v>1718</v>
      </c>
      <c r="D7" s="229" t="s">
        <v>1102</v>
      </c>
      <c r="E7" s="229" t="s">
        <v>1303</v>
      </c>
      <c r="F7" s="235" t="s">
        <v>1304</v>
      </c>
      <c r="G7" s="235">
        <v>44265</v>
      </c>
      <c r="H7" s="229" t="s">
        <v>1305</v>
      </c>
      <c r="I7" s="231" t="s">
        <v>1434</v>
      </c>
      <c r="J7" s="232" t="s">
        <v>1056</v>
      </c>
      <c r="K7" s="232" t="s">
        <v>1056</v>
      </c>
      <c r="L7" s="232"/>
      <c r="M7" s="232"/>
      <c r="N7" s="232"/>
      <c r="O7" s="232"/>
      <c r="P7" s="232"/>
      <c r="Q7" s="232"/>
      <c r="R7" s="232"/>
      <c r="S7" s="232"/>
      <c r="T7" s="232"/>
      <c r="U7" s="232"/>
      <c r="V7" s="232"/>
      <c r="W7" s="232"/>
      <c r="X7" s="232"/>
      <c r="Y7" s="232"/>
      <c r="Z7" s="232"/>
      <c r="AA7" s="232"/>
      <c r="AB7" s="231" t="s">
        <v>1617</v>
      </c>
      <c r="AC7" s="233"/>
      <c r="AD7" s="233" t="s">
        <v>403</v>
      </c>
      <c r="AE7" s="233"/>
      <c r="AF7" s="233"/>
      <c r="AG7" s="233"/>
      <c r="AH7" s="233"/>
      <c r="AI7" s="233"/>
      <c r="AJ7" s="234"/>
    </row>
    <row r="8" spans="1:36" s="228" customFormat="1" ht="13.8">
      <c r="A8" s="229" t="s">
        <v>1703</v>
      </c>
      <c r="B8" s="228" t="s">
        <v>1706</v>
      </c>
      <c r="C8" s="235" t="s">
        <v>1719</v>
      </c>
      <c r="D8" s="229" t="s">
        <v>1102</v>
      </c>
      <c r="E8" s="229" t="s">
        <v>1303</v>
      </c>
      <c r="F8" s="235" t="s">
        <v>1304</v>
      </c>
      <c r="G8" s="235">
        <v>44265</v>
      </c>
      <c r="H8" s="229" t="s">
        <v>1305</v>
      </c>
      <c r="I8" s="231" t="s">
        <v>1434</v>
      </c>
      <c r="J8" s="232"/>
      <c r="K8" s="232"/>
      <c r="L8" s="232"/>
      <c r="M8" s="232" t="s">
        <v>1056</v>
      </c>
      <c r="N8" s="232" t="s">
        <v>1056</v>
      </c>
      <c r="O8" s="232" t="s">
        <v>1056</v>
      </c>
      <c r="P8" s="232"/>
      <c r="Q8" s="232"/>
      <c r="R8" s="232"/>
      <c r="S8" s="232"/>
      <c r="T8" s="232"/>
      <c r="U8" s="232"/>
      <c r="V8" s="232"/>
      <c r="W8" s="232"/>
      <c r="X8" s="232"/>
      <c r="Y8" s="232"/>
      <c r="Z8" s="232"/>
      <c r="AA8" s="232"/>
      <c r="AB8" s="231" t="s">
        <v>1617</v>
      </c>
      <c r="AC8" s="233" t="s">
        <v>403</v>
      </c>
      <c r="AD8" s="233"/>
      <c r="AE8" s="233"/>
      <c r="AF8" s="233"/>
      <c r="AG8" s="233"/>
      <c r="AH8" s="233"/>
      <c r="AI8" s="233"/>
      <c r="AJ8" s="234"/>
    </row>
    <row r="9" spans="1:36" s="228" customFormat="1" ht="13.8">
      <c r="A9" s="229" t="s">
        <v>1704</v>
      </c>
      <c r="B9" s="228" t="s">
        <v>1705</v>
      </c>
      <c r="C9" s="235" t="s">
        <v>1720</v>
      </c>
      <c r="D9" s="229" t="s">
        <v>1102</v>
      </c>
      <c r="E9" s="229" t="s">
        <v>1303</v>
      </c>
      <c r="F9" s="235" t="s">
        <v>1304</v>
      </c>
      <c r="G9" s="235">
        <v>44265</v>
      </c>
      <c r="H9" s="229" t="s">
        <v>1305</v>
      </c>
      <c r="I9" s="231" t="s">
        <v>1434</v>
      </c>
      <c r="J9" s="232"/>
      <c r="K9" s="232"/>
      <c r="L9" s="232"/>
      <c r="M9" s="232"/>
      <c r="N9" s="232"/>
      <c r="O9" s="232"/>
      <c r="P9" s="232"/>
      <c r="Q9" s="232"/>
      <c r="R9" s="232"/>
      <c r="S9" s="232" t="s">
        <v>1056</v>
      </c>
      <c r="T9" s="232"/>
      <c r="U9" s="232"/>
      <c r="V9" s="232"/>
      <c r="W9" s="232"/>
      <c r="X9" s="232"/>
      <c r="Y9" s="232"/>
      <c r="Z9" s="232"/>
      <c r="AA9" s="232"/>
      <c r="AB9" s="231" t="s">
        <v>1617</v>
      </c>
      <c r="AC9" s="233"/>
      <c r="AD9" s="233" t="s">
        <v>403</v>
      </c>
      <c r="AE9" s="233"/>
      <c r="AF9" s="233"/>
      <c r="AG9" s="233"/>
      <c r="AH9" s="233"/>
      <c r="AI9" s="233"/>
      <c r="AJ9" s="234"/>
    </row>
    <row r="10" spans="1:36" s="228" customFormat="1" ht="27.6">
      <c r="A10" s="237" t="s">
        <v>864</v>
      </c>
      <c r="B10" s="237" t="s">
        <v>1613</v>
      </c>
      <c r="C10" s="237" t="s">
        <v>1712</v>
      </c>
      <c r="D10" s="237" t="s">
        <v>1103</v>
      </c>
      <c r="E10" s="238"/>
      <c r="F10" s="239"/>
      <c r="G10" s="239"/>
      <c r="H10" s="229" t="s">
        <v>1305</v>
      </c>
      <c r="I10" s="232" t="s">
        <v>912</v>
      </c>
      <c r="J10" s="232"/>
      <c r="K10" s="232"/>
      <c r="L10" s="232"/>
      <c r="M10" s="232"/>
      <c r="N10" s="232"/>
      <c r="O10" s="232"/>
      <c r="P10" s="232"/>
      <c r="Q10" s="232"/>
      <c r="R10" s="232"/>
      <c r="S10" s="232"/>
      <c r="T10" s="232"/>
      <c r="U10" s="232"/>
      <c r="V10" s="232"/>
      <c r="W10" s="232"/>
      <c r="X10" s="232"/>
      <c r="Y10" s="232" t="s">
        <v>1117</v>
      </c>
      <c r="Z10" s="232"/>
      <c r="AA10" s="232"/>
      <c r="AB10" s="236">
        <v>1</v>
      </c>
      <c r="AC10" s="233"/>
      <c r="AD10" s="233"/>
      <c r="AE10" s="233" t="s">
        <v>403</v>
      </c>
      <c r="AF10" s="233"/>
      <c r="AG10" s="233"/>
      <c r="AH10" s="233"/>
      <c r="AI10" s="233"/>
      <c r="AJ10" s="234"/>
    </row>
    <row r="11" spans="1:36" s="228" customFormat="1" ht="69">
      <c r="A11" s="237" t="s">
        <v>865</v>
      </c>
      <c r="B11" s="237" t="s">
        <v>1614</v>
      </c>
      <c r="C11" s="237" t="s">
        <v>1466</v>
      </c>
      <c r="D11" s="237" t="s">
        <v>1103</v>
      </c>
      <c r="E11" s="238"/>
      <c r="F11" s="239"/>
      <c r="G11" s="239"/>
      <c r="H11" s="229" t="s">
        <v>1305</v>
      </c>
      <c r="I11" s="232" t="s">
        <v>912</v>
      </c>
      <c r="J11" s="232"/>
      <c r="K11" s="232"/>
      <c r="L11" s="232"/>
      <c r="M11" s="232"/>
      <c r="N11" s="232"/>
      <c r="O11" s="232"/>
      <c r="P11" s="232" t="s">
        <v>1117</v>
      </c>
      <c r="Q11" s="232" t="s">
        <v>1117</v>
      </c>
      <c r="R11" s="232" t="s">
        <v>1117</v>
      </c>
      <c r="S11" s="232"/>
      <c r="T11" s="232"/>
      <c r="U11" s="232"/>
      <c r="V11" s="232"/>
      <c r="W11" s="232"/>
      <c r="X11" s="232" t="s">
        <v>1117</v>
      </c>
      <c r="Y11" s="232"/>
      <c r="Z11" s="232" t="s">
        <v>1117</v>
      </c>
      <c r="AA11" s="232"/>
      <c r="AB11" s="236" t="s">
        <v>1617</v>
      </c>
      <c r="AC11" s="233"/>
      <c r="AD11" s="233"/>
      <c r="AE11" s="233"/>
      <c r="AF11" s="233" t="s">
        <v>403</v>
      </c>
      <c r="AG11" s="233" t="s">
        <v>403</v>
      </c>
      <c r="AH11" s="233"/>
      <c r="AI11" s="233"/>
      <c r="AJ11" s="234"/>
    </row>
    <row r="12" spans="1:36" s="228" customFormat="1" ht="41.4">
      <c r="A12" s="237" t="s">
        <v>866</v>
      </c>
      <c r="B12" s="237" t="s">
        <v>1615</v>
      </c>
      <c r="C12" s="237" t="s">
        <v>1467</v>
      </c>
      <c r="D12" s="237" t="s">
        <v>1103</v>
      </c>
      <c r="E12" s="238"/>
      <c r="F12" s="239"/>
      <c r="G12" s="239"/>
      <c r="H12" s="229" t="s">
        <v>1305</v>
      </c>
      <c r="I12" s="232" t="s">
        <v>912</v>
      </c>
      <c r="J12" s="232"/>
      <c r="K12" s="232"/>
      <c r="L12" s="232"/>
      <c r="M12" s="232"/>
      <c r="N12" s="232"/>
      <c r="O12" s="232"/>
      <c r="P12" s="232"/>
      <c r="Q12" s="232"/>
      <c r="R12" s="232"/>
      <c r="S12" s="232"/>
      <c r="T12" s="232" t="s">
        <v>1117</v>
      </c>
      <c r="U12" s="232"/>
      <c r="V12" s="232"/>
      <c r="W12" s="232"/>
      <c r="X12" s="232"/>
      <c r="Y12" s="232"/>
      <c r="Z12" s="232"/>
      <c r="AA12" s="232"/>
      <c r="AB12" s="236">
        <v>1</v>
      </c>
      <c r="AC12" s="233"/>
      <c r="AD12" s="233"/>
      <c r="AE12" s="233"/>
      <c r="AF12" s="233"/>
      <c r="AG12" s="233"/>
      <c r="AH12" s="233" t="s">
        <v>403</v>
      </c>
      <c r="AI12" s="233"/>
      <c r="AJ12" s="234"/>
    </row>
    <row r="13" spans="1:36" s="228" customFormat="1" ht="27.6">
      <c r="A13" s="237" t="s">
        <v>867</v>
      </c>
      <c r="B13" s="237" t="s">
        <v>1616</v>
      </c>
      <c r="C13" s="237" t="s">
        <v>1468</v>
      </c>
      <c r="D13" s="237" t="s">
        <v>1103</v>
      </c>
      <c r="E13" s="238"/>
      <c r="F13" s="239"/>
      <c r="G13" s="239"/>
      <c r="H13" s="229" t="s">
        <v>1305</v>
      </c>
      <c r="I13" s="232" t="s">
        <v>912</v>
      </c>
      <c r="J13" s="232"/>
      <c r="K13" s="232"/>
      <c r="L13" s="232" t="s">
        <v>1117</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5" t="s">
        <v>1544</v>
      </c>
    </row>
    <row r="27" spans="3:3" ht="40.5" customHeight="1">
      <c r="C27" s="11" t="s">
        <v>1527</v>
      </c>
    </row>
    <row r="28" spans="3:3" ht="40.5" customHeight="1">
      <c r="C28" s="11" t="s">
        <v>1526</v>
      </c>
    </row>
    <row r="29" spans="3:3" ht="40.5" customHeight="1">
      <c r="C29" s="11" t="s">
        <v>1713</v>
      </c>
    </row>
    <row r="30" spans="3:3" ht="40.5" customHeight="1">
      <c r="C30" s="11" t="s">
        <v>1528</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978</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842</v>
      </c>
      <c r="B2" s="250" t="s">
        <v>868</v>
      </c>
      <c r="C2" s="250" t="s">
        <v>13</v>
      </c>
      <c r="D2" s="250" t="s">
        <v>869</v>
      </c>
      <c r="E2" s="250" t="s">
        <v>870</v>
      </c>
      <c r="F2" s="251" t="s">
        <v>856</v>
      </c>
      <c r="G2" s="251" t="s">
        <v>716</v>
      </c>
      <c r="H2" s="251" t="s">
        <v>857</v>
      </c>
      <c r="I2" s="251" t="s">
        <v>853</v>
      </c>
      <c r="J2" s="251" t="s">
        <v>871</v>
      </c>
      <c r="K2" s="251" t="s">
        <v>872</v>
      </c>
      <c r="L2" s="251" t="s">
        <v>849</v>
      </c>
      <c r="M2" s="251" t="s">
        <v>854</v>
      </c>
      <c r="N2" s="251" t="s">
        <v>718</v>
      </c>
      <c r="O2" s="251" t="s">
        <v>846</v>
      </c>
      <c r="P2" s="251" t="s">
        <v>855</v>
      </c>
      <c r="Q2" s="251" t="s">
        <v>850</v>
      </c>
      <c r="R2" s="251" t="s">
        <v>851</v>
      </c>
      <c r="S2" s="251" t="s">
        <v>798</v>
      </c>
      <c r="T2" s="251" t="s">
        <v>844</v>
      </c>
      <c r="U2" s="251" t="s">
        <v>847</v>
      </c>
      <c r="V2" s="251" t="s">
        <v>852</v>
      </c>
      <c r="W2" s="251" t="s">
        <v>845</v>
      </c>
      <c r="X2" s="251" t="s">
        <v>848</v>
      </c>
      <c r="Y2" s="251" t="s">
        <v>858</v>
      </c>
    </row>
    <row r="3" spans="1:26">
      <c r="A3" s="395" t="s">
        <v>859</v>
      </c>
      <c r="B3" s="396" t="str">
        <f t="shared" ref="B3:B27" si="1">VLOOKUP(A3,tbl_projectNames,2,FALSE)</f>
        <v>p1MRE</v>
      </c>
      <c r="C3" s="395" t="s">
        <v>1469</v>
      </c>
      <c r="D3" s="395" t="s">
        <v>873</v>
      </c>
      <c r="E3" s="396"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5" t="s">
        <v>859</v>
      </c>
      <c r="B4" s="396" t="str">
        <f t="shared" si="1"/>
        <v>p1MRE</v>
      </c>
      <c r="C4" s="395" t="s">
        <v>1470</v>
      </c>
      <c r="D4" s="395" t="s">
        <v>874</v>
      </c>
      <c r="E4" s="39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5" t="s">
        <v>859</v>
      </c>
      <c r="B5" s="396" t="str">
        <f t="shared" si="1"/>
        <v>p1MRE</v>
      </c>
      <c r="C5" s="395" t="s">
        <v>1471</v>
      </c>
      <c r="D5" s="395" t="s">
        <v>1107</v>
      </c>
      <c r="E5" s="39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5" t="s">
        <v>859</v>
      </c>
      <c r="B6" s="396" t="str">
        <f t="shared" si="1"/>
        <v>p1MRE</v>
      </c>
      <c r="C6" s="395" t="s">
        <v>1472</v>
      </c>
      <c r="D6" s="395" t="s">
        <v>1240</v>
      </c>
      <c r="E6" s="39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5" t="s">
        <v>859</v>
      </c>
      <c r="B7" s="396" t="str">
        <f t="shared" si="1"/>
        <v>p1MRE</v>
      </c>
      <c r="C7" s="395" t="s">
        <v>1473</v>
      </c>
      <c r="D7" s="395" t="s">
        <v>1308</v>
      </c>
      <c r="E7" s="39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5" t="s">
        <v>860</v>
      </c>
      <c r="B8" s="396" t="str">
        <f t="shared" si="1"/>
        <v>p2RRE</v>
      </c>
      <c r="C8" s="395" t="s">
        <v>1474</v>
      </c>
      <c r="D8" s="395" t="s">
        <v>873</v>
      </c>
      <c r="E8" s="39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5" t="s">
        <v>860</v>
      </c>
      <c r="B9" s="396" t="str">
        <f t="shared" si="1"/>
        <v>p2RRE</v>
      </c>
      <c r="C9" s="395" t="s">
        <v>1475</v>
      </c>
      <c r="D9" s="395" t="s">
        <v>874</v>
      </c>
      <c r="E9" s="39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5" t="s">
        <v>860</v>
      </c>
      <c r="B10" s="396" t="str">
        <f t="shared" si="1"/>
        <v>p2RRE</v>
      </c>
      <c r="C10" s="395" t="s">
        <v>1476</v>
      </c>
      <c r="D10" s="395" t="s">
        <v>1107</v>
      </c>
      <c r="E10" s="39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5" t="s">
        <v>860</v>
      </c>
      <c r="B11" s="396" t="str">
        <f t="shared" si="1"/>
        <v>p2RRE</v>
      </c>
      <c r="C11" s="395" t="s">
        <v>1477</v>
      </c>
      <c r="D11" s="395" t="s">
        <v>1240</v>
      </c>
      <c r="E11" s="39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5" t="s">
        <v>860</v>
      </c>
      <c r="B12" s="396" t="str">
        <f t="shared" si="1"/>
        <v>p2RRE</v>
      </c>
      <c r="C12" s="395" t="s">
        <v>1478</v>
      </c>
      <c r="D12" s="395" t="s">
        <v>1308</v>
      </c>
      <c r="E12" s="39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5" t="s">
        <v>861</v>
      </c>
      <c r="B13" s="396" t="str">
        <f t="shared" si="1"/>
        <v>p3FNR</v>
      </c>
      <c r="C13" s="395" t="s">
        <v>1479</v>
      </c>
      <c r="D13" s="395" t="s">
        <v>873</v>
      </c>
      <c r="E13" s="39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5" t="s">
        <v>861</v>
      </c>
      <c r="B14" s="396" t="str">
        <f t="shared" si="1"/>
        <v>p3FNR</v>
      </c>
      <c r="C14" s="395" t="s">
        <v>1480</v>
      </c>
      <c r="D14" s="395" t="s">
        <v>874</v>
      </c>
      <c r="E14" s="39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5" t="s">
        <v>861</v>
      </c>
      <c r="B15" s="396" t="str">
        <f t="shared" si="1"/>
        <v>p3FNR</v>
      </c>
      <c r="C15" s="395" t="s">
        <v>1481</v>
      </c>
      <c r="D15" s="395" t="s">
        <v>1107</v>
      </c>
      <c r="E15" s="39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5" t="s">
        <v>861</v>
      </c>
      <c r="B16" s="396" t="str">
        <f t="shared" si="1"/>
        <v>p3FNR</v>
      </c>
      <c r="C16" s="395" t="s">
        <v>1482</v>
      </c>
      <c r="D16" s="395" t="s">
        <v>1240</v>
      </c>
      <c r="E16" s="39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5" t="s">
        <v>861</v>
      </c>
      <c r="B17" s="396" t="str">
        <f t="shared" si="1"/>
        <v>p3FNR</v>
      </c>
      <c r="C17" s="395" t="s">
        <v>1483</v>
      </c>
      <c r="D17" s="395" t="s">
        <v>1308</v>
      </c>
      <c r="E17" s="39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5" t="s">
        <v>1298</v>
      </c>
      <c r="B18" s="396" t="str">
        <f t="shared" si="1"/>
        <v>p4SSH</v>
      </c>
      <c r="C18" s="395" t="s">
        <v>1484</v>
      </c>
      <c r="D18" s="395" t="s">
        <v>873</v>
      </c>
      <c r="E18" s="39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5" t="s">
        <v>1298</v>
      </c>
      <c r="B19" s="396" t="str">
        <f t="shared" si="1"/>
        <v>p4SSH</v>
      </c>
      <c r="C19" s="395" t="s">
        <v>1485</v>
      </c>
      <c r="D19" s="395" t="s">
        <v>874</v>
      </c>
      <c r="E19" s="39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5" t="s">
        <v>1298</v>
      </c>
      <c r="B20" s="396" t="str">
        <f t="shared" si="1"/>
        <v>p4SSH</v>
      </c>
      <c r="C20" s="395" t="s">
        <v>1486</v>
      </c>
      <c r="D20" s="395" t="s">
        <v>1107</v>
      </c>
      <c r="E20" s="39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5" t="s">
        <v>1298</v>
      </c>
      <c r="B21" s="396" t="str">
        <f t="shared" si="1"/>
        <v>p4SSH</v>
      </c>
      <c r="C21" s="395" t="s">
        <v>1487</v>
      </c>
      <c r="D21" s="395" t="s">
        <v>1240</v>
      </c>
      <c r="E21" s="39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5" t="s">
        <v>1298</v>
      </c>
      <c r="B22" s="396" t="str">
        <f t="shared" si="1"/>
        <v>p4SSH</v>
      </c>
      <c r="C22" s="395" t="s">
        <v>1488</v>
      </c>
      <c r="D22" s="395" t="s">
        <v>1308</v>
      </c>
      <c r="E22" s="39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5" t="s">
        <v>864</v>
      </c>
      <c r="B23" s="396" t="str">
        <f t="shared" si="1"/>
        <v>s1CM</v>
      </c>
      <c r="C23" s="395" t="s">
        <v>1489</v>
      </c>
      <c r="D23" s="395" t="s">
        <v>1307</v>
      </c>
      <c r="E23" s="396"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5" t="s">
        <v>865</v>
      </c>
      <c r="B24" s="396" t="str">
        <f t="shared" si="1"/>
        <v>s2EPG-MA</v>
      </c>
      <c r="C24" s="395" t="s">
        <v>1490</v>
      </c>
      <c r="D24" s="395" t="s">
        <v>1309</v>
      </c>
      <c r="E24" s="396"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5" t="s">
        <v>865</v>
      </c>
      <c r="B25" s="396" t="str">
        <f t="shared" ref="B25" si="3">VLOOKUP(A25,tbl_projectNames,2,FALSE)</f>
        <v>s2EPG-MA</v>
      </c>
      <c r="C25" s="395" t="s">
        <v>1548</v>
      </c>
      <c r="D25" s="395" t="s">
        <v>1547</v>
      </c>
      <c r="E25" s="396"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5" t="s">
        <v>866</v>
      </c>
      <c r="B26" s="396" t="str">
        <f t="shared" si="1"/>
        <v>s3HR</v>
      </c>
      <c r="C26" s="395" t="s">
        <v>1491</v>
      </c>
      <c r="D26" s="395" t="s">
        <v>1306</v>
      </c>
      <c r="E26" s="396"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7" t="s">
        <v>867</v>
      </c>
      <c r="B27" s="398" t="str">
        <f t="shared" si="1"/>
        <v>s4PPQA</v>
      </c>
      <c r="C27" s="397" t="s">
        <v>1492</v>
      </c>
      <c r="D27" s="397" t="s">
        <v>1190</v>
      </c>
      <c r="E27" s="398" t="str">
        <f t="shared" si="2"/>
        <v>Process Assurance Manager function in OU</v>
      </c>
      <c r="F27" s="399"/>
      <c r="G27" s="399"/>
      <c r="H27" s="399"/>
      <c r="I27" s="399"/>
      <c r="J27" s="399"/>
      <c r="K27" s="399"/>
      <c r="L27" s="399"/>
      <c r="M27" s="399"/>
      <c r="N27" s="399"/>
      <c r="O27" s="399"/>
      <c r="P27" s="399"/>
      <c r="Q27" s="399"/>
      <c r="R27" s="399"/>
      <c r="S27" s="399" t="s">
        <v>403</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1135</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869</v>
      </c>
      <c r="B2" s="54" t="s">
        <v>1253</v>
      </c>
      <c r="C2" s="55" t="s">
        <v>856</v>
      </c>
      <c r="D2" s="55" t="s">
        <v>716</v>
      </c>
      <c r="E2" s="55" t="s">
        <v>857</v>
      </c>
      <c r="F2" s="55" t="s">
        <v>853</v>
      </c>
      <c r="G2" s="55" t="s">
        <v>871</v>
      </c>
      <c r="H2" s="55" t="s">
        <v>872</v>
      </c>
      <c r="I2" s="55" t="s">
        <v>849</v>
      </c>
      <c r="J2" s="55" t="s">
        <v>854</v>
      </c>
      <c r="K2" s="55" t="s">
        <v>718</v>
      </c>
      <c r="L2" s="55" t="s">
        <v>846</v>
      </c>
      <c r="M2" s="55" t="s">
        <v>855</v>
      </c>
      <c r="N2" s="55" t="s">
        <v>850</v>
      </c>
      <c r="O2" s="55" t="s">
        <v>851</v>
      </c>
      <c r="P2" s="55" t="s">
        <v>798</v>
      </c>
      <c r="Q2" s="55" t="s">
        <v>844</v>
      </c>
      <c r="R2" s="55" t="s">
        <v>847</v>
      </c>
      <c r="S2" s="55" t="s">
        <v>852</v>
      </c>
      <c r="T2" s="55" t="s">
        <v>845</v>
      </c>
      <c r="U2" s="55" t="s">
        <v>848</v>
      </c>
      <c r="V2" s="55" t="s">
        <v>858</v>
      </c>
      <c r="W2" s="45"/>
    </row>
    <row r="3" spans="1:23">
      <c r="A3" s="58" t="s">
        <v>873</v>
      </c>
      <c r="B3" s="98" t="s">
        <v>950</v>
      </c>
      <c r="C3" s="57"/>
      <c r="D3" s="57"/>
      <c r="E3" s="57"/>
      <c r="F3" s="57"/>
      <c r="G3" s="57"/>
      <c r="H3" s="57"/>
      <c r="I3" s="57"/>
      <c r="J3" s="57"/>
      <c r="K3" s="57"/>
      <c r="L3" s="57" t="s">
        <v>403</v>
      </c>
      <c r="M3" s="57"/>
      <c r="N3" s="57"/>
      <c r="O3" s="57"/>
      <c r="P3" s="57"/>
      <c r="Q3" s="57"/>
      <c r="R3" s="57" t="s">
        <v>403</v>
      </c>
      <c r="S3" s="57"/>
      <c r="T3" s="57"/>
      <c r="U3" s="57"/>
      <c r="V3" s="57"/>
      <c r="W3" s="45" t="s">
        <v>873</v>
      </c>
    </row>
    <row r="4" spans="1:23">
      <c r="A4" s="58" t="s">
        <v>1105</v>
      </c>
      <c r="B4" s="98" t="s">
        <v>951</v>
      </c>
      <c r="C4" s="57"/>
      <c r="D4" s="57" t="s">
        <v>403</v>
      </c>
      <c r="E4" s="57"/>
      <c r="F4" s="57"/>
      <c r="G4" s="57"/>
      <c r="H4" s="57"/>
      <c r="I4" s="57"/>
      <c r="J4" s="57"/>
      <c r="K4" s="57"/>
      <c r="L4" s="57"/>
      <c r="M4" s="57"/>
      <c r="N4" s="57"/>
      <c r="O4" s="57"/>
      <c r="P4" s="57"/>
      <c r="Q4" s="57"/>
      <c r="R4" s="57"/>
      <c r="S4" s="57"/>
      <c r="T4" s="57"/>
      <c r="U4" s="57"/>
      <c r="V4" s="57"/>
      <c r="W4" s="45" t="s">
        <v>1105</v>
      </c>
    </row>
    <row r="5" spans="1:23">
      <c r="A5" s="58" t="s">
        <v>874</v>
      </c>
      <c r="B5" s="98" t="s">
        <v>950</v>
      </c>
      <c r="C5" s="57"/>
      <c r="D5" s="57"/>
      <c r="E5" s="57"/>
      <c r="F5" s="57"/>
      <c r="G5" s="57"/>
      <c r="H5" s="57"/>
      <c r="I5" s="57"/>
      <c r="J5" s="57"/>
      <c r="K5" s="57"/>
      <c r="L5" s="57" t="s">
        <v>403</v>
      </c>
      <c r="M5" s="57"/>
      <c r="N5" s="57"/>
      <c r="O5" s="57"/>
      <c r="P5" s="57"/>
      <c r="Q5" s="57"/>
      <c r="R5" s="57"/>
      <c r="S5" s="57"/>
      <c r="T5" s="57" t="s">
        <v>403</v>
      </c>
      <c r="U5" s="57"/>
      <c r="V5" s="57"/>
      <c r="W5" s="45" t="s">
        <v>874</v>
      </c>
    </row>
    <row r="6" spans="1:23">
      <c r="A6" s="58" t="s">
        <v>1107</v>
      </c>
      <c r="B6" s="98" t="s">
        <v>950</v>
      </c>
      <c r="C6" s="57"/>
      <c r="D6" s="57"/>
      <c r="E6" s="57"/>
      <c r="F6" s="57"/>
      <c r="G6" s="57"/>
      <c r="H6" s="57"/>
      <c r="I6" s="57"/>
      <c r="J6" s="57"/>
      <c r="K6" s="57"/>
      <c r="L6" s="57" t="s">
        <v>403</v>
      </c>
      <c r="M6" s="57"/>
      <c r="N6" s="57"/>
      <c r="O6" s="57"/>
      <c r="P6" s="57"/>
      <c r="Q6" s="57" t="s">
        <v>403</v>
      </c>
      <c r="R6" s="57"/>
      <c r="S6" s="57"/>
      <c r="T6" s="57"/>
      <c r="U6" s="57"/>
      <c r="V6" s="57"/>
      <c r="W6" s="45" t="s">
        <v>1107</v>
      </c>
    </row>
    <row r="7" spans="1:23">
      <c r="A7" s="58" t="s">
        <v>1104</v>
      </c>
      <c r="B7" s="58" t="s">
        <v>955</v>
      </c>
      <c r="C7" s="57"/>
      <c r="D7" s="57"/>
      <c r="E7" s="57"/>
      <c r="F7" s="57"/>
      <c r="G7" s="57" t="s">
        <v>403</v>
      </c>
      <c r="H7" s="57" t="s">
        <v>403</v>
      </c>
      <c r="I7" s="57"/>
      <c r="J7" s="57"/>
      <c r="K7" s="57"/>
      <c r="L7" s="57"/>
      <c r="M7" s="57"/>
      <c r="N7" s="57"/>
      <c r="O7" s="57"/>
      <c r="P7" s="57"/>
      <c r="Q7" s="57"/>
      <c r="R7" s="57"/>
      <c r="S7" s="57"/>
      <c r="T7" s="57"/>
      <c r="U7" s="57"/>
      <c r="V7" s="57"/>
      <c r="W7" s="45" t="s">
        <v>1104</v>
      </c>
    </row>
    <row r="8" spans="1:23">
      <c r="A8" s="58" t="s">
        <v>1547</v>
      </c>
      <c r="B8" s="98" t="s">
        <v>952</v>
      </c>
      <c r="C8" s="57" t="s">
        <v>403</v>
      </c>
      <c r="D8" s="57"/>
      <c r="E8" s="57" t="s">
        <v>403</v>
      </c>
      <c r="F8" s="57"/>
      <c r="G8" s="57"/>
      <c r="H8" s="57"/>
      <c r="I8" s="57" t="s">
        <v>403</v>
      </c>
      <c r="J8" s="57"/>
      <c r="K8" s="57"/>
      <c r="L8" s="57"/>
      <c r="M8" s="57"/>
      <c r="N8" s="57"/>
      <c r="O8" s="57"/>
      <c r="P8" s="57"/>
      <c r="Q8" s="57"/>
      <c r="R8" s="57"/>
      <c r="S8" s="57"/>
      <c r="T8" s="57"/>
      <c r="U8" s="57"/>
      <c r="V8" s="57"/>
      <c r="W8" s="45" t="s">
        <v>1547</v>
      </c>
    </row>
    <row r="9" spans="1:23">
      <c r="A9" s="58" t="s">
        <v>1190</v>
      </c>
      <c r="B9" s="98" t="s">
        <v>958</v>
      </c>
      <c r="C9" s="57"/>
      <c r="D9" s="57"/>
      <c r="E9" s="57"/>
      <c r="F9" s="57"/>
      <c r="G9" s="57"/>
      <c r="H9" s="57"/>
      <c r="I9" s="57"/>
      <c r="J9" s="57"/>
      <c r="K9" s="57"/>
      <c r="L9" s="57"/>
      <c r="M9" s="57"/>
      <c r="N9" s="57"/>
      <c r="O9" s="57"/>
      <c r="P9" s="57" t="s">
        <v>403</v>
      </c>
      <c r="Q9" s="57"/>
      <c r="R9" s="57"/>
      <c r="S9" s="57"/>
      <c r="T9" s="57"/>
      <c r="U9" s="57"/>
      <c r="V9" s="57"/>
      <c r="W9" s="45" t="s">
        <v>1190</v>
      </c>
    </row>
    <row r="10" spans="1:23">
      <c r="A10" s="58" t="s">
        <v>1309</v>
      </c>
      <c r="B10" s="98" t="s">
        <v>952</v>
      </c>
      <c r="C10" s="57"/>
      <c r="D10" s="57"/>
      <c r="E10" s="57" t="s">
        <v>403</v>
      </c>
      <c r="F10" s="57"/>
      <c r="G10" s="57"/>
      <c r="H10" s="57"/>
      <c r="I10" s="57"/>
      <c r="J10" s="57"/>
      <c r="K10" s="57"/>
      <c r="L10" s="57"/>
      <c r="M10" s="57"/>
      <c r="N10" s="57" t="s">
        <v>403</v>
      </c>
      <c r="O10" s="57" t="s">
        <v>403</v>
      </c>
      <c r="P10" s="57"/>
      <c r="Q10" s="57"/>
      <c r="R10" s="57"/>
      <c r="S10" s="57"/>
      <c r="T10" s="57"/>
      <c r="U10" s="57"/>
      <c r="V10" s="57"/>
      <c r="W10" s="45" t="s">
        <v>1309</v>
      </c>
    </row>
    <row r="11" spans="1:23">
      <c r="A11" s="58" t="s">
        <v>1106</v>
      </c>
      <c r="B11" s="98" t="s">
        <v>949</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1106</v>
      </c>
    </row>
    <row r="12" spans="1:23">
      <c r="A12" s="58" t="s">
        <v>1240</v>
      </c>
      <c r="B12" s="98" t="s">
        <v>950</v>
      </c>
      <c r="C12" s="57"/>
      <c r="D12" s="57"/>
      <c r="E12" s="57"/>
      <c r="F12" s="57"/>
      <c r="G12" s="57"/>
      <c r="H12" s="57"/>
      <c r="I12" s="57"/>
      <c r="J12" s="57"/>
      <c r="K12" s="57"/>
      <c r="L12" s="57" t="s">
        <v>403</v>
      </c>
      <c r="M12" s="57"/>
      <c r="N12" s="57"/>
      <c r="O12" s="57"/>
      <c r="P12" s="57"/>
      <c r="Q12" s="57"/>
      <c r="R12" s="57"/>
      <c r="S12" s="57"/>
      <c r="T12" s="57"/>
      <c r="U12" s="57" t="s">
        <v>403</v>
      </c>
      <c r="V12" s="57"/>
      <c r="W12" s="45" t="s">
        <v>1240</v>
      </c>
    </row>
    <row r="13" spans="1:23">
      <c r="A13" s="58" t="s">
        <v>1239</v>
      </c>
      <c r="B13" s="98" t="s">
        <v>953</v>
      </c>
      <c r="C13" s="57"/>
      <c r="D13" s="57"/>
      <c r="E13" s="57"/>
      <c r="F13" s="57"/>
      <c r="G13" s="57"/>
      <c r="H13" s="57"/>
      <c r="I13" s="57"/>
      <c r="J13" s="57"/>
      <c r="K13" s="57" t="s">
        <v>403</v>
      </c>
      <c r="L13" s="57"/>
      <c r="M13" s="57"/>
      <c r="N13" s="57"/>
      <c r="O13" s="57"/>
      <c r="P13" s="57"/>
      <c r="Q13" s="57"/>
      <c r="R13" s="57"/>
      <c r="S13" s="57"/>
      <c r="T13" s="57"/>
      <c r="U13" s="57"/>
      <c r="V13" s="57"/>
      <c r="W13" s="45" t="s">
        <v>1239</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906</v>
      </c>
      <c r="B3" s="264" t="s">
        <v>877</v>
      </c>
    </row>
    <row r="4" spans="1:11">
      <c r="A4" s="264" t="s">
        <v>878</v>
      </c>
      <c r="B4" t="s">
        <v>859</v>
      </c>
      <c r="C4" t="s">
        <v>860</v>
      </c>
      <c r="D4" t="s">
        <v>861</v>
      </c>
      <c r="E4" t="s">
        <v>1298</v>
      </c>
      <c r="F4" t="s">
        <v>864</v>
      </c>
      <c r="G4" t="s">
        <v>865</v>
      </c>
      <c r="H4" t="s">
        <v>866</v>
      </c>
      <c r="I4" t="s">
        <v>867</v>
      </c>
      <c r="J4" t="s">
        <v>879</v>
      </c>
      <c r="K4" t="s">
        <v>880</v>
      </c>
    </row>
    <row r="5" spans="1:11">
      <c r="A5" s="108" t="s">
        <v>879</v>
      </c>
    </row>
    <row r="6" spans="1:11">
      <c r="A6" s="108" t="s">
        <v>1299</v>
      </c>
      <c r="F6">
        <v>1</v>
      </c>
      <c r="K6">
        <v>1</v>
      </c>
    </row>
    <row r="7" spans="1:11">
      <c r="A7" s="108" t="s">
        <v>1300</v>
      </c>
      <c r="G7">
        <v>2</v>
      </c>
      <c r="K7">
        <v>2</v>
      </c>
    </row>
    <row r="8" spans="1:11">
      <c r="A8" s="108" t="s">
        <v>1301</v>
      </c>
      <c r="H8">
        <v>1</v>
      </c>
      <c r="K8">
        <v>1</v>
      </c>
    </row>
    <row r="9" spans="1:11">
      <c r="A9" s="108" t="s">
        <v>1302</v>
      </c>
      <c r="I9">
        <v>1</v>
      </c>
      <c r="K9">
        <v>1</v>
      </c>
    </row>
    <row r="10" spans="1:11">
      <c r="A10" s="108" t="s">
        <v>1461</v>
      </c>
      <c r="B10">
        <v>5</v>
      </c>
      <c r="K10">
        <v>5</v>
      </c>
    </row>
    <row r="11" spans="1:11">
      <c r="A11" s="108" t="s">
        <v>1462</v>
      </c>
      <c r="C11">
        <v>5</v>
      </c>
      <c r="K11">
        <v>5</v>
      </c>
    </row>
    <row r="12" spans="1:11">
      <c r="A12" s="108" t="s">
        <v>1463</v>
      </c>
      <c r="D12">
        <v>5</v>
      </c>
      <c r="K12">
        <v>5</v>
      </c>
    </row>
    <row r="13" spans="1:11">
      <c r="A13" s="108" t="s">
        <v>1464</v>
      </c>
      <c r="E13">
        <v>5</v>
      </c>
      <c r="K13">
        <v>5</v>
      </c>
    </row>
    <row r="14" spans="1:11">
      <c r="A14" s="108" t="s">
        <v>880</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908</v>
      </c>
    </row>
    <row r="2" spans="1:14">
      <c r="A2" s="93" t="s">
        <v>928</v>
      </c>
      <c r="B2" s="93"/>
      <c r="C2" s="93"/>
      <c r="D2" s="93"/>
      <c r="E2" s="93"/>
      <c r="F2" s="93"/>
      <c r="G2" s="93"/>
      <c r="H2" s="93"/>
      <c r="I2" s="93"/>
      <c r="J2" s="93"/>
      <c r="K2" s="93"/>
      <c r="L2" s="93"/>
      <c r="M2" s="93"/>
      <c r="N2" s="93"/>
    </row>
    <row r="3" spans="1:14" hidden="1">
      <c r="A3" s="264" t="s">
        <v>878</v>
      </c>
      <c r="B3" t="s">
        <v>876</v>
      </c>
    </row>
    <row r="4" spans="1:14" hidden="1">
      <c r="A4" s="108" t="s">
        <v>879</v>
      </c>
    </row>
    <row r="5" spans="1:14">
      <c r="A5" s="108" t="s">
        <v>1469</v>
      </c>
      <c r="B5">
        <v>1</v>
      </c>
    </row>
    <row r="6" spans="1:14">
      <c r="A6" s="108" t="s">
        <v>1470</v>
      </c>
      <c r="B6">
        <v>1</v>
      </c>
    </row>
    <row r="7" spans="1:14">
      <c r="A7" s="108" t="s">
        <v>1471</v>
      </c>
      <c r="B7">
        <v>1</v>
      </c>
    </row>
    <row r="8" spans="1:14">
      <c r="A8" s="108" t="s">
        <v>1472</v>
      </c>
      <c r="B8">
        <v>1</v>
      </c>
    </row>
    <row r="9" spans="1:14">
      <c r="A9" s="108" t="s">
        <v>1473</v>
      </c>
      <c r="B9">
        <v>1</v>
      </c>
    </row>
    <row r="10" spans="1:14">
      <c r="A10" s="108" t="s">
        <v>1474</v>
      </c>
      <c r="B10">
        <v>1</v>
      </c>
    </row>
    <row r="11" spans="1:14">
      <c r="A11" s="108" t="s">
        <v>1475</v>
      </c>
      <c r="B11">
        <v>1</v>
      </c>
    </row>
    <row r="12" spans="1:14">
      <c r="A12" s="108" t="s">
        <v>1476</v>
      </c>
      <c r="B12">
        <v>1</v>
      </c>
    </row>
    <row r="13" spans="1:14">
      <c r="A13" s="108" t="s">
        <v>1477</v>
      </c>
      <c r="B13">
        <v>1</v>
      </c>
    </row>
    <row r="14" spans="1:14">
      <c r="A14" s="108" t="s">
        <v>1478</v>
      </c>
      <c r="B14">
        <v>1</v>
      </c>
    </row>
    <row r="15" spans="1:14">
      <c r="A15" s="108" t="s">
        <v>1479</v>
      </c>
      <c r="B15">
        <v>1</v>
      </c>
    </row>
    <row r="16" spans="1:14">
      <c r="A16" s="108" t="s">
        <v>1480</v>
      </c>
      <c r="B16">
        <v>1</v>
      </c>
    </row>
    <row r="17" spans="1:2">
      <c r="A17" s="108" t="s">
        <v>1481</v>
      </c>
      <c r="B17">
        <v>1</v>
      </c>
    </row>
    <row r="18" spans="1:2">
      <c r="A18" s="108" t="s">
        <v>1482</v>
      </c>
      <c r="B18">
        <v>1</v>
      </c>
    </row>
    <row r="19" spans="1:2">
      <c r="A19" s="108" t="s">
        <v>1483</v>
      </c>
      <c r="B19">
        <v>1</v>
      </c>
    </row>
    <row r="20" spans="1:2">
      <c r="A20" s="108" t="s">
        <v>1484</v>
      </c>
      <c r="B20">
        <v>1</v>
      </c>
    </row>
    <row r="21" spans="1:2">
      <c r="A21" s="108" t="s">
        <v>1485</v>
      </c>
      <c r="B21">
        <v>1</v>
      </c>
    </row>
    <row r="22" spans="1:2">
      <c r="A22" s="108" t="s">
        <v>1486</v>
      </c>
      <c r="B22">
        <v>1</v>
      </c>
    </row>
    <row r="23" spans="1:2">
      <c r="A23" s="108" t="s">
        <v>1487</v>
      </c>
      <c r="B23">
        <v>1</v>
      </c>
    </row>
    <row r="24" spans="1:2">
      <c r="A24" s="108" t="s">
        <v>1488</v>
      </c>
      <c r="B24">
        <v>1</v>
      </c>
    </row>
    <row r="25" spans="1:2">
      <c r="A25" s="108" t="s">
        <v>1489</v>
      </c>
      <c r="B25">
        <v>1</v>
      </c>
    </row>
    <row r="26" spans="1:2">
      <c r="A26" s="108" t="s">
        <v>1490</v>
      </c>
      <c r="B26">
        <v>1</v>
      </c>
    </row>
    <row r="27" spans="1:2">
      <c r="A27" s="108" t="s">
        <v>1548</v>
      </c>
      <c r="B27">
        <v>1</v>
      </c>
    </row>
    <row r="28" spans="1:2">
      <c r="A28" s="108" t="s">
        <v>1491</v>
      </c>
      <c r="B28">
        <v>1</v>
      </c>
    </row>
    <row r="29" spans="1:2">
      <c r="A29" s="108" t="s">
        <v>1492</v>
      </c>
      <c r="B29">
        <v>1</v>
      </c>
    </row>
    <row r="30" spans="1:2">
      <c r="A30" s="108" t="s">
        <v>880</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878</v>
      </c>
      <c r="B3" t="s">
        <v>886</v>
      </c>
    </row>
    <row r="4" spans="1:2">
      <c r="A4" s="108" t="s">
        <v>856</v>
      </c>
      <c r="B4">
        <v>1</v>
      </c>
    </row>
    <row r="5" spans="1:2">
      <c r="A5" s="108" t="s">
        <v>716</v>
      </c>
      <c r="B5">
        <v>1</v>
      </c>
    </row>
    <row r="6" spans="1:2">
      <c r="A6" s="108" t="s">
        <v>857</v>
      </c>
      <c r="B6">
        <v>1</v>
      </c>
    </row>
    <row r="7" spans="1:2">
      <c r="A7" s="108" t="s">
        <v>853</v>
      </c>
      <c r="B7">
        <v>1</v>
      </c>
    </row>
    <row r="8" spans="1:2">
      <c r="A8" s="108" t="s">
        <v>854</v>
      </c>
      <c r="B8">
        <v>1</v>
      </c>
    </row>
    <row r="9" spans="1:2">
      <c r="A9" s="108" t="s">
        <v>849</v>
      </c>
      <c r="B9">
        <v>1</v>
      </c>
    </row>
    <row r="10" spans="1:2">
      <c r="A10" s="108" t="s">
        <v>718</v>
      </c>
      <c r="B10">
        <v>1</v>
      </c>
    </row>
    <row r="11" spans="1:2">
      <c r="A11" s="108" t="s">
        <v>850</v>
      </c>
      <c r="B11">
        <v>1</v>
      </c>
    </row>
    <row r="12" spans="1:2">
      <c r="A12" s="108" t="s">
        <v>851</v>
      </c>
      <c r="B12">
        <v>1</v>
      </c>
    </row>
    <row r="13" spans="1:2">
      <c r="A13" s="108" t="s">
        <v>844</v>
      </c>
      <c r="B13">
        <v>1</v>
      </c>
    </row>
    <row r="14" spans="1:2">
      <c r="A14" s="108" t="s">
        <v>855</v>
      </c>
      <c r="B14">
        <v>1</v>
      </c>
    </row>
    <row r="15" spans="1:2">
      <c r="A15" s="108" t="s">
        <v>798</v>
      </c>
      <c r="B15">
        <v>1</v>
      </c>
    </row>
    <row r="16" spans="1:2">
      <c r="A16" s="108" t="s">
        <v>846</v>
      </c>
      <c r="B16">
        <v>1</v>
      </c>
    </row>
    <row r="17" spans="1:2">
      <c r="A17" s="108" t="s">
        <v>847</v>
      </c>
      <c r="B17">
        <v>1</v>
      </c>
    </row>
    <row r="18" spans="1:2">
      <c r="A18" s="108" t="s">
        <v>852</v>
      </c>
      <c r="B18">
        <v>1</v>
      </c>
    </row>
    <row r="19" spans="1:2">
      <c r="A19" s="108" t="s">
        <v>845</v>
      </c>
      <c r="B19">
        <v>1</v>
      </c>
    </row>
    <row r="20" spans="1:2">
      <c r="A20" s="108" t="s">
        <v>848</v>
      </c>
      <c r="B20">
        <v>1</v>
      </c>
    </row>
    <row r="21" spans="1:2">
      <c r="A21" s="108" t="s">
        <v>879</v>
      </c>
    </row>
    <row r="22" spans="1:2">
      <c r="A22" s="108" t="s">
        <v>880</v>
      </c>
      <c r="B22">
        <v>17</v>
      </c>
    </row>
    <row r="26" spans="1:2">
      <c r="A26" t="s">
        <v>1011</v>
      </c>
    </row>
    <row r="27" spans="1:2">
      <c r="A27" t="s">
        <v>872</v>
      </c>
    </row>
    <row r="28" spans="1:2">
      <c r="A28" t="s">
        <v>871</v>
      </c>
    </row>
    <row r="29" spans="1:2">
      <c r="A29" t="s">
        <v>1010</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727</v>
      </c>
      <c r="B1" s="17"/>
    </row>
    <row r="2" spans="1:3">
      <c r="A2" s="27" t="s">
        <v>728</v>
      </c>
      <c r="B2" s="28"/>
      <c r="C2" s="29" t="str">
        <f>HYPERLINK(_xlfn.CONCAT("https://cmmiinstitute.com/appraisals-sys/appraisals/",Planning!$B$31,"/name-and-type"))</f>
        <v>https://cmmiinstitute.com/appraisals-sys/appraisals/53517/name-and-type</v>
      </c>
    </row>
    <row r="3" spans="1:3">
      <c r="A3" s="11" t="s">
        <v>687</v>
      </c>
      <c r="B3" s="89" t="str">
        <f>Planning!B30</f>
        <v>D124 (A5) SoftMARS - Base Alpha City (Q2) 2023</v>
      </c>
      <c r="C3" s="16" t="s">
        <v>922</v>
      </c>
    </row>
    <row r="4" spans="1:3">
      <c r="A4" s="11" t="s">
        <v>429</v>
      </c>
      <c r="B4" s="89" t="str">
        <f>Planning!B9</f>
        <v>(UTC+08:00) Beijing, Chongqing, Hong Kong, Urumqi</v>
      </c>
      <c r="C4" s="16" t="s">
        <v>922</v>
      </c>
    </row>
    <row r="5" spans="1:3">
      <c r="A5" s="11" t="s">
        <v>430</v>
      </c>
      <c r="B5" s="20" t="str">
        <f>'Agreement 3'!B48</f>
        <v>Demix (Pty) Ltd</v>
      </c>
      <c r="C5" s="16" t="s">
        <v>961</v>
      </c>
    </row>
    <row r="6" spans="1:3" ht="90.6" customHeight="1">
      <c r="A6" s="11" t="s">
        <v>431</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922</v>
      </c>
    </row>
    <row r="7" spans="1:3">
      <c r="A7" s="11" t="s">
        <v>432</v>
      </c>
      <c r="B7" s="11" t="s">
        <v>385</v>
      </c>
    </row>
    <row r="8" spans="1:3">
      <c r="A8" s="11" t="s">
        <v>433</v>
      </c>
      <c r="B8" s="11" t="s">
        <v>604</v>
      </c>
    </row>
    <row r="9" spans="1:3" ht="28.8">
      <c r="A9" s="11" t="s">
        <v>701</v>
      </c>
      <c r="B9" s="11" t="s">
        <v>604</v>
      </c>
    </row>
    <row r="10" spans="1:3" ht="28.8">
      <c r="A10" s="11" t="s">
        <v>784</v>
      </c>
      <c r="B10" s="11" t="s">
        <v>385</v>
      </c>
    </row>
    <row r="11" spans="1:3">
      <c r="A11" s="11" t="s">
        <v>785</v>
      </c>
    </row>
    <row r="12" spans="1:3" ht="28.8">
      <c r="A12" s="11" t="s">
        <v>783</v>
      </c>
      <c r="B12" s="11" t="s">
        <v>1134</v>
      </c>
    </row>
    <row r="14" spans="1:3">
      <c r="A14" s="15" t="s">
        <v>386</v>
      </c>
      <c r="B14" s="17"/>
    </row>
    <row r="15" spans="1:3">
      <c r="A15" s="27" t="s">
        <v>730</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961</v>
      </c>
    </row>
    <row r="17" spans="1:23">
      <c r="A17" s="11" t="s">
        <v>27</v>
      </c>
      <c r="B17" s="77" t="str">
        <f>StartupInfo!B4</f>
        <v>Mars</v>
      </c>
      <c r="C17" s="16" t="s">
        <v>911</v>
      </c>
    </row>
    <row r="18" spans="1:23">
      <c r="A18" s="11" t="s">
        <v>28</v>
      </c>
      <c r="B18" s="76" t="str">
        <f>StartupInfo!B5</f>
        <v>Room 1, Dome 1</v>
      </c>
      <c r="C18" s="16" t="s">
        <v>911</v>
      </c>
      <c r="D18" s="16" t="s">
        <v>920</v>
      </c>
    </row>
    <row r="19" spans="1:23">
      <c r="A19" s="11" t="s">
        <v>29</v>
      </c>
      <c r="B19" s="76" t="str">
        <f>StartupInfo!B6</f>
        <v>No. 1 First Street</v>
      </c>
      <c r="C19" s="16" t="s">
        <v>911</v>
      </c>
    </row>
    <row r="20" spans="1:23">
      <c r="A20" s="11" t="s">
        <v>30</v>
      </c>
      <c r="B20" s="76" t="str">
        <f>StartupInfo!B7</f>
        <v>Base Alpha City</v>
      </c>
      <c r="C20" s="16" t="s">
        <v>911</v>
      </c>
    </row>
    <row r="21" spans="1:23">
      <c r="A21" s="11" t="s">
        <v>31</v>
      </c>
      <c r="B21" s="77" t="str">
        <f>StartupInfo!B8</f>
        <v>Tharsis</v>
      </c>
      <c r="C21" s="16" t="s">
        <v>911</v>
      </c>
    </row>
    <row r="22" spans="1:23">
      <c r="A22" s="11" t="s">
        <v>32</v>
      </c>
      <c r="B22" s="76" t="str">
        <f>StartupInfo!B9</f>
        <v>Planet04</v>
      </c>
      <c r="C22" s="16" t="s">
        <v>911</v>
      </c>
    </row>
    <row r="23" spans="1:23">
      <c r="A23" s="11" t="s">
        <v>17</v>
      </c>
      <c r="B23" s="76" t="str">
        <f>StartupInfo!B10</f>
        <v>China</v>
      </c>
      <c r="C23" s="16" t="s">
        <v>911</v>
      </c>
    </row>
    <row r="24" spans="1:23">
      <c r="A24" s="11" t="s">
        <v>287</v>
      </c>
      <c r="B24" s="9" t="str">
        <f>HYPERLINK(StartupInfo!B12)</f>
        <v>http://eMars.com</v>
      </c>
      <c r="C24" s="16" t="s">
        <v>911</v>
      </c>
    </row>
    <row r="25" spans="1:23">
      <c r="A25" s="11" t="s">
        <v>288</v>
      </c>
      <c r="B25" s="11" t="s">
        <v>691</v>
      </c>
    </row>
    <row r="26" spans="1:23" ht="28.8">
      <c r="A26" s="11" t="s">
        <v>289</v>
      </c>
      <c r="B26" s="76" t="str">
        <f>StartupInfo!B22</f>
        <v>(J-62) Information and communication - Computer programming, consultancy and related activities</v>
      </c>
      <c r="C26" s="16" t="s">
        <v>911</v>
      </c>
    </row>
    <row r="28" spans="1:23" customFormat="1">
      <c r="A28" s="18" t="s">
        <v>586</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731</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911</v>
      </c>
    </row>
    <row r="32" spans="1:23">
      <c r="A32" s="11" t="s">
        <v>27</v>
      </c>
      <c r="B32" s="89" t="str">
        <f>IF(StartupInfo!B19="","",StartupInfo!B19)</f>
        <v/>
      </c>
      <c r="C32" s="16" t="s">
        <v>911</v>
      </c>
    </row>
    <row r="33" spans="1:23">
      <c r="A33" s="11" t="s">
        <v>379</v>
      </c>
      <c r="B33" s="89" t="str">
        <f>IF(StartupInfo!B20="","",StartupInfo!B20)</f>
        <v>The company provides space exploration services…</v>
      </c>
      <c r="C33" s="16" t="s">
        <v>911</v>
      </c>
    </row>
    <row r="34" spans="1:23" ht="86.4">
      <c r="A34" s="11" t="s">
        <v>378</v>
      </c>
      <c r="B34" s="89" t="str">
        <f>IF(StartupInfo!B21="","",StartupInfo!B21)</f>
        <v xml:space="preserve">1 General Manager
2  Integrated Management
3  R&amp;D Department
4  Product Department
5  Business Department
</v>
      </c>
      <c r="C34" s="16" t="s">
        <v>911</v>
      </c>
    </row>
    <row r="35" spans="1:23">
      <c r="A35" s="11" t="s">
        <v>380</v>
      </c>
      <c r="B35" s="89" t="str">
        <f>IF(StartupInfo!B4="",StartupInfo!B3,_xlfn.CONCAT(StartupInfo!B3,"(",StartupInfo!B4,")"))</f>
        <v>Software for Mars (Pty) Ltd(Mars)</v>
      </c>
      <c r="C35" s="16" t="s">
        <v>911</v>
      </c>
    </row>
    <row r="36" spans="1:23">
      <c r="A36" s="11" t="s">
        <v>382</v>
      </c>
      <c r="B36" s="11">
        <v>1</v>
      </c>
    </row>
    <row r="37" spans="1:23">
      <c r="A37" s="11" t="s">
        <v>383</v>
      </c>
      <c r="B37" s="11">
        <v>1</v>
      </c>
    </row>
    <row r="38" spans="1:23" ht="28.8">
      <c r="A38" s="11" t="s">
        <v>384</v>
      </c>
      <c r="B38" s="89" t="str">
        <f>IF(StartupInfo!B23="","No","Yes")</f>
        <v>Yes</v>
      </c>
      <c r="C38" s="16" t="s">
        <v>911</v>
      </c>
    </row>
    <row r="39" spans="1:23">
      <c r="A39" s="11" t="s">
        <v>692</v>
      </c>
      <c r="B39" s="89" t="str">
        <f>StartupInfo!B23</f>
        <v>TO BE PROVIDED</v>
      </c>
      <c r="C39" s="16" t="s">
        <v>911</v>
      </c>
    </row>
    <row r="41" spans="1:23" customFormat="1">
      <c r="A41" s="18" t="s">
        <v>586</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734</v>
      </c>
      <c r="B43" s="17"/>
    </row>
    <row r="44" spans="1:23">
      <c r="A44" s="27" t="s">
        <v>1736</v>
      </c>
      <c r="B44" s="28"/>
      <c r="C44" s="29"/>
    </row>
    <row r="45" spans="1:23" s="46" customFormat="1" ht="15.6">
      <c r="A45" s="403" t="s">
        <v>1721</v>
      </c>
      <c r="B45" s="45"/>
      <c r="C45" s="45"/>
    </row>
    <row r="46" spans="1:23">
      <c r="A46" s="11" t="s">
        <v>1721</v>
      </c>
      <c r="B46" s="13" t="str">
        <f>Planning!B14</f>
        <v>Maturity Level</v>
      </c>
    </row>
    <row r="47" spans="1:23">
      <c r="A47" s="11" t="s">
        <v>1245</v>
      </c>
      <c r="B47" s="13" t="str">
        <f>Planning!B15</f>
        <v>Level 5</v>
      </c>
    </row>
    <row r="48" spans="1:23">
      <c r="A48" s="11" t="s">
        <v>1407</v>
      </c>
      <c r="B48" s="81" t="str">
        <f>Planning!B16</f>
        <v>Maturity Level 5</v>
      </c>
    </row>
    <row r="50" spans="1:23">
      <c r="A50" s="403" t="s">
        <v>824</v>
      </c>
    </row>
    <row r="51" spans="1:23">
      <c r="A51" s="11" t="s">
        <v>1725</v>
      </c>
      <c r="B51" s="255" t="str">
        <f>IF(Planning!B19&lt;&gt;"","x","")</f>
        <v>x</v>
      </c>
    </row>
    <row r="52" spans="1:23">
      <c r="A52" s="11" t="s">
        <v>1726</v>
      </c>
      <c r="B52" s="255" t="str">
        <f>IF(Planning!B20&lt;&gt;"","x","")</f>
        <v/>
      </c>
    </row>
    <row r="53" spans="1:23">
      <c r="A53" s="11" t="s">
        <v>1727</v>
      </c>
      <c r="B53" s="255" t="str">
        <f>IF(Planning!B21&lt;&gt;"","x","")</f>
        <v/>
      </c>
    </row>
    <row r="54" spans="1:23">
      <c r="A54" s="11" t="s">
        <v>1728</v>
      </c>
      <c r="B54" s="255" t="str">
        <f>IF(Planning!B22&lt;&gt;"","x","")</f>
        <v/>
      </c>
    </row>
    <row r="55" spans="1:23">
      <c r="A55" s="11" t="s">
        <v>1729</v>
      </c>
      <c r="B55" s="255" t="str">
        <f>IF(Planning!B23&lt;&gt;"","x","")</f>
        <v/>
      </c>
    </row>
    <row r="56" spans="1:23">
      <c r="A56" s="11" t="s">
        <v>1730</v>
      </c>
      <c r="B56" s="255" t="str">
        <f>IF(Planning!B24&lt;&gt;"","x","")</f>
        <v/>
      </c>
    </row>
    <row r="58" spans="1:23">
      <c r="A58" s="27" t="s">
        <v>735</v>
      </c>
      <c r="B58" s="28"/>
      <c r="C58" s="29"/>
    </row>
    <row r="59" spans="1:23">
      <c r="A59" s="32" t="s">
        <v>736</v>
      </c>
      <c r="B59" s="31" t="s">
        <v>1737</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732</v>
      </c>
      <c r="B61" s="17"/>
    </row>
    <row r="62" spans="1:23">
      <c r="A62" s="27" t="s">
        <v>733</v>
      </c>
      <c r="B62" s="28"/>
      <c r="C62" s="29" t="str">
        <f>HYPERLINK(_xlfn.CONCAT("https://cmmiinstitute.com/appraisals-sys/appraisals/",Planning!$B$31,"/timeline"))</f>
        <v>https://cmmiinstitute.com/appraisals-sys/appraisals/53517/timeline</v>
      </c>
    </row>
    <row r="64" spans="1:23">
      <c r="A64" s="14" t="s">
        <v>387</v>
      </c>
    </row>
    <row r="65" spans="1:23">
      <c r="A65" s="11" t="s">
        <v>388</v>
      </c>
      <c r="B65" s="34">
        <f>'Agreement 3'!B22</f>
        <v>44933</v>
      </c>
      <c r="C65" s="16" t="s">
        <v>961</v>
      </c>
    </row>
    <row r="66" spans="1:23">
      <c r="A66" s="11" t="s">
        <v>389</v>
      </c>
      <c r="B66" s="34">
        <f>B81-1</f>
        <v>45025</v>
      </c>
      <c r="C66" s="16" t="s">
        <v>962</v>
      </c>
    </row>
    <row r="68" spans="1:23">
      <c r="A68" s="14" t="s">
        <v>390</v>
      </c>
      <c r="D68" s="30" t="s">
        <v>786</v>
      </c>
    </row>
    <row r="69" spans="1:23">
      <c r="A69" s="11" t="s">
        <v>391</v>
      </c>
      <c r="B69" s="34" t="s">
        <v>1738</v>
      </c>
    </row>
    <row r="70" spans="1:23">
      <c r="A70" s="11" t="s">
        <v>392</v>
      </c>
      <c r="B70" s="34">
        <f>Planning!B36</f>
        <v>44997</v>
      </c>
      <c r="C70" s="16" t="s">
        <v>922</v>
      </c>
    </row>
    <row r="71" spans="1:23">
      <c r="A71" s="11" t="s">
        <v>393</v>
      </c>
      <c r="B71" s="34">
        <f>B70</f>
        <v>44997</v>
      </c>
      <c r="C71" s="404" t="s">
        <v>962</v>
      </c>
    </row>
    <row r="72" spans="1:23">
      <c r="B72" s="404"/>
      <c r="C72" s="404"/>
    </row>
    <row r="73" spans="1:23">
      <c r="A73" s="14" t="s">
        <v>391</v>
      </c>
      <c r="B73" s="34" t="s">
        <v>1739</v>
      </c>
      <c r="C73" s="404"/>
    </row>
    <row r="74" spans="1:23">
      <c r="A74" s="11" t="s">
        <v>392</v>
      </c>
      <c r="B74" s="34">
        <f>Planning!B39</f>
        <v>45015</v>
      </c>
      <c r="C74" s="16" t="s">
        <v>922</v>
      </c>
    </row>
    <row r="75" spans="1:23">
      <c r="A75" s="11" t="s">
        <v>393</v>
      </c>
      <c r="B75" s="34">
        <f>B74</f>
        <v>45015</v>
      </c>
      <c r="C75" s="16" t="s">
        <v>962</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586</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394</v>
      </c>
    </row>
    <row r="81" spans="1:4">
      <c r="A81" s="11" t="s">
        <v>395</v>
      </c>
      <c r="B81" s="34">
        <f>Planning!B42</f>
        <v>45026</v>
      </c>
      <c r="C81" s="16" t="s">
        <v>922</v>
      </c>
    </row>
    <row r="82" spans="1:4">
      <c r="A82" s="21" t="s">
        <v>690</v>
      </c>
      <c r="B82" s="34">
        <f>'Agreement 3'!B27</f>
        <v>45028</v>
      </c>
      <c r="C82" s="16" t="s">
        <v>961</v>
      </c>
    </row>
    <row r="83" spans="1:4">
      <c r="A83" s="11" t="s">
        <v>396</v>
      </c>
      <c r="B83" s="34">
        <f>Planning!B48</f>
        <v>45032</v>
      </c>
      <c r="C83" s="16" t="s">
        <v>922</v>
      </c>
    </row>
    <row r="84" spans="1:4">
      <c r="A84" s="11" t="s">
        <v>397</v>
      </c>
      <c r="B84" s="35">
        <f>Planning!B49</f>
        <v>7</v>
      </c>
      <c r="C84" s="16" t="s">
        <v>922</v>
      </c>
    </row>
    <row r="86" spans="1:4">
      <c r="A86" s="14" t="s">
        <v>398</v>
      </c>
    </row>
    <row r="87" spans="1:4">
      <c r="A87" s="11" t="s">
        <v>399</v>
      </c>
      <c r="B87" s="34">
        <f>Planning!B51</f>
        <v>45032</v>
      </c>
      <c r="C87" s="16" t="s">
        <v>922</v>
      </c>
    </row>
    <row r="88" spans="1:4">
      <c r="A88" s="11" t="s">
        <v>400</v>
      </c>
      <c r="B88" s="34">
        <f>Planning!B53</f>
        <v>45052</v>
      </c>
      <c r="C88" s="16" t="s">
        <v>922</v>
      </c>
    </row>
    <row r="90" spans="1:4">
      <c r="A90" s="27" t="s">
        <v>1740</v>
      </c>
      <c r="B90" s="28"/>
      <c r="C90" s="29" t="str">
        <f>HYPERLINK(_xlfn.CONCAT("https://cmmiinstitute.com/appraisals-sys/appraisals/",Planning!$B$31,"/timeline"))</f>
        <v>https://cmmiinstitute.com/appraisals-sys/appraisals/53517/timeline</v>
      </c>
    </row>
    <row r="92" spans="1:4">
      <c r="A92" s="14" t="s">
        <v>390</v>
      </c>
      <c r="D92" s="30" t="s">
        <v>786</v>
      </c>
    </row>
    <row r="93" spans="1:4">
      <c r="A93" s="11" t="s">
        <v>391</v>
      </c>
      <c r="B93" s="34" t="str">
        <f>B69</f>
        <v>30% Readiness review</v>
      </c>
    </row>
    <row r="94" spans="1:4">
      <c r="A94" s="11" t="s">
        <v>392</v>
      </c>
      <c r="B94" s="34">
        <f t="shared" ref="B94:B95" si="0">B70</f>
        <v>44997</v>
      </c>
      <c r="C94" s="16" t="s">
        <v>922</v>
      </c>
    </row>
    <row r="95" spans="1:4">
      <c r="A95" s="11" t="s">
        <v>393</v>
      </c>
      <c r="B95" s="34">
        <f t="shared" si="0"/>
        <v>44997</v>
      </c>
      <c r="C95" s="404" t="s">
        <v>962</v>
      </c>
    </row>
    <row r="96" spans="1:4">
      <c r="B96" s="111"/>
      <c r="C96" s="404"/>
    </row>
    <row r="97" spans="1:23" ht="100.8">
      <c r="A97" s="11" t="s">
        <v>709</v>
      </c>
      <c r="B97" s="21" t="s">
        <v>1748</v>
      </c>
      <c r="C97" s="404"/>
    </row>
    <row r="98" spans="1:23" ht="86.4">
      <c r="A98" s="11" t="s">
        <v>710</v>
      </c>
      <c r="B98" s="21" t="s">
        <v>1749</v>
      </c>
      <c r="C98" s="404"/>
    </row>
    <row r="99" spans="1:23">
      <c r="A99" s="11" t="s">
        <v>711</v>
      </c>
      <c r="B99" s="89" t="str">
        <f>_xlfn.CONCAT('P1-Personnel'!B9," and ",'P1-Personnel'!B13)</f>
        <v>Dr Pieter van Zyl and ATM-1</v>
      </c>
      <c r="C99" s="404" t="s">
        <v>962</v>
      </c>
    </row>
    <row r="100" spans="1:23">
      <c r="A100" s="11" t="s">
        <v>712</v>
      </c>
      <c r="B100" s="11" t="s">
        <v>1750</v>
      </c>
      <c r="C100" s="404"/>
    </row>
    <row r="101" spans="1:23">
      <c r="A101" s="11" t="s">
        <v>1741</v>
      </c>
      <c r="B101" s="11" t="s">
        <v>26</v>
      </c>
      <c r="C101" s="404"/>
    </row>
    <row r="102" spans="1:23">
      <c r="A102" s="11" t="s">
        <v>1742</v>
      </c>
      <c r="B102" s="111" t="s">
        <v>385</v>
      </c>
      <c r="C102" s="404"/>
    </row>
    <row r="103" spans="1:23">
      <c r="B103" s="404"/>
      <c r="C103" s="404"/>
    </row>
    <row r="104" spans="1:23">
      <c r="A104" s="14" t="s">
        <v>391</v>
      </c>
      <c r="B104" s="34" t="str">
        <f>B73</f>
        <v>90% Readiness review</v>
      </c>
      <c r="C104" s="404"/>
    </row>
    <row r="105" spans="1:23">
      <c r="A105" s="11" t="s">
        <v>392</v>
      </c>
      <c r="B105" s="34">
        <f t="shared" ref="B105:B106" si="1">B74</f>
        <v>45015</v>
      </c>
      <c r="C105" s="16" t="s">
        <v>922</v>
      </c>
    </row>
    <row r="106" spans="1:23">
      <c r="A106" s="11" t="s">
        <v>393</v>
      </c>
      <c r="B106" s="34">
        <f t="shared" si="1"/>
        <v>45015</v>
      </c>
      <c r="C106" s="16" t="s">
        <v>962</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709</v>
      </c>
      <c r="B108" s="405" t="s">
        <v>1751</v>
      </c>
      <c r="C108" s="404"/>
    </row>
    <row r="109" spans="1:23" ht="86.4">
      <c r="A109" s="11" t="s">
        <v>710</v>
      </c>
      <c r="B109" s="405" t="s">
        <v>1743</v>
      </c>
      <c r="C109" s="404"/>
    </row>
    <row r="110" spans="1:23">
      <c r="A110" s="11" t="s">
        <v>711</v>
      </c>
      <c r="B110" s="406" t="str">
        <f>_xlfn.CONCAT('P1-Personnel'!B9," and ",'P1-Personnel'!B13)</f>
        <v>Dr Pieter van Zyl and ATM-1</v>
      </c>
      <c r="C110" s="404" t="s">
        <v>962</v>
      </c>
    </row>
    <row r="111" spans="1:23">
      <c r="A111" s="11" t="s">
        <v>712</v>
      </c>
      <c r="B111" s="111" t="s">
        <v>1750</v>
      </c>
      <c r="C111" s="404"/>
    </row>
    <row r="112" spans="1:23">
      <c r="A112" s="11" t="s">
        <v>1741</v>
      </c>
      <c r="B112" s="111" t="s">
        <v>26</v>
      </c>
      <c r="C112" s="404"/>
    </row>
    <row r="113" spans="1:23">
      <c r="A113" s="11" t="s">
        <v>1742</v>
      </c>
      <c r="B113" s="111" t="s">
        <v>385</v>
      </c>
      <c r="C113" s="404"/>
    </row>
    <row r="114" spans="1:23">
      <c r="B114" s="404"/>
      <c r="C114" s="404"/>
    </row>
    <row r="115" spans="1:23">
      <c r="A115" s="15" t="s">
        <v>746</v>
      </c>
      <c r="B115" s="17"/>
    </row>
    <row r="116" spans="1:23">
      <c r="A116" s="27" t="s">
        <v>418</v>
      </c>
      <c r="B116" s="28"/>
      <c r="C116" s="29"/>
    </row>
    <row r="117" spans="1:23" s="103" customFormat="1">
      <c r="A117" s="104" t="s">
        <v>1312</v>
      </c>
      <c r="B117" s="102"/>
      <c r="C117" s="165" t="s">
        <v>1036</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747</v>
      </c>
      <c r="B119" s="28"/>
      <c r="C119" s="29"/>
    </row>
    <row r="120" spans="1:23">
      <c r="A120" s="420" t="s">
        <v>1313</v>
      </c>
      <c r="B120" s="420"/>
    </row>
    <row r="122" spans="1:23">
      <c r="A122" s="27" t="s">
        <v>748</v>
      </c>
      <c r="B122" s="28"/>
      <c r="C122" s="29"/>
    </row>
    <row r="123" spans="1:23">
      <c r="A123" s="11" t="s">
        <v>426</v>
      </c>
      <c r="B123" s="13" t="s">
        <v>424</v>
      </c>
      <c r="C123" s="16" t="s">
        <v>381</v>
      </c>
    </row>
    <row r="124" spans="1:23">
      <c r="A124" s="11" t="s">
        <v>427</v>
      </c>
    </row>
    <row r="125" spans="1:23">
      <c r="A125" s="11" t="s">
        <v>428</v>
      </c>
      <c r="B125" s="11" t="s">
        <v>787</v>
      </c>
    </row>
    <row r="127" spans="1:23">
      <c r="A127" s="27" t="s">
        <v>686</v>
      </c>
      <c r="B127" s="28"/>
      <c r="C127" s="29"/>
    </row>
    <row r="128" spans="1:23">
      <c r="A128" s="11" t="s">
        <v>419</v>
      </c>
      <c r="B128" s="12" t="str">
        <f>B123</f>
        <v>Type of Work</v>
      </c>
    </row>
    <row r="129" spans="1:3">
      <c r="A129" s="11" t="s">
        <v>788</v>
      </c>
      <c r="B129" s="11" t="s">
        <v>789</v>
      </c>
    </row>
    <row r="130" spans="1:3">
      <c r="A130" s="11" t="s">
        <v>379</v>
      </c>
      <c r="B130" s="11" t="s">
        <v>787</v>
      </c>
    </row>
    <row r="132" spans="1:3">
      <c r="A132" s="27" t="s">
        <v>749</v>
      </c>
      <c r="B132" s="28"/>
      <c r="C132" s="29"/>
    </row>
    <row r="133" spans="1:3">
      <c r="A133" s="11" t="s">
        <v>13</v>
      </c>
      <c r="B133" s="11" t="s">
        <v>789</v>
      </c>
    </row>
    <row r="134" spans="1:3">
      <c r="A134" s="11" t="s">
        <v>790</v>
      </c>
      <c r="B134" s="11" t="s">
        <v>791</v>
      </c>
    </row>
    <row r="135" spans="1:3">
      <c r="A135" s="11" t="s">
        <v>792</v>
      </c>
      <c r="B135" s="11" t="s">
        <v>793</v>
      </c>
    </row>
    <row r="137" spans="1:3">
      <c r="A137" s="27" t="s">
        <v>750</v>
      </c>
      <c r="B137" s="28"/>
      <c r="C137" s="29"/>
    </row>
    <row r="138" spans="1:3">
      <c r="A138" s="421" t="s">
        <v>794</v>
      </c>
      <c r="B138" s="421"/>
    </row>
    <row r="139" spans="1:3">
      <c r="B139" s="404"/>
      <c r="C139" s="404"/>
    </row>
    <row r="140" spans="1:3">
      <c r="A140" s="215" t="s">
        <v>751</v>
      </c>
      <c r="B140" s="216"/>
      <c r="C140" s="217"/>
    </row>
    <row r="141" spans="1:3">
      <c r="A141" s="422" t="s">
        <v>752</v>
      </c>
      <c r="B141" s="424"/>
      <c r="C141" s="218" t="s">
        <v>1112</v>
      </c>
    </row>
    <row r="142" spans="1:3" ht="15" thickBot="1">
      <c r="A142" s="423"/>
      <c r="B142" s="425"/>
      <c r="C142" s="218" t="s">
        <v>1744</v>
      </c>
    </row>
    <row r="143" spans="1:3">
      <c r="A143" s="219" t="s">
        <v>716</v>
      </c>
      <c r="B143" s="219" t="s">
        <v>1113</v>
      </c>
      <c r="C143" s="217"/>
    </row>
    <row r="144" spans="1:3" ht="15" thickBot="1">
      <c r="A144" s="220" t="s">
        <v>795</v>
      </c>
      <c r="B144" s="220" t="s">
        <v>796</v>
      </c>
      <c r="C144" s="217"/>
    </row>
    <row r="145" spans="1:3">
      <c r="A145" s="221" t="s">
        <v>715</v>
      </c>
      <c r="B145" s="221" t="s">
        <v>1745</v>
      </c>
      <c r="C145" s="217"/>
    </row>
    <row r="146" spans="1:3" ht="15" thickBot="1">
      <c r="A146" s="220" t="s">
        <v>795</v>
      </c>
      <c r="B146" s="220" t="s">
        <v>796</v>
      </c>
      <c r="C146" s="217"/>
    </row>
    <row r="147" spans="1:3">
      <c r="A147" s="221" t="s">
        <v>797</v>
      </c>
      <c r="B147" s="221" t="s">
        <v>1746</v>
      </c>
      <c r="C147" s="217"/>
    </row>
    <row r="148" spans="1:3" ht="15" thickBot="1">
      <c r="A148" s="220" t="s">
        <v>795</v>
      </c>
      <c r="B148" s="220" t="s">
        <v>796</v>
      </c>
      <c r="C148" s="217"/>
    </row>
    <row r="149" spans="1:3">
      <c r="A149" s="221" t="s">
        <v>717</v>
      </c>
      <c r="B149" s="221" t="s">
        <v>1114</v>
      </c>
      <c r="C149" s="217"/>
    </row>
    <row r="150" spans="1:3">
      <c r="C150" s="217"/>
    </row>
    <row r="151" spans="1:3">
      <c r="A151" s="27" t="s">
        <v>753</v>
      </c>
      <c r="B151" s="28"/>
      <c r="C151" s="217"/>
    </row>
    <row r="152" spans="1:3" ht="28.8">
      <c r="A152" s="11" t="s">
        <v>799</v>
      </c>
      <c r="B152" s="11" t="s">
        <v>1314</v>
      </c>
      <c r="C152" s="217"/>
    </row>
    <row r="153" spans="1:3">
      <c r="A153" s="38" t="s">
        <v>795</v>
      </c>
      <c r="B153" s="38" t="s">
        <v>796</v>
      </c>
      <c r="C153" s="217"/>
    </row>
    <row r="154" spans="1:3">
      <c r="C154" s="217"/>
    </row>
    <row r="155" spans="1:3">
      <c r="A155" s="27" t="s">
        <v>754</v>
      </c>
      <c r="B155" s="28"/>
      <c r="C155" s="29"/>
    </row>
    <row r="156" spans="1:3">
      <c r="A156" s="11" t="s">
        <v>800</v>
      </c>
      <c r="B156" s="11" t="s">
        <v>1116</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topLeftCell="J1"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737</v>
      </c>
      <c r="B3" s="17"/>
    </row>
    <row r="4" spans="1:36">
      <c r="A4" s="27" t="s">
        <v>738</v>
      </c>
      <c r="B4" s="28"/>
      <c r="C4" s="29" t="str">
        <f>HYPERLINK(_xlfn.CONCAT("https://cmmiinstitute.com/appraisals-sys/appraisals/",Planning!$B$31,"/appraisal-sponsor"))</f>
        <v>https://cmmiinstitute.com/appraisals-sys/appraisals/53517/appraisal-sponsor</v>
      </c>
    </row>
    <row r="5" spans="1:36" s="16" customFormat="1">
      <c r="A5" s="164" t="s">
        <v>1015</v>
      </c>
      <c r="B5" s="164" t="s">
        <v>411</v>
      </c>
      <c r="C5" s="164" t="s">
        <v>1031</v>
      </c>
      <c r="D5" s="164" t="s">
        <v>972</v>
      </c>
      <c r="E5" s="164" t="s">
        <v>973</v>
      </c>
      <c r="F5" s="164" t="s">
        <v>1016</v>
      </c>
      <c r="G5" s="164" t="s">
        <v>1017</v>
      </c>
      <c r="H5" s="164" t="s">
        <v>1018</v>
      </c>
      <c r="I5" s="164" t="s">
        <v>1019</v>
      </c>
      <c r="J5" s="164" t="s">
        <v>1020</v>
      </c>
      <c r="K5" s="164" t="s">
        <v>1021</v>
      </c>
      <c r="L5" s="164" t="s">
        <v>1022</v>
      </c>
      <c r="M5" s="164" t="s">
        <v>1023</v>
      </c>
      <c r="N5" s="164"/>
      <c r="O5" s="164" t="s">
        <v>1024</v>
      </c>
      <c r="P5" s="164" t="s">
        <v>1025</v>
      </c>
      <c r="Q5" s="164" t="s">
        <v>1026</v>
      </c>
      <c r="R5" s="164" t="s">
        <v>1027</v>
      </c>
      <c r="S5" s="164" t="s">
        <v>1028</v>
      </c>
      <c r="T5" s="164" t="s">
        <v>1029</v>
      </c>
      <c r="U5" s="164" t="s">
        <v>1030</v>
      </c>
      <c r="V5" s="164" t="s">
        <v>10</v>
      </c>
      <c r="W5" s="163"/>
      <c r="X5" s="213" t="s">
        <v>1111</v>
      </c>
      <c r="AA5" s="161"/>
    </row>
    <row r="6" spans="1:36" s="16" customFormat="1">
      <c r="A6" s="16" t="s">
        <v>583</v>
      </c>
      <c r="B6" s="87" t="str">
        <f>IF('Agreement 3'!B30="","",'Agreement 3'!B30)</f>
        <v>Prof Donald Kessler</v>
      </c>
      <c r="C6" s="16" t="s">
        <v>964</v>
      </c>
      <c r="D6" s="78" t="str">
        <f>IF('Agreement 3'!B16="","",'Agreement 3'!B16)</f>
        <v>Software for Mars (Pty) Ltd</v>
      </c>
      <c r="E6" s="87" t="s">
        <v>702</v>
      </c>
      <c r="G6" s="16" t="s">
        <v>697</v>
      </c>
      <c r="H6" s="16" t="s">
        <v>1110</v>
      </c>
      <c r="I6" s="161" t="str">
        <f>'Agreement 3'!B32</f>
        <v>+000 1111 2222</v>
      </c>
      <c r="V6" s="86" t="str">
        <f>IF('Agreement 3'!B33="","",'Agreement 3'!B33)</f>
        <v>donald.kessler@email.com</v>
      </c>
      <c r="X6" s="49" t="s">
        <v>1521</v>
      </c>
      <c r="Y6" s="214" t="str">
        <f>IF(TRIM(X6)&lt;&gt;TRIM(V6),"CAS email different","ok")</f>
        <v>CAS email different</v>
      </c>
      <c r="Z6" s="11"/>
      <c r="AA6" s="11"/>
      <c r="AB6" s="11"/>
      <c r="AC6" s="11"/>
      <c r="AD6" s="11"/>
      <c r="AE6" s="11"/>
      <c r="AF6" s="11"/>
      <c r="AG6" s="11"/>
      <c r="AH6" s="11"/>
      <c r="AI6" s="11"/>
      <c r="AJ6" s="11"/>
    </row>
    <row r="7" spans="1:36">
      <c r="A7" s="11" t="s">
        <v>416</v>
      </c>
      <c r="B7" s="88" t="str">
        <f>IF('Agreement 3'!B35="","",'Agreement 3'!B35)</f>
        <v>Miss Nathalie Lake</v>
      </c>
      <c r="C7" s="87" t="s">
        <v>964</v>
      </c>
      <c r="D7" s="78" t="str">
        <f>IF('Agreement 3'!B37="","",'Agreement 3'!B37)</f>
        <v>Software for Mars (Pty) Ltd</v>
      </c>
      <c r="E7" s="162" t="s">
        <v>702</v>
      </c>
      <c r="F7" s="78"/>
      <c r="G7" s="78" t="s">
        <v>697</v>
      </c>
      <c r="H7" s="87" t="str">
        <f>'Agreement 3'!B36</f>
        <v>Administrator</v>
      </c>
      <c r="I7" s="78"/>
      <c r="J7" s="78"/>
      <c r="K7" s="78"/>
      <c r="L7" s="78"/>
      <c r="M7" s="78"/>
      <c r="N7" s="78"/>
      <c r="O7" s="78"/>
      <c r="P7" s="78"/>
      <c r="Q7" s="78"/>
      <c r="R7" s="78"/>
      <c r="S7" s="78"/>
      <c r="T7" s="78"/>
      <c r="U7" s="78"/>
      <c r="V7" s="85" t="str">
        <f>IF('Agreement 3'!B39="","",'Agreement 3'!B39)</f>
        <v>nathalie.lake@email.com</v>
      </c>
      <c r="W7" s="78"/>
    </row>
    <row r="8" spans="1:36">
      <c r="A8" s="11" t="s">
        <v>415</v>
      </c>
      <c r="B8" s="88" t="str">
        <f>StartupInfo!B49</f>
        <v>Miss Barbara Land</v>
      </c>
      <c r="C8" s="87" t="s">
        <v>961</v>
      </c>
      <c r="D8" s="87" t="str">
        <f>StartupInfo!B50</f>
        <v>Freelance</v>
      </c>
      <c r="E8" s="87" t="str">
        <f>StartupInfo!B51</f>
        <v>External</v>
      </c>
      <c r="F8" s="78" t="str">
        <f>StartupInfo!B52</f>
        <v>Other</v>
      </c>
      <c r="G8" s="78" t="str">
        <f>StartupInfo!B53</f>
        <v>Reports directly to the ATL</v>
      </c>
      <c r="H8" s="16" t="s">
        <v>1147</v>
      </c>
      <c r="I8" s="87" t="str">
        <f>StartupInfo!B54</f>
        <v>+000 1111 44444</v>
      </c>
      <c r="J8" s="87"/>
      <c r="K8" s="87"/>
      <c r="L8" s="87"/>
      <c r="M8" s="87"/>
      <c r="N8" s="87"/>
      <c r="O8" s="87"/>
      <c r="P8" s="87"/>
      <c r="Q8" s="87"/>
      <c r="R8" s="87"/>
      <c r="S8" s="87"/>
      <c r="T8" s="87"/>
      <c r="U8" s="87"/>
      <c r="V8" s="86" t="str">
        <f>'Agreement 3'!B45</f>
        <v>barbara.land@email.com</v>
      </c>
      <c r="W8" s="11"/>
      <c r="X8" s="426"/>
      <c r="Y8" s="426"/>
      <c r="Z8" s="426"/>
      <c r="AA8" s="426"/>
    </row>
    <row r="9" spans="1:36">
      <c r="A9" s="11" t="str">
        <f>'Agreement 3'!A6</f>
        <v>Lead appraiser</v>
      </c>
      <c r="B9" s="87" t="str">
        <f>'Agreement 3'!B7</f>
        <v>Dr Pieter van Zyl</v>
      </c>
      <c r="C9" s="87"/>
      <c r="D9" s="87" t="str">
        <f>'Agreement 3'!B8</f>
        <v>Demix (Pty) Ltd</v>
      </c>
      <c r="E9" s="87" t="s">
        <v>971</v>
      </c>
      <c r="H9" s="87" t="str">
        <f>'Agreement 3'!B9</f>
        <v>CMMI V2.0 High Maturity Lead Appraiser</v>
      </c>
      <c r="I9" s="87" t="str">
        <f>'Agreement 3'!B12</f>
        <v>+27-82-900-0008</v>
      </c>
      <c r="J9" s="16" t="s">
        <v>1012</v>
      </c>
      <c r="L9" s="16">
        <v>8</v>
      </c>
      <c r="M9" s="161">
        <v>44137</v>
      </c>
      <c r="O9" s="16">
        <v>35</v>
      </c>
      <c r="P9" s="16" t="s">
        <v>417</v>
      </c>
      <c r="Q9" s="16" t="s">
        <v>1013</v>
      </c>
      <c r="R9" s="16">
        <v>30</v>
      </c>
      <c r="S9" s="16">
        <v>15</v>
      </c>
      <c r="T9" s="16" t="s">
        <v>608</v>
      </c>
      <c r="U9" s="16" t="s">
        <v>608</v>
      </c>
      <c r="V9" s="85" t="str">
        <f>'Agreement 3'!B13</f>
        <v>pieter.vanzyl@demix.org</v>
      </c>
      <c r="Y9" s="16"/>
    </row>
    <row r="10" spans="1:36">
      <c r="Y10" s="16"/>
    </row>
    <row r="11" spans="1:36">
      <c r="A11" s="27" t="s">
        <v>739</v>
      </c>
      <c r="B11" s="28"/>
      <c r="C11" s="29" t="str">
        <f>HYPERLINK(_xlfn.CONCAT("https://cmmiinstitute.com/appraisals-sys/appraisals/",Planning!$B$31,"/appraisal-sponsor"))</f>
        <v>https://cmmiinstitute.com/appraisals-sys/appraisals/53517/appraisal-sponsor</v>
      </c>
      <c r="Y11" s="16"/>
    </row>
    <row r="12" spans="1:36" s="16" customFormat="1">
      <c r="A12" s="164" t="s">
        <v>1015</v>
      </c>
      <c r="B12" s="164" t="s">
        <v>411</v>
      </c>
      <c r="C12" s="164" t="s">
        <v>1031</v>
      </c>
      <c r="D12" s="164" t="s">
        <v>972</v>
      </c>
      <c r="E12" s="164" t="s">
        <v>973</v>
      </c>
      <c r="F12" s="164" t="s">
        <v>1016</v>
      </c>
      <c r="G12" s="164" t="s">
        <v>1017</v>
      </c>
      <c r="H12" s="164" t="s">
        <v>1018</v>
      </c>
      <c r="I12" s="164" t="s">
        <v>1019</v>
      </c>
      <c r="J12" s="164" t="s">
        <v>1020</v>
      </c>
      <c r="K12" s="164" t="s">
        <v>1021</v>
      </c>
      <c r="L12" s="164" t="s">
        <v>1022</v>
      </c>
      <c r="M12" s="164" t="s">
        <v>1023</v>
      </c>
      <c r="N12" s="164"/>
      <c r="O12" s="164" t="s">
        <v>1024</v>
      </c>
      <c r="P12" s="164" t="s">
        <v>1025</v>
      </c>
      <c r="Q12" s="164" t="s">
        <v>1026</v>
      </c>
      <c r="R12" s="164" t="s">
        <v>1027</v>
      </c>
      <c r="S12" s="164" t="s">
        <v>1028</v>
      </c>
      <c r="T12" s="164" t="s">
        <v>1029</v>
      </c>
      <c r="U12" s="164" t="s">
        <v>1030</v>
      </c>
      <c r="V12" s="164" t="s">
        <v>10</v>
      </c>
      <c r="W12" s="163"/>
      <c r="AA12" s="161"/>
    </row>
    <row r="13" spans="1:36">
      <c r="A13" s="11" t="s">
        <v>1066</v>
      </c>
      <c r="B13" s="207" t="s">
        <v>1493</v>
      </c>
      <c r="C13" s="16" t="s">
        <v>1109</v>
      </c>
      <c r="D13" s="16" t="s">
        <v>6</v>
      </c>
      <c r="E13" s="16" t="s">
        <v>971</v>
      </c>
      <c r="F13" s="16" t="s">
        <v>1097</v>
      </c>
      <c r="H13" s="16" t="s">
        <v>931</v>
      </c>
      <c r="I13" s="16" t="s">
        <v>1497</v>
      </c>
      <c r="J13" s="16" t="s">
        <v>1032</v>
      </c>
      <c r="L13" s="16">
        <v>8</v>
      </c>
      <c r="M13" s="161">
        <v>44186</v>
      </c>
      <c r="O13" s="16">
        <v>7</v>
      </c>
      <c r="P13" s="16" t="s">
        <v>417</v>
      </c>
      <c r="Q13" s="16" t="s">
        <v>1013</v>
      </c>
      <c r="R13" s="16">
        <v>3</v>
      </c>
      <c r="S13" s="16">
        <v>0</v>
      </c>
      <c r="T13" s="16" t="s">
        <v>1014</v>
      </c>
      <c r="U13" s="16" t="s">
        <v>1655</v>
      </c>
      <c r="V13" s="29" t="s">
        <v>1501</v>
      </c>
      <c r="AA13" s="253"/>
    </row>
    <row r="14" spans="1:36">
      <c r="A14" s="11" t="s">
        <v>1066</v>
      </c>
      <c r="B14" s="207" t="s">
        <v>1494</v>
      </c>
      <c r="C14" s="16" t="s">
        <v>1109</v>
      </c>
      <c r="D14" s="16" t="s">
        <v>6</v>
      </c>
      <c r="E14" s="16" t="s">
        <v>971</v>
      </c>
      <c r="F14" s="16" t="s">
        <v>1097</v>
      </c>
      <c r="H14" s="16" t="s">
        <v>931</v>
      </c>
      <c r="I14" s="16" t="s">
        <v>1498</v>
      </c>
      <c r="J14" s="16" t="s">
        <v>1032</v>
      </c>
      <c r="L14" s="16">
        <v>8</v>
      </c>
      <c r="M14" s="161">
        <v>44186</v>
      </c>
      <c r="O14" s="16">
        <v>18</v>
      </c>
      <c r="P14" s="16" t="s">
        <v>417</v>
      </c>
      <c r="Q14" s="16" t="s">
        <v>1013</v>
      </c>
      <c r="R14" s="16">
        <v>14</v>
      </c>
      <c r="S14" s="16">
        <v>0</v>
      </c>
      <c r="T14" s="16" t="s">
        <v>1014</v>
      </c>
      <c r="U14" s="16" t="s">
        <v>1655</v>
      </c>
      <c r="V14" s="29" t="s">
        <v>1502</v>
      </c>
      <c r="AA14" s="253"/>
    </row>
    <row r="15" spans="1:36">
      <c r="A15" s="11" t="s">
        <v>1066</v>
      </c>
      <c r="B15" s="207" t="s">
        <v>1495</v>
      </c>
      <c r="C15" s="16" t="s">
        <v>1109</v>
      </c>
      <c r="D15" s="16" t="s">
        <v>6</v>
      </c>
      <c r="E15" s="16" t="s">
        <v>971</v>
      </c>
      <c r="F15" s="16" t="s">
        <v>1097</v>
      </c>
      <c r="H15" s="16" t="s">
        <v>931</v>
      </c>
      <c r="I15" s="16" t="s">
        <v>1499</v>
      </c>
      <c r="J15" s="16" t="s">
        <v>1012</v>
      </c>
      <c r="L15" s="16">
        <v>8</v>
      </c>
      <c r="M15" s="161">
        <v>44186</v>
      </c>
      <c r="O15" s="16">
        <v>20</v>
      </c>
      <c r="P15" s="16" t="s">
        <v>417</v>
      </c>
      <c r="Q15" s="16" t="s">
        <v>1013</v>
      </c>
      <c r="R15" s="16">
        <v>30</v>
      </c>
      <c r="S15" s="16">
        <v>5</v>
      </c>
      <c r="T15" s="16" t="s">
        <v>1014</v>
      </c>
      <c r="U15" s="16" t="s">
        <v>1655</v>
      </c>
      <c r="V15" s="29" t="s">
        <v>1503</v>
      </c>
      <c r="AA15" s="253"/>
    </row>
    <row r="16" spans="1:36">
      <c r="A16" s="11" t="s">
        <v>1066</v>
      </c>
      <c r="B16" s="207" t="s">
        <v>1496</v>
      </c>
      <c r="C16" s="16" t="s">
        <v>1109</v>
      </c>
      <c r="D16" s="16" t="s">
        <v>6</v>
      </c>
      <c r="E16" s="16" t="s">
        <v>971</v>
      </c>
      <c r="F16" s="16" t="s">
        <v>1097</v>
      </c>
      <c r="H16" s="16" t="s">
        <v>931</v>
      </c>
      <c r="I16" s="16" t="s">
        <v>1500</v>
      </c>
      <c r="J16" s="16" t="s">
        <v>1032</v>
      </c>
      <c r="L16" s="16">
        <v>8</v>
      </c>
      <c r="M16" s="161">
        <v>44186</v>
      </c>
      <c r="O16" s="16">
        <v>12</v>
      </c>
      <c r="P16" s="16" t="s">
        <v>417</v>
      </c>
      <c r="Q16" s="16" t="s">
        <v>1013</v>
      </c>
      <c r="R16" s="16">
        <v>10</v>
      </c>
      <c r="S16" s="16">
        <v>9</v>
      </c>
      <c r="T16" s="16" t="s">
        <v>1014</v>
      </c>
      <c r="U16" s="16" t="s">
        <v>1655</v>
      </c>
      <c r="V16" s="29" t="s">
        <v>1504</v>
      </c>
      <c r="AA16" s="253"/>
    </row>
    <row r="17" spans="1:27">
      <c r="A17" s="11" t="s">
        <v>1066</v>
      </c>
      <c r="B17" s="207" t="s">
        <v>1191</v>
      </c>
      <c r="C17" s="16" t="s">
        <v>1109</v>
      </c>
      <c r="D17" s="16" t="s">
        <v>6</v>
      </c>
      <c r="E17" s="16" t="s">
        <v>971</v>
      </c>
      <c r="F17" s="16" t="s">
        <v>1097</v>
      </c>
      <c r="H17" s="16" t="s">
        <v>931</v>
      </c>
      <c r="I17" s="16" t="s">
        <v>1192</v>
      </c>
      <c r="J17" s="16" t="s">
        <v>1032</v>
      </c>
      <c r="K17" s="16" t="s">
        <v>1033</v>
      </c>
      <c r="L17" s="16">
        <v>8</v>
      </c>
      <c r="M17" s="161">
        <v>44137</v>
      </c>
      <c r="O17" s="16">
        <v>16</v>
      </c>
      <c r="P17" s="16" t="s">
        <v>417</v>
      </c>
      <c r="Q17" s="16" t="s">
        <v>1013</v>
      </c>
      <c r="R17" s="16">
        <v>17</v>
      </c>
      <c r="S17" s="16">
        <v>2</v>
      </c>
      <c r="T17" s="16" t="s">
        <v>1014</v>
      </c>
      <c r="U17" s="16" t="s">
        <v>1655</v>
      </c>
      <c r="V17" s="29" t="s">
        <v>1193</v>
      </c>
      <c r="AA17" s="253"/>
    </row>
    <row r="18" spans="1:27">
      <c r="A18" s="11" t="s">
        <v>1066</v>
      </c>
      <c r="B18" s="207" t="s">
        <v>1194</v>
      </c>
      <c r="C18" s="16" t="s">
        <v>1109</v>
      </c>
      <c r="D18" s="16" t="s">
        <v>6</v>
      </c>
      <c r="E18" s="16" t="s">
        <v>971</v>
      </c>
      <c r="F18" s="16" t="s">
        <v>1097</v>
      </c>
      <c r="H18" s="16" t="s">
        <v>931</v>
      </c>
      <c r="I18" s="16" t="s">
        <v>1195</v>
      </c>
      <c r="J18" s="16" t="s">
        <v>1032</v>
      </c>
      <c r="L18" s="16">
        <v>8</v>
      </c>
      <c r="M18" s="161">
        <v>44202</v>
      </c>
      <c r="O18" s="16">
        <v>18</v>
      </c>
      <c r="P18" s="16" t="s">
        <v>417</v>
      </c>
      <c r="Q18" s="16" t="s">
        <v>1013</v>
      </c>
      <c r="R18" s="16">
        <v>15</v>
      </c>
      <c r="S18" s="16">
        <v>1</v>
      </c>
      <c r="T18" s="16" t="s">
        <v>1014</v>
      </c>
      <c r="U18" s="16" t="s">
        <v>1655</v>
      </c>
      <c r="V18" s="29" t="s">
        <v>1196</v>
      </c>
      <c r="AA18" s="253"/>
    </row>
    <row r="19" spans="1:27">
      <c r="A19" s="11" t="s">
        <v>1066</v>
      </c>
      <c r="B19" s="207" t="s">
        <v>1197</v>
      </c>
      <c r="C19" s="16" t="s">
        <v>1109</v>
      </c>
      <c r="D19" s="16" t="s">
        <v>6</v>
      </c>
      <c r="E19" s="16" t="s">
        <v>702</v>
      </c>
      <c r="F19" s="16" t="s">
        <v>697</v>
      </c>
      <c r="H19" s="16" t="s">
        <v>1189</v>
      </c>
      <c r="I19" s="16" t="s">
        <v>1198</v>
      </c>
      <c r="J19" s="16" t="s">
        <v>1012</v>
      </c>
      <c r="K19" s="16" t="s">
        <v>1033</v>
      </c>
      <c r="L19" s="16">
        <v>8</v>
      </c>
      <c r="M19" s="161">
        <v>44144</v>
      </c>
      <c r="O19" s="16">
        <v>20</v>
      </c>
      <c r="P19" s="16" t="s">
        <v>417</v>
      </c>
      <c r="Q19" s="16" t="s">
        <v>1013</v>
      </c>
      <c r="R19" s="16">
        <v>14</v>
      </c>
      <c r="S19" s="16">
        <v>2</v>
      </c>
      <c r="T19" s="16" t="s">
        <v>1014</v>
      </c>
      <c r="U19" s="16" t="s">
        <v>1655</v>
      </c>
      <c r="V19" s="29" t="s">
        <v>1199</v>
      </c>
      <c r="AA19" s="253"/>
    </row>
    <row r="20" spans="1:27">
      <c r="A20" s="11" t="s">
        <v>1066</v>
      </c>
      <c r="B20" s="207" t="s">
        <v>1200</v>
      </c>
      <c r="C20" s="16" t="s">
        <v>1109</v>
      </c>
      <c r="D20" s="16" t="s">
        <v>6</v>
      </c>
      <c r="E20" s="16" t="s">
        <v>702</v>
      </c>
      <c r="F20" s="16" t="s">
        <v>697</v>
      </c>
      <c r="H20" s="16" t="s">
        <v>1189</v>
      </c>
      <c r="I20" s="16" t="s">
        <v>1201</v>
      </c>
      <c r="J20" s="16" t="s">
        <v>1032</v>
      </c>
      <c r="K20" s="16" t="s">
        <v>1033</v>
      </c>
      <c r="L20" s="16">
        <v>8</v>
      </c>
      <c r="M20" s="161">
        <v>44144</v>
      </c>
      <c r="O20" s="16">
        <v>5</v>
      </c>
      <c r="P20" s="16" t="s">
        <v>417</v>
      </c>
      <c r="Q20" s="16" t="s">
        <v>1013</v>
      </c>
      <c r="R20" s="16">
        <v>14</v>
      </c>
      <c r="S20" s="16">
        <v>3</v>
      </c>
      <c r="T20" s="16" t="s">
        <v>1014</v>
      </c>
      <c r="U20" s="16" t="s">
        <v>1655</v>
      </c>
      <c r="V20" s="29" t="s">
        <v>1202</v>
      </c>
      <c r="AA20" s="253"/>
    </row>
    <row r="21" spans="1:27">
      <c r="A21" s="11" t="s">
        <v>1066</v>
      </c>
      <c r="B21" s="207" t="s">
        <v>1203</v>
      </c>
      <c r="C21" s="16" t="s">
        <v>1109</v>
      </c>
      <c r="D21" s="16" t="s">
        <v>6</v>
      </c>
      <c r="E21" s="16" t="s">
        <v>971</v>
      </c>
      <c r="F21" s="16" t="s">
        <v>1097</v>
      </c>
      <c r="H21" s="16" t="s">
        <v>931</v>
      </c>
      <c r="I21" s="16" t="s">
        <v>1204</v>
      </c>
      <c r="J21" s="16" t="s">
        <v>1032</v>
      </c>
      <c r="K21" s="16" t="s">
        <v>1033</v>
      </c>
      <c r="L21" s="16">
        <v>8</v>
      </c>
      <c r="M21" s="161">
        <v>44202</v>
      </c>
      <c r="O21" s="16">
        <v>17</v>
      </c>
      <c r="P21" s="16" t="s">
        <v>417</v>
      </c>
      <c r="Q21" s="16" t="s">
        <v>1013</v>
      </c>
      <c r="R21" s="16">
        <v>17</v>
      </c>
      <c r="S21" s="16">
        <v>1</v>
      </c>
      <c r="T21" s="16" t="s">
        <v>1014</v>
      </c>
      <c r="U21" s="16" t="s">
        <v>1655</v>
      </c>
      <c r="V21" s="29" t="s">
        <v>1205</v>
      </c>
      <c r="AA21" s="253"/>
    </row>
    <row r="22" spans="1:27">
      <c r="B22" s="207"/>
      <c r="V22" s="29"/>
      <c r="AA22" s="253"/>
    </row>
    <row r="23" spans="1:27">
      <c r="A23" s="207" t="s">
        <v>932</v>
      </c>
      <c r="B23" s="207" t="s">
        <v>1523</v>
      </c>
      <c r="C23" s="16" t="s">
        <v>1109</v>
      </c>
      <c r="V23" s="29" t="s">
        <v>1522</v>
      </c>
      <c r="AA23" s="253"/>
    </row>
    <row r="24" spans="1:27">
      <c r="A24" s="11" t="s">
        <v>931</v>
      </c>
      <c r="B24" s="207"/>
      <c r="C24" s="16" t="s">
        <v>1109</v>
      </c>
      <c r="V24" s="29"/>
      <c r="AA24" s="253"/>
    </row>
    <row r="25" spans="1:27">
      <c r="A25" s="11" t="s">
        <v>1066</v>
      </c>
      <c r="B25" s="207" t="s">
        <v>1493</v>
      </c>
      <c r="C25" s="16" t="s">
        <v>1109</v>
      </c>
      <c r="D25" s="16" t="s">
        <v>6</v>
      </c>
      <c r="E25" s="16" t="s">
        <v>971</v>
      </c>
      <c r="F25" s="16" t="s">
        <v>1097</v>
      </c>
      <c r="H25" s="16" t="s">
        <v>931</v>
      </c>
      <c r="I25" s="16" t="s">
        <v>1497</v>
      </c>
      <c r="J25" s="16" t="s">
        <v>1032</v>
      </c>
      <c r="L25" s="16">
        <v>8</v>
      </c>
      <c r="M25" s="161">
        <v>44186</v>
      </c>
      <c r="O25" s="16">
        <v>7</v>
      </c>
      <c r="P25" s="16" t="s">
        <v>417</v>
      </c>
      <c r="Q25" s="16" t="s">
        <v>1013</v>
      </c>
      <c r="R25" s="16">
        <v>3</v>
      </c>
      <c r="S25" s="16">
        <v>0</v>
      </c>
      <c r="T25" s="16" t="s">
        <v>1014</v>
      </c>
      <c r="U25" s="16" t="s">
        <v>1655</v>
      </c>
      <c r="V25" s="29" t="s">
        <v>1501</v>
      </c>
      <c r="AA25" s="253"/>
    </row>
    <row r="27" spans="1:27">
      <c r="A27" s="27" t="s">
        <v>740</v>
      </c>
      <c r="B27" s="28"/>
      <c r="C27" s="29" t="str">
        <f>HYPERLINK(_xlfn.CONCAT("https://cmmiinstitute.com/appraisals-sys/appraisals/",Planning!$B$31,"/training-schedule"))</f>
        <v>https://cmmiinstitute.com/appraisals-sys/appraisals/53517/training-schedule</v>
      </c>
    </row>
    <row r="28" spans="1:27">
      <c r="A28" s="36" t="s">
        <v>742</v>
      </c>
      <c r="B28" s="37"/>
    </row>
    <row r="30" spans="1:27">
      <c r="A30" s="27" t="s">
        <v>741</v>
      </c>
      <c r="B30" s="28"/>
      <c r="C30" s="29" t="str">
        <f>HYPERLINK(_xlfn.CONCAT("https://cmmiinstitute.com/appraisals-sys/appraisals/",Planning!$B$31,"/team-member-experience"))</f>
        <v>https://cmmiinstitute.com/appraisals-sys/appraisals/53517/team-member-experience</v>
      </c>
    </row>
    <row r="31" spans="1:27">
      <c r="A31" s="36" t="s">
        <v>742</v>
      </c>
      <c r="B31" s="37"/>
    </row>
    <row r="33" spans="1:23">
      <c r="A33" s="27" t="s">
        <v>743</v>
      </c>
      <c r="B33" s="28"/>
      <c r="C33" s="29" t="str">
        <f>HYPERLINK(_xlfn.CONCAT("https://cmmiinstitute.com/appraisals-sys/appraisals/",Planning!$B$31,"/roles-responsibilities"))</f>
        <v>https://cmmiinstitute.com/appraisals-sys/appraisals/53517/roles-responsibilities</v>
      </c>
    </row>
    <row r="34" spans="1:23">
      <c r="A34" s="36" t="s">
        <v>1142</v>
      </c>
      <c r="B34" s="37"/>
    </row>
    <row r="36" spans="1:23">
      <c r="A36" s="27" t="s">
        <v>744</v>
      </c>
      <c r="B36" s="28"/>
      <c r="C36" s="29" t="str">
        <f>HYPERLINK(_xlfn.CONCAT("https://cmmiinstitute.com/appraisals-sys/appraisals/",Planning!$B$31,"/appraisal-participants"))</f>
        <v>https://cmmiinstitute.com/appraisals-sys/appraisals/53517/appraisal-participants</v>
      </c>
    </row>
    <row r="37" spans="1:23" s="103" customFormat="1">
      <c r="A37" s="104" t="s">
        <v>1310</v>
      </c>
      <c r="B37" s="102"/>
      <c r="C37" s="165" t="s">
        <v>1037</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745</v>
      </c>
      <c r="B39" s="28"/>
      <c r="C39" s="29" t="str">
        <f>HYPERLINK(_xlfn.CONCAT("https://cmmiinstitute.com/appraisals-sys/appraisals/",Planning!$B$31,"/participants-responsibilities"))</f>
        <v>https://cmmiinstitute.com/appraisals-sys/appraisals/53517/participants-responsibilities</v>
      </c>
    </row>
    <row r="40" spans="1:23" s="103" customFormat="1">
      <c r="A40" s="104" t="s">
        <v>1311</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577</v>
      </c>
      <c r="B1" s="17"/>
    </row>
    <row r="2" spans="1:3" s="11" customFormat="1">
      <c r="A2" s="28" t="s">
        <v>801</v>
      </c>
      <c r="B2" s="28"/>
      <c r="C2" s="49"/>
    </row>
    <row r="3" spans="1:3" s="11" customFormat="1">
      <c r="A3" s="11" t="s">
        <v>1315</v>
      </c>
    </row>
    <row r="4" spans="1:3" s="11" customFormat="1"/>
    <row r="5" spans="1:3" s="11" customFormat="1">
      <c r="A5" s="28" t="s">
        <v>802</v>
      </c>
      <c r="B5" s="28"/>
      <c r="C5" s="49"/>
    </row>
    <row r="6" spans="1:3" s="11" customFormat="1">
      <c r="A6" s="11" t="s">
        <v>1315</v>
      </c>
    </row>
    <row r="7" spans="1:3" s="11" customFormat="1"/>
    <row r="8" spans="1:3" s="11" customFormat="1" ht="28.8">
      <c r="A8" s="28" t="s">
        <v>803</v>
      </c>
      <c r="B8" s="28"/>
      <c r="C8" s="49"/>
    </row>
    <row r="9" spans="1:3" s="11" customFormat="1">
      <c r="A9" s="11" t="s">
        <v>1315</v>
      </c>
      <c r="B9" s="11" t="s">
        <v>1317</v>
      </c>
    </row>
    <row r="10" spans="1:3" s="11" customFormat="1"/>
    <row r="11" spans="1:3" s="11" customFormat="1">
      <c r="A11" s="28" t="s">
        <v>804</v>
      </c>
      <c r="B11" s="28"/>
      <c r="C11" s="49"/>
    </row>
    <row r="12" spans="1:3" s="11" customFormat="1"/>
    <row r="13" spans="1:3" s="11" customFormat="1"/>
    <row r="14" spans="1:3" s="11" customFormat="1">
      <c r="A14" s="28" t="s">
        <v>805</v>
      </c>
      <c r="B14" s="28"/>
      <c r="C14" s="49"/>
    </row>
    <row r="15" spans="1:3" s="11" customFormat="1" ht="28.8">
      <c r="A15" s="11" t="s">
        <v>1315</v>
      </c>
      <c r="B15" s="11" t="s">
        <v>1316</v>
      </c>
    </row>
    <row r="16" spans="1:3" s="11" customFormat="1"/>
    <row r="17" spans="1:3" s="11" customFormat="1">
      <c r="A17" s="28" t="s">
        <v>806</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180"/>
  <sheetViews>
    <sheetView zoomScale="85" zoomScaleNormal="85" workbookViewId="0">
      <selection activeCell="A132" sqref="A132"/>
    </sheetView>
  </sheetViews>
  <sheetFormatPr defaultColWidth="8.6640625" defaultRowHeight="14.4"/>
  <cols>
    <col min="1" max="1" width="43.6640625" style="11" customWidth="1"/>
    <col min="2" max="2" width="42.77734375" style="11" customWidth="1"/>
    <col min="3" max="3" width="17.33203125" style="11" customWidth="1"/>
    <col min="4" max="4" width="34.33203125" style="11" customWidth="1"/>
    <col min="5" max="5" width="34.6640625" style="11" customWidth="1"/>
    <col min="6" max="6" width="34.88671875" style="11" customWidth="1"/>
    <col min="7" max="7" width="8.77734375" style="11" customWidth="1"/>
    <col min="8" max="29" width="4.6640625" style="11" customWidth="1"/>
    <col min="30" max="16384" width="8.6640625" style="11"/>
  </cols>
  <sheetData>
    <row r="1" spans="1:3">
      <c r="A1" s="15" t="s">
        <v>755</v>
      </c>
      <c r="B1" s="17"/>
    </row>
    <row r="2" spans="1:3">
      <c r="A2" s="27" t="s">
        <v>756</v>
      </c>
      <c r="B2" s="28"/>
      <c r="C2" s="29"/>
    </row>
    <row r="3" spans="1:3" s="16" customFormat="1">
      <c r="A3" s="24" t="s">
        <v>758</v>
      </c>
      <c r="B3" s="11"/>
    </row>
    <row r="4" spans="1:3" s="16" customFormat="1" ht="57.6">
      <c r="A4" s="16" t="s">
        <v>579</v>
      </c>
      <c r="B4" s="11" t="s">
        <v>1318</v>
      </c>
    </row>
    <row r="5" spans="1:3" s="16" customFormat="1">
      <c r="A5" s="16" t="s">
        <v>580</v>
      </c>
      <c r="B5" s="11" t="s">
        <v>1687</v>
      </c>
    </row>
    <row r="6" spans="1:3" s="16" customFormat="1">
      <c r="A6" s="16" t="s">
        <v>581</v>
      </c>
      <c r="B6" s="11" t="s">
        <v>1687</v>
      </c>
    </row>
    <row r="7" spans="1:3" s="16" customFormat="1">
      <c r="B7" s="11"/>
    </row>
    <row r="8" spans="1:3" s="16" customFormat="1">
      <c r="A8" s="24" t="s">
        <v>759</v>
      </c>
      <c r="B8" s="11"/>
    </row>
    <row r="9" spans="1:3" s="16" customFormat="1" ht="43.2">
      <c r="A9" s="16" t="s">
        <v>579</v>
      </c>
      <c r="B9" s="11" t="s">
        <v>1319</v>
      </c>
    </row>
    <row r="10" spans="1:3" s="16" customFormat="1" ht="28.8">
      <c r="A10" s="16" t="s">
        <v>580</v>
      </c>
      <c r="B10" s="11" t="s">
        <v>1688</v>
      </c>
    </row>
    <row r="11" spans="1:3" s="16" customFormat="1">
      <c r="A11" s="16" t="s">
        <v>581</v>
      </c>
      <c r="B11" s="11" t="s">
        <v>582</v>
      </c>
    </row>
    <row r="12" spans="1:3" s="16" customFormat="1">
      <c r="B12" s="11"/>
    </row>
    <row r="13" spans="1:3" s="16" customFormat="1">
      <c r="A13" s="24" t="s">
        <v>760</v>
      </c>
      <c r="B13" s="11"/>
    </row>
    <row r="14" spans="1:3" s="16" customFormat="1" ht="28.8">
      <c r="A14" s="16" t="s">
        <v>579</v>
      </c>
      <c r="B14" s="11" t="s">
        <v>1320</v>
      </c>
    </row>
    <row r="15" spans="1:3" s="16" customFormat="1" ht="28.8">
      <c r="A15" s="16" t="s">
        <v>580</v>
      </c>
      <c r="B15" s="11" t="s">
        <v>1689</v>
      </c>
    </row>
    <row r="16" spans="1:3" s="16" customFormat="1">
      <c r="A16" s="16" t="s">
        <v>581</v>
      </c>
      <c r="B16" s="11" t="s">
        <v>582</v>
      </c>
    </row>
    <row r="17" spans="1:3" s="16" customFormat="1">
      <c r="B17" s="11"/>
    </row>
    <row r="18" spans="1:3" s="16" customFormat="1">
      <c r="A18" s="24" t="s">
        <v>652</v>
      </c>
      <c r="B18" s="11"/>
    </row>
    <row r="19" spans="1:3" s="16" customFormat="1" ht="57.6">
      <c r="A19" s="16" t="s">
        <v>579</v>
      </c>
      <c r="B19" s="11" t="s">
        <v>1321</v>
      </c>
    </row>
    <row r="20" spans="1:3" s="16" customFormat="1">
      <c r="A20" s="16" t="s">
        <v>580</v>
      </c>
      <c r="B20" s="11" t="s">
        <v>583</v>
      </c>
    </row>
    <row r="21" spans="1:3" s="16" customFormat="1">
      <c r="A21" s="16" t="s">
        <v>581</v>
      </c>
      <c r="B21" s="11" t="s">
        <v>703</v>
      </c>
    </row>
    <row r="22" spans="1:3" s="16" customFormat="1">
      <c r="B22" s="11"/>
    </row>
    <row r="23" spans="1:3">
      <c r="A23" s="27" t="s">
        <v>757</v>
      </c>
      <c r="B23" s="28"/>
      <c r="C23" s="16"/>
    </row>
    <row r="24" spans="1:3" s="16" customFormat="1" ht="43.2">
      <c r="A24" s="16" t="s">
        <v>579</v>
      </c>
      <c r="B24" s="11" t="s">
        <v>1322</v>
      </c>
    </row>
    <row r="25" spans="1:3" s="16" customFormat="1">
      <c r="B25" s="11"/>
    </row>
    <row r="26" spans="1:3">
      <c r="A26" s="27" t="s">
        <v>762</v>
      </c>
      <c r="B26" s="28"/>
      <c r="C26" s="29"/>
    </row>
    <row r="27" spans="1:3" s="16" customFormat="1">
      <c r="A27" s="16" t="s">
        <v>587</v>
      </c>
      <c r="B27" s="13" t="s">
        <v>425</v>
      </c>
      <c r="C27" s="16" t="s">
        <v>381</v>
      </c>
    </row>
    <row r="28" spans="1:3" s="16" customFormat="1">
      <c r="A28" s="16" t="s">
        <v>588</v>
      </c>
      <c r="B28" s="11" t="s">
        <v>761</v>
      </c>
    </row>
    <row r="29" spans="1:3" s="16" customFormat="1" ht="28.8">
      <c r="A29" s="16" t="s">
        <v>579</v>
      </c>
      <c r="B29" s="11" t="s">
        <v>1690</v>
      </c>
    </row>
    <row r="30" spans="1:3" s="16" customFormat="1">
      <c r="A30" s="16" t="s">
        <v>580</v>
      </c>
      <c r="B30" s="11" t="s">
        <v>583</v>
      </c>
    </row>
    <row r="31" spans="1:3" s="16" customFormat="1">
      <c r="A31" s="16" t="s">
        <v>581</v>
      </c>
      <c r="B31" s="11" t="s">
        <v>582</v>
      </c>
    </row>
    <row r="32" spans="1:3" s="16" customFormat="1">
      <c r="B32" s="11"/>
    </row>
    <row r="33" spans="1:3" s="16" customFormat="1">
      <c r="A33" s="16" t="s">
        <v>587</v>
      </c>
      <c r="B33" s="13" t="s">
        <v>425</v>
      </c>
      <c r="C33" s="16" t="s">
        <v>381</v>
      </c>
    </row>
    <row r="34" spans="1:3" s="16" customFormat="1">
      <c r="A34" s="16" t="s">
        <v>588</v>
      </c>
      <c r="B34" s="11" t="s">
        <v>1611</v>
      </c>
    </row>
    <row r="35" spans="1:3" s="16" customFormat="1" ht="28.8">
      <c r="A35" s="16" t="s">
        <v>579</v>
      </c>
      <c r="B35" s="11" t="s">
        <v>1612</v>
      </c>
    </row>
    <row r="36" spans="1:3" s="16" customFormat="1">
      <c r="A36" s="16" t="s">
        <v>580</v>
      </c>
      <c r="B36" s="11" t="s">
        <v>583</v>
      </c>
    </row>
    <row r="37" spans="1:3" s="16" customFormat="1">
      <c r="A37" s="16" t="s">
        <v>581</v>
      </c>
      <c r="B37" s="11" t="s">
        <v>582</v>
      </c>
    </row>
    <row r="38" spans="1:3" s="16" customFormat="1">
      <c r="B38" s="11"/>
    </row>
    <row r="39" spans="1:3" s="16" customFormat="1">
      <c r="A39" s="16" t="s">
        <v>587</v>
      </c>
      <c r="B39" s="13" t="s">
        <v>425</v>
      </c>
      <c r="C39" s="16" t="s">
        <v>381</v>
      </c>
    </row>
    <row r="40" spans="1:3" s="16" customFormat="1">
      <c r="A40" s="16" t="s">
        <v>588</v>
      </c>
      <c r="B40" s="11" t="s">
        <v>1682</v>
      </c>
    </row>
    <row r="41" spans="1:3" s="16" customFormat="1" ht="43.2">
      <c r="A41" s="16" t="s">
        <v>579</v>
      </c>
      <c r="B41" s="11" t="s">
        <v>1683</v>
      </c>
    </row>
    <row r="42" spans="1:3" s="16" customFormat="1">
      <c r="A42" s="16" t="s">
        <v>580</v>
      </c>
      <c r="B42" s="11" t="s">
        <v>583</v>
      </c>
    </row>
    <row r="43" spans="1:3" s="16" customFormat="1">
      <c r="A43" s="16" t="s">
        <v>581</v>
      </c>
      <c r="B43" s="11" t="s">
        <v>582</v>
      </c>
    </row>
    <row r="44" spans="1:3" s="16" customFormat="1">
      <c r="B44" s="11"/>
    </row>
    <row r="45" spans="1:3" s="16" customFormat="1">
      <c r="B45" s="11"/>
    </row>
    <row r="46" spans="1:3" s="16" customFormat="1">
      <c r="A46" s="105" t="s">
        <v>586</v>
      </c>
      <c r="B46" s="11"/>
    </row>
    <row r="47" spans="1:3">
      <c r="A47" s="14"/>
    </row>
    <row r="48" spans="1:3">
      <c r="A48" s="15" t="s">
        <v>763</v>
      </c>
      <c r="B48" s="17"/>
    </row>
    <row r="49" spans="1:3">
      <c r="A49" s="27" t="s">
        <v>764</v>
      </c>
      <c r="B49" s="28"/>
      <c r="C49" s="29"/>
    </row>
    <row r="50" spans="1:3">
      <c r="A50" s="11" t="s">
        <v>589</v>
      </c>
      <c r="B50" s="13" t="s">
        <v>591</v>
      </c>
      <c r="C50" s="11" t="s">
        <v>381</v>
      </c>
    </row>
    <row r="51" spans="1:3" ht="57.6">
      <c r="A51" s="11" t="s">
        <v>379</v>
      </c>
      <c r="B51" s="11" t="s">
        <v>765</v>
      </c>
    </row>
    <row r="53" spans="1:3">
      <c r="A53" s="27" t="s">
        <v>766</v>
      </c>
      <c r="B53" s="28"/>
      <c r="C53" s="29"/>
    </row>
    <row r="54" spans="1:3">
      <c r="A54" s="11" t="s">
        <v>593</v>
      </c>
      <c r="B54" s="13" t="s">
        <v>596</v>
      </c>
      <c r="C54" s="11" t="s">
        <v>381</v>
      </c>
    </row>
    <row r="55" spans="1:3">
      <c r="A55" s="11" t="s">
        <v>594</v>
      </c>
    </row>
    <row r="56" spans="1:3">
      <c r="A56" s="11" t="s">
        <v>601</v>
      </c>
      <c r="B56" s="11" t="s">
        <v>602</v>
      </c>
    </row>
    <row r="57" spans="1:3" ht="57.6">
      <c r="A57" s="11" t="s">
        <v>379</v>
      </c>
      <c r="B57" s="11" t="s">
        <v>603</v>
      </c>
    </row>
    <row r="59" spans="1:3" s="16" customFormat="1">
      <c r="A59" s="105" t="s">
        <v>586</v>
      </c>
      <c r="B59" s="11"/>
    </row>
    <row r="61" spans="1:3">
      <c r="A61" s="27" t="s">
        <v>767</v>
      </c>
      <c r="B61" s="28"/>
      <c r="C61" s="29"/>
    </row>
    <row r="62" spans="1:3">
      <c r="A62" s="11" t="s">
        <v>605</v>
      </c>
      <c r="B62" s="13" t="s">
        <v>425</v>
      </c>
      <c r="C62" s="11" t="s">
        <v>381</v>
      </c>
    </row>
    <row r="63" spans="1:3">
      <c r="A63" s="11" t="s">
        <v>610</v>
      </c>
      <c r="B63" s="11" t="s">
        <v>611</v>
      </c>
    </row>
    <row r="64" spans="1:3" ht="28.8">
      <c r="A64" s="11" t="s">
        <v>379</v>
      </c>
      <c r="B64" s="11" t="s">
        <v>704</v>
      </c>
    </row>
    <row r="66" spans="1:3">
      <c r="A66" s="27" t="s">
        <v>768</v>
      </c>
      <c r="B66" s="28"/>
    </row>
    <row r="67" spans="1:3">
      <c r="A67" s="11" t="s">
        <v>589</v>
      </c>
      <c r="B67" s="13" t="s">
        <v>608</v>
      </c>
      <c r="C67" s="11" t="s">
        <v>381</v>
      </c>
    </row>
    <row r="68" spans="1:3">
      <c r="A68" s="11" t="s">
        <v>612</v>
      </c>
      <c r="B68" s="11" t="s">
        <v>417</v>
      </c>
    </row>
    <row r="69" spans="1:3" ht="28.8">
      <c r="A69" s="11" t="s">
        <v>379</v>
      </c>
      <c r="B69" s="11" t="s">
        <v>1143</v>
      </c>
    </row>
    <row r="71" spans="1:3">
      <c r="A71" s="27" t="s">
        <v>769</v>
      </c>
      <c r="B71" s="28"/>
      <c r="C71" s="29"/>
    </row>
    <row r="72" spans="1:3">
      <c r="A72" s="11" t="s">
        <v>613</v>
      </c>
      <c r="B72" s="11" t="s">
        <v>26</v>
      </c>
    </row>
    <row r="74" spans="1:3">
      <c r="A74" s="27" t="s">
        <v>770</v>
      </c>
      <c r="B74" s="28"/>
      <c r="C74" s="29"/>
    </row>
    <row r="75" spans="1:3">
      <c r="A75" s="11" t="s">
        <v>614</v>
      </c>
      <c r="B75" s="11" t="s">
        <v>705</v>
      </c>
    </row>
    <row r="76" spans="1:3">
      <c r="A76" s="11" t="s">
        <v>615</v>
      </c>
      <c r="B76" s="33">
        <f>Planning!B35</f>
        <v>44997</v>
      </c>
      <c r="C76" s="11" t="s">
        <v>922</v>
      </c>
    </row>
    <row r="77" spans="1:3">
      <c r="A77" s="11" t="s">
        <v>616</v>
      </c>
      <c r="B77" s="11" t="s">
        <v>706</v>
      </c>
    </row>
    <row r="79" spans="1:3">
      <c r="A79" s="11" t="s">
        <v>614</v>
      </c>
      <c r="B79" s="11" t="s">
        <v>707</v>
      </c>
    </row>
    <row r="80" spans="1:3">
      <c r="A80" s="11" t="s">
        <v>615</v>
      </c>
      <c r="B80" s="33">
        <f>Planning!B38</f>
        <v>45015</v>
      </c>
      <c r="C80" s="11" t="s">
        <v>922</v>
      </c>
    </row>
    <row r="81" spans="1:3" ht="28.8">
      <c r="A81" s="11" t="s">
        <v>616</v>
      </c>
      <c r="B81" s="11" t="s">
        <v>929</v>
      </c>
    </row>
    <row r="83" spans="1:3" s="16" customFormat="1">
      <c r="A83" s="105" t="s">
        <v>586</v>
      </c>
      <c r="B83" s="11"/>
    </row>
    <row r="85" spans="1:3">
      <c r="A85" s="27" t="s">
        <v>578</v>
      </c>
      <c r="B85" s="28"/>
      <c r="C85" s="29"/>
    </row>
    <row r="86" spans="1:3">
      <c r="A86" s="11" t="s">
        <v>578</v>
      </c>
      <c r="B86" s="11" t="s">
        <v>708</v>
      </c>
    </row>
    <row r="88" spans="1:3">
      <c r="A88" s="17" t="s">
        <v>771</v>
      </c>
      <c r="B88" s="17"/>
    </row>
    <row r="89" spans="1:3">
      <c r="A89" s="27" t="s">
        <v>771</v>
      </c>
      <c r="B89" s="28"/>
      <c r="C89" s="29"/>
    </row>
    <row r="90" spans="1:3">
      <c r="A90" s="11" t="s">
        <v>391</v>
      </c>
      <c r="B90" s="89" t="str">
        <f>_xlfn.CONCAT("Readiness review for ",B75)</f>
        <v>Readiness review for Version 1 of OE database</v>
      </c>
      <c r="C90" s="11" t="s">
        <v>962</v>
      </c>
    </row>
    <row r="91" spans="1:3">
      <c r="A91" s="11" t="s">
        <v>392</v>
      </c>
      <c r="B91" s="33">
        <f>Planning!B36</f>
        <v>44997</v>
      </c>
      <c r="C91" s="11" t="s">
        <v>922</v>
      </c>
    </row>
    <row r="92" spans="1:3">
      <c r="A92" s="11" t="s">
        <v>393</v>
      </c>
      <c r="B92" s="33">
        <f>B91</f>
        <v>44997</v>
      </c>
      <c r="C92" s="11" t="s">
        <v>962</v>
      </c>
    </row>
    <row r="93" spans="1:3" ht="43.2">
      <c r="A93" s="11" t="s">
        <v>709</v>
      </c>
      <c r="B93" s="11" t="s">
        <v>1323</v>
      </c>
    </row>
    <row r="94" spans="1:3" ht="57.6">
      <c r="A94" s="11" t="s">
        <v>710</v>
      </c>
      <c r="B94" s="11" t="s">
        <v>1324</v>
      </c>
    </row>
    <row r="95" spans="1:3">
      <c r="A95" s="11" t="s">
        <v>711</v>
      </c>
      <c r="B95" s="11" t="s">
        <v>1325</v>
      </c>
    </row>
    <row r="96" spans="1:3">
      <c r="A96" s="11" t="s">
        <v>712</v>
      </c>
      <c r="B96" s="11" t="s">
        <v>1326</v>
      </c>
    </row>
    <row r="97" spans="1:3">
      <c r="A97" s="11" t="s">
        <v>713</v>
      </c>
      <c r="B97" s="11" t="s">
        <v>708</v>
      </c>
    </row>
    <row r="98" spans="1:3">
      <c r="A98" s="11" t="s">
        <v>714</v>
      </c>
      <c r="B98" s="11" t="s">
        <v>385</v>
      </c>
    </row>
    <row r="100" spans="1:3">
      <c r="A100" s="11" t="s">
        <v>391</v>
      </c>
      <c r="B100" s="89" t="str">
        <f>_xlfn.CONCAT("Readiness review for ",B79)</f>
        <v>Readiness review for Version 2 of OE database</v>
      </c>
      <c r="C100" s="11" t="s">
        <v>962</v>
      </c>
    </row>
    <row r="101" spans="1:3">
      <c r="A101" s="11" t="s">
        <v>392</v>
      </c>
      <c r="B101" s="33">
        <f>Planning!B39</f>
        <v>45015</v>
      </c>
      <c r="C101" s="11" t="s">
        <v>922</v>
      </c>
    </row>
    <row r="102" spans="1:3">
      <c r="A102" s="11" t="s">
        <v>393</v>
      </c>
      <c r="B102" s="33">
        <f>B101</f>
        <v>45015</v>
      </c>
      <c r="C102" s="11" t="s">
        <v>962</v>
      </c>
    </row>
    <row r="103" spans="1:3" ht="43.2">
      <c r="A103" s="11" t="s">
        <v>709</v>
      </c>
      <c r="B103" s="11" t="s">
        <v>1323</v>
      </c>
    </row>
    <row r="104" spans="1:3" ht="72">
      <c r="A104" s="11" t="s">
        <v>710</v>
      </c>
      <c r="B104" s="21" t="s">
        <v>930</v>
      </c>
    </row>
    <row r="105" spans="1:3">
      <c r="A105" s="11" t="s">
        <v>711</v>
      </c>
      <c r="B105" s="11" t="s">
        <v>1325</v>
      </c>
    </row>
    <row r="106" spans="1:3" ht="100.8">
      <c r="A106" s="11" t="s">
        <v>712</v>
      </c>
      <c r="B106" s="11" t="s">
        <v>1098</v>
      </c>
    </row>
    <row r="107" spans="1:3">
      <c r="A107" s="11" t="s">
        <v>713</v>
      </c>
      <c r="B107" s="11" t="s">
        <v>708</v>
      </c>
    </row>
    <row r="108" spans="1:3">
      <c r="A108" s="11" t="s">
        <v>714</v>
      </c>
      <c r="B108" s="11" t="s">
        <v>385</v>
      </c>
    </row>
    <row r="110" spans="1:3" s="16" customFormat="1">
      <c r="A110" s="105" t="s">
        <v>586</v>
      </c>
      <c r="B110" s="11"/>
    </row>
    <row r="112" spans="1:3">
      <c r="A112" s="17" t="s">
        <v>772</v>
      </c>
      <c r="B112" s="17"/>
    </row>
    <row r="113" spans="1:23">
      <c r="A113" s="27" t="s">
        <v>773</v>
      </c>
      <c r="B113" s="28"/>
      <c r="C113" s="29"/>
    </row>
    <row r="114" spans="1:23" ht="36.450000000000003" customHeight="1">
      <c r="A114" s="420" t="s">
        <v>1367</v>
      </c>
      <c r="B114" s="420"/>
      <c r="C114" s="16"/>
      <c r="D114" s="16"/>
      <c r="E114" s="16"/>
      <c r="F114" s="16"/>
      <c r="G114" s="16"/>
      <c r="H114" s="16"/>
      <c r="I114" s="16"/>
      <c r="J114" s="16"/>
      <c r="K114" s="16"/>
      <c r="L114" s="16"/>
      <c r="M114" s="16"/>
      <c r="N114" s="16"/>
      <c r="O114" s="16"/>
      <c r="P114" s="16"/>
      <c r="Q114" s="16"/>
      <c r="R114" s="16"/>
      <c r="S114" s="16"/>
      <c r="T114" s="16"/>
      <c r="U114" s="16"/>
      <c r="V114" s="16"/>
      <c r="W114" s="16"/>
    </row>
    <row r="117" spans="1:23">
      <c r="A117" s="27" t="s">
        <v>774</v>
      </c>
      <c r="B117" s="28"/>
      <c r="C117" s="29"/>
    </row>
    <row r="118" spans="1:23" ht="15" thickBot="1">
      <c r="A118" s="418" t="s">
        <v>1803</v>
      </c>
      <c r="B118" s="418" t="s">
        <v>1804</v>
      </c>
      <c r="C118" s="418" t="s">
        <v>1805</v>
      </c>
      <c r="D118" s="418" t="s">
        <v>1806</v>
      </c>
      <c r="E118" s="418" t="s">
        <v>1807</v>
      </c>
    </row>
    <row r="119" spans="1:23" ht="57.6">
      <c r="A119" s="13" t="s">
        <v>619</v>
      </c>
      <c r="B119" s="13" t="s">
        <v>628</v>
      </c>
      <c r="D119" s="11" t="s">
        <v>722</v>
      </c>
      <c r="E119" s="11" t="s">
        <v>723</v>
      </c>
    </row>
    <row r="120" spans="1:23" ht="28.8">
      <c r="A120" s="11" t="s">
        <v>620</v>
      </c>
      <c r="D120" s="11" t="s">
        <v>637</v>
      </c>
      <c r="E120" s="11" t="s">
        <v>723</v>
      </c>
    </row>
    <row r="121" spans="1:23" ht="43.2">
      <c r="A121" s="13" t="s">
        <v>621</v>
      </c>
      <c r="B121" s="13"/>
      <c r="D121" s="11" t="s">
        <v>638</v>
      </c>
      <c r="E121" s="11" t="s">
        <v>723</v>
      </c>
    </row>
    <row r="122" spans="1:23" ht="28.8">
      <c r="A122" s="11" t="s">
        <v>622</v>
      </c>
      <c r="B122" s="11" t="s">
        <v>625</v>
      </c>
      <c r="D122" s="11" t="s">
        <v>724</v>
      </c>
      <c r="E122" s="11" t="s">
        <v>725</v>
      </c>
    </row>
    <row r="123" spans="1:23" ht="158.4">
      <c r="A123" s="13" t="s">
        <v>425</v>
      </c>
      <c r="B123" s="13" t="s">
        <v>629</v>
      </c>
      <c r="C123" s="11" t="s">
        <v>1368</v>
      </c>
      <c r="D123" s="11" t="s">
        <v>1691</v>
      </c>
      <c r="E123" s="11" t="s">
        <v>1369</v>
      </c>
    </row>
    <row r="125" spans="1:23">
      <c r="A125" s="13"/>
      <c r="B125" s="13"/>
    </row>
    <row r="128" spans="1:23">
      <c r="A128" s="19" t="s">
        <v>586</v>
      </c>
    </row>
    <row r="130" spans="1:7">
      <c r="A130" s="27" t="s">
        <v>775</v>
      </c>
      <c r="B130" s="28"/>
      <c r="C130" s="29"/>
    </row>
    <row r="131" spans="1:7">
      <c r="A131" s="11" t="s">
        <v>639</v>
      </c>
      <c r="B131" s="13" t="s">
        <v>642</v>
      </c>
      <c r="C131" s="11" t="s">
        <v>381</v>
      </c>
    </row>
    <row r="132" spans="1:7">
      <c r="A132" s="11" t="s">
        <v>647</v>
      </c>
      <c r="B132" s="13"/>
      <c r="C132" s="11" t="s">
        <v>381</v>
      </c>
    </row>
    <row r="133" spans="1:7">
      <c r="A133" s="11" t="s">
        <v>648</v>
      </c>
      <c r="B133" s="11" t="str">
        <f>IF('Agreement 3'!B23="","PLEASE SPECIFY",'Agreement 3'!B23)</f>
        <v>Conduct Maturity Level 5 appraisal in April 2023</v>
      </c>
    </row>
    <row r="135" spans="1:7">
      <c r="A135" s="19" t="s">
        <v>586</v>
      </c>
    </row>
    <row r="137" spans="1:7">
      <c r="A137" s="27" t="s">
        <v>776</v>
      </c>
      <c r="B137" s="28"/>
      <c r="C137" s="29"/>
    </row>
    <row r="139" spans="1:7" customFormat="1" ht="17.55" customHeight="1" thickBot="1">
      <c r="A139" s="418" t="s">
        <v>1783</v>
      </c>
      <c r="B139" s="418" t="s">
        <v>1784</v>
      </c>
      <c r="C139" s="418" t="s">
        <v>1785</v>
      </c>
      <c r="D139" s="418" t="s">
        <v>1786</v>
      </c>
      <c r="E139" s="418" t="s">
        <v>1787</v>
      </c>
      <c r="F139" s="418" t="s">
        <v>1788</v>
      </c>
      <c r="G139" s="418" t="s">
        <v>1789</v>
      </c>
    </row>
    <row r="140" spans="1:7" ht="85.95" customHeight="1">
      <c r="A140" s="14" t="s">
        <v>1794</v>
      </c>
      <c r="B140" s="13" t="s">
        <v>411</v>
      </c>
      <c r="D140" s="11" t="s">
        <v>655</v>
      </c>
      <c r="E140" s="13" t="s">
        <v>656</v>
      </c>
      <c r="F140" s="11" t="s">
        <v>657</v>
      </c>
      <c r="G140" s="13" t="s">
        <v>658</v>
      </c>
    </row>
    <row r="141" spans="1:7" ht="187.2">
      <c r="A141" s="14" t="s">
        <v>1795</v>
      </c>
      <c r="B141" s="11" t="s">
        <v>425</v>
      </c>
      <c r="C141" s="11" t="s">
        <v>1529</v>
      </c>
      <c r="D141" s="11" t="s">
        <v>1530</v>
      </c>
      <c r="E141" s="11" t="s">
        <v>659</v>
      </c>
      <c r="F141" s="11" t="s">
        <v>1531</v>
      </c>
      <c r="G141" s="11" t="s">
        <v>1372</v>
      </c>
    </row>
    <row r="142" spans="1:7" ht="201.6">
      <c r="A142" s="14" t="s">
        <v>1796</v>
      </c>
      <c r="B142" s="13" t="s">
        <v>425</v>
      </c>
      <c r="C142" s="11" t="s">
        <v>1370</v>
      </c>
      <c r="D142" s="11" t="s">
        <v>1371</v>
      </c>
      <c r="E142" s="13" t="s">
        <v>659</v>
      </c>
      <c r="F142" s="11" t="s">
        <v>1790</v>
      </c>
      <c r="G142" s="13" t="s">
        <v>1372</v>
      </c>
    </row>
    <row r="143" spans="1:7" ht="216">
      <c r="A143" s="14" t="s">
        <v>1797</v>
      </c>
      <c r="B143" s="11" t="s">
        <v>425</v>
      </c>
      <c r="C143" s="11" t="s">
        <v>1370</v>
      </c>
      <c r="D143" s="11" t="s">
        <v>1373</v>
      </c>
      <c r="E143" s="11" t="s">
        <v>1374</v>
      </c>
      <c r="F143" s="11" t="s">
        <v>1540</v>
      </c>
      <c r="G143" s="11" t="s">
        <v>1372</v>
      </c>
    </row>
    <row r="144" spans="1:7" ht="230.4">
      <c r="A144" s="14" t="s">
        <v>1798</v>
      </c>
      <c r="B144" s="257" t="s">
        <v>652</v>
      </c>
      <c r="D144" s="11" t="s">
        <v>1375</v>
      </c>
      <c r="E144" s="13" t="s">
        <v>1374</v>
      </c>
      <c r="F144" s="11" t="s">
        <v>1541</v>
      </c>
      <c r="G144" s="13" t="s">
        <v>1372</v>
      </c>
    </row>
    <row r="145" spans="1:7" ht="201.6">
      <c r="A145" s="14" t="s">
        <v>1799</v>
      </c>
      <c r="B145" s="11" t="s">
        <v>425</v>
      </c>
      <c r="C145" s="11" t="s">
        <v>1529</v>
      </c>
      <c r="D145" s="11" t="s">
        <v>1532</v>
      </c>
      <c r="E145" s="11" t="s">
        <v>659</v>
      </c>
      <c r="F145" s="11" t="s">
        <v>1791</v>
      </c>
      <c r="G145" s="11" t="s">
        <v>1372</v>
      </c>
    </row>
    <row r="146" spans="1:7" ht="57.6">
      <c r="A146" s="14" t="s">
        <v>1800</v>
      </c>
      <c r="B146" s="13" t="s">
        <v>425</v>
      </c>
      <c r="C146" s="11" t="s">
        <v>1529</v>
      </c>
      <c r="D146" s="11" t="s">
        <v>1685</v>
      </c>
      <c r="E146" s="13" t="s">
        <v>1374</v>
      </c>
      <c r="F146" s="11" t="s">
        <v>1686</v>
      </c>
      <c r="G146" s="13" t="s">
        <v>1372</v>
      </c>
    </row>
    <row r="147" spans="1:7" ht="115.2">
      <c r="A147" s="14" t="s">
        <v>1801</v>
      </c>
      <c r="B147" s="11" t="s">
        <v>425</v>
      </c>
      <c r="C147" s="11" t="s">
        <v>1529</v>
      </c>
      <c r="D147" s="11" t="s">
        <v>1693</v>
      </c>
      <c r="E147" s="11" t="s">
        <v>659</v>
      </c>
      <c r="F147" s="11" t="s">
        <v>1792</v>
      </c>
      <c r="G147" s="11" t="s">
        <v>1372</v>
      </c>
    </row>
    <row r="148" spans="1:7" ht="187.2">
      <c r="A148" s="14" t="s">
        <v>1802</v>
      </c>
      <c r="B148" s="13" t="s">
        <v>425</v>
      </c>
      <c r="C148" s="11" t="s">
        <v>1529</v>
      </c>
      <c r="D148" s="11" t="s">
        <v>1533</v>
      </c>
      <c r="E148" s="13" t="s">
        <v>659</v>
      </c>
      <c r="F148" s="11" t="s">
        <v>1534</v>
      </c>
      <c r="G148" s="13" t="s">
        <v>1372</v>
      </c>
    </row>
    <row r="149" spans="1:7" ht="72">
      <c r="A149" s="14" t="s">
        <v>1694</v>
      </c>
      <c r="B149" s="11" t="s">
        <v>652</v>
      </c>
      <c r="D149" s="11" t="s">
        <v>1695</v>
      </c>
      <c r="E149" s="11" t="s">
        <v>659</v>
      </c>
      <c r="F149" s="11" t="s">
        <v>1793</v>
      </c>
      <c r="G149" s="11" t="s">
        <v>1372</v>
      </c>
    </row>
    <row r="150" spans="1:7" ht="172.8">
      <c r="A150" s="14" t="s">
        <v>1696</v>
      </c>
      <c r="B150" s="13" t="s">
        <v>411</v>
      </c>
      <c r="D150" s="11" t="s">
        <v>1697</v>
      </c>
      <c r="E150" s="13" t="s">
        <v>659</v>
      </c>
      <c r="F150" s="11" t="s">
        <v>1535</v>
      </c>
      <c r="G150" s="13" t="s">
        <v>1372</v>
      </c>
    </row>
    <row r="151" spans="1:7" ht="57.6">
      <c r="A151" s="14" t="s">
        <v>1699</v>
      </c>
      <c r="B151" s="11" t="s">
        <v>425</v>
      </c>
      <c r="C151" s="11" t="s">
        <v>1370</v>
      </c>
      <c r="D151" s="11" t="s">
        <v>1700</v>
      </c>
      <c r="E151" s="11" t="s">
        <v>659</v>
      </c>
      <c r="F151" s="11" t="s">
        <v>1701</v>
      </c>
      <c r="G151" s="11" t="s">
        <v>1372</v>
      </c>
    </row>
    <row r="152" spans="1:7">
      <c r="A152" s="14"/>
      <c r="B152" s="13"/>
      <c r="E152" s="13"/>
      <c r="G152" s="13"/>
    </row>
    <row r="153" spans="1:7">
      <c r="A153" s="14"/>
    </row>
    <row r="154" spans="1:7">
      <c r="A154" s="19" t="s">
        <v>586</v>
      </c>
    </row>
    <row r="156" spans="1:7">
      <c r="A156" s="416" t="s">
        <v>777</v>
      </c>
      <c r="B156" s="28"/>
      <c r="C156" s="29"/>
    </row>
    <row r="158" spans="1:7">
      <c r="A158" s="417" t="s">
        <v>1777</v>
      </c>
      <c r="B158" s="417" t="s">
        <v>1778</v>
      </c>
      <c r="C158" s="417" t="s">
        <v>1779</v>
      </c>
      <c r="D158" s="417" t="s">
        <v>1780</v>
      </c>
      <c r="E158" s="417" t="s">
        <v>1781</v>
      </c>
      <c r="F158" s="417" t="s">
        <v>1782</v>
      </c>
    </row>
    <row r="159" spans="1:7" ht="172.8">
      <c r="A159" s="13" t="s">
        <v>672</v>
      </c>
      <c r="B159" s="11" t="s">
        <v>26</v>
      </c>
      <c r="C159" s="11" t="s">
        <v>1681</v>
      </c>
      <c r="D159" s="13" t="s">
        <v>656</v>
      </c>
      <c r="E159" s="11" t="s">
        <v>1698</v>
      </c>
      <c r="F159" s="13" t="s">
        <v>658</v>
      </c>
    </row>
    <row r="161" spans="1:6">
      <c r="A161" s="13"/>
      <c r="D161" s="13"/>
      <c r="F161" s="13"/>
    </row>
    <row r="163" spans="1:6">
      <c r="A163" s="19" t="s">
        <v>586</v>
      </c>
    </row>
    <row r="165" spans="1:6">
      <c r="A165" s="27" t="s">
        <v>778</v>
      </c>
      <c r="B165" s="28"/>
      <c r="C165" s="29"/>
    </row>
    <row r="166" spans="1:6">
      <c r="A166" s="11" t="s">
        <v>675</v>
      </c>
      <c r="B166" s="13" t="s">
        <v>677</v>
      </c>
      <c r="C166" s="11" t="s">
        <v>381</v>
      </c>
    </row>
    <row r="167" spans="1:6">
      <c r="A167" s="11" t="s">
        <v>680</v>
      </c>
    </row>
    <row r="168" spans="1:6" ht="28.8">
      <c r="A168" s="11" t="s">
        <v>681</v>
      </c>
      <c r="B168" s="11" t="s">
        <v>1692</v>
      </c>
    </row>
    <row r="170" spans="1:6">
      <c r="A170" s="19" t="s">
        <v>586</v>
      </c>
    </row>
    <row r="172" spans="1:6">
      <c r="A172" s="27" t="s">
        <v>779</v>
      </c>
      <c r="B172" s="28"/>
      <c r="C172" s="29"/>
    </row>
    <row r="173" spans="1:6" ht="72">
      <c r="A173" s="222" t="s">
        <v>1124</v>
      </c>
      <c r="B173" s="13" t="s">
        <v>1123</v>
      </c>
      <c r="C173" s="11" t="s">
        <v>381</v>
      </c>
    </row>
    <row r="175" spans="1:6">
      <c r="A175" s="17" t="s">
        <v>780</v>
      </c>
      <c r="B175" s="17"/>
    </row>
    <row r="176" spans="1:6">
      <c r="A176" s="27" t="s">
        <v>781</v>
      </c>
      <c r="B176" s="28"/>
      <c r="C176" s="29"/>
    </row>
    <row r="177" spans="1:3" ht="86.4">
      <c r="A177" s="222" t="s">
        <v>1144</v>
      </c>
      <c r="B177" s="13" t="s">
        <v>1123</v>
      </c>
      <c r="C177" s="11" t="s">
        <v>381</v>
      </c>
    </row>
    <row r="180" spans="1:3">
      <c r="A180" s="27" t="s">
        <v>782</v>
      </c>
      <c r="B180" s="28"/>
      <c r="C180"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173 B177" xr:uid="{01543A58-5416-4DA9-8AB1-690AC5AAC1DF}">
      <formula1>"Still to be done, Done"</formula1>
    </dataValidation>
    <dataValidation type="list" allowBlank="1" showInputMessage="1" showErrorMessage="1" sqref="B166" xr:uid="{82B66DE8-C2C5-4EB2-AD42-91D298998B44}">
      <formula1>tbl_followon</formula1>
    </dataValidation>
    <dataValidation type="list" allowBlank="1" showInputMessage="1" showErrorMessage="1" sqref="A159:A161" xr:uid="{03D3E3A7-1F3B-44C7-B643-E854317E56CD}">
      <formula1>tbl_COI</formula1>
    </dataValidation>
    <dataValidation type="list" allowBlank="1" showInputMessage="1" showErrorMessage="1" sqref="G140:G151 F159:F161" xr:uid="{A91F2646-F018-4EB7-BB35-CC10D063D8BF}">
      <formula1>"Open, Closed, Realized"</formula1>
    </dataValidation>
    <dataValidation type="list" allowBlank="1" showInputMessage="1" showErrorMessage="1" sqref="D159:D161 E140:E151" xr:uid="{5C52DC68-1A9F-4AAD-9BBF-EB70CC81E0AF}">
      <formula1>"High, Medium, Low"</formula1>
    </dataValidation>
    <dataValidation type="list" allowBlank="1" showInputMessage="1" showErrorMessage="1" sqref="B140:B151" xr:uid="{F288294E-140B-46D0-A558-3D396D336EFA}">
      <formula1>tbl_riskCategory</formula1>
    </dataValidation>
    <dataValidation type="list" allowBlank="1" showInputMessage="1" showErrorMessage="1" sqref="B131" xr:uid="{65084202-031C-408D-B429-25EE287BD1C9}">
      <formula1>tbl_constraints</formula1>
    </dataValidation>
    <dataValidation type="list" allowBlank="1" showInputMessage="1" showErrorMessage="1" sqref="B132 B119:B125" xr:uid="{DF080203-A213-4B40-8A56-B8BBF19EA82D}">
      <formula1>tbl_equipment</formula1>
    </dataValidation>
    <dataValidation type="list" allowBlank="1" showInputMessage="1" showErrorMessage="1" sqref="A119:A125"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M26" sqref="M26"/>
    </sheetView>
  </sheetViews>
  <sheetFormatPr defaultColWidth="8.88671875"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27" t="str">
        <f>_xlfn.CONCAT("Week ",T8)</f>
        <v>Week 15</v>
      </c>
      <c r="B3" s="428"/>
      <c r="C3" s="371" t="s">
        <v>1572</v>
      </c>
      <c r="D3" s="372" t="s">
        <v>1573</v>
      </c>
      <c r="E3" s="371" t="s">
        <v>1572</v>
      </c>
      <c r="F3" s="372" t="s">
        <v>1573</v>
      </c>
      <c r="G3" s="371" t="s">
        <v>1572</v>
      </c>
      <c r="H3" s="372" t="s">
        <v>1573</v>
      </c>
      <c r="I3" s="371" t="s">
        <v>1572</v>
      </c>
      <c r="J3" s="372" t="s">
        <v>1573</v>
      </c>
      <c r="K3" s="371" t="s">
        <v>1572</v>
      </c>
      <c r="L3" s="372" t="s">
        <v>1573</v>
      </c>
      <c r="M3" s="371" t="s">
        <v>1572</v>
      </c>
      <c r="N3" s="372" t="s">
        <v>1573</v>
      </c>
      <c r="O3" s="371" t="s">
        <v>1572</v>
      </c>
      <c r="P3" s="372" t="s">
        <v>1573</v>
      </c>
      <c r="Q3" s="427" t="str">
        <f>_xlfn.CONCAT("Week ",AJ8)</f>
        <v xml:space="preserve">Week </v>
      </c>
      <c r="R3" s="428"/>
    </row>
    <row r="4" spans="1:20" ht="19.95" customHeight="1">
      <c r="A4" s="429"/>
      <c r="B4" s="430"/>
      <c r="C4" s="373">
        <f>C5</f>
        <v>45026</v>
      </c>
      <c r="D4" s="374">
        <f t="shared" ref="D4:P4" si="0">D5</f>
        <v>45026</v>
      </c>
      <c r="E4" s="373">
        <f t="shared" si="0"/>
        <v>45027</v>
      </c>
      <c r="F4" s="374">
        <f t="shared" si="0"/>
        <v>45027</v>
      </c>
      <c r="G4" s="373">
        <f t="shared" si="0"/>
        <v>45028</v>
      </c>
      <c r="H4" s="374">
        <f t="shared" si="0"/>
        <v>45028</v>
      </c>
      <c r="I4" s="373">
        <f t="shared" si="0"/>
        <v>45029</v>
      </c>
      <c r="J4" s="374">
        <f t="shared" si="0"/>
        <v>45029</v>
      </c>
      <c r="K4" s="373">
        <f t="shared" si="0"/>
        <v>45030</v>
      </c>
      <c r="L4" s="374">
        <f t="shared" si="0"/>
        <v>45030</v>
      </c>
      <c r="M4" s="373">
        <f t="shared" si="0"/>
        <v>45031</v>
      </c>
      <c r="N4" s="374">
        <f t="shared" si="0"/>
        <v>45031</v>
      </c>
      <c r="O4" s="373">
        <f t="shared" si="0"/>
        <v>45032</v>
      </c>
      <c r="P4" s="374">
        <f t="shared" si="0"/>
        <v>45032</v>
      </c>
      <c r="Q4" s="429"/>
      <c r="R4" s="430"/>
      <c r="T4" s="370">
        <f>C5</f>
        <v>45026</v>
      </c>
    </row>
    <row r="5" spans="1:20" ht="19.95" customHeight="1">
      <c r="A5" s="375" t="s">
        <v>1574</v>
      </c>
      <c r="B5" s="375" t="s">
        <v>1575</v>
      </c>
      <c r="C5" s="376">
        <f>Planning!B42</f>
        <v>45026</v>
      </c>
      <c r="D5" s="377">
        <f>C5</f>
        <v>45026</v>
      </c>
      <c r="E5" s="376">
        <f>C5+1</f>
        <v>45027</v>
      </c>
      <c r="F5" s="377">
        <f>D5+1</f>
        <v>45027</v>
      </c>
      <c r="G5" s="376">
        <f t="shared" ref="G5:P5" si="1">E5+1</f>
        <v>45028</v>
      </c>
      <c r="H5" s="377">
        <f t="shared" si="1"/>
        <v>45028</v>
      </c>
      <c r="I5" s="376">
        <f t="shared" si="1"/>
        <v>45029</v>
      </c>
      <c r="J5" s="377">
        <f t="shared" si="1"/>
        <v>45029</v>
      </c>
      <c r="K5" s="376">
        <f t="shared" si="1"/>
        <v>45030</v>
      </c>
      <c r="L5" s="377">
        <f t="shared" si="1"/>
        <v>45030</v>
      </c>
      <c r="M5" s="376">
        <f t="shared" si="1"/>
        <v>45031</v>
      </c>
      <c r="N5" s="377">
        <f t="shared" si="1"/>
        <v>45031</v>
      </c>
      <c r="O5" s="376">
        <f t="shared" si="1"/>
        <v>45032</v>
      </c>
      <c r="P5" s="377">
        <f t="shared" si="1"/>
        <v>45032</v>
      </c>
      <c r="Q5" s="375" t="s">
        <v>1574</v>
      </c>
      <c r="R5" s="375" t="s">
        <v>1575</v>
      </c>
      <c r="T5" s="370">
        <f>YEAR(T4)-1</f>
        <v>2022</v>
      </c>
    </row>
    <row r="6" spans="1:20" ht="19.95" customHeight="1">
      <c r="A6" s="378">
        <v>0.45833333333333331</v>
      </c>
      <c r="B6" s="378">
        <v>0.20833333333333334</v>
      </c>
      <c r="C6" s="431"/>
      <c r="D6" s="389"/>
      <c r="E6" s="431"/>
      <c r="F6" s="389"/>
      <c r="G6" s="379" t="s">
        <v>1576</v>
      </c>
      <c r="H6" s="389"/>
      <c r="I6" s="379" t="s">
        <v>1576</v>
      </c>
      <c r="J6" s="389"/>
      <c r="K6" s="379" t="s">
        <v>1576</v>
      </c>
      <c r="L6" s="389"/>
      <c r="M6" s="379" t="s">
        <v>1576</v>
      </c>
      <c r="N6" s="389"/>
      <c r="O6" s="379" t="s">
        <v>1576</v>
      </c>
      <c r="P6" s="389"/>
      <c r="Q6" s="378">
        <v>0.45833333333333331</v>
      </c>
      <c r="R6" s="378">
        <v>0.20833333333333334</v>
      </c>
      <c r="T6" s="370">
        <f>DATE(T5,12,31)</f>
        <v>44926</v>
      </c>
    </row>
    <row r="7" spans="1:20" ht="19.95" customHeight="1">
      <c r="A7" s="378">
        <v>0.47916666666666663</v>
      </c>
      <c r="B7" s="378">
        <v>0.22916666666666669</v>
      </c>
      <c r="C7" s="431"/>
      <c r="D7" s="390"/>
      <c r="E7" s="431"/>
      <c r="F7" s="390"/>
      <c r="G7" s="380" t="s">
        <v>1380</v>
      </c>
      <c r="H7" s="390"/>
      <c r="I7" s="432" t="s">
        <v>950</v>
      </c>
      <c r="J7" s="390"/>
      <c r="K7" s="443" t="s">
        <v>1577</v>
      </c>
      <c r="L7" s="390"/>
      <c r="M7" s="443" t="s">
        <v>954</v>
      </c>
      <c r="N7" s="390"/>
      <c r="O7" s="440" t="s">
        <v>1578</v>
      </c>
      <c r="P7" s="390"/>
      <c r="Q7" s="378">
        <v>0.47916666666666663</v>
      </c>
      <c r="R7" s="378">
        <v>0.22916666666666669</v>
      </c>
      <c r="T7" s="370">
        <f>T4-T6</f>
        <v>100</v>
      </c>
    </row>
    <row r="8" spans="1:20" ht="19.95" customHeight="1">
      <c r="A8" s="378">
        <v>0.49999999999999994</v>
      </c>
      <c r="B8" s="378">
        <v>0.25</v>
      </c>
      <c r="C8" s="435" t="s">
        <v>1593</v>
      </c>
      <c r="D8" s="390"/>
      <c r="E8" s="435" t="s">
        <v>1593</v>
      </c>
      <c r="F8" s="390"/>
      <c r="G8" s="440" t="s">
        <v>1388</v>
      </c>
      <c r="H8" s="390"/>
      <c r="I8" s="432"/>
      <c r="J8" s="390"/>
      <c r="K8" s="443"/>
      <c r="L8" s="390"/>
      <c r="M8" s="443"/>
      <c r="N8" s="390"/>
      <c r="O8" s="440"/>
      <c r="P8" s="390"/>
      <c r="Q8" s="378">
        <v>0.49999999999999994</v>
      </c>
      <c r="R8" s="378">
        <v>0.25</v>
      </c>
      <c r="T8" s="370">
        <f>ROUNDUP(T7/7,0)</f>
        <v>15</v>
      </c>
    </row>
    <row r="9" spans="1:20" ht="19.95" customHeight="1">
      <c r="A9" s="378">
        <v>0.52083333333333326</v>
      </c>
      <c r="B9" s="378">
        <v>0.27083333333333331</v>
      </c>
      <c r="C9" s="436"/>
      <c r="D9" s="390"/>
      <c r="E9" s="436"/>
      <c r="F9" s="390"/>
      <c r="G9" s="440"/>
      <c r="H9" s="390"/>
      <c r="I9" s="432"/>
      <c r="J9" s="390"/>
      <c r="K9" s="443"/>
      <c r="L9" s="390"/>
      <c r="M9" s="379" t="s">
        <v>592</v>
      </c>
      <c r="N9" s="390"/>
      <c r="O9" s="442" t="s">
        <v>1579</v>
      </c>
      <c r="P9" s="390"/>
      <c r="Q9" s="378">
        <v>0.52083333333333326</v>
      </c>
      <c r="R9" s="378">
        <v>0.27083333333333331</v>
      </c>
    </row>
    <row r="10" spans="1:20" ht="19.95" customHeight="1">
      <c r="A10" s="378">
        <v>0.54166666666666663</v>
      </c>
      <c r="B10" s="378">
        <v>0.29166666666666663</v>
      </c>
      <c r="C10" s="436"/>
      <c r="D10" s="390"/>
      <c r="E10" s="436"/>
      <c r="F10" s="390"/>
      <c r="G10" s="438" t="s">
        <v>899</v>
      </c>
      <c r="H10" s="390"/>
      <c r="I10" s="441" t="s">
        <v>899</v>
      </c>
      <c r="J10" s="390"/>
      <c r="K10" s="441" t="s">
        <v>899</v>
      </c>
      <c r="L10" s="390"/>
      <c r="M10" s="441" t="s">
        <v>899</v>
      </c>
      <c r="N10" s="390"/>
      <c r="O10" s="442"/>
      <c r="P10" s="390"/>
      <c r="Q10" s="378">
        <v>0.54166666666666663</v>
      </c>
      <c r="R10" s="378">
        <v>0.29166666666666663</v>
      </c>
    </row>
    <row r="11" spans="1:20" ht="19.95" customHeight="1">
      <c r="A11" s="378">
        <v>0.5625</v>
      </c>
      <c r="B11" s="378">
        <v>0.31249999999999994</v>
      </c>
      <c r="C11" s="436"/>
      <c r="D11" s="390"/>
      <c r="E11" s="436"/>
      <c r="F11" s="390"/>
      <c r="G11" s="439"/>
      <c r="H11" s="390"/>
      <c r="I11" s="441"/>
      <c r="J11" s="390"/>
      <c r="K11" s="441"/>
      <c r="L11" s="390"/>
      <c r="M11" s="441"/>
      <c r="N11" s="390"/>
      <c r="O11" s="441" t="s">
        <v>899</v>
      </c>
      <c r="P11" s="390"/>
      <c r="Q11" s="378">
        <v>0.5625</v>
      </c>
      <c r="R11" s="378">
        <v>0.31249999999999994</v>
      </c>
    </row>
    <row r="12" spans="1:20" ht="19.95" customHeight="1">
      <c r="A12" s="378">
        <v>0.58333333333333337</v>
      </c>
      <c r="B12" s="378">
        <v>0.33333333333333326</v>
      </c>
      <c r="C12" s="436"/>
      <c r="D12" s="390"/>
      <c r="E12" s="436"/>
      <c r="F12" s="390"/>
      <c r="G12" s="435" t="s">
        <v>1581</v>
      </c>
      <c r="H12" s="390"/>
      <c r="I12" s="443" t="s">
        <v>950</v>
      </c>
      <c r="J12" s="390"/>
      <c r="K12" s="443" t="s">
        <v>1577</v>
      </c>
      <c r="L12" s="390"/>
      <c r="M12" s="444" t="s">
        <v>1598</v>
      </c>
      <c r="N12" s="390"/>
      <c r="O12" s="441"/>
      <c r="P12" s="390"/>
      <c r="Q12" s="378">
        <v>0.58333333333333337</v>
      </c>
      <c r="R12" s="378">
        <v>0.33333333333333326</v>
      </c>
    </row>
    <row r="13" spans="1:20" ht="19.95" customHeight="1">
      <c r="A13" s="378">
        <v>0.60416666666666674</v>
      </c>
      <c r="B13" s="378">
        <v>0.35416666666666657</v>
      </c>
      <c r="C13" s="436"/>
      <c r="D13" s="390"/>
      <c r="E13" s="436"/>
      <c r="F13" s="390"/>
      <c r="G13" s="436"/>
      <c r="H13" s="390"/>
      <c r="I13" s="443"/>
      <c r="J13" s="390"/>
      <c r="K13" s="443"/>
      <c r="L13" s="390"/>
      <c r="M13" s="444"/>
      <c r="N13" s="390"/>
      <c r="O13" s="444" t="s">
        <v>1580</v>
      </c>
      <c r="P13" s="390"/>
      <c r="Q13" s="378">
        <v>0.60416666666666674</v>
      </c>
      <c r="R13" s="378">
        <v>0.35416666666666657</v>
      </c>
    </row>
    <row r="14" spans="1:20" ht="19.95" customHeight="1">
      <c r="A14" s="378">
        <v>0.62500000000000011</v>
      </c>
      <c r="B14" s="378">
        <v>0.37499999999999989</v>
      </c>
      <c r="C14" s="436"/>
      <c r="D14" s="390"/>
      <c r="E14" s="436"/>
      <c r="F14" s="390"/>
      <c r="G14" s="436"/>
      <c r="H14" s="390"/>
      <c r="I14" s="443"/>
      <c r="J14" s="390"/>
      <c r="K14" s="443"/>
      <c r="L14" s="390"/>
      <c r="M14" s="444"/>
      <c r="N14" s="390"/>
      <c r="O14" s="444"/>
      <c r="P14" s="390"/>
      <c r="Q14" s="378">
        <v>0.62500000000000011</v>
      </c>
      <c r="R14" s="378">
        <v>0.37499999999999989</v>
      </c>
    </row>
    <row r="15" spans="1:20" ht="19.95" customHeight="1">
      <c r="A15" s="378">
        <v>0.64583333333333348</v>
      </c>
      <c r="B15" s="378">
        <v>0.3958333333333332</v>
      </c>
      <c r="C15" s="436"/>
      <c r="D15" s="390"/>
      <c r="E15" s="436"/>
      <c r="F15" s="390"/>
      <c r="G15" s="436"/>
      <c r="H15" s="390"/>
      <c r="I15" s="443"/>
      <c r="J15" s="390"/>
      <c r="K15" s="443"/>
      <c r="L15" s="390"/>
      <c r="M15" s="444"/>
      <c r="N15" s="390"/>
      <c r="O15" s="444"/>
      <c r="P15" s="390"/>
      <c r="Q15" s="378">
        <v>0.64583333333333348</v>
      </c>
      <c r="R15" s="378">
        <v>0.3958333333333332</v>
      </c>
    </row>
    <row r="16" spans="1:20" ht="19.95" customHeight="1">
      <c r="A16" s="378">
        <v>0.66666666666666685</v>
      </c>
      <c r="B16" s="378">
        <v>0.41666666666666652</v>
      </c>
      <c r="C16" s="436"/>
      <c r="D16" s="390"/>
      <c r="E16" s="436"/>
      <c r="F16" s="390"/>
      <c r="G16" s="437"/>
      <c r="H16" s="390"/>
      <c r="I16" s="443"/>
      <c r="J16" s="390"/>
      <c r="K16" s="443"/>
      <c r="L16" s="390"/>
      <c r="M16" s="443" t="s">
        <v>1582</v>
      </c>
      <c r="N16" s="390"/>
      <c r="O16" s="442" t="s">
        <v>1601</v>
      </c>
      <c r="P16" s="390"/>
      <c r="Q16" s="378">
        <v>0.66666666666666685</v>
      </c>
      <c r="R16" s="378">
        <v>0.41666666666666652</v>
      </c>
    </row>
    <row r="17" spans="1:18" ht="19.95" customHeight="1">
      <c r="A17" s="378">
        <v>0.68750000000000022</v>
      </c>
      <c r="B17" s="378">
        <v>0.4375</v>
      </c>
      <c r="C17" s="436"/>
      <c r="D17" s="390"/>
      <c r="E17" s="436"/>
      <c r="F17" s="390"/>
      <c r="G17" s="379" t="s">
        <v>592</v>
      </c>
      <c r="H17" s="390"/>
      <c r="I17" s="444" t="s">
        <v>592</v>
      </c>
      <c r="J17" s="390"/>
      <c r="K17" s="443"/>
      <c r="L17" s="390"/>
      <c r="M17" s="443"/>
      <c r="N17" s="390"/>
      <c r="O17" s="442"/>
      <c r="P17" s="390"/>
      <c r="Q17" s="378">
        <v>0.68750000000000022</v>
      </c>
      <c r="R17" s="378">
        <v>0.4375</v>
      </c>
    </row>
    <row r="18" spans="1:18" ht="19.95" customHeight="1">
      <c r="A18" s="378">
        <v>0.70833333333333359</v>
      </c>
      <c r="B18" s="378">
        <v>0.45833333333333398</v>
      </c>
      <c r="C18" s="436"/>
      <c r="D18" s="390"/>
      <c r="E18" s="436"/>
      <c r="F18" s="390"/>
      <c r="G18" s="443" t="s">
        <v>1581</v>
      </c>
      <c r="H18" s="390"/>
      <c r="I18" s="444"/>
      <c r="J18" s="390"/>
      <c r="K18" s="379" t="s">
        <v>592</v>
      </c>
      <c r="L18" s="390"/>
      <c r="M18" s="444" t="s">
        <v>1600</v>
      </c>
      <c r="N18" s="390"/>
      <c r="O18" s="455" t="s">
        <v>1584</v>
      </c>
      <c r="P18" s="390"/>
      <c r="Q18" s="378">
        <v>0.70833333333333359</v>
      </c>
      <c r="R18" s="378">
        <v>0.45833333333333398</v>
      </c>
    </row>
    <row r="19" spans="1:18" ht="19.95" customHeight="1">
      <c r="A19" s="378">
        <v>0.72916666666666696</v>
      </c>
      <c r="B19" s="378">
        <v>0.47916666666666702</v>
      </c>
      <c r="C19" s="436"/>
      <c r="D19" s="390"/>
      <c r="E19" s="436"/>
      <c r="F19" s="390"/>
      <c r="G19" s="443"/>
      <c r="H19" s="390"/>
      <c r="I19" s="443" t="s">
        <v>1583</v>
      </c>
      <c r="J19" s="390"/>
      <c r="K19" s="443" t="s">
        <v>953</v>
      </c>
      <c r="L19" s="390"/>
      <c r="M19" s="444"/>
      <c r="N19" s="390"/>
      <c r="O19" s="455"/>
      <c r="P19" s="390"/>
      <c r="Q19" s="378">
        <v>0.72916666666666696</v>
      </c>
      <c r="R19" s="378">
        <v>0.47916666666666702</v>
      </c>
    </row>
    <row r="20" spans="1:18" ht="19.95" customHeight="1">
      <c r="A20" s="378">
        <v>0.75</v>
      </c>
      <c r="B20" s="378">
        <v>0.5</v>
      </c>
      <c r="C20" s="436"/>
      <c r="D20" s="390"/>
      <c r="E20" s="436"/>
      <c r="F20" s="390"/>
      <c r="G20" s="443"/>
      <c r="H20" s="390"/>
      <c r="I20" s="443"/>
      <c r="J20" s="390"/>
      <c r="K20" s="443"/>
      <c r="L20" s="390"/>
      <c r="M20" s="444"/>
      <c r="N20" s="390"/>
      <c r="O20" s="455"/>
      <c r="P20" s="390"/>
      <c r="Q20" s="378">
        <v>0.75</v>
      </c>
      <c r="R20" s="378">
        <v>0.5</v>
      </c>
    </row>
    <row r="21" spans="1:18" ht="19.95" customHeight="1">
      <c r="A21" s="378">
        <v>0.77083333333333404</v>
      </c>
      <c r="B21" s="378">
        <v>0.52083333333333404</v>
      </c>
      <c r="C21" s="437"/>
      <c r="D21" s="390"/>
      <c r="E21" s="437"/>
      <c r="F21" s="390"/>
      <c r="G21" s="433" t="s">
        <v>1596</v>
      </c>
      <c r="H21" s="390"/>
      <c r="I21" s="444" t="s">
        <v>1596</v>
      </c>
      <c r="J21" s="390"/>
      <c r="K21" s="444" t="s">
        <v>1596</v>
      </c>
      <c r="L21" s="390"/>
      <c r="M21" s="444"/>
      <c r="N21" s="390"/>
      <c r="O21" s="455"/>
      <c r="P21" s="390"/>
      <c r="Q21" s="378">
        <v>0.77083333333333404</v>
      </c>
      <c r="R21" s="378">
        <v>0.52083333333333404</v>
      </c>
    </row>
    <row r="22" spans="1:18" ht="19.95" customHeight="1">
      <c r="A22" s="381">
        <v>0.79166666666666696</v>
      </c>
      <c r="B22" s="381">
        <v>0.54166666666666696</v>
      </c>
      <c r="C22" s="433" t="s">
        <v>1599</v>
      </c>
      <c r="D22" s="390"/>
      <c r="E22" s="433" t="s">
        <v>1599</v>
      </c>
      <c r="F22" s="390"/>
      <c r="G22" s="434"/>
      <c r="H22" s="390"/>
      <c r="I22" s="444"/>
      <c r="J22" s="390"/>
      <c r="K22" s="444"/>
      <c r="L22" s="390"/>
      <c r="M22" s="444"/>
      <c r="N22" s="390"/>
      <c r="O22" s="445" t="s">
        <v>1597</v>
      </c>
      <c r="P22" s="390"/>
      <c r="Q22" s="381">
        <v>0.79166666666666696</v>
      </c>
      <c r="R22" s="381">
        <v>0.54166666666666696</v>
      </c>
    </row>
    <row r="23" spans="1:18" ht="19.95" customHeight="1">
      <c r="A23" s="381">
        <v>0.8125</v>
      </c>
      <c r="B23" s="381">
        <v>0.5625</v>
      </c>
      <c r="C23" s="434"/>
      <c r="D23" s="390"/>
      <c r="E23" s="434"/>
      <c r="F23" s="390"/>
      <c r="G23" s="452" t="s">
        <v>1597</v>
      </c>
      <c r="H23" s="390"/>
      <c r="I23" s="431" t="s">
        <v>1597</v>
      </c>
      <c r="J23" s="390"/>
      <c r="K23" s="431" t="s">
        <v>1597</v>
      </c>
      <c r="L23" s="390"/>
      <c r="M23" s="431" t="s">
        <v>1597</v>
      </c>
      <c r="N23" s="390"/>
      <c r="O23" s="445"/>
      <c r="P23" s="390"/>
      <c r="Q23" s="381">
        <v>0.8125</v>
      </c>
      <c r="R23" s="381">
        <v>0.5625</v>
      </c>
    </row>
    <row r="24" spans="1:18" ht="19.95" customHeight="1">
      <c r="A24" s="381">
        <v>0.83333333333333404</v>
      </c>
      <c r="B24" s="381">
        <v>0.58333333333333304</v>
      </c>
      <c r="C24" s="445" t="s">
        <v>1597</v>
      </c>
      <c r="D24" s="390"/>
      <c r="E24" s="445" t="s">
        <v>1597</v>
      </c>
      <c r="F24" s="390"/>
      <c r="G24" s="453"/>
      <c r="H24" s="390"/>
      <c r="I24" s="431"/>
      <c r="J24" s="390"/>
      <c r="K24" s="431"/>
      <c r="L24" s="390"/>
      <c r="M24" s="431"/>
      <c r="N24" s="390"/>
      <c r="O24" s="445"/>
      <c r="P24" s="390"/>
      <c r="Q24" s="381">
        <v>0.83333333333333404</v>
      </c>
      <c r="R24" s="381">
        <v>0.58333333333333304</v>
      </c>
    </row>
    <row r="25" spans="1:18" ht="19.95" customHeight="1">
      <c r="A25" s="381">
        <v>0.85416666666666696</v>
      </c>
      <c r="B25" s="381">
        <v>0.60416666666666696</v>
      </c>
      <c r="C25" s="445"/>
      <c r="D25" s="391"/>
      <c r="E25" s="445"/>
      <c r="F25" s="391"/>
      <c r="G25" s="454"/>
      <c r="H25" s="391"/>
      <c r="I25" s="431"/>
      <c r="J25" s="391"/>
      <c r="K25" s="431"/>
      <c r="L25" s="391"/>
      <c r="M25" s="431"/>
      <c r="N25" s="391"/>
      <c r="O25" s="445"/>
      <c r="P25" s="391"/>
      <c r="Q25" s="381">
        <v>0.85416666666666696</v>
      </c>
      <c r="R25" s="381">
        <v>0.60416666666666696</v>
      </c>
    </row>
    <row r="33" spans="2:15" ht="16.05" customHeight="1">
      <c r="B33" s="382" t="s">
        <v>809</v>
      </c>
      <c r="C33" s="382" t="s">
        <v>810</v>
      </c>
      <c r="D33" s="446" t="s">
        <v>1585</v>
      </c>
      <c r="E33" s="447"/>
      <c r="F33" s="447"/>
      <c r="G33" s="448"/>
      <c r="H33" s="382" t="s">
        <v>1586</v>
      </c>
      <c r="L33" s="449" t="s">
        <v>1595</v>
      </c>
      <c r="M33" s="450"/>
      <c r="N33" s="450"/>
      <c r="O33" s="451"/>
    </row>
    <row r="34" spans="2:15" ht="16.05" customHeight="1">
      <c r="B34" s="383">
        <v>1</v>
      </c>
      <c r="C34" s="384">
        <f>Planning!B39</f>
        <v>45015</v>
      </c>
      <c r="D34" s="456" t="s">
        <v>1587</v>
      </c>
      <c r="E34" s="456"/>
      <c r="F34" s="456"/>
      <c r="G34" s="456"/>
      <c r="H34" s="385" t="s">
        <v>583</v>
      </c>
      <c r="L34" s="460" t="s">
        <v>1594</v>
      </c>
      <c r="M34" s="461"/>
      <c r="N34" s="461"/>
      <c r="O34" s="462"/>
    </row>
    <row r="35" spans="2:15" ht="16.05" customHeight="1">
      <c r="B35" s="383" t="s">
        <v>1588</v>
      </c>
      <c r="C35" s="384">
        <f>G5</f>
        <v>45028</v>
      </c>
      <c r="D35" s="456" t="s">
        <v>1589</v>
      </c>
      <c r="E35" s="456"/>
      <c r="F35" s="456"/>
      <c r="G35" s="456"/>
      <c r="H35" s="385" t="s">
        <v>608</v>
      </c>
      <c r="L35" s="463" t="s">
        <v>1590</v>
      </c>
      <c r="M35" s="464"/>
      <c r="N35" s="464"/>
      <c r="O35" s="465"/>
    </row>
    <row r="36" spans="2:15" ht="16.05" customHeight="1">
      <c r="B36" s="383"/>
      <c r="C36" s="384"/>
      <c r="D36" s="456"/>
      <c r="E36" s="456"/>
      <c r="F36" s="456"/>
      <c r="G36" s="456"/>
      <c r="H36" s="385"/>
      <c r="L36" s="466" t="s">
        <v>1591</v>
      </c>
      <c r="M36" s="467"/>
      <c r="N36" s="467"/>
      <c r="O36" s="468"/>
    </row>
    <row r="37" spans="2:15" ht="16.05" customHeight="1">
      <c r="B37" s="383"/>
      <c r="C37" s="384"/>
      <c r="D37" s="456"/>
      <c r="E37" s="456"/>
      <c r="F37" s="456"/>
      <c r="G37" s="456"/>
      <c r="H37" s="385"/>
      <c r="L37" s="457" t="s">
        <v>1592</v>
      </c>
      <c r="M37" s="458"/>
      <c r="N37" s="458"/>
      <c r="O37" s="459"/>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1174</v>
      </c>
      <c r="B1" s="17"/>
    </row>
    <row r="2" spans="1:3">
      <c r="A2" s="27" t="s">
        <v>1175</v>
      </c>
      <c r="B2" s="28"/>
      <c r="C2" s="29"/>
    </row>
    <row r="3" spans="1:3" s="16" customFormat="1">
      <c r="A3" s="105" t="s">
        <v>1177</v>
      </c>
      <c r="B3" s="11"/>
    </row>
    <row r="4" spans="1:3" s="16" customFormat="1">
      <c r="B4" s="11"/>
    </row>
    <row r="5" spans="1:3">
      <c r="A5" s="27" t="s">
        <v>1176</v>
      </c>
      <c r="B5" s="28"/>
      <c r="C5" s="29"/>
    </row>
    <row r="6" spans="1:3" s="16" customFormat="1">
      <c r="A6" s="105" t="s">
        <v>1178</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1120</v>
      </c>
      <c r="B1" s="17"/>
    </row>
    <row r="2" spans="1:3">
      <c r="A2" s="27" t="s">
        <v>1121</v>
      </c>
      <c r="B2" s="28"/>
      <c r="C2" s="29"/>
    </row>
    <row r="3" spans="1:3" s="16" customFormat="1">
      <c r="A3" s="105" t="s">
        <v>1122</v>
      </c>
      <c r="B3" s="11"/>
    </row>
    <row r="4" spans="1:3" s="16" customFormat="1">
      <c r="B4" s="11"/>
    </row>
    <row r="5" spans="1:3">
      <c r="A5" s="27" t="s">
        <v>1118</v>
      </c>
      <c r="B5" s="28"/>
      <c r="C5" s="29"/>
    </row>
    <row r="6" spans="1:3">
      <c r="A6" s="11" t="s">
        <v>1554</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842</v>
      </c>
      <c r="B1" t="s">
        <v>868</v>
      </c>
      <c r="C1" t="s">
        <v>882</v>
      </c>
      <c r="D1" t="s">
        <v>883</v>
      </c>
      <c r="E1" t="s">
        <v>869</v>
      </c>
      <c r="F1" t="s">
        <v>884</v>
      </c>
      <c r="G1" t="s">
        <v>885</v>
      </c>
    </row>
    <row r="2" spans="1:7">
      <c r="A2" t="s">
        <v>859</v>
      </c>
      <c r="B2" t="s">
        <v>1461</v>
      </c>
      <c r="C2" t="s">
        <v>844</v>
      </c>
      <c r="D2" t="s">
        <v>1471</v>
      </c>
      <c r="E2" t="s">
        <v>1107</v>
      </c>
      <c r="F2" t="s">
        <v>859</v>
      </c>
      <c r="G2" t="s">
        <v>403</v>
      </c>
    </row>
    <row r="3" spans="1:7">
      <c r="A3" t="s">
        <v>859</v>
      </c>
      <c r="B3" t="s">
        <v>1461</v>
      </c>
      <c r="C3" t="s">
        <v>845</v>
      </c>
      <c r="D3" t="s">
        <v>1470</v>
      </c>
      <c r="E3" t="s">
        <v>874</v>
      </c>
      <c r="F3" t="s">
        <v>859</v>
      </c>
      <c r="G3" t="s">
        <v>403</v>
      </c>
    </row>
    <row r="4" spans="1:7">
      <c r="A4" t="s">
        <v>860</v>
      </c>
      <c r="B4" t="s">
        <v>1462</v>
      </c>
      <c r="C4" t="s">
        <v>846</v>
      </c>
      <c r="D4" t="s">
        <v>1474</v>
      </c>
      <c r="E4" t="s">
        <v>873</v>
      </c>
      <c r="F4" t="s">
        <v>860</v>
      </c>
      <c r="G4" t="s">
        <v>403</v>
      </c>
    </row>
    <row r="5" spans="1:7">
      <c r="A5" t="s">
        <v>860</v>
      </c>
      <c r="B5" t="s">
        <v>1462</v>
      </c>
      <c r="C5" t="s">
        <v>847</v>
      </c>
      <c r="D5" t="s">
        <v>1474</v>
      </c>
      <c r="E5" t="s">
        <v>873</v>
      </c>
      <c r="F5" t="s">
        <v>860</v>
      </c>
      <c r="G5" t="s">
        <v>403</v>
      </c>
    </row>
    <row r="6" spans="1:7">
      <c r="A6" t="s">
        <v>860</v>
      </c>
      <c r="B6" t="s">
        <v>1462</v>
      </c>
      <c r="C6" t="s">
        <v>848</v>
      </c>
      <c r="D6" t="s">
        <v>1476</v>
      </c>
      <c r="E6" t="s">
        <v>1107</v>
      </c>
      <c r="F6" t="s">
        <v>860</v>
      </c>
      <c r="G6" t="s">
        <v>403</v>
      </c>
    </row>
    <row r="7" spans="1:7">
      <c r="A7" t="s">
        <v>861</v>
      </c>
      <c r="B7" t="s">
        <v>1463</v>
      </c>
      <c r="C7" t="s">
        <v>853</v>
      </c>
      <c r="D7" t="s">
        <v>1483</v>
      </c>
      <c r="E7" t="s">
        <v>1308</v>
      </c>
      <c r="F7" t="s">
        <v>861</v>
      </c>
      <c r="G7" t="s">
        <v>403</v>
      </c>
    </row>
    <row r="8" spans="1:7">
      <c r="A8" t="s">
        <v>861</v>
      </c>
      <c r="B8" t="s">
        <v>1463</v>
      </c>
      <c r="C8" t="s">
        <v>854</v>
      </c>
      <c r="D8" t="s">
        <v>1483</v>
      </c>
      <c r="E8" t="s">
        <v>1308</v>
      </c>
      <c r="F8" t="s">
        <v>861</v>
      </c>
      <c r="G8" t="s">
        <v>403</v>
      </c>
    </row>
    <row r="9" spans="1:7">
      <c r="A9" t="s">
        <v>861</v>
      </c>
      <c r="B9" t="s">
        <v>1463</v>
      </c>
      <c r="C9" t="s">
        <v>855</v>
      </c>
      <c r="D9" t="s">
        <v>1483</v>
      </c>
      <c r="E9" t="s">
        <v>1308</v>
      </c>
      <c r="F9" t="s">
        <v>861</v>
      </c>
      <c r="G9" t="s">
        <v>403</v>
      </c>
    </row>
    <row r="10" spans="1:7">
      <c r="A10" t="s">
        <v>862</v>
      </c>
      <c r="B10" t="s">
        <v>1464</v>
      </c>
      <c r="C10" t="s">
        <v>852</v>
      </c>
      <c r="D10" t="s">
        <v>1488</v>
      </c>
      <c r="E10" t="s">
        <v>1308</v>
      </c>
      <c r="F10" t="s">
        <v>862</v>
      </c>
      <c r="G10" t="s">
        <v>403</v>
      </c>
    </row>
    <row r="11" spans="1:7">
      <c r="A11" t="s">
        <v>864</v>
      </c>
      <c r="B11" t="s">
        <v>1299</v>
      </c>
      <c r="C11" t="s">
        <v>716</v>
      </c>
      <c r="D11" t="s">
        <v>1489</v>
      </c>
      <c r="E11" t="s">
        <v>1307</v>
      </c>
      <c r="F11" t="s">
        <v>864</v>
      </c>
      <c r="G11" t="s">
        <v>403</v>
      </c>
    </row>
    <row r="12" spans="1:7">
      <c r="A12" t="s">
        <v>865</v>
      </c>
      <c r="B12" t="s">
        <v>1300</v>
      </c>
      <c r="C12" t="s">
        <v>856</v>
      </c>
      <c r="D12" t="s">
        <v>1548</v>
      </c>
      <c r="E12" t="s">
        <v>1547</v>
      </c>
      <c r="F12" t="s">
        <v>865</v>
      </c>
      <c r="G12" t="s">
        <v>403</v>
      </c>
    </row>
    <row r="13" spans="1:7">
      <c r="A13" t="s">
        <v>865</v>
      </c>
      <c r="B13" t="s">
        <v>1300</v>
      </c>
      <c r="C13" t="s">
        <v>857</v>
      </c>
      <c r="D13" t="s">
        <v>1490</v>
      </c>
      <c r="E13" t="s">
        <v>1309</v>
      </c>
      <c r="F13" t="s">
        <v>865</v>
      </c>
      <c r="G13" t="s">
        <v>403</v>
      </c>
    </row>
    <row r="14" spans="1:7">
      <c r="A14" t="s">
        <v>865</v>
      </c>
      <c r="B14" t="s">
        <v>1300</v>
      </c>
      <c r="C14" t="s">
        <v>849</v>
      </c>
      <c r="D14" t="s">
        <v>1548</v>
      </c>
      <c r="E14" t="s">
        <v>1547</v>
      </c>
      <c r="F14" t="s">
        <v>865</v>
      </c>
      <c r="G14" t="s">
        <v>403</v>
      </c>
    </row>
    <row r="15" spans="1:7">
      <c r="A15" t="s">
        <v>865</v>
      </c>
      <c r="B15" t="s">
        <v>1300</v>
      </c>
      <c r="C15" t="s">
        <v>850</v>
      </c>
      <c r="D15" t="s">
        <v>1490</v>
      </c>
      <c r="E15" t="s">
        <v>1309</v>
      </c>
      <c r="F15" t="s">
        <v>865</v>
      </c>
      <c r="G15" t="s">
        <v>403</v>
      </c>
    </row>
    <row r="16" spans="1:7">
      <c r="A16" t="s">
        <v>865</v>
      </c>
      <c r="B16" t="s">
        <v>1300</v>
      </c>
      <c r="C16" t="s">
        <v>851</v>
      </c>
      <c r="D16" t="s">
        <v>1490</v>
      </c>
      <c r="E16" t="s">
        <v>1309</v>
      </c>
      <c r="F16" t="s">
        <v>865</v>
      </c>
      <c r="G16" t="s">
        <v>403</v>
      </c>
    </row>
    <row r="17" spans="1:7">
      <c r="A17" t="s">
        <v>866</v>
      </c>
      <c r="B17" t="s">
        <v>1301</v>
      </c>
      <c r="C17" t="s">
        <v>718</v>
      </c>
      <c r="D17" t="s">
        <v>1491</v>
      </c>
      <c r="E17" t="s">
        <v>1306</v>
      </c>
      <c r="F17" t="s">
        <v>866</v>
      </c>
      <c r="G17" t="s">
        <v>403</v>
      </c>
    </row>
    <row r="18" spans="1:7">
      <c r="A18" t="s">
        <v>867</v>
      </c>
      <c r="B18" t="s">
        <v>1302</v>
      </c>
      <c r="C18" t="s">
        <v>798</v>
      </c>
      <c r="D18" t="s">
        <v>1492</v>
      </c>
      <c r="E18" t="s">
        <v>1190</v>
      </c>
      <c r="F18" t="s">
        <v>867</v>
      </c>
      <c r="G18" t="s">
        <v>403</v>
      </c>
    </row>
    <row r="19" spans="1:7">
      <c r="A19" t="s">
        <v>859</v>
      </c>
      <c r="B19" t="s">
        <v>1461</v>
      </c>
      <c r="C19" t="s">
        <v>845</v>
      </c>
      <c r="D19" t="s">
        <v>1471</v>
      </c>
      <c r="E19" t="s">
        <v>1107</v>
      </c>
      <c r="F19" t="s">
        <v>859</v>
      </c>
    </row>
    <row r="20" spans="1:7">
      <c r="A20" t="s">
        <v>860</v>
      </c>
      <c r="B20" t="s">
        <v>1462</v>
      </c>
      <c r="C20" t="s">
        <v>846</v>
      </c>
      <c r="D20" t="s">
        <v>1475</v>
      </c>
      <c r="E20" t="s">
        <v>874</v>
      </c>
      <c r="F20" t="s">
        <v>860</v>
      </c>
    </row>
    <row r="21" spans="1:7">
      <c r="A21" t="s">
        <v>860</v>
      </c>
      <c r="B21" t="s">
        <v>1462</v>
      </c>
      <c r="C21" t="s">
        <v>846</v>
      </c>
      <c r="D21" t="s">
        <v>1476</v>
      </c>
      <c r="E21" t="s">
        <v>1107</v>
      </c>
      <c r="F21" t="s">
        <v>860</v>
      </c>
    </row>
    <row r="22" spans="1:7">
      <c r="A22" t="s">
        <v>860</v>
      </c>
      <c r="B22" t="s">
        <v>1462</v>
      </c>
      <c r="C22" t="s">
        <v>846</v>
      </c>
      <c r="D22" t="s">
        <v>1478</v>
      </c>
      <c r="E22" t="s">
        <v>1308</v>
      </c>
      <c r="F22" t="s">
        <v>860</v>
      </c>
    </row>
    <row r="23" spans="1:7">
      <c r="A23" t="s">
        <v>860</v>
      </c>
      <c r="B23" t="s">
        <v>1462</v>
      </c>
      <c r="C23" t="s">
        <v>846</v>
      </c>
      <c r="D23" t="s">
        <v>1477</v>
      </c>
      <c r="E23" t="s">
        <v>1240</v>
      </c>
      <c r="F23" t="s">
        <v>860</v>
      </c>
    </row>
    <row r="24" spans="1:7">
      <c r="A24" t="s">
        <v>860</v>
      </c>
      <c r="B24" t="s">
        <v>1462</v>
      </c>
      <c r="C24" t="s">
        <v>848</v>
      </c>
      <c r="D24" t="s">
        <v>1477</v>
      </c>
      <c r="E24" t="s">
        <v>1240</v>
      </c>
      <c r="F24" t="s">
        <v>860</v>
      </c>
    </row>
    <row r="25" spans="1:7">
      <c r="A25" t="s">
        <v>865</v>
      </c>
      <c r="B25" t="s">
        <v>1300</v>
      </c>
      <c r="C25" t="s">
        <v>857</v>
      </c>
      <c r="D25" t="s">
        <v>1548</v>
      </c>
      <c r="E25" t="s">
        <v>1547</v>
      </c>
      <c r="F25" t="s">
        <v>865</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876</v>
      </c>
      <c r="B3" s="264" t="s">
        <v>877</v>
      </c>
    </row>
    <row r="4" spans="1:13">
      <c r="A4" s="264" t="s">
        <v>878</v>
      </c>
      <c r="B4" t="s">
        <v>859</v>
      </c>
      <c r="C4" t="s">
        <v>860</v>
      </c>
      <c r="D4" t="s">
        <v>862</v>
      </c>
      <c r="E4" t="s">
        <v>864</v>
      </c>
      <c r="F4" t="s">
        <v>865</v>
      </c>
      <c r="G4" t="s">
        <v>879</v>
      </c>
      <c r="H4" t="s">
        <v>861</v>
      </c>
      <c r="I4" t="s">
        <v>866</v>
      </c>
      <c r="J4" t="s">
        <v>867</v>
      </c>
      <c r="K4" t="s">
        <v>880</v>
      </c>
    </row>
    <row r="5" spans="1:13">
      <c r="A5" s="108" t="s">
        <v>856</v>
      </c>
      <c r="F5">
        <v>1</v>
      </c>
      <c r="K5">
        <v>1</v>
      </c>
      <c r="M5" t="s">
        <v>856</v>
      </c>
    </row>
    <row r="6" spans="1:13">
      <c r="A6" s="108" t="s">
        <v>716</v>
      </c>
      <c r="E6">
        <v>1</v>
      </c>
      <c r="K6">
        <v>1</v>
      </c>
      <c r="M6" t="s">
        <v>716</v>
      </c>
    </row>
    <row r="7" spans="1:13">
      <c r="A7" s="108" t="s">
        <v>853</v>
      </c>
      <c r="H7">
        <v>1</v>
      </c>
      <c r="K7">
        <v>1</v>
      </c>
      <c r="M7" t="s">
        <v>853</v>
      </c>
    </row>
    <row r="8" spans="1:13">
      <c r="A8" s="108" t="s">
        <v>854</v>
      </c>
      <c r="H8">
        <v>1</v>
      </c>
      <c r="K8">
        <v>1</v>
      </c>
      <c r="M8" t="s">
        <v>854</v>
      </c>
    </row>
    <row r="9" spans="1:13">
      <c r="A9" s="108" t="s">
        <v>844</v>
      </c>
      <c r="B9">
        <v>1</v>
      </c>
      <c r="K9">
        <v>1</v>
      </c>
      <c r="M9" t="s">
        <v>844</v>
      </c>
    </row>
    <row r="10" spans="1:13">
      <c r="A10" s="108" t="s">
        <v>855</v>
      </c>
      <c r="H10">
        <v>1</v>
      </c>
      <c r="K10">
        <v>1</v>
      </c>
      <c r="M10" t="s">
        <v>855</v>
      </c>
    </row>
    <row r="11" spans="1:13">
      <c r="A11" s="108" t="s">
        <v>846</v>
      </c>
      <c r="C11">
        <v>5</v>
      </c>
      <c r="K11">
        <v>5</v>
      </c>
      <c r="M11" t="s">
        <v>846</v>
      </c>
    </row>
    <row r="12" spans="1:13">
      <c r="A12" s="108" t="s">
        <v>847</v>
      </c>
      <c r="C12">
        <v>1</v>
      </c>
      <c r="K12">
        <v>1</v>
      </c>
      <c r="M12" t="s">
        <v>847</v>
      </c>
    </row>
    <row r="13" spans="1:13">
      <c r="A13" s="108" t="s">
        <v>852</v>
      </c>
      <c r="D13">
        <v>1</v>
      </c>
      <c r="K13">
        <v>1</v>
      </c>
      <c r="M13" t="s">
        <v>852</v>
      </c>
    </row>
    <row r="14" spans="1:13">
      <c r="A14" s="108" t="s">
        <v>845</v>
      </c>
      <c r="B14">
        <v>2</v>
      </c>
      <c r="K14">
        <v>2</v>
      </c>
      <c r="M14" t="s">
        <v>845</v>
      </c>
    </row>
    <row r="15" spans="1:13">
      <c r="A15" s="108" t="s">
        <v>848</v>
      </c>
      <c r="C15">
        <v>2</v>
      </c>
      <c r="K15">
        <v>2</v>
      </c>
      <c r="M15" t="s">
        <v>848</v>
      </c>
    </row>
    <row r="16" spans="1:13">
      <c r="A16" s="108" t="s">
        <v>879</v>
      </c>
    </row>
    <row r="17" spans="1:13">
      <c r="A17" s="108" t="s">
        <v>849</v>
      </c>
      <c r="F17">
        <v>1</v>
      </c>
      <c r="K17">
        <v>1</v>
      </c>
      <c r="M17" t="s">
        <v>849</v>
      </c>
    </row>
    <row r="18" spans="1:13">
      <c r="A18" s="108" t="s">
        <v>850</v>
      </c>
      <c r="F18">
        <v>1</v>
      </c>
      <c r="K18">
        <v>1</v>
      </c>
      <c r="M18" t="s">
        <v>850</v>
      </c>
    </row>
    <row r="19" spans="1:13">
      <c r="A19" s="108" t="s">
        <v>851</v>
      </c>
      <c r="F19">
        <v>1</v>
      </c>
      <c r="K19">
        <v>1</v>
      </c>
      <c r="M19" t="s">
        <v>851</v>
      </c>
    </row>
    <row r="20" spans="1:13">
      <c r="A20" s="108" t="s">
        <v>718</v>
      </c>
      <c r="I20">
        <v>1</v>
      </c>
      <c r="K20">
        <v>1</v>
      </c>
      <c r="M20" t="s">
        <v>718</v>
      </c>
    </row>
    <row r="21" spans="1:13">
      <c r="A21" s="108" t="s">
        <v>798</v>
      </c>
      <c r="J21">
        <v>1</v>
      </c>
      <c r="K21">
        <v>1</v>
      </c>
      <c r="M21" t="s">
        <v>798</v>
      </c>
    </row>
    <row r="22" spans="1:13">
      <c r="A22" s="108" t="s">
        <v>857</v>
      </c>
      <c r="F22">
        <v>2</v>
      </c>
      <c r="K22">
        <v>2</v>
      </c>
      <c r="M22" t="s">
        <v>857</v>
      </c>
    </row>
    <row r="23" spans="1:13">
      <c r="A23" s="108" t="s">
        <v>880</v>
      </c>
      <c r="B23">
        <v>3</v>
      </c>
      <c r="C23">
        <v>8</v>
      </c>
      <c r="D23">
        <v>1</v>
      </c>
      <c r="E23">
        <v>1</v>
      </c>
      <c r="F23">
        <v>6</v>
      </c>
      <c r="H23">
        <v>3</v>
      </c>
      <c r="I23">
        <v>1</v>
      </c>
      <c r="J23">
        <v>1</v>
      </c>
      <c r="K23">
        <v>24</v>
      </c>
      <c r="M23" t="s">
        <v>858</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842</v>
      </c>
      <c r="B1" s="122" t="s">
        <v>868</v>
      </c>
      <c r="C1" s="97" t="s">
        <v>882</v>
      </c>
      <c r="D1" s="96" t="s">
        <v>883</v>
      </c>
      <c r="E1" s="96" t="s">
        <v>869</v>
      </c>
      <c r="F1" s="97" t="s">
        <v>884</v>
      </c>
      <c r="G1" s="95" t="s">
        <v>885</v>
      </c>
      <c r="H1" s="96" t="s">
        <v>598</v>
      </c>
      <c r="I1" s="96" t="s">
        <v>887</v>
      </c>
      <c r="K1" s="267" t="s">
        <v>1245</v>
      </c>
      <c r="L1" s="267">
        <f>VALUE(RIGHT(Planning!B16,1))</f>
        <v>5</v>
      </c>
      <c r="M1" s="16" t="s">
        <v>1246</v>
      </c>
    </row>
    <row r="2" spans="1:13">
      <c r="A2" t="s">
        <v>859</v>
      </c>
      <c r="B2" t="s">
        <v>1461</v>
      </c>
      <c r="C2" t="s">
        <v>844</v>
      </c>
      <c r="D2" t="s">
        <v>1471</v>
      </c>
      <c r="E2" t="s">
        <v>1107</v>
      </c>
      <c r="F2" t="s">
        <v>859</v>
      </c>
      <c r="G2" t="s">
        <v>403</v>
      </c>
      <c r="H2" s="268" t="str">
        <f t="shared" ref="H2" si="0">VLOOKUP(E2,tbl_RolePAlookup,2,FALSE)</f>
        <v>[4] Engineering</v>
      </c>
      <c r="I2" s="364">
        <f t="shared" ref="I2" si="1">VLOOKUP(C2,tbl_PAcount,L$1+1,FALSE)</f>
        <v>10</v>
      </c>
    </row>
    <row r="3" spans="1:13">
      <c r="A3" t="s">
        <v>859</v>
      </c>
      <c r="B3" t="s">
        <v>1461</v>
      </c>
      <c r="C3" t="s">
        <v>845</v>
      </c>
      <c r="D3" t="s">
        <v>1470</v>
      </c>
      <c r="E3" t="s">
        <v>874</v>
      </c>
      <c r="F3" t="s">
        <v>859</v>
      </c>
      <c r="G3" t="s">
        <v>403</v>
      </c>
      <c r="H3" s="268" t="str">
        <f t="shared" ref="H3:H18" si="2">VLOOKUP(E3,tbl_RolePAlookup,2,FALSE)</f>
        <v>[4] Engineering</v>
      </c>
      <c r="I3" s="364">
        <f t="shared" ref="I3:I18" si="3">VLOOKUP(C3,tbl_PAcount,L$1+1,FALSE)</f>
        <v>10</v>
      </c>
    </row>
    <row r="4" spans="1:13">
      <c r="A4" t="s">
        <v>860</v>
      </c>
      <c r="B4" t="s">
        <v>1462</v>
      </c>
      <c r="C4" t="s">
        <v>846</v>
      </c>
      <c r="D4" t="s">
        <v>1474</v>
      </c>
      <c r="E4" t="s">
        <v>873</v>
      </c>
      <c r="F4" t="s">
        <v>860</v>
      </c>
      <c r="G4" t="s">
        <v>403</v>
      </c>
      <c r="H4" s="268" t="str">
        <f t="shared" si="2"/>
        <v>[4] Engineering</v>
      </c>
      <c r="I4" s="364">
        <f t="shared" si="3"/>
        <v>6</v>
      </c>
    </row>
    <row r="5" spans="1:13">
      <c r="A5" t="s">
        <v>860</v>
      </c>
      <c r="B5" t="s">
        <v>1462</v>
      </c>
      <c r="C5" t="s">
        <v>847</v>
      </c>
      <c r="D5" t="s">
        <v>1474</v>
      </c>
      <c r="E5" t="s">
        <v>873</v>
      </c>
      <c r="F5" t="s">
        <v>860</v>
      </c>
      <c r="G5" t="s">
        <v>403</v>
      </c>
      <c r="H5" s="268" t="str">
        <f t="shared" si="2"/>
        <v>[4] Engineering</v>
      </c>
      <c r="I5" s="364">
        <f t="shared" si="3"/>
        <v>14</v>
      </c>
    </row>
    <row r="6" spans="1:13">
      <c r="A6" t="s">
        <v>860</v>
      </c>
      <c r="B6" t="s">
        <v>1462</v>
      </c>
      <c r="C6" t="s">
        <v>848</v>
      </c>
      <c r="D6" t="s">
        <v>1476</v>
      </c>
      <c r="E6" t="s">
        <v>1107</v>
      </c>
      <c r="F6" t="s">
        <v>860</v>
      </c>
      <c r="G6" t="s">
        <v>403</v>
      </c>
      <c r="H6" s="268" t="str">
        <f t="shared" si="2"/>
        <v>[4] Engineering</v>
      </c>
      <c r="I6" s="364">
        <f t="shared" si="3"/>
        <v>7</v>
      </c>
    </row>
    <row r="7" spans="1:13">
      <c r="A7" t="s">
        <v>861</v>
      </c>
      <c r="B7" t="s">
        <v>1463</v>
      </c>
      <c r="C7" t="s">
        <v>853</v>
      </c>
      <c r="D7" t="s">
        <v>1483</v>
      </c>
      <c r="E7" t="s">
        <v>1308</v>
      </c>
      <c r="F7" t="s">
        <v>861</v>
      </c>
      <c r="G7" t="s">
        <v>403</v>
      </c>
      <c r="H7" s="268" t="str">
        <f t="shared" si="2"/>
        <v>[3] Project Management</v>
      </c>
      <c r="I7" s="364">
        <f t="shared" si="3"/>
        <v>6</v>
      </c>
    </row>
    <row r="8" spans="1:13">
      <c r="A8" t="s">
        <v>861</v>
      </c>
      <c r="B8" t="s">
        <v>1463</v>
      </c>
      <c r="C8" t="s">
        <v>854</v>
      </c>
      <c r="D8" t="s">
        <v>1483</v>
      </c>
      <c r="E8" t="s">
        <v>1308</v>
      </c>
      <c r="F8" t="s">
        <v>861</v>
      </c>
      <c r="G8" t="s">
        <v>403</v>
      </c>
      <c r="H8" s="268" t="str">
        <f t="shared" si="2"/>
        <v>[3] Project Management</v>
      </c>
      <c r="I8" s="364">
        <f t="shared" si="3"/>
        <v>10</v>
      </c>
    </row>
    <row r="9" spans="1:13">
      <c r="A9" t="s">
        <v>861</v>
      </c>
      <c r="B9" t="s">
        <v>1463</v>
      </c>
      <c r="C9" t="s">
        <v>855</v>
      </c>
      <c r="D9" t="s">
        <v>1483</v>
      </c>
      <c r="E9" t="s">
        <v>1308</v>
      </c>
      <c r="F9" t="s">
        <v>861</v>
      </c>
      <c r="G9" t="s">
        <v>403</v>
      </c>
      <c r="H9" s="268" t="str">
        <f t="shared" si="2"/>
        <v>[3] Project Management</v>
      </c>
      <c r="I9" s="364">
        <f t="shared" si="3"/>
        <v>15</v>
      </c>
    </row>
    <row r="10" spans="1:13">
      <c r="A10" t="s">
        <v>862</v>
      </c>
      <c r="B10" t="s">
        <v>1464</v>
      </c>
      <c r="C10" t="s">
        <v>852</v>
      </c>
      <c r="D10" t="s">
        <v>1488</v>
      </c>
      <c r="E10" t="s">
        <v>1308</v>
      </c>
      <c r="F10" t="s">
        <v>862</v>
      </c>
      <c r="G10" t="s">
        <v>403</v>
      </c>
      <c r="H10" s="268" t="str">
        <f t="shared" si="2"/>
        <v>[3] Project Management</v>
      </c>
      <c r="I10" s="364">
        <f t="shared" si="3"/>
        <v>8</v>
      </c>
    </row>
    <row r="11" spans="1:13">
      <c r="A11" t="s">
        <v>864</v>
      </c>
      <c r="B11" t="s">
        <v>1299</v>
      </c>
      <c r="C11" t="s">
        <v>716</v>
      </c>
      <c r="D11" t="s">
        <v>1489</v>
      </c>
      <c r="E11" t="s">
        <v>1307</v>
      </c>
      <c r="F11" t="s">
        <v>864</v>
      </c>
      <c r="G11" t="s">
        <v>403</v>
      </c>
      <c r="H11" s="268" t="str">
        <f t="shared" si="2"/>
        <v>[5] Configuration Management</v>
      </c>
      <c r="I11" s="364">
        <f t="shared" si="3"/>
        <v>7</v>
      </c>
    </row>
    <row r="12" spans="1:13">
      <c r="A12" t="s">
        <v>865</v>
      </c>
      <c r="B12" t="s">
        <v>1300</v>
      </c>
      <c r="C12" t="s">
        <v>856</v>
      </c>
      <c r="D12" t="s">
        <v>1548</v>
      </c>
      <c r="E12" t="s">
        <v>1547</v>
      </c>
      <c r="F12" t="s">
        <v>865</v>
      </c>
      <c r="G12" t="s">
        <v>403</v>
      </c>
      <c r="H12" s="268" t="str">
        <f t="shared" si="2"/>
        <v>[6] Process Management</v>
      </c>
      <c r="I12" s="364">
        <f t="shared" si="3"/>
        <v>11</v>
      </c>
    </row>
    <row r="13" spans="1:13">
      <c r="A13" t="s">
        <v>865</v>
      </c>
      <c r="B13" t="s">
        <v>1300</v>
      </c>
      <c r="C13" t="s">
        <v>857</v>
      </c>
      <c r="D13" t="s">
        <v>1490</v>
      </c>
      <c r="E13" t="s">
        <v>1309</v>
      </c>
      <c r="F13" t="s">
        <v>865</v>
      </c>
      <c r="G13" t="s">
        <v>403</v>
      </c>
      <c r="H13" s="268" t="str">
        <f t="shared" si="2"/>
        <v>[6] Process Management</v>
      </c>
      <c r="I13" s="364">
        <f t="shared" si="3"/>
        <v>8</v>
      </c>
    </row>
    <row r="14" spans="1:13">
      <c r="A14" t="s">
        <v>865</v>
      </c>
      <c r="B14" t="s">
        <v>1300</v>
      </c>
      <c r="C14" t="s">
        <v>849</v>
      </c>
      <c r="D14" t="s">
        <v>1548</v>
      </c>
      <c r="E14" t="s">
        <v>1547</v>
      </c>
      <c r="F14" t="s">
        <v>865</v>
      </c>
      <c r="G14" t="s">
        <v>403</v>
      </c>
      <c r="H14" s="268" t="str">
        <f t="shared" si="2"/>
        <v>[6] Process Management</v>
      </c>
      <c r="I14" s="364">
        <f t="shared" si="3"/>
        <v>22</v>
      </c>
    </row>
    <row r="15" spans="1:13">
      <c r="A15" t="s">
        <v>865</v>
      </c>
      <c r="B15" t="s">
        <v>1300</v>
      </c>
      <c r="C15" t="s">
        <v>850</v>
      </c>
      <c r="D15" t="s">
        <v>1490</v>
      </c>
      <c r="E15" t="s">
        <v>1309</v>
      </c>
      <c r="F15" t="s">
        <v>865</v>
      </c>
      <c r="G15" t="s">
        <v>403</v>
      </c>
      <c r="H15" s="268" t="str">
        <f t="shared" si="2"/>
        <v>[6] Process Management</v>
      </c>
      <c r="I15" s="364">
        <f t="shared" si="3"/>
        <v>11</v>
      </c>
    </row>
    <row r="16" spans="1:13">
      <c r="A16" t="s">
        <v>865</v>
      </c>
      <c r="B16" t="s">
        <v>1300</v>
      </c>
      <c r="C16" t="s">
        <v>851</v>
      </c>
      <c r="D16" t="s">
        <v>1490</v>
      </c>
      <c r="E16" t="s">
        <v>1309</v>
      </c>
      <c r="F16" t="s">
        <v>865</v>
      </c>
      <c r="G16" t="s">
        <v>403</v>
      </c>
      <c r="H16" s="268" t="str">
        <f t="shared" si="2"/>
        <v>[6] Process Management</v>
      </c>
      <c r="I16" s="364">
        <f t="shared" si="3"/>
        <v>11</v>
      </c>
    </row>
    <row r="17" spans="1:9">
      <c r="A17" t="s">
        <v>866</v>
      </c>
      <c r="B17" t="s">
        <v>1301</v>
      </c>
      <c r="C17" t="s">
        <v>718</v>
      </c>
      <c r="D17" t="s">
        <v>1491</v>
      </c>
      <c r="E17" t="s">
        <v>1306</v>
      </c>
      <c r="F17" t="s">
        <v>866</v>
      </c>
      <c r="G17" t="s">
        <v>403</v>
      </c>
      <c r="H17" s="268" t="str">
        <f t="shared" si="2"/>
        <v>[7] Organisational Training</v>
      </c>
      <c r="I17" s="364">
        <f t="shared" si="3"/>
        <v>9</v>
      </c>
    </row>
    <row r="18" spans="1:9">
      <c r="A18" t="s">
        <v>867</v>
      </c>
      <c r="B18" t="s">
        <v>1302</v>
      </c>
      <c r="C18" t="s">
        <v>798</v>
      </c>
      <c r="D18" t="s">
        <v>1492</v>
      </c>
      <c r="E18" t="s">
        <v>1190</v>
      </c>
      <c r="F18" t="s">
        <v>867</v>
      </c>
      <c r="G18" t="s">
        <v>403</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1245</v>
      </c>
      <c r="E1" s="267">
        <f>VALUE(RIGHT(Planning!B16,1))</f>
        <v>5</v>
      </c>
      <c r="F1" s="16" t="s">
        <v>1246</v>
      </c>
    </row>
    <row r="3" spans="1:10" ht="28.8">
      <c r="A3" s="264" t="s">
        <v>878</v>
      </c>
      <c r="B3" t="s">
        <v>1244</v>
      </c>
      <c r="D3" s="353" t="s">
        <v>1254</v>
      </c>
      <c r="E3" s="353" t="s">
        <v>887</v>
      </c>
      <c r="F3" s="354" t="s">
        <v>872</v>
      </c>
      <c r="G3" s="353" t="s">
        <v>1247</v>
      </c>
      <c r="H3" s="353" t="s">
        <v>1248</v>
      </c>
      <c r="I3" s="353" t="s">
        <v>1249</v>
      </c>
      <c r="J3" s="353" t="s">
        <v>1250</v>
      </c>
    </row>
    <row r="4" spans="1:10">
      <c r="A4" s="108" t="s">
        <v>949</v>
      </c>
      <c r="B4">
        <v>39</v>
      </c>
      <c r="D4" t="s">
        <v>949</v>
      </c>
      <c r="E4">
        <v>45</v>
      </c>
      <c r="F4">
        <f t="shared" ref="F4:F9" si="0">VLOOKUP($F$3,tbl_PAcount,$E$1+1,FALSE)</f>
        <v>6</v>
      </c>
      <c r="G4" s="269">
        <f>F4+E4</f>
        <v>51</v>
      </c>
      <c r="H4">
        <v>3</v>
      </c>
      <c r="I4" s="269">
        <f>H4*G4</f>
        <v>153</v>
      </c>
      <c r="J4" s="269">
        <f>I4/60</f>
        <v>2.5499999999999998</v>
      </c>
    </row>
    <row r="5" spans="1:10">
      <c r="A5" s="108" t="s">
        <v>950</v>
      </c>
      <c r="B5">
        <v>47</v>
      </c>
      <c r="D5" t="s">
        <v>950</v>
      </c>
      <c r="E5">
        <v>41</v>
      </c>
      <c r="F5">
        <f t="shared" si="0"/>
        <v>6</v>
      </c>
      <c r="G5" s="269">
        <f t="shared" ref="G5:G9" si="1">F5+E5</f>
        <v>47</v>
      </c>
      <c r="H5">
        <v>3</v>
      </c>
      <c r="I5" s="269">
        <f t="shared" ref="I5:I9" si="2">H5*G5</f>
        <v>141</v>
      </c>
      <c r="J5" s="269">
        <f t="shared" ref="J5:J9" si="3">I5/60</f>
        <v>2.35</v>
      </c>
    </row>
    <row r="6" spans="1:10">
      <c r="A6" s="108" t="s">
        <v>951</v>
      </c>
      <c r="B6">
        <v>7</v>
      </c>
      <c r="D6" t="s">
        <v>951</v>
      </c>
      <c r="E6">
        <v>7</v>
      </c>
      <c r="F6">
        <f t="shared" si="0"/>
        <v>6</v>
      </c>
      <c r="G6" s="269">
        <f t="shared" si="1"/>
        <v>13</v>
      </c>
      <c r="H6">
        <v>3</v>
      </c>
      <c r="I6" s="269">
        <f t="shared" si="2"/>
        <v>39</v>
      </c>
      <c r="J6" s="269">
        <f t="shared" si="3"/>
        <v>0.65</v>
      </c>
    </row>
    <row r="7" spans="1:10">
      <c r="A7" s="108" t="s">
        <v>952</v>
      </c>
      <c r="B7">
        <v>63</v>
      </c>
      <c r="D7" t="s">
        <v>952</v>
      </c>
      <c r="E7">
        <v>63</v>
      </c>
      <c r="F7">
        <f t="shared" si="0"/>
        <v>6</v>
      </c>
      <c r="G7" s="269">
        <f t="shared" si="1"/>
        <v>69</v>
      </c>
      <c r="H7">
        <v>3</v>
      </c>
      <c r="I7" s="269">
        <f t="shared" si="2"/>
        <v>207</v>
      </c>
      <c r="J7" s="269">
        <f t="shared" si="3"/>
        <v>3.45</v>
      </c>
    </row>
    <row r="8" spans="1:10">
      <c r="A8" s="108" t="s">
        <v>953</v>
      </c>
      <c r="B8">
        <v>9</v>
      </c>
      <c r="D8" t="s">
        <v>953</v>
      </c>
      <c r="E8">
        <v>9</v>
      </c>
      <c r="F8">
        <f t="shared" si="0"/>
        <v>6</v>
      </c>
      <c r="G8" s="269">
        <f t="shared" si="1"/>
        <v>15</v>
      </c>
      <c r="H8">
        <v>3</v>
      </c>
      <c r="I8" s="269">
        <f t="shared" si="2"/>
        <v>45</v>
      </c>
      <c r="J8" s="269">
        <f t="shared" si="3"/>
        <v>0.75</v>
      </c>
    </row>
    <row r="9" spans="1:10">
      <c r="A9" s="108" t="s">
        <v>958</v>
      </c>
      <c r="B9">
        <v>6</v>
      </c>
      <c r="D9" t="s">
        <v>958</v>
      </c>
      <c r="E9">
        <v>6</v>
      </c>
      <c r="F9">
        <f t="shared" si="0"/>
        <v>6</v>
      </c>
      <c r="G9" s="269">
        <f t="shared" si="1"/>
        <v>12</v>
      </c>
      <c r="H9">
        <v>3</v>
      </c>
      <c r="I9" s="269">
        <f t="shared" si="2"/>
        <v>36</v>
      </c>
      <c r="J9" s="269">
        <f t="shared" si="3"/>
        <v>0.6</v>
      </c>
    </row>
    <row r="10" spans="1:10">
      <c r="A10" s="108" t="s">
        <v>879</v>
      </c>
    </row>
    <row r="11" spans="1:10">
      <c r="A11" s="108" t="s">
        <v>880</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6" t="s">
        <v>1148</v>
      </c>
      <c r="B1" s="496"/>
      <c r="C1" s="496"/>
      <c r="D1" s="496"/>
      <c r="E1" s="496"/>
      <c r="F1" s="496"/>
      <c r="G1" s="496"/>
      <c r="H1" s="61"/>
      <c r="I1" s="115" t="s">
        <v>888</v>
      </c>
      <c r="J1" s="116" t="s">
        <v>889</v>
      </c>
      <c r="K1" s="112" t="s">
        <v>890</v>
      </c>
      <c r="L1" s="112" t="s">
        <v>891</v>
      </c>
      <c r="M1" s="63"/>
      <c r="N1" s="63"/>
      <c r="O1" s="63"/>
      <c r="P1" s="63"/>
    </row>
    <row r="2" spans="1:16" ht="14.7" customHeight="1">
      <c r="A2" s="497" t="str">
        <f>CONCATENATE(TEXT(Planning!B41,"[$-x-sysdate]dddd, mmmm dd, yyyy")," (Technology test)")</f>
        <v>Saturday, 08 April 2023 (Technology test)</v>
      </c>
      <c r="B2" s="497"/>
      <c r="C2" s="497"/>
      <c r="D2" s="497"/>
      <c r="E2" s="497"/>
      <c r="F2" s="497"/>
      <c r="G2" s="497"/>
      <c r="H2" s="61"/>
      <c r="I2" s="112"/>
      <c r="J2" s="112"/>
      <c r="K2" s="112"/>
      <c r="L2" s="63"/>
      <c r="M2" s="63"/>
      <c r="N2" s="63"/>
      <c r="O2" s="63"/>
      <c r="P2" s="63"/>
    </row>
    <row r="3" spans="1:16">
      <c r="A3" s="486" t="str">
        <f>J3</f>
        <v>Day 1-2</v>
      </c>
      <c r="B3" s="486"/>
      <c r="C3" s="489" t="str">
        <f>CONCATENATE(TEXT(I3,"[$-x-sysdate]dddd, mmmm dd, yyyy")," to ",TEXT(K3,"[$-x-sysdate]dddd, mmmm dd, yyyy"))</f>
        <v>Monday, 10 April 2023 to Tuesday, 11 April 2023</v>
      </c>
      <c r="D3" s="489"/>
      <c r="E3" s="489"/>
      <c r="F3" s="486" t="str">
        <f>A3</f>
        <v>Day 1-2</v>
      </c>
      <c r="G3" s="486"/>
      <c r="H3" s="61"/>
      <c r="I3" s="117">
        <f>Planning!B42</f>
        <v>45026</v>
      </c>
      <c r="J3" s="118" t="str">
        <f>_xlfn.CONCAT("Day 1-",L3)</f>
        <v>Day 1-2</v>
      </c>
      <c r="K3" s="119">
        <f>Planning!B42+Planning!B44-1</f>
        <v>45027</v>
      </c>
      <c r="L3" s="112">
        <f>K3-I3+1</f>
        <v>2</v>
      </c>
      <c r="M3" s="63"/>
      <c r="N3" s="63"/>
      <c r="O3" s="63"/>
      <c r="P3" s="63"/>
    </row>
    <row r="4" spans="1:16" ht="28.8">
      <c r="A4" s="486" t="s">
        <v>892</v>
      </c>
      <c r="B4" s="486"/>
      <c r="C4" s="64" t="e">
        <f>J11</f>
        <v>#REF!</v>
      </c>
      <c r="D4" s="64" t="e">
        <f>M11</f>
        <v>#REF!</v>
      </c>
      <c r="E4" s="64" t="str">
        <f>CONCATENATE("LA team: ",'Agreement 3'!B7," and ATMs if applicable")</f>
        <v>LA team: Dr Pieter van Zyl and ATMs if applicable</v>
      </c>
      <c r="F4" s="486" t="s">
        <v>893</v>
      </c>
      <c r="G4" s="486"/>
      <c r="H4" s="61"/>
      <c r="I4" s="117">
        <f>Planning!B45</f>
        <v>45028</v>
      </c>
      <c r="J4" s="118" t="str">
        <f>_xlfn.CONCAT("Day ",L4)</f>
        <v>Day 3</v>
      </c>
      <c r="K4" s="63"/>
      <c r="L4" s="120">
        <f>L3+1</f>
        <v>3</v>
      </c>
      <c r="M4" s="120"/>
      <c r="N4" s="65"/>
      <c r="O4" s="65"/>
      <c r="P4" s="65"/>
    </row>
    <row r="5" spans="1:16" ht="18" customHeight="1">
      <c r="A5" s="66">
        <v>0.41666666666666669</v>
      </c>
      <c r="B5" s="66">
        <v>0.45833333333333331</v>
      </c>
      <c r="C5" s="475" t="s">
        <v>894</v>
      </c>
      <c r="D5" s="475" t="s">
        <v>894</v>
      </c>
      <c r="E5" s="475" t="s">
        <v>895</v>
      </c>
      <c r="F5" s="66">
        <v>0.16666666666666666</v>
      </c>
      <c r="G5" s="66">
        <v>0.20833333333333331</v>
      </c>
      <c r="H5" s="61"/>
      <c r="I5" s="117">
        <f>I4+1</f>
        <v>45029</v>
      </c>
      <c r="J5" s="118" t="str">
        <f t="shared" ref="J5:J9" si="0">_xlfn.CONCAT("Day ",L5)</f>
        <v>Day 4</v>
      </c>
      <c r="K5" s="63"/>
      <c r="L5" s="120">
        <f t="shared" ref="L5:L9" si="1">L4+1</f>
        <v>4</v>
      </c>
      <c r="M5" s="120"/>
      <c r="N5" s="63"/>
      <c r="O5" s="63"/>
      <c r="P5" s="63"/>
    </row>
    <row r="6" spans="1:16" ht="18" customHeight="1">
      <c r="A6" s="66">
        <v>0.45833333333333298</v>
      </c>
      <c r="B6" s="66">
        <v>0.5</v>
      </c>
      <c r="C6" s="475"/>
      <c r="D6" s="475"/>
      <c r="E6" s="475"/>
      <c r="F6" s="66">
        <v>0.20833333333333331</v>
      </c>
      <c r="G6" s="66">
        <v>0.24999999999999997</v>
      </c>
      <c r="H6" s="61"/>
      <c r="I6" s="117">
        <f t="shared" ref="I6:I9" si="2">I5+1</f>
        <v>45030</v>
      </c>
      <c r="J6" s="118" t="str">
        <f t="shared" si="0"/>
        <v>Day 5</v>
      </c>
      <c r="K6" s="63"/>
      <c r="L6" s="120">
        <f t="shared" si="1"/>
        <v>5</v>
      </c>
      <c r="M6" s="63"/>
      <c r="N6" s="63"/>
      <c r="O6" s="63"/>
      <c r="P6" s="63"/>
    </row>
    <row r="7" spans="1:16" ht="18" customHeight="1">
      <c r="A7" s="66">
        <v>0.5</v>
      </c>
      <c r="B7" s="66">
        <v>0.54166666666666696</v>
      </c>
      <c r="C7" s="475"/>
      <c r="D7" s="475"/>
      <c r="E7" s="475"/>
      <c r="F7" s="66">
        <v>0.24999999999999997</v>
      </c>
      <c r="G7" s="66">
        <v>0.29166666666666663</v>
      </c>
      <c r="H7" s="61"/>
      <c r="I7" s="117">
        <f t="shared" si="2"/>
        <v>45031</v>
      </c>
      <c r="J7" s="118" t="str">
        <f t="shared" si="0"/>
        <v>Day 6</v>
      </c>
      <c r="K7" s="63"/>
      <c r="L7" s="120">
        <f t="shared" si="1"/>
        <v>6</v>
      </c>
      <c r="M7" s="63"/>
      <c r="N7" s="63"/>
      <c r="O7" s="63"/>
      <c r="P7" s="63"/>
    </row>
    <row r="8" spans="1:16" ht="18" customHeight="1">
      <c r="A8" s="66">
        <v>0.54166666666666696</v>
      </c>
      <c r="B8" s="66">
        <v>0.58333333333333404</v>
      </c>
      <c r="C8" s="475"/>
      <c r="D8" s="475"/>
      <c r="E8" s="475"/>
      <c r="F8" s="66">
        <v>0.29166666666666663</v>
      </c>
      <c r="G8" s="66">
        <v>0.33333333333333331</v>
      </c>
      <c r="H8" s="61"/>
      <c r="I8" s="117">
        <f t="shared" si="2"/>
        <v>45032</v>
      </c>
      <c r="J8" s="118" t="str">
        <f t="shared" si="0"/>
        <v>Day 7</v>
      </c>
      <c r="K8" s="63"/>
      <c r="L8" s="120">
        <f t="shared" si="1"/>
        <v>7</v>
      </c>
      <c r="M8" s="63"/>
      <c r="N8" s="63"/>
      <c r="O8" s="63"/>
      <c r="P8" s="63"/>
    </row>
    <row r="9" spans="1:16" ht="18" customHeight="1">
      <c r="A9" s="66">
        <v>0.58333333333333304</v>
      </c>
      <c r="B9" s="66">
        <v>0.625</v>
      </c>
      <c r="C9" s="475"/>
      <c r="D9" s="475"/>
      <c r="E9" s="475"/>
      <c r="F9" s="66">
        <v>0.33333333333333331</v>
      </c>
      <c r="G9" s="66">
        <v>0.375</v>
      </c>
      <c r="H9" s="61"/>
      <c r="I9" s="117">
        <f t="shared" si="2"/>
        <v>45033</v>
      </c>
      <c r="J9" s="118" t="str">
        <f t="shared" si="0"/>
        <v>Day 8</v>
      </c>
      <c r="K9" s="63"/>
      <c r="L9" s="120">
        <f t="shared" si="1"/>
        <v>8</v>
      </c>
      <c r="M9" s="63"/>
      <c r="N9" s="63"/>
      <c r="O9" s="63"/>
      <c r="P9" s="63"/>
    </row>
    <row r="10" spans="1:16" ht="18" customHeight="1">
      <c r="A10" s="66">
        <v>0.625</v>
      </c>
      <c r="B10" s="66">
        <v>0.66666666666666696</v>
      </c>
      <c r="C10" s="475"/>
      <c r="D10" s="475"/>
      <c r="E10" s="475"/>
      <c r="F10" s="66">
        <v>0.375</v>
      </c>
      <c r="G10" s="66">
        <v>0.41666666666666669</v>
      </c>
      <c r="H10" s="61"/>
      <c r="I10" s="119"/>
      <c r="J10" s="63"/>
      <c r="K10" s="63"/>
      <c r="L10" s="63"/>
      <c r="M10" s="63"/>
      <c r="N10" s="63"/>
      <c r="O10" s="63"/>
      <c r="P10" s="63"/>
    </row>
    <row r="11" spans="1:16" ht="18" customHeight="1">
      <c r="A11" s="66">
        <v>0.66666666666666696</v>
      </c>
      <c r="B11" s="66">
        <v>0.70833333333333337</v>
      </c>
      <c r="C11" s="475"/>
      <c r="D11" s="475"/>
      <c r="E11" s="475"/>
      <c r="F11" s="66">
        <v>0.41666666666666669</v>
      </c>
      <c r="G11" s="66">
        <v>0.45833333333333337</v>
      </c>
      <c r="H11" s="61"/>
      <c r="I11" s="112" t="s">
        <v>896</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5"/>
      <c r="D12" s="475"/>
      <c r="E12" s="475"/>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5"/>
      <c r="D13" s="475"/>
      <c r="E13" s="475"/>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92" t="str">
        <f>CONCATENATE("Schedule above includes ",Planning!B43," non-working day(s).")</f>
        <v>Schedule above includes 0 non-working day(s).</v>
      </c>
      <c r="B15" s="492"/>
      <c r="C15" s="492"/>
      <c r="D15" s="492"/>
      <c r="E15" s="492"/>
      <c r="F15" s="492"/>
      <c r="G15" s="492"/>
      <c r="H15" s="61"/>
      <c r="I15" s="112"/>
      <c r="K15" s="114"/>
      <c r="L15" s="112" t="e">
        <f>'P1-OrgScope'!#REF!</f>
        <v>#REF!</v>
      </c>
      <c r="M15" s="63"/>
      <c r="N15" s="63"/>
      <c r="O15" s="63"/>
      <c r="P15" s="63"/>
    </row>
    <row r="16" spans="1:16">
      <c r="A16" s="490" t="str">
        <f>J4</f>
        <v>Day 3</v>
      </c>
      <c r="B16" s="490"/>
      <c r="C16" s="491">
        <f>I4</f>
        <v>45028</v>
      </c>
      <c r="D16" s="491"/>
      <c r="E16" s="491"/>
      <c r="F16" s="490" t="str">
        <f>A16</f>
        <v>Day 3</v>
      </c>
      <c r="G16" s="490"/>
      <c r="H16" s="61"/>
      <c r="I16" s="112"/>
      <c r="K16" s="114"/>
      <c r="L16" s="112" t="e">
        <f>'P1-OrgScope'!#REF!</f>
        <v>#REF!</v>
      </c>
      <c r="M16" s="63"/>
      <c r="N16" s="63"/>
      <c r="O16" s="63"/>
      <c r="P16" s="63"/>
    </row>
    <row r="17" spans="1:18" ht="28.8">
      <c r="A17" s="490" t="s">
        <v>892</v>
      </c>
      <c r="B17" s="490"/>
      <c r="C17" s="67" t="e">
        <f>C4</f>
        <v>#REF!</v>
      </c>
      <c r="D17" s="67" t="e">
        <f>D4</f>
        <v>#REF!</v>
      </c>
      <c r="E17" s="67" t="str">
        <f>E4</f>
        <v>LA team: Dr Pieter van Zyl and ATMs if applicable</v>
      </c>
      <c r="F17" s="490" t="s">
        <v>893</v>
      </c>
      <c r="G17" s="490"/>
      <c r="H17" s="61"/>
      <c r="K17" s="114"/>
      <c r="L17" s="112" t="e">
        <f>'P1-OrgScope'!#REF!</f>
        <v>#REF!</v>
      </c>
      <c r="M17" s="112"/>
      <c r="N17" s="63"/>
      <c r="O17" s="62"/>
      <c r="P17" s="63"/>
    </row>
    <row r="18" spans="1:18" ht="18.600000000000001" customHeight="1">
      <c r="A18" s="66">
        <v>0.41666666666666669</v>
      </c>
      <c r="B18" s="66">
        <v>0.4375</v>
      </c>
      <c r="C18" s="68" t="s">
        <v>897</v>
      </c>
      <c r="D18" s="68" t="s">
        <v>897</v>
      </c>
      <c r="E18" s="68" t="s">
        <v>898</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3" t="s">
        <v>947</v>
      </c>
      <c r="D19" s="494"/>
      <c r="E19" s="495"/>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5" t="s">
        <v>948</v>
      </c>
      <c r="D20" s="485"/>
      <c r="E20" s="485"/>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5"/>
      <c r="D21" s="485"/>
      <c r="E21" s="485"/>
      <c r="F21" s="66">
        <v>0.22916666666666666</v>
      </c>
      <c r="G21" s="66">
        <v>0.25</v>
      </c>
      <c r="H21" s="61"/>
      <c r="I21" s="63"/>
      <c r="J21" s="63"/>
      <c r="K21" s="63"/>
      <c r="L21" s="63"/>
      <c r="M21" s="63"/>
      <c r="N21" s="63"/>
      <c r="O21" s="63"/>
      <c r="P21" s="63"/>
    </row>
    <row r="22" spans="1:18" ht="18.600000000000001" customHeight="1">
      <c r="A22" s="66">
        <v>0.5</v>
      </c>
      <c r="B22" s="66">
        <v>0.52083333333333337</v>
      </c>
      <c r="C22" s="475" t="s">
        <v>899</v>
      </c>
      <c r="D22" s="475"/>
      <c r="E22" s="47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5"/>
      <c r="D23" s="475"/>
      <c r="E23" s="475"/>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7" t="s">
        <v>949</v>
      </c>
      <c r="D24" s="487"/>
      <c r="E24" s="487"/>
      <c r="F24" s="66">
        <v>0.29166666666666669</v>
      </c>
      <c r="G24" s="66">
        <v>0.3125</v>
      </c>
      <c r="H24" s="61"/>
      <c r="I24" s="63"/>
      <c r="J24" s="63"/>
      <c r="K24" s="120"/>
      <c r="L24" s="120"/>
      <c r="M24" s="120"/>
      <c r="N24" s="63"/>
      <c r="O24" s="63"/>
      <c r="P24" s="63"/>
    </row>
    <row r="25" spans="1:18" ht="18.600000000000001" customHeight="1">
      <c r="A25" s="66">
        <v>0.5625</v>
      </c>
      <c r="B25" s="66">
        <v>0.58333333333333337</v>
      </c>
      <c r="C25" s="487"/>
      <c r="D25" s="487"/>
      <c r="E25" s="487"/>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7"/>
      <c r="D26" s="487"/>
      <c r="E26" s="487"/>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7"/>
      <c r="D27" s="487"/>
      <c r="E27" s="487"/>
      <c r="F27" s="66">
        <v>0.35416666666666669</v>
      </c>
      <c r="G27" s="66">
        <v>0.375</v>
      </c>
      <c r="H27" s="61"/>
      <c r="I27" s="63"/>
      <c r="J27" s="63"/>
      <c r="K27" s="63"/>
      <c r="L27" s="63"/>
      <c r="M27" s="63"/>
      <c r="N27" s="63"/>
      <c r="O27" s="63"/>
      <c r="P27" s="63"/>
    </row>
    <row r="28" spans="1:18" ht="18.600000000000001" customHeight="1">
      <c r="A28" s="66">
        <v>0.625</v>
      </c>
      <c r="B28" s="66">
        <v>0.64583333333333337</v>
      </c>
      <c r="C28" s="475" t="s">
        <v>900</v>
      </c>
      <c r="D28" s="475"/>
      <c r="E28" s="47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7" t="s">
        <v>1556</v>
      </c>
      <c r="D29" s="487"/>
      <c r="E29" s="487"/>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7"/>
      <c r="D30" s="487"/>
      <c r="E30" s="487"/>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7"/>
      <c r="D31" s="487"/>
      <c r="E31" s="487"/>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7"/>
      <c r="D32" s="487"/>
      <c r="E32" s="487"/>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5" t="s">
        <v>900</v>
      </c>
      <c r="D33" s="475"/>
      <c r="E33" s="475"/>
      <c r="F33" s="66">
        <v>0.47916666666666669</v>
      </c>
      <c r="G33" s="66">
        <v>0.5</v>
      </c>
      <c r="H33" s="61"/>
      <c r="I33" s="63"/>
      <c r="J33" s="63"/>
      <c r="K33" s="63"/>
      <c r="L33" s="63"/>
      <c r="M33" s="63"/>
      <c r="N33" s="63"/>
      <c r="O33" s="63"/>
      <c r="P33" s="63"/>
    </row>
    <row r="34" spans="1:16" ht="18.600000000000001" customHeight="1">
      <c r="A34" s="66">
        <v>0.75</v>
      </c>
      <c r="B34" s="66">
        <v>0.83333333333333337</v>
      </c>
      <c r="C34" s="475" t="s">
        <v>901</v>
      </c>
      <c r="D34" s="475"/>
      <c r="E34" s="475"/>
      <c r="F34" s="66">
        <v>0.5</v>
      </c>
      <c r="G34" s="66">
        <v>0.58333333333333337</v>
      </c>
      <c r="H34" s="61"/>
      <c r="I34" s="63"/>
      <c r="J34" s="63"/>
      <c r="K34" s="63"/>
      <c r="L34" s="63"/>
      <c r="M34" s="63"/>
      <c r="N34" s="63"/>
      <c r="O34" s="63"/>
      <c r="P34" s="63"/>
    </row>
    <row r="35" spans="1:16">
      <c r="A35" s="490" t="str">
        <f>J5</f>
        <v>Day 4</v>
      </c>
      <c r="B35" s="490"/>
      <c r="C35" s="491">
        <f>I5</f>
        <v>45029</v>
      </c>
      <c r="D35" s="491"/>
      <c r="E35" s="491"/>
      <c r="F35" s="490" t="str">
        <f>A35</f>
        <v>Day 4</v>
      </c>
      <c r="G35" s="490"/>
      <c r="H35" s="70"/>
    </row>
    <row r="36" spans="1:16" ht="28.8">
      <c r="A36" s="490" t="s">
        <v>892</v>
      </c>
      <c r="B36" s="490"/>
      <c r="C36" s="67" t="e">
        <f>C17</f>
        <v>#REF!</v>
      </c>
      <c r="D36" s="67" t="e">
        <f>D17</f>
        <v>#REF!</v>
      </c>
      <c r="E36" s="67" t="str">
        <f>E17</f>
        <v>LA team: Dr Pieter van Zyl and ATMs if applicable</v>
      </c>
      <c r="F36" s="490" t="s">
        <v>893</v>
      </c>
      <c r="G36" s="490"/>
      <c r="H36" s="70"/>
    </row>
    <row r="37" spans="1:16" ht="18" customHeight="1">
      <c r="A37" s="66">
        <v>0.41666666666666669</v>
      </c>
      <c r="B37" s="66">
        <v>0.4375</v>
      </c>
      <c r="C37" s="475" t="s">
        <v>900</v>
      </c>
      <c r="D37" s="475"/>
      <c r="E37" s="68" t="s">
        <v>898</v>
      </c>
      <c r="F37" s="66">
        <v>0.16666666666666666</v>
      </c>
      <c r="G37" s="66">
        <v>0.1875</v>
      </c>
      <c r="H37" s="70"/>
    </row>
    <row r="38" spans="1:16" ht="18" customHeight="1">
      <c r="A38" s="66">
        <v>0.4375</v>
      </c>
      <c r="B38" s="66">
        <v>0.45833333333333331</v>
      </c>
      <c r="C38" s="487" t="s">
        <v>950</v>
      </c>
      <c r="D38" s="487"/>
      <c r="E38" s="487"/>
      <c r="F38" s="66">
        <v>0.1875</v>
      </c>
      <c r="G38" s="66">
        <v>0.20833333333333334</v>
      </c>
      <c r="H38" s="70"/>
    </row>
    <row r="39" spans="1:16" ht="18" customHeight="1">
      <c r="A39" s="66">
        <v>0.45833333333333331</v>
      </c>
      <c r="B39" s="66">
        <v>0.47916666666666669</v>
      </c>
      <c r="C39" s="487"/>
      <c r="D39" s="487"/>
      <c r="E39" s="487"/>
      <c r="F39" s="66">
        <v>0.20833333333333334</v>
      </c>
      <c r="G39" s="66">
        <v>0.22916666666666666</v>
      </c>
      <c r="H39" s="70"/>
    </row>
    <row r="40" spans="1:16" ht="18" customHeight="1">
      <c r="A40" s="66">
        <v>0.47916666666666669</v>
      </c>
      <c r="B40" s="66">
        <v>0.5</v>
      </c>
      <c r="C40" s="487"/>
      <c r="D40" s="487"/>
      <c r="E40" s="487"/>
      <c r="F40" s="66">
        <v>0.22916666666666666</v>
      </c>
      <c r="G40" s="66">
        <v>0.25</v>
      </c>
      <c r="H40" s="70"/>
    </row>
    <row r="41" spans="1:16" ht="18" customHeight="1">
      <c r="A41" s="66">
        <v>0.5</v>
      </c>
      <c r="B41" s="66">
        <v>0.52083333333333337</v>
      </c>
      <c r="C41" s="475" t="s">
        <v>899</v>
      </c>
      <c r="D41" s="475"/>
      <c r="E41" s="475"/>
      <c r="F41" s="66">
        <v>0.25</v>
      </c>
      <c r="G41" s="66">
        <v>0.27083333333333331</v>
      </c>
      <c r="H41" s="70"/>
    </row>
    <row r="42" spans="1:16" ht="18" customHeight="1">
      <c r="A42" s="66">
        <v>0.52083333333333337</v>
      </c>
      <c r="B42" s="66">
        <v>0.54166666666666663</v>
      </c>
      <c r="C42" s="475"/>
      <c r="D42" s="475"/>
      <c r="E42" s="475"/>
      <c r="F42" s="66">
        <v>0.27083333333333331</v>
      </c>
      <c r="G42" s="66">
        <v>0.29166666666666669</v>
      </c>
      <c r="H42" s="70"/>
    </row>
    <row r="43" spans="1:16" ht="18" customHeight="1">
      <c r="A43" s="66">
        <v>0.54166666666666663</v>
      </c>
      <c r="B43" s="66">
        <v>0.5625</v>
      </c>
      <c r="C43" s="487" t="s">
        <v>1557</v>
      </c>
      <c r="D43" s="487"/>
      <c r="E43" s="487"/>
      <c r="F43" s="66">
        <v>0.29166666666666669</v>
      </c>
      <c r="G43" s="66">
        <v>0.3125</v>
      </c>
      <c r="H43" s="70"/>
    </row>
    <row r="44" spans="1:16" ht="18" customHeight="1">
      <c r="A44" s="66">
        <v>0.5625</v>
      </c>
      <c r="B44" s="66">
        <v>0.58333333333333337</v>
      </c>
      <c r="C44" s="487"/>
      <c r="D44" s="487"/>
      <c r="E44" s="487"/>
      <c r="F44" s="66">
        <v>0.3125</v>
      </c>
      <c r="G44" s="66">
        <v>0.33333333333333331</v>
      </c>
      <c r="H44" s="70"/>
    </row>
    <row r="45" spans="1:16" ht="18" customHeight="1">
      <c r="A45" s="66">
        <v>0.58333333333333337</v>
      </c>
      <c r="B45" s="66">
        <v>0.60416666666666663</v>
      </c>
      <c r="C45" s="487"/>
      <c r="D45" s="487"/>
      <c r="E45" s="487"/>
      <c r="F45" s="66">
        <v>0.33333333333333331</v>
      </c>
      <c r="G45" s="66">
        <v>0.35416666666666669</v>
      </c>
      <c r="H45" s="70"/>
    </row>
    <row r="46" spans="1:16" ht="18" customHeight="1">
      <c r="A46" s="66">
        <v>0.60416666666666663</v>
      </c>
      <c r="B46" s="66">
        <v>0.625</v>
      </c>
      <c r="C46" s="487"/>
      <c r="D46" s="487"/>
      <c r="E46" s="487"/>
      <c r="F46" s="66">
        <v>0.35416666666666669</v>
      </c>
      <c r="G46" s="66">
        <v>0.375</v>
      </c>
      <c r="H46" s="70"/>
    </row>
    <row r="47" spans="1:16" ht="18" customHeight="1">
      <c r="A47" s="66">
        <v>0.625</v>
      </c>
      <c r="B47" s="66">
        <v>0.64583333333333337</v>
      </c>
      <c r="C47" s="487"/>
      <c r="D47" s="487"/>
      <c r="E47" s="487"/>
      <c r="F47" s="66">
        <v>0.375</v>
      </c>
      <c r="G47" s="66">
        <v>0.39583333333333331</v>
      </c>
      <c r="H47" s="70"/>
    </row>
    <row r="48" spans="1:16" ht="18" customHeight="1">
      <c r="A48" s="66">
        <v>0.64583333333333337</v>
      </c>
      <c r="B48" s="66">
        <v>0.66666666666666663</v>
      </c>
      <c r="C48" s="475" t="s">
        <v>900</v>
      </c>
      <c r="D48" s="475"/>
      <c r="E48" s="475" t="s">
        <v>898</v>
      </c>
      <c r="F48" s="66">
        <v>0.39583333333333331</v>
      </c>
      <c r="G48" s="66">
        <v>0.41666666666666669</v>
      </c>
      <c r="H48" s="70"/>
    </row>
    <row r="49" spans="1:8" ht="18" customHeight="1">
      <c r="A49" s="66">
        <v>0.66666666666666663</v>
      </c>
      <c r="B49" s="66">
        <v>0.6875</v>
      </c>
      <c r="C49" s="475"/>
      <c r="D49" s="475"/>
      <c r="E49" s="475"/>
      <c r="F49" s="66">
        <v>0.41666666666666669</v>
      </c>
      <c r="G49" s="66">
        <v>0.4375</v>
      </c>
      <c r="H49" s="70"/>
    </row>
    <row r="50" spans="1:8" ht="18" customHeight="1">
      <c r="A50" s="66">
        <v>0.6875</v>
      </c>
      <c r="B50" s="66">
        <v>0.70833333333333337</v>
      </c>
      <c r="C50" s="487" t="s">
        <v>951</v>
      </c>
      <c r="D50" s="487"/>
      <c r="E50" s="487"/>
      <c r="F50" s="66">
        <v>0.4375</v>
      </c>
      <c r="G50" s="66">
        <v>0.45833333333333331</v>
      </c>
      <c r="H50" s="70"/>
    </row>
    <row r="51" spans="1:8" ht="18" customHeight="1">
      <c r="A51" s="66">
        <v>0.70833333333333337</v>
      </c>
      <c r="B51" s="66">
        <v>0.72916666666666663</v>
      </c>
      <c r="C51" s="487"/>
      <c r="D51" s="487"/>
      <c r="E51" s="487"/>
      <c r="F51" s="66">
        <v>0.45833333333333331</v>
      </c>
      <c r="G51" s="66">
        <v>0.47916666666666669</v>
      </c>
      <c r="H51" s="70"/>
    </row>
    <row r="52" spans="1:8" ht="18" customHeight="1">
      <c r="A52" s="66">
        <v>0.72916666666666663</v>
      </c>
      <c r="B52" s="66">
        <v>0.75</v>
      </c>
      <c r="C52" s="475" t="s">
        <v>900</v>
      </c>
      <c r="D52" s="475"/>
      <c r="E52" s="475"/>
      <c r="F52" s="66">
        <v>0.47916666666666669</v>
      </c>
      <c r="G52" s="66">
        <v>0.5</v>
      </c>
      <c r="H52" s="70"/>
    </row>
    <row r="53" spans="1:8" ht="18" customHeight="1">
      <c r="A53" s="66">
        <v>0.75</v>
      </c>
      <c r="B53" s="66">
        <v>0.83333333333333337</v>
      </c>
      <c r="C53" s="475" t="s">
        <v>901</v>
      </c>
      <c r="D53" s="475"/>
      <c r="E53" s="475"/>
      <c r="F53" s="66">
        <v>0.5</v>
      </c>
      <c r="G53" s="66">
        <v>0.58333333333333337</v>
      </c>
      <c r="H53" s="70"/>
    </row>
    <row r="54" spans="1:8">
      <c r="A54" s="486" t="str">
        <f>J6</f>
        <v>Day 5</v>
      </c>
      <c r="B54" s="486"/>
      <c r="C54" s="489">
        <f>I6</f>
        <v>45030</v>
      </c>
      <c r="D54" s="489"/>
      <c r="E54" s="489"/>
      <c r="F54" s="486" t="str">
        <f>A54</f>
        <v>Day 5</v>
      </c>
      <c r="G54" s="486"/>
      <c r="H54" s="70"/>
    </row>
    <row r="55" spans="1:8" ht="28.8">
      <c r="A55" s="486" t="s">
        <v>892</v>
      </c>
      <c r="B55" s="486"/>
      <c r="C55" s="64" t="e">
        <f>C36</f>
        <v>#REF!</v>
      </c>
      <c r="D55" s="64" t="e">
        <f>D36</f>
        <v>#REF!</v>
      </c>
      <c r="E55" s="64" t="str">
        <f>E36</f>
        <v>LA team: Dr Pieter van Zyl and ATMs if applicable</v>
      </c>
      <c r="F55" s="486" t="s">
        <v>893</v>
      </c>
      <c r="G55" s="486"/>
      <c r="H55" s="70"/>
    </row>
    <row r="56" spans="1:8" ht="18" customHeight="1">
      <c r="A56" s="66">
        <v>0.41666666666666669</v>
      </c>
      <c r="B56" s="66">
        <v>0.4375</v>
      </c>
      <c r="C56" s="475" t="s">
        <v>902</v>
      </c>
      <c r="D56" s="475"/>
      <c r="E56" s="68" t="s">
        <v>898</v>
      </c>
      <c r="F56" s="66">
        <v>0.16666666666666666</v>
      </c>
      <c r="G56" s="66">
        <v>0.1875</v>
      </c>
      <c r="H56" s="70"/>
    </row>
    <row r="57" spans="1:8" ht="18" customHeight="1">
      <c r="A57" s="66">
        <v>0.4375</v>
      </c>
      <c r="B57" s="66">
        <v>0.45833333333333331</v>
      </c>
      <c r="C57" s="487" t="s">
        <v>952</v>
      </c>
      <c r="D57" s="487"/>
      <c r="E57" s="487"/>
      <c r="F57" s="66">
        <v>0.1875</v>
      </c>
      <c r="G57" s="66">
        <v>0.20833333333333334</v>
      </c>
      <c r="H57" s="70"/>
    </row>
    <row r="58" spans="1:8" ht="18" customHeight="1">
      <c r="A58" s="66">
        <v>0.45833333333333331</v>
      </c>
      <c r="B58" s="66">
        <v>0.47916666666666669</v>
      </c>
      <c r="C58" s="487"/>
      <c r="D58" s="487"/>
      <c r="E58" s="487"/>
      <c r="F58" s="66">
        <v>0.20833333333333334</v>
      </c>
      <c r="G58" s="66">
        <v>0.22916666666666666</v>
      </c>
      <c r="H58" s="70"/>
    </row>
    <row r="59" spans="1:8" ht="18" customHeight="1">
      <c r="A59" s="66">
        <v>0.47916666666666669</v>
      </c>
      <c r="B59" s="66">
        <v>0.5</v>
      </c>
      <c r="C59" s="487"/>
      <c r="D59" s="487"/>
      <c r="E59" s="487"/>
      <c r="F59" s="66">
        <v>0.22916666666666666</v>
      </c>
      <c r="G59" s="66">
        <v>0.25</v>
      </c>
      <c r="H59" s="70"/>
    </row>
    <row r="60" spans="1:8" ht="18" customHeight="1">
      <c r="A60" s="66">
        <v>0.5</v>
      </c>
      <c r="B60" s="66">
        <v>0.52083333333333337</v>
      </c>
      <c r="C60" s="475" t="s">
        <v>899</v>
      </c>
      <c r="D60" s="475"/>
      <c r="E60" s="475"/>
      <c r="F60" s="66">
        <v>0.25</v>
      </c>
      <c r="G60" s="66">
        <v>0.27083333333333331</v>
      </c>
      <c r="H60" s="70"/>
    </row>
    <row r="61" spans="1:8" ht="18" customHeight="1">
      <c r="A61" s="66">
        <v>0.52083333333333337</v>
      </c>
      <c r="B61" s="66">
        <v>0.54166666666666663</v>
      </c>
      <c r="C61" s="475"/>
      <c r="D61" s="475"/>
      <c r="E61" s="475"/>
      <c r="F61" s="66">
        <v>0.27083333333333331</v>
      </c>
      <c r="G61" s="66">
        <v>0.29166666666666669</v>
      </c>
      <c r="H61" s="70"/>
    </row>
    <row r="62" spans="1:8" ht="18" customHeight="1">
      <c r="A62" s="66">
        <v>0.54166666666666663</v>
      </c>
      <c r="B62" s="66">
        <v>0.5625</v>
      </c>
      <c r="C62" s="487" t="s">
        <v>1558</v>
      </c>
      <c r="D62" s="487"/>
      <c r="E62" s="487"/>
      <c r="F62" s="66">
        <v>0.29166666666666669</v>
      </c>
      <c r="G62" s="66">
        <v>0.3125</v>
      </c>
      <c r="H62" s="70"/>
    </row>
    <row r="63" spans="1:8" ht="18" customHeight="1">
      <c r="A63" s="66">
        <v>0.5625</v>
      </c>
      <c r="B63" s="66">
        <v>0.58333333333333337</v>
      </c>
      <c r="C63" s="487"/>
      <c r="D63" s="487"/>
      <c r="E63" s="487"/>
      <c r="F63" s="66">
        <v>0.3125</v>
      </c>
      <c r="G63" s="66">
        <v>0.33333333333333331</v>
      </c>
      <c r="H63" s="70"/>
    </row>
    <row r="64" spans="1:8" ht="18" customHeight="1">
      <c r="A64" s="66">
        <v>0.58333333333333337</v>
      </c>
      <c r="B64" s="66">
        <v>0.60416666666666663</v>
      </c>
      <c r="C64" s="487"/>
      <c r="D64" s="487"/>
      <c r="E64" s="487"/>
      <c r="F64" s="66">
        <v>0.33333333333333331</v>
      </c>
      <c r="G64" s="66">
        <v>0.35416666666666669</v>
      </c>
      <c r="H64" s="70"/>
    </row>
    <row r="65" spans="1:8" ht="18" customHeight="1">
      <c r="A65" s="66">
        <v>0.60416666666666663</v>
      </c>
      <c r="B65" s="66">
        <v>0.625</v>
      </c>
      <c r="C65" s="487"/>
      <c r="D65" s="487"/>
      <c r="E65" s="487"/>
      <c r="F65" s="66">
        <v>0.35416666666666669</v>
      </c>
      <c r="G65" s="66">
        <v>0.375</v>
      </c>
      <c r="H65" s="70"/>
    </row>
    <row r="66" spans="1:8" ht="18" customHeight="1">
      <c r="A66" s="66">
        <v>0.625</v>
      </c>
      <c r="B66" s="66">
        <v>0.64583333333333337</v>
      </c>
      <c r="C66" s="487"/>
      <c r="D66" s="487"/>
      <c r="E66" s="487"/>
      <c r="F66" s="66">
        <v>0.375</v>
      </c>
      <c r="G66" s="66">
        <v>0.39583333333333331</v>
      </c>
      <c r="H66" s="70"/>
    </row>
    <row r="67" spans="1:8" ht="18" customHeight="1">
      <c r="A67" s="66">
        <v>0.64583333333333337</v>
      </c>
      <c r="B67" s="66">
        <v>0.66666666666666663</v>
      </c>
      <c r="C67" s="487"/>
      <c r="D67" s="487"/>
      <c r="E67" s="487"/>
      <c r="F67" s="66">
        <v>0.39583333333333331</v>
      </c>
      <c r="G67" s="66">
        <v>0.41666666666666669</v>
      </c>
      <c r="H67" s="70"/>
    </row>
    <row r="68" spans="1:8" ht="18" customHeight="1">
      <c r="A68" s="66">
        <v>0.66666666666666663</v>
      </c>
      <c r="B68" s="66">
        <v>0.6875</v>
      </c>
      <c r="C68" s="475" t="s">
        <v>900</v>
      </c>
      <c r="D68" s="475"/>
      <c r="E68" s="475"/>
      <c r="F68" s="66">
        <v>0.41666666666666669</v>
      </c>
      <c r="G68" s="66">
        <v>0.4375</v>
      </c>
      <c r="H68" s="70"/>
    </row>
    <row r="69" spans="1:8" ht="18" customHeight="1">
      <c r="A69" s="66">
        <v>0.6875</v>
      </c>
      <c r="B69" s="66">
        <v>0.70833333333333337</v>
      </c>
      <c r="C69" s="487" t="s">
        <v>953</v>
      </c>
      <c r="D69" s="487"/>
      <c r="E69" s="487"/>
      <c r="F69" s="66">
        <v>0.4375</v>
      </c>
      <c r="G69" s="66">
        <v>0.45833333333333331</v>
      </c>
      <c r="H69" s="70"/>
    </row>
    <row r="70" spans="1:8" ht="18" customHeight="1">
      <c r="A70" s="66">
        <v>0.70833333333333337</v>
      </c>
      <c r="B70" s="66">
        <v>0.72916666666666663</v>
      </c>
      <c r="C70" s="487"/>
      <c r="D70" s="487"/>
      <c r="E70" s="487"/>
      <c r="F70" s="66">
        <v>0.45833333333333331</v>
      </c>
      <c r="G70" s="66">
        <v>0.47916666666666669</v>
      </c>
      <c r="H70" s="70"/>
    </row>
    <row r="71" spans="1:8" ht="18" customHeight="1">
      <c r="A71" s="66">
        <v>0.72916666666666663</v>
      </c>
      <c r="B71" s="66">
        <v>0.75</v>
      </c>
      <c r="C71" s="475" t="s">
        <v>900</v>
      </c>
      <c r="D71" s="475"/>
      <c r="E71" s="475"/>
      <c r="F71" s="66">
        <v>0.47916666666666669</v>
      </c>
      <c r="G71" s="66">
        <v>0.5</v>
      </c>
      <c r="H71" s="70"/>
    </row>
    <row r="72" spans="1:8" ht="18" customHeight="1">
      <c r="A72" s="66">
        <v>0.75</v>
      </c>
      <c r="B72" s="66">
        <v>0.83333333333333337</v>
      </c>
      <c r="C72" s="475" t="s">
        <v>901</v>
      </c>
      <c r="D72" s="475"/>
      <c r="E72" s="475"/>
      <c r="F72" s="66">
        <v>0.5</v>
      </c>
      <c r="G72" s="66">
        <v>0.58333333333333337</v>
      </c>
      <c r="H72" s="70"/>
    </row>
    <row r="73" spans="1:8">
      <c r="A73" s="486" t="str">
        <f>J7</f>
        <v>Day 6</v>
      </c>
      <c r="B73" s="486"/>
      <c r="C73" s="489">
        <f>I7</f>
        <v>45031</v>
      </c>
      <c r="D73" s="489"/>
      <c r="E73" s="489"/>
      <c r="F73" s="486" t="str">
        <f>A73</f>
        <v>Day 6</v>
      </c>
      <c r="G73" s="486"/>
      <c r="H73" s="70"/>
    </row>
    <row r="74" spans="1:8" ht="28.8">
      <c r="A74" s="486" t="s">
        <v>892</v>
      </c>
      <c r="B74" s="486"/>
      <c r="C74" s="64" t="e">
        <f>C55</f>
        <v>#REF!</v>
      </c>
      <c r="D74" s="64" t="e">
        <f>D55</f>
        <v>#REF!</v>
      </c>
      <c r="E74" s="64" t="str">
        <f>E55</f>
        <v>LA team: Dr Pieter van Zyl and ATMs if applicable</v>
      </c>
      <c r="F74" s="486" t="s">
        <v>893</v>
      </c>
      <c r="G74" s="486"/>
      <c r="H74" s="70"/>
    </row>
    <row r="75" spans="1:8" ht="18" customHeight="1">
      <c r="A75" s="66">
        <v>0.41666666666666669</v>
      </c>
      <c r="B75" s="66">
        <v>0.4375</v>
      </c>
      <c r="C75" s="475" t="s">
        <v>900</v>
      </c>
      <c r="D75" s="475"/>
      <c r="E75" s="475"/>
      <c r="F75" s="66">
        <v>0.16666666666666666</v>
      </c>
      <c r="G75" s="66">
        <v>0.1875</v>
      </c>
      <c r="H75" s="70"/>
    </row>
    <row r="76" spans="1:8" ht="18" customHeight="1">
      <c r="A76" s="66">
        <v>0.4375</v>
      </c>
      <c r="B76" s="66">
        <v>0.45833333333333331</v>
      </c>
      <c r="C76" s="487" t="s">
        <v>954</v>
      </c>
      <c r="D76" s="487"/>
      <c r="E76" s="487"/>
      <c r="F76" s="66">
        <v>0.1875</v>
      </c>
      <c r="G76" s="66">
        <v>0.20833333333333334</v>
      </c>
      <c r="H76" s="70"/>
    </row>
    <row r="77" spans="1:8" ht="18" customHeight="1">
      <c r="A77" s="66">
        <v>0.45833333333333331</v>
      </c>
      <c r="B77" s="66">
        <v>0.47916666666666669</v>
      </c>
      <c r="C77" s="487"/>
      <c r="D77" s="487"/>
      <c r="E77" s="487"/>
      <c r="F77" s="66">
        <v>0.20833333333333334</v>
      </c>
      <c r="G77" s="66">
        <v>0.22916666666666666</v>
      </c>
      <c r="H77" s="70"/>
    </row>
    <row r="78" spans="1:8" ht="18" customHeight="1">
      <c r="A78" s="66">
        <v>0.47916666666666669</v>
      </c>
      <c r="B78" s="66">
        <v>0.5</v>
      </c>
      <c r="C78" s="475" t="s">
        <v>900</v>
      </c>
      <c r="D78" s="475"/>
      <c r="E78" s="475"/>
      <c r="F78" s="66">
        <v>0.22916666666666666</v>
      </c>
      <c r="G78" s="66">
        <v>0.25</v>
      </c>
      <c r="H78" s="70"/>
    </row>
    <row r="79" spans="1:8" ht="18" customHeight="1">
      <c r="A79" s="66">
        <v>0.5</v>
      </c>
      <c r="B79" s="66">
        <v>0.52083333333333337</v>
      </c>
      <c r="C79" s="475" t="s">
        <v>899</v>
      </c>
      <c r="D79" s="475"/>
      <c r="E79" s="475"/>
      <c r="F79" s="66">
        <v>0.25</v>
      </c>
      <c r="G79" s="66">
        <v>0.27083333333333331</v>
      </c>
      <c r="H79" s="70"/>
    </row>
    <row r="80" spans="1:8" ht="18" customHeight="1">
      <c r="A80" s="66">
        <v>0.52083333333333337</v>
      </c>
      <c r="B80" s="66">
        <v>0.54166666666666663</v>
      </c>
      <c r="C80" s="475"/>
      <c r="D80" s="475"/>
      <c r="E80" s="475"/>
      <c r="F80" s="66">
        <v>0.27083333333333331</v>
      </c>
      <c r="G80" s="66">
        <v>0.29166666666666669</v>
      </c>
      <c r="H80" s="70"/>
    </row>
    <row r="81" spans="1:8" ht="18" customHeight="1">
      <c r="A81" s="66">
        <v>0.54166666666666663</v>
      </c>
      <c r="B81" s="66">
        <v>0.5625</v>
      </c>
      <c r="C81" s="488" t="s">
        <v>903</v>
      </c>
      <c r="D81" s="488"/>
      <c r="E81" s="488"/>
      <c r="F81" s="66">
        <v>0.29166666666666669</v>
      </c>
      <c r="G81" s="66">
        <v>0.3125</v>
      </c>
      <c r="H81" s="70"/>
    </row>
    <row r="82" spans="1:8" ht="18" customHeight="1">
      <c r="A82" s="66">
        <v>0.5625</v>
      </c>
      <c r="B82" s="66">
        <v>0.58333333333333337</v>
      </c>
      <c r="C82" s="488"/>
      <c r="D82" s="488"/>
      <c r="E82" s="488"/>
      <c r="F82" s="66">
        <v>0.3125</v>
      </c>
      <c r="G82" s="66">
        <v>0.33333333333333331</v>
      </c>
      <c r="H82" s="70"/>
    </row>
    <row r="83" spans="1:8" ht="18" customHeight="1">
      <c r="A83" s="66">
        <v>0.58333333333333337</v>
      </c>
      <c r="B83" s="66">
        <v>0.60416666666666663</v>
      </c>
      <c r="C83" s="488"/>
      <c r="D83" s="488"/>
      <c r="E83" s="488"/>
      <c r="F83" s="66">
        <v>0.33333333333333331</v>
      </c>
      <c r="G83" s="66">
        <v>0.35416666666666669</v>
      </c>
      <c r="H83" s="70"/>
    </row>
    <row r="84" spans="1:8" ht="18" customHeight="1">
      <c r="A84" s="66">
        <v>0.60416666666666663</v>
      </c>
      <c r="B84" s="66">
        <v>0.625</v>
      </c>
      <c r="C84" s="488"/>
      <c r="D84" s="488"/>
      <c r="E84" s="488"/>
      <c r="F84" s="66">
        <v>0.35416666666666669</v>
      </c>
      <c r="G84" s="66">
        <v>0.375</v>
      </c>
      <c r="H84" s="70"/>
    </row>
    <row r="85" spans="1:8" ht="18" customHeight="1">
      <c r="A85" s="66">
        <v>0.625</v>
      </c>
      <c r="B85" s="66">
        <v>0.64583333333333337</v>
      </c>
      <c r="C85" s="487" t="s">
        <v>955</v>
      </c>
      <c r="D85" s="487"/>
      <c r="E85" s="487"/>
      <c r="F85" s="66">
        <v>0.375</v>
      </c>
      <c r="G85" s="66">
        <v>0.39583333333333331</v>
      </c>
      <c r="H85" s="70"/>
    </row>
    <row r="86" spans="1:8" ht="18" customHeight="1">
      <c r="A86" s="66">
        <v>0.64583333333333337</v>
      </c>
      <c r="B86" s="66">
        <v>0.66666666666666663</v>
      </c>
      <c r="C86" s="487"/>
      <c r="D86" s="487"/>
      <c r="E86" s="487"/>
      <c r="F86" s="66">
        <v>0.39583333333333331</v>
      </c>
      <c r="G86" s="66">
        <v>0.41666666666666669</v>
      </c>
      <c r="H86" s="70"/>
    </row>
    <row r="87" spans="1:8" ht="18" customHeight="1">
      <c r="A87" s="66">
        <v>0.66666666666666663</v>
      </c>
      <c r="B87" s="66">
        <v>0.6875</v>
      </c>
      <c r="C87" s="475" t="s">
        <v>900</v>
      </c>
      <c r="D87" s="475"/>
      <c r="E87" s="475"/>
      <c r="F87" s="66">
        <v>0.41666666666666669</v>
      </c>
      <c r="G87" s="66">
        <v>0.4375</v>
      </c>
      <c r="H87" s="70"/>
    </row>
    <row r="88" spans="1:8" ht="18" customHeight="1">
      <c r="A88" s="66">
        <v>0.6875</v>
      </c>
      <c r="B88" s="66">
        <v>0.70833333333333337</v>
      </c>
      <c r="C88" s="475"/>
      <c r="D88" s="475"/>
      <c r="E88" s="475"/>
      <c r="F88" s="66">
        <v>0.4375</v>
      </c>
      <c r="G88" s="66">
        <v>0.45833333333333331</v>
      </c>
      <c r="H88" s="70"/>
    </row>
    <row r="89" spans="1:8" ht="18" customHeight="1">
      <c r="A89" s="66">
        <v>0.70833333333333337</v>
      </c>
      <c r="B89" s="66">
        <v>0.72916666666666663</v>
      </c>
      <c r="C89" s="475"/>
      <c r="D89" s="475"/>
      <c r="E89" s="475"/>
      <c r="F89" s="66">
        <v>0.45833333333333331</v>
      </c>
      <c r="G89" s="66">
        <v>0.47916666666666669</v>
      </c>
      <c r="H89" s="70"/>
    </row>
    <row r="90" spans="1:8" ht="18" customHeight="1">
      <c r="A90" s="66">
        <v>0.72916666666666663</v>
      </c>
      <c r="B90" s="66">
        <v>0.75</v>
      </c>
      <c r="C90" s="475"/>
      <c r="D90" s="475"/>
      <c r="E90" s="475"/>
      <c r="F90" s="66">
        <v>0.47916666666666669</v>
      </c>
      <c r="G90" s="66">
        <v>0.5</v>
      </c>
      <c r="H90" s="70"/>
    </row>
    <row r="91" spans="1:8" ht="18" customHeight="1">
      <c r="A91" s="66">
        <v>0.75</v>
      </c>
      <c r="B91" s="66">
        <v>0.83333333333333337</v>
      </c>
      <c r="C91" s="475" t="s">
        <v>901</v>
      </c>
      <c r="D91" s="475"/>
      <c r="E91" s="475"/>
      <c r="F91" s="66">
        <v>0.5</v>
      </c>
      <c r="G91" s="66">
        <v>0.58333333333333337</v>
      </c>
      <c r="H91" s="70"/>
    </row>
    <row r="92" spans="1:8">
      <c r="A92" s="486" t="str">
        <f>J8</f>
        <v>Day 7</v>
      </c>
      <c r="B92" s="486"/>
      <c r="C92" s="489">
        <f>I8</f>
        <v>45032</v>
      </c>
      <c r="D92" s="489"/>
      <c r="E92" s="489"/>
      <c r="F92" s="486" t="str">
        <f>A92</f>
        <v>Day 7</v>
      </c>
      <c r="G92" s="486"/>
      <c r="H92" s="70"/>
    </row>
    <row r="93" spans="1:8" ht="28.8">
      <c r="A93" s="486" t="s">
        <v>892</v>
      </c>
      <c r="B93" s="486"/>
      <c r="C93" s="64" t="e">
        <f>C74</f>
        <v>#REF!</v>
      </c>
      <c r="D93" s="64" t="e">
        <f>D74</f>
        <v>#REF!</v>
      </c>
      <c r="E93" s="64" t="str">
        <f>E74</f>
        <v>LA team: Dr Pieter van Zyl and ATMs if applicable</v>
      </c>
      <c r="F93" s="486" t="s">
        <v>893</v>
      </c>
      <c r="G93" s="486"/>
      <c r="H93" s="70"/>
    </row>
    <row r="94" spans="1:8" ht="18" customHeight="1">
      <c r="A94" s="66">
        <v>0.41666666666666669</v>
      </c>
      <c r="B94" s="66">
        <v>0.4375</v>
      </c>
      <c r="C94" s="475" t="s">
        <v>900</v>
      </c>
      <c r="D94" s="475"/>
      <c r="E94" s="475"/>
      <c r="F94" s="66">
        <v>0.16666666666666666</v>
      </c>
      <c r="G94" s="66">
        <v>0.1875</v>
      </c>
      <c r="H94" s="70"/>
    </row>
    <row r="95" spans="1:8" ht="18" customHeight="1">
      <c r="A95" s="66">
        <v>0.4375</v>
      </c>
      <c r="B95" s="66">
        <v>0.45833333333333331</v>
      </c>
      <c r="C95" s="469" t="s">
        <v>956</v>
      </c>
      <c r="D95" s="470"/>
      <c r="E95" s="471"/>
      <c r="F95" s="66">
        <v>0.1875</v>
      </c>
      <c r="G95" s="66">
        <v>0.20833333333333334</v>
      </c>
      <c r="H95" s="70"/>
    </row>
    <row r="96" spans="1:8" ht="18" customHeight="1">
      <c r="A96" s="66">
        <v>0.45833333333333331</v>
      </c>
      <c r="B96" s="66">
        <v>0.47916666666666669</v>
      </c>
      <c r="C96" s="472"/>
      <c r="D96" s="473"/>
      <c r="E96" s="474"/>
      <c r="F96" s="66">
        <v>0.20833333333333334</v>
      </c>
      <c r="G96" s="66">
        <v>0.22916666666666666</v>
      </c>
      <c r="H96" s="70"/>
    </row>
    <row r="97" spans="1:8" ht="18" customHeight="1">
      <c r="A97" s="66">
        <v>0.47916666666666669</v>
      </c>
      <c r="B97" s="66">
        <v>0.5</v>
      </c>
      <c r="C97" s="469" t="s">
        <v>957</v>
      </c>
      <c r="D97" s="470"/>
      <c r="E97" s="471"/>
      <c r="F97" s="66">
        <v>0.22916666666666666</v>
      </c>
      <c r="G97" s="66">
        <v>0.25</v>
      </c>
      <c r="H97" s="70"/>
    </row>
    <row r="98" spans="1:8" ht="18" customHeight="1">
      <c r="A98" s="66">
        <v>0.5</v>
      </c>
      <c r="B98" s="66">
        <v>0.52083333333333337</v>
      </c>
      <c r="C98" s="472"/>
      <c r="D98" s="473"/>
      <c r="E98" s="474"/>
      <c r="F98" s="66">
        <v>0.25</v>
      </c>
      <c r="G98" s="66">
        <v>0.27083333333333331</v>
      </c>
      <c r="H98" s="70"/>
    </row>
    <row r="99" spans="1:8" ht="18" customHeight="1">
      <c r="A99" s="66">
        <v>0.52083333333333337</v>
      </c>
      <c r="B99" s="66">
        <v>0.54166666666666663</v>
      </c>
      <c r="C99" s="476" t="s">
        <v>899</v>
      </c>
      <c r="D99" s="477"/>
      <c r="E99" s="478"/>
      <c r="F99" s="66">
        <v>0.27083333333333331</v>
      </c>
      <c r="G99" s="66">
        <v>0.29166666666666669</v>
      </c>
      <c r="H99" s="70"/>
    </row>
    <row r="100" spans="1:8" ht="18" customHeight="1">
      <c r="A100" s="66">
        <v>0.54166666666666663</v>
      </c>
      <c r="B100" s="66">
        <v>0.5625</v>
      </c>
      <c r="C100" s="482"/>
      <c r="D100" s="483"/>
      <c r="E100" s="484"/>
      <c r="F100" s="66">
        <v>0.29166666666666669</v>
      </c>
      <c r="G100" s="66">
        <v>0.3125</v>
      </c>
      <c r="H100" s="70"/>
    </row>
    <row r="101" spans="1:8" ht="18" customHeight="1">
      <c r="A101" s="66">
        <v>0.5625</v>
      </c>
      <c r="B101" s="66">
        <v>0.58333333333333337</v>
      </c>
      <c r="C101" s="476" t="s">
        <v>1565</v>
      </c>
      <c r="D101" s="477"/>
      <c r="E101" s="478"/>
      <c r="F101" s="66">
        <v>0.3125</v>
      </c>
      <c r="G101" s="66">
        <v>0.33333333333333331</v>
      </c>
      <c r="H101" s="70"/>
    </row>
    <row r="102" spans="1:8" ht="18" customHeight="1">
      <c r="A102" s="66">
        <v>0.58333333333333337</v>
      </c>
      <c r="B102" s="66">
        <v>0.60416666666666663</v>
      </c>
      <c r="C102" s="479"/>
      <c r="D102" s="480"/>
      <c r="E102" s="481"/>
      <c r="F102" s="66">
        <v>0.33333333333333331</v>
      </c>
      <c r="G102" s="66">
        <v>0.35416666666666669</v>
      </c>
      <c r="H102" s="70"/>
    </row>
    <row r="103" spans="1:8" ht="18" customHeight="1">
      <c r="A103" s="66">
        <v>0.60416666666666663</v>
      </c>
      <c r="B103" s="66">
        <v>0.625</v>
      </c>
      <c r="C103" s="482"/>
      <c r="D103" s="483"/>
      <c r="E103" s="484"/>
      <c r="F103" s="66">
        <v>0.35416666666666669</v>
      </c>
      <c r="G103" s="66">
        <v>0.375</v>
      </c>
      <c r="H103" s="70"/>
    </row>
    <row r="104" spans="1:8" ht="18" customHeight="1">
      <c r="A104" s="66">
        <v>0.625</v>
      </c>
      <c r="B104" s="66">
        <v>0.64583333333333337</v>
      </c>
      <c r="C104" s="485" t="s">
        <v>1564</v>
      </c>
      <c r="D104" s="485"/>
      <c r="E104" s="485"/>
      <c r="F104" s="66">
        <v>0.375</v>
      </c>
      <c r="G104" s="66">
        <v>0.39583333333333331</v>
      </c>
      <c r="H104" s="70"/>
    </row>
    <row r="105" spans="1:8" ht="18" customHeight="1">
      <c r="A105" s="66">
        <v>0.64583333333333337</v>
      </c>
      <c r="B105" s="66">
        <v>0.66666666666666663</v>
      </c>
      <c r="C105" s="485"/>
      <c r="D105" s="485"/>
      <c r="E105" s="485"/>
      <c r="F105" s="66">
        <v>0.39583333333333331</v>
      </c>
      <c r="G105" s="66">
        <v>0.41666666666666669</v>
      </c>
      <c r="H105" s="70"/>
    </row>
    <row r="106" spans="1:8" ht="18" customHeight="1">
      <c r="A106" s="66">
        <v>0.66666666666666663</v>
      </c>
      <c r="B106" s="66">
        <v>0.6875</v>
      </c>
      <c r="C106" s="475" t="s">
        <v>904</v>
      </c>
      <c r="D106" s="475"/>
      <c r="E106" s="475"/>
      <c r="F106" s="66">
        <v>0.41666666666666669</v>
      </c>
      <c r="G106" s="66">
        <v>0.4375</v>
      </c>
      <c r="H106" s="70"/>
    </row>
    <row r="107" spans="1:8" ht="18" customHeight="1">
      <c r="A107" s="66">
        <v>0.6875</v>
      </c>
      <c r="B107" s="66">
        <v>0.70833333333333337</v>
      </c>
      <c r="C107" s="475"/>
      <c r="D107" s="475"/>
      <c r="E107" s="475"/>
      <c r="F107" s="66">
        <v>0.4375</v>
      </c>
      <c r="G107" s="66">
        <v>0.45833333333333331</v>
      </c>
      <c r="H107" s="70"/>
    </row>
    <row r="108" spans="1:8" ht="18" customHeight="1">
      <c r="A108" s="66">
        <v>0.70833333333333337</v>
      </c>
      <c r="B108" s="66">
        <v>0.72916666666666663</v>
      </c>
      <c r="C108" s="475" t="s">
        <v>905</v>
      </c>
      <c r="D108" s="475"/>
      <c r="E108" s="475"/>
      <c r="F108" s="66">
        <v>0.45833333333333331</v>
      </c>
      <c r="G108" s="66">
        <v>0.47916666666666669</v>
      </c>
      <c r="H108" s="70"/>
    </row>
    <row r="109" spans="1:8" ht="18" customHeight="1">
      <c r="A109" s="66">
        <v>0.72916666666666663</v>
      </c>
      <c r="B109" s="66">
        <v>0.75</v>
      </c>
      <c r="C109" s="475"/>
      <c r="D109" s="475"/>
      <c r="E109" s="475"/>
      <c r="F109" s="66">
        <v>0.47916666666666669</v>
      </c>
      <c r="G109" s="66">
        <v>0.5</v>
      </c>
      <c r="H109" s="70"/>
    </row>
    <row r="110" spans="1:8" ht="18" customHeight="1">
      <c r="A110" s="66">
        <v>0.75</v>
      </c>
      <c r="B110" s="66">
        <v>0.83333333333333337</v>
      </c>
      <c r="C110" s="475"/>
      <c r="D110" s="475"/>
      <c r="E110" s="475"/>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6" t="s">
        <v>1149</v>
      </c>
      <c r="B1" s="496"/>
      <c r="C1" s="496"/>
      <c r="D1" s="496"/>
      <c r="E1" s="496"/>
      <c r="F1" s="496"/>
      <c r="G1" s="496"/>
      <c r="H1" s="61"/>
      <c r="I1" s="115" t="s">
        <v>888</v>
      </c>
      <c r="J1" s="116" t="s">
        <v>889</v>
      </c>
      <c r="K1" s="112" t="s">
        <v>890</v>
      </c>
      <c r="L1" s="112" t="s">
        <v>891</v>
      </c>
      <c r="M1" s="63"/>
      <c r="N1" s="63"/>
      <c r="O1" s="63"/>
      <c r="P1" s="63"/>
    </row>
    <row r="2" spans="1:16" ht="14.7" customHeight="1">
      <c r="A2" s="497" t="str">
        <f>CONCATENATE(TEXT(Planning!B41,"[$-x-sysdate]dddd, mmmm dd, yyyy")," (Technology test)")</f>
        <v>Saturday, 08 April 2023 (Technology test)</v>
      </c>
      <c r="B2" s="497"/>
      <c r="C2" s="497"/>
      <c r="D2" s="497"/>
      <c r="E2" s="497"/>
      <c r="F2" s="497"/>
      <c r="G2" s="497"/>
      <c r="H2" s="61"/>
      <c r="I2" s="112"/>
      <c r="J2" s="112"/>
      <c r="K2" s="112"/>
      <c r="L2" s="63"/>
      <c r="M2" s="63"/>
      <c r="N2" s="63"/>
      <c r="O2" s="63"/>
      <c r="P2" s="63"/>
    </row>
    <row r="3" spans="1:16">
      <c r="A3" s="486" t="str">
        <f>J3</f>
        <v>Day 1-2</v>
      </c>
      <c r="B3" s="486"/>
      <c r="C3" s="489" t="str">
        <f>CONCATENATE(TEXT(I3,"[$-x-sysdate]dddd, mmmm dd, yyyy")," to ",TEXT(K3,"[$-x-sysdate]dddd, mmmm dd, yyyy"))</f>
        <v>Monday, 10 April 2023 to Tuesday, 11 April 2023</v>
      </c>
      <c r="D3" s="489"/>
      <c r="E3" s="489"/>
      <c r="F3" s="486" t="str">
        <f>A3</f>
        <v>Day 1-2</v>
      </c>
      <c r="G3" s="486"/>
      <c r="H3" s="61"/>
      <c r="I3" s="117">
        <f>Planning!B42</f>
        <v>45026</v>
      </c>
      <c r="J3" s="118" t="str">
        <f>_xlfn.CONCAT("Day 1-",L3)</f>
        <v>Day 1-2</v>
      </c>
      <c r="K3" s="119">
        <f>Planning!B42+Planning!B44-1</f>
        <v>45027</v>
      </c>
      <c r="L3" s="112">
        <f>K3-I3+1</f>
        <v>2</v>
      </c>
      <c r="M3" s="63"/>
      <c r="N3" s="63"/>
      <c r="O3" s="63"/>
      <c r="P3" s="63"/>
    </row>
    <row r="4" spans="1:16" ht="49.5" customHeight="1">
      <c r="A4" s="486" t="s">
        <v>892</v>
      </c>
      <c r="B4" s="486"/>
      <c r="C4" s="64" t="e">
        <f>'Schedule4-1P'!C4</f>
        <v>#REF!</v>
      </c>
      <c r="D4" s="64" t="e">
        <f>'Schedule4-1P'!D4</f>
        <v>#REF!</v>
      </c>
      <c r="E4" s="64" t="str">
        <f>'Schedule4-1P'!E4</f>
        <v>LA team: Dr Pieter van Zyl and ATMs if applicable</v>
      </c>
      <c r="F4" s="486" t="s">
        <v>893</v>
      </c>
      <c r="G4" s="486"/>
      <c r="H4" s="61"/>
      <c r="I4" s="117">
        <f>Planning!B45</f>
        <v>45028</v>
      </c>
      <c r="J4" s="118" t="str">
        <f>_xlfn.CONCAT("Day ",L4)</f>
        <v>Day 3</v>
      </c>
      <c r="K4" s="63"/>
      <c r="L4" s="120">
        <f>L3+1</f>
        <v>3</v>
      </c>
      <c r="M4" s="120"/>
      <c r="N4" s="65"/>
      <c r="O4" s="65"/>
      <c r="P4" s="65"/>
    </row>
    <row r="5" spans="1:16" ht="18" customHeight="1">
      <c r="A5" s="66">
        <v>0.41666666666666669</v>
      </c>
      <c r="B5" s="66">
        <v>0.45833333333333331</v>
      </c>
      <c r="C5" s="475" t="s">
        <v>894</v>
      </c>
      <c r="D5" s="475" t="s">
        <v>894</v>
      </c>
      <c r="E5" s="475" t="s">
        <v>895</v>
      </c>
      <c r="F5" s="66">
        <v>0.16666666666666666</v>
      </c>
      <c r="G5" s="66">
        <v>0.20833333333333331</v>
      </c>
      <c r="H5" s="61"/>
      <c r="I5" s="117">
        <f>I4+1</f>
        <v>45029</v>
      </c>
      <c r="J5" s="118" t="str">
        <f t="shared" ref="J5:J9" si="0">_xlfn.CONCAT("Day ",L5)</f>
        <v>Day 4</v>
      </c>
      <c r="K5" s="63"/>
      <c r="L5" s="120">
        <f t="shared" ref="L5:L9" si="1">L4+1</f>
        <v>4</v>
      </c>
      <c r="M5" s="120"/>
      <c r="N5" s="63"/>
      <c r="O5" s="63"/>
      <c r="P5" s="63"/>
    </row>
    <row r="6" spans="1:16" ht="18" customHeight="1">
      <c r="A6" s="66">
        <v>0.45833333333333298</v>
      </c>
      <c r="B6" s="66">
        <v>0.5</v>
      </c>
      <c r="C6" s="475"/>
      <c r="D6" s="475"/>
      <c r="E6" s="475"/>
      <c r="F6" s="66">
        <v>0.20833333333333331</v>
      </c>
      <c r="G6" s="66">
        <v>0.24999999999999997</v>
      </c>
      <c r="H6" s="61"/>
      <c r="I6" s="117">
        <f t="shared" ref="I6:I9" si="2">I5+1</f>
        <v>45030</v>
      </c>
      <c r="J6" s="118" t="str">
        <f t="shared" si="0"/>
        <v>Day 5</v>
      </c>
      <c r="K6" s="63"/>
      <c r="L6" s="120">
        <f t="shared" si="1"/>
        <v>5</v>
      </c>
      <c r="M6" s="63"/>
      <c r="N6" s="63"/>
      <c r="O6" s="63"/>
      <c r="P6" s="63"/>
    </row>
    <row r="7" spans="1:16" ht="18" customHeight="1">
      <c r="A7" s="66">
        <v>0.5</v>
      </c>
      <c r="B7" s="66">
        <v>0.54166666666666696</v>
      </c>
      <c r="C7" s="475"/>
      <c r="D7" s="475"/>
      <c r="E7" s="475"/>
      <c r="F7" s="66">
        <v>0.24999999999999997</v>
      </c>
      <c r="G7" s="66">
        <v>0.29166666666666663</v>
      </c>
      <c r="H7" s="61"/>
      <c r="I7" s="117">
        <f t="shared" si="2"/>
        <v>45031</v>
      </c>
      <c r="J7" s="118" t="str">
        <f t="shared" si="0"/>
        <v>Day 6</v>
      </c>
      <c r="K7" s="63"/>
      <c r="L7" s="120">
        <f t="shared" si="1"/>
        <v>6</v>
      </c>
      <c r="M7" s="63"/>
      <c r="N7" s="63"/>
      <c r="O7" s="63"/>
      <c r="P7" s="63"/>
    </row>
    <row r="8" spans="1:16" ht="18" customHeight="1">
      <c r="A8" s="66">
        <v>0.54166666666666696</v>
      </c>
      <c r="B8" s="66">
        <v>0.58333333333333404</v>
      </c>
      <c r="C8" s="475"/>
      <c r="D8" s="475"/>
      <c r="E8" s="475"/>
      <c r="F8" s="66">
        <v>0.29166666666666663</v>
      </c>
      <c r="G8" s="66">
        <v>0.33333333333333331</v>
      </c>
      <c r="H8" s="61"/>
      <c r="I8" s="117">
        <f t="shared" si="2"/>
        <v>45032</v>
      </c>
      <c r="J8" s="118" t="str">
        <f t="shared" si="0"/>
        <v>Day 7</v>
      </c>
      <c r="K8" s="63"/>
      <c r="L8" s="120">
        <f t="shared" si="1"/>
        <v>7</v>
      </c>
      <c r="M8" s="63"/>
      <c r="N8" s="63"/>
      <c r="O8" s="63"/>
      <c r="P8" s="63"/>
    </row>
    <row r="9" spans="1:16" ht="18" customHeight="1">
      <c r="A9" s="66">
        <v>0.58333333333333304</v>
      </c>
      <c r="B9" s="66">
        <v>0.625</v>
      </c>
      <c r="C9" s="475"/>
      <c r="D9" s="475"/>
      <c r="E9" s="475"/>
      <c r="F9" s="66">
        <v>0.33333333333333331</v>
      </c>
      <c r="G9" s="66">
        <v>0.375</v>
      </c>
      <c r="H9" s="61"/>
      <c r="I9" s="117">
        <f t="shared" si="2"/>
        <v>45033</v>
      </c>
      <c r="J9" s="118" t="str">
        <f t="shared" si="0"/>
        <v>Day 8</v>
      </c>
      <c r="K9" s="63"/>
      <c r="L9" s="120">
        <f t="shared" si="1"/>
        <v>8</v>
      </c>
      <c r="M9" s="63"/>
      <c r="N9" s="63"/>
      <c r="O9" s="63"/>
      <c r="P9" s="63"/>
    </row>
    <row r="10" spans="1:16" ht="18" customHeight="1">
      <c r="A10" s="66">
        <v>0.625</v>
      </c>
      <c r="B10" s="66">
        <v>0.66666666666666696</v>
      </c>
      <c r="C10" s="475"/>
      <c r="D10" s="475"/>
      <c r="E10" s="475"/>
      <c r="F10" s="66">
        <v>0.375</v>
      </c>
      <c r="G10" s="66">
        <v>0.41666666666666669</v>
      </c>
      <c r="H10" s="61"/>
      <c r="I10" s="119"/>
      <c r="J10" s="63"/>
      <c r="K10" s="63"/>
      <c r="L10" s="63"/>
      <c r="M10" s="63"/>
      <c r="N10" s="63"/>
      <c r="O10" s="63"/>
      <c r="P10" s="63"/>
    </row>
    <row r="11" spans="1:16" ht="18" customHeight="1">
      <c r="A11" s="66">
        <v>0.66666666666666696</v>
      </c>
      <c r="B11" s="66">
        <v>0.70833333333333337</v>
      </c>
      <c r="C11" s="475"/>
      <c r="D11" s="475"/>
      <c r="E11" s="475"/>
      <c r="F11" s="66">
        <v>0.41666666666666669</v>
      </c>
      <c r="G11" s="66">
        <v>0.45833333333333337</v>
      </c>
      <c r="H11" s="61"/>
      <c r="I11" s="112" t="s">
        <v>896</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5"/>
      <c r="D12" s="475"/>
      <c r="E12" s="475"/>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5"/>
      <c r="D13" s="475"/>
      <c r="E13" s="475"/>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92" t="str">
        <f>CONCATENATE("Schedule above includes ",Planning!B43," non-working day(s).")</f>
        <v>Schedule above includes 0 non-working day(s).</v>
      </c>
      <c r="B15" s="492"/>
      <c r="C15" s="492"/>
      <c r="D15" s="492"/>
      <c r="E15" s="492"/>
      <c r="F15" s="492"/>
      <c r="G15" s="492"/>
      <c r="H15" s="61"/>
      <c r="K15" s="114"/>
      <c r="L15" s="112" t="e">
        <f>'P1-OrgScope'!#REF!</f>
        <v>#REF!</v>
      </c>
      <c r="M15" s="63"/>
      <c r="N15" s="63"/>
      <c r="O15" s="63"/>
      <c r="P15" s="63"/>
    </row>
    <row r="16" spans="1:16">
      <c r="A16" s="490" t="str">
        <f>J4</f>
        <v>Day 3</v>
      </c>
      <c r="B16" s="490"/>
      <c r="C16" s="491">
        <f>I4</f>
        <v>45028</v>
      </c>
      <c r="D16" s="491"/>
      <c r="E16" s="491"/>
      <c r="F16" s="490" t="str">
        <f>A16</f>
        <v>Day 3</v>
      </c>
      <c r="G16" s="490"/>
      <c r="H16" s="61"/>
      <c r="K16" s="114"/>
      <c r="L16" s="112" t="e">
        <f>'P1-OrgScope'!#REF!</f>
        <v>#REF!</v>
      </c>
      <c r="M16" s="63"/>
      <c r="N16" s="63"/>
      <c r="O16" s="63"/>
      <c r="P16" s="63"/>
    </row>
    <row r="17" spans="1:18" ht="28.8">
      <c r="A17" s="490" t="s">
        <v>892</v>
      </c>
      <c r="B17" s="490"/>
      <c r="C17" s="67" t="e">
        <f>C4</f>
        <v>#REF!</v>
      </c>
      <c r="D17" s="67" t="e">
        <f>D4</f>
        <v>#REF!</v>
      </c>
      <c r="E17" s="67" t="str">
        <f>E4</f>
        <v>LA team: Dr Pieter van Zyl and ATMs if applicable</v>
      </c>
      <c r="F17" s="490" t="s">
        <v>893</v>
      </c>
      <c r="G17" s="490"/>
      <c r="H17" s="61"/>
      <c r="K17" s="114"/>
      <c r="L17" s="112" t="e">
        <f>'P1-OrgScope'!#REF!</f>
        <v>#REF!</v>
      </c>
      <c r="M17" s="112"/>
      <c r="N17" s="63"/>
      <c r="O17" s="62"/>
      <c r="P17" s="63"/>
    </row>
    <row r="18" spans="1:18" ht="18.600000000000001" customHeight="1">
      <c r="A18" s="66">
        <v>0.41666666666666669</v>
      </c>
      <c r="B18" s="66">
        <v>0.4375</v>
      </c>
      <c r="C18" s="68" t="s">
        <v>897</v>
      </c>
      <c r="D18" s="68" t="s">
        <v>897</v>
      </c>
      <c r="E18" s="68" t="s">
        <v>898</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7" t="s">
        <v>947</v>
      </c>
      <c r="D19" s="487"/>
      <c r="E19" s="487"/>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5" t="s">
        <v>948</v>
      </c>
      <c r="D20" s="485"/>
      <c r="E20" s="485"/>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5"/>
      <c r="D21" s="485"/>
      <c r="E21" s="485"/>
      <c r="F21" s="66">
        <v>0.22916666666666666</v>
      </c>
      <c r="G21" s="66">
        <v>0.25</v>
      </c>
      <c r="H21" s="61"/>
      <c r="I21" s="63"/>
      <c r="J21" s="63"/>
      <c r="K21" s="63"/>
      <c r="L21" s="63"/>
      <c r="M21" s="63"/>
      <c r="N21" s="63"/>
      <c r="O21" s="63"/>
      <c r="P21" s="63"/>
    </row>
    <row r="22" spans="1:18" ht="18.600000000000001" customHeight="1">
      <c r="A22" s="66">
        <v>0.5</v>
      </c>
      <c r="B22" s="66">
        <v>0.52083333333333337</v>
      </c>
      <c r="C22" s="475" t="s">
        <v>899</v>
      </c>
      <c r="D22" s="475"/>
      <c r="E22" s="47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5"/>
      <c r="D23" s="475"/>
      <c r="E23" s="475"/>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7" t="s">
        <v>949</v>
      </c>
      <c r="D24" s="487"/>
      <c r="E24" s="487"/>
      <c r="F24" s="66">
        <v>0.29166666666666669</v>
      </c>
      <c r="G24" s="66">
        <v>0.3125</v>
      </c>
      <c r="H24" s="61"/>
      <c r="I24" s="63"/>
      <c r="J24" s="63"/>
      <c r="K24" s="120"/>
      <c r="L24" s="120"/>
      <c r="M24" s="120"/>
      <c r="N24" s="63"/>
      <c r="O24" s="63"/>
      <c r="P24" s="63"/>
    </row>
    <row r="25" spans="1:18" ht="18.600000000000001" customHeight="1">
      <c r="A25" s="66">
        <v>0.5625</v>
      </c>
      <c r="B25" s="66">
        <v>0.58333333333333337</v>
      </c>
      <c r="C25" s="487"/>
      <c r="D25" s="487"/>
      <c r="E25" s="487"/>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7"/>
      <c r="D26" s="487"/>
      <c r="E26" s="487"/>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7"/>
      <c r="D27" s="487"/>
      <c r="E27" s="487"/>
      <c r="F27" s="66">
        <v>0.35416666666666669</v>
      </c>
      <c r="G27" s="66">
        <v>0.375</v>
      </c>
      <c r="H27" s="61"/>
      <c r="I27" s="63"/>
      <c r="J27" s="63"/>
      <c r="K27" s="63"/>
      <c r="L27" s="63"/>
      <c r="M27" s="63"/>
      <c r="N27" s="63"/>
      <c r="O27" s="63"/>
      <c r="P27" s="63"/>
    </row>
    <row r="28" spans="1:18" ht="18.600000000000001" customHeight="1">
      <c r="A28" s="66">
        <v>0.625</v>
      </c>
      <c r="B28" s="66">
        <v>0.64583333333333337</v>
      </c>
      <c r="C28" s="475" t="s">
        <v>900</v>
      </c>
      <c r="D28" s="475"/>
      <c r="E28" s="47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7" t="s">
        <v>949</v>
      </c>
      <c r="D29" s="487"/>
      <c r="E29" s="487"/>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7"/>
      <c r="D30" s="487"/>
      <c r="E30" s="487"/>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7"/>
      <c r="D31" s="487"/>
      <c r="E31" s="487"/>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7"/>
      <c r="D32" s="487"/>
      <c r="E32" s="487"/>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5" t="s">
        <v>1083</v>
      </c>
      <c r="D33" s="475"/>
      <c r="E33" s="475"/>
      <c r="F33" s="66">
        <v>0.47916666666666669</v>
      </c>
      <c r="G33" s="66">
        <v>0.5</v>
      </c>
      <c r="H33" s="61"/>
      <c r="I33" s="63"/>
      <c r="J33" s="63"/>
      <c r="K33" s="63"/>
      <c r="L33" s="63"/>
      <c r="M33" s="63"/>
      <c r="N33" s="63"/>
      <c r="O33" s="63"/>
      <c r="P33" s="63"/>
    </row>
    <row r="34" spans="1:16" ht="18.600000000000001" customHeight="1">
      <c r="A34" s="66">
        <v>0.75</v>
      </c>
      <c r="B34" s="66">
        <v>0.83333333333333337</v>
      </c>
      <c r="C34" s="475" t="s">
        <v>901</v>
      </c>
      <c r="D34" s="475"/>
      <c r="E34" s="475"/>
      <c r="F34" s="66">
        <v>0.5</v>
      </c>
      <c r="G34" s="66">
        <v>0.58333333333333337</v>
      </c>
      <c r="H34" s="61"/>
      <c r="I34" s="63"/>
      <c r="J34" s="63"/>
      <c r="K34" s="63"/>
      <c r="L34" s="63"/>
      <c r="M34" s="63"/>
      <c r="N34" s="63"/>
      <c r="O34" s="63"/>
      <c r="P34" s="63"/>
    </row>
    <row r="35" spans="1:16">
      <c r="A35" s="490" t="str">
        <f>J5</f>
        <v>Day 4</v>
      </c>
      <c r="B35" s="490"/>
      <c r="C35" s="491">
        <f>I5</f>
        <v>45029</v>
      </c>
      <c r="D35" s="491"/>
      <c r="E35" s="491"/>
      <c r="F35" s="490" t="str">
        <f>A35</f>
        <v>Day 4</v>
      </c>
      <c r="G35" s="490"/>
      <c r="H35" s="70"/>
    </row>
    <row r="36" spans="1:16" ht="28.8">
      <c r="A36" s="490" t="s">
        <v>892</v>
      </c>
      <c r="B36" s="490"/>
      <c r="C36" s="67" t="e">
        <f>C17</f>
        <v>#REF!</v>
      </c>
      <c r="D36" s="67" t="e">
        <f>D17</f>
        <v>#REF!</v>
      </c>
      <c r="E36" s="67" t="str">
        <f>E17</f>
        <v>LA team: Dr Pieter van Zyl and ATMs if applicable</v>
      </c>
      <c r="F36" s="490" t="s">
        <v>893</v>
      </c>
      <c r="G36" s="490"/>
      <c r="H36" s="70"/>
    </row>
    <row r="37" spans="1:16" ht="18" customHeight="1">
      <c r="A37" s="66">
        <v>0.41666666666666669</v>
      </c>
      <c r="B37" s="66">
        <v>0.4375</v>
      </c>
      <c r="C37" s="475" t="s">
        <v>900</v>
      </c>
      <c r="D37" s="475"/>
      <c r="E37" s="68" t="s">
        <v>898</v>
      </c>
      <c r="F37" s="66">
        <v>0.16666666666666666</v>
      </c>
      <c r="G37" s="66">
        <v>0.1875</v>
      </c>
      <c r="H37" s="70"/>
    </row>
    <row r="38" spans="1:16" ht="18" customHeight="1">
      <c r="A38" s="66">
        <v>0.4375</v>
      </c>
      <c r="B38" s="66">
        <v>0.45833333333333331</v>
      </c>
      <c r="C38" s="487" t="s">
        <v>950</v>
      </c>
      <c r="D38" s="487"/>
      <c r="E38" s="487"/>
      <c r="F38" s="66">
        <v>0.1875</v>
      </c>
      <c r="G38" s="66">
        <v>0.20833333333333334</v>
      </c>
      <c r="H38" s="70"/>
    </row>
    <row r="39" spans="1:16" ht="18" customHeight="1">
      <c r="A39" s="66">
        <v>0.45833333333333331</v>
      </c>
      <c r="B39" s="66">
        <v>0.47916666666666669</v>
      </c>
      <c r="C39" s="487"/>
      <c r="D39" s="487"/>
      <c r="E39" s="487"/>
      <c r="F39" s="66">
        <v>0.20833333333333334</v>
      </c>
      <c r="G39" s="66">
        <v>0.22916666666666666</v>
      </c>
      <c r="H39" s="70"/>
    </row>
    <row r="40" spans="1:16" ht="18" customHeight="1">
      <c r="A40" s="66">
        <v>0.47916666666666669</v>
      </c>
      <c r="B40" s="66">
        <v>0.5</v>
      </c>
      <c r="C40" s="487"/>
      <c r="D40" s="487"/>
      <c r="E40" s="487"/>
      <c r="F40" s="66">
        <v>0.22916666666666666</v>
      </c>
      <c r="G40" s="66">
        <v>0.25</v>
      </c>
      <c r="H40" s="70"/>
    </row>
    <row r="41" spans="1:16" ht="18" customHeight="1">
      <c r="A41" s="66">
        <v>0.5</v>
      </c>
      <c r="B41" s="66">
        <v>0.52083333333333337</v>
      </c>
      <c r="C41" s="475" t="s">
        <v>899</v>
      </c>
      <c r="D41" s="475"/>
      <c r="E41" s="475"/>
      <c r="F41" s="66">
        <v>0.25</v>
      </c>
      <c r="G41" s="66">
        <v>0.27083333333333331</v>
      </c>
      <c r="H41" s="70"/>
    </row>
    <row r="42" spans="1:16" ht="18" customHeight="1">
      <c r="A42" s="66">
        <v>0.52083333333333337</v>
      </c>
      <c r="B42" s="66">
        <v>0.54166666666666663</v>
      </c>
      <c r="C42" s="475"/>
      <c r="D42" s="475"/>
      <c r="E42" s="475"/>
      <c r="F42" s="66">
        <v>0.27083333333333331</v>
      </c>
      <c r="G42" s="66">
        <v>0.29166666666666669</v>
      </c>
      <c r="H42" s="70"/>
    </row>
    <row r="43" spans="1:16" ht="18" customHeight="1">
      <c r="A43" s="66">
        <v>0.54166666666666663</v>
      </c>
      <c r="B43" s="66">
        <v>0.5625</v>
      </c>
      <c r="C43" s="487" t="s">
        <v>950</v>
      </c>
      <c r="D43" s="487"/>
      <c r="E43" s="487"/>
      <c r="F43" s="66">
        <v>0.29166666666666669</v>
      </c>
      <c r="G43" s="66">
        <v>0.3125</v>
      </c>
      <c r="H43" s="70"/>
    </row>
    <row r="44" spans="1:16" ht="18" customHeight="1">
      <c r="A44" s="66">
        <v>0.5625</v>
      </c>
      <c r="B44" s="66">
        <v>0.58333333333333337</v>
      </c>
      <c r="C44" s="487"/>
      <c r="D44" s="487"/>
      <c r="E44" s="487"/>
      <c r="F44" s="66">
        <v>0.3125</v>
      </c>
      <c r="G44" s="66">
        <v>0.33333333333333331</v>
      </c>
      <c r="H44" s="70"/>
    </row>
    <row r="45" spans="1:16" ht="18" customHeight="1">
      <c r="A45" s="66">
        <v>0.58333333333333337</v>
      </c>
      <c r="B45" s="66">
        <v>0.60416666666666663</v>
      </c>
      <c r="C45" s="487"/>
      <c r="D45" s="487"/>
      <c r="E45" s="487"/>
      <c r="F45" s="66">
        <v>0.33333333333333331</v>
      </c>
      <c r="G45" s="66">
        <v>0.35416666666666669</v>
      </c>
      <c r="H45" s="70"/>
    </row>
    <row r="46" spans="1:16" ht="18" customHeight="1">
      <c r="A46" s="66">
        <v>0.60416666666666663</v>
      </c>
      <c r="B46" s="66">
        <v>0.625</v>
      </c>
      <c r="C46" s="487"/>
      <c r="D46" s="487"/>
      <c r="E46" s="487"/>
      <c r="F46" s="66">
        <v>0.35416666666666669</v>
      </c>
      <c r="G46" s="66">
        <v>0.375</v>
      </c>
      <c r="H46" s="70"/>
    </row>
    <row r="47" spans="1:16" ht="18" customHeight="1">
      <c r="A47" s="66">
        <v>0.625</v>
      </c>
      <c r="B47" s="66">
        <v>0.64583333333333337</v>
      </c>
      <c r="C47" s="487"/>
      <c r="D47" s="487"/>
      <c r="E47" s="487"/>
      <c r="F47" s="66">
        <v>0.375</v>
      </c>
      <c r="G47" s="66">
        <v>0.39583333333333331</v>
      </c>
      <c r="H47" s="70"/>
    </row>
    <row r="48" spans="1:16" ht="18" customHeight="1">
      <c r="A48" s="66">
        <v>0.64583333333333337</v>
      </c>
      <c r="B48" s="66">
        <v>0.66666666666666663</v>
      </c>
      <c r="C48" s="475" t="s">
        <v>900</v>
      </c>
      <c r="D48" s="475"/>
      <c r="E48" s="475" t="s">
        <v>898</v>
      </c>
      <c r="F48" s="66">
        <v>0.39583333333333331</v>
      </c>
      <c r="G48" s="66">
        <v>0.41666666666666669</v>
      </c>
      <c r="H48" s="70"/>
    </row>
    <row r="49" spans="1:8" ht="18" customHeight="1">
      <c r="A49" s="66">
        <v>0.66666666666666663</v>
      </c>
      <c r="B49" s="66">
        <v>0.6875</v>
      </c>
      <c r="C49" s="475"/>
      <c r="D49" s="475"/>
      <c r="E49" s="475"/>
      <c r="F49" s="66">
        <v>0.41666666666666669</v>
      </c>
      <c r="G49" s="66">
        <v>0.4375</v>
      </c>
      <c r="H49" s="70"/>
    </row>
    <row r="50" spans="1:8" ht="18" customHeight="1">
      <c r="A50" s="66">
        <v>0.6875</v>
      </c>
      <c r="B50" s="66">
        <v>0.70833333333333337</v>
      </c>
      <c r="C50" s="487" t="s">
        <v>951</v>
      </c>
      <c r="D50" s="487"/>
      <c r="E50" s="487"/>
      <c r="F50" s="66">
        <v>0.4375</v>
      </c>
      <c r="G50" s="66">
        <v>0.45833333333333331</v>
      </c>
      <c r="H50" s="70"/>
    </row>
    <row r="51" spans="1:8" ht="18" customHeight="1">
      <c r="A51" s="66">
        <v>0.70833333333333337</v>
      </c>
      <c r="B51" s="66">
        <v>0.72916666666666663</v>
      </c>
      <c r="C51" s="487"/>
      <c r="D51" s="487"/>
      <c r="E51" s="487"/>
      <c r="F51" s="66">
        <v>0.45833333333333331</v>
      </c>
      <c r="G51" s="66">
        <v>0.47916666666666669</v>
      </c>
      <c r="H51" s="70"/>
    </row>
    <row r="52" spans="1:8" ht="18" customHeight="1">
      <c r="A52" s="66">
        <v>0.72916666666666663</v>
      </c>
      <c r="B52" s="66">
        <v>0.75</v>
      </c>
      <c r="C52" s="475" t="s">
        <v>1083</v>
      </c>
      <c r="D52" s="475"/>
      <c r="E52" s="475"/>
      <c r="F52" s="66">
        <v>0.47916666666666669</v>
      </c>
      <c r="G52" s="66">
        <v>0.5</v>
      </c>
      <c r="H52" s="70"/>
    </row>
    <row r="53" spans="1:8" ht="18" customHeight="1">
      <c r="A53" s="66">
        <v>0.75</v>
      </c>
      <c r="B53" s="66">
        <v>0.83333333333333337</v>
      </c>
      <c r="C53" s="475" t="s">
        <v>901</v>
      </c>
      <c r="D53" s="475"/>
      <c r="E53" s="475"/>
      <c r="F53" s="66">
        <v>0.5</v>
      </c>
      <c r="G53" s="66">
        <v>0.58333333333333337</v>
      </c>
      <c r="H53" s="70"/>
    </row>
    <row r="54" spans="1:8">
      <c r="A54" s="486" t="str">
        <f>J6</f>
        <v>Day 5</v>
      </c>
      <c r="B54" s="486"/>
      <c r="C54" s="489">
        <f>I6</f>
        <v>45030</v>
      </c>
      <c r="D54" s="489"/>
      <c r="E54" s="489"/>
      <c r="F54" s="486" t="str">
        <f>A54</f>
        <v>Day 5</v>
      </c>
      <c r="G54" s="486"/>
      <c r="H54" s="70"/>
    </row>
    <row r="55" spans="1:8" ht="28.8">
      <c r="A55" s="486" t="s">
        <v>892</v>
      </c>
      <c r="B55" s="486"/>
      <c r="C55" s="64" t="e">
        <f>C36</f>
        <v>#REF!</v>
      </c>
      <c r="D55" s="64" t="e">
        <f>D36</f>
        <v>#REF!</v>
      </c>
      <c r="E55" s="64" t="str">
        <f>E36</f>
        <v>LA team: Dr Pieter van Zyl and ATMs if applicable</v>
      </c>
      <c r="F55" s="486" t="s">
        <v>893</v>
      </c>
      <c r="G55" s="486"/>
      <c r="H55" s="70"/>
    </row>
    <row r="56" spans="1:8" ht="18" customHeight="1">
      <c r="A56" s="66">
        <v>0.41666666666666669</v>
      </c>
      <c r="B56" s="66">
        <v>0.4375</v>
      </c>
      <c r="C56" s="475" t="s">
        <v>902</v>
      </c>
      <c r="D56" s="475"/>
      <c r="E56" s="68" t="s">
        <v>898</v>
      </c>
      <c r="F56" s="66">
        <v>0.16666666666666666</v>
      </c>
      <c r="G56" s="66">
        <v>0.1875</v>
      </c>
      <c r="H56" s="70"/>
    </row>
    <row r="57" spans="1:8" ht="18" customHeight="1">
      <c r="A57" s="66">
        <v>0.4375</v>
      </c>
      <c r="B57" s="66">
        <v>0.45833333333333331</v>
      </c>
      <c r="C57" s="487" t="s">
        <v>952</v>
      </c>
      <c r="D57" s="487"/>
      <c r="E57" s="487"/>
      <c r="F57" s="66">
        <v>0.1875</v>
      </c>
      <c r="G57" s="66">
        <v>0.20833333333333334</v>
      </c>
      <c r="H57" s="70"/>
    </row>
    <row r="58" spans="1:8" ht="18" customHeight="1">
      <c r="A58" s="66">
        <v>0.45833333333333331</v>
      </c>
      <c r="B58" s="66">
        <v>0.47916666666666669</v>
      </c>
      <c r="C58" s="487"/>
      <c r="D58" s="487"/>
      <c r="E58" s="487"/>
      <c r="F58" s="66">
        <v>0.20833333333333334</v>
      </c>
      <c r="G58" s="66">
        <v>0.22916666666666666</v>
      </c>
      <c r="H58" s="70"/>
    </row>
    <row r="59" spans="1:8" ht="18" customHeight="1">
      <c r="A59" s="66">
        <v>0.47916666666666669</v>
      </c>
      <c r="B59" s="66">
        <v>0.5</v>
      </c>
      <c r="C59" s="487"/>
      <c r="D59" s="487"/>
      <c r="E59" s="487"/>
      <c r="F59" s="66">
        <v>0.22916666666666666</v>
      </c>
      <c r="G59" s="66">
        <v>0.25</v>
      </c>
      <c r="H59" s="70"/>
    </row>
    <row r="60" spans="1:8" ht="18" customHeight="1">
      <c r="A60" s="66">
        <v>0.5</v>
      </c>
      <c r="B60" s="66">
        <v>0.52083333333333337</v>
      </c>
      <c r="C60" s="475" t="s">
        <v>899</v>
      </c>
      <c r="D60" s="475"/>
      <c r="E60" s="475"/>
      <c r="F60" s="66">
        <v>0.25</v>
      </c>
      <c r="G60" s="66">
        <v>0.27083333333333331</v>
      </c>
      <c r="H60" s="70"/>
    </row>
    <row r="61" spans="1:8" ht="18" customHeight="1">
      <c r="A61" s="66">
        <v>0.52083333333333337</v>
      </c>
      <c r="B61" s="66">
        <v>0.54166666666666663</v>
      </c>
      <c r="C61" s="475"/>
      <c r="D61" s="475"/>
      <c r="E61" s="475"/>
      <c r="F61" s="66">
        <v>0.27083333333333331</v>
      </c>
      <c r="G61" s="66">
        <v>0.29166666666666669</v>
      </c>
      <c r="H61" s="70"/>
    </row>
    <row r="62" spans="1:8" ht="18" customHeight="1">
      <c r="A62" s="66">
        <v>0.54166666666666663</v>
      </c>
      <c r="B62" s="66">
        <v>0.5625</v>
      </c>
      <c r="C62" s="487" t="s">
        <v>952</v>
      </c>
      <c r="D62" s="487"/>
      <c r="E62" s="487"/>
      <c r="F62" s="66">
        <v>0.29166666666666669</v>
      </c>
      <c r="G62" s="66">
        <v>0.3125</v>
      </c>
      <c r="H62" s="70"/>
    </row>
    <row r="63" spans="1:8" ht="18" customHeight="1">
      <c r="A63" s="66">
        <v>0.5625</v>
      </c>
      <c r="B63" s="66">
        <v>0.58333333333333337</v>
      </c>
      <c r="C63" s="487"/>
      <c r="D63" s="487"/>
      <c r="E63" s="487"/>
      <c r="F63" s="66">
        <v>0.3125</v>
      </c>
      <c r="G63" s="66">
        <v>0.33333333333333331</v>
      </c>
      <c r="H63" s="70"/>
    </row>
    <row r="64" spans="1:8" ht="18" customHeight="1">
      <c r="A64" s="66">
        <v>0.58333333333333337</v>
      </c>
      <c r="B64" s="66">
        <v>0.60416666666666663</v>
      </c>
      <c r="C64" s="487"/>
      <c r="D64" s="487"/>
      <c r="E64" s="487"/>
      <c r="F64" s="66">
        <v>0.33333333333333331</v>
      </c>
      <c r="G64" s="66">
        <v>0.35416666666666669</v>
      </c>
      <c r="H64" s="70"/>
    </row>
    <row r="65" spans="1:8" ht="18" customHeight="1">
      <c r="A65" s="66">
        <v>0.60416666666666663</v>
      </c>
      <c r="B65" s="66">
        <v>0.625</v>
      </c>
      <c r="C65" s="487"/>
      <c r="D65" s="487"/>
      <c r="E65" s="487"/>
      <c r="F65" s="66">
        <v>0.35416666666666669</v>
      </c>
      <c r="G65" s="66">
        <v>0.375</v>
      </c>
      <c r="H65" s="70"/>
    </row>
    <row r="66" spans="1:8" ht="18" customHeight="1">
      <c r="A66" s="66">
        <v>0.625</v>
      </c>
      <c r="B66" s="66">
        <v>0.64583333333333337</v>
      </c>
      <c r="C66" s="487"/>
      <c r="D66" s="487"/>
      <c r="E66" s="487"/>
      <c r="F66" s="66">
        <v>0.375</v>
      </c>
      <c r="G66" s="66">
        <v>0.39583333333333331</v>
      </c>
      <c r="H66" s="70"/>
    </row>
    <row r="67" spans="1:8" ht="18" customHeight="1">
      <c r="A67" s="66">
        <v>0.64583333333333337</v>
      </c>
      <c r="B67" s="66">
        <v>0.66666666666666663</v>
      </c>
      <c r="C67" s="487"/>
      <c r="D67" s="487"/>
      <c r="E67" s="487"/>
      <c r="F67" s="66">
        <v>0.39583333333333331</v>
      </c>
      <c r="G67" s="66">
        <v>0.41666666666666669</v>
      </c>
      <c r="H67" s="70"/>
    </row>
    <row r="68" spans="1:8" ht="18" customHeight="1">
      <c r="A68" s="66">
        <v>0.66666666666666663</v>
      </c>
      <c r="B68" s="66">
        <v>0.6875</v>
      </c>
      <c r="C68" s="475" t="s">
        <v>900</v>
      </c>
      <c r="D68" s="475"/>
      <c r="E68" s="475"/>
      <c r="F68" s="66">
        <v>0.41666666666666669</v>
      </c>
      <c r="G68" s="66">
        <v>0.4375</v>
      </c>
      <c r="H68" s="70"/>
    </row>
    <row r="69" spans="1:8" ht="18" customHeight="1">
      <c r="A69" s="66">
        <v>0.6875</v>
      </c>
      <c r="B69" s="66">
        <v>0.70833333333333337</v>
      </c>
      <c r="C69" s="487" t="s">
        <v>953</v>
      </c>
      <c r="D69" s="487"/>
      <c r="E69" s="487"/>
      <c r="F69" s="66">
        <v>0.4375</v>
      </c>
      <c r="G69" s="66">
        <v>0.45833333333333331</v>
      </c>
      <c r="H69" s="70"/>
    </row>
    <row r="70" spans="1:8" ht="18" customHeight="1">
      <c r="A70" s="66">
        <v>0.70833333333333337</v>
      </c>
      <c r="B70" s="66">
        <v>0.72916666666666663</v>
      </c>
      <c r="C70" s="487"/>
      <c r="D70" s="487"/>
      <c r="E70" s="487"/>
      <c r="F70" s="66">
        <v>0.45833333333333331</v>
      </c>
      <c r="G70" s="66">
        <v>0.47916666666666669</v>
      </c>
      <c r="H70" s="70"/>
    </row>
    <row r="71" spans="1:8" ht="18" customHeight="1">
      <c r="A71" s="66">
        <v>0.72916666666666663</v>
      </c>
      <c r="B71" s="66">
        <v>0.75</v>
      </c>
      <c r="C71" s="498" t="s">
        <v>1082</v>
      </c>
      <c r="D71" s="499"/>
      <c r="E71" s="500"/>
      <c r="F71" s="66">
        <v>0.47916666666666669</v>
      </c>
      <c r="G71" s="66">
        <v>0.5</v>
      </c>
      <c r="H71" s="70"/>
    </row>
    <row r="72" spans="1:8" ht="18" customHeight="1">
      <c r="A72" s="66">
        <v>0.75</v>
      </c>
      <c r="B72" s="66">
        <v>0.83333333333333337</v>
      </c>
      <c r="C72" s="501"/>
      <c r="D72" s="502"/>
      <c r="E72" s="503"/>
      <c r="F72" s="66">
        <v>0.5</v>
      </c>
      <c r="G72" s="66">
        <v>0.58333333333333337</v>
      </c>
      <c r="H72" s="70"/>
    </row>
    <row r="73" spans="1:8">
      <c r="A73" s="486" t="str">
        <f>J7</f>
        <v>Day 6</v>
      </c>
      <c r="B73" s="486"/>
      <c r="C73" s="489">
        <f>I7</f>
        <v>45031</v>
      </c>
      <c r="D73" s="489"/>
      <c r="E73" s="489"/>
      <c r="F73" s="486" t="str">
        <f>A73</f>
        <v>Day 6</v>
      </c>
      <c r="G73" s="486"/>
      <c r="H73" s="70"/>
    </row>
    <row r="74" spans="1:8" ht="28.8">
      <c r="A74" s="486" t="s">
        <v>892</v>
      </c>
      <c r="B74" s="486"/>
      <c r="C74" s="64" t="e">
        <f>C55</f>
        <v>#REF!</v>
      </c>
      <c r="D74" s="64" t="e">
        <f>D55</f>
        <v>#REF!</v>
      </c>
      <c r="E74" s="64" t="str">
        <f>E55</f>
        <v>LA team: Dr Pieter van Zyl and ATMs if applicable</v>
      </c>
      <c r="F74" s="486" t="s">
        <v>893</v>
      </c>
      <c r="G74" s="486"/>
      <c r="H74" s="70"/>
    </row>
    <row r="75" spans="1:8" ht="18" customHeight="1">
      <c r="A75" s="66">
        <v>0.41666666666666669</v>
      </c>
      <c r="B75" s="66">
        <v>0.4375</v>
      </c>
      <c r="C75" s="475" t="s">
        <v>900</v>
      </c>
      <c r="D75" s="475"/>
      <c r="E75" s="475"/>
      <c r="F75" s="66">
        <v>0.16666666666666666</v>
      </c>
      <c r="G75" s="66">
        <v>0.1875</v>
      </c>
      <c r="H75" s="70"/>
    </row>
    <row r="76" spans="1:8" ht="18" customHeight="1">
      <c r="A76" s="66">
        <v>0.4375</v>
      </c>
      <c r="B76" s="66">
        <v>0.45833333333333331</v>
      </c>
      <c r="C76" s="487" t="s">
        <v>954</v>
      </c>
      <c r="D76" s="487"/>
      <c r="E76" s="487"/>
      <c r="F76" s="66">
        <v>0.1875</v>
      </c>
      <c r="G76" s="66">
        <v>0.20833333333333334</v>
      </c>
      <c r="H76" s="70"/>
    </row>
    <row r="77" spans="1:8" ht="18" customHeight="1">
      <c r="A77" s="66">
        <v>0.45833333333333331</v>
      </c>
      <c r="B77" s="66">
        <v>0.47916666666666669</v>
      </c>
      <c r="C77" s="487"/>
      <c r="D77" s="487"/>
      <c r="E77" s="487"/>
      <c r="F77" s="66">
        <v>0.20833333333333334</v>
      </c>
      <c r="G77" s="66">
        <v>0.22916666666666666</v>
      </c>
      <c r="H77" s="70"/>
    </row>
    <row r="78" spans="1:8" ht="18" customHeight="1">
      <c r="A78" s="66">
        <v>0.47916666666666669</v>
      </c>
      <c r="B78" s="66">
        <v>0.5</v>
      </c>
      <c r="C78" s="475" t="s">
        <v>900</v>
      </c>
      <c r="D78" s="475"/>
      <c r="E78" s="475"/>
      <c r="F78" s="66">
        <v>0.22916666666666666</v>
      </c>
      <c r="G78" s="66">
        <v>0.25</v>
      </c>
      <c r="H78" s="70"/>
    </row>
    <row r="79" spans="1:8" ht="18" customHeight="1">
      <c r="A79" s="66">
        <v>0.5</v>
      </c>
      <c r="B79" s="66">
        <v>0.52083333333333337</v>
      </c>
      <c r="C79" s="475" t="s">
        <v>899</v>
      </c>
      <c r="D79" s="475"/>
      <c r="E79" s="475"/>
      <c r="F79" s="66">
        <v>0.25</v>
      </c>
      <c r="G79" s="66">
        <v>0.27083333333333331</v>
      </c>
      <c r="H79" s="70"/>
    </row>
    <row r="80" spans="1:8" ht="18" customHeight="1">
      <c r="A80" s="66">
        <v>0.52083333333333337</v>
      </c>
      <c r="B80" s="66">
        <v>0.54166666666666663</v>
      </c>
      <c r="C80" s="475"/>
      <c r="D80" s="475"/>
      <c r="E80" s="475"/>
      <c r="F80" s="66">
        <v>0.27083333333333331</v>
      </c>
      <c r="G80" s="66">
        <v>0.29166666666666669</v>
      </c>
      <c r="H80" s="70"/>
    </row>
    <row r="81" spans="1:8" ht="18" customHeight="1">
      <c r="A81" s="66">
        <v>0.54166666666666663</v>
      </c>
      <c r="B81" s="66">
        <v>0.5625</v>
      </c>
      <c r="C81" s="498" t="s">
        <v>1082</v>
      </c>
      <c r="D81" s="499"/>
      <c r="E81" s="500"/>
      <c r="F81" s="66">
        <v>0.29166666666666669</v>
      </c>
      <c r="G81" s="66">
        <v>0.3125</v>
      </c>
      <c r="H81" s="70"/>
    </row>
    <row r="82" spans="1:8" ht="18" customHeight="1">
      <c r="A82" s="66">
        <v>0.5625</v>
      </c>
      <c r="B82" s="66">
        <v>0.58333333333333337</v>
      </c>
      <c r="C82" s="501"/>
      <c r="D82" s="502"/>
      <c r="E82" s="503"/>
      <c r="F82" s="66">
        <v>0.3125</v>
      </c>
      <c r="G82" s="66">
        <v>0.33333333333333331</v>
      </c>
      <c r="H82" s="70"/>
    </row>
    <row r="83" spans="1:8" ht="18" customHeight="1">
      <c r="A83" s="66">
        <v>0.58333333333333337</v>
      </c>
      <c r="B83" s="66">
        <v>0.60416666666666663</v>
      </c>
      <c r="C83" s="504" t="s">
        <v>903</v>
      </c>
      <c r="D83" s="505"/>
      <c r="E83" s="506"/>
      <c r="F83" s="66">
        <v>0.33333333333333331</v>
      </c>
      <c r="G83" s="66">
        <v>0.35416666666666669</v>
      </c>
      <c r="H83" s="70"/>
    </row>
    <row r="84" spans="1:8" ht="18" customHeight="1">
      <c r="A84" s="66">
        <v>0.60416666666666663</v>
      </c>
      <c r="B84" s="66">
        <v>0.625</v>
      </c>
      <c r="C84" s="507"/>
      <c r="D84" s="508"/>
      <c r="E84" s="509"/>
      <c r="F84" s="66">
        <v>0.35416666666666669</v>
      </c>
      <c r="G84" s="66">
        <v>0.375</v>
      </c>
      <c r="H84" s="70"/>
    </row>
    <row r="85" spans="1:8" ht="18" customHeight="1">
      <c r="A85" s="66">
        <v>0.625</v>
      </c>
      <c r="B85" s="66">
        <v>0.64583333333333337</v>
      </c>
      <c r="C85" s="487" t="s">
        <v>955</v>
      </c>
      <c r="D85" s="487"/>
      <c r="E85" s="487"/>
      <c r="F85" s="66">
        <v>0.375</v>
      </c>
      <c r="G85" s="66">
        <v>0.39583333333333331</v>
      </c>
      <c r="H85" s="70"/>
    </row>
    <row r="86" spans="1:8" ht="18" customHeight="1">
      <c r="A86" s="66">
        <v>0.64583333333333337</v>
      </c>
      <c r="B86" s="66">
        <v>0.66666666666666663</v>
      </c>
      <c r="C86" s="487"/>
      <c r="D86" s="487"/>
      <c r="E86" s="487"/>
      <c r="F86" s="66">
        <v>0.39583333333333331</v>
      </c>
      <c r="G86" s="66">
        <v>0.41666666666666669</v>
      </c>
      <c r="H86" s="70"/>
    </row>
    <row r="87" spans="1:8" ht="18" customHeight="1">
      <c r="A87" s="66">
        <v>0.66666666666666663</v>
      </c>
      <c r="B87" s="66">
        <v>0.6875</v>
      </c>
      <c r="C87" s="475" t="s">
        <v>900</v>
      </c>
      <c r="D87" s="475"/>
      <c r="E87" s="475"/>
      <c r="F87" s="66">
        <v>0.41666666666666669</v>
      </c>
      <c r="G87" s="66">
        <v>0.4375</v>
      </c>
      <c r="H87" s="70"/>
    </row>
    <row r="88" spans="1:8" ht="18" customHeight="1">
      <c r="A88" s="66">
        <v>0.6875</v>
      </c>
      <c r="B88" s="66">
        <v>0.70833333333333337</v>
      </c>
      <c r="C88" s="475"/>
      <c r="D88" s="475"/>
      <c r="E88" s="475"/>
      <c r="F88" s="66">
        <v>0.4375</v>
      </c>
      <c r="G88" s="66">
        <v>0.45833333333333331</v>
      </c>
      <c r="H88" s="70"/>
    </row>
    <row r="89" spans="1:8" ht="18" customHeight="1">
      <c r="A89" s="66">
        <v>0.70833333333333337</v>
      </c>
      <c r="B89" s="66">
        <v>0.72916666666666663</v>
      </c>
      <c r="C89" s="475"/>
      <c r="D89" s="475"/>
      <c r="E89" s="475"/>
      <c r="F89" s="66">
        <v>0.45833333333333331</v>
      </c>
      <c r="G89" s="66">
        <v>0.47916666666666669</v>
      </c>
      <c r="H89" s="70"/>
    </row>
    <row r="90" spans="1:8" ht="18" customHeight="1">
      <c r="A90" s="66">
        <v>0.72916666666666663</v>
      </c>
      <c r="B90" s="66">
        <v>0.75</v>
      </c>
      <c r="C90" s="475"/>
      <c r="D90" s="475"/>
      <c r="E90" s="475"/>
      <c r="F90" s="66">
        <v>0.47916666666666669</v>
      </c>
      <c r="G90" s="66">
        <v>0.5</v>
      </c>
      <c r="H90" s="70"/>
    </row>
    <row r="91" spans="1:8" ht="18" customHeight="1">
      <c r="A91" s="66">
        <v>0.75</v>
      </c>
      <c r="B91" s="66">
        <v>0.83333333333333337</v>
      </c>
      <c r="C91" s="475" t="s">
        <v>901</v>
      </c>
      <c r="D91" s="475"/>
      <c r="E91" s="475"/>
      <c r="F91" s="66">
        <v>0.5</v>
      </c>
      <c r="G91" s="66">
        <v>0.58333333333333337</v>
      </c>
      <c r="H91" s="70"/>
    </row>
    <row r="92" spans="1:8">
      <c r="A92" s="486" t="str">
        <f>J8</f>
        <v>Day 7</v>
      </c>
      <c r="B92" s="486"/>
      <c r="C92" s="489">
        <f>I8</f>
        <v>45032</v>
      </c>
      <c r="D92" s="489"/>
      <c r="E92" s="489"/>
      <c r="F92" s="486" t="str">
        <f>A92</f>
        <v>Day 7</v>
      </c>
      <c r="G92" s="486"/>
      <c r="H92" s="70"/>
    </row>
    <row r="93" spans="1:8" ht="28.8">
      <c r="A93" s="486" t="s">
        <v>892</v>
      </c>
      <c r="B93" s="486"/>
      <c r="C93" s="64" t="e">
        <f>C74</f>
        <v>#REF!</v>
      </c>
      <c r="D93" s="64" t="e">
        <f>D74</f>
        <v>#REF!</v>
      </c>
      <c r="E93" s="64" t="str">
        <f>E74</f>
        <v>LA team: Dr Pieter van Zyl and ATMs if applicable</v>
      </c>
      <c r="F93" s="486" t="s">
        <v>893</v>
      </c>
      <c r="G93" s="486"/>
      <c r="H93" s="70"/>
    </row>
    <row r="94" spans="1:8" ht="18" customHeight="1">
      <c r="A94" s="66">
        <v>0.41666666666666669</v>
      </c>
      <c r="B94" s="66">
        <v>0.4375</v>
      </c>
      <c r="C94" s="475" t="s">
        <v>900</v>
      </c>
      <c r="D94" s="475"/>
      <c r="E94" s="475"/>
      <c r="F94" s="66">
        <v>0.16666666666666666</v>
      </c>
      <c r="G94" s="66">
        <v>0.1875</v>
      </c>
      <c r="H94" s="70"/>
    </row>
    <row r="95" spans="1:8" ht="18" customHeight="1">
      <c r="A95" s="66">
        <v>0.4375</v>
      </c>
      <c r="B95" s="66">
        <v>0.45833333333333331</v>
      </c>
      <c r="C95" s="469" t="s">
        <v>956</v>
      </c>
      <c r="D95" s="470"/>
      <c r="E95" s="471"/>
      <c r="F95" s="66">
        <v>0.1875</v>
      </c>
      <c r="G95" s="66">
        <v>0.20833333333333334</v>
      </c>
      <c r="H95" s="70"/>
    </row>
    <row r="96" spans="1:8" ht="18" customHeight="1">
      <c r="A96" s="66">
        <v>0.45833333333333331</v>
      </c>
      <c r="B96" s="66">
        <v>0.47916666666666669</v>
      </c>
      <c r="C96" s="472"/>
      <c r="D96" s="473"/>
      <c r="E96" s="474"/>
      <c r="F96" s="66">
        <v>0.20833333333333334</v>
      </c>
      <c r="G96" s="66">
        <v>0.22916666666666666</v>
      </c>
      <c r="H96" s="70"/>
    </row>
    <row r="97" spans="1:8" ht="18" customHeight="1">
      <c r="A97" s="66">
        <v>0.47916666666666669</v>
      </c>
      <c r="B97" s="66">
        <v>0.5</v>
      </c>
      <c r="C97" s="469" t="s">
        <v>957</v>
      </c>
      <c r="D97" s="470"/>
      <c r="E97" s="471"/>
      <c r="F97" s="66">
        <v>0.22916666666666666</v>
      </c>
      <c r="G97" s="66">
        <v>0.25</v>
      </c>
      <c r="H97" s="70"/>
    </row>
    <row r="98" spans="1:8" ht="18" customHeight="1">
      <c r="A98" s="66">
        <v>0.5</v>
      </c>
      <c r="B98" s="66">
        <v>0.52083333333333337</v>
      </c>
      <c r="C98" s="472"/>
      <c r="D98" s="473"/>
      <c r="E98" s="474"/>
      <c r="F98" s="66">
        <v>0.25</v>
      </c>
      <c r="G98" s="66">
        <v>0.27083333333333331</v>
      </c>
      <c r="H98" s="70"/>
    </row>
    <row r="99" spans="1:8" ht="18" customHeight="1">
      <c r="A99" s="66">
        <v>0.52083333333333337</v>
      </c>
      <c r="B99" s="66">
        <v>0.54166666666666663</v>
      </c>
      <c r="C99" s="476" t="s">
        <v>899</v>
      </c>
      <c r="D99" s="477"/>
      <c r="E99" s="478"/>
      <c r="F99" s="66">
        <v>0.27083333333333331</v>
      </c>
      <c r="G99" s="66">
        <v>0.29166666666666669</v>
      </c>
      <c r="H99" s="70"/>
    </row>
    <row r="100" spans="1:8" ht="18" customHeight="1">
      <c r="A100" s="66">
        <v>0.54166666666666663</v>
      </c>
      <c r="B100" s="66">
        <v>0.5625</v>
      </c>
      <c r="C100" s="482"/>
      <c r="D100" s="483"/>
      <c r="E100" s="484"/>
      <c r="F100" s="66">
        <v>0.29166666666666669</v>
      </c>
      <c r="G100" s="66">
        <v>0.3125</v>
      </c>
      <c r="H100" s="70"/>
    </row>
    <row r="101" spans="1:8" ht="18" customHeight="1">
      <c r="A101" s="66">
        <v>0.5625</v>
      </c>
      <c r="B101" s="66">
        <v>0.58333333333333337</v>
      </c>
      <c r="C101" s="476" t="s">
        <v>1565</v>
      </c>
      <c r="D101" s="477"/>
      <c r="E101" s="478"/>
      <c r="F101" s="66">
        <v>0.3125</v>
      </c>
      <c r="G101" s="66">
        <v>0.33333333333333331</v>
      </c>
      <c r="H101" s="70"/>
    </row>
    <row r="102" spans="1:8" ht="18" customHeight="1">
      <c r="A102" s="66">
        <v>0.58333333333333337</v>
      </c>
      <c r="B102" s="66">
        <v>0.60416666666666663</v>
      </c>
      <c r="C102" s="479"/>
      <c r="D102" s="480"/>
      <c r="E102" s="481"/>
      <c r="F102" s="66">
        <v>0.33333333333333331</v>
      </c>
      <c r="G102" s="66">
        <v>0.35416666666666669</v>
      </c>
      <c r="H102" s="70"/>
    </row>
    <row r="103" spans="1:8" ht="18" customHeight="1">
      <c r="A103" s="66">
        <v>0.60416666666666663</v>
      </c>
      <c r="B103" s="66">
        <v>0.625</v>
      </c>
      <c r="C103" s="482"/>
      <c r="D103" s="483"/>
      <c r="E103" s="484"/>
      <c r="F103" s="66">
        <v>0.35416666666666669</v>
      </c>
      <c r="G103" s="66">
        <v>0.375</v>
      </c>
      <c r="H103" s="70"/>
    </row>
    <row r="104" spans="1:8" ht="18" customHeight="1">
      <c r="A104" s="66">
        <v>0.625</v>
      </c>
      <c r="B104" s="66">
        <v>0.64583333333333337</v>
      </c>
      <c r="C104" s="485" t="s">
        <v>1564</v>
      </c>
      <c r="D104" s="485"/>
      <c r="E104" s="485"/>
      <c r="F104" s="66">
        <v>0.375</v>
      </c>
      <c r="G104" s="66">
        <v>0.39583333333333331</v>
      </c>
      <c r="H104" s="70"/>
    </row>
    <row r="105" spans="1:8" ht="18" customHeight="1">
      <c r="A105" s="66">
        <v>0.64583333333333337</v>
      </c>
      <c r="B105" s="66">
        <v>0.66666666666666663</v>
      </c>
      <c r="C105" s="485"/>
      <c r="D105" s="485"/>
      <c r="E105" s="485"/>
      <c r="F105" s="66">
        <v>0.39583333333333331</v>
      </c>
      <c r="G105" s="66">
        <v>0.41666666666666669</v>
      </c>
      <c r="H105" s="70"/>
    </row>
    <row r="106" spans="1:8" ht="18" customHeight="1">
      <c r="A106" s="66">
        <v>0.66666666666666663</v>
      </c>
      <c r="B106" s="66">
        <v>0.6875</v>
      </c>
      <c r="C106" s="475" t="s">
        <v>904</v>
      </c>
      <c r="D106" s="475"/>
      <c r="E106" s="475"/>
      <c r="F106" s="66">
        <v>0.41666666666666669</v>
      </c>
      <c r="G106" s="66">
        <v>0.4375</v>
      </c>
      <c r="H106" s="70"/>
    </row>
    <row r="107" spans="1:8" ht="18" customHeight="1">
      <c r="A107" s="66">
        <v>0.6875</v>
      </c>
      <c r="B107" s="66">
        <v>0.70833333333333337</v>
      </c>
      <c r="C107" s="475"/>
      <c r="D107" s="475"/>
      <c r="E107" s="475"/>
      <c r="F107" s="66">
        <v>0.4375</v>
      </c>
      <c r="G107" s="66">
        <v>0.45833333333333331</v>
      </c>
      <c r="H107" s="70"/>
    </row>
    <row r="108" spans="1:8" ht="18" customHeight="1">
      <c r="A108" s="66">
        <v>0.70833333333333337</v>
      </c>
      <c r="B108" s="66">
        <v>0.72916666666666663</v>
      </c>
      <c r="C108" s="475" t="s">
        <v>905</v>
      </c>
      <c r="D108" s="475"/>
      <c r="E108" s="475"/>
      <c r="F108" s="66">
        <v>0.45833333333333331</v>
      </c>
      <c r="G108" s="66">
        <v>0.47916666666666669</v>
      </c>
      <c r="H108" s="70"/>
    </row>
    <row r="109" spans="1:8" ht="18" customHeight="1">
      <c r="A109" s="66">
        <v>0.72916666666666663</v>
      </c>
      <c r="B109" s="66">
        <v>0.75</v>
      </c>
      <c r="C109" s="475"/>
      <c r="D109" s="475"/>
      <c r="E109" s="475"/>
      <c r="F109" s="66">
        <v>0.47916666666666669</v>
      </c>
      <c r="G109" s="66">
        <v>0.5</v>
      </c>
      <c r="H109" s="70"/>
    </row>
    <row r="110" spans="1:8" ht="18" customHeight="1">
      <c r="A110" s="66">
        <v>0.75</v>
      </c>
      <c r="B110" s="66">
        <v>0.83333333333333337</v>
      </c>
      <c r="C110" s="475"/>
      <c r="D110" s="475"/>
      <c r="E110" s="475"/>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1376</v>
      </c>
    </row>
    <row r="2" spans="1:8">
      <c r="A2" s="278" t="s">
        <v>1377</v>
      </c>
      <c r="B2" s="279">
        <f>Planning!B42</f>
        <v>45026</v>
      </c>
      <c r="C2" s="280">
        <f>B2+1</f>
        <v>45027</v>
      </c>
      <c r="D2" s="280">
        <f t="shared" ref="D2:G2" si="0">C2+1</f>
        <v>45028</v>
      </c>
      <c r="E2" s="280">
        <f t="shared" si="0"/>
        <v>45029</v>
      </c>
      <c r="F2" s="280">
        <f t="shared" si="0"/>
        <v>45030</v>
      </c>
      <c r="G2" s="280">
        <f t="shared" si="0"/>
        <v>45031</v>
      </c>
      <c r="H2" s="281" t="s">
        <v>1378</v>
      </c>
    </row>
    <row r="3" spans="1:8" ht="28.8">
      <c r="A3" s="282">
        <v>0.41666666666666702</v>
      </c>
      <c r="B3" s="523" t="s">
        <v>1379</v>
      </c>
      <c r="C3" s="283" t="s">
        <v>1380</v>
      </c>
      <c r="D3" s="284" t="s">
        <v>1381</v>
      </c>
      <c r="E3" s="284" t="s">
        <v>1381</v>
      </c>
      <c r="F3" s="510" t="s">
        <v>1382</v>
      </c>
      <c r="G3" s="510" t="s">
        <v>1383</v>
      </c>
      <c r="H3" s="285">
        <f t="shared" ref="H3:H19" si="1">+A3-0.25</f>
        <v>0.16666666666666702</v>
      </c>
    </row>
    <row r="4" spans="1:8">
      <c r="A4" s="282">
        <v>0.4375</v>
      </c>
      <c r="B4" s="523"/>
      <c r="C4" s="286" t="s">
        <v>1384</v>
      </c>
      <c r="D4" s="511" t="s">
        <v>1385</v>
      </c>
      <c r="E4" s="511" t="s">
        <v>1386</v>
      </c>
      <c r="F4" s="510"/>
      <c r="G4" s="510"/>
      <c r="H4" s="285">
        <f t="shared" si="1"/>
        <v>0.1875</v>
      </c>
    </row>
    <row r="5" spans="1:8">
      <c r="A5" s="282">
        <v>0.45833333333333398</v>
      </c>
      <c r="B5" s="524" t="s">
        <v>1387</v>
      </c>
      <c r="C5" s="522" t="s">
        <v>1388</v>
      </c>
      <c r="D5" s="511"/>
      <c r="E5" s="511"/>
      <c r="F5" s="510"/>
      <c r="G5" s="510"/>
      <c r="H5" s="285">
        <f t="shared" si="1"/>
        <v>0.20833333333333398</v>
      </c>
    </row>
    <row r="6" spans="1:8">
      <c r="A6" s="282">
        <v>0.47916666666666702</v>
      </c>
      <c r="B6" s="524"/>
      <c r="C6" s="522"/>
      <c r="D6" s="511"/>
      <c r="E6" s="511"/>
      <c r="F6" s="510"/>
      <c r="G6" s="283" t="s">
        <v>1384</v>
      </c>
      <c r="H6" s="285">
        <f t="shared" si="1"/>
        <v>0.22916666666666702</v>
      </c>
    </row>
    <row r="7" spans="1:8">
      <c r="A7" s="282">
        <v>0.5</v>
      </c>
      <c r="B7" s="524"/>
      <c r="C7" s="511" t="s">
        <v>1389</v>
      </c>
      <c r="D7" s="511"/>
      <c r="E7" s="511"/>
      <c r="F7" s="518" t="s">
        <v>899</v>
      </c>
      <c r="G7" s="518" t="s">
        <v>899</v>
      </c>
      <c r="H7" s="285">
        <f t="shared" si="1"/>
        <v>0.25</v>
      </c>
    </row>
    <row r="8" spans="1:8" ht="28.8">
      <c r="A8" s="282">
        <v>0.52083333333333404</v>
      </c>
      <c r="B8" s="287" t="s">
        <v>1379</v>
      </c>
      <c r="C8" s="511"/>
      <c r="D8" s="511"/>
      <c r="E8" s="511"/>
      <c r="F8" s="518"/>
      <c r="G8" s="518"/>
      <c r="H8" s="285">
        <f t="shared" si="1"/>
        <v>0.27083333333333404</v>
      </c>
    </row>
    <row r="9" spans="1:8">
      <c r="A9" s="282">
        <v>0.54166666666666696</v>
      </c>
      <c r="B9" s="517" t="s">
        <v>899</v>
      </c>
      <c r="C9" s="518" t="s">
        <v>899</v>
      </c>
      <c r="D9" s="518" t="s">
        <v>899</v>
      </c>
      <c r="E9" s="518" t="s">
        <v>899</v>
      </c>
      <c r="F9" s="283" t="s">
        <v>1384</v>
      </c>
      <c r="G9" s="522" t="s">
        <v>758</v>
      </c>
      <c r="H9" s="285">
        <f t="shared" si="1"/>
        <v>0.29166666666666696</v>
      </c>
    </row>
    <row r="10" spans="1:8">
      <c r="A10" s="282">
        <v>0.5625</v>
      </c>
      <c r="B10" s="517"/>
      <c r="C10" s="518"/>
      <c r="D10" s="518"/>
      <c r="E10" s="518"/>
      <c r="F10" s="522" t="s">
        <v>1390</v>
      </c>
      <c r="G10" s="522"/>
      <c r="H10" s="285">
        <f t="shared" si="1"/>
        <v>0.3125</v>
      </c>
    </row>
    <row r="11" spans="1:8">
      <c r="A11" s="282">
        <v>0.58333333333333304</v>
      </c>
      <c r="B11" s="523" t="s">
        <v>1391</v>
      </c>
      <c r="C11" s="511" t="s">
        <v>1392</v>
      </c>
      <c r="D11" s="511" t="s">
        <v>1393</v>
      </c>
      <c r="E11" s="511" t="s">
        <v>1394</v>
      </c>
      <c r="F11" s="522"/>
      <c r="G11" s="510" t="s">
        <v>1395</v>
      </c>
      <c r="H11" s="285">
        <f t="shared" si="1"/>
        <v>0.33333333333333304</v>
      </c>
    </row>
    <row r="12" spans="1:8">
      <c r="A12" s="282">
        <v>0.60416666666666696</v>
      </c>
      <c r="B12" s="523"/>
      <c r="C12" s="511"/>
      <c r="D12" s="511"/>
      <c r="E12" s="511"/>
      <c r="F12" s="522" t="s">
        <v>1396</v>
      </c>
      <c r="G12" s="510"/>
      <c r="H12" s="285">
        <f t="shared" si="1"/>
        <v>0.35416666666666696</v>
      </c>
    </row>
    <row r="13" spans="1:8">
      <c r="A13" s="282">
        <v>0.625</v>
      </c>
      <c r="B13" s="523"/>
      <c r="C13" s="511"/>
      <c r="D13" s="511" t="s">
        <v>1397</v>
      </c>
      <c r="E13" s="511"/>
      <c r="F13" s="522"/>
      <c r="G13" s="510"/>
      <c r="H13" s="285">
        <f t="shared" si="1"/>
        <v>0.375</v>
      </c>
    </row>
    <row r="14" spans="1:8">
      <c r="A14" s="282">
        <v>0.64583333333333304</v>
      </c>
      <c r="B14" s="523"/>
      <c r="C14" s="511"/>
      <c r="D14" s="511"/>
      <c r="E14" s="511"/>
      <c r="F14" s="510" t="s">
        <v>1383</v>
      </c>
      <c r="G14" s="525" t="s">
        <v>1398</v>
      </c>
      <c r="H14" s="285">
        <f t="shared" si="1"/>
        <v>0.39583333333333304</v>
      </c>
    </row>
    <row r="15" spans="1:8">
      <c r="A15" s="282">
        <v>0.66666666666666696</v>
      </c>
      <c r="B15" s="523"/>
      <c r="C15" s="286" t="s">
        <v>1384</v>
      </c>
      <c r="D15" s="511"/>
      <c r="E15" s="510" t="s">
        <v>1382</v>
      </c>
      <c r="F15" s="510"/>
      <c r="G15" s="525"/>
      <c r="H15" s="285">
        <f t="shared" si="1"/>
        <v>0.41666666666666696</v>
      </c>
    </row>
    <row r="16" spans="1:8">
      <c r="A16" s="282">
        <v>0.6875</v>
      </c>
      <c r="B16" s="523"/>
      <c r="C16" s="511" t="s">
        <v>1399</v>
      </c>
      <c r="D16" s="511" t="s">
        <v>1400</v>
      </c>
      <c r="E16" s="510"/>
      <c r="F16" s="510"/>
      <c r="G16" s="525"/>
      <c r="H16" s="285">
        <f t="shared" si="1"/>
        <v>0.4375</v>
      </c>
    </row>
    <row r="17" spans="1:8">
      <c r="A17" s="282">
        <v>0.70833333333333304</v>
      </c>
      <c r="B17" s="288" t="s">
        <v>1401</v>
      </c>
      <c r="C17" s="511"/>
      <c r="D17" s="511"/>
      <c r="E17" s="510"/>
      <c r="F17" s="510"/>
      <c r="G17" s="525"/>
      <c r="H17" s="285">
        <f t="shared" si="1"/>
        <v>0.45833333333333304</v>
      </c>
    </row>
    <row r="18" spans="1:8">
      <c r="A18" s="282">
        <v>0.72916666666666663</v>
      </c>
      <c r="B18" s="289" t="s">
        <v>1381</v>
      </c>
      <c r="C18" s="284" t="s">
        <v>1381</v>
      </c>
      <c r="D18" s="284" t="s">
        <v>1381</v>
      </c>
      <c r="E18" s="284" t="s">
        <v>1381</v>
      </c>
      <c r="F18" s="284" t="s">
        <v>1381</v>
      </c>
      <c r="G18" s="525"/>
      <c r="H18" s="285">
        <f t="shared" si="1"/>
        <v>0.47916666666666663</v>
      </c>
    </row>
    <row r="19" spans="1:8" ht="15" thickBot="1">
      <c r="A19" s="290">
        <v>0.75</v>
      </c>
      <c r="B19" s="519" t="s">
        <v>901</v>
      </c>
      <c r="C19" s="520"/>
      <c r="D19" s="520"/>
      <c r="E19" s="520"/>
      <c r="F19" s="520"/>
      <c r="G19" s="520"/>
      <c r="H19" s="291">
        <f t="shared" si="1"/>
        <v>0.5</v>
      </c>
    </row>
    <row r="21" spans="1:8" ht="15" thickBot="1">
      <c r="A21" s="8" t="s">
        <v>1402</v>
      </c>
    </row>
    <row r="22" spans="1:8">
      <c r="A22" s="278" t="s">
        <v>1377</v>
      </c>
      <c r="B22" s="279">
        <f>Planning!B42</f>
        <v>45026</v>
      </c>
      <c r="C22" s="279">
        <f>B22+1</f>
        <v>45027</v>
      </c>
      <c r="D22" s="279">
        <f t="shared" ref="D22:F22" si="2">C22+1</f>
        <v>45028</v>
      </c>
      <c r="E22" s="279">
        <f t="shared" si="2"/>
        <v>45029</v>
      </c>
      <c r="F22" s="279">
        <f t="shared" si="2"/>
        <v>45030</v>
      </c>
      <c r="G22" s="279">
        <f>F22+1</f>
        <v>45031</v>
      </c>
      <c r="H22" s="281" t="s">
        <v>1378</v>
      </c>
    </row>
    <row r="23" spans="1:8" ht="28.8">
      <c r="A23" s="282">
        <v>0.41666666666666702</v>
      </c>
      <c r="B23" s="523" t="s">
        <v>1379</v>
      </c>
      <c r="C23" s="283" t="s">
        <v>1380</v>
      </c>
      <c r="D23" s="284" t="s">
        <v>1381</v>
      </c>
      <c r="E23" s="284" t="s">
        <v>1381</v>
      </c>
      <c r="F23" s="512" t="s">
        <v>1382</v>
      </c>
      <c r="G23" s="512" t="s">
        <v>1383</v>
      </c>
      <c r="H23" s="285">
        <f t="shared" ref="H23:H39" si="3">+A23-0.25</f>
        <v>0.16666666666666702</v>
      </c>
    </row>
    <row r="24" spans="1:8">
      <c r="A24" s="282">
        <v>0.4375</v>
      </c>
      <c r="B24" s="523"/>
      <c r="C24" s="286" t="s">
        <v>1384</v>
      </c>
      <c r="D24" s="511" t="s">
        <v>1385</v>
      </c>
      <c r="E24" s="511" t="s">
        <v>1386</v>
      </c>
      <c r="F24" s="521"/>
      <c r="G24" s="521"/>
      <c r="H24" s="285">
        <f t="shared" si="3"/>
        <v>0.1875</v>
      </c>
    </row>
    <row r="25" spans="1:8">
      <c r="A25" s="282">
        <v>0.45833333333333398</v>
      </c>
      <c r="B25" s="524" t="s">
        <v>1387</v>
      </c>
      <c r="C25" s="522" t="s">
        <v>1388</v>
      </c>
      <c r="D25" s="511"/>
      <c r="E25" s="511"/>
      <c r="F25" s="521"/>
      <c r="G25" s="521"/>
      <c r="H25" s="285">
        <f t="shared" si="3"/>
        <v>0.20833333333333398</v>
      </c>
    </row>
    <row r="26" spans="1:8">
      <c r="A26" s="282">
        <v>0.47916666666666702</v>
      </c>
      <c r="B26" s="524"/>
      <c r="C26" s="522"/>
      <c r="D26" s="511"/>
      <c r="E26" s="511"/>
      <c r="F26" s="521"/>
      <c r="G26" s="521"/>
      <c r="H26" s="285">
        <f t="shared" si="3"/>
        <v>0.22916666666666702</v>
      </c>
    </row>
    <row r="27" spans="1:8">
      <c r="A27" s="282">
        <v>0.5</v>
      </c>
      <c r="B27" s="524"/>
      <c r="C27" s="511" t="s">
        <v>1389</v>
      </c>
      <c r="D27" s="511"/>
      <c r="E27" s="511"/>
      <c r="F27" s="521"/>
      <c r="G27" s="521"/>
      <c r="H27" s="285">
        <f t="shared" si="3"/>
        <v>0.25</v>
      </c>
    </row>
    <row r="28" spans="1:8" ht="28.8">
      <c r="A28" s="282">
        <v>0.52083333333333404</v>
      </c>
      <c r="B28" s="287" t="s">
        <v>1379</v>
      </c>
      <c r="C28" s="511"/>
      <c r="D28" s="511"/>
      <c r="E28" s="511"/>
      <c r="F28" s="513"/>
      <c r="G28" s="513"/>
      <c r="H28" s="285">
        <f t="shared" si="3"/>
        <v>0.27083333333333404</v>
      </c>
    </row>
    <row r="29" spans="1:8">
      <c r="A29" s="282">
        <v>0.54166666666666696</v>
      </c>
      <c r="B29" s="517" t="s">
        <v>899</v>
      </c>
      <c r="C29" s="518" t="s">
        <v>899</v>
      </c>
      <c r="D29" s="518" t="s">
        <v>899</v>
      </c>
      <c r="E29" s="518" t="s">
        <v>899</v>
      </c>
      <c r="F29" s="518" t="s">
        <v>899</v>
      </c>
      <c r="G29" s="518" t="s">
        <v>899</v>
      </c>
      <c r="H29" s="285">
        <f t="shared" si="3"/>
        <v>0.29166666666666696</v>
      </c>
    </row>
    <row r="30" spans="1:8">
      <c r="A30" s="282">
        <v>0.5625</v>
      </c>
      <c r="B30" s="517"/>
      <c r="C30" s="518"/>
      <c r="D30" s="518"/>
      <c r="E30" s="518"/>
      <c r="F30" s="518"/>
      <c r="G30" s="518"/>
      <c r="H30" s="285">
        <f t="shared" si="3"/>
        <v>0.3125</v>
      </c>
    </row>
    <row r="31" spans="1:8">
      <c r="A31" s="282">
        <v>0.58333333333333304</v>
      </c>
      <c r="B31" s="512" t="s">
        <v>1391</v>
      </c>
      <c r="C31" s="511" t="s">
        <v>1392</v>
      </c>
      <c r="D31" s="511" t="s">
        <v>1393</v>
      </c>
      <c r="E31" s="511" t="s">
        <v>1394</v>
      </c>
      <c r="F31" s="284" t="s">
        <v>1384</v>
      </c>
      <c r="G31" s="284" t="s">
        <v>1384</v>
      </c>
      <c r="H31" s="285">
        <f t="shared" si="3"/>
        <v>0.33333333333333304</v>
      </c>
    </row>
    <row r="32" spans="1:8">
      <c r="A32" s="282">
        <v>0.60416666666666696</v>
      </c>
      <c r="B32" s="521"/>
      <c r="C32" s="511"/>
      <c r="D32" s="511"/>
      <c r="E32" s="511"/>
      <c r="F32" s="522" t="s">
        <v>1390</v>
      </c>
      <c r="G32" s="522" t="s">
        <v>1563</v>
      </c>
      <c r="H32" s="285">
        <f t="shared" si="3"/>
        <v>0.35416666666666696</v>
      </c>
    </row>
    <row r="33" spans="1:8">
      <c r="A33" s="282">
        <v>0.625</v>
      </c>
      <c r="B33" s="521"/>
      <c r="C33" s="511"/>
      <c r="D33" s="511" t="s">
        <v>1397</v>
      </c>
      <c r="E33" s="511"/>
      <c r="F33" s="522"/>
      <c r="G33" s="522"/>
      <c r="H33" s="285">
        <f t="shared" si="3"/>
        <v>0.375</v>
      </c>
    </row>
    <row r="34" spans="1:8">
      <c r="A34" s="282">
        <v>0.64583333333333304</v>
      </c>
      <c r="B34" s="521"/>
      <c r="C34" s="511"/>
      <c r="D34" s="511"/>
      <c r="E34" s="511"/>
      <c r="F34" s="522" t="s">
        <v>1396</v>
      </c>
      <c r="G34" s="514" t="s">
        <v>1403</v>
      </c>
      <c r="H34" s="285">
        <f t="shared" si="3"/>
        <v>0.39583333333333304</v>
      </c>
    </row>
    <row r="35" spans="1:8">
      <c r="A35" s="282">
        <v>0.66666666666666696</v>
      </c>
      <c r="B35" s="513"/>
      <c r="C35" s="286" t="s">
        <v>1384</v>
      </c>
      <c r="D35" s="511"/>
      <c r="E35" s="510" t="s">
        <v>1382</v>
      </c>
      <c r="F35" s="522"/>
      <c r="G35" s="515"/>
      <c r="H35" s="285">
        <f t="shared" si="3"/>
        <v>0.41666666666666696</v>
      </c>
    </row>
    <row r="36" spans="1:8">
      <c r="A36" s="282">
        <v>0.6875</v>
      </c>
      <c r="B36" s="292" t="s">
        <v>1404</v>
      </c>
      <c r="C36" s="511" t="s">
        <v>1399</v>
      </c>
      <c r="D36" s="511" t="s">
        <v>1400</v>
      </c>
      <c r="E36" s="510"/>
      <c r="F36" s="512" t="s">
        <v>1383</v>
      </c>
      <c r="G36" s="514" t="s">
        <v>1405</v>
      </c>
      <c r="H36" s="285">
        <f t="shared" si="3"/>
        <v>0.4375</v>
      </c>
    </row>
    <row r="37" spans="1:8">
      <c r="A37" s="282">
        <v>0.70833333333333304</v>
      </c>
      <c r="B37" s="288" t="s">
        <v>1401</v>
      </c>
      <c r="C37" s="511"/>
      <c r="D37" s="511"/>
      <c r="E37" s="510"/>
      <c r="F37" s="513"/>
      <c r="G37" s="515"/>
      <c r="H37" s="285">
        <f t="shared" si="3"/>
        <v>0.45833333333333304</v>
      </c>
    </row>
    <row r="38" spans="1:8">
      <c r="A38" s="282">
        <v>0.72916666666666663</v>
      </c>
      <c r="B38" s="289" t="s">
        <v>1381</v>
      </c>
      <c r="C38" s="284" t="s">
        <v>1381</v>
      </c>
      <c r="D38" s="284" t="s">
        <v>1381</v>
      </c>
      <c r="E38" s="284" t="s">
        <v>1381</v>
      </c>
      <c r="F38" s="284" t="s">
        <v>1381</v>
      </c>
      <c r="G38" s="516"/>
      <c r="H38" s="285">
        <f t="shared" si="3"/>
        <v>0.47916666666666663</v>
      </c>
    </row>
    <row r="39" spans="1:8" ht="15" thickBot="1">
      <c r="A39" s="290">
        <v>0.75</v>
      </c>
      <c r="B39" s="519" t="s">
        <v>901</v>
      </c>
      <c r="C39" s="520"/>
      <c r="D39" s="520"/>
      <c r="E39" s="520"/>
      <c r="F39" s="520"/>
      <c r="G39" s="520"/>
      <c r="H39" s="291">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A8" sqref="A8:A16"/>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979</v>
      </c>
      <c r="C1" t="s">
        <v>980</v>
      </c>
      <c r="E1" s="123" t="s">
        <v>844</v>
      </c>
      <c r="F1" s="123" t="s">
        <v>845</v>
      </c>
      <c r="G1" s="123" t="s">
        <v>798</v>
      </c>
      <c r="H1" s="123" t="s">
        <v>846</v>
      </c>
      <c r="I1" s="123" t="s">
        <v>847</v>
      </c>
      <c r="J1" s="123" t="s">
        <v>848</v>
      </c>
      <c r="K1" s="123" t="s">
        <v>849</v>
      </c>
      <c r="L1" s="123" t="s">
        <v>850</v>
      </c>
      <c r="M1" s="123" t="s">
        <v>851</v>
      </c>
      <c r="N1" s="123" t="s">
        <v>852</v>
      </c>
      <c r="O1" s="123" t="s">
        <v>718</v>
      </c>
      <c r="P1" s="123" t="s">
        <v>853</v>
      </c>
      <c r="Q1" s="123" t="s">
        <v>854</v>
      </c>
      <c r="R1" s="123" t="s">
        <v>855</v>
      </c>
      <c r="S1" s="123" t="s">
        <v>856</v>
      </c>
      <c r="T1" s="123" t="s">
        <v>716</v>
      </c>
      <c r="U1" s="123" t="s">
        <v>857</v>
      </c>
      <c r="V1" s="123" t="s">
        <v>858</v>
      </c>
      <c r="W1" s="123" t="s">
        <v>871</v>
      </c>
      <c r="X1" s="123" t="s">
        <v>872</v>
      </c>
    </row>
    <row r="2" spans="1:24">
      <c r="A2" t="str">
        <f>'Agreement 3'!A29</f>
        <v>Sponsor detail</v>
      </c>
      <c r="B2" s="109" t="str">
        <f>'Agreement 3'!B30</f>
        <v>Prof Donald Kessler</v>
      </c>
      <c r="C2" s="109" t="str">
        <f>'Agreement 3'!B33</f>
        <v>donald.kessler@email.com</v>
      </c>
    </row>
    <row r="3" spans="1:24">
      <c r="A3" t="str">
        <f>'P1-Personnel'!A7</f>
        <v>OU Coordinator</v>
      </c>
      <c r="B3" s="109" t="str">
        <f>'P1-Personnel'!B7</f>
        <v>Miss Nathalie Lake</v>
      </c>
      <c r="C3" t="str">
        <f>'P1-Personnel'!V7</f>
        <v>nathalie.lake@email.com</v>
      </c>
    </row>
    <row r="4" spans="1:24">
      <c r="A4" t="str">
        <f>'P1-Personnel'!A8</f>
        <v>Registered Interpreter</v>
      </c>
      <c r="B4" s="109" t="str">
        <f>'P1-Personnel'!B8</f>
        <v>Miss Barbara Land</v>
      </c>
      <c r="C4" t="str">
        <f>'P1-Personnel'!V8</f>
        <v>barbara.land@email.com</v>
      </c>
    </row>
    <row r="5" spans="1:24">
      <c r="B5" s="109"/>
    </row>
    <row r="6" spans="1:24">
      <c r="A6" t="str">
        <f>'Agreement 3'!A6</f>
        <v>Lead appraiser</v>
      </c>
      <c r="B6" s="109" t="str">
        <f>'Agreement 3'!B7</f>
        <v>Dr Pieter van Zyl</v>
      </c>
      <c r="C6" s="109" t="str">
        <f>'Agreement 3'!B13</f>
        <v>pieter.vanzyl@demix.org</v>
      </c>
    </row>
    <row r="7" spans="1:24">
      <c r="B7" s="109"/>
    </row>
    <row r="8" spans="1:24">
      <c r="A8" t="str">
        <f>'P1-Personnel'!A13</f>
        <v>Appraisal team member</v>
      </c>
      <c r="B8" s="109" t="str">
        <f>'P1-Personnel'!B13</f>
        <v>ATM-1</v>
      </c>
      <c r="C8" t="str">
        <f>'P1-Personnel'!V13</f>
        <v>atm1.email@gmail.com</v>
      </c>
      <c r="D8" s="53">
        <f>COUNTIF(E8:Y8,"x")</f>
        <v>0</v>
      </c>
    </row>
    <row r="9" spans="1:24">
      <c r="A9" t="str">
        <f>'P1-Personnel'!A14</f>
        <v>Appraisal team member</v>
      </c>
      <c r="B9" s="109" t="str">
        <f>'P1-Personnel'!B14</f>
        <v>ATM-2</v>
      </c>
      <c r="C9" t="str">
        <f>'P1-Personnel'!V14</f>
        <v>atm2.email@gmail.com</v>
      </c>
      <c r="D9" s="53">
        <f t="shared" ref="D9:D16" si="0">COUNTIF(E9:Y9,"x")</f>
        <v>0</v>
      </c>
    </row>
    <row r="10" spans="1:24">
      <c r="A10" t="str">
        <f>'P1-Personnel'!A15</f>
        <v>Appraisal team member</v>
      </c>
      <c r="B10" s="109" t="str">
        <f>'P1-Personnel'!B15</f>
        <v>ATM-3</v>
      </c>
      <c r="C10" t="str">
        <f>'P1-Personnel'!V15</f>
        <v>atm3.email@gmail.com</v>
      </c>
      <c r="D10" s="53">
        <f t="shared" si="0"/>
        <v>0</v>
      </c>
    </row>
    <row r="11" spans="1:24">
      <c r="A11" t="str">
        <f>'P1-Personnel'!A16</f>
        <v>Appraisal team member</v>
      </c>
      <c r="B11" s="109" t="str">
        <f>'P1-Personnel'!B16</f>
        <v>ATM-4</v>
      </c>
      <c r="C11" t="str">
        <f>'P1-Personnel'!V16</f>
        <v>atm4.email@gmail.com</v>
      </c>
      <c r="D11" s="53">
        <f t="shared" si="0"/>
        <v>0</v>
      </c>
    </row>
    <row r="12" spans="1:24">
      <c r="A12" t="str">
        <f>'P1-Personnel'!A17</f>
        <v>Appraisal team member</v>
      </c>
      <c r="B12" s="109" t="str">
        <f>'P1-Personnel'!B17</f>
        <v>ATM-5</v>
      </c>
      <c r="C12" t="str">
        <f>'P1-Personnel'!V17</f>
        <v>atm5.email@gmail.com</v>
      </c>
      <c r="D12" s="53">
        <f t="shared" si="0"/>
        <v>0</v>
      </c>
    </row>
    <row r="13" spans="1:24">
      <c r="A13" t="str">
        <f>'P1-Personnel'!A18</f>
        <v>Appraisal team member</v>
      </c>
      <c r="B13" s="109" t="str">
        <f>'P1-Personnel'!B18</f>
        <v>ATM-6</v>
      </c>
      <c r="C13" t="str">
        <f>'P1-Personnel'!V18</f>
        <v>atm6.email@gmail.com</v>
      </c>
      <c r="D13" s="53">
        <f t="shared" si="0"/>
        <v>0</v>
      </c>
    </row>
    <row r="14" spans="1:24">
      <c r="A14" t="str">
        <f>'P1-Personnel'!A19</f>
        <v>Appraisal team member</v>
      </c>
      <c r="B14" s="109" t="str">
        <f>'P1-Personnel'!B19</f>
        <v>ATM-7</v>
      </c>
      <c r="C14" t="str">
        <f>'P1-Personnel'!V19</f>
        <v>atm7.email@gmail.com</v>
      </c>
      <c r="D14" s="53">
        <f t="shared" si="0"/>
        <v>0</v>
      </c>
    </row>
    <row r="15" spans="1:24">
      <c r="A15" t="str">
        <f>'P1-Personnel'!A20</f>
        <v>Appraisal team member</v>
      </c>
      <c r="B15" s="109" t="str">
        <f>'P1-Personnel'!B20</f>
        <v>ATM-8</v>
      </c>
      <c r="C15" t="str">
        <f>'P1-Personnel'!V20</f>
        <v>atm8.email@gmail.com</v>
      </c>
      <c r="D15" s="53">
        <f t="shared" si="0"/>
        <v>0</v>
      </c>
    </row>
    <row r="16" spans="1:24">
      <c r="A16" t="str">
        <f>'P1-Personnel'!A21</f>
        <v>Appraisal team member</v>
      </c>
      <c r="B16" s="109" t="str">
        <f>'P1-Personnel'!B21</f>
        <v>ATM-9</v>
      </c>
      <c r="C16" t="str">
        <f>'P1-Personnel'!V21</f>
        <v>atm9.email@gmail.com</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1536</v>
      </c>
    </row>
    <row r="25" spans="1:24">
      <c r="C25" s="356" t="s">
        <v>1537</v>
      </c>
    </row>
    <row r="26" spans="1:24">
      <c r="C26" s="124" t="s">
        <v>1538</v>
      </c>
    </row>
    <row r="27" spans="1:24">
      <c r="C27" s="246" t="s">
        <v>1539</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1365</v>
      </c>
      <c r="B1" s="15"/>
      <c r="C1" s="15"/>
      <c r="D1" s="15"/>
    </row>
    <row r="2" spans="1:22" s="11" customFormat="1">
      <c r="A2" s="27" t="s">
        <v>1354</v>
      </c>
      <c r="B2" s="28"/>
      <c r="C2" s="28"/>
      <c r="D2" s="28"/>
      <c r="E2" s="16"/>
      <c r="F2" s="16"/>
      <c r="G2" s="16"/>
      <c r="H2" s="16"/>
      <c r="I2" s="16"/>
      <c r="J2" s="16"/>
      <c r="K2" s="16"/>
      <c r="L2" s="16"/>
      <c r="M2" s="16"/>
      <c r="N2" s="16"/>
      <c r="O2" s="16"/>
      <c r="P2" s="16"/>
      <c r="Q2" s="16"/>
      <c r="R2" s="16"/>
      <c r="S2" s="16"/>
      <c r="T2" s="16"/>
      <c r="U2" s="16"/>
      <c r="V2" s="16"/>
    </row>
    <row r="3" spans="1:22">
      <c r="A3" s="16" t="s">
        <v>869</v>
      </c>
      <c r="B3" s="60" t="s">
        <v>1355</v>
      </c>
      <c r="C3" s="277" t="s">
        <v>1356</v>
      </c>
    </row>
    <row r="4" spans="1:22">
      <c r="A4" s="16" t="s">
        <v>608</v>
      </c>
      <c r="B4" s="60">
        <v>1</v>
      </c>
      <c r="C4" s="277" t="str">
        <f t="shared" ref="C4:C20" si="0">_xlfn.CONCAT(A4, " (",B4,")")</f>
        <v>ATL (1)</v>
      </c>
    </row>
    <row r="5" spans="1:22">
      <c r="A5" s="16" t="s">
        <v>979</v>
      </c>
      <c r="B5" s="60">
        <v>4</v>
      </c>
      <c r="C5" s="277" t="str">
        <f t="shared" si="0"/>
        <v>ATM (4)</v>
      </c>
    </row>
    <row r="6" spans="1:22">
      <c r="A6" s="16" t="s">
        <v>716</v>
      </c>
      <c r="B6" s="60">
        <v>1</v>
      </c>
      <c r="C6" s="277" t="str">
        <f t="shared" si="0"/>
        <v>CM (1)</v>
      </c>
    </row>
    <row r="7" spans="1:22">
      <c r="A7" s="16" t="s">
        <v>1337</v>
      </c>
      <c r="B7" s="60">
        <v>4</v>
      </c>
      <c r="C7" s="277" t="str">
        <f t="shared" si="0"/>
        <v>Engineers (4)</v>
      </c>
    </row>
    <row r="8" spans="1:22">
      <c r="A8" s="16" t="s">
        <v>1353</v>
      </c>
      <c r="B8" s="60">
        <v>2</v>
      </c>
      <c r="C8" s="277" t="str">
        <f t="shared" si="0"/>
        <v>EPG (2)</v>
      </c>
    </row>
    <row r="9" spans="1:22">
      <c r="A9" s="16" t="s">
        <v>718</v>
      </c>
      <c r="B9" s="60">
        <v>1</v>
      </c>
      <c r="C9" s="277" t="str">
        <f t="shared" si="0"/>
        <v>OT (1)</v>
      </c>
    </row>
    <row r="10" spans="1:22">
      <c r="A10" s="16" t="s">
        <v>1358</v>
      </c>
      <c r="B10" s="60">
        <v>1</v>
      </c>
      <c r="C10" s="277" t="str">
        <f t="shared" si="0"/>
        <v>OUC (1)</v>
      </c>
    </row>
    <row r="11" spans="1:22">
      <c r="A11" s="16" t="s">
        <v>1342</v>
      </c>
      <c r="B11" s="60">
        <v>2</v>
      </c>
      <c r="C11" s="277" t="str">
        <f t="shared" si="0"/>
        <v>PMs (2)</v>
      </c>
    </row>
    <row r="12" spans="1:22">
      <c r="A12" s="16" t="s">
        <v>798</v>
      </c>
      <c r="B12" s="60">
        <v>1</v>
      </c>
      <c r="C12" s="277" t="str">
        <f t="shared" si="0"/>
        <v>PQA (1)</v>
      </c>
    </row>
    <row r="13" spans="1:22">
      <c r="A13" s="16" t="s">
        <v>1357</v>
      </c>
      <c r="B13" s="60">
        <v>1</v>
      </c>
      <c r="C13" s="277" t="str">
        <f t="shared" si="0"/>
        <v>SM (1)</v>
      </c>
    </row>
    <row r="14" spans="1:22">
      <c r="A14" s="16" t="s">
        <v>583</v>
      </c>
      <c r="B14" s="60">
        <v>1</v>
      </c>
      <c r="C14" s="277" t="str">
        <f t="shared" si="0"/>
        <v>Sponsor (1)</v>
      </c>
    </row>
    <row r="15" spans="1:22">
      <c r="A15" s="16" t="s">
        <v>1359</v>
      </c>
      <c r="B15" s="60">
        <v>1</v>
      </c>
      <c r="C15" s="277" t="str">
        <f t="shared" si="0"/>
        <v>RI (1)</v>
      </c>
    </row>
    <row r="16" spans="1:22">
      <c r="A16" s="16" t="s">
        <v>1360</v>
      </c>
      <c r="B16" s="277">
        <f>B7+B6</f>
        <v>5</v>
      </c>
      <c r="C16" s="277" t="str">
        <f t="shared" si="0"/>
        <v>ParticipantsPrelim1 (5)</v>
      </c>
    </row>
    <row r="17" spans="1:22">
      <c r="A17" s="16" t="s">
        <v>1361</v>
      </c>
      <c r="B17" s="277">
        <f>B8+B9+B11+B12</f>
        <v>6</v>
      </c>
      <c r="C17" s="277" t="str">
        <f t="shared" si="0"/>
        <v>ParticipantsPrelim2 (6)</v>
      </c>
    </row>
    <row r="18" spans="1:22">
      <c r="A18" s="16" t="s">
        <v>1364</v>
      </c>
      <c r="B18" s="60">
        <v>5</v>
      </c>
      <c r="C18" s="277" t="str">
        <f t="shared" si="0"/>
        <v>ParticipantsTechTest (5)</v>
      </c>
    </row>
    <row r="19" spans="1:22">
      <c r="A19" s="16" t="s">
        <v>1362</v>
      </c>
      <c r="B19" s="277">
        <f>B13+B12+B11+B10+B9+B7+B6+B5</f>
        <v>15</v>
      </c>
      <c r="C19" s="277" t="str">
        <f t="shared" si="0"/>
        <v>ParticipantsOpen (15)</v>
      </c>
    </row>
    <row r="20" spans="1:22">
      <c r="A20" s="16" t="s">
        <v>1363</v>
      </c>
      <c r="B20" s="277">
        <f>B14+B13+B12+B11+B10+B8+B7+B6</f>
        <v>13</v>
      </c>
      <c r="C20" s="277" t="str">
        <f t="shared" si="0"/>
        <v>ParticipantsFinal (13)</v>
      </c>
    </row>
    <row r="21" spans="1:22">
      <c r="B21" s="60"/>
      <c r="C21" s="60"/>
    </row>
    <row r="22" spans="1:22" s="11" customFormat="1">
      <c r="A22" s="27" t="s">
        <v>1366</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1327</v>
      </c>
      <c r="B23" s="14" t="s">
        <v>1328</v>
      </c>
      <c r="C23" s="14" t="s">
        <v>1329</v>
      </c>
      <c r="D23" s="14" t="s">
        <v>1330</v>
      </c>
    </row>
    <row r="24" spans="1:22">
      <c r="A24" s="16" t="s">
        <v>1331</v>
      </c>
      <c r="B24" s="78" t="str">
        <f>C4</f>
        <v>ATL (1)</v>
      </c>
      <c r="C24" s="16" t="s">
        <v>1332</v>
      </c>
      <c r="D24" s="16">
        <v>120</v>
      </c>
    </row>
    <row r="25" spans="1:22">
      <c r="A25" s="16" t="s">
        <v>1331</v>
      </c>
      <c r="B25" s="78" t="str">
        <f>C5</f>
        <v>ATM (4)</v>
      </c>
      <c r="C25" s="16" t="s">
        <v>1332</v>
      </c>
      <c r="D25" s="16">
        <v>8</v>
      </c>
    </row>
    <row r="26" spans="1:22">
      <c r="A26" s="16" t="s">
        <v>1333</v>
      </c>
      <c r="B26" s="78" t="str">
        <f>_xlfn.CONCAT(C4,", ",C5,", ",C15)</f>
        <v>ATL (1), ATM (4), RI (1)</v>
      </c>
      <c r="C26" s="16" t="s">
        <v>1334</v>
      </c>
      <c r="D26" s="16">
        <v>8</v>
      </c>
    </row>
    <row r="27" spans="1:22">
      <c r="A27" s="16" t="s">
        <v>716</v>
      </c>
      <c r="B27" s="78" t="str">
        <f>_xlfn.CONCAT(B26,", ",C6)</f>
        <v>ATL (1), ATM (4), RI (1), CM (1)</v>
      </c>
      <c r="C27" s="16" t="s">
        <v>598</v>
      </c>
      <c r="D27" s="16">
        <v>1</v>
      </c>
    </row>
    <row r="28" spans="1:22">
      <c r="A28" s="16" t="s">
        <v>1335</v>
      </c>
      <c r="B28" s="78" t="str">
        <f>B26</f>
        <v>ATL (1), ATM (4), RI (1)</v>
      </c>
      <c r="C28" s="16" t="s">
        <v>1336</v>
      </c>
      <c r="D28" s="16">
        <v>12</v>
      </c>
    </row>
    <row r="29" spans="1:22">
      <c r="A29" s="16" t="s">
        <v>1337</v>
      </c>
      <c r="B29" s="78" t="str">
        <f>_xlfn.CONCAT(B26,", ",C7)</f>
        <v>ATL (1), ATM (4), RI (1), Engineers (4)</v>
      </c>
      <c r="C29" s="16" t="s">
        <v>598</v>
      </c>
      <c r="D29" s="16">
        <v>3</v>
      </c>
    </row>
    <row r="30" spans="1:22">
      <c r="A30" s="16" t="s">
        <v>715</v>
      </c>
      <c r="B30" s="78" t="str">
        <f>_xlfn.CONCAT(B26,", ",C8)</f>
        <v>ATL (1), ATM (4), RI (1), EPG (2)</v>
      </c>
      <c r="C30" s="16" t="s">
        <v>598</v>
      </c>
      <c r="D30" s="16">
        <v>3</v>
      </c>
    </row>
    <row r="31" spans="1:22">
      <c r="A31" s="16" t="s">
        <v>721</v>
      </c>
      <c r="B31" s="78" t="str">
        <f>_xlfn.CONCAT(C20,", ",B25)</f>
        <v>ParticipantsFinal (13), ATM (4)</v>
      </c>
      <c r="C31" s="16" t="s">
        <v>721</v>
      </c>
      <c r="D31" s="16">
        <v>1</v>
      </c>
    </row>
    <row r="32" spans="1:22">
      <c r="A32" s="16" t="s">
        <v>894</v>
      </c>
      <c r="B32" s="78" t="str">
        <f>B26</f>
        <v>ATL (1), ATM (4), RI (1)</v>
      </c>
      <c r="C32" s="16" t="s">
        <v>1684</v>
      </c>
      <c r="D32" s="16">
        <v>24</v>
      </c>
    </row>
    <row r="33" spans="1:4">
      <c r="A33" s="16" t="s">
        <v>1338</v>
      </c>
      <c r="B33" s="78" t="str">
        <f>_xlfn.CONCAT(C4,", ",C15,", ",C10,", ",C8)</f>
        <v>ATL (1), RI (1), OUC (1), EPG (2)</v>
      </c>
      <c r="C33" s="16" t="s">
        <v>1339</v>
      </c>
      <c r="D33" s="16">
        <v>40</v>
      </c>
    </row>
    <row r="34" spans="1:4">
      <c r="A34" s="16" t="s">
        <v>1340</v>
      </c>
      <c r="B34" s="78" t="str">
        <f>_xlfn.CONCAT(C4,", ",C15,", ",C10,", ",C8)</f>
        <v>ATL (1), RI (1), OUC (1), EPG (2)</v>
      </c>
      <c r="C34" s="16" t="s">
        <v>1339</v>
      </c>
      <c r="D34" s="16">
        <v>120</v>
      </c>
    </row>
    <row r="35" spans="1:4">
      <c r="A35" s="16" t="s">
        <v>617</v>
      </c>
      <c r="B35" s="78" t="str">
        <f>_xlfn.CONCAT(B26,", ",C19,", ",C14)</f>
        <v>ATL (1), ATM (4), RI (1), ParticipantsOpen (15), Sponsor (1)</v>
      </c>
      <c r="C35" s="16" t="s">
        <v>1341</v>
      </c>
      <c r="D35" s="16">
        <v>1</v>
      </c>
    </row>
    <row r="36" spans="1:4">
      <c r="A36" s="16" t="s">
        <v>718</v>
      </c>
      <c r="B36" s="78" t="str">
        <f>_xlfn.CONCAT(B26,", ",C9)</f>
        <v>ATL (1), ATM (4), RI (1), OT (1)</v>
      </c>
      <c r="C36" s="16" t="s">
        <v>598</v>
      </c>
      <c r="D36" s="16">
        <v>1</v>
      </c>
    </row>
    <row r="37" spans="1:4">
      <c r="A37" s="16" t="s">
        <v>1342</v>
      </c>
      <c r="B37" s="78" t="str">
        <f>_xlfn.CONCAT(B26,", ",C11)</f>
        <v>ATL (1), ATM (4), RI (1), PMs (2)</v>
      </c>
      <c r="C37" s="16" t="s">
        <v>598</v>
      </c>
      <c r="D37" s="16">
        <v>3</v>
      </c>
    </row>
    <row r="38" spans="1:4">
      <c r="A38" s="16" t="s">
        <v>717</v>
      </c>
      <c r="B38" s="78" t="str">
        <f>_xlfn.CONCAT(B26,", ",C12)</f>
        <v>ATL (1), ATM (4), RI (1), PQA (1)</v>
      </c>
      <c r="C38" s="16" t="s">
        <v>598</v>
      </c>
      <c r="D38" s="16">
        <v>1</v>
      </c>
    </row>
    <row r="39" spans="1:4">
      <c r="A39" s="16" t="s">
        <v>1343</v>
      </c>
      <c r="B39" s="78" t="str">
        <f>_xlfn.CONCAT(B26,", ",C16)</f>
        <v>ATL (1), ATM (4), RI (1), ParticipantsPrelim1 (5)</v>
      </c>
      <c r="C39" s="16" t="s">
        <v>720</v>
      </c>
      <c r="D39" s="16">
        <v>1</v>
      </c>
    </row>
    <row r="40" spans="1:4">
      <c r="A40" s="16" t="s">
        <v>1344</v>
      </c>
      <c r="B40" s="78" t="str">
        <f>_xlfn.CONCAT(B26,", ",C17)</f>
        <v>ATL (1), ATM (4), RI (1), ParticipantsPrelim2 (6)</v>
      </c>
      <c r="C40" s="16" t="s">
        <v>720</v>
      </c>
      <c r="D40" s="16">
        <v>1</v>
      </c>
    </row>
    <row r="41" spans="1:4">
      <c r="A41" s="16" t="s">
        <v>1345</v>
      </c>
      <c r="B41" s="78" t="str">
        <f>_xlfn.CONCAT(C4,", ","ATM(2)",", ",C15)</f>
        <v>ATL (1), ATM(2), RI (1)</v>
      </c>
      <c r="C41" s="16" t="s">
        <v>1346</v>
      </c>
      <c r="D41" s="16">
        <v>4</v>
      </c>
    </row>
    <row r="42" spans="1:4">
      <c r="A42" s="16" t="s">
        <v>1347</v>
      </c>
      <c r="B42" s="78" t="str">
        <f>B41</f>
        <v>ATL (1), ATM(2), RI (1)</v>
      </c>
      <c r="C42" s="16" t="s">
        <v>1346</v>
      </c>
      <c r="D42" s="16">
        <v>4</v>
      </c>
    </row>
    <row r="43" spans="1:4">
      <c r="A43" s="16" t="s">
        <v>1348</v>
      </c>
      <c r="B43" s="78" t="str">
        <f>_xlfn.CONCAT(B26)</f>
        <v>ATL (1), ATM (4), RI (1)</v>
      </c>
      <c r="C43" s="16" t="s">
        <v>1349</v>
      </c>
      <c r="D43" s="16">
        <v>4</v>
      </c>
    </row>
    <row r="44" spans="1:4">
      <c r="A44" s="16" t="s">
        <v>1350</v>
      </c>
      <c r="B44" s="78" t="str">
        <f>_xlfn.CONCAT(B26,", ",C13)</f>
        <v>ATL (1), ATM (4), RI (1), SM (1)</v>
      </c>
      <c r="C44" s="16" t="s">
        <v>598</v>
      </c>
      <c r="D44" s="16">
        <v>1</v>
      </c>
    </row>
    <row r="45" spans="1:4">
      <c r="A45" s="16" t="s">
        <v>1351</v>
      </c>
      <c r="B45" s="78" t="str">
        <f>_xlfn.CONCAT(B26,", ",C14)</f>
        <v>ATL (1), ATM (4), RI (1), Sponsor (1)</v>
      </c>
      <c r="C45" s="16" t="s">
        <v>1332</v>
      </c>
      <c r="D45" s="16">
        <v>5</v>
      </c>
    </row>
    <row r="46" spans="1:4">
      <c r="A46" s="16" t="s">
        <v>1352</v>
      </c>
      <c r="B46" s="78" t="str">
        <f>_xlfn.CONCAT("ATL(1), ATM(1), RI(1) ,","",C18)</f>
        <v>ATL(1), ATM(1), RI(1) ,ParticipantsTechTest (5)</v>
      </c>
      <c r="C46" s="16" t="s">
        <v>1352</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1276</v>
      </c>
      <c r="B1" t="s">
        <v>1259</v>
      </c>
      <c r="C1" s="245" t="s">
        <v>1260</v>
      </c>
      <c r="D1" t="s">
        <v>1277</v>
      </c>
      <c r="E1" t="s">
        <v>1278</v>
      </c>
      <c r="F1" s="245" t="s">
        <v>1263</v>
      </c>
      <c r="G1" s="245" t="s">
        <v>1264</v>
      </c>
      <c r="H1" t="s">
        <v>1279</v>
      </c>
      <c r="I1" t="s">
        <v>1280</v>
      </c>
      <c r="J1" t="s">
        <v>1281</v>
      </c>
      <c r="K1" t="s">
        <v>28</v>
      </c>
      <c r="L1" t="s">
        <v>29</v>
      </c>
      <c r="M1" t="s">
        <v>30</v>
      </c>
      <c r="N1" t="s">
        <v>31</v>
      </c>
      <c r="O1" t="s">
        <v>32</v>
      </c>
      <c r="P1" t="s">
        <v>17</v>
      </c>
    </row>
    <row r="2" spans="1:16">
      <c r="A2" t="s">
        <v>1299</v>
      </c>
      <c r="B2" t="s">
        <v>1283</v>
      </c>
      <c r="C2">
        <v>1</v>
      </c>
      <c r="D2" t="s">
        <v>1465</v>
      </c>
      <c r="E2" t="s">
        <v>385</v>
      </c>
      <c r="H2" t="s">
        <v>1297</v>
      </c>
      <c r="I2" t="s">
        <v>385</v>
      </c>
      <c r="J2" t="s">
        <v>1489</v>
      </c>
      <c r="K2" t="s">
        <v>1516</v>
      </c>
      <c r="L2" t="s">
        <v>1515</v>
      </c>
      <c r="M2" t="s">
        <v>1508</v>
      </c>
      <c r="N2" t="s">
        <v>1509</v>
      </c>
      <c r="O2" t="s">
        <v>1520</v>
      </c>
      <c r="P2" t="s">
        <v>18</v>
      </c>
    </row>
    <row r="3" spans="1:16">
      <c r="A3" t="s">
        <v>1300</v>
      </c>
      <c r="B3" t="s">
        <v>1283</v>
      </c>
      <c r="C3">
        <v>2</v>
      </c>
      <c r="D3" t="s">
        <v>1466</v>
      </c>
      <c r="E3" t="s">
        <v>385</v>
      </c>
      <c r="H3" t="s">
        <v>1297</v>
      </c>
      <c r="I3" t="s">
        <v>385</v>
      </c>
      <c r="J3" t="s">
        <v>1490</v>
      </c>
      <c r="K3" t="s">
        <v>1516</v>
      </c>
      <c r="L3" t="s">
        <v>1515</v>
      </c>
      <c r="M3" t="s">
        <v>1508</v>
      </c>
      <c r="N3" t="s">
        <v>1509</v>
      </c>
      <c r="O3" t="s">
        <v>1520</v>
      </c>
      <c r="P3" t="s">
        <v>18</v>
      </c>
    </row>
    <row r="4" spans="1:16">
      <c r="A4" t="s">
        <v>1301</v>
      </c>
      <c r="B4" t="s">
        <v>1283</v>
      </c>
      <c r="C4">
        <v>1</v>
      </c>
      <c r="D4" t="s">
        <v>1467</v>
      </c>
      <c r="E4" t="s">
        <v>385</v>
      </c>
      <c r="H4" t="s">
        <v>1297</v>
      </c>
      <c r="I4" t="s">
        <v>385</v>
      </c>
      <c r="J4" t="s">
        <v>1491</v>
      </c>
      <c r="K4" t="s">
        <v>1516</v>
      </c>
      <c r="L4" t="s">
        <v>1515</v>
      </c>
      <c r="M4" t="s">
        <v>1508</v>
      </c>
      <c r="N4" t="s">
        <v>1509</v>
      </c>
      <c r="O4" t="s">
        <v>1520</v>
      </c>
      <c r="P4" t="s">
        <v>18</v>
      </c>
    </row>
    <row r="5" spans="1:16">
      <c r="A5" t="s">
        <v>1302</v>
      </c>
      <c r="B5" t="s">
        <v>1283</v>
      </c>
      <c r="C5">
        <v>1</v>
      </c>
      <c r="D5" t="s">
        <v>1468</v>
      </c>
      <c r="E5" t="s">
        <v>385</v>
      </c>
      <c r="H5" t="s">
        <v>1297</v>
      </c>
      <c r="I5" t="s">
        <v>385</v>
      </c>
      <c r="J5" t="s">
        <v>1492</v>
      </c>
      <c r="K5" t="s">
        <v>1516</v>
      </c>
      <c r="L5" t="s">
        <v>1515</v>
      </c>
      <c r="M5" t="s">
        <v>1508</v>
      </c>
      <c r="N5" t="s">
        <v>1509</v>
      </c>
      <c r="O5" t="s">
        <v>1520</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1759</v>
      </c>
      <c r="B1" s="408" t="s">
        <v>1276</v>
      </c>
      <c r="C1" s="408" t="s">
        <v>1259</v>
      </c>
      <c r="D1" s="408" t="s">
        <v>1260</v>
      </c>
      <c r="E1" s="408" t="s">
        <v>1760</v>
      </c>
      <c r="F1" s="408" t="s">
        <v>1278</v>
      </c>
      <c r="G1" s="408" t="s">
        <v>1263</v>
      </c>
      <c r="H1" s="408" t="s">
        <v>1264</v>
      </c>
      <c r="I1" s="408" t="s">
        <v>1280</v>
      </c>
      <c r="J1" s="408" t="s">
        <v>1761</v>
      </c>
      <c r="K1" s="408" t="s">
        <v>1762</v>
      </c>
      <c r="L1" s="408" t="s">
        <v>28</v>
      </c>
      <c r="M1" s="408" t="s">
        <v>29</v>
      </c>
      <c r="N1" s="408" t="s">
        <v>30</v>
      </c>
      <c r="O1" s="408" t="s">
        <v>31</v>
      </c>
      <c r="P1" s="408" t="s">
        <v>32</v>
      </c>
      <c r="Q1" s="408" t="s">
        <v>1763</v>
      </c>
      <c r="R1" s="408" t="s">
        <v>1764</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604</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604</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604</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604</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604</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604</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604</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604</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604</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604</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604</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604</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604</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604</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1258</v>
      </c>
      <c r="B1" t="s">
        <v>1259</v>
      </c>
      <c r="C1" s="245" t="s">
        <v>1260</v>
      </c>
      <c r="D1" t="s">
        <v>1261</v>
      </c>
      <c r="E1" t="s">
        <v>1262</v>
      </c>
      <c r="F1" s="245" t="s">
        <v>1263</v>
      </c>
      <c r="G1" s="245" t="s">
        <v>1264</v>
      </c>
      <c r="H1" t="s">
        <v>1265</v>
      </c>
      <c r="I1" s="245" t="s">
        <v>1266</v>
      </c>
      <c r="J1" s="245" t="s">
        <v>1267</v>
      </c>
      <c r="K1" s="245" t="s">
        <v>1268</v>
      </c>
      <c r="L1" s="245" t="s">
        <v>1269</v>
      </c>
      <c r="M1" t="s">
        <v>1270</v>
      </c>
      <c r="N1" s="245" t="s">
        <v>1271</v>
      </c>
      <c r="O1" t="s">
        <v>1272</v>
      </c>
      <c r="P1" t="s">
        <v>29</v>
      </c>
      <c r="Q1" t="s">
        <v>1273</v>
      </c>
      <c r="R1" t="s">
        <v>31</v>
      </c>
      <c r="S1" t="s">
        <v>32</v>
      </c>
      <c r="T1" t="s">
        <v>1274</v>
      </c>
    </row>
    <row r="2" spans="1:20" ht="24" customHeight="1">
      <c r="A2" t="s">
        <v>1711</v>
      </c>
      <c r="C2">
        <v>5</v>
      </c>
      <c r="D2" t="s">
        <v>1714</v>
      </c>
      <c r="E2" t="s">
        <v>385</v>
      </c>
      <c r="H2" t="s">
        <v>1297</v>
      </c>
      <c r="I2" t="s">
        <v>1286</v>
      </c>
      <c r="J2" t="s">
        <v>1102</v>
      </c>
      <c r="K2" s="271">
        <v>44021</v>
      </c>
      <c r="L2" s="271">
        <v>44260</v>
      </c>
      <c r="M2" t="s">
        <v>385</v>
      </c>
      <c r="N2" t="s">
        <v>1473</v>
      </c>
      <c r="O2" t="s">
        <v>1516</v>
      </c>
      <c r="P2" t="s">
        <v>1515</v>
      </c>
      <c r="Q2" t="s">
        <v>1508</v>
      </c>
      <c r="R2" t="s">
        <v>1509</v>
      </c>
      <c r="S2" t="s">
        <v>1520</v>
      </c>
      <c r="T2" t="s">
        <v>18</v>
      </c>
    </row>
    <row r="3" spans="1:20" ht="24" customHeight="1">
      <c r="A3" t="s">
        <v>1710</v>
      </c>
      <c r="C3">
        <v>5</v>
      </c>
      <c r="D3" t="s">
        <v>1715</v>
      </c>
      <c r="E3" t="s">
        <v>385</v>
      </c>
      <c r="H3" t="s">
        <v>1297</v>
      </c>
      <c r="I3" t="s">
        <v>1286</v>
      </c>
      <c r="J3" t="s">
        <v>1102</v>
      </c>
      <c r="K3" s="271">
        <v>44086</v>
      </c>
      <c r="L3" s="271">
        <v>44258</v>
      </c>
      <c r="M3" t="s">
        <v>385</v>
      </c>
      <c r="N3" t="s">
        <v>1478</v>
      </c>
      <c r="O3" t="s">
        <v>1516</v>
      </c>
      <c r="P3" t="s">
        <v>1515</v>
      </c>
      <c r="Q3" t="s">
        <v>1508</v>
      </c>
      <c r="R3" t="s">
        <v>1509</v>
      </c>
      <c r="S3" t="s">
        <v>1520</v>
      </c>
      <c r="T3" t="s">
        <v>18</v>
      </c>
    </row>
    <row r="4" spans="1:20" ht="24" customHeight="1">
      <c r="A4" t="s">
        <v>1709</v>
      </c>
      <c r="C4">
        <v>5</v>
      </c>
      <c r="D4" t="s">
        <v>1716</v>
      </c>
      <c r="E4" t="s">
        <v>385</v>
      </c>
      <c r="H4" t="s">
        <v>1297</v>
      </c>
      <c r="I4" t="s">
        <v>1286</v>
      </c>
      <c r="J4" t="s">
        <v>1102</v>
      </c>
      <c r="K4" s="271">
        <v>44062</v>
      </c>
      <c r="L4" s="271">
        <v>44247</v>
      </c>
      <c r="M4" t="s">
        <v>385</v>
      </c>
      <c r="N4" t="s">
        <v>1483</v>
      </c>
      <c r="O4" t="s">
        <v>1516</v>
      </c>
      <c r="P4" t="s">
        <v>1515</v>
      </c>
      <c r="Q4" t="s">
        <v>1508</v>
      </c>
      <c r="R4" t="s">
        <v>1509</v>
      </c>
      <c r="S4" t="s">
        <v>1520</v>
      </c>
      <c r="T4" t="s">
        <v>18</v>
      </c>
    </row>
    <row r="5" spans="1:20" ht="24" customHeight="1">
      <c r="A5" t="s">
        <v>1708</v>
      </c>
      <c r="C5">
        <v>5</v>
      </c>
      <c r="D5" t="s">
        <v>1717</v>
      </c>
      <c r="E5" t="s">
        <v>385</v>
      </c>
      <c r="H5" t="s">
        <v>1297</v>
      </c>
      <c r="I5" t="s">
        <v>1286</v>
      </c>
      <c r="J5" t="s">
        <v>1102</v>
      </c>
      <c r="K5" s="271">
        <v>44116</v>
      </c>
      <c r="L5" s="271">
        <v>44265</v>
      </c>
      <c r="M5" t="s">
        <v>385</v>
      </c>
      <c r="N5" t="s">
        <v>1488</v>
      </c>
      <c r="O5" t="s">
        <v>1516</v>
      </c>
      <c r="P5" t="s">
        <v>1515</v>
      </c>
      <c r="Q5" t="s">
        <v>1508</v>
      </c>
      <c r="R5" t="s">
        <v>1509</v>
      </c>
      <c r="S5" t="s">
        <v>1520</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1765</v>
      </c>
      <c r="B1" s="407" t="s">
        <v>1766</v>
      </c>
      <c r="C1" s="407" t="s">
        <v>1259</v>
      </c>
      <c r="D1" s="407" t="s">
        <v>1260</v>
      </c>
      <c r="E1" s="407" t="s">
        <v>1767</v>
      </c>
      <c r="F1" s="407" t="s">
        <v>1262</v>
      </c>
      <c r="G1" s="407" t="s">
        <v>1263</v>
      </c>
      <c r="H1" s="407" t="s">
        <v>1264</v>
      </c>
      <c r="I1" s="407" t="s">
        <v>1768</v>
      </c>
      <c r="J1" s="407" t="s">
        <v>1769</v>
      </c>
      <c r="K1" s="407" t="s">
        <v>1770</v>
      </c>
      <c r="L1" s="407" t="s">
        <v>1270</v>
      </c>
      <c r="M1" s="407" t="s">
        <v>1771</v>
      </c>
      <c r="N1" s="407" t="s">
        <v>1762</v>
      </c>
      <c r="O1" s="407" t="s">
        <v>1272</v>
      </c>
      <c r="P1" s="407" t="s">
        <v>29</v>
      </c>
      <c r="Q1" s="407" t="s">
        <v>1273</v>
      </c>
      <c r="R1" s="407" t="s">
        <v>31</v>
      </c>
      <c r="S1" s="407" t="s">
        <v>32</v>
      </c>
      <c r="T1" s="407" t="s">
        <v>1772</v>
      </c>
      <c r="U1" s="407" t="s">
        <v>1764</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604</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604</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604</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604</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604</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604</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604</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604</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604</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604</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604</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604</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604</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604</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1236</v>
      </c>
      <c r="B1" t="s">
        <v>1237</v>
      </c>
      <c r="C1" t="s">
        <v>1238</v>
      </c>
    </row>
    <row r="2" spans="1:3">
      <c r="A2" t="s">
        <v>1471</v>
      </c>
      <c r="B2" t="s">
        <v>1107</v>
      </c>
      <c r="C2" t="s">
        <v>1297</v>
      </c>
    </row>
    <row r="3" spans="1:3">
      <c r="A3" t="s">
        <v>1470</v>
      </c>
      <c r="B3" t="s">
        <v>874</v>
      </c>
      <c r="C3" t="s">
        <v>1297</v>
      </c>
    </row>
    <row r="4" spans="1:3">
      <c r="A4" t="s">
        <v>1474</v>
      </c>
      <c r="B4" t="s">
        <v>873</v>
      </c>
      <c r="C4" t="s">
        <v>1297</v>
      </c>
    </row>
    <row r="5" spans="1:3">
      <c r="A5" t="s">
        <v>1476</v>
      </c>
      <c r="B5" t="s">
        <v>1107</v>
      </c>
      <c r="C5" t="s">
        <v>1297</v>
      </c>
    </row>
    <row r="6" spans="1:3">
      <c r="A6" t="s">
        <v>1483</v>
      </c>
      <c r="B6" t="s">
        <v>1308</v>
      </c>
      <c r="C6" t="s">
        <v>1297</v>
      </c>
    </row>
    <row r="7" spans="1:3">
      <c r="A7" t="s">
        <v>1488</v>
      </c>
      <c r="B7" t="s">
        <v>1308</v>
      </c>
      <c r="C7" t="s">
        <v>1297</v>
      </c>
    </row>
    <row r="8" spans="1:3">
      <c r="A8" t="s">
        <v>1489</v>
      </c>
      <c r="B8" t="s">
        <v>1307</v>
      </c>
      <c r="C8" t="s">
        <v>1297</v>
      </c>
    </row>
    <row r="9" spans="1:3">
      <c r="A9" t="s">
        <v>1490</v>
      </c>
      <c r="B9" t="s">
        <v>1309</v>
      </c>
      <c r="C9" t="s">
        <v>1297</v>
      </c>
    </row>
    <row r="10" spans="1:3">
      <c r="A10" t="s">
        <v>1491</v>
      </c>
      <c r="B10" t="s">
        <v>1306</v>
      </c>
      <c r="C10" t="s">
        <v>1297</v>
      </c>
    </row>
    <row r="11" spans="1:3">
      <c r="A11" t="s">
        <v>1492</v>
      </c>
      <c r="B11" t="s">
        <v>1190</v>
      </c>
      <c r="C11" t="s">
        <v>1297</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883</v>
      </c>
      <c r="B1" t="s">
        <v>1461</v>
      </c>
      <c r="C1" t="s">
        <v>1462</v>
      </c>
      <c r="D1" t="s">
        <v>1463</v>
      </c>
      <c r="E1" t="s">
        <v>1464</v>
      </c>
      <c r="F1" t="s">
        <v>1299</v>
      </c>
      <c r="G1" t="s">
        <v>1300</v>
      </c>
      <c r="H1" t="s">
        <v>1301</v>
      </c>
      <c r="I1" t="s">
        <v>1302</v>
      </c>
    </row>
    <row r="2" spans="1:9">
      <c r="A2" t="s">
        <v>1471</v>
      </c>
      <c r="B2" t="s">
        <v>1255</v>
      </c>
    </row>
    <row r="3" spans="1:9">
      <c r="A3" t="s">
        <v>1470</v>
      </c>
      <c r="B3" t="s">
        <v>1255</v>
      </c>
    </row>
    <row r="4" spans="1:9">
      <c r="A4" t="s">
        <v>1474</v>
      </c>
      <c r="C4" t="s">
        <v>1255</v>
      </c>
    </row>
    <row r="5" spans="1:9">
      <c r="A5" t="s">
        <v>1476</v>
      </c>
      <c r="C5" t="s">
        <v>1255</v>
      </c>
    </row>
    <row r="6" spans="1:9">
      <c r="A6" t="s">
        <v>1483</v>
      </c>
      <c r="D6" t="s">
        <v>1255</v>
      </c>
    </row>
    <row r="7" spans="1:9">
      <c r="A7" t="s">
        <v>1488</v>
      </c>
      <c r="E7" t="s">
        <v>1255</v>
      </c>
    </row>
    <row r="8" spans="1:9">
      <c r="A8" t="s">
        <v>1489</v>
      </c>
      <c r="F8" t="s">
        <v>1255</v>
      </c>
    </row>
    <row r="9" spans="1:9">
      <c r="A9" t="s">
        <v>1490</v>
      </c>
      <c r="G9" t="s">
        <v>1255</v>
      </c>
    </row>
    <row r="10" spans="1:9">
      <c r="A10" t="s">
        <v>1491</v>
      </c>
      <c r="H10" t="s">
        <v>1255</v>
      </c>
    </row>
    <row r="11" spans="1:9">
      <c r="A11" t="s">
        <v>1492</v>
      </c>
      <c r="I11" t="s">
        <v>1255</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883</v>
      </c>
      <c r="B1" t="s">
        <v>847</v>
      </c>
      <c r="C1" t="s">
        <v>798</v>
      </c>
      <c r="D1" t="s">
        <v>848</v>
      </c>
      <c r="E1" t="s">
        <v>846</v>
      </c>
      <c r="F1" t="s">
        <v>845</v>
      </c>
      <c r="G1" t="s">
        <v>844</v>
      </c>
      <c r="H1" t="s">
        <v>853</v>
      </c>
      <c r="I1" t="s">
        <v>855</v>
      </c>
      <c r="J1" t="s">
        <v>854</v>
      </c>
      <c r="K1" t="s">
        <v>852</v>
      </c>
      <c r="L1" t="s">
        <v>718</v>
      </c>
      <c r="M1" t="s">
        <v>856</v>
      </c>
      <c r="N1" t="s">
        <v>857</v>
      </c>
      <c r="O1" t="s">
        <v>716</v>
      </c>
      <c r="P1" t="s">
        <v>851</v>
      </c>
      <c r="Q1" t="s">
        <v>850</v>
      </c>
      <c r="R1" t="s">
        <v>849</v>
      </c>
      <c r="S1" t="s">
        <v>871</v>
      </c>
      <c r="T1" t="s">
        <v>872</v>
      </c>
    </row>
    <row r="2" spans="1:20">
      <c r="A2" t="s">
        <v>1471</v>
      </c>
      <c r="D2" t="s">
        <v>1255</v>
      </c>
      <c r="E2" t="s">
        <v>1255</v>
      </c>
      <c r="F2" t="s">
        <v>1255</v>
      </c>
      <c r="G2" t="s">
        <v>1255</v>
      </c>
    </row>
    <row r="3" spans="1:20">
      <c r="A3" t="s">
        <v>1470</v>
      </c>
      <c r="E3" t="s">
        <v>1255</v>
      </c>
      <c r="F3" t="s">
        <v>1255</v>
      </c>
    </row>
    <row r="4" spans="1:20">
      <c r="A4" t="s">
        <v>1474</v>
      </c>
      <c r="B4" t="s">
        <v>1255</v>
      </c>
      <c r="E4" t="s">
        <v>1255</v>
      </c>
    </row>
    <row r="5" spans="1:20">
      <c r="A5" t="s">
        <v>1476</v>
      </c>
      <c r="D5" t="s">
        <v>1255</v>
      </c>
      <c r="E5" t="s">
        <v>1255</v>
      </c>
      <c r="F5" t="s">
        <v>1255</v>
      </c>
      <c r="G5" t="s">
        <v>1255</v>
      </c>
    </row>
    <row r="6" spans="1:20">
      <c r="A6" t="s">
        <v>1483</v>
      </c>
      <c r="E6" t="s">
        <v>1255</v>
      </c>
      <c r="H6" t="s">
        <v>1255</v>
      </c>
      <c r="I6" t="s">
        <v>1255</v>
      </c>
      <c r="J6" t="s">
        <v>1255</v>
      </c>
      <c r="K6" t="s">
        <v>1255</v>
      </c>
      <c r="M6" t="s">
        <v>1255</v>
      </c>
      <c r="N6" t="s">
        <v>1255</v>
      </c>
    </row>
    <row r="7" spans="1:20">
      <c r="A7" t="s">
        <v>1488</v>
      </c>
      <c r="E7" t="s">
        <v>1255</v>
      </c>
      <c r="H7" t="s">
        <v>1255</v>
      </c>
      <c r="I7" t="s">
        <v>1255</v>
      </c>
      <c r="J7" t="s">
        <v>1255</v>
      </c>
      <c r="K7" t="s">
        <v>1255</v>
      </c>
      <c r="M7" t="s">
        <v>1255</v>
      </c>
      <c r="N7" t="s">
        <v>1255</v>
      </c>
    </row>
    <row r="8" spans="1:20">
      <c r="A8" t="s">
        <v>1489</v>
      </c>
      <c r="O8" t="s">
        <v>1255</v>
      </c>
    </row>
    <row r="9" spans="1:20">
      <c r="A9" t="s">
        <v>1490</v>
      </c>
      <c r="M9" t="s">
        <v>1255</v>
      </c>
      <c r="N9" t="s">
        <v>1255</v>
      </c>
      <c r="P9" t="s">
        <v>1255</v>
      </c>
      <c r="Q9" t="s">
        <v>1255</v>
      </c>
      <c r="R9" t="s">
        <v>1255</v>
      </c>
    </row>
    <row r="10" spans="1:20">
      <c r="A10" t="s">
        <v>1491</v>
      </c>
      <c r="L10" t="s">
        <v>1255</v>
      </c>
    </row>
    <row r="11" spans="1:20">
      <c r="A11" t="s">
        <v>1492</v>
      </c>
      <c r="C11" t="s">
        <v>1255</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5" t="s">
        <v>1041</v>
      </c>
      <c r="C2" s="535" t="s">
        <v>1042</v>
      </c>
      <c r="D2" s="526" t="s">
        <v>1043</v>
      </c>
      <c r="E2" s="528"/>
      <c r="F2" s="529" t="s">
        <v>1044</v>
      </c>
      <c r="G2" s="531"/>
      <c r="H2" s="526" t="s">
        <v>1045</v>
      </c>
      <c r="I2" s="527"/>
      <c r="J2" s="527"/>
      <c r="K2" s="528"/>
      <c r="L2" s="529" t="s">
        <v>1046</v>
      </c>
      <c r="M2" s="530"/>
      <c r="N2" s="531"/>
      <c r="O2" s="179" t="s">
        <v>1047</v>
      </c>
      <c r="P2" s="180" t="s">
        <v>1048</v>
      </c>
      <c r="Q2" s="526" t="s">
        <v>1049</v>
      </c>
      <c r="R2" s="527"/>
      <c r="S2" s="528"/>
      <c r="T2" s="529" t="s">
        <v>1050</v>
      </c>
      <c r="U2" s="530"/>
      <c r="V2" s="531"/>
      <c r="W2" s="176" t="s">
        <v>1051</v>
      </c>
    </row>
    <row r="3" spans="2:28" ht="15.6">
      <c r="B3" s="536"/>
      <c r="C3" s="536"/>
      <c r="D3" s="181" t="s">
        <v>871</v>
      </c>
      <c r="E3" s="181" t="s">
        <v>872</v>
      </c>
      <c r="F3" s="182" t="s">
        <v>845</v>
      </c>
      <c r="G3" s="182" t="s">
        <v>844</v>
      </c>
      <c r="H3" s="181" t="s">
        <v>846</v>
      </c>
      <c r="I3" s="181" t="s">
        <v>848</v>
      </c>
      <c r="J3" s="181" t="s">
        <v>798</v>
      </c>
      <c r="K3" s="181" t="s">
        <v>847</v>
      </c>
      <c r="L3" s="182" t="s">
        <v>851</v>
      </c>
      <c r="M3" s="182" t="s">
        <v>850</v>
      </c>
      <c r="N3" s="182" t="s">
        <v>849</v>
      </c>
      <c r="O3" s="181" t="s">
        <v>852</v>
      </c>
      <c r="P3" s="182" t="s">
        <v>718</v>
      </c>
      <c r="Q3" s="181" t="s">
        <v>854</v>
      </c>
      <c r="R3" s="181" t="s">
        <v>855</v>
      </c>
      <c r="S3" s="181" t="s">
        <v>853</v>
      </c>
      <c r="T3" s="182" t="s">
        <v>856</v>
      </c>
      <c r="U3" s="182" t="s">
        <v>857</v>
      </c>
      <c r="V3" s="182" t="s">
        <v>716</v>
      </c>
      <c r="W3" s="176" t="s">
        <v>858</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2" t="s">
        <v>1052</v>
      </c>
      <c r="C5" s="183"/>
      <c r="D5" s="248"/>
      <c r="E5" s="248"/>
      <c r="F5" s="248"/>
      <c r="G5" s="248"/>
      <c r="H5" s="248"/>
      <c r="I5" s="248"/>
      <c r="J5" s="248"/>
      <c r="K5" s="248"/>
      <c r="L5" s="248"/>
      <c r="M5" s="248"/>
      <c r="N5" s="248"/>
      <c r="O5" s="248"/>
      <c r="P5" s="248"/>
      <c r="Q5" s="248"/>
      <c r="R5" s="248"/>
      <c r="S5" s="248"/>
      <c r="T5" s="248"/>
      <c r="U5" s="248"/>
      <c r="V5" s="248"/>
      <c r="W5" s="166" t="s">
        <v>1057</v>
      </c>
      <c r="Z5" s="388" t="s">
        <v>1604</v>
      </c>
    </row>
    <row r="6" spans="2:28" ht="15" customHeight="1">
      <c r="B6" s="533"/>
      <c r="C6" s="182">
        <v>1.1000000000000001</v>
      </c>
      <c r="D6" s="249"/>
      <c r="E6" s="249"/>
      <c r="F6" s="249"/>
      <c r="G6" s="249"/>
      <c r="H6" s="249"/>
      <c r="I6" s="249"/>
      <c r="J6" s="249"/>
      <c r="K6" s="249"/>
      <c r="L6" s="249"/>
      <c r="M6" s="249"/>
      <c r="N6" s="249"/>
      <c r="O6" s="249"/>
      <c r="P6" s="249"/>
      <c r="Q6" s="249"/>
      <c r="R6" s="249"/>
      <c r="S6" s="249"/>
      <c r="T6" s="249"/>
      <c r="U6" s="249"/>
      <c r="V6" s="249"/>
      <c r="W6" s="166" t="s">
        <v>1055</v>
      </c>
    </row>
    <row r="7" spans="2:28" ht="15" customHeight="1">
      <c r="B7" s="533"/>
      <c r="C7" s="182">
        <v>1.2</v>
      </c>
      <c r="D7" s="249"/>
      <c r="E7" s="249"/>
      <c r="F7" s="249"/>
      <c r="G7" s="249"/>
      <c r="H7" s="249"/>
      <c r="I7" s="249"/>
      <c r="J7" s="249"/>
      <c r="K7" s="249"/>
      <c r="L7" s="249"/>
      <c r="M7" s="249"/>
      <c r="N7" s="249"/>
      <c r="O7" s="249"/>
      <c r="P7" s="249"/>
      <c r="Q7" s="249"/>
      <c r="R7" s="249"/>
      <c r="S7" s="249"/>
      <c r="T7" s="249"/>
      <c r="U7" s="249"/>
      <c r="V7" s="249"/>
      <c r="W7" s="166" t="s">
        <v>875</v>
      </c>
      <c r="Z7" s="8" t="s">
        <v>1602</v>
      </c>
      <c r="AB7" s="387" t="s">
        <v>1056</v>
      </c>
    </row>
    <row r="8" spans="2:28" ht="15" customHeight="1">
      <c r="B8" s="534"/>
      <c r="C8" s="182">
        <v>1.3</v>
      </c>
      <c r="D8" s="249"/>
      <c r="E8" s="249"/>
      <c r="F8" s="249"/>
      <c r="G8" s="249"/>
      <c r="H8" s="249"/>
      <c r="I8" s="249"/>
      <c r="J8" s="249"/>
      <c r="K8" s="249"/>
      <c r="L8" s="249"/>
      <c r="M8" s="249"/>
      <c r="N8" s="249"/>
      <c r="O8" s="249"/>
      <c r="P8" s="249"/>
      <c r="Q8" s="249"/>
      <c r="R8" s="249"/>
      <c r="S8" s="249"/>
      <c r="T8" s="249"/>
      <c r="U8" s="249"/>
      <c r="V8" s="249"/>
      <c r="W8" s="166" t="s">
        <v>1054</v>
      </c>
      <c r="Z8" s="8" t="s">
        <v>1603</v>
      </c>
      <c r="AB8" s="387" t="s">
        <v>1057</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1054</v>
      </c>
    </row>
    <row r="10" spans="2:28" ht="15" customHeight="1">
      <c r="B10" s="532" t="s">
        <v>1058</v>
      </c>
      <c r="C10" s="183"/>
      <c r="D10" s="247"/>
      <c r="E10" s="247"/>
      <c r="F10" s="247"/>
      <c r="G10" s="247"/>
      <c r="H10" s="247"/>
      <c r="I10" s="247"/>
      <c r="J10" s="247"/>
      <c r="K10" s="247"/>
      <c r="L10" s="247"/>
      <c r="M10" s="247"/>
      <c r="N10" s="247"/>
      <c r="O10" s="247"/>
      <c r="P10" s="247"/>
      <c r="Q10" s="247"/>
      <c r="R10" s="247"/>
      <c r="S10" s="247"/>
      <c r="T10" s="247"/>
      <c r="U10" s="247"/>
      <c r="V10" s="247"/>
      <c r="W10" s="177"/>
      <c r="Z10" s="388" t="s">
        <v>1610</v>
      </c>
    </row>
    <row r="11" spans="2:28" ht="15" customHeight="1">
      <c r="B11" s="533"/>
      <c r="C11" s="182">
        <v>2.1</v>
      </c>
      <c r="D11" s="183"/>
      <c r="E11" s="183"/>
      <c r="F11" s="183"/>
      <c r="G11" s="183"/>
      <c r="H11" s="183"/>
      <c r="I11" s="362" t="s">
        <v>1542</v>
      </c>
      <c r="J11" s="183"/>
      <c r="K11" s="183"/>
      <c r="L11" s="183"/>
      <c r="M11" s="183"/>
      <c r="N11" s="183"/>
      <c r="O11" s="183"/>
      <c r="P11" s="183"/>
      <c r="Q11" s="183"/>
      <c r="R11" s="183"/>
      <c r="S11" s="183"/>
      <c r="T11" s="183"/>
      <c r="U11" s="183"/>
      <c r="V11" s="183"/>
      <c r="W11" s="166"/>
    </row>
    <row r="12" spans="2:28" ht="15" customHeight="1">
      <c r="B12" s="533"/>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1055</v>
      </c>
      <c r="Z12" s="8" t="s">
        <v>1605</v>
      </c>
      <c r="AB12" s="386" t="s">
        <v>1053</v>
      </c>
    </row>
    <row r="13" spans="2:28" ht="15" customHeight="1">
      <c r="B13" s="533"/>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1055</v>
      </c>
      <c r="Z13" s="8" t="s">
        <v>1606</v>
      </c>
      <c r="AB13" s="386" t="s">
        <v>1054</v>
      </c>
    </row>
    <row r="14" spans="2:28" ht="15" customHeight="1">
      <c r="B14" s="533"/>
      <c r="C14" s="182">
        <v>2.4</v>
      </c>
      <c r="D14" s="183"/>
      <c r="E14" s="183"/>
      <c r="F14" s="183"/>
      <c r="G14" s="183"/>
      <c r="H14" s="183"/>
      <c r="I14" s="183"/>
      <c r="J14" s="183"/>
      <c r="K14" s="183"/>
      <c r="L14" s="183"/>
      <c r="M14" s="183"/>
      <c r="N14" s="183"/>
      <c r="O14" s="183"/>
      <c r="P14" s="183"/>
      <c r="Q14" s="183"/>
      <c r="R14" s="183"/>
      <c r="S14" s="183"/>
      <c r="T14" s="183"/>
      <c r="U14" s="183"/>
      <c r="V14" s="183"/>
      <c r="W14" s="166" t="s">
        <v>1053</v>
      </c>
      <c r="Z14" s="8" t="s">
        <v>1607</v>
      </c>
      <c r="AB14" s="386" t="s">
        <v>875</v>
      </c>
    </row>
    <row r="15" spans="2:28" ht="15" customHeight="1">
      <c r="B15" s="533"/>
      <c r="C15" s="182">
        <v>2.5</v>
      </c>
      <c r="D15" s="183"/>
      <c r="E15" s="183"/>
      <c r="F15" s="183"/>
      <c r="G15" s="183"/>
      <c r="H15" s="183"/>
      <c r="I15" s="183"/>
      <c r="J15" s="183"/>
      <c r="K15" s="183"/>
      <c r="L15" s="183"/>
      <c r="M15" s="183"/>
      <c r="N15" s="183"/>
      <c r="O15" s="183"/>
      <c r="P15" s="183"/>
      <c r="Q15" s="183"/>
      <c r="R15" s="183"/>
      <c r="S15" s="183"/>
      <c r="T15" s="183"/>
      <c r="U15" s="183"/>
      <c r="V15" s="183"/>
      <c r="W15" s="166" t="s">
        <v>1054</v>
      </c>
      <c r="Z15" s="8" t="s">
        <v>1608</v>
      </c>
      <c r="AB15" s="386" t="s">
        <v>1055</v>
      </c>
    </row>
    <row r="16" spans="2:28" ht="15" customHeight="1">
      <c r="B16" s="533"/>
      <c r="C16" s="182">
        <v>2.6</v>
      </c>
      <c r="D16" s="183"/>
      <c r="E16" s="183"/>
      <c r="F16" s="183"/>
      <c r="G16" s="183"/>
      <c r="H16" s="183"/>
      <c r="I16" s="183"/>
      <c r="J16" s="183"/>
      <c r="K16" s="183"/>
      <c r="L16" s="183"/>
      <c r="M16" s="183"/>
      <c r="N16" s="183"/>
      <c r="O16" s="183"/>
      <c r="P16" s="183"/>
      <c r="Q16" s="183"/>
      <c r="R16" s="183"/>
      <c r="S16" s="183"/>
      <c r="T16" s="183"/>
      <c r="U16" s="183"/>
      <c r="V16" s="183"/>
      <c r="W16" s="166"/>
      <c r="Z16" s="8" t="s">
        <v>1609</v>
      </c>
      <c r="AB16" s="386" t="s">
        <v>1059</v>
      </c>
    </row>
    <row r="17" spans="2:23" ht="15" customHeight="1">
      <c r="B17" s="533"/>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4"/>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2" t="s">
        <v>1060</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3"/>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3"/>
      <c r="C22" s="182">
        <v>3.2</v>
      </c>
      <c r="D22" s="183"/>
      <c r="E22" s="183"/>
      <c r="F22" s="183"/>
      <c r="G22" s="183"/>
      <c r="H22" s="183"/>
      <c r="I22" s="183"/>
      <c r="J22" s="183"/>
      <c r="K22" s="183"/>
      <c r="L22" s="183"/>
      <c r="M22" s="183"/>
      <c r="N22" s="183"/>
      <c r="O22" s="183"/>
      <c r="P22" s="183"/>
      <c r="Q22" s="183"/>
      <c r="R22" s="183"/>
      <c r="S22" s="183"/>
      <c r="T22" s="183"/>
      <c r="U22" s="183"/>
      <c r="V22" s="183"/>
      <c r="W22" s="166" t="s">
        <v>1055</v>
      </c>
    </row>
    <row r="23" spans="2:23" ht="15.6">
      <c r="B23" s="533"/>
      <c r="C23" s="182">
        <v>3.3</v>
      </c>
      <c r="D23" s="183"/>
      <c r="E23" s="183"/>
      <c r="F23" s="183"/>
      <c r="G23" s="183"/>
      <c r="H23" s="183"/>
      <c r="I23" s="183"/>
      <c r="J23" s="183"/>
      <c r="K23" s="183"/>
      <c r="L23" s="183"/>
      <c r="M23" s="183"/>
      <c r="N23" s="183"/>
      <c r="O23" s="183"/>
      <c r="P23" s="183"/>
      <c r="Q23" s="183"/>
      <c r="R23" s="183"/>
      <c r="S23" s="183"/>
      <c r="T23" s="183"/>
      <c r="U23" s="183"/>
      <c r="V23" s="183"/>
      <c r="W23" s="166" t="s">
        <v>1055</v>
      </c>
    </row>
    <row r="24" spans="2:23" ht="15.6">
      <c r="B24" s="533"/>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3"/>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3"/>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4"/>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2" t="s">
        <v>1061</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3"/>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3"/>
      <c r="C31" s="182">
        <v>4.2</v>
      </c>
      <c r="D31" s="183"/>
      <c r="E31" s="183"/>
      <c r="F31" s="183"/>
      <c r="G31" s="183"/>
      <c r="H31" s="183"/>
      <c r="I31" s="183"/>
      <c r="J31" s="183"/>
      <c r="K31" s="183"/>
      <c r="L31" s="183"/>
      <c r="M31" s="183"/>
      <c r="N31" s="183"/>
      <c r="O31" s="183"/>
      <c r="P31" s="183"/>
      <c r="Q31" s="183"/>
      <c r="R31" s="183"/>
      <c r="S31" s="183"/>
      <c r="T31" s="183"/>
      <c r="U31" s="183"/>
      <c r="V31" s="183"/>
      <c r="W31" s="166" t="s">
        <v>1055</v>
      </c>
    </row>
    <row r="32" spans="2:23" ht="15.6">
      <c r="B32" s="533"/>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3"/>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4"/>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37" t="s">
        <v>1062</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37"/>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37"/>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37"/>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1068</v>
      </c>
      <c r="C47" s="8" t="s">
        <v>1068</v>
      </c>
      <c r="D47" s="8" t="s">
        <v>1068</v>
      </c>
      <c r="E47" s="8" t="s">
        <v>1068</v>
      </c>
      <c r="F47" s="8" t="s">
        <v>1068</v>
      </c>
      <c r="G47" s="8" t="s">
        <v>1068</v>
      </c>
      <c r="H47" s="8" t="s">
        <v>1068</v>
      </c>
      <c r="I47" s="8" t="s">
        <v>1068</v>
      </c>
      <c r="J47" s="8" t="s">
        <v>1068</v>
      </c>
      <c r="K47" s="8" t="s">
        <v>1068</v>
      </c>
      <c r="L47" s="8" t="s">
        <v>1068</v>
      </c>
      <c r="M47" s="8" t="s">
        <v>1068</v>
      </c>
      <c r="N47" s="8" t="s">
        <v>1068</v>
      </c>
      <c r="O47" s="8" t="s">
        <v>1068</v>
      </c>
      <c r="P47" s="8" t="s">
        <v>1068</v>
      </c>
      <c r="Q47" s="8" t="s">
        <v>1068</v>
      </c>
      <c r="R47" s="8" t="s">
        <v>1068</v>
      </c>
      <c r="S47" s="8" t="s">
        <v>1068</v>
      </c>
      <c r="T47" s="8" t="s">
        <v>1068</v>
      </c>
      <c r="U47" s="8" t="s">
        <v>1068</v>
      </c>
      <c r="V47" s="8" t="s">
        <v>1068</v>
      </c>
    </row>
    <row r="48" spans="2:23">
      <c r="W48" s="8" t="s">
        <v>1068</v>
      </c>
    </row>
    <row r="49" spans="2:28" ht="49.8">
      <c r="B49" s="538" t="s">
        <v>1041</v>
      </c>
      <c r="C49" s="538" t="s">
        <v>1042</v>
      </c>
      <c r="D49" s="539" t="s">
        <v>1043</v>
      </c>
      <c r="E49" s="539"/>
      <c r="F49" s="540" t="s">
        <v>1044</v>
      </c>
      <c r="G49" s="540"/>
      <c r="H49" s="539" t="s">
        <v>1045</v>
      </c>
      <c r="I49" s="539"/>
      <c r="J49" s="539"/>
      <c r="K49" s="539"/>
      <c r="L49" s="540" t="s">
        <v>1046</v>
      </c>
      <c r="M49" s="540"/>
      <c r="N49" s="540"/>
      <c r="O49" s="179" t="s">
        <v>1047</v>
      </c>
      <c r="P49" s="180" t="s">
        <v>1048</v>
      </c>
      <c r="Q49" s="539" t="s">
        <v>1049</v>
      </c>
      <c r="R49" s="539"/>
      <c r="S49" s="539"/>
      <c r="T49" s="540" t="s">
        <v>1050</v>
      </c>
      <c r="U49" s="540"/>
      <c r="V49" s="540"/>
    </row>
    <row r="50" spans="2:28" ht="93.6">
      <c r="B50" s="538"/>
      <c r="C50" s="538"/>
      <c r="D50" s="181" t="s">
        <v>871</v>
      </c>
      <c r="E50" s="181" t="s">
        <v>872</v>
      </c>
      <c r="F50" s="182" t="s">
        <v>845</v>
      </c>
      <c r="G50" s="182" t="s">
        <v>844</v>
      </c>
      <c r="H50" s="181" t="s">
        <v>846</v>
      </c>
      <c r="I50" s="181" t="s">
        <v>848</v>
      </c>
      <c r="J50" s="181" t="s">
        <v>798</v>
      </c>
      <c r="K50" s="181" t="s">
        <v>847</v>
      </c>
      <c r="L50" s="182" t="s">
        <v>851</v>
      </c>
      <c r="M50" s="182" t="s">
        <v>850</v>
      </c>
      <c r="N50" s="182" t="s">
        <v>849</v>
      </c>
      <c r="O50" s="181" t="s">
        <v>852</v>
      </c>
      <c r="P50" s="182" t="s">
        <v>718</v>
      </c>
      <c r="Q50" s="181" t="s">
        <v>854</v>
      </c>
      <c r="R50" s="181" t="s">
        <v>855</v>
      </c>
      <c r="S50" s="181" t="s">
        <v>853</v>
      </c>
      <c r="T50" s="182" t="s">
        <v>856</v>
      </c>
      <c r="U50" s="182" t="s">
        <v>857</v>
      </c>
      <c r="V50" s="182" t="s">
        <v>716</v>
      </c>
      <c r="W50" s="176" t="s">
        <v>1051</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858</v>
      </c>
    </row>
    <row r="52" spans="2:28" ht="12" customHeight="1">
      <c r="B52" s="532" t="s">
        <v>1052</v>
      </c>
      <c r="C52" s="183"/>
      <c r="D52" s="183" t="s">
        <v>1056</v>
      </c>
      <c r="E52" s="183" t="s">
        <v>1056</v>
      </c>
      <c r="F52" s="183" t="s">
        <v>1056</v>
      </c>
      <c r="G52" s="183" t="s">
        <v>1056</v>
      </c>
      <c r="H52" s="183" t="s">
        <v>1056</v>
      </c>
      <c r="I52" s="183" t="s">
        <v>1056</v>
      </c>
      <c r="J52" s="183" t="s">
        <v>1056</v>
      </c>
      <c r="K52" s="183" t="s">
        <v>1056</v>
      </c>
      <c r="L52" s="183" t="s">
        <v>1056</v>
      </c>
      <c r="M52" s="183" t="s">
        <v>1056</v>
      </c>
      <c r="N52" s="183" t="s">
        <v>1056</v>
      </c>
      <c r="O52" s="183" t="s">
        <v>1056</v>
      </c>
      <c r="P52" s="183" t="s">
        <v>1056</v>
      </c>
      <c r="Q52" s="183" t="s">
        <v>1056</v>
      </c>
      <c r="R52" s="183" t="s">
        <v>1056</v>
      </c>
      <c r="S52" s="183" t="s">
        <v>1056</v>
      </c>
      <c r="T52" s="183" t="s">
        <v>1056</v>
      </c>
      <c r="U52" s="183" t="s">
        <v>1056</v>
      </c>
      <c r="V52" s="183" t="s">
        <v>1056</v>
      </c>
      <c r="W52" s="166"/>
    </row>
    <row r="53" spans="2:28" ht="15.6">
      <c r="B53" s="533"/>
      <c r="C53" s="182">
        <v>1.1000000000000001</v>
      </c>
      <c r="D53" s="183" t="s">
        <v>1053</v>
      </c>
      <c r="E53" s="183" t="s">
        <v>1053</v>
      </c>
      <c r="F53" s="183" t="s">
        <v>1053</v>
      </c>
      <c r="G53" s="183" t="s">
        <v>1053</v>
      </c>
      <c r="H53" s="183" t="s">
        <v>1053</v>
      </c>
      <c r="I53" s="183" t="s">
        <v>1053</v>
      </c>
      <c r="J53" s="183" t="s">
        <v>1053</v>
      </c>
      <c r="K53" s="183" t="s">
        <v>1053</v>
      </c>
      <c r="L53" s="183" t="s">
        <v>1053</v>
      </c>
      <c r="M53" s="183" t="s">
        <v>1053</v>
      </c>
      <c r="N53" s="183" t="s">
        <v>1053</v>
      </c>
      <c r="O53" s="183" t="s">
        <v>1053</v>
      </c>
      <c r="P53" s="183" t="s">
        <v>1053</v>
      </c>
      <c r="Q53" s="183" t="s">
        <v>1053</v>
      </c>
      <c r="R53" s="183" t="s">
        <v>1053</v>
      </c>
      <c r="S53" s="183" t="s">
        <v>1053</v>
      </c>
      <c r="T53" s="183" t="s">
        <v>1053</v>
      </c>
      <c r="U53" s="183" t="s">
        <v>1053</v>
      </c>
      <c r="V53" s="183" t="s">
        <v>1053</v>
      </c>
      <c r="W53" s="166" t="s">
        <v>1057</v>
      </c>
    </row>
    <row r="54" spans="2:28" ht="15.6">
      <c r="B54" s="533"/>
      <c r="C54" s="182">
        <v>1.2</v>
      </c>
      <c r="D54" s="183"/>
      <c r="E54" s="183"/>
      <c r="F54" s="183"/>
      <c r="G54" s="183"/>
      <c r="H54" s="183"/>
      <c r="I54" s="183" t="s">
        <v>1053</v>
      </c>
      <c r="J54" s="183"/>
      <c r="K54" s="183"/>
      <c r="L54" s="183" t="s">
        <v>1053</v>
      </c>
      <c r="M54" s="183"/>
      <c r="N54" s="183" t="s">
        <v>1053</v>
      </c>
      <c r="O54" s="183"/>
      <c r="P54" s="183"/>
      <c r="Q54" s="183" t="s">
        <v>1053</v>
      </c>
      <c r="R54" s="183" t="s">
        <v>1053</v>
      </c>
      <c r="S54" s="183"/>
      <c r="T54" s="183"/>
      <c r="U54" s="183" t="s">
        <v>1053</v>
      </c>
      <c r="V54" s="183"/>
      <c r="W54" s="166" t="s">
        <v>1055</v>
      </c>
      <c r="Z54" s="8" t="s">
        <v>1053</v>
      </c>
      <c r="AB54" s="8" t="s">
        <v>1056</v>
      </c>
    </row>
    <row r="55" spans="2:28" ht="15.6">
      <c r="B55" s="534"/>
      <c r="C55" s="182">
        <v>1.3</v>
      </c>
      <c r="D55" s="183"/>
      <c r="E55" s="183"/>
      <c r="F55" s="183"/>
      <c r="G55" s="183"/>
      <c r="H55" s="183"/>
      <c r="I55" s="183"/>
      <c r="J55" s="183"/>
      <c r="K55" s="183"/>
      <c r="L55" s="183" t="s">
        <v>1053</v>
      </c>
      <c r="M55" s="183"/>
      <c r="N55" s="183"/>
      <c r="O55" s="183"/>
      <c r="P55" s="183"/>
      <c r="Q55" s="183"/>
      <c r="R55" s="183"/>
      <c r="S55" s="183"/>
      <c r="T55" s="183"/>
      <c r="U55" s="183"/>
      <c r="V55" s="183"/>
      <c r="W55" s="166" t="s">
        <v>875</v>
      </c>
      <c r="Z55" s="8" t="s">
        <v>1054</v>
      </c>
      <c r="AB55" s="8" t="s">
        <v>1057</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1054</v>
      </c>
      <c r="Z56" s="8" t="s">
        <v>875</v>
      </c>
    </row>
    <row r="57" spans="2:28" ht="15.6">
      <c r="B57" s="537" t="s">
        <v>1058</v>
      </c>
      <c r="C57" s="183"/>
      <c r="D57" s="183" t="s">
        <v>1056</v>
      </c>
      <c r="E57" s="183" t="s">
        <v>1056</v>
      </c>
      <c r="F57" s="183" t="s">
        <v>1056</v>
      </c>
      <c r="G57" s="183" t="s">
        <v>1056</v>
      </c>
      <c r="H57" s="183" t="s">
        <v>1056</v>
      </c>
      <c r="I57" s="183" t="s">
        <v>1056</v>
      </c>
      <c r="J57" s="183" t="s">
        <v>1056</v>
      </c>
      <c r="K57" s="183" t="s">
        <v>1056</v>
      </c>
      <c r="L57" s="183" t="s">
        <v>1056</v>
      </c>
      <c r="M57" s="183" t="s">
        <v>1056</v>
      </c>
      <c r="N57" s="183" t="s">
        <v>1056</v>
      </c>
      <c r="O57" s="183" t="s">
        <v>1056</v>
      </c>
      <c r="P57" s="183" t="s">
        <v>1056</v>
      </c>
      <c r="Q57" s="183" t="s">
        <v>1056</v>
      </c>
      <c r="R57" s="183" t="s">
        <v>1056</v>
      </c>
      <c r="S57" s="183" t="s">
        <v>1056</v>
      </c>
      <c r="T57" s="183" t="s">
        <v>1056</v>
      </c>
      <c r="U57" s="183" t="s">
        <v>1056</v>
      </c>
      <c r="V57" s="183" t="s">
        <v>1056</v>
      </c>
      <c r="W57" s="166" t="s">
        <v>1054</v>
      </c>
      <c r="Z57" s="8" t="s">
        <v>875</v>
      </c>
    </row>
    <row r="58" spans="2:28" ht="12" customHeight="1">
      <c r="B58" s="537"/>
      <c r="C58" s="182">
        <v>2.1</v>
      </c>
      <c r="D58" s="183" t="s">
        <v>1053</v>
      </c>
      <c r="E58" s="183" t="s">
        <v>1054</v>
      </c>
      <c r="F58" s="183" t="s">
        <v>1053</v>
      </c>
      <c r="G58" s="183" t="s">
        <v>1053</v>
      </c>
      <c r="H58" s="183" t="s">
        <v>1053</v>
      </c>
      <c r="I58" s="183" t="s">
        <v>1053</v>
      </c>
      <c r="J58" s="183" t="s">
        <v>1053</v>
      </c>
      <c r="K58" s="183" t="s">
        <v>1053</v>
      </c>
      <c r="L58" s="183" t="s">
        <v>1053</v>
      </c>
      <c r="M58" s="183" t="s">
        <v>1053</v>
      </c>
      <c r="N58" s="183" t="s">
        <v>1053</v>
      </c>
      <c r="O58" s="183" t="s">
        <v>1054</v>
      </c>
      <c r="P58" s="183" t="s">
        <v>1053</v>
      </c>
      <c r="Q58" s="183" t="s">
        <v>1053</v>
      </c>
      <c r="R58" s="183" t="s">
        <v>1053</v>
      </c>
      <c r="S58" s="183" t="s">
        <v>1053</v>
      </c>
      <c r="T58" s="183" t="s">
        <v>1053</v>
      </c>
      <c r="U58" s="183" t="s">
        <v>1053</v>
      </c>
      <c r="V58" s="183" t="s">
        <v>1053</v>
      </c>
      <c r="W58" s="177"/>
      <c r="Z58" s="8" t="s">
        <v>1055</v>
      </c>
    </row>
    <row r="59" spans="2:28" ht="15.6">
      <c r="B59" s="537"/>
      <c r="C59" s="182">
        <v>2.2000000000000002</v>
      </c>
      <c r="D59" s="183" t="s">
        <v>1053</v>
      </c>
      <c r="E59" s="183" t="s">
        <v>1053</v>
      </c>
      <c r="F59" s="183" t="s">
        <v>1053</v>
      </c>
      <c r="G59" s="183" t="s">
        <v>1053</v>
      </c>
      <c r="H59" s="183" t="s">
        <v>1053</v>
      </c>
      <c r="I59" s="183" t="s">
        <v>1053</v>
      </c>
      <c r="J59" s="183" t="s">
        <v>1053</v>
      </c>
      <c r="K59" s="183" t="s">
        <v>1053</v>
      </c>
      <c r="L59" s="183" t="s">
        <v>1053</v>
      </c>
      <c r="M59" s="183" t="s">
        <v>1053</v>
      </c>
      <c r="N59" s="183" t="s">
        <v>1053</v>
      </c>
      <c r="O59" s="183" t="s">
        <v>1053</v>
      </c>
      <c r="P59" s="183" t="s">
        <v>1053</v>
      </c>
      <c r="Q59" s="183" t="s">
        <v>1053</v>
      </c>
      <c r="R59" s="183" t="s">
        <v>1053</v>
      </c>
      <c r="S59" s="183" t="s">
        <v>1053</v>
      </c>
      <c r="T59" s="183" t="s">
        <v>1053</v>
      </c>
      <c r="U59" s="183" t="s">
        <v>1053</v>
      </c>
      <c r="V59" s="183" t="s">
        <v>1053</v>
      </c>
      <c r="W59" s="166"/>
      <c r="Z59" s="8" t="s">
        <v>1059</v>
      </c>
    </row>
    <row r="60" spans="2:28" ht="15.6">
      <c r="B60" s="537"/>
      <c r="C60" s="182">
        <v>2.2999999999999998</v>
      </c>
      <c r="D60" s="183" t="s">
        <v>1053</v>
      </c>
      <c r="E60" s="183"/>
      <c r="F60" s="183" t="s">
        <v>1053</v>
      </c>
      <c r="G60" s="183" t="s">
        <v>1053</v>
      </c>
      <c r="H60" s="183" t="s">
        <v>1053</v>
      </c>
      <c r="I60" s="183" t="s">
        <v>1053</v>
      </c>
      <c r="J60" s="183" t="s">
        <v>1053</v>
      </c>
      <c r="K60" s="183" t="s">
        <v>1053</v>
      </c>
      <c r="L60" s="183"/>
      <c r="M60" s="183" t="s">
        <v>1053</v>
      </c>
      <c r="N60" s="183" t="s">
        <v>1053</v>
      </c>
      <c r="O60" s="183"/>
      <c r="P60" s="183"/>
      <c r="Q60" s="183" t="s">
        <v>1053</v>
      </c>
      <c r="R60" s="183" t="s">
        <v>1053</v>
      </c>
      <c r="S60" s="183" t="s">
        <v>1053</v>
      </c>
      <c r="T60" s="183"/>
      <c r="U60" s="183" t="s">
        <v>1053</v>
      </c>
      <c r="V60" s="183" t="s">
        <v>1053</v>
      </c>
      <c r="W60" s="166" t="s">
        <v>1055</v>
      </c>
    </row>
    <row r="61" spans="2:28" ht="15.6">
      <c r="B61" s="537"/>
      <c r="C61" s="182">
        <v>2.4</v>
      </c>
      <c r="D61" s="183" t="s">
        <v>1053</v>
      </c>
      <c r="E61" s="183"/>
      <c r="F61" s="183"/>
      <c r="G61" s="183" t="s">
        <v>1053</v>
      </c>
      <c r="H61" s="183" t="s">
        <v>1053</v>
      </c>
      <c r="I61" s="183"/>
      <c r="J61" s="183" t="s">
        <v>1053</v>
      </c>
      <c r="K61" s="183" t="s">
        <v>1053</v>
      </c>
      <c r="L61" s="183"/>
      <c r="M61" s="183"/>
      <c r="N61" s="183" t="s">
        <v>1053</v>
      </c>
      <c r="O61" s="183"/>
      <c r="P61" s="183"/>
      <c r="Q61" s="183" t="s">
        <v>1053</v>
      </c>
      <c r="R61" s="183" t="s">
        <v>1053</v>
      </c>
      <c r="S61" s="183" t="s">
        <v>1053</v>
      </c>
      <c r="T61" s="183"/>
      <c r="U61" s="183" t="s">
        <v>1053</v>
      </c>
      <c r="V61" s="183" t="s">
        <v>1053</v>
      </c>
      <c r="W61" s="166" t="s">
        <v>1055</v>
      </c>
    </row>
    <row r="62" spans="2:28" ht="15.6">
      <c r="B62" s="537"/>
      <c r="C62" s="182">
        <v>2.5</v>
      </c>
      <c r="D62" s="183"/>
      <c r="E62" s="183"/>
      <c r="F62" s="183"/>
      <c r="G62" s="183" t="s">
        <v>1053</v>
      </c>
      <c r="H62" s="183"/>
      <c r="I62" s="183"/>
      <c r="J62" s="183"/>
      <c r="K62" s="183" t="s">
        <v>1053</v>
      </c>
      <c r="L62" s="183"/>
      <c r="M62" s="183"/>
      <c r="N62" s="183" t="s">
        <v>1053</v>
      </c>
      <c r="O62" s="183"/>
      <c r="P62" s="183"/>
      <c r="Q62" s="183"/>
      <c r="R62" s="183" t="s">
        <v>1053</v>
      </c>
      <c r="S62" s="183"/>
      <c r="T62" s="183"/>
      <c r="U62" s="183" t="s">
        <v>1053</v>
      </c>
      <c r="V62" s="183" t="s">
        <v>1053</v>
      </c>
      <c r="W62" s="166" t="s">
        <v>1053</v>
      </c>
    </row>
    <row r="63" spans="2:28" ht="15.6">
      <c r="B63" s="537"/>
      <c r="C63" s="182">
        <v>2.6</v>
      </c>
      <c r="D63" s="183"/>
      <c r="E63" s="183"/>
      <c r="F63" s="183"/>
      <c r="G63" s="183" t="s">
        <v>1053</v>
      </c>
      <c r="H63" s="183"/>
      <c r="I63" s="183"/>
      <c r="J63" s="183"/>
      <c r="K63" s="183" t="s">
        <v>1053</v>
      </c>
      <c r="L63" s="183"/>
      <c r="M63" s="183"/>
      <c r="N63" s="183" t="s">
        <v>1053</v>
      </c>
      <c r="O63" s="183"/>
      <c r="P63" s="183"/>
      <c r="Q63" s="183"/>
      <c r="R63" s="183" t="s">
        <v>1053</v>
      </c>
      <c r="S63" s="183"/>
      <c r="T63" s="183"/>
      <c r="U63" s="183"/>
      <c r="V63" s="183"/>
      <c r="W63" s="166" t="s">
        <v>1054</v>
      </c>
    </row>
    <row r="64" spans="2:28" ht="15.6">
      <c r="B64" s="537"/>
      <c r="C64" s="182">
        <v>2.7</v>
      </c>
      <c r="D64" s="183"/>
      <c r="E64" s="183"/>
      <c r="F64" s="183"/>
      <c r="G64" s="183"/>
      <c r="H64" s="183"/>
      <c r="I64" s="183"/>
      <c r="J64" s="183"/>
      <c r="K64" s="183"/>
      <c r="L64" s="183"/>
      <c r="M64" s="183"/>
      <c r="N64" s="183"/>
      <c r="O64" s="183"/>
      <c r="P64" s="183"/>
      <c r="Q64" s="183"/>
      <c r="R64" s="183" t="s">
        <v>1053</v>
      </c>
      <c r="S64" s="183"/>
      <c r="T64" s="183"/>
      <c r="U64" s="183"/>
      <c r="V64" s="183"/>
      <c r="W64" s="166"/>
    </row>
    <row r="65" spans="2:23" ht="15.6">
      <c r="B65" s="537"/>
      <c r="C65" s="182">
        <v>2.8</v>
      </c>
      <c r="D65" s="183"/>
      <c r="E65" s="183"/>
      <c r="F65" s="183"/>
      <c r="G65" s="183"/>
      <c r="H65" s="183"/>
      <c r="I65" s="183"/>
      <c r="J65" s="183"/>
      <c r="K65" s="183"/>
      <c r="L65" s="183"/>
      <c r="M65" s="183"/>
      <c r="N65" s="183"/>
      <c r="O65" s="183"/>
      <c r="P65" s="183"/>
      <c r="Q65" s="183"/>
      <c r="R65" s="183" t="s">
        <v>1053</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37" t="s">
        <v>1060</v>
      </c>
      <c r="C67" s="183"/>
      <c r="D67" s="183" t="s">
        <v>1057</v>
      </c>
      <c r="E67" s="183" t="s">
        <v>1056</v>
      </c>
      <c r="F67" s="183" t="s">
        <v>1056</v>
      </c>
      <c r="G67" s="183" t="s">
        <v>1056</v>
      </c>
      <c r="H67" s="183" t="s">
        <v>1056</v>
      </c>
      <c r="I67" s="183" t="s">
        <v>1056</v>
      </c>
      <c r="J67" s="183" t="s">
        <v>1057</v>
      </c>
      <c r="K67" s="183" t="s">
        <v>1056</v>
      </c>
      <c r="L67" s="183" t="s">
        <v>1056</v>
      </c>
      <c r="M67" s="183" t="s">
        <v>1056</v>
      </c>
      <c r="N67" s="183" t="s">
        <v>1056</v>
      </c>
      <c r="O67" s="183" t="s">
        <v>1056</v>
      </c>
      <c r="P67" s="183" t="s">
        <v>1056</v>
      </c>
      <c r="Q67" s="183" t="s">
        <v>1056</v>
      </c>
      <c r="R67" s="183" t="s">
        <v>1056</v>
      </c>
      <c r="S67" s="183" t="s">
        <v>1056</v>
      </c>
      <c r="T67" s="183" t="s">
        <v>1056</v>
      </c>
      <c r="U67" s="183" t="s">
        <v>1056</v>
      </c>
      <c r="V67" s="183"/>
      <c r="W67" s="166"/>
    </row>
    <row r="68" spans="2:23" ht="12" customHeight="1">
      <c r="B68" s="537"/>
      <c r="C68" s="182">
        <v>3.1</v>
      </c>
      <c r="D68" s="183" t="s">
        <v>1053</v>
      </c>
      <c r="E68" s="183" t="s">
        <v>1053</v>
      </c>
      <c r="F68" s="183" t="s">
        <v>1053</v>
      </c>
      <c r="G68" s="183" t="s">
        <v>1053</v>
      </c>
      <c r="H68" s="183" t="s">
        <v>1053</v>
      </c>
      <c r="I68" s="183" t="s">
        <v>1053</v>
      </c>
      <c r="J68" s="183" t="s">
        <v>875</v>
      </c>
      <c r="K68" s="183" t="s">
        <v>1053</v>
      </c>
      <c r="L68" s="183" t="s">
        <v>1053</v>
      </c>
      <c r="M68" s="183" t="s">
        <v>1053</v>
      </c>
      <c r="N68" s="183" t="s">
        <v>1053</v>
      </c>
      <c r="O68" s="183" t="s">
        <v>1053</v>
      </c>
      <c r="P68" s="183" t="s">
        <v>1053</v>
      </c>
      <c r="Q68" s="183" t="s">
        <v>1053</v>
      </c>
      <c r="R68" s="183" t="s">
        <v>1053</v>
      </c>
      <c r="S68" s="183" t="s">
        <v>1054</v>
      </c>
      <c r="T68" s="183" t="s">
        <v>1053</v>
      </c>
      <c r="U68" s="183" t="s">
        <v>1053</v>
      </c>
      <c r="V68" s="183"/>
      <c r="W68" s="177"/>
    </row>
    <row r="69" spans="2:23" ht="15.6">
      <c r="B69" s="537"/>
      <c r="C69" s="182">
        <v>3.2</v>
      </c>
      <c r="D69" s="183" t="s">
        <v>875</v>
      </c>
      <c r="E69" s="183" t="s">
        <v>1053</v>
      </c>
      <c r="F69" s="183" t="s">
        <v>1053</v>
      </c>
      <c r="G69" s="183" t="s">
        <v>1053</v>
      </c>
      <c r="H69" s="183"/>
      <c r="I69" s="183" t="s">
        <v>1053</v>
      </c>
      <c r="J69" s="183"/>
      <c r="K69" s="183" t="s">
        <v>1053</v>
      </c>
      <c r="L69" s="183" t="s">
        <v>1053</v>
      </c>
      <c r="M69" s="183" t="s">
        <v>1053</v>
      </c>
      <c r="N69" s="183" t="s">
        <v>1053</v>
      </c>
      <c r="O69" s="183" t="s">
        <v>1053</v>
      </c>
      <c r="P69" s="183" t="s">
        <v>1053</v>
      </c>
      <c r="Q69" s="183" t="s">
        <v>1053</v>
      </c>
      <c r="R69" s="183" t="s">
        <v>1053</v>
      </c>
      <c r="S69" s="183" t="s">
        <v>1053</v>
      </c>
      <c r="T69" s="183" t="s">
        <v>1053</v>
      </c>
      <c r="U69" s="183"/>
      <c r="V69" s="183"/>
      <c r="W69" s="166"/>
    </row>
    <row r="70" spans="2:23" ht="15.6">
      <c r="B70" s="537"/>
      <c r="C70" s="182">
        <v>3.3</v>
      </c>
      <c r="D70" s="183"/>
      <c r="E70" s="183" t="s">
        <v>1053</v>
      </c>
      <c r="F70" s="183" t="s">
        <v>1053</v>
      </c>
      <c r="G70" s="183" t="s">
        <v>1053</v>
      </c>
      <c r="H70" s="183"/>
      <c r="I70" s="183"/>
      <c r="J70" s="183"/>
      <c r="K70" s="183" t="s">
        <v>1053</v>
      </c>
      <c r="L70" s="183" t="s">
        <v>1053</v>
      </c>
      <c r="M70" s="183" t="s">
        <v>1053</v>
      </c>
      <c r="N70" s="183" t="s">
        <v>1053</v>
      </c>
      <c r="O70" s="183" t="s">
        <v>1053</v>
      </c>
      <c r="P70" s="183" t="s">
        <v>1053</v>
      </c>
      <c r="Q70" s="183" t="s">
        <v>1053</v>
      </c>
      <c r="R70" s="183" t="s">
        <v>1053</v>
      </c>
      <c r="S70" s="183"/>
      <c r="T70" s="183" t="s">
        <v>1053</v>
      </c>
      <c r="U70" s="183"/>
      <c r="V70" s="183"/>
      <c r="W70" s="166" t="s">
        <v>1055</v>
      </c>
    </row>
    <row r="71" spans="2:23" ht="15.6">
      <c r="B71" s="537"/>
      <c r="C71" s="182">
        <v>3.4</v>
      </c>
      <c r="D71" s="183"/>
      <c r="E71" s="183"/>
      <c r="F71" s="183" t="s">
        <v>1053</v>
      </c>
      <c r="G71" s="183"/>
      <c r="H71" s="183"/>
      <c r="I71" s="183"/>
      <c r="J71" s="183"/>
      <c r="K71" s="183" t="s">
        <v>1053</v>
      </c>
      <c r="L71" s="183" t="s">
        <v>1053</v>
      </c>
      <c r="M71" s="183" t="s">
        <v>1053</v>
      </c>
      <c r="N71" s="183" t="s">
        <v>1053</v>
      </c>
      <c r="O71" s="183" t="s">
        <v>1053</v>
      </c>
      <c r="P71" s="183" t="s">
        <v>1053</v>
      </c>
      <c r="Q71" s="183" t="s">
        <v>1053</v>
      </c>
      <c r="R71" s="183" t="s">
        <v>1054</v>
      </c>
      <c r="S71" s="183"/>
      <c r="T71" s="183" t="s">
        <v>1053</v>
      </c>
      <c r="U71" s="183"/>
      <c r="V71" s="183"/>
      <c r="W71" s="166" t="s">
        <v>1055</v>
      </c>
    </row>
    <row r="72" spans="2:23" ht="15.6">
      <c r="B72" s="537"/>
      <c r="C72" s="182">
        <v>3.5</v>
      </c>
      <c r="D72" s="183"/>
      <c r="E72" s="183"/>
      <c r="F72" s="183" t="s">
        <v>1053</v>
      </c>
      <c r="G72" s="183"/>
      <c r="H72" s="183"/>
      <c r="I72" s="183"/>
      <c r="J72" s="183"/>
      <c r="K72" s="183" t="s">
        <v>1053</v>
      </c>
      <c r="L72" s="183" t="s">
        <v>1053</v>
      </c>
      <c r="M72" s="183" t="s">
        <v>1053</v>
      </c>
      <c r="N72" s="183" t="s">
        <v>1053</v>
      </c>
      <c r="O72" s="183" t="s">
        <v>1053</v>
      </c>
      <c r="P72" s="183" t="s">
        <v>1053</v>
      </c>
      <c r="Q72" s="183"/>
      <c r="R72" s="183"/>
      <c r="S72" s="183"/>
      <c r="T72" s="183" t="s">
        <v>1053</v>
      </c>
      <c r="U72" s="183"/>
      <c r="V72" s="183"/>
      <c r="W72" s="166"/>
    </row>
    <row r="73" spans="2:23" ht="15.6">
      <c r="B73" s="537"/>
      <c r="C73" s="182">
        <v>3.6</v>
      </c>
      <c r="D73" s="183"/>
      <c r="E73" s="183"/>
      <c r="F73" s="183" t="s">
        <v>1053</v>
      </c>
      <c r="G73" s="183"/>
      <c r="H73" s="183"/>
      <c r="I73" s="183"/>
      <c r="J73" s="183"/>
      <c r="K73" s="183" t="s">
        <v>1053</v>
      </c>
      <c r="L73" s="183" t="s">
        <v>1053</v>
      </c>
      <c r="M73" s="183" t="s">
        <v>1054</v>
      </c>
      <c r="N73" s="183" t="s">
        <v>1053</v>
      </c>
      <c r="O73" s="183"/>
      <c r="P73" s="183" t="s">
        <v>1053</v>
      </c>
      <c r="Q73" s="183"/>
      <c r="R73" s="183"/>
      <c r="S73" s="183"/>
      <c r="T73" s="183"/>
      <c r="U73" s="183"/>
      <c r="V73" s="183"/>
      <c r="W73" s="166"/>
    </row>
    <row r="74" spans="2:23" ht="15.6">
      <c r="B74" s="537"/>
      <c r="C74" s="182">
        <v>3.7</v>
      </c>
      <c r="D74" s="183"/>
      <c r="E74" s="183"/>
      <c r="F74" s="183"/>
      <c r="G74" s="183"/>
      <c r="H74" s="183"/>
      <c r="I74" s="183"/>
      <c r="J74" s="183"/>
      <c r="K74" s="183" t="s">
        <v>1053</v>
      </c>
      <c r="L74" s="183"/>
      <c r="M74" s="183" t="s">
        <v>1053</v>
      </c>
      <c r="N74" s="183"/>
      <c r="O74" s="183"/>
      <c r="P74" s="183" t="s">
        <v>1053</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37" t="s">
        <v>1061</v>
      </c>
      <c r="C76" s="183"/>
      <c r="D76" s="183" t="s">
        <v>1057</v>
      </c>
      <c r="E76" s="183"/>
      <c r="F76" s="183"/>
      <c r="G76" s="183"/>
      <c r="H76" s="183"/>
      <c r="I76" s="183"/>
      <c r="J76" s="183"/>
      <c r="K76" s="183"/>
      <c r="L76" s="183" t="s">
        <v>1056</v>
      </c>
      <c r="M76" s="183"/>
      <c r="N76" s="183" t="s">
        <v>1056</v>
      </c>
      <c r="O76" s="183"/>
      <c r="P76" s="183"/>
      <c r="Q76" s="183"/>
      <c r="R76" s="183" t="s">
        <v>1056</v>
      </c>
      <c r="S76" s="183"/>
      <c r="T76" s="183" t="s">
        <v>1056</v>
      </c>
      <c r="U76" s="183"/>
      <c r="V76" s="183"/>
      <c r="W76" s="166"/>
    </row>
    <row r="77" spans="2:23" ht="12" customHeight="1">
      <c r="B77" s="537"/>
      <c r="C77" s="182">
        <v>4.0999999999999996</v>
      </c>
      <c r="D77" s="183" t="s">
        <v>1053</v>
      </c>
      <c r="E77" s="183"/>
      <c r="F77" s="183"/>
      <c r="G77" s="183"/>
      <c r="H77" s="183"/>
      <c r="I77" s="183"/>
      <c r="J77" s="183"/>
      <c r="K77" s="183"/>
      <c r="L77" s="183" t="s">
        <v>1053</v>
      </c>
      <c r="M77" s="183"/>
      <c r="N77" s="183" t="s">
        <v>1053</v>
      </c>
      <c r="O77" s="183"/>
      <c r="P77" s="183"/>
      <c r="Q77" s="183"/>
      <c r="R77" s="183" t="s">
        <v>1053</v>
      </c>
      <c r="S77" s="183"/>
      <c r="T77" s="183" t="s">
        <v>1053</v>
      </c>
      <c r="U77" s="183"/>
      <c r="V77" s="183"/>
      <c r="W77" s="177"/>
    </row>
    <row r="78" spans="2:23" ht="15.6">
      <c r="B78" s="537"/>
      <c r="C78" s="182">
        <v>4.2</v>
      </c>
      <c r="D78" s="183"/>
      <c r="E78" s="183"/>
      <c r="F78" s="183"/>
      <c r="G78" s="183"/>
      <c r="H78" s="183"/>
      <c r="I78" s="183"/>
      <c r="J78" s="183"/>
      <c r="K78" s="183"/>
      <c r="L78" s="183"/>
      <c r="M78" s="183"/>
      <c r="N78" s="183" t="s">
        <v>1053</v>
      </c>
      <c r="O78" s="183"/>
      <c r="P78" s="183"/>
      <c r="Q78" s="183"/>
      <c r="R78" s="183"/>
      <c r="S78" s="183"/>
      <c r="T78" s="183" t="s">
        <v>1053</v>
      </c>
      <c r="U78" s="183"/>
      <c r="V78" s="183"/>
      <c r="W78" s="166"/>
    </row>
    <row r="79" spans="2:23" ht="15.6">
      <c r="B79" s="537"/>
      <c r="C79" s="182">
        <v>4.3</v>
      </c>
      <c r="D79" s="183"/>
      <c r="E79" s="183"/>
      <c r="F79" s="183"/>
      <c r="G79" s="183"/>
      <c r="H79" s="183"/>
      <c r="I79" s="183"/>
      <c r="J79" s="183"/>
      <c r="K79" s="183"/>
      <c r="L79" s="183"/>
      <c r="M79" s="183"/>
      <c r="N79" s="183" t="s">
        <v>1053</v>
      </c>
      <c r="O79" s="183"/>
      <c r="P79" s="183"/>
      <c r="Q79" s="183"/>
      <c r="R79" s="183"/>
      <c r="S79" s="183"/>
      <c r="T79" s="183"/>
      <c r="U79" s="183"/>
      <c r="V79" s="183"/>
      <c r="W79" s="166" t="s">
        <v>1055</v>
      </c>
    </row>
    <row r="80" spans="2:23" ht="15.6">
      <c r="B80" s="537"/>
      <c r="C80" s="182">
        <v>4.4000000000000004</v>
      </c>
      <c r="D80" s="183"/>
      <c r="E80" s="183"/>
      <c r="F80" s="183"/>
      <c r="G80" s="183"/>
      <c r="H80" s="183"/>
      <c r="I80" s="183"/>
      <c r="J80" s="183"/>
      <c r="K80" s="183"/>
      <c r="L80" s="183"/>
      <c r="M80" s="183"/>
      <c r="N80" s="183" t="s">
        <v>1053</v>
      </c>
      <c r="O80" s="183"/>
      <c r="P80" s="183"/>
      <c r="Q80" s="183"/>
      <c r="R80" s="183"/>
      <c r="S80" s="183"/>
      <c r="T80" s="183"/>
      <c r="U80" s="183"/>
      <c r="V80" s="183"/>
      <c r="W80" s="166"/>
    </row>
    <row r="81" spans="2:23" ht="15.6">
      <c r="B81" s="537"/>
      <c r="C81" s="182">
        <v>4.5</v>
      </c>
      <c r="D81" s="183"/>
      <c r="E81" s="183"/>
      <c r="F81" s="183"/>
      <c r="G81" s="183"/>
      <c r="H81" s="183"/>
      <c r="I81" s="183"/>
      <c r="J81" s="183"/>
      <c r="K81" s="183"/>
      <c r="L81" s="183"/>
      <c r="M81" s="183"/>
      <c r="N81" s="183" t="s">
        <v>1053</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37" t="s">
        <v>1062</v>
      </c>
      <c r="C83" s="183"/>
      <c r="D83" s="183"/>
      <c r="E83" s="183"/>
      <c r="F83" s="183"/>
      <c r="G83" s="183"/>
      <c r="H83" s="183"/>
      <c r="I83" s="183"/>
      <c r="J83" s="183"/>
      <c r="K83" s="183"/>
      <c r="L83" s="183"/>
      <c r="M83" s="183"/>
      <c r="N83" s="183" t="s">
        <v>1056</v>
      </c>
      <c r="O83" s="183"/>
      <c r="P83" s="183"/>
      <c r="Q83" s="183"/>
      <c r="R83" s="183"/>
      <c r="S83" s="183"/>
      <c r="T83" s="183" t="s">
        <v>1056</v>
      </c>
      <c r="U83" s="183"/>
      <c r="V83" s="183"/>
      <c r="W83" s="166"/>
    </row>
    <row r="84" spans="2:23" ht="12" customHeight="1">
      <c r="B84" s="537"/>
      <c r="C84" s="182">
        <v>5.0999999999999996</v>
      </c>
      <c r="D84" s="183"/>
      <c r="E84" s="183"/>
      <c r="F84" s="183"/>
      <c r="G84" s="183"/>
      <c r="H84" s="183"/>
      <c r="I84" s="183"/>
      <c r="J84" s="183"/>
      <c r="K84" s="183"/>
      <c r="L84" s="183"/>
      <c r="M84" s="183"/>
      <c r="N84" s="183" t="s">
        <v>1053</v>
      </c>
      <c r="O84" s="183"/>
      <c r="P84" s="183"/>
      <c r="Q84" s="183"/>
      <c r="R84" s="183"/>
      <c r="S84" s="183"/>
      <c r="T84" s="183" t="s">
        <v>1053</v>
      </c>
      <c r="U84" s="183"/>
      <c r="V84" s="183"/>
      <c r="W84" s="177"/>
    </row>
    <row r="85" spans="2:23" ht="15.6">
      <c r="B85" s="537"/>
      <c r="C85" s="182">
        <v>5.2</v>
      </c>
      <c r="D85" s="183"/>
      <c r="E85" s="183"/>
      <c r="F85" s="183"/>
      <c r="G85" s="183"/>
      <c r="H85" s="183"/>
      <c r="I85" s="183"/>
      <c r="J85" s="183"/>
      <c r="K85" s="183"/>
      <c r="L85" s="183"/>
      <c r="M85" s="183"/>
      <c r="N85" s="183" t="s">
        <v>1053</v>
      </c>
      <c r="O85" s="183"/>
      <c r="P85" s="183"/>
      <c r="Q85" s="183"/>
      <c r="R85" s="183"/>
      <c r="S85" s="183"/>
      <c r="T85" s="183"/>
      <c r="U85" s="183"/>
      <c r="V85" s="183"/>
      <c r="W85" s="166"/>
    </row>
    <row r="86" spans="2:23" ht="15.6">
      <c r="B86" s="537"/>
      <c r="C86" s="182">
        <v>5.3</v>
      </c>
      <c r="D86" s="183"/>
      <c r="E86" s="183"/>
      <c r="F86" s="183"/>
      <c r="G86" s="183"/>
      <c r="H86" s="183"/>
      <c r="I86" s="183"/>
      <c r="J86" s="183"/>
      <c r="K86" s="183"/>
      <c r="L86" s="183"/>
      <c r="M86" s="183"/>
      <c r="N86" s="183" t="s">
        <v>1053</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2" stopIfTrue="1" operator="equal">
      <formula>"DM"</formula>
    </cfRule>
    <cfRule type="cellIs" dxfId="102" priority="111" stopIfTrue="1" operator="equal">
      <formula>"PM"</formula>
    </cfRule>
    <cfRule type="cellIs" dxfId="101" priority="110" stopIfTrue="1" operator="equal">
      <formula>"LM"</formula>
    </cfRule>
  </conditionalFormatting>
  <conditionalFormatting sqref="C10">
    <cfRule type="cellIs" dxfId="100" priority="103" operator="equal">
      <formula>"S"</formula>
    </cfRule>
    <cfRule type="cellIs" dxfId="99" priority="104" stopIfTrue="1" operator="equal">
      <formula>"FM"</formula>
    </cfRule>
    <cfRule type="cellIs" dxfId="98" priority="106" stopIfTrue="1" operator="equal">
      <formula>"PM"</formula>
    </cfRule>
    <cfRule type="cellIs" dxfId="97" priority="107" stopIfTrue="1" operator="equal">
      <formula>"DM"</formula>
    </cfRule>
    <cfRule type="cellIs" dxfId="96" priority="105" stopIfTrue="1" operator="equal">
      <formula>"LM"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7" stopIfTrue="1" operator="equal">
      <formula>"DM"</formula>
    </cfRule>
    <cfRule type="cellIs" dxfId="89" priority="93" operator="equal">
      <formula>"S"</formula>
    </cfRule>
    <cfRule type="cellIs" dxfId="88" priority="96" stopIfTrue="1" operator="equal">
      <formula>"PM"</formula>
    </cfRule>
    <cfRule type="cellIs" dxfId="87" priority="95" stopIfTrue="1" operator="equal">
      <formula>"LM"</formula>
    </cfRule>
    <cfRule type="cellIs" dxfId="86" priority="94" stopIfTrue="1" operator="equal">
      <formula>"FM"</formula>
    </cfRule>
  </conditionalFormatting>
  <conditionalFormatting sqref="C36">
    <cfRule type="cellIs" dxfId="85" priority="88" operator="equal">
      <formula>"S"</formula>
    </cfRule>
    <cfRule type="cellIs" dxfId="84" priority="89" stopIfTrue="1" operator="equal">
      <formula>"FM"</formula>
    </cfRule>
    <cfRule type="cellIs" dxfId="83" priority="92" stopIfTrue="1" operator="equal">
      <formula>"DM"</formula>
    </cfRule>
    <cfRule type="cellIs" dxfId="82" priority="91" stopIfTrue="1" operator="equal">
      <formula>"PM"</formula>
    </cfRule>
    <cfRule type="cellIs" dxfId="81" priority="90" stopIfTrue="1" operator="equal">
      <formula>"LM"</formula>
    </cfRule>
  </conditionalFormatting>
  <conditionalFormatting sqref="C52">
    <cfRule type="cellIs" dxfId="80" priority="80" stopIfTrue="1" operator="equal">
      <formula>"LM"</formula>
    </cfRule>
    <cfRule type="cellIs" dxfId="79" priority="82" stopIfTrue="1" operator="equal">
      <formula>"DM"</formula>
    </cfRule>
    <cfRule type="cellIs" dxfId="78" priority="81" stopIfTrue="1" operator="equal">
      <formula>"PM"</formula>
    </cfRule>
    <cfRule type="cellIs" dxfId="77" priority="78" operator="equal">
      <formula>"S"</formula>
    </cfRule>
    <cfRule type="cellIs" dxfId="76" priority="79" stopIfTrue="1" operator="equal">
      <formula>"FM"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71" stopIfTrue="1" operator="equal">
      <formula>"PM"</formula>
    </cfRule>
    <cfRule type="cellIs" dxfId="69" priority="72" stopIfTrue="1" operator="equal">
      <formula>"DM"</formula>
    </cfRule>
    <cfRule type="cellIs" dxfId="68" priority="68" operator="equal">
      <formula>"S"</formula>
    </cfRule>
    <cfRule type="cellIs" dxfId="67" priority="69" stopIfTrue="1" operator="equal">
      <formula>"FM"</formula>
    </cfRule>
    <cfRule type="cellIs" dxfId="66" priority="70" stopIfTrue="1" operator="equal">
      <formula>"LM"</formula>
    </cfRule>
  </conditionalFormatting>
  <conditionalFormatting sqref="C76">
    <cfRule type="cellIs" dxfId="65" priority="65" stopIfTrue="1" operator="equal">
      <formula>"LM"</formula>
    </cfRule>
    <cfRule type="cellIs" dxfId="64" priority="67" stopIfTrue="1" operator="equal">
      <formula>"DM"</formula>
    </cfRule>
    <cfRule type="cellIs" dxfId="63" priority="66" stopIfTrue="1" operator="equal">
      <formula>"PM"</formula>
    </cfRule>
    <cfRule type="cellIs" dxfId="62" priority="64" stopIfTrue="1" operator="equal">
      <formula>"FM"</formula>
    </cfRule>
    <cfRule type="cellIs" dxfId="61" priority="63" operator="equal">
      <formula>"S"</formula>
    </cfRule>
  </conditionalFormatting>
  <conditionalFormatting sqref="C83">
    <cfRule type="cellIs" dxfId="60" priority="59" stopIfTrue="1" operator="equal">
      <formula>"FM"</formula>
    </cfRule>
    <cfRule type="cellIs" dxfId="59" priority="58" operator="equal">
      <formula>"S"</formula>
    </cfRule>
    <cfRule type="cellIs" dxfId="58" priority="62" stopIfTrue="1" operator="equal">
      <formula>"DM"</formula>
    </cfRule>
    <cfRule type="cellIs" dxfId="57" priority="61" stopIfTrue="1" operator="equal">
      <formula>"PM"</formula>
    </cfRule>
    <cfRule type="cellIs" dxfId="56" priority="60" stopIfTrue="1" operator="equal">
      <formula>"LM"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20" stopIfTrue="1" operator="equal">
      <formula>"PM"</formula>
    </cfRule>
    <cfRule type="cellIs" dxfId="49" priority="21" stopIfTrue="1" operator="equal">
      <formula>"DM"</formula>
    </cfRule>
    <cfRule type="cellIs" dxfId="48" priority="17" operator="equal">
      <formula>"S"</formula>
    </cfRule>
    <cfRule type="cellIs" dxfId="47" priority="18" stopIfTrue="1" operator="equal">
      <formula>"FM"</formula>
    </cfRule>
    <cfRule type="cellIs" dxfId="46" priority="19" stopIfTrue="1" operator="equal">
      <formula>"LM"</formula>
    </cfRule>
  </conditionalFormatting>
  <conditionalFormatting sqref="D20:V27">
    <cfRule type="cellIs" dxfId="45" priority="15" stopIfTrue="1" operator="equal">
      <formula>"PM"</formula>
    </cfRule>
    <cfRule type="cellIs" dxfId="44" priority="14" stopIfTrue="1" operator="equal">
      <formula>"LM"</formula>
    </cfRule>
    <cfRule type="cellIs" dxfId="43" priority="12" operator="equal">
      <formula>"S"</formula>
    </cfRule>
    <cfRule type="cellIs" dxfId="42" priority="16" stopIfTrue="1" operator="equal">
      <formula>"DM"</formula>
    </cfRule>
    <cfRule type="cellIs" dxfId="41" priority="13" stopIfTrue="1" operator="equal">
      <formula>"FM"</formula>
    </cfRule>
  </conditionalFormatting>
  <conditionalFormatting sqref="D29:V34">
    <cfRule type="cellIs" dxfId="40" priority="37" operator="equal">
      <formula>"S"</formula>
    </cfRule>
    <cfRule type="cellIs" dxfId="39" priority="40" stopIfTrue="1" operator="equal">
      <formula>"PM"</formula>
    </cfRule>
    <cfRule type="cellIs" dxfId="38" priority="41" stopIfTrue="1" operator="equal">
      <formula>"DM"</formula>
    </cfRule>
    <cfRule type="cellIs" dxfId="37" priority="39" stopIfTrue="1" operator="equal">
      <formula>"LM"</formula>
    </cfRule>
    <cfRule type="cellIs" dxfId="36" priority="38" stopIfTrue="1" operator="equal">
      <formula>"FM"</formula>
    </cfRule>
  </conditionalFormatting>
  <conditionalFormatting sqref="D36:V39">
    <cfRule type="cellIs" dxfId="35" priority="36" stopIfTrue="1" operator="equal">
      <formula>"DM"</formula>
    </cfRule>
    <cfRule type="cellIs" dxfId="34" priority="35" stopIfTrue="1" operator="equal">
      <formula>"PM"</formula>
    </cfRule>
    <cfRule type="cellIs" dxfId="33" priority="34" stopIfTrue="1" operator="equal">
      <formula>"LM"</formula>
    </cfRule>
    <cfRule type="cellIs" dxfId="32" priority="33" stopIfTrue="1" operator="equal">
      <formula>"FM"</formula>
    </cfRule>
    <cfRule type="cellIs" dxfId="31" priority="32" operator="equal">
      <formula>"S"</formula>
    </cfRule>
  </conditionalFormatting>
  <conditionalFormatting sqref="D52:V65 W52:W89 D67:V74 D76:V81 D83:V86">
    <cfRule type="cellIs" dxfId="30" priority="87" stopIfTrue="1" operator="equal">
      <formula>"DM"</formula>
    </cfRule>
    <cfRule type="cellIs" dxfId="29" priority="86" stopIfTrue="1" operator="equal">
      <formula>"PM"</formula>
    </cfRule>
    <cfRule type="cellIs" dxfId="28" priority="85" stopIfTrue="1" operator="equal">
      <formula>"LM"</formula>
    </cfRule>
    <cfRule type="cellIs" dxfId="27" priority="84" stopIfTrue="1" operator="equal">
      <formula>"FM"</formula>
    </cfRule>
    <cfRule type="cellIs" dxfId="26" priority="83" stopIfTrue="1" operator="equal">
      <formula>"S"</formula>
    </cfRule>
    <cfRule type="cellIs" dxfId="25" priority="57" stopIfTrue="1" operator="equal">
      <formula>"U"</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9" stopIfTrue="1" operator="equal">
      <formula>"LM"</formula>
    </cfRule>
    <cfRule type="cellIs" dxfId="11" priority="8" stopIfTrue="1" operator="equal">
      <formula>"FM"</formula>
    </cfRule>
    <cfRule type="cellIs" dxfId="10" priority="11" stopIfTrue="1" operator="equal">
      <formula>"DM"</formula>
    </cfRule>
    <cfRule type="cellIs" dxfId="9" priority="10" stopIfTrue="1" operator="equal">
      <formula>"PM"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878</v>
      </c>
      <c r="B3" t="s">
        <v>876</v>
      </c>
    </row>
    <row r="4" spans="1:2">
      <c r="A4" s="108" t="s">
        <v>403</v>
      </c>
      <c r="B4">
        <v>17</v>
      </c>
    </row>
    <row r="5" spans="1:2">
      <c r="A5" s="106" t="s">
        <v>873</v>
      </c>
      <c r="B5">
        <v>2</v>
      </c>
    </row>
    <row r="6" spans="1:2">
      <c r="A6" s="243" t="s">
        <v>1474</v>
      </c>
      <c r="B6">
        <v>2</v>
      </c>
    </row>
    <row r="7" spans="1:2">
      <c r="A7" s="106" t="s">
        <v>1307</v>
      </c>
      <c r="B7">
        <v>1</v>
      </c>
    </row>
    <row r="8" spans="1:2">
      <c r="A8" s="243" t="s">
        <v>1489</v>
      </c>
      <c r="B8">
        <v>1</v>
      </c>
    </row>
    <row r="9" spans="1:2">
      <c r="A9" s="106" t="s">
        <v>874</v>
      </c>
      <c r="B9">
        <v>1</v>
      </c>
    </row>
    <row r="10" spans="1:2">
      <c r="A10" s="243" t="s">
        <v>1470</v>
      </c>
      <c r="B10">
        <v>1</v>
      </c>
    </row>
    <row r="11" spans="1:2">
      <c r="A11" s="106" t="s">
        <v>1107</v>
      </c>
      <c r="B11">
        <v>2</v>
      </c>
    </row>
    <row r="12" spans="1:2">
      <c r="A12" s="243" t="s">
        <v>1471</v>
      </c>
      <c r="B12">
        <v>1</v>
      </c>
    </row>
    <row r="13" spans="1:2">
      <c r="A13" s="243" t="s">
        <v>1476</v>
      </c>
      <c r="B13">
        <v>1</v>
      </c>
    </row>
    <row r="14" spans="1:2">
      <c r="A14" s="106" t="s">
        <v>1308</v>
      </c>
      <c r="B14">
        <v>4</v>
      </c>
    </row>
    <row r="15" spans="1:2">
      <c r="A15" s="243" t="s">
        <v>1483</v>
      </c>
      <c r="B15">
        <v>3</v>
      </c>
    </row>
    <row r="16" spans="1:2">
      <c r="A16" s="243" t="s">
        <v>1488</v>
      </c>
      <c r="B16">
        <v>1</v>
      </c>
    </row>
    <row r="17" spans="1:2">
      <c r="A17" s="106" t="s">
        <v>1190</v>
      </c>
      <c r="B17">
        <v>1</v>
      </c>
    </row>
    <row r="18" spans="1:2">
      <c r="A18" s="243" t="s">
        <v>1492</v>
      </c>
      <c r="B18">
        <v>1</v>
      </c>
    </row>
    <row r="19" spans="1:2">
      <c r="A19" s="106" t="s">
        <v>1306</v>
      </c>
      <c r="B19">
        <v>1</v>
      </c>
    </row>
    <row r="20" spans="1:2">
      <c r="A20" s="243" t="s">
        <v>1491</v>
      </c>
      <c r="B20">
        <v>1</v>
      </c>
    </row>
    <row r="21" spans="1:2">
      <c r="A21" s="106" t="s">
        <v>1309</v>
      </c>
      <c r="B21">
        <v>5</v>
      </c>
    </row>
    <row r="22" spans="1:2">
      <c r="A22" s="243" t="s">
        <v>1490</v>
      </c>
      <c r="B22">
        <v>5</v>
      </c>
    </row>
    <row r="23" spans="1:2">
      <c r="A23" s="108" t="s">
        <v>879</v>
      </c>
    </row>
    <row r="24" spans="1:2">
      <c r="A24" s="106" t="s">
        <v>879</v>
      </c>
    </row>
    <row r="25" spans="1:2">
      <c r="A25" s="243" t="s">
        <v>879</v>
      </c>
    </row>
    <row r="26" spans="1:2">
      <c r="A26" s="108" t="s">
        <v>880</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968</v>
      </c>
      <c r="B1" s="11"/>
      <c r="C1" s="11"/>
      <c r="D1" s="11"/>
      <c r="E1" s="11"/>
      <c r="F1" s="11"/>
    </row>
    <row r="3" spans="1:6">
      <c r="A3" s="264" t="s">
        <v>878</v>
      </c>
    </row>
    <row r="4" spans="1:6">
      <c r="A4" s="108" t="s">
        <v>1474</v>
      </c>
    </row>
    <row r="5" spans="1:6">
      <c r="A5" s="106" t="s">
        <v>846</v>
      </c>
    </row>
    <row r="6" spans="1:6">
      <c r="A6" s="106" t="s">
        <v>847</v>
      </c>
    </row>
    <row r="7" spans="1:6">
      <c r="A7" s="108" t="s">
        <v>1489</v>
      </c>
    </row>
    <row r="8" spans="1:6">
      <c r="A8" s="106" t="s">
        <v>716</v>
      </c>
    </row>
    <row r="9" spans="1:6">
      <c r="A9" s="108" t="s">
        <v>1470</v>
      </c>
    </row>
    <row r="10" spans="1:6">
      <c r="A10" s="106" t="s">
        <v>845</v>
      </c>
    </row>
    <row r="11" spans="1:6">
      <c r="A11" s="108" t="s">
        <v>1471</v>
      </c>
    </row>
    <row r="12" spans="1:6">
      <c r="A12" s="106" t="s">
        <v>844</v>
      </c>
    </row>
    <row r="13" spans="1:6">
      <c r="A13" s="108" t="s">
        <v>1476</v>
      </c>
    </row>
    <row r="14" spans="1:6">
      <c r="A14" s="106" t="s">
        <v>848</v>
      </c>
    </row>
    <row r="15" spans="1:6">
      <c r="A15" s="108" t="s">
        <v>1492</v>
      </c>
    </row>
    <row r="16" spans="1:6">
      <c r="A16" s="106" t="s">
        <v>798</v>
      </c>
    </row>
    <row r="17" spans="1:1">
      <c r="A17" s="108" t="s">
        <v>1490</v>
      </c>
    </row>
    <row r="18" spans="1:1">
      <c r="A18" s="106" t="s">
        <v>856</v>
      </c>
    </row>
    <row r="19" spans="1:1">
      <c r="A19" s="106" t="s">
        <v>857</v>
      </c>
    </row>
    <row r="20" spans="1:1">
      <c r="A20" s="106" t="s">
        <v>849</v>
      </c>
    </row>
    <row r="21" spans="1:1">
      <c r="A21" s="106" t="s">
        <v>850</v>
      </c>
    </row>
    <row r="22" spans="1:1">
      <c r="A22" s="106" t="s">
        <v>851</v>
      </c>
    </row>
    <row r="23" spans="1:1">
      <c r="A23" s="108" t="s">
        <v>1483</v>
      </c>
    </row>
    <row r="24" spans="1:1">
      <c r="A24" s="106" t="s">
        <v>853</v>
      </c>
    </row>
    <row r="25" spans="1:1">
      <c r="A25" s="106" t="s">
        <v>854</v>
      </c>
    </row>
    <row r="26" spans="1:1">
      <c r="A26" s="106" t="s">
        <v>855</v>
      </c>
    </row>
    <row r="27" spans="1:1">
      <c r="A27" s="108" t="s">
        <v>1488</v>
      </c>
    </row>
    <row r="28" spans="1:1">
      <c r="A28" s="106" t="s">
        <v>852</v>
      </c>
    </row>
    <row r="29" spans="1:1">
      <c r="A29" s="108" t="s">
        <v>1491</v>
      </c>
    </row>
    <row r="30" spans="1:1">
      <c r="A30" s="106" t="s">
        <v>718</v>
      </c>
    </row>
    <row r="31" spans="1:1">
      <c r="A31" s="108" t="s">
        <v>879</v>
      </c>
    </row>
    <row r="32" spans="1:1">
      <c r="A32" s="106" t="s">
        <v>879</v>
      </c>
    </row>
    <row r="33" spans="1:1">
      <c r="A33" s="108" t="s">
        <v>880</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967</v>
      </c>
      <c r="B1" s="11"/>
      <c r="C1" s="11"/>
      <c r="D1" s="11"/>
      <c r="E1" s="11"/>
      <c r="F1" s="11"/>
    </row>
    <row r="3" spans="1:6">
      <c r="A3" s="264" t="s">
        <v>878</v>
      </c>
    </row>
    <row r="4" spans="1:6">
      <c r="A4" s="108" t="s">
        <v>879</v>
      </c>
    </row>
    <row r="5" spans="1:6">
      <c r="A5" s="106" t="s">
        <v>879</v>
      </c>
    </row>
    <row r="6" spans="1:6">
      <c r="A6" s="108" t="s">
        <v>1461</v>
      </c>
    </row>
    <row r="7" spans="1:6">
      <c r="A7" s="106" t="s">
        <v>1471</v>
      </c>
    </row>
    <row r="8" spans="1:6">
      <c r="A8" s="106" t="s">
        <v>1470</v>
      </c>
    </row>
    <row r="9" spans="1:6">
      <c r="A9" s="108" t="s">
        <v>1462</v>
      </c>
    </row>
    <row r="10" spans="1:6">
      <c r="A10" s="106" t="s">
        <v>1474</v>
      </c>
    </row>
    <row r="11" spans="1:6">
      <c r="A11" s="106" t="s">
        <v>1476</v>
      </c>
    </row>
    <row r="12" spans="1:6">
      <c r="A12" s="108" t="s">
        <v>1463</v>
      </c>
    </row>
    <row r="13" spans="1:6">
      <c r="A13" s="106" t="s">
        <v>1483</v>
      </c>
    </row>
    <row r="14" spans="1:6">
      <c r="A14" s="108" t="s">
        <v>1464</v>
      </c>
    </row>
    <row r="15" spans="1:6">
      <c r="A15" s="106" t="s">
        <v>1488</v>
      </c>
    </row>
    <row r="16" spans="1:6">
      <c r="A16" s="108" t="s">
        <v>1299</v>
      </c>
    </row>
    <row r="17" spans="1:1">
      <c r="A17" s="106" t="s">
        <v>1489</v>
      </c>
    </row>
    <row r="18" spans="1:1">
      <c r="A18" s="108" t="s">
        <v>1300</v>
      </c>
    </row>
    <row r="19" spans="1:1">
      <c r="A19" s="106" t="s">
        <v>1490</v>
      </c>
    </row>
    <row r="20" spans="1:1">
      <c r="A20" s="108" t="s">
        <v>1301</v>
      </c>
    </row>
    <row r="21" spans="1:1">
      <c r="A21" s="106" t="s">
        <v>1491</v>
      </c>
    </row>
    <row r="22" spans="1:1">
      <c r="A22" s="108" t="s">
        <v>1302</v>
      </c>
    </row>
    <row r="23" spans="1:1">
      <c r="A23" s="106" t="s">
        <v>1492</v>
      </c>
    </row>
    <row r="24" spans="1:1">
      <c r="A24" s="108" t="s">
        <v>880</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878</v>
      </c>
    </row>
    <row r="4" spans="1:1">
      <c r="A4" s="108" t="s">
        <v>879</v>
      </c>
    </row>
    <row r="5" spans="1:1">
      <c r="A5" s="106" t="s">
        <v>879</v>
      </c>
    </row>
    <row r="6" spans="1:1">
      <c r="A6" s="108" t="s">
        <v>949</v>
      </c>
    </row>
    <row r="7" spans="1:1">
      <c r="A7" s="106" t="s">
        <v>1483</v>
      </c>
    </row>
    <row r="8" spans="1:1">
      <c r="A8" s="106" t="s">
        <v>1488</v>
      </c>
    </row>
    <row r="9" spans="1:1">
      <c r="A9" s="108" t="s">
        <v>950</v>
      </c>
    </row>
    <row r="10" spans="1:1">
      <c r="A10" s="106" t="s">
        <v>1471</v>
      </c>
    </row>
    <row r="11" spans="1:1">
      <c r="A11" s="106" t="s">
        <v>1470</v>
      </c>
    </row>
    <row r="12" spans="1:1">
      <c r="A12" s="106" t="s">
        <v>1474</v>
      </c>
    </row>
    <row r="13" spans="1:1">
      <c r="A13" s="106" t="s">
        <v>1476</v>
      </c>
    </row>
    <row r="14" spans="1:1">
      <c r="A14" s="108" t="s">
        <v>951</v>
      </c>
    </row>
    <row r="15" spans="1:1">
      <c r="A15" s="106" t="s">
        <v>1489</v>
      </c>
    </row>
    <row r="16" spans="1:1">
      <c r="A16" s="108" t="s">
        <v>952</v>
      </c>
    </row>
    <row r="17" spans="1:1">
      <c r="A17" s="106" t="s">
        <v>1490</v>
      </c>
    </row>
    <row r="18" spans="1:1">
      <c r="A18" s="108" t="s">
        <v>953</v>
      </c>
    </row>
    <row r="19" spans="1:1">
      <c r="A19" s="106" t="s">
        <v>1491</v>
      </c>
    </row>
    <row r="20" spans="1:1">
      <c r="A20" s="108" t="s">
        <v>958</v>
      </c>
    </row>
    <row r="21" spans="1:1">
      <c r="A21" s="106" t="s">
        <v>1492</v>
      </c>
    </row>
    <row r="22" spans="1:1">
      <c r="A22" s="108" t="s">
        <v>880</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42" t="str">
        <f>StartupInfo!B3</f>
        <v>Software for Mars (Pty) Ltd</v>
      </c>
      <c r="C2" s="542"/>
      <c r="D2" s="542"/>
      <c r="E2" s="542"/>
      <c r="F2" s="542"/>
      <c r="G2" s="542"/>
      <c r="H2" s="542"/>
      <c r="I2" s="542"/>
      <c r="J2" s="357"/>
      <c r="K2" s="357"/>
    </row>
    <row r="3" spans="1:11" ht="19.5" customHeight="1">
      <c r="B3" s="542" t="str">
        <f>StartupInfo!B4</f>
        <v>Mars</v>
      </c>
      <c r="C3" s="542"/>
      <c r="D3" s="542"/>
      <c r="E3" s="542"/>
      <c r="F3" s="542"/>
      <c r="G3" s="542"/>
      <c r="H3" s="542"/>
      <c r="I3" s="542"/>
      <c r="J3" s="358"/>
      <c r="K3" s="202"/>
    </row>
    <row r="4" spans="1:11" ht="24" customHeight="1">
      <c r="A4" s="203"/>
      <c r="B4" s="543" t="str">
        <f>IF(StartupInfo!B18="","",StartupInfo!B18)</f>
        <v>R&amp;D Department</v>
      </c>
      <c r="C4" s="543"/>
      <c r="D4" s="543"/>
      <c r="E4" s="543"/>
      <c r="F4" s="543"/>
      <c r="G4" s="543"/>
      <c r="H4" s="543"/>
      <c r="I4" s="543"/>
    </row>
    <row r="5" spans="1:11">
      <c r="A5" s="203"/>
      <c r="B5" s="544" t="str">
        <f>IF(StartupInfo!B19="","",StartupInfo!B19)</f>
        <v/>
      </c>
      <c r="C5" s="544"/>
      <c r="D5" s="544"/>
      <c r="E5" s="544"/>
      <c r="F5" s="544"/>
      <c r="G5" s="544"/>
      <c r="H5" s="544"/>
      <c r="I5" s="544"/>
      <c r="J5" s="203"/>
      <c r="K5" s="203"/>
    </row>
    <row r="6" spans="1:11">
      <c r="A6" s="202"/>
      <c r="B6" s="358"/>
      <c r="C6" s="358"/>
      <c r="D6" s="358"/>
      <c r="E6" s="358"/>
      <c r="F6" s="358"/>
      <c r="G6" s="358"/>
      <c r="H6" s="358"/>
      <c r="I6" s="358"/>
      <c r="J6" s="358"/>
      <c r="K6" s="202"/>
    </row>
    <row r="7" spans="1:11" s="361" customFormat="1">
      <c r="A7" s="359"/>
      <c r="B7" s="545" t="str">
        <f>CONCATENATE("was rated on ",TEXT(Planning!B48,"dd mmmm yyyy")," at ",Planning!B16)</f>
        <v>was rated on 16 April 2023 at Maturity Level 5</v>
      </c>
      <c r="C7" s="545"/>
      <c r="D7" s="545"/>
      <c r="E7" s="545"/>
      <c r="F7" s="545"/>
      <c r="G7" s="545"/>
      <c r="H7" s="545"/>
      <c r="I7" s="545"/>
      <c r="J7" s="360"/>
      <c r="K7" s="359"/>
    </row>
    <row r="8" spans="1:11">
      <c r="A8" s="203"/>
      <c r="B8" s="203"/>
      <c r="C8" s="203"/>
      <c r="E8" s="546"/>
      <c r="F8" s="546"/>
      <c r="G8" s="546"/>
      <c r="H8" s="203"/>
      <c r="I8" s="203"/>
      <c r="J8" s="203"/>
      <c r="K8" s="203"/>
    </row>
    <row r="9" spans="1:11">
      <c r="A9" s="203"/>
      <c r="B9" s="203"/>
      <c r="C9" s="203"/>
      <c r="D9" s="203"/>
      <c r="E9" s="546"/>
      <c r="F9" s="546"/>
      <c r="G9" s="546"/>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7" t="str">
        <f>_xlfn.CONCAT("CAS ID",'Agreement 3'!B5)</f>
        <v>CAS ID53517</v>
      </c>
      <c r="G11" s="547"/>
      <c r="H11" s="547"/>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1" t="str">
        <f>'Agreement 3'!B7</f>
        <v>Dr Pieter van Zyl</v>
      </c>
      <c r="H13" s="541"/>
      <c r="I13" s="541"/>
      <c r="J13" s="203"/>
      <c r="K13" s="203"/>
    </row>
    <row r="14" spans="1:11">
      <c r="A14" s="203"/>
      <c r="B14" s="203"/>
      <c r="C14" s="203"/>
      <c r="D14" s="203"/>
      <c r="E14" s="203"/>
      <c r="F14" s="203"/>
      <c r="G14" s="541" t="str">
        <f>'Agreement 3'!B9</f>
        <v>CMMI V2.0 High Maturity Lead Appraiser</v>
      </c>
      <c r="H14" s="541"/>
      <c r="I14" s="541"/>
      <c r="J14" s="203"/>
      <c r="K14" s="203"/>
    </row>
    <row r="15" spans="1:11">
      <c r="A15" s="203"/>
      <c r="B15" s="203"/>
      <c r="C15" s="203"/>
      <c r="D15" s="203"/>
      <c r="E15" s="203"/>
      <c r="F15" s="203"/>
      <c r="G15" s="541" t="str">
        <f>'Agreement 3'!B11</f>
        <v>0500535-01</v>
      </c>
      <c r="H15" s="541"/>
      <c r="I15" s="541"/>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995</v>
      </c>
      <c r="B2" s="131"/>
      <c r="C2" s="131"/>
      <c r="D2" s="132"/>
      <c r="E2" s="133"/>
    </row>
    <row r="3" spans="1:5" s="8" customFormat="1">
      <c r="A3" s="134"/>
      <c r="B3" s="135"/>
      <c r="C3" s="135"/>
      <c r="E3" s="136"/>
    </row>
    <row r="4" spans="1:5" s="8" customFormat="1" ht="21">
      <c r="A4" s="134"/>
      <c r="B4" s="137" t="s">
        <v>1069</v>
      </c>
      <c r="C4" s="135"/>
      <c r="E4" s="136"/>
    </row>
    <row r="5" spans="1:5" s="8" customFormat="1" ht="21">
      <c r="A5" s="134"/>
      <c r="B5" s="137" t="str">
        <f>Planning!B26</f>
        <v>CMMI Development V2.0 (CMMI-DEV) without SAM</v>
      </c>
      <c r="C5" s="135"/>
      <c r="E5" s="136"/>
    </row>
    <row r="6" spans="1:5" s="8" customFormat="1" ht="21">
      <c r="A6" s="134" t="s">
        <v>996</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863</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719</v>
      </c>
      <c r="B20" s="144">
        <f>Planning!B45</f>
        <v>45028</v>
      </c>
      <c r="C20" s="135"/>
      <c r="E20" s="136"/>
    </row>
    <row r="21" spans="1:9" s="8" customFormat="1" ht="21">
      <c r="A21" s="134" t="s">
        <v>720</v>
      </c>
      <c r="B21" s="144">
        <f>Planning!B47</f>
        <v>45032</v>
      </c>
      <c r="C21" s="135"/>
      <c r="E21" s="136"/>
      <c r="G21" s="145" t="s">
        <v>997</v>
      </c>
    </row>
    <row r="22" spans="1:9" s="8" customFormat="1" ht="21">
      <c r="A22" s="134" t="s">
        <v>721</v>
      </c>
      <c r="B22" s="144">
        <f>Planning!B48</f>
        <v>45032</v>
      </c>
      <c r="C22" s="135"/>
      <c r="E22" s="136"/>
      <c r="G22" s="145"/>
    </row>
    <row r="23" spans="1:9" s="8" customFormat="1" ht="54">
      <c r="B23" s="144"/>
      <c r="C23" s="135"/>
      <c r="E23" s="136"/>
      <c r="G23" s="205" t="str">
        <f>_xlfn.CONCAT("Expiry benchmark", CHAR(13),CHAR(10),"appraisal",CHAR(13),CHAR(10),G24)</f>
        <v>Expiry benchmark_x000D_
appraisal_x000D_
16 Apr 2026</v>
      </c>
      <c r="H23" s="189"/>
      <c r="I23" s="188"/>
    </row>
    <row r="24" spans="1:9" s="8" customFormat="1" ht="23.4">
      <c r="A24" s="134" t="s">
        <v>837</v>
      </c>
      <c r="B24" s="144">
        <f>Planning!B41</f>
        <v>45024</v>
      </c>
      <c r="C24" s="135"/>
      <c r="E24" s="136"/>
      <c r="G24" s="206" t="str">
        <f>TEXT(DATE(YEAR(B22)+3,MONTH(B22),DAY(B22)),"dd mmm yyyy")</f>
        <v>16 Apr 2026</v>
      </c>
      <c r="H24" s="190"/>
      <c r="I24" s="188"/>
    </row>
    <row r="25" spans="1:9" s="8" customFormat="1" ht="23.4">
      <c r="A25" s="134"/>
      <c r="B25" s="144"/>
      <c r="C25" s="135"/>
      <c r="E25" s="136"/>
      <c r="G25" s="206"/>
      <c r="H25" s="190"/>
      <c r="I25" s="188"/>
    </row>
    <row r="26" spans="1:9" s="8" customFormat="1" ht="15.6">
      <c r="A26" s="146" t="s">
        <v>998</v>
      </c>
      <c r="B26" s="242" t="s">
        <v>999</v>
      </c>
      <c r="C26" s="240" t="s">
        <v>1000</v>
      </c>
      <c r="D26" s="147" t="s">
        <v>810</v>
      </c>
      <c r="E26" s="136"/>
      <c r="G26" s="148"/>
    </row>
    <row r="27" spans="1:9" s="8" customFormat="1" ht="15.6">
      <c r="A27" s="134"/>
      <c r="B27" s="241" t="s">
        <v>1570</v>
      </c>
      <c r="C27" s="149" t="s">
        <v>1001</v>
      </c>
      <c r="D27" s="150">
        <f>'P1-OrgScope'!B88</f>
        <v>45052</v>
      </c>
      <c r="E27" s="136"/>
      <c r="G27" s="151" t="str">
        <f>G24</f>
        <v>16 Apr 2026</v>
      </c>
      <c r="H27" s="145" t="s">
        <v>1002</v>
      </c>
    </row>
    <row r="28" spans="1:9" s="8" customFormat="1" ht="15.6">
      <c r="A28" s="134"/>
      <c r="B28" s="149" t="s">
        <v>1659</v>
      </c>
      <c r="C28" s="149" t="s">
        <v>1003</v>
      </c>
      <c r="D28" s="150">
        <f>D27+14</f>
        <v>45066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45080</v>
      </c>
      <c r="E29" s="136"/>
    </row>
    <row r="30" spans="1:9" s="8" customFormat="1" ht="15.6">
      <c r="A30" s="134"/>
      <c r="B30" s="152"/>
      <c r="C30" s="152"/>
      <c r="D30" s="152"/>
      <c r="E30" s="136"/>
    </row>
    <row r="31" spans="1:9" s="8" customFormat="1" ht="31.5" customHeight="1">
      <c r="A31" s="134"/>
      <c r="B31" s="548" t="s">
        <v>1569</v>
      </c>
      <c r="C31" s="548"/>
      <c r="D31" s="548"/>
      <c r="E31" s="136"/>
      <c r="G31" s="154" t="s">
        <v>1353</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1571</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386</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935</v>
      </c>
      <c r="B6" s="327" t="str">
        <f>StartupInfo!B18</f>
        <v>R&amp;D Department</v>
      </c>
    </row>
    <row r="7" spans="1:10">
      <c r="A7" s="335" t="s">
        <v>936</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420</v>
      </c>
      <c r="B8" s="329" t="str">
        <f>IF(StartupInfo!B31="","",StartupInfo!B31)</f>
        <v>Room 1, Dome 1, No. 1 First Street, Base Alpha City, Tharsis, Planet04, China</v>
      </c>
    </row>
    <row r="9" spans="1:10">
      <c r="D9" s="365" t="str">
        <f>StartupInfo!B18</f>
        <v>R&amp;D Department</v>
      </c>
      <c r="E9" s="366" t="s">
        <v>1560</v>
      </c>
    </row>
    <row r="10" spans="1:10">
      <c r="A10" s="326" t="s">
        <v>938</v>
      </c>
      <c r="B10" s="327" t="str">
        <f>'Agreement 3'!B30</f>
        <v>Prof Donald Kessler</v>
      </c>
    </row>
    <row r="11" spans="1:10">
      <c r="A11" s="335" t="s">
        <v>827</v>
      </c>
      <c r="B11" s="328" t="str">
        <f>'Agreement 3'!B31</f>
        <v>The Boss</v>
      </c>
    </row>
    <row r="12" spans="1:10">
      <c r="A12" s="335" t="s">
        <v>933</v>
      </c>
      <c r="B12" s="329" t="str">
        <f>StartupInfo!B37</f>
        <v>Internal</v>
      </c>
    </row>
    <row r="14" spans="1:10">
      <c r="A14" s="326" t="s">
        <v>934</v>
      </c>
      <c r="B14" s="327" t="str">
        <f>'Agreement 3'!B7</f>
        <v>Dr Pieter van Zyl</v>
      </c>
    </row>
    <row r="15" spans="1:10">
      <c r="A15" s="335" t="s">
        <v>939</v>
      </c>
      <c r="B15" s="328" t="str">
        <f>'Agreement 3'!B11</f>
        <v>0500535-01</v>
      </c>
    </row>
    <row r="16" spans="1:10">
      <c r="A16" s="335" t="s">
        <v>940</v>
      </c>
      <c r="B16" s="328" t="str">
        <f>'Agreement 3'!B8</f>
        <v>Demix (Pty) Ltd</v>
      </c>
    </row>
    <row r="17" spans="1:2">
      <c r="A17" s="335" t="s">
        <v>941</v>
      </c>
      <c r="B17" s="328" t="str">
        <f>'Agreement 3'!B48</f>
        <v>Demix (Pty) Ltd</v>
      </c>
    </row>
    <row r="18" spans="1:2">
      <c r="A18" s="335" t="s">
        <v>10</v>
      </c>
      <c r="B18" s="328" t="str">
        <f>'Agreement 3'!B13</f>
        <v>pieter.vanzyl@demix.org</v>
      </c>
    </row>
    <row r="20" spans="1:2">
      <c r="A20" s="326" t="s">
        <v>942</v>
      </c>
      <c r="B20" s="327" t="str">
        <f>_xlfn.CONCAT('Agreement 3'!B7," - ",'Agreement 3'!B8)</f>
        <v>Dr Pieter van Zyl - Demix (Pty) Ltd</v>
      </c>
    </row>
    <row r="21" spans="1:2">
      <c r="A21" s="335" t="s">
        <v>943</v>
      </c>
      <c r="B21" s="328" t="str">
        <f>_xlfn.CONCAT('P1-Personnel'!B13," - ",'P1-Personnel'!D13)</f>
        <v>ATM-1 - Demix (Pty) Ltd</v>
      </c>
    </row>
    <row r="22" spans="1:2">
      <c r="A22" s="335" t="s">
        <v>943</v>
      </c>
      <c r="B22" s="328" t="str">
        <f>_xlfn.CONCAT('P1-Personnel'!B14," - ",'P1-Personnel'!D14)</f>
        <v>ATM-2 - Demix (Pty) Ltd</v>
      </c>
    </row>
    <row r="23" spans="1:2">
      <c r="A23" s="335" t="s">
        <v>943</v>
      </c>
      <c r="B23" s="328" t="str">
        <f>_xlfn.CONCAT('P1-Personnel'!B15," - ",'P1-Personnel'!D15)</f>
        <v>ATM-3 - Demix (Pty) Ltd</v>
      </c>
    </row>
    <row r="24" spans="1:2">
      <c r="A24" s="335" t="s">
        <v>943</v>
      </c>
      <c r="B24" s="328" t="str">
        <f>_xlfn.CONCAT('P1-Personnel'!B16," - ",'P1-Personnel'!D16)</f>
        <v>ATM-4 - Demix (Pty) Ltd</v>
      </c>
    </row>
    <row r="25" spans="1:2">
      <c r="A25" s="335" t="s">
        <v>943</v>
      </c>
      <c r="B25" s="328" t="str">
        <f>_xlfn.CONCAT('P1-Personnel'!B17," - ",'P1-Personnel'!D17)</f>
        <v>ATM-5 - Demix (Pty) Ltd</v>
      </c>
    </row>
    <row r="26" spans="1:2">
      <c r="A26" s="335" t="s">
        <v>943</v>
      </c>
      <c r="B26" s="328" t="str">
        <f>_xlfn.CONCAT('P1-Personnel'!B18," - ",'P1-Personnel'!D18)</f>
        <v>ATM-6 - Demix (Pty) Ltd</v>
      </c>
    </row>
    <row r="27" spans="1:2">
      <c r="A27" s="335" t="s">
        <v>943</v>
      </c>
      <c r="B27" s="328" t="str">
        <f>_xlfn.CONCAT('P1-Personnel'!B19," - ",'P1-Personnel'!D19)</f>
        <v>ATM-7 - Demix (Pty) Ltd</v>
      </c>
    </row>
    <row r="28" spans="1:2">
      <c r="A28" s="335" t="s">
        <v>943</v>
      </c>
      <c r="B28" s="328" t="str">
        <f>_xlfn.CONCAT('P1-Personnel'!B20," - ",'P1-Personnel'!D20)</f>
        <v>ATM-8 - Demix (Pty) Ltd</v>
      </c>
    </row>
    <row r="29" spans="1:2">
      <c r="A29" s="335" t="s">
        <v>943</v>
      </c>
      <c r="B29" s="328" t="str">
        <f>_xlfn.CONCAT('P1-Personnel'!B21," - ",'P1-Personnel'!D21)</f>
        <v>ATM-9 - Demix (Pty) Ltd</v>
      </c>
    </row>
    <row r="30" spans="1:2">
      <c r="A30" s="335" t="s">
        <v>944</v>
      </c>
      <c r="B30" s="328" t="str">
        <f>_xlfn.CONCAT('Agreement 3'!B35," - ",'Agreement 3'!B37)</f>
        <v>Miss Nathalie Lake - Software for Mars (Pty) Ltd</v>
      </c>
    </row>
    <row r="31" spans="1:2">
      <c r="A31" s="335" t="s">
        <v>24</v>
      </c>
      <c r="B31" s="328" t="str">
        <f>_xlfn.CONCAT('P1-Personnel'!B8," - ",'P1-Personnel'!D8)</f>
        <v>Miss Barbara Land - Freelance</v>
      </c>
    </row>
    <row r="33" spans="1:2">
      <c r="A33" s="326" t="s">
        <v>1425</v>
      </c>
      <c r="B33" s="326" t="s">
        <v>379</v>
      </c>
    </row>
    <row r="34" spans="1:2" ht="31.95" customHeight="1">
      <c r="A34" s="335" t="s">
        <v>758</v>
      </c>
      <c r="B34" s="331" t="s">
        <v>1426</v>
      </c>
    </row>
    <row r="35" spans="1:2" ht="31.95" customHeight="1">
      <c r="A35" s="335" t="s">
        <v>1427</v>
      </c>
      <c r="B35" s="332" t="s">
        <v>1322</v>
      </c>
    </row>
    <row r="36" spans="1:2" ht="31.95" customHeight="1">
      <c r="A36" s="335" t="s">
        <v>759</v>
      </c>
      <c r="B36" s="332" t="s">
        <v>1319</v>
      </c>
    </row>
    <row r="37" spans="1:2" ht="31.95" customHeight="1">
      <c r="A37" s="335" t="s">
        <v>1428</v>
      </c>
      <c r="B37" s="332" t="s">
        <v>1320</v>
      </c>
    </row>
    <row r="38" spans="1:2" ht="31.95" customHeight="1">
      <c r="A38" s="335" t="s">
        <v>652</v>
      </c>
      <c r="B38" s="332" t="s">
        <v>1429</v>
      </c>
    </row>
    <row r="39" spans="1:2">
      <c r="A39" s="326" t="s">
        <v>1430</v>
      </c>
      <c r="B39" s="326" t="s">
        <v>379</v>
      </c>
    </row>
    <row r="40" spans="1:2" ht="34.950000000000003" customHeight="1">
      <c r="A40" s="335" t="s">
        <v>1431</v>
      </c>
      <c r="B40" s="332" t="s">
        <v>1432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49" t="str">
        <f>Planning!B26</f>
        <v>CMMI Development V2.0 (CMMI-DEV) without SAM</v>
      </c>
      <c r="B2" s="550"/>
      <c r="C2" s="550"/>
      <c r="D2" s="549"/>
      <c r="E2" s="550"/>
      <c r="F2" s="550"/>
      <c r="G2" s="550"/>
      <c r="H2" s="550"/>
      <c r="I2" s="550"/>
      <c r="L2" s="267" t="s">
        <v>1245</v>
      </c>
      <c r="M2" s="267">
        <f>VALUE(RIGHT(Planning!B16,1))</f>
        <v>5</v>
      </c>
      <c r="N2" s="16" t="s">
        <v>1246</v>
      </c>
    </row>
    <row r="3" spans="1:16" s="8" customFormat="1">
      <c r="A3" s="551" t="str">
        <f>'P1-OrgScope'!B48</f>
        <v>Maturity Level 5</v>
      </c>
      <c r="B3" s="552"/>
      <c r="C3" s="552"/>
      <c r="D3" s="551"/>
      <c r="E3" s="552"/>
      <c r="F3" s="552"/>
      <c r="G3" s="552"/>
      <c r="H3" s="552"/>
      <c r="I3" s="552"/>
      <c r="J3" s="125"/>
      <c r="K3" s="302"/>
      <c r="L3" s="302"/>
      <c r="M3" s="302"/>
      <c r="N3" s="125"/>
      <c r="O3" s="125"/>
      <c r="P3" s="125"/>
    </row>
    <row r="4" spans="1:16">
      <c r="A4" s="305" t="s">
        <v>1406</v>
      </c>
      <c r="B4" s="305" t="s">
        <v>881</v>
      </c>
      <c r="C4" s="306" t="s">
        <v>1407</v>
      </c>
      <c r="D4" s="319" t="s">
        <v>881</v>
      </c>
      <c r="E4" s="320">
        <v>1</v>
      </c>
      <c r="F4" s="320">
        <v>2</v>
      </c>
      <c r="G4" s="320">
        <v>3</v>
      </c>
      <c r="H4" s="320">
        <v>4</v>
      </c>
      <c r="I4" s="320">
        <v>5</v>
      </c>
      <c r="M4" s="302" t="s">
        <v>1422</v>
      </c>
    </row>
    <row r="5" spans="1:16" ht="20.7" customHeight="1">
      <c r="A5" s="558" t="s">
        <v>1411</v>
      </c>
      <c r="B5" s="307" t="s">
        <v>992</v>
      </c>
      <c r="C5" s="287">
        <f t="shared" ref="C5:C24" si="0">IF(M5&gt;=$M$2,$M$2,M5)</f>
        <v>3</v>
      </c>
      <c r="D5" s="321" t="s">
        <v>992</v>
      </c>
      <c r="E5" s="322" t="str">
        <f>IF($C5&gt;=E$4,"x","")</f>
        <v>x</v>
      </c>
      <c r="F5" s="322" t="str">
        <f t="shared" ref="F5:I20" si="1">IF($C5&gt;=F$4,"x","")</f>
        <v>x</v>
      </c>
      <c r="G5" s="322" t="str">
        <f t="shared" si="1"/>
        <v>x</v>
      </c>
      <c r="H5" s="322" t="str">
        <f t="shared" si="1"/>
        <v/>
      </c>
      <c r="I5" s="322" t="str">
        <f t="shared" si="1"/>
        <v/>
      </c>
      <c r="M5" s="302">
        <v>3</v>
      </c>
    </row>
    <row r="6" spans="1:16" ht="20.7" customHeight="1">
      <c r="A6" s="558"/>
      <c r="B6" s="307" t="s">
        <v>1004</v>
      </c>
      <c r="C6" s="287">
        <f t="shared" si="0"/>
        <v>3</v>
      </c>
      <c r="D6" s="321" t="s">
        <v>1004</v>
      </c>
      <c r="E6" s="322" t="str">
        <f t="shared" ref="E6:I24" si="2">IF($C6&gt;=E$4,"x","")</f>
        <v>x</v>
      </c>
      <c r="F6" s="322" t="str">
        <f t="shared" si="1"/>
        <v>x</v>
      </c>
      <c r="G6" s="322" t="str">
        <f t="shared" si="1"/>
        <v>x</v>
      </c>
      <c r="H6" s="322" t="str">
        <f t="shared" si="1"/>
        <v/>
      </c>
      <c r="I6" s="322" t="str">
        <f t="shared" si="1"/>
        <v/>
      </c>
      <c r="M6" s="302">
        <v>3</v>
      </c>
    </row>
    <row r="7" spans="1:16" ht="20.7" customHeight="1">
      <c r="A7" s="558"/>
      <c r="B7" s="307" t="s">
        <v>986</v>
      </c>
      <c r="C7" s="287">
        <f t="shared" si="0"/>
        <v>3</v>
      </c>
      <c r="D7" s="321" t="s">
        <v>986</v>
      </c>
      <c r="E7" s="322" t="str">
        <f t="shared" si="2"/>
        <v>x</v>
      </c>
      <c r="F7" s="322" t="str">
        <f t="shared" si="1"/>
        <v>x</v>
      </c>
      <c r="G7" s="322" t="str">
        <f t="shared" si="1"/>
        <v>x</v>
      </c>
      <c r="H7" s="322" t="str">
        <f t="shared" si="1"/>
        <v/>
      </c>
      <c r="I7" s="322" t="str">
        <f t="shared" si="1"/>
        <v/>
      </c>
      <c r="M7" s="302">
        <v>3</v>
      </c>
    </row>
    <row r="8" spans="1:16" ht="20.7" customHeight="1">
      <c r="A8" s="558"/>
      <c r="B8" s="307" t="s">
        <v>1412</v>
      </c>
      <c r="C8" s="287">
        <f t="shared" si="0"/>
        <v>3</v>
      </c>
      <c r="D8" s="321" t="s">
        <v>1412</v>
      </c>
      <c r="E8" s="322" t="str">
        <f t="shared" si="2"/>
        <v>x</v>
      </c>
      <c r="F8" s="322" t="str">
        <f t="shared" si="1"/>
        <v>x</v>
      </c>
      <c r="G8" s="322" t="str">
        <f t="shared" si="1"/>
        <v>x</v>
      </c>
      <c r="H8" s="322" t="str">
        <f t="shared" si="1"/>
        <v/>
      </c>
      <c r="I8" s="322" t="str">
        <f t="shared" si="1"/>
        <v/>
      </c>
      <c r="M8" s="302">
        <v>3</v>
      </c>
    </row>
    <row r="9" spans="1:16" ht="20.7" customHeight="1">
      <c r="A9" s="553" t="s">
        <v>1414</v>
      </c>
      <c r="B9" s="308" t="s">
        <v>993</v>
      </c>
      <c r="C9" s="287">
        <f t="shared" si="0"/>
        <v>3</v>
      </c>
      <c r="D9" s="321" t="s">
        <v>993</v>
      </c>
      <c r="E9" s="322" t="str">
        <f t="shared" si="2"/>
        <v>x</v>
      </c>
      <c r="F9" s="322" t="str">
        <f t="shared" si="1"/>
        <v>x</v>
      </c>
      <c r="G9" s="322" t="str">
        <f t="shared" si="1"/>
        <v>x</v>
      </c>
      <c r="H9" s="322" t="str">
        <f t="shared" si="1"/>
        <v/>
      </c>
      <c r="I9" s="322" t="str">
        <f t="shared" si="1"/>
        <v/>
      </c>
      <c r="M9" s="302">
        <v>3</v>
      </c>
    </row>
    <row r="10" spans="1:16" ht="20.7" customHeight="1">
      <c r="A10" s="553"/>
      <c r="B10" s="308" t="s">
        <v>994</v>
      </c>
      <c r="C10" s="287">
        <f t="shared" si="0"/>
        <v>3</v>
      </c>
      <c r="D10" s="321" t="s">
        <v>994</v>
      </c>
      <c r="E10" s="322" t="str">
        <f t="shared" si="2"/>
        <v>x</v>
      </c>
      <c r="F10" s="322" t="str">
        <f t="shared" si="1"/>
        <v>x</v>
      </c>
      <c r="G10" s="322" t="str">
        <f t="shared" si="1"/>
        <v>x</v>
      </c>
      <c r="H10" s="322" t="str">
        <f t="shared" si="1"/>
        <v/>
      </c>
      <c r="I10" s="322" t="str">
        <f t="shared" si="1"/>
        <v/>
      </c>
      <c r="M10" s="302">
        <v>3</v>
      </c>
    </row>
    <row r="11" spans="1:16" ht="20.7" hidden="1" customHeight="1">
      <c r="A11" s="309" t="s">
        <v>1423</v>
      </c>
      <c r="B11" s="310" t="s">
        <v>1424</v>
      </c>
      <c r="C11" s="287">
        <f t="shared" si="0"/>
        <v>4</v>
      </c>
      <c r="D11" s="321" t="s">
        <v>1424</v>
      </c>
      <c r="E11" s="322" t="str">
        <f t="shared" si="2"/>
        <v>x</v>
      </c>
      <c r="F11" s="322" t="str">
        <f t="shared" si="1"/>
        <v>x</v>
      </c>
      <c r="G11" s="322" t="str">
        <f t="shared" si="1"/>
        <v>x</v>
      </c>
      <c r="H11" s="322" t="str">
        <f t="shared" si="1"/>
        <v>x</v>
      </c>
      <c r="I11" s="322" t="str">
        <f t="shared" si="1"/>
        <v/>
      </c>
      <c r="M11" s="302">
        <v>4</v>
      </c>
    </row>
    <row r="12" spans="1:16" ht="20.7" customHeight="1">
      <c r="A12" s="554" t="s">
        <v>1421</v>
      </c>
      <c r="B12" s="311" t="s">
        <v>990</v>
      </c>
      <c r="C12" s="287">
        <f t="shared" si="0"/>
        <v>3</v>
      </c>
      <c r="D12" s="321" t="s">
        <v>990</v>
      </c>
      <c r="E12" s="322" t="str">
        <f t="shared" si="2"/>
        <v>x</v>
      </c>
      <c r="F12" s="322" t="str">
        <f t="shared" si="1"/>
        <v>x</v>
      </c>
      <c r="G12" s="322" t="str">
        <f t="shared" si="1"/>
        <v>x</v>
      </c>
      <c r="H12" s="322" t="str">
        <f t="shared" si="1"/>
        <v/>
      </c>
      <c r="I12" s="322" t="str">
        <f t="shared" si="1"/>
        <v/>
      </c>
      <c r="M12" s="302">
        <v>3</v>
      </c>
    </row>
    <row r="13" spans="1:16" ht="20.7" customHeight="1">
      <c r="A13" s="554"/>
      <c r="B13" s="311" t="s">
        <v>989</v>
      </c>
      <c r="C13" s="287">
        <f t="shared" si="0"/>
        <v>4</v>
      </c>
      <c r="D13" s="321" t="s">
        <v>989</v>
      </c>
      <c r="E13" s="322" t="str">
        <f t="shared" si="2"/>
        <v>x</v>
      </c>
      <c r="F13" s="322" t="str">
        <f t="shared" si="1"/>
        <v>x</v>
      </c>
      <c r="G13" s="322" t="str">
        <f t="shared" si="1"/>
        <v>x</v>
      </c>
      <c r="H13" s="322" t="str">
        <f t="shared" si="1"/>
        <v>x</v>
      </c>
      <c r="I13" s="322" t="str">
        <f t="shared" si="1"/>
        <v/>
      </c>
      <c r="M13" s="302">
        <v>4</v>
      </c>
    </row>
    <row r="14" spans="1:16" ht="20.7" customHeight="1">
      <c r="A14" s="554"/>
      <c r="B14" s="311" t="s">
        <v>1415</v>
      </c>
      <c r="C14" s="287">
        <f t="shared" si="0"/>
        <v>3</v>
      </c>
      <c r="D14" s="321" t="s">
        <v>1415</v>
      </c>
      <c r="E14" s="322" t="str">
        <f t="shared" si="2"/>
        <v>x</v>
      </c>
      <c r="F14" s="322" t="str">
        <f t="shared" si="1"/>
        <v>x</v>
      </c>
      <c r="G14" s="322" t="str">
        <f t="shared" si="1"/>
        <v>x</v>
      </c>
      <c r="H14" s="322" t="str">
        <f t="shared" si="1"/>
        <v/>
      </c>
      <c r="I14" s="322" t="str">
        <f t="shared" si="1"/>
        <v/>
      </c>
      <c r="M14" s="302">
        <v>3</v>
      </c>
    </row>
    <row r="15" spans="1:16" ht="20.7" customHeight="1">
      <c r="A15" s="312" t="s">
        <v>1420</v>
      </c>
      <c r="B15" s="313" t="s">
        <v>991</v>
      </c>
      <c r="C15" s="287">
        <f t="shared" si="0"/>
        <v>3</v>
      </c>
      <c r="D15" s="321" t="s">
        <v>991</v>
      </c>
      <c r="E15" s="322" t="str">
        <f t="shared" si="2"/>
        <v>x</v>
      </c>
      <c r="F15" s="322" t="str">
        <f t="shared" si="1"/>
        <v>x</v>
      </c>
      <c r="G15" s="322" t="str">
        <f t="shared" si="1"/>
        <v>x</v>
      </c>
      <c r="H15" s="322" t="str">
        <f t="shared" si="1"/>
        <v/>
      </c>
      <c r="I15" s="322" t="str">
        <f t="shared" si="1"/>
        <v/>
      </c>
      <c r="M15" s="302">
        <v>3</v>
      </c>
    </row>
    <row r="16" spans="1:16" ht="20.7" customHeight="1">
      <c r="A16" s="314" t="s">
        <v>1419</v>
      </c>
      <c r="B16" s="315" t="s">
        <v>983</v>
      </c>
      <c r="C16" s="287">
        <f t="shared" si="0"/>
        <v>3</v>
      </c>
      <c r="D16" s="321" t="s">
        <v>983</v>
      </c>
      <c r="E16" s="322" t="str">
        <f t="shared" si="2"/>
        <v>x</v>
      </c>
      <c r="F16" s="322" t="str">
        <f t="shared" si="1"/>
        <v>x</v>
      </c>
      <c r="G16" s="322" t="str">
        <f t="shared" si="1"/>
        <v>x</v>
      </c>
      <c r="H16" s="322" t="str">
        <f t="shared" si="1"/>
        <v/>
      </c>
      <c r="I16" s="322" t="str">
        <f t="shared" si="1"/>
        <v/>
      </c>
      <c r="M16" s="302">
        <v>3</v>
      </c>
    </row>
    <row r="17" spans="1:13" ht="20.7" customHeight="1">
      <c r="A17" s="555" t="s">
        <v>1418</v>
      </c>
      <c r="B17" s="316" t="s">
        <v>981</v>
      </c>
      <c r="C17" s="287">
        <f t="shared" si="0"/>
        <v>5</v>
      </c>
      <c r="D17" s="321" t="s">
        <v>981</v>
      </c>
      <c r="E17" s="322" t="str">
        <f t="shared" si="2"/>
        <v>x</v>
      </c>
      <c r="F17" s="322" t="str">
        <f t="shared" si="1"/>
        <v>x</v>
      </c>
      <c r="G17" s="322" t="str">
        <f t="shared" si="1"/>
        <v>x</v>
      </c>
      <c r="H17" s="322" t="str">
        <f t="shared" si="1"/>
        <v>x</v>
      </c>
      <c r="I17" s="322" t="str">
        <f t="shared" si="1"/>
        <v>x</v>
      </c>
      <c r="M17" s="302">
        <v>5</v>
      </c>
    </row>
    <row r="18" spans="1:13" ht="20.7" customHeight="1">
      <c r="A18" s="555"/>
      <c r="B18" s="316" t="s">
        <v>982</v>
      </c>
      <c r="C18" s="287">
        <f t="shared" si="0"/>
        <v>3</v>
      </c>
      <c r="D18" s="321" t="s">
        <v>982</v>
      </c>
      <c r="E18" s="322" t="str">
        <f t="shared" si="2"/>
        <v>x</v>
      </c>
      <c r="F18" s="322" t="str">
        <f t="shared" si="1"/>
        <v>x</v>
      </c>
      <c r="G18" s="322" t="str">
        <f t="shared" si="1"/>
        <v>x</v>
      </c>
      <c r="H18" s="322" t="str">
        <f t="shared" si="1"/>
        <v/>
      </c>
      <c r="I18" s="322" t="str">
        <f t="shared" si="1"/>
        <v/>
      </c>
      <c r="M18" s="302">
        <v>3</v>
      </c>
    </row>
    <row r="19" spans="1:13" ht="20.7" customHeight="1">
      <c r="A19" s="555"/>
      <c r="B19" s="316" t="s">
        <v>988</v>
      </c>
      <c r="C19" s="287">
        <f t="shared" si="0"/>
        <v>2</v>
      </c>
      <c r="D19" s="321" t="s">
        <v>988</v>
      </c>
      <c r="E19" s="322" t="str">
        <f t="shared" si="2"/>
        <v>x</v>
      </c>
      <c r="F19" s="322" t="str">
        <f t="shared" si="1"/>
        <v>x</v>
      </c>
      <c r="G19" s="322" t="str">
        <f t="shared" si="1"/>
        <v/>
      </c>
      <c r="H19" s="322" t="str">
        <f t="shared" si="1"/>
        <v/>
      </c>
      <c r="I19" s="322" t="str">
        <f t="shared" si="1"/>
        <v/>
      </c>
      <c r="M19" s="302">
        <v>2</v>
      </c>
    </row>
    <row r="20" spans="1:13" ht="20.7" customHeight="1">
      <c r="A20" s="556" t="s">
        <v>1417</v>
      </c>
      <c r="B20" s="317" t="s">
        <v>1561</v>
      </c>
      <c r="C20" s="287">
        <f t="shared" si="0"/>
        <v>4</v>
      </c>
      <c r="D20" s="321" t="s">
        <v>1561</v>
      </c>
      <c r="E20" s="322" t="str">
        <f t="shared" si="2"/>
        <v>x</v>
      </c>
      <c r="F20" s="322" t="str">
        <f t="shared" si="1"/>
        <v>x</v>
      </c>
      <c r="G20" s="322" t="str">
        <f t="shared" si="1"/>
        <v>x</v>
      </c>
      <c r="H20" s="322" t="str">
        <f t="shared" si="1"/>
        <v>x</v>
      </c>
      <c r="I20" s="322" t="str">
        <f t="shared" si="1"/>
        <v/>
      </c>
      <c r="M20" s="302">
        <v>4</v>
      </c>
    </row>
    <row r="21" spans="1:13" ht="20.7" customHeight="1">
      <c r="A21" s="556"/>
      <c r="B21" s="317" t="s">
        <v>1416</v>
      </c>
      <c r="C21" s="287">
        <f t="shared" si="0"/>
        <v>3</v>
      </c>
      <c r="D21" s="321" t="s">
        <v>1416</v>
      </c>
      <c r="E21" s="322" t="str">
        <f t="shared" si="2"/>
        <v>x</v>
      </c>
      <c r="F21" s="322" t="str">
        <f t="shared" si="2"/>
        <v>x</v>
      </c>
      <c r="G21" s="322" t="str">
        <f t="shared" si="2"/>
        <v>x</v>
      </c>
      <c r="H21" s="322" t="str">
        <f t="shared" si="2"/>
        <v/>
      </c>
      <c r="I21" s="322" t="str">
        <f t="shared" si="2"/>
        <v/>
      </c>
      <c r="M21" s="302">
        <v>3</v>
      </c>
    </row>
    <row r="22" spans="1:13" ht="20.7" customHeight="1">
      <c r="A22" s="557" t="s">
        <v>1413</v>
      </c>
      <c r="B22" s="318" t="s">
        <v>987</v>
      </c>
      <c r="C22" s="287">
        <f t="shared" si="0"/>
        <v>5</v>
      </c>
      <c r="D22" s="321" t="s">
        <v>987</v>
      </c>
      <c r="E22" s="322" t="str">
        <f t="shared" si="2"/>
        <v>x</v>
      </c>
      <c r="F22" s="322" t="str">
        <f t="shared" si="2"/>
        <v>x</v>
      </c>
      <c r="G22" s="322" t="str">
        <f t="shared" si="2"/>
        <v>x</v>
      </c>
      <c r="H22" s="322" t="str">
        <f t="shared" si="2"/>
        <v>x</v>
      </c>
      <c r="I22" s="322" t="str">
        <f t="shared" si="2"/>
        <v>x</v>
      </c>
      <c r="M22" s="302">
        <v>5</v>
      </c>
    </row>
    <row r="23" spans="1:13" ht="20.7" customHeight="1">
      <c r="A23" s="557"/>
      <c r="B23" s="318" t="s">
        <v>984</v>
      </c>
      <c r="C23" s="287">
        <f t="shared" si="0"/>
        <v>4</v>
      </c>
      <c r="D23" s="321" t="s">
        <v>984</v>
      </c>
      <c r="E23" s="322" t="str">
        <f t="shared" si="2"/>
        <v>x</v>
      </c>
      <c r="F23" s="322" t="str">
        <f t="shared" si="2"/>
        <v>x</v>
      </c>
      <c r="G23" s="322" t="str">
        <f t="shared" si="2"/>
        <v>x</v>
      </c>
      <c r="H23" s="322" t="str">
        <f t="shared" si="2"/>
        <v>x</v>
      </c>
      <c r="I23" s="322" t="str">
        <f t="shared" si="2"/>
        <v/>
      </c>
      <c r="M23" s="302">
        <v>4</v>
      </c>
    </row>
    <row r="24" spans="1:13" ht="20.7" customHeight="1">
      <c r="A24" s="557"/>
      <c r="B24" s="318" t="s">
        <v>985</v>
      </c>
      <c r="C24" s="287">
        <f t="shared" si="0"/>
        <v>3</v>
      </c>
      <c r="D24" s="321" t="s">
        <v>985</v>
      </c>
      <c r="E24" s="322" t="str">
        <f t="shared" si="2"/>
        <v>x</v>
      </c>
      <c r="F24" s="322" t="str">
        <f t="shared" si="2"/>
        <v>x</v>
      </c>
      <c r="G24" s="322" t="str">
        <f t="shared" si="2"/>
        <v>x</v>
      </c>
      <c r="H24" s="322" t="str">
        <f t="shared" si="2"/>
        <v/>
      </c>
      <c r="I24" s="322" t="str">
        <f t="shared" si="2"/>
        <v/>
      </c>
      <c r="M24" s="302">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1117</v>
      </c>
      <c r="E24" s="200" t="s">
        <v>1153</v>
      </c>
      <c r="G24" s="212" t="s">
        <v>1126</v>
      </c>
      <c r="H24" s="125" t="s">
        <v>1154</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1076</v>
      </c>
      <c r="B1" s="172" t="s">
        <v>1078</v>
      </c>
      <c r="C1" s="195" t="s">
        <v>1077</v>
      </c>
      <c r="D1" s="172" t="s">
        <v>379</v>
      </c>
      <c r="E1" s="172" t="s">
        <v>1081</v>
      </c>
    </row>
    <row r="2" spans="1:5" ht="63" customHeight="1">
      <c r="A2" s="562" t="str">
        <f>_xlfn.CONCAT('P1-OrgScope'!B133,"(",'P1-OrgScope'!B134,")")</f>
        <v>All projects(AP)</v>
      </c>
      <c r="B2" s="197" t="str">
        <f>'Project&amp;Support'!B3</f>
        <v>p1MRE</v>
      </c>
      <c r="C2" s="198" t="str">
        <f>'Project&amp;Support'!AB3</f>
        <v>xx</v>
      </c>
      <c r="D2" s="197" t="str">
        <f>'Project&amp;Support'!C3</f>
        <v xml:space="preserve">Merlyn Rocket Engine (MRE) … </v>
      </c>
      <c r="E2" s="562" t="str">
        <f>_xlfn.CONCAT(StartupInfo!B5,", ",StartupInfo!B6,", ",StartupInfo!B7,CHAR(13),CHAR(10),StartupInfo!B8,", ",StartupInfo!B9)</f>
        <v>Room 1, Dome 1, No. 1 First Street, Base Alpha City_x000D_
Tharsis, Planet04</v>
      </c>
    </row>
    <row r="3" spans="1:5" ht="63" customHeight="1">
      <c r="A3" s="562"/>
      <c r="B3" s="197" t="str">
        <f>'Project&amp;Support'!B4</f>
        <v>p2RRE</v>
      </c>
      <c r="C3" s="198" t="str">
        <f>'Project&amp;Support'!AB4</f>
        <v>xx</v>
      </c>
      <c r="D3" s="197" t="str">
        <f>'Project&amp;Support'!C4</f>
        <v>Raptor Rocket Engine (RRE) …</v>
      </c>
      <c r="E3" s="562"/>
    </row>
    <row r="4" spans="1:5" ht="63" customHeight="1">
      <c r="A4" s="562"/>
      <c r="B4" s="197" t="str">
        <f>'Project&amp;Support'!B5</f>
        <v>p3FNR</v>
      </c>
      <c r="C4" s="198" t="str">
        <f>'Project&amp;Support'!AB5</f>
        <v>xx</v>
      </c>
      <c r="D4" s="197" t="str">
        <f>'Project&amp;Support'!C5</f>
        <v>Falcon Nine Rocket (FNR) ….</v>
      </c>
      <c r="E4" s="562"/>
    </row>
    <row r="5" spans="1:5" ht="63" customHeight="1">
      <c r="A5" s="562"/>
      <c r="B5" s="197" t="str">
        <f>'Project&amp;Support'!B6</f>
        <v>p4SSH</v>
      </c>
      <c r="C5" s="198" t="str">
        <f>'Project&amp;Support'!AB6</f>
        <v>xx</v>
      </c>
      <c r="D5" s="197" t="str">
        <f>'Project&amp;Support'!C6</f>
        <v>Starship Super Heavy (SSH) ….</v>
      </c>
      <c r="E5" s="562"/>
    </row>
    <row r="6" spans="1:5" ht="42" hidden="1">
      <c r="A6" s="562"/>
      <c r="B6" s="197" t="s">
        <v>1562</v>
      </c>
      <c r="C6" s="198">
        <f>'Project&amp;Support'!AB10</f>
        <v>1</v>
      </c>
      <c r="D6" s="197" t="str">
        <f>'Project&amp;Support'!C10</f>
        <v>The Configuration Management (CM) function, manages baselines for projects and the organization.</v>
      </c>
      <c r="E6" s="562"/>
    </row>
    <row r="7" spans="1:5" ht="105" hidden="1">
      <c r="A7" s="562"/>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2"/>
    </row>
    <row r="8" spans="1:5" ht="63" hidden="1">
      <c r="A8" s="562"/>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2"/>
    </row>
    <row r="9" spans="1:5" ht="42" hidden="1">
      <c r="A9" s="562"/>
      <c r="B9" s="197" t="str">
        <f>'Project&amp;Support'!B13</f>
        <v>s4PPQA</v>
      </c>
      <c r="C9" s="198">
        <f>'Project&amp;Support'!AB13</f>
        <v>1</v>
      </c>
      <c r="D9" s="197" t="str">
        <f>'Project&amp;Support'!C13</f>
        <v xml:space="preserve">The Process and Product Quality Assurance (PPQA) team manage and performs process quality assurance. </v>
      </c>
      <c r="E9" s="562"/>
    </row>
    <row r="10" spans="1:5" ht="21" hidden="1">
      <c r="A10" s="562"/>
      <c r="B10" s="197">
        <f>'Project&amp;Support'!B14</f>
        <v>0</v>
      </c>
      <c r="C10" s="198">
        <f>'Project&amp;Support'!AB14</f>
        <v>0</v>
      </c>
      <c r="D10" s="197">
        <f>'Project&amp;Support'!C14</f>
        <v>0</v>
      </c>
      <c r="E10" s="562"/>
    </row>
    <row r="11" spans="1:5" ht="21" hidden="1">
      <c r="A11" s="562"/>
      <c r="B11" s="197">
        <f>'Project&amp;Support'!B15</f>
        <v>0</v>
      </c>
      <c r="C11" s="198">
        <f>'Project&amp;Support'!AB15</f>
        <v>0</v>
      </c>
      <c r="D11" s="197">
        <f>'Project&amp;Support'!C15</f>
        <v>0</v>
      </c>
      <c r="E11" s="562"/>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1076</v>
      </c>
      <c r="B15" s="172" t="s">
        <v>1079</v>
      </c>
      <c r="C15" s="195" t="s">
        <v>1077</v>
      </c>
      <c r="D15" s="172" t="s">
        <v>379</v>
      </c>
      <c r="E15" s="172"/>
    </row>
    <row r="16" spans="1:5" ht="42">
      <c r="A16" s="559" t="s">
        <v>1080</v>
      </c>
      <c r="B16" s="197" t="str">
        <f>'Project&amp;Support'!B10</f>
        <v>s1CM</v>
      </c>
      <c r="C16" s="199">
        <f>'Project&amp;Support'!AB10</f>
        <v>1</v>
      </c>
      <c r="D16" s="197" t="str">
        <f>'Project&amp;Support'!C10</f>
        <v>The Configuration Management (CM) function, manages baselines for projects and the organization.</v>
      </c>
      <c r="E16" s="563" t="str">
        <f>StartupInfo!B11</f>
        <v>Room 1, Dome 1, No. 1 First Street, Base Alpha City, Tharsis, Planet04, China</v>
      </c>
    </row>
    <row r="17" spans="1:5" ht="105">
      <c r="A17" s="560"/>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4"/>
    </row>
    <row r="18" spans="1:5" ht="63">
      <c r="A18" s="560"/>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4"/>
    </row>
    <row r="19" spans="1:5" ht="42">
      <c r="A19" s="560"/>
      <c r="B19" s="197" t="str">
        <f>'Project&amp;Support'!B13</f>
        <v>s4PPQA</v>
      </c>
      <c r="C19" s="199">
        <f>'Project&amp;Support'!AB13</f>
        <v>1</v>
      </c>
      <c r="D19" s="197" t="str">
        <f>'Project&amp;Support'!C13</f>
        <v xml:space="preserve">The Process and Product Quality Assurance (PPQA) team manage and performs process quality assurance. </v>
      </c>
      <c r="E19" s="564"/>
    </row>
    <row r="20" spans="1:5" ht="126" hidden="1" customHeight="1">
      <c r="A20" s="560"/>
      <c r="B20" s="197">
        <f>'Project&amp;Support'!B14</f>
        <v>0</v>
      </c>
      <c r="C20" s="199">
        <f>'Project&amp;Support'!AB14</f>
        <v>0</v>
      </c>
      <c r="D20" s="197">
        <f>'Project&amp;Support'!C14</f>
        <v>0</v>
      </c>
      <c r="E20" s="564"/>
    </row>
    <row r="21" spans="1:5" ht="126" hidden="1" customHeight="1">
      <c r="A21" s="561"/>
      <c r="B21" s="197">
        <f>'Project&amp;Support'!B15</f>
        <v>0</v>
      </c>
      <c r="C21" s="199">
        <f>'Project&amp;Support'!AB15</f>
        <v>0</v>
      </c>
      <c r="D21" s="197">
        <f>'Project&amp;Support'!C15</f>
        <v>0</v>
      </c>
      <c r="E21" s="565"/>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1063</v>
      </c>
      <c r="C2" s="323" t="s">
        <v>1064</v>
      </c>
      <c r="D2" s="323" t="s">
        <v>1065</v>
      </c>
      <c r="E2" s="323" t="s">
        <v>810</v>
      </c>
    </row>
    <row r="3" spans="2:5" s="187" customFormat="1" ht="30" hidden="1" customHeight="1">
      <c r="B3" s="345" t="s">
        <v>583</v>
      </c>
      <c r="C3" s="345" t="str">
        <f>'Agreement 3'!B30</f>
        <v>Prof Donald Kessler</v>
      </c>
      <c r="D3" s="345"/>
      <c r="E3" s="346">
        <f>'P1-OrgScope'!B87</f>
        <v>45032</v>
      </c>
    </row>
    <row r="4" spans="2:5" s="187" customFormat="1" ht="30" customHeight="1">
      <c r="B4" s="345" t="s">
        <v>1067</v>
      </c>
      <c r="C4" s="345" t="str">
        <f>'Agreement 3'!B7</f>
        <v>Dr Pieter van Zyl</v>
      </c>
      <c r="D4" s="345"/>
      <c r="E4" s="346">
        <f>E3</f>
        <v>45032</v>
      </c>
    </row>
    <row r="5" spans="2:5" s="187" customFormat="1" ht="30" customHeight="1">
      <c r="B5" s="345" t="s">
        <v>1066</v>
      </c>
      <c r="C5" s="345" t="str">
        <f>'P1-Personnel'!B13</f>
        <v>ATM-1</v>
      </c>
      <c r="D5" s="345"/>
      <c r="E5" s="346">
        <f>E4</f>
        <v>45032</v>
      </c>
    </row>
    <row r="6" spans="2:5" s="187" customFormat="1" ht="30" customHeight="1">
      <c r="B6" s="345" t="s">
        <v>1066</v>
      </c>
      <c r="C6" s="345" t="str">
        <f>'P1-Personnel'!B14</f>
        <v>ATM-2</v>
      </c>
      <c r="D6" s="345"/>
      <c r="E6" s="346">
        <f>E5</f>
        <v>45032</v>
      </c>
    </row>
    <row r="7" spans="2:5" s="187" customFormat="1" ht="30" customHeight="1">
      <c r="B7" s="345" t="s">
        <v>1066</v>
      </c>
      <c r="C7" s="345" t="str">
        <f>'P1-Personnel'!B15</f>
        <v>ATM-3</v>
      </c>
      <c r="D7" s="345"/>
      <c r="E7" s="346">
        <f t="shared" ref="E7:E13" si="0">E6</f>
        <v>45032</v>
      </c>
    </row>
    <row r="8" spans="2:5" s="187" customFormat="1" ht="30" customHeight="1">
      <c r="B8" s="345" t="s">
        <v>1066</v>
      </c>
      <c r="C8" s="345" t="str">
        <f>'P1-Personnel'!B16</f>
        <v>ATM-4</v>
      </c>
      <c r="D8" s="345"/>
      <c r="E8" s="346">
        <f t="shared" si="0"/>
        <v>45032</v>
      </c>
    </row>
    <row r="9" spans="2:5" s="187" customFormat="1" ht="30" customHeight="1">
      <c r="B9" s="345" t="s">
        <v>1066</v>
      </c>
      <c r="C9" s="345" t="str">
        <f>'P1-Personnel'!B17</f>
        <v>ATM-5</v>
      </c>
      <c r="D9" s="345"/>
      <c r="E9" s="346">
        <f t="shared" si="0"/>
        <v>45032</v>
      </c>
    </row>
    <row r="10" spans="2:5" s="187" customFormat="1" ht="30" customHeight="1">
      <c r="B10" s="345" t="s">
        <v>1066</v>
      </c>
      <c r="C10" s="345" t="str">
        <f>'P1-Personnel'!B18</f>
        <v>ATM-6</v>
      </c>
      <c r="D10" s="345"/>
      <c r="E10" s="346">
        <f t="shared" si="0"/>
        <v>45032</v>
      </c>
    </row>
    <row r="11" spans="2:5" s="187" customFormat="1" ht="30" customHeight="1">
      <c r="B11" s="345" t="s">
        <v>1066</v>
      </c>
      <c r="C11" s="345" t="str">
        <f>'P1-Personnel'!B19</f>
        <v>ATM-7</v>
      </c>
      <c r="D11" s="345"/>
      <c r="E11" s="346">
        <f t="shared" si="0"/>
        <v>45032</v>
      </c>
    </row>
    <row r="12" spans="2:5" s="187" customFormat="1" ht="30" customHeight="1">
      <c r="B12" s="345" t="s">
        <v>1066</v>
      </c>
      <c r="C12" s="345" t="str">
        <f>'P1-Personnel'!B20</f>
        <v>ATM-8</v>
      </c>
      <c r="D12" s="345"/>
      <c r="E12" s="346">
        <f t="shared" si="0"/>
        <v>45032</v>
      </c>
    </row>
    <row r="13" spans="2:5" s="187" customFormat="1" ht="30" customHeight="1">
      <c r="B13" s="345" t="s">
        <v>1066</v>
      </c>
      <c r="C13" s="345" t="str">
        <f>'P1-Personnel'!B21</f>
        <v>ATM-9</v>
      </c>
      <c r="D13" s="345"/>
      <c r="E13" s="346">
        <f t="shared" si="0"/>
        <v>45032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66" t="s">
        <v>1073</v>
      </c>
      <c r="C2" s="567"/>
      <c r="D2" s="567"/>
      <c r="E2" s="324"/>
      <c r="F2" s="324"/>
      <c r="G2" s="324"/>
      <c r="H2" s="324"/>
      <c r="I2" s="324"/>
      <c r="J2" s="324"/>
      <c r="K2" s="324"/>
      <c r="L2" s="324"/>
      <c r="M2" s="324"/>
    </row>
    <row r="3" spans="2:13" ht="31.2">
      <c r="B3" s="350">
        <v>1</v>
      </c>
      <c r="C3" s="345" t="s">
        <v>1155</v>
      </c>
      <c r="D3" s="345" t="s">
        <v>1156</v>
      </c>
    </row>
    <row r="4" spans="2:13" ht="31.2">
      <c r="B4" s="350">
        <v>2</v>
      </c>
      <c r="C4" s="345" t="s">
        <v>1157</v>
      </c>
      <c r="D4" s="345" t="s">
        <v>1158</v>
      </c>
    </row>
    <row r="5" spans="2:13" ht="31.2">
      <c r="B5" s="350">
        <v>3</v>
      </c>
      <c r="C5" s="345" t="s">
        <v>1159</v>
      </c>
      <c r="D5" s="345" t="s">
        <v>1160</v>
      </c>
    </row>
    <row r="6" spans="2:13">
      <c r="B6" s="350">
        <v>4</v>
      </c>
      <c r="C6" s="345" t="s">
        <v>1074</v>
      </c>
      <c r="D6" s="345" t="s">
        <v>1075</v>
      </c>
    </row>
    <row r="7" spans="2:13" ht="31.2">
      <c r="B7" s="350">
        <v>5</v>
      </c>
      <c r="C7" s="345" t="s">
        <v>1161</v>
      </c>
      <c r="D7" s="345" t="s">
        <v>1162</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6" t="s">
        <v>1072</v>
      </c>
      <c r="C18" s="567"/>
      <c r="D18" s="567"/>
    </row>
    <row r="19" spans="2:4" ht="31.2">
      <c r="B19" s="350">
        <v>1</v>
      </c>
      <c r="C19" s="345" t="s">
        <v>1163</v>
      </c>
      <c r="D19" s="345" t="s">
        <v>1164</v>
      </c>
    </row>
    <row r="20" spans="2:4" ht="46.8">
      <c r="B20" s="350">
        <v>2</v>
      </c>
      <c r="C20" s="345" t="s">
        <v>1165</v>
      </c>
      <c r="D20" s="345" t="s">
        <v>1166</v>
      </c>
    </row>
    <row r="21" spans="2:4" ht="46.8">
      <c r="B21" s="350">
        <v>3</v>
      </c>
      <c r="C21" s="345" t="s">
        <v>1167</v>
      </c>
      <c r="D21" s="345" t="s">
        <v>1168</v>
      </c>
    </row>
    <row r="22" spans="2:4" ht="46.8">
      <c r="B22" s="350">
        <v>4</v>
      </c>
      <c r="C22" s="345" t="s">
        <v>1169</v>
      </c>
      <c r="D22" s="345" t="s">
        <v>1170</v>
      </c>
    </row>
    <row r="23" spans="2:4" ht="46.8">
      <c r="B23" s="350">
        <v>5</v>
      </c>
      <c r="C23" s="345" t="s">
        <v>1171</v>
      </c>
      <c r="D23" s="345" t="s">
        <v>1172</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286</v>
      </c>
    </row>
    <row r="4" spans="2:44">
      <c r="B4" s="10" t="s">
        <v>17</v>
      </c>
      <c r="D4" s="10" t="s">
        <v>289</v>
      </c>
      <c r="F4" s="10" t="s">
        <v>401</v>
      </c>
      <c r="H4" s="10" t="s">
        <v>404</v>
      </c>
      <c r="J4" s="10" t="s">
        <v>412</v>
      </c>
      <c r="L4" s="10" t="s">
        <v>419</v>
      </c>
      <c r="N4" s="10" t="s">
        <v>429</v>
      </c>
      <c r="P4" s="10" t="s">
        <v>573</v>
      </c>
      <c r="R4" s="10" t="s">
        <v>589</v>
      </c>
      <c r="T4" s="10" t="s">
        <v>593</v>
      </c>
      <c r="V4" s="10" t="s">
        <v>605</v>
      </c>
      <c r="X4" s="10" t="s">
        <v>618</v>
      </c>
      <c r="Z4" s="10" t="s">
        <v>623</v>
      </c>
      <c r="AB4" s="10" t="s">
        <v>646</v>
      </c>
      <c r="AD4" s="10" t="s">
        <v>649</v>
      </c>
      <c r="AF4" s="10" t="s">
        <v>660</v>
      </c>
      <c r="AH4" s="10" t="s">
        <v>675</v>
      </c>
      <c r="AJ4" s="25" t="s">
        <v>695</v>
      </c>
      <c r="AL4" s="25" t="s">
        <v>1118</v>
      </c>
      <c r="AN4" s="25" t="s">
        <v>1543</v>
      </c>
      <c r="AP4" s="25" t="s">
        <v>1722</v>
      </c>
      <c r="AR4" s="25" t="s">
        <v>1245</v>
      </c>
    </row>
    <row r="5" spans="2:44">
      <c r="B5" t="s">
        <v>33</v>
      </c>
      <c r="D5" t="s">
        <v>290</v>
      </c>
      <c r="E5" t="s">
        <v>403</v>
      </c>
      <c r="F5" t="s">
        <v>1731</v>
      </c>
      <c r="H5" t="s">
        <v>405</v>
      </c>
      <c r="J5" t="s">
        <v>413</v>
      </c>
      <c r="L5" t="s">
        <v>420</v>
      </c>
      <c r="N5" t="s">
        <v>434</v>
      </c>
      <c r="P5" t="s">
        <v>574</v>
      </c>
      <c r="R5" t="s">
        <v>590</v>
      </c>
      <c r="T5" s="16" t="s">
        <v>595</v>
      </c>
      <c r="V5" t="s">
        <v>606</v>
      </c>
      <c r="X5" t="s">
        <v>619</v>
      </c>
      <c r="Z5" t="s">
        <v>624</v>
      </c>
      <c r="AB5" t="s">
        <v>640</v>
      </c>
      <c r="AD5" t="s">
        <v>411</v>
      </c>
      <c r="AF5" t="s">
        <v>661</v>
      </c>
      <c r="AH5" t="s">
        <v>676</v>
      </c>
      <c r="AJ5" s="16" t="s">
        <v>696</v>
      </c>
      <c r="AL5" t="s">
        <v>758</v>
      </c>
      <c r="AN5" t="s">
        <v>702</v>
      </c>
      <c r="AP5" t="s">
        <v>401</v>
      </c>
      <c r="AR5" t="s">
        <v>1723</v>
      </c>
    </row>
    <row r="6" spans="2:44">
      <c r="B6" t="s">
        <v>269</v>
      </c>
      <c r="D6" t="s">
        <v>291</v>
      </c>
      <c r="E6" t="s">
        <v>403</v>
      </c>
      <c r="F6" t="s">
        <v>1732</v>
      </c>
      <c r="H6" t="s">
        <v>406</v>
      </c>
      <c r="J6" t="s">
        <v>414</v>
      </c>
      <c r="L6" t="s">
        <v>421</v>
      </c>
      <c r="N6" t="s">
        <v>435</v>
      </c>
      <c r="P6" t="s">
        <v>575</v>
      </c>
      <c r="R6" t="s">
        <v>591</v>
      </c>
      <c r="T6" s="16" t="s">
        <v>596</v>
      </c>
      <c r="V6" t="s">
        <v>607</v>
      </c>
      <c r="X6" t="s">
        <v>620</v>
      </c>
      <c r="Z6" t="s">
        <v>625</v>
      </c>
      <c r="AB6" t="s">
        <v>641</v>
      </c>
      <c r="AD6" t="s">
        <v>650</v>
      </c>
      <c r="AF6" t="s">
        <v>674</v>
      </c>
      <c r="AH6" t="s">
        <v>677</v>
      </c>
      <c r="AJ6" s="16" t="s">
        <v>697</v>
      </c>
      <c r="AL6" t="s">
        <v>759</v>
      </c>
      <c r="AN6" t="s">
        <v>971</v>
      </c>
      <c r="AP6" t="s">
        <v>402</v>
      </c>
      <c r="AR6" t="s">
        <v>1058</v>
      </c>
    </row>
    <row r="7" spans="2:44">
      <c r="B7" t="s">
        <v>34</v>
      </c>
      <c r="D7" t="s">
        <v>292</v>
      </c>
      <c r="E7" t="s">
        <v>403</v>
      </c>
      <c r="F7" t="s">
        <v>1733</v>
      </c>
      <c r="H7" t="s">
        <v>407</v>
      </c>
      <c r="J7" t="s">
        <v>415</v>
      </c>
      <c r="L7" t="s">
        <v>422</v>
      </c>
      <c r="N7" t="s">
        <v>436</v>
      </c>
      <c r="P7" t="s">
        <v>576</v>
      </c>
      <c r="R7" t="s">
        <v>592</v>
      </c>
      <c r="T7" s="16" t="s">
        <v>597</v>
      </c>
      <c r="V7" t="s">
        <v>608</v>
      </c>
      <c r="X7" t="s">
        <v>621</v>
      </c>
      <c r="Z7" t="s">
        <v>626</v>
      </c>
      <c r="AB7" t="s">
        <v>642</v>
      </c>
      <c r="AD7" t="s">
        <v>651</v>
      </c>
      <c r="AF7" t="s">
        <v>662</v>
      </c>
      <c r="AH7" t="s">
        <v>678</v>
      </c>
      <c r="AJ7" s="16" t="s">
        <v>698</v>
      </c>
      <c r="AL7" t="s">
        <v>760</v>
      </c>
      <c r="AR7" t="s">
        <v>1060</v>
      </c>
    </row>
    <row r="8" spans="2:44">
      <c r="B8" t="s">
        <v>35</v>
      </c>
      <c r="D8" t="s">
        <v>293</v>
      </c>
      <c r="E8" t="s">
        <v>403</v>
      </c>
      <c r="F8" t="s">
        <v>1734</v>
      </c>
      <c r="H8" t="s">
        <v>408</v>
      </c>
      <c r="J8" t="s">
        <v>416</v>
      </c>
      <c r="L8" t="s">
        <v>423</v>
      </c>
      <c r="N8" t="s">
        <v>437</v>
      </c>
      <c r="T8" s="16" t="s">
        <v>598</v>
      </c>
      <c r="V8" t="s">
        <v>609</v>
      </c>
      <c r="X8" t="s">
        <v>622</v>
      </c>
      <c r="Z8" t="s">
        <v>627</v>
      </c>
      <c r="AB8" t="s">
        <v>643</v>
      </c>
      <c r="AD8" t="s">
        <v>652</v>
      </c>
      <c r="AF8" t="s">
        <v>663</v>
      </c>
      <c r="AH8" t="s">
        <v>679</v>
      </c>
      <c r="AJ8" s="16" t="s">
        <v>700</v>
      </c>
      <c r="AL8" t="s">
        <v>652</v>
      </c>
      <c r="AR8" t="s">
        <v>1724</v>
      </c>
    </row>
    <row r="9" spans="2:44">
      <c r="B9" t="s">
        <v>36</v>
      </c>
      <c r="D9" t="s">
        <v>294</v>
      </c>
      <c r="E9" t="s">
        <v>403</v>
      </c>
      <c r="F9" t="s">
        <v>1735</v>
      </c>
      <c r="H9" t="s">
        <v>409</v>
      </c>
      <c r="L9" t="s">
        <v>424</v>
      </c>
      <c r="N9" t="s">
        <v>438</v>
      </c>
      <c r="T9" s="16" t="s">
        <v>599</v>
      </c>
      <c r="V9" t="s">
        <v>425</v>
      </c>
      <c r="X9" t="s">
        <v>425</v>
      </c>
      <c r="Z9" t="s">
        <v>628</v>
      </c>
      <c r="AB9" t="s">
        <v>644</v>
      </c>
      <c r="AD9" t="s">
        <v>653</v>
      </c>
      <c r="AF9" t="s">
        <v>664</v>
      </c>
      <c r="AH9" t="s">
        <v>425</v>
      </c>
      <c r="AJ9" s="16" t="s">
        <v>699</v>
      </c>
      <c r="AL9" t="s">
        <v>1119</v>
      </c>
      <c r="AR9" t="s">
        <v>1062</v>
      </c>
    </row>
    <row r="10" spans="2:44">
      <c r="B10" t="s">
        <v>37</v>
      </c>
      <c r="D10" t="s">
        <v>295</v>
      </c>
      <c r="E10" t="s">
        <v>403</v>
      </c>
      <c r="L10" t="s">
        <v>425</v>
      </c>
      <c r="N10" t="s">
        <v>439</v>
      </c>
      <c r="T10" s="16" t="s">
        <v>600</v>
      </c>
      <c r="Z10" t="s">
        <v>629</v>
      </c>
      <c r="AB10" t="s">
        <v>645</v>
      </c>
      <c r="AD10" t="s">
        <v>654</v>
      </c>
      <c r="AF10" t="s">
        <v>665</v>
      </c>
      <c r="AJ10" s="16" t="s">
        <v>425</v>
      </c>
      <c r="AL10" t="s">
        <v>425</v>
      </c>
    </row>
    <row r="11" spans="2:44">
      <c r="B11" t="s">
        <v>38</v>
      </c>
      <c r="D11" t="s">
        <v>296</v>
      </c>
      <c r="E11" t="s">
        <v>403</v>
      </c>
      <c r="N11" t="s">
        <v>440</v>
      </c>
      <c r="T11" s="16" t="s">
        <v>425</v>
      </c>
      <c r="Z11" t="s">
        <v>630</v>
      </c>
      <c r="AB11" t="s">
        <v>425</v>
      </c>
      <c r="AD11" t="s">
        <v>425</v>
      </c>
      <c r="AF11" t="s">
        <v>666</v>
      </c>
    </row>
    <row r="12" spans="2:44">
      <c r="B12" t="s">
        <v>39</v>
      </c>
      <c r="D12" t="s">
        <v>297</v>
      </c>
      <c r="E12" t="s">
        <v>403</v>
      </c>
      <c r="N12" t="s">
        <v>441</v>
      </c>
      <c r="Z12" t="s">
        <v>631</v>
      </c>
      <c r="AF12" t="s">
        <v>667</v>
      </c>
    </row>
    <row r="13" spans="2:44">
      <c r="B13" t="s">
        <v>40</v>
      </c>
      <c r="D13" t="s">
        <v>298</v>
      </c>
      <c r="E13" t="s">
        <v>403</v>
      </c>
      <c r="N13" t="s">
        <v>442</v>
      </c>
      <c r="Z13" t="s">
        <v>632</v>
      </c>
      <c r="AF13" t="s">
        <v>668</v>
      </c>
    </row>
    <row r="14" spans="2:44">
      <c r="B14" t="s">
        <v>270</v>
      </c>
      <c r="D14" t="s">
        <v>299</v>
      </c>
      <c r="E14" t="s">
        <v>403</v>
      </c>
      <c r="N14" t="s">
        <v>443</v>
      </c>
      <c r="Z14" t="s">
        <v>633</v>
      </c>
      <c r="AF14" t="s">
        <v>669</v>
      </c>
    </row>
    <row r="15" spans="2:44">
      <c r="B15" t="s">
        <v>41</v>
      </c>
      <c r="D15" t="s">
        <v>300</v>
      </c>
      <c r="E15" t="s">
        <v>403</v>
      </c>
      <c r="N15" t="s">
        <v>444</v>
      </c>
      <c r="Z15" t="s">
        <v>634</v>
      </c>
      <c r="AF15" t="s">
        <v>670</v>
      </c>
    </row>
    <row r="16" spans="2:44">
      <c r="B16" t="s">
        <v>42</v>
      </c>
      <c r="D16" t="s">
        <v>301</v>
      </c>
      <c r="E16" t="s">
        <v>403</v>
      </c>
      <c r="N16" t="s">
        <v>445</v>
      </c>
      <c r="Z16" t="s">
        <v>635</v>
      </c>
      <c r="AF16" t="s">
        <v>671</v>
      </c>
    </row>
    <row r="17" spans="2:32">
      <c r="B17" t="s">
        <v>43</v>
      </c>
      <c r="D17" t="s">
        <v>302</v>
      </c>
      <c r="E17" t="s">
        <v>403</v>
      </c>
      <c r="N17" t="s">
        <v>446</v>
      </c>
      <c r="Z17" t="s">
        <v>636</v>
      </c>
      <c r="AF17" t="s">
        <v>672</v>
      </c>
    </row>
    <row r="18" spans="2:32">
      <c r="B18" t="s">
        <v>44</v>
      </c>
      <c r="D18" t="s">
        <v>303</v>
      </c>
      <c r="E18" t="s">
        <v>403</v>
      </c>
      <c r="N18" t="s">
        <v>447</v>
      </c>
      <c r="AF18" t="s">
        <v>673</v>
      </c>
    </row>
    <row r="19" spans="2:32">
      <c r="B19" t="s">
        <v>45</v>
      </c>
      <c r="D19" t="s">
        <v>304</v>
      </c>
      <c r="E19" t="s">
        <v>403</v>
      </c>
      <c r="N19" t="s">
        <v>448</v>
      </c>
      <c r="AF19" t="s">
        <v>425</v>
      </c>
    </row>
    <row r="20" spans="2:32">
      <c r="B20" t="s">
        <v>46</v>
      </c>
      <c r="D20" t="s">
        <v>305</v>
      </c>
      <c r="E20" t="s">
        <v>403</v>
      </c>
      <c r="N20" t="s">
        <v>449</v>
      </c>
    </row>
    <row r="21" spans="2:32">
      <c r="B21" t="s">
        <v>47</v>
      </c>
      <c r="D21" t="s">
        <v>306</v>
      </c>
      <c r="E21" t="s">
        <v>403</v>
      </c>
      <c r="N21" t="s">
        <v>450</v>
      </c>
    </row>
    <row r="22" spans="2:32">
      <c r="B22" t="s">
        <v>48</v>
      </c>
      <c r="D22" t="s">
        <v>307</v>
      </c>
      <c r="E22" t="s">
        <v>403</v>
      </c>
      <c r="N22" t="s">
        <v>451</v>
      </c>
    </row>
    <row r="23" spans="2:32">
      <c r="B23" t="s">
        <v>49</v>
      </c>
      <c r="D23" t="s">
        <v>308</v>
      </c>
      <c r="E23" t="s">
        <v>403</v>
      </c>
      <c r="N23" t="s">
        <v>452</v>
      </c>
    </row>
    <row r="24" spans="2:32">
      <c r="B24" t="s">
        <v>50</v>
      </c>
      <c r="D24" t="s">
        <v>309</v>
      </c>
      <c r="E24" t="s">
        <v>403</v>
      </c>
      <c r="N24" t="s">
        <v>453</v>
      </c>
    </row>
    <row r="25" spans="2:32">
      <c r="B25" t="s">
        <v>51</v>
      </c>
      <c r="D25" t="s">
        <v>310</v>
      </c>
      <c r="E25" t="s">
        <v>403</v>
      </c>
      <c r="N25" t="s">
        <v>454</v>
      </c>
    </row>
    <row r="26" spans="2:32">
      <c r="B26" t="s">
        <v>52</v>
      </c>
      <c r="D26" t="s">
        <v>311</v>
      </c>
      <c r="E26" t="s">
        <v>403</v>
      </c>
      <c r="N26" t="s">
        <v>455</v>
      </c>
    </row>
    <row r="27" spans="2:32">
      <c r="B27" t="s">
        <v>53</v>
      </c>
      <c r="D27" t="s">
        <v>312</v>
      </c>
      <c r="E27" t="s">
        <v>403</v>
      </c>
      <c r="N27" t="s">
        <v>456</v>
      </c>
    </row>
    <row r="28" spans="2:32">
      <c r="B28" t="s">
        <v>54</v>
      </c>
      <c r="D28" t="s">
        <v>313</v>
      </c>
      <c r="E28" t="s">
        <v>403</v>
      </c>
      <c r="N28" t="s">
        <v>457</v>
      </c>
    </row>
    <row r="29" spans="2:32">
      <c r="B29" t="s">
        <v>55</v>
      </c>
      <c r="D29" t="s">
        <v>314</v>
      </c>
      <c r="E29" t="s">
        <v>403</v>
      </c>
      <c r="N29" t="s">
        <v>458</v>
      </c>
    </row>
    <row r="30" spans="2:32">
      <c r="B30" t="s">
        <v>56</v>
      </c>
      <c r="D30" t="s">
        <v>315</v>
      </c>
      <c r="E30" t="s">
        <v>403</v>
      </c>
      <c r="N30" t="s">
        <v>459</v>
      </c>
    </row>
    <row r="31" spans="2:32">
      <c r="B31" t="s">
        <v>57</v>
      </c>
      <c r="D31" t="s">
        <v>316</v>
      </c>
      <c r="E31" t="s">
        <v>403</v>
      </c>
      <c r="N31" t="s">
        <v>460</v>
      </c>
    </row>
    <row r="32" spans="2:32">
      <c r="B32" t="s">
        <v>58</v>
      </c>
      <c r="D32" t="s">
        <v>317</v>
      </c>
      <c r="E32" t="s">
        <v>403</v>
      </c>
      <c r="N32" t="s">
        <v>461</v>
      </c>
    </row>
    <row r="33" spans="2:31">
      <c r="B33" t="s">
        <v>271</v>
      </c>
      <c r="D33" t="s">
        <v>318</v>
      </c>
      <c r="E33" t="s">
        <v>403</v>
      </c>
      <c r="N33" t="s">
        <v>462</v>
      </c>
    </row>
    <row r="34" spans="2:31">
      <c r="B34" t="s">
        <v>59</v>
      </c>
      <c r="D34" t="s">
        <v>319</v>
      </c>
      <c r="E34" t="s">
        <v>403</v>
      </c>
      <c r="N34" t="s">
        <v>463</v>
      </c>
    </row>
    <row r="35" spans="2:31">
      <c r="B35" t="s">
        <v>60</v>
      </c>
      <c r="D35" t="s">
        <v>320</v>
      </c>
      <c r="E35" t="s">
        <v>403</v>
      </c>
      <c r="N35" t="s">
        <v>464</v>
      </c>
    </row>
    <row r="36" spans="2:31">
      <c r="B36" t="s">
        <v>61</v>
      </c>
      <c r="D36" t="s">
        <v>321</v>
      </c>
      <c r="E36" t="s">
        <v>403</v>
      </c>
      <c r="N36" t="s">
        <v>465</v>
      </c>
      <c r="U36" s="72" t="s">
        <v>907</v>
      </c>
      <c r="V36" s="72">
        <v>1</v>
      </c>
      <c r="W36" s="72">
        <v>2</v>
      </c>
      <c r="X36" s="72">
        <v>3</v>
      </c>
      <c r="Y36" s="72">
        <v>4</v>
      </c>
      <c r="Z36" s="72">
        <v>5</v>
      </c>
    </row>
    <row r="37" spans="2:31">
      <c r="B37" t="s">
        <v>62</v>
      </c>
      <c r="D37" t="s">
        <v>322</v>
      </c>
      <c r="E37" t="s">
        <v>403</v>
      </c>
      <c r="N37" t="s">
        <v>466</v>
      </c>
      <c r="U37" t="s">
        <v>856</v>
      </c>
      <c r="V37">
        <f t="shared" ref="V37:V56" si="0">AA37</f>
        <v>1</v>
      </c>
      <c r="W37">
        <f t="shared" ref="W37:Z56" si="1">V37+AB37</f>
        <v>3</v>
      </c>
      <c r="X37">
        <f t="shared" si="1"/>
        <v>8</v>
      </c>
      <c r="Y37">
        <f t="shared" si="1"/>
        <v>10</v>
      </c>
      <c r="Z37">
        <f>Y37+AE37</f>
        <v>11</v>
      </c>
      <c r="AA37">
        <v>1</v>
      </c>
      <c r="AB37">
        <v>2</v>
      </c>
      <c r="AC37">
        <v>5</v>
      </c>
      <c r="AD37">
        <v>2</v>
      </c>
      <c r="AE37">
        <v>1</v>
      </c>
    </row>
    <row r="38" spans="2:31">
      <c r="B38" t="s">
        <v>63</v>
      </c>
      <c r="D38" t="s">
        <v>323</v>
      </c>
      <c r="E38" t="s">
        <v>403</v>
      </c>
      <c r="N38" t="s">
        <v>467</v>
      </c>
      <c r="U38" t="s">
        <v>716</v>
      </c>
      <c r="V38">
        <f t="shared" si="0"/>
        <v>1</v>
      </c>
      <c r="W38">
        <f t="shared" si="1"/>
        <v>7</v>
      </c>
      <c r="X38">
        <f t="shared" si="1"/>
        <v>7</v>
      </c>
      <c r="Y38">
        <f t="shared" si="1"/>
        <v>7</v>
      </c>
      <c r="Z38">
        <f t="shared" si="1"/>
        <v>7</v>
      </c>
      <c r="AA38">
        <v>1</v>
      </c>
      <c r="AB38">
        <v>6</v>
      </c>
    </row>
    <row r="39" spans="2:31">
      <c r="B39" t="s">
        <v>64</v>
      </c>
      <c r="D39" t="s">
        <v>324</v>
      </c>
      <c r="E39" t="s">
        <v>403</v>
      </c>
      <c r="N39" t="s">
        <v>468</v>
      </c>
      <c r="U39" t="s">
        <v>857</v>
      </c>
      <c r="V39">
        <f t="shared" si="0"/>
        <v>2</v>
      </c>
      <c r="W39">
        <f t="shared" si="1"/>
        <v>7</v>
      </c>
      <c r="X39">
        <f t="shared" si="1"/>
        <v>8</v>
      </c>
      <c r="Y39">
        <f t="shared" si="1"/>
        <v>8</v>
      </c>
      <c r="Z39">
        <f t="shared" si="1"/>
        <v>8</v>
      </c>
      <c r="AA39">
        <v>2</v>
      </c>
      <c r="AB39">
        <v>5</v>
      </c>
      <c r="AC39">
        <v>1</v>
      </c>
    </row>
    <row r="40" spans="2:31">
      <c r="B40" t="s">
        <v>65</v>
      </c>
      <c r="D40" t="s">
        <v>325</v>
      </c>
      <c r="E40" t="s">
        <v>403</v>
      </c>
      <c r="N40" t="s">
        <v>469</v>
      </c>
      <c r="U40" t="s">
        <v>853</v>
      </c>
      <c r="V40">
        <f t="shared" si="0"/>
        <v>1</v>
      </c>
      <c r="W40">
        <f t="shared" si="1"/>
        <v>4</v>
      </c>
      <c r="X40">
        <f t="shared" si="1"/>
        <v>6</v>
      </c>
      <c r="Y40">
        <f t="shared" si="1"/>
        <v>6</v>
      </c>
      <c r="Z40">
        <f t="shared" si="1"/>
        <v>6</v>
      </c>
      <c r="AA40">
        <v>1</v>
      </c>
      <c r="AB40">
        <v>3</v>
      </c>
      <c r="AC40">
        <v>2</v>
      </c>
    </row>
    <row r="41" spans="2:31">
      <c r="B41" t="s">
        <v>66</v>
      </c>
      <c r="D41" t="s">
        <v>326</v>
      </c>
      <c r="E41" t="s">
        <v>403</v>
      </c>
      <c r="N41" t="s">
        <v>470</v>
      </c>
      <c r="U41" t="s">
        <v>871</v>
      </c>
      <c r="V41">
        <f t="shared" si="0"/>
        <v>1</v>
      </c>
      <c r="W41">
        <f t="shared" si="1"/>
        <v>5</v>
      </c>
      <c r="X41">
        <f t="shared" si="1"/>
        <v>7</v>
      </c>
      <c r="Y41">
        <f t="shared" si="1"/>
        <v>8</v>
      </c>
      <c r="Z41">
        <f t="shared" si="1"/>
        <v>8</v>
      </c>
      <c r="AA41">
        <v>1</v>
      </c>
      <c r="AB41">
        <v>4</v>
      </c>
      <c r="AC41">
        <v>2</v>
      </c>
      <c r="AD41">
        <v>1</v>
      </c>
    </row>
    <row r="42" spans="2:31">
      <c r="B42" t="s">
        <v>67</v>
      </c>
      <c r="D42" t="s">
        <v>327</v>
      </c>
      <c r="E42" t="s">
        <v>403</v>
      </c>
      <c r="N42" t="s">
        <v>471</v>
      </c>
      <c r="U42" t="s">
        <v>872</v>
      </c>
      <c r="V42">
        <f t="shared" si="0"/>
        <v>1</v>
      </c>
      <c r="W42">
        <f t="shared" si="1"/>
        <v>3</v>
      </c>
      <c r="X42">
        <f t="shared" si="1"/>
        <v>6</v>
      </c>
      <c r="Y42">
        <f t="shared" si="1"/>
        <v>6</v>
      </c>
      <c r="Z42">
        <f t="shared" si="1"/>
        <v>6</v>
      </c>
      <c r="AA42">
        <v>1</v>
      </c>
      <c r="AB42">
        <v>2</v>
      </c>
      <c r="AC42">
        <v>3</v>
      </c>
    </row>
    <row r="43" spans="2:31">
      <c r="B43" t="s">
        <v>68</v>
      </c>
      <c r="D43" t="s">
        <v>328</v>
      </c>
      <c r="E43" t="s">
        <v>403</v>
      </c>
      <c r="N43" t="s">
        <v>472</v>
      </c>
      <c r="U43" t="s">
        <v>854</v>
      </c>
      <c r="V43">
        <f t="shared" si="0"/>
        <v>2</v>
      </c>
      <c r="W43">
        <f t="shared" si="1"/>
        <v>6</v>
      </c>
      <c r="X43">
        <f t="shared" si="1"/>
        <v>10</v>
      </c>
      <c r="Y43">
        <f t="shared" si="1"/>
        <v>10</v>
      </c>
      <c r="Z43">
        <f t="shared" si="1"/>
        <v>10</v>
      </c>
      <c r="AA43">
        <v>2</v>
      </c>
      <c r="AB43">
        <v>4</v>
      </c>
      <c r="AC43">
        <v>4</v>
      </c>
    </row>
    <row r="44" spans="2:31">
      <c r="B44" t="s">
        <v>69</v>
      </c>
      <c r="D44" t="s">
        <v>329</v>
      </c>
      <c r="E44" t="s">
        <v>403</v>
      </c>
      <c r="N44" t="s">
        <v>473</v>
      </c>
      <c r="U44" t="s">
        <v>849</v>
      </c>
      <c r="V44">
        <f t="shared" si="0"/>
        <v>2</v>
      </c>
      <c r="W44">
        <f t="shared" si="1"/>
        <v>8</v>
      </c>
      <c r="X44">
        <f t="shared" si="1"/>
        <v>14</v>
      </c>
      <c r="Y44">
        <f t="shared" si="1"/>
        <v>19</v>
      </c>
      <c r="Z44">
        <f t="shared" si="1"/>
        <v>22</v>
      </c>
      <c r="AA44">
        <v>2</v>
      </c>
      <c r="AB44">
        <v>6</v>
      </c>
      <c r="AC44">
        <v>6</v>
      </c>
      <c r="AD44">
        <v>5</v>
      </c>
      <c r="AE44">
        <v>3</v>
      </c>
    </row>
    <row r="45" spans="2:31">
      <c r="B45" t="s">
        <v>70</v>
      </c>
      <c r="D45" t="s">
        <v>330</v>
      </c>
      <c r="E45" t="s">
        <v>403</v>
      </c>
      <c r="N45" t="s">
        <v>474</v>
      </c>
      <c r="U45" t="s">
        <v>718</v>
      </c>
      <c r="V45">
        <f t="shared" si="0"/>
        <v>1</v>
      </c>
      <c r="W45">
        <f t="shared" si="1"/>
        <v>3</v>
      </c>
      <c r="X45">
        <f t="shared" si="1"/>
        <v>9</v>
      </c>
      <c r="Y45">
        <f t="shared" si="1"/>
        <v>9</v>
      </c>
      <c r="Z45">
        <f t="shared" si="1"/>
        <v>9</v>
      </c>
      <c r="AA45">
        <v>1</v>
      </c>
      <c r="AB45">
        <v>2</v>
      </c>
      <c r="AC45">
        <v>6</v>
      </c>
    </row>
    <row r="46" spans="2:31">
      <c r="B46" t="s">
        <v>71</v>
      </c>
      <c r="D46" t="s">
        <v>331</v>
      </c>
      <c r="E46" t="s">
        <v>403</v>
      </c>
      <c r="N46" t="s">
        <v>475</v>
      </c>
      <c r="U46" t="s">
        <v>850</v>
      </c>
      <c r="V46">
        <f t="shared" si="0"/>
        <v>1</v>
      </c>
      <c r="W46">
        <f t="shared" si="1"/>
        <v>4</v>
      </c>
      <c r="X46">
        <f t="shared" si="1"/>
        <v>11</v>
      </c>
      <c r="Y46">
        <f t="shared" si="1"/>
        <v>11</v>
      </c>
      <c r="Z46">
        <f t="shared" si="1"/>
        <v>11</v>
      </c>
      <c r="AA46">
        <v>1</v>
      </c>
      <c r="AB46">
        <v>3</v>
      </c>
      <c r="AC46">
        <v>7</v>
      </c>
    </row>
    <row r="47" spans="2:31">
      <c r="B47" t="s">
        <v>72</v>
      </c>
      <c r="D47" t="s">
        <v>332</v>
      </c>
      <c r="E47" t="s">
        <v>403</v>
      </c>
      <c r="N47" t="s">
        <v>476</v>
      </c>
      <c r="U47" t="s">
        <v>851</v>
      </c>
      <c r="V47">
        <f t="shared" si="0"/>
        <v>3</v>
      </c>
      <c r="W47">
        <f t="shared" si="1"/>
        <v>5</v>
      </c>
      <c r="X47">
        <f t="shared" si="1"/>
        <v>11</v>
      </c>
      <c r="Y47">
        <f t="shared" si="1"/>
        <v>11</v>
      </c>
      <c r="Z47">
        <f t="shared" si="1"/>
        <v>11</v>
      </c>
      <c r="AA47">
        <v>3</v>
      </c>
      <c r="AB47">
        <v>2</v>
      </c>
      <c r="AC47">
        <v>6</v>
      </c>
    </row>
    <row r="48" spans="2:31">
      <c r="B48" t="s">
        <v>73</v>
      </c>
      <c r="D48" t="s">
        <v>333</v>
      </c>
      <c r="E48" t="s">
        <v>403</v>
      </c>
      <c r="N48" t="s">
        <v>477</v>
      </c>
      <c r="U48" t="s">
        <v>844</v>
      </c>
      <c r="V48">
        <f t="shared" si="0"/>
        <v>1</v>
      </c>
      <c r="W48">
        <f t="shared" si="1"/>
        <v>7</v>
      </c>
      <c r="X48">
        <f t="shared" si="1"/>
        <v>10</v>
      </c>
      <c r="Y48">
        <f t="shared" si="1"/>
        <v>10</v>
      </c>
      <c r="Z48">
        <f t="shared" si="1"/>
        <v>10</v>
      </c>
      <c r="AA48">
        <v>1</v>
      </c>
      <c r="AB48">
        <v>6</v>
      </c>
      <c r="AC48">
        <v>3</v>
      </c>
    </row>
    <row r="49" spans="2:30">
      <c r="B49" t="s">
        <v>74</v>
      </c>
      <c r="D49" t="s">
        <v>334</v>
      </c>
      <c r="E49" t="s">
        <v>403</v>
      </c>
      <c r="N49" t="s">
        <v>478</v>
      </c>
      <c r="U49" t="s">
        <v>855</v>
      </c>
      <c r="V49">
        <f t="shared" si="0"/>
        <v>2</v>
      </c>
      <c r="W49">
        <f t="shared" si="1"/>
        <v>10</v>
      </c>
      <c r="X49">
        <f t="shared" si="1"/>
        <v>14</v>
      </c>
      <c r="Y49">
        <f t="shared" si="1"/>
        <v>15</v>
      </c>
      <c r="Z49">
        <f t="shared" si="1"/>
        <v>15</v>
      </c>
      <c r="AA49">
        <v>2</v>
      </c>
      <c r="AB49">
        <v>8</v>
      </c>
      <c r="AC49">
        <v>4</v>
      </c>
      <c r="AD49">
        <v>1</v>
      </c>
    </row>
    <row r="50" spans="2:30">
      <c r="B50" t="s">
        <v>272</v>
      </c>
      <c r="D50" t="s">
        <v>335</v>
      </c>
      <c r="E50" t="s">
        <v>403</v>
      </c>
      <c r="N50" t="s">
        <v>479</v>
      </c>
      <c r="U50" t="s">
        <v>798</v>
      </c>
      <c r="V50">
        <f t="shared" si="0"/>
        <v>1</v>
      </c>
      <c r="W50">
        <f t="shared" si="1"/>
        <v>5</v>
      </c>
      <c r="X50">
        <f t="shared" si="1"/>
        <v>6</v>
      </c>
      <c r="Y50">
        <f t="shared" si="1"/>
        <v>6</v>
      </c>
      <c r="Z50">
        <f t="shared" si="1"/>
        <v>6</v>
      </c>
      <c r="AA50">
        <v>1</v>
      </c>
      <c r="AB50">
        <v>4</v>
      </c>
      <c r="AC50">
        <v>1</v>
      </c>
    </row>
    <row r="51" spans="2:30">
      <c r="B51" t="s">
        <v>75</v>
      </c>
      <c r="D51" t="s">
        <v>336</v>
      </c>
      <c r="E51" t="s">
        <v>403</v>
      </c>
      <c r="N51" t="s">
        <v>572</v>
      </c>
      <c r="U51" t="s">
        <v>846</v>
      </c>
      <c r="V51">
        <f t="shared" si="0"/>
        <v>1</v>
      </c>
      <c r="W51">
        <f t="shared" si="1"/>
        <v>5</v>
      </c>
      <c r="X51">
        <f t="shared" si="1"/>
        <v>6</v>
      </c>
      <c r="Y51">
        <f t="shared" si="1"/>
        <v>6</v>
      </c>
      <c r="Z51">
        <f t="shared" si="1"/>
        <v>6</v>
      </c>
      <c r="AA51">
        <v>1</v>
      </c>
      <c r="AB51">
        <v>4</v>
      </c>
      <c r="AC51">
        <v>1</v>
      </c>
    </row>
    <row r="52" spans="2:30">
      <c r="B52" t="s">
        <v>76</v>
      </c>
      <c r="D52" t="s">
        <v>337</v>
      </c>
      <c r="E52" t="s">
        <v>403</v>
      </c>
      <c r="N52" t="s">
        <v>571</v>
      </c>
      <c r="U52" t="s">
        <v>847</v>
      </c>
      <c r="V52">
        <f t="shared" si="0"/>
        <v>1</v>
      </c>
      <c r="W52">
        <f t="shared" si="1"/>
        <v>7</v>
      </c>
      <c r="X52">
        <f t="shared" si="1"/>
        <v>14</v>
      </c>
      <c r="Y52">
        <f t="shared" si="1"/>
        <v>14</v>
      </c>
      <c r="Z52">
        <f t="shared" si="1"/>
        <v>14</v>
      </c>
      <c r="AA52">
        <v>1</v>
      </c>
      <c r="AB52">
        <v>6</v>
      </c>
      <c r="AC52">
        <v>7</v>
      </c>
    </row>
    <row r="53" spans="2:30">
      <c r="B53" t="s">
        <v>18</v>
      </c>
      <c r="D53" t="s">
        <v>338</v>
      </c>
      <c r="E53" t="s">
        <v>403</v>
      </c>
      <c r="N53" t="s">
        <v>570</v>
      </c>
      <c r="U53" t="s">
        <v>852</v>
      </c>
      <c r="V53">
        <f t="shared" si="0"/>
        <v>1</v>
      </c>
      <c r="W53">
        <f t="shared" si="1"/>
        <v>3</v>
      </c>
      <c r="X53">
        <f t="shared" si="1"/>
        <v>8</v>
      </c>
      <c r="Y53">
        <f t="shared" si="1"/>
        <v>8</v>
      </c>
      <c r="Z53">
        <f t="shared" si="1"/>
        <v>8</v>
      </c>
      <c r="AA53">
        <v>1</v>
      </c>
      <c r="AB53">
        <v>2</v>
      </c>
      <c r="AC53">
        <v>5</v>
      </c>
    </row>
    <row r="54" spans="2:30">
      <c r="B54" t="s">
        <v>77</v>
      </c>
      <c r="D54" t="s">
        <v>339</v>
      </c>
      <c r="E54" t="s">
        <v>403</v>
      </c>
      <c r="N54" t="s">
        <v>569</v>
      </c>
      <c r="U54" t="s">
        <v>858</v>
      </c>
      <c r="V54">
        <f t="shared" si="0"/>
        <v>3</v>
      </c>
      <c r="W54">
        <f t="shared" si="1"/>
        <v>7</v>
      </c>
      <c r="X54">
        <f t="shared" si="1"/>
        <v>9</v>
      </c>
      <c r="Y54">
        <f t="shared" si="1"/>
        <v>9</v>
      </c>
      <c r="Z54">
        <f t="shared" si="1"/>
        <v>9</v>
      </c>
      <c r="AA54">
        <v>3</v>
      </c>
      <c r="AB54">
        <v>4</v>
      </c>
      <c r="AC54">
        <v>2</v>
      </c>
    </row>
    <row r="55" spans="2:30">
      <c r="B55" t="s">
        <v>78</v>
      </c>
      <c r="D55" t="s">
        <v>340</v>
      </c>
      <c r="E55" t="s">
        <v>403</v>
      </c>
      <c r="N55" t="s">
        <v>568</v>
      </c>
      <c r="U55" t="s">
        <v>845</v>
      </c>
      <c r="V55">
        <f t="shared" si="0"/>
        <v>1</v>
      </c>
      <c r="W55">
        <f t="shared" si="1"/>
        <v>4</v>
      </c>
      <c r="X55">
        <f t="shared" si="1"/>
        <v>10</v>
      </c>
      <c r="Y55">
        <f t="shared" si="1"/>
        <v>10</v>
      </c>
      <c r="Z55">
        <f t="shared" si="1"/>
        <v>10</v>
      </c>
      <c r="AA55">
        <v>1</v>
      </c>
      <c r="AB55">
        <v>3</v>
      </c>
      <c r="AC55">
        <v>6</v>
      </c>
    </row>
    <row r="56" spans="2:30">
      <c r="B56" t="s">
        <v>79</v>
      </c>
      <c r="D56" t="s">
        <v>341</v>
      </c>
      <c r="E56" t="s">
        <v>403</v>
      </c>
      <c r="N56" t="s">
        <v>567</v>
      </c>
      <c r="U56" t="s">
        <v>848</v>
      </c>
      <c r="V56">
        <f t="shared" si="0"/>
        <v>2</v>
      </c>
      <c r="W56">
        <f t="shared" si="1"/>
        <v>5</v>
      </c>
      <c r="X56">
        <f t="shared" si="1"/>
        <v>7</v>
      </c>
      <c r="Y56">
        <f t="shared" si="1"/>
        <v>7</v>
      </c>
      <c r="Z56">
        <f t="shared" si="1"/>
        <v>7</v>
      </c>
      <c r="AA56">
        <v>2</v>
      </c>
      <c r="AB56">
        <v>3</v>
      </c>
      <c r="AC56">
        <v>2</v>
      </c>
    </row>
    <row r="57" spans="2:30">
      <c r="B57" t="s">
        <v>80</v>
      </c>
      <c r="D57" t="s">
        <v>342</v>
      </c>
      <c r="E57" t="s">
        <v>403</v>
      </c>
      <c r="N57" t="s">
        <v>566</v>
      </c>
    </row>
    <row r="58" spans="2:30">
      <c r="B58" t="s">
        <v>81</v>
      </c>
      <c r="D58" t="s">
        <v>343</v>
      </c>
      <c r="E58" t="s">
        <v>403</v>
      </c>
      <c r="N58" t="s">
        <v>565</v>
      </c>
    </row>
    <row r="59" spans="2:30">
      <c r="B59" t="s">
        <v>82</v>
      </c>
      <c r="D59" t="s">
        <v>344</v>
      </c>
      <c r="E59" t="s">
        <v>403</v>
      </c>
      <c r="N59" t="s">
        <v>564</v>
      </c>
    </row>
    <row r="60" spans="2:30">
      <c r="B60" t="s">
        <v>83</v>
      </c>
      <c r="D60" t="s">
        <v>345</v>
      </c>
      <c r="E60" t="s">
        <v>403</v>
      </c>
      <c r="N60" t="s">
        <v>563</v>
      </c>
    </row>
    <row r="61" spans="2:30">
      <c r="B61" t="s">
        <v>84</v>
      </c>
      <c r="D61" t="s">
        <v>346</v>
      </c>
      <c r="E61" t="s">
        <v>403</v>
      </c>
      <c r="N61" t="s">
        <v>562</v>
      </c>
    </row>
    <row r="62" spans="2:30">
      <c r="B62" t="s">
        <v>282</v>
      </c>
      <c r="D62" t="s">
        <v>347</v>
      </c>
      <c r="E62" t="s">
        <v>403</v>
      </c>
      <c r="N62" t="s">
        <v>561</v>
      </c>
    </row>
    <row r="63" spans="2:30">
      <c r="B63" t="s">
        <v>85</v>
      </c>
      <c r="D63" t="s">
        <v>348</v>
      </c>
      <c r="E63" t="s">
        <v>403</v>
      </c>
      <c r="N63" t="s">
        <v>560</v>
      </c>
    </row>
    <row r="64" spans="2:30">
      <c r="B64" t="s">
        <v>86</v>
      </c>
      <c r="D64" t="s">
        <v>349</v>
      </c>
      <c r="E64" t="s">
        <v>403</v>
      </c>
      <c r="N64" t="s">
        <v>559</v>
      </c>
    </row>
    <row r="65" spans="2:14">
      <c r="B65" t="s">
        <v>281</v>
      </c>
      <c r="D65" t="s">
        <v>350</v>
      </c>
      <c r="E65" t="s">
        <v>403</v>
      </c>
      <c r="N65" t="s">
        <v>558</v>
      </c>
    </row>
    <row r="66" spans="2:14">
      <c r="B66" t="s">
        <v>87</v>
      </c>
      <c r="D66" t="s">
        <v>351</v>
      </c>
      <c r="E66" t="s">
        <v>403</v>
      </c>
      <c r="N66" t="s">
        <v>557</v>
      </c>
    </row>
    <row r="67" spans="2:14">
      <c r="B67" t="s">
        <v>88</v>
      </c>
      <c r="D67" t="s">
        <v>352</v>
      </c>
      <c r="E67" t="s">
        <v>403</v>
      </c>
      <c r="N67" t="s">
        <v>556</v>
      </c>
    </row>
    <row r="68" spans="2:14">
      <c r="B68" t="s">
        <v>89</v>
      </c>
      <c r="D68" t="s">
        <v>353</v>
      </c>
      <c r="E68" t="s">
        <v>403</v>
      </c>
      <c r="N68" t="s">
        <v>555</v>
      </c>
    </row>
    <row r="69" spans="2:14">
      <c r="B69" t="s">
        <v>90</v>
      </c>
      <c r="D69" t="s">
        <v>354</v>
      </c>
      <c r="E69" t="s">
        <v>403</v>
      </c>
      <c r="N69" t="s">
        <v>554</v>
      </c>
    </row>
    <row r="70" spans="2:14">
      <c r="B70" t="s">
        <v>91</v>
      </c>
      <c r="D70" t="s">
        <v>355</v>
      </c>
      <c r="E70" t="s">
        <v>403</v>
      </c>
      <c r="N70" t="s">
        <v>553</v>
      </c>
    </row>
    <row r="71" spans="2:14">
      <c r="B71" t="s">
        <v>92</v>
      </c>
      <c r="D71" t="s">
        <v>356</v>
      </c>
      <c r="E71" t="s">
        <v>403</v>
      </c>
      <c r="N71" t="s">
        <v>552</v>
      </c>
    </row>
    <row r="72" spans="2:14">
      <c r="B72" t="s">
        <v>93</v>
      </c>
      <c r="D72" t="s">
        <v>357</v>
      </c>
      <c r="E72" t="s">
        <v>403</v>
      </c>
      <c r="N72" t="s">
        <v>551</v>
      </c>
    </row>
    <row r="73" spans="2:14">
      <c r="B73" t="s">
        <v>94</v>
      </c>
      <c r="D73" t="s">
        <v>358</v>
      </c>
      <c r="E73" t="s">
        <v>403</v>
      </c>
      <c r="N73" t="s">
        <v>550</v>
      </c>
    </row>
    <row r="74" spans="2:14">
      <c r="B74" t="s">
        <v>95</v>
      </c>
      <c r="D74" t="s">
        <v>359</v>
      </c>
      <c r="E74" t="s">
        <v>403</v>
      </c>
      <c r="N74" t="s">
        <v>549</v>
      </c>
    </row>
    <row r="75" spans="2:14">
      <c r="B75" t="s">
        <v>96</v>
      </c>
      <c r="D75" t="s">
        <v>360</v>
      </c>
      <c r="E75" t="s">
        <v>403</v>
      </c>
      <c r="N75" t="s">
        <v>548</v>
      </c>
    </row>
    <row r="76" spans="2:14">
      <c r="B76" t="s">
        <v>97</v>
      </c>
      <c r="D76" t="s">
        <v>361</v>
      </c>
      <c r="E76" t="s">
        <v>403</v>
      </c>
      <c r="N76" t="s">
        <v>547</v>
      </c>
    </row>
    <row r="77" spans="2:14">
      <c r="B77" t="s">
        <v>98</v>
      </c>
      <c r="D77" t="s">
        <v>362</v>
      </c>
      <c r="E77" t="s">
        <v>403</v>
      </c>
      <c r="N77" t="s">
        <v>546</v>
      </c>
    </row>
    <row r="78" spans="2:14">
      <c r="B78" t="s">
        <v>99</v>
      </c>
      <c r="D78" t="s">
        <v>363</v>
      </c>
      <c r="E78" t="s">
        <v>403</v>
      </c>
      <c r="N78" t="s">
        <v>545</v>
      </c>
    </row>
    <row r="79" spans="2:14">
      <c r="B79" t="s">
        <v>100</v>
      </c>
      <c r="D79" t="s">
        <v>364</v>
      </c>
      <c r="E79" t="s">
        <v>403</v>
      </c>
      <c r="N79" t="s">
        <v>544</v>
      </c>
    </row>
    <row r="80" spans="2:14">
      <c r="B80" t="s">
        <v>101</v>
      </c>
      <c r="D80" t="s">
        <v>365</v>
      </c>
      <c r="E80" t="s">
        <v>403</v>
      </c>
      <c r="N80" t="s">
        <v>543</v>
      </c>
    </row>
    <row r="81" spans="2:14">
      <c r="B81" t="s">
        <v>102</v>
      </c>
      <c r="D81" t="s">
        <v>366</v>
      </c>
      <c r="E81" t="s">
        <v>403</v>
      </c>
      <c r="N81" t="s">
        <v>542</v>
      </c>
    </row>
    <row r="82" spans="2:14">
      <c r="B82" t="s">
        <v>103</v>
      </c>
      <c r="D82" t="s">
        <v>367</v>
      </c>
      <c r="E82" t="s">
        <v>403</v>
      </c>
      <c r="N82" t="s">
        <v>541</v>
      </c>
    </row>
    <row r="83" spans="2:14">
      <c r="B83" t="s">
        <v>104</v>
      </c>
      <c r="D83" t="s">
        <v>368</v>
      </c>
      <c r="E83" t="s">
        <v>403</v>
      </c>
      <c r="N83" t="s">
        <v>540</v>
      </c>
    </row>
    <row r="84" spans="2:14">
      <c r="B84" t="s">
        <v>105</v>
      </c>
      <c r="D84" t="s">
        <v>369</v>
      </c>
      <c r="E84" t="s">
        <v>403</v>
      </c>
      <c r="N84" t="s">
        <v>539</v>
      </c>
    </row>
    <row r="85" spans="2:14">
      <c r="B85" t="s">
        <v>106</v>
      </c>
      <c r="D85" t="s">
        <v>370</v>
      </c>
      <c r="E85" t="s">
        <v>403</v>
      </c>
      <c r="N85" t="s">
        <v>538</v>
      </c>
    </row>
    <row r="86" spans="2:14">
      <c r="B86" t="s">
        <v>107</v>
      </c>
      <c r="D86" t="s">
        <v>371</v>
      </c>
      <c r="E86" t="s">
        <v>403</v>
      </c>
      <c r="N86" t="s">
        <v>537</v>
      </c>
    </row>
    <row r="87" spans="2:14">
      <c r="B87" t="s">
        <v>108</v>
      </c>
      <c r="D87" t="s">
        <v>372</v>
      </c>
      <c r="E87" t="s">
        <v>403</v>
      </c>
      <c r="N87" t="s">
        <v>536</v>
      </c>
    </row>
    <row r="88" spans="2:14">
      <c r="B88" t="s">
        <v>109</v>
      </c>
      <c r="D88" t="s">
        <v>373</v>
      </c>
      <c r="E88" t="s">
        <v>403</v>
      </c>
      <c r="N88" t="s">
        <v>535</v>
      </c>
    </row>
    <row r="89" spans="2:14">
      <c r="B89" t="s">
        <v>110</v>
      </c>
      <c r="D89" t="s">
        <v>374</v>
      </c>
      <c r="E89" t="s">
        <v>403</v>
      </c>
      <c r="N89" t="s">
        <v>534</v>
      </c>
    </row>
    <row r="90" spans="2:14">
      <c r="B90" t="s">
        <v>111</v>
      </c>
      <c r="D90" t="s">
        <v>375</v>
      </c>
      <c r="E90" t="s">
        <v>403</v>
      </c>
      <c r="N90" t="s">
        <v>533</v>
      </c>
    </row>
    <row r="91" spans="2:14">
      <c r="B91" t="s">
        <v>112</v>
      </c>
      <c r="D91" t="s">
        <v>376</v>
      </c>
      <c r="E91" t="s">
        <v>403</v>
      </c>
      <c r="N91" t="s">
        <v>532</v>
      </c>
    </row>
    <row r="92" spans="2:14">
      <c r="B92" t="s">
        <v>113</v>
      </c>
      <c r="D92" t="s">
        <v>377</v>
      </c>
      <c r="E92" t="s">
        <v>403</v>
      </c>
      <c r="N92" t="s">
        <v>531</v>
      </c>
    </row>
    <row r="93" spans="2:14">
      <c r="B93" t="s">
        <v>114</v>
      </c>
      <c r="N93" t="s">
        <v>530</v>
      </c>
    </row>
    <row r="94" spans="2:14">
      <c r="B94" t="s">
        <v>115</v>
      </c>
      <c r="N94" t="s">
        <v>529</v>
      </c>
    </row>
    <row r="95" spans="2:14">
      <c r="B95" t="s">
        <v>116</v>
      </c>
      <c r="N95" t="s">
        <v>528</v>
      </c>
    </row>
    <row r="96" spans="2:14">
      <c r="B96" t="s">
        <v>117</v>
      </c>
      <c r="N96" t="s">
        <v>527</v>
      </c>
    </row>
    <row r="97" spans="2:14">
      <c r="B97" t="s">
        <v>118</v>
      </c>
      <c r="N97" t="s">
        <v>526</v>
      </c>
    </row>
    <row r="98" spans="2:14">
      <c r="B98" t="s">
        <v>119</v>
      </c>
      <c r="N98" t="s">
        <v>525</v>
      </c>
    </row>
    <row r="99" spans="2:14">
      <c r="B99" t="s">
        <v>120</v>
      </c>
      <c r="N99" t="s">
        <v>524</v>
      </c>
    </row>
    <row r="100" spans="2:14">
      <c r="B100" t="s">
        <v>121</v>
      </c>
      <c r="N100" t="s">
        <v>523</v>
      </c>
    </row>
    <row r="101" spans="2:14">
      <c r="B101" t="s">
        <v>122</v>
      </c>
      <c r="N101" t="s">
        <v>522</v>
      </c>
    </row>
    <row r="102" spans="2:14">
      <c r="B102" t="s">
        <v>123</v>
      </c>
      <c r="N102" t="s">
        <v>521</v>
      </c>
    </row>
    <row r="103" spans="2:14">
      <c r="B103" t="s">
        <v>124</v>
      </c>
      <c r="N103" t="s">
        <v>520</v>
      </c>
    </row>
    <row r="104" spans="2:14">
      <c r="B104" t="s">
        <v>125</v>
      </c>
      <c r="N104" t="s">
        <v>519</v>
      </c>
    </row>
    <row r="105" spans="2:14">
      <c r="B105" t="s">
        <v>126</v>
      </c>
      <c r="N105" t="s">
        <v>518</v>
      </c>
    </row>
    <row r="106" spans="2:14">
      <c r="B106" t="s">
        <v>127</v>
      </c>
      <c r="N106" t="s">
        <v>517</v>
      </c>
    </row>
    <row r="107" spans="2:14">
      <c r="B107" t="s">
        <v>128</v>
      </c>
      <c r="N107" t="s">
        <v>516</v>
      </c>
    </row>
    <row r="108" spans="2:14">
      <c r="B108" t="s">
        <v>129</v>
      </c>
      <c r="N108" t="s">
        <v>515</v>
      </c>
    </row>
    <row r="109" spans="2:14">
      <c r="B109" t="s">
        <v>130</v>
      </c>
      <c r="N109" t="s">
        <v>514</v>
      </c>
    </row>
    <row r="110" spans="2:14">
      <c r="B110" t="s">
        <v>131</v>
      </c>
      <c r="N110" t="s">
        <v>513</v>
      </c>
    </row>
    <row r="111" spans="2:14">
      <c r="B111" t="s">
        <v>132</v>
      </c>
      <c r="N111" t="s">
        <v>512</v>
      </c>
    </row>
    <row r="112" spans="2:14">
      <c r="B112" t="s">
        <v>133</v>
      </c>
      <c r="N112" t="s">
        <v>511</v>
      </c>
    </row>
    <row r="113" spans="2:14">
      <c r="B113" t="s">
        <v>134</v>
      </c>
      <c r="N113" t="s">
        <v>510</v>
      </c>
    </row>
    <row r="114" spans="2:14">
      <c r="B114" t="s">
        <v>135</v>
      </c>
      <c r="N114" t="s">
        <v>509</v>
      </c>
    </row>
    <row r="115" spans="2:14">
      <c r="B115" t="s">
        <v>136</v>
      </c>
      <c r="N115" t="s">
        <v>508</v>
      </c>
    </row>
    <row r="116" spans="2:14">
      <c r="B116" t="s">
        <v>137</v>
      </c>
      <c r="N116" t="s">
        <v>507</v>
      </c>
    </row>
    <row r="117" spans="2:14">
      <c r="B117" t="s">
        <v>138</v>
      </c>
      <c r="N117" t="s">
        <v>506</v>
      </c>
    </row>
    <row r="118" spans="2:14">
      <c r="B118" t="s">
        <v>139</v>
      </c>
      <c r="N118" t="s">
        <v>505</v>
      </c>
    </row>
    <row r="119" spans="2:14">
      <c r="B119" t="s">
        <v>140</v>
      </c>
      <c r="N119" t="s">
        <v>504</v>
      </c>
    </row>
    <row r="120" spans="2:14">
      <c r="B120" t="s">
        <v>141</v>
      </c>
      <c r="N120" t="s">
        <v>503</v>
      </c>
    </row>
    <row r="121" spans="2:14">
      <c r="B121" t="s">
        <v>142</v>
      </c>
      <c r="N121" t="s">
        <v>502</v>
      </c>
    </row>
    <row r="122" spans="2:14">
      <c r="B122" t="s">
        <v>143</v>
      </c>
      <c r="N122" t="s">
        <v>501</v>
      </c>
    </row>
    <row r="123" spans="2:14">
      <c r="B123" t="s">
        <v>144</v>
      </c>
      <c r="N123" t="s">
        <v>500</v>
      </c>
    </row>
    <row r="124" spans="2:14">
      <c r="B124" t="s">
        <v>145</v>
      </c>
      <c r="N124" t="s">
        <v>499</v>
      </c>
    </row>
    <row r="125" spans="2:14">
      <c r="B125" t="s">
        <v>146</v>
      </c>
      <c r="N125" t="s">
        <v>498</v>
      </c>
    </row>
    <row r="126" spans="2:14">
      <c r="B126" t="s">
        <v>147</v>
      </c>
      <c r="N126" t="s">
        <v>497</v>
      </c>
    </row>
    <row r="127" spans="2:14">
      <c r="B127" t="s">
        <v>148</v>
      </c>
      <c r="N127" t="s">
        <v>496</v>
      </c>
    </row>
    <row r="128" spans="2:14">
      <c r="B128" t="s">
        <v>149</v>
      </c>
      <c r="N128" t="s">
        <v>495</v>
      </c>
    </row>
    <row r="129" spans="2:14">
      <c r="B129" t="s">
        <v>150</v>
      </c>
      <c r="N129" t="s">
        <v>494</v>
      </c>
    </row>
    <row r="130" spans="2:14">
      <c r="B130" t="s">
        <v>151</v>
      </c>
      <c r="N130" t="s">
        <v>493</v>
      </c>
    </row>
    <row r="131" spans="2:14">
      <c r="B131" t="s">
        <v>152</v>
      </c>
      <c r="N131" t="s">
        <v>492</v>
      </c>
    </row>
    <row r="132" spans="2:14">
      <c r="B132" t="s">
        <v>153</v>
      </c>
      <c r="N132" t="s">
        <v>491</v>
      </c>
    </row>
    <row r="133" spans="2:14">
      <c r="B133" t="s">
        <v>154</v>
      </c>
      <c r="N133" t="s">
        <v>490</v>
      </c>
    </row>
    <row r="134" spans="2:14">
      <c r="B134" t="s">
        <v>155</v>
      </c>
      <c r="N134" t="s">
        <v>489</v>
      </c>
    </row>
    <row r="135" spans="2:14">
      <c r="B135" t="s">
        <v>156</v>
      </c>
      <c r="N135" t="s">
        <v>488</v>
      </c>
    </row>
    <row r="136" spans="2:14">
      <c r="B136" t="s">
        <v>157</v>
      </c>
      <c r="N136" t="s">
        <v>487</v>
      </c>
    </row>
    <row r="137" spans="2:14">
      <c r="B137" t="s">
        <v>158</v>
      </c>
      <c r="N137" t="s">
        <v>486</v>
      </c>
    </row>
    <row r="138" spans="2:14">
      <c r="B138" t="s">
        <v>159</v>
      </c>
      <c r="N138" t="s">
        <v>485</v>
      </c>
    </row>
    <row r="139" spans="2:14">
      <c r="B139" t="s">
        <v>160</v>
      </c>
      <c r="N139" t="s">
        <v>484</v>
      </c>
    </row>
    <row r="140" spans="2:14">
      <c r="B140" t="s">
        <v>161</v>
      </c>
      <c r="N140" t="s">
        <v>483</v>
      </c>
    </row>
    <row r="141" spans="2:14">
      <c r="B141" t="s">
        <v>162</v>
      </c>
      <c r="N141" t="s">
        <v>482</v>
      </c>
    </row>
    <row r="142" spans="2:14">
      <c r="B142" t="s">
        <v>163</v>
      </c>
      <c r="N142" t="s">
        <v>481</v>
      </c>
    </row>
    <row r="143" spans="2:14">
      <c r="B143" t="s">
        <v>164</v>
      </c>
      <c r="N143" t="s">
        <v>480</v>
      </c>
    </row>
    <row r="144" spans="2:14">
      <c r="B144" t="s">
        <v>165</v>
      </c>
    </row>
    <row r="145" spans="2:2">
      <c r="B145" t="s">
        <v>166</v>
      </c>
    </row>
    <row r="146" spans="2:2">
      <c r="B146" t="s">
        <v>167</v>
      </c>
    </row>
    <row r="147" spans="2:2">
      <c r="B147" t="s">
        <v>168</v>
      </c>
    </row>
    <row r="148" spans="2:2">
      <c r="B148" t="s">
        <v>169</v>
      </c>
    </row>
    <row r="149" spans="2:2">
      <c r="B149" t="s">
        <v>170</v>
      </c>
    </row>
    <row r="150" spans="2:2">
      <c r="B150" t="s">
        <v>171</v>
      </c>
    </row>
    <row r="151" spans="2:2">
      <c r="B151" t="s">
        <v>172</v>
      </c>
    </row>
    <row r="152" spans="2:2">
      <c r="B152" t="s">
        <v>173</v>
      </c>
    </row>
    <row r="153" spans="2:2">
      <c r="B153" t="s">
        <v>174</v>
      </c>
    </row>
    <row r="154" spans="2:2">
      <c r="B154" t="s">
        <v>175</v>
      </c>
    </row>
    <row r="155" spans="2:2">
      <c r="B155" t="s">
        <v>176</v>
      </c>
    </row>
    <row r="156" spans="2:2">
      <c r="B156" t="s">
        <v>177</v>
      </c>
    </row>
    <row r="157" spans="2:2">
      <c r="B157" t="s">
        <v>178</v>
      </c>
    </row>
    <row r="158" spans="2:2">
      <c r="B158" t="s">
        <v>179</v>
      </c>
    </row>
    <row r="159" spans="2:2">
      <c r="B159" t="s">
        <v>180</v>
      </c>
    </row>
    <row r="160" spans="2:2">
      <c r="B160" t="s">
        <v>181</v>
      </c>
    </row>
    <row r="161" spans="2:2">
      <c r="B161" t="s">
        <v>182</v>
      </c>
    </row>
    <row r="162" spans="2:2">
      <c r="B162" t="s">
        <v>183</v>
      </c>
    </row>
    <row r="163" spans="2:2">
      <c r="B163" t="s">
        <v>184</v>
      </c>
    </row>
    <row r="164" spans="2:2">
      <c r="B164" t="s">
        <v>185</v>
      </c>
    </row>
    <row r="165" spans="2:2">
      <c r="B165" t="s">
        <v>186</v>
      </c>
    </row>
    <row r="166" spans="2:2">
      <c r="B166" t="s">
        <v>187</v>
      </c>
    </row>
    <row r="167" spans="2:2">
      <c r="B167" t="s">
        <v>188</v>
      </c>
    </row>
    <row r="168" spans="2:2">
      <c r="B168" t="s">
        <v>189</v>
      </c>
    </row>
    <row r="169" spans="2:2">
      <c r="B169" t="s">
        <v>190</v>
      </c>
    </row>
    <row r="170" spans="2:2">
      <c r="B170" t="s">
        <v>191</v>
      </c>
    </row>
    <row r="171" spans="2:2">
      <c r="B171" t="s">
        <v>192</v>
      </c>
    </row>
    <row r="172" spans="2:2">
      <c r="B172" t="s">
        <v>193</v>
      </c>
    </row>
    <row r="173" spans="2:2">
      <c r="B173" t="s">
        <v>194</v>
      </c>
    </row>
    <row r="174" spans="2:2">
      <c r="B174" t="s">
        <v>195</v>
      </c>
    </row>
    <row r="175" spans="2:2">
      <c r="B175" t="s">
        <v>196</v>
      </c>
    </row>
    <row r="176" spans="2:2">
      <c r="B176" t="s">
        <v>197</v>
      </c>
    </row>
    <row r="177" spans="2:2">
      <c r="B177" t="s">
        <v>198</v>
      </c>
    </row>
    <row r="178" spans="2:2">
      <c r="B178" t="s">
        <v>199</v>
      </c>
    </row>
    <row r="179" spans="2:2">
      <c r="B179" t="s">
        <v>200</v>
      </c>
    </row>
    <row r="180" spans="2:2">
      <c r="B180" t="s">
        <v>201</v>
      </c>
    </row>
    <row r="181" spans="2:2">
      <c r="B181" t="s">
        <v>202</v>
      </c>
    </row>
    <row r="182" spans="2:2">
      <c r="B182" t="s">
        <v>203</v>
      </c>
    </row>
    <row r="183" spans="2:2">
      <c r="B183" t="s">
        <v>204</v>
      </c>
    </row>
    <row r="184" spans="2:2">
      <c r="B184" t="s">
        <v>205</v>
      </c>
    </row>
    <row r="185" spans="2:2">
      <c r="B185" t="s">
        <v>206</v>
      </c>
    </row>
    <row r="186" spans="2:2">
      <c r="B186" t="s">
        <v>207</v>
      </c>
    </row>
    <row r="187" spans="2:2">
      <c r="B187" t="s">
        <v>208</v>
      </c>
    </row>
    <row r="188" spans="2:2">
      <c r="B188" t="s">
        <v>283</v>
      </c>
    </row>
    <row r="189" spans="2:2">
      <c r="B189" t="s">
        <v>209</v>
      </c>
    </row>
    <row r="190" spans="2:2">
      <c r="B190" t="s">
        <v>210</v>
      </c>
    </row>
    <row r="191" spans="2:2">
      <c r="B191" t="s">
        <v>211</v>
      </c>
    </row>
    <row r="192" spans="2:2">
      <c r="B192" t="s">
        <v>212</v>
      </c>
    </row>
    <row r="193" spans="2:2">
      <c r="B193" t="s">
        <v>213</v>
      </c>
    </row>
    <row r="194" spans="2:2">
      <c r="B194" t="s">
        <v>284</v>
      </c>
    </row>
    <row r="195" spans="2:2">
      <c r="B195" t="s">
        <v>214</v>
      </c>
    </row>
    <row r="196" spans="2:2">
      <c r="B196" t="s">
        <v>215</v>
      </c>
    </row>
    <row r="197" spans="2:2">
      <c r="B197" t="s">
        <v>216</v>
      </c>
    </row>
    <row r="198" spans="2:2">
      <c r="B198" t="s">
        <v>217</v>
      </c>
    </row>
    <row r="199" spans="2:2">
      <c r="B199" t="s">
        <v>218</v>
      </c>
    </row>
    <row r="200" spans="2:2">
      <c r="B200" t="s">
        <v>219</v>
      </c>
    </row>
    <row r="201" spans="2:2">
      <c r="B201" t="s">
        <v>220</v>
      </c>
    </row>
    <row r="202" spans="2:2">
      <c r="B202" t="s">
        <v>221</v>
      </c>
    </row>
    <row r="203" spans="2:2">
      <c r="B203" t="s">
        <v>222</v>
      </c>
    </row>
    <row r="204" spans="2:2">
      <c r="B204" t="s">
        <v>223</v>
      </c>
    </row>
    <row r="205" spans="2:2">
      <c r="B205" t="s">
        <v>224</v>
      </c>
    </row>
    <row r="206" spans="2:2">
      <c r="B206" t="s">
        <v>225</v>
      </c>
    </row>
    <row r="207" spans="2:2">
      <c r="B207" t="s">
        <v>273</v>
      </c>
    </row>
    <row r="208" spans="2:2">
      <c r="B208" t="s">
        <v>226</v>
      </c>
    </row>
    <row r="209" spans="2:2">
      <c r="B209" t="s">
        <v>227</v>
      </c>
    </row>
    <row r="210" spans="2:2">
      <c r="B210" t="s">
        <v>228</v>
      </c>
    </row>
    <row r="211" spans="2:2">
      <c r="B211" t="s">
        <v>229</v>
      </c>
    </row>
    <row r="212" spans="2:2">
      <c r="B212" t="s">
        <v>285</v>
      </c>
    </row>
    <row r="213" spans="2:2">
      <c r="B213" t="s">
        <v>230</v>
      </c>
    </row>
    <row r="214" spans="2:2">
      <c r="B214" t="s">
        <v>274</v>
      </c>
    </row>
    <row r="215" spans="2:2">
      <c r="B215" t="s">
        <v>231</v>
      </c>
    </row>
    <row r="216" spans="2:2">
      <c r="B216" t="s">
        <v>232</v>
      </c>
    </row>
    <row r="217" spans="2:2">
      <c r="B217" t="s">
        <v>275</v>
      </c>
    </row>
    <row r="218" spans="2:2">
      <c r="B218" t="s">
        <v>276</v>
      </c>
    </row>
    <row r="219" spans="2:2">
      <c r="B219" t="s">
        <v>233</v>
      </c>
    </row>
    <row r="220" spans="2:2">
      <c r="B220" t="s">
        <v>234</v>
      </c>
    </row>
    <row r="221" spans="2:2">
      <c r="B221" t="s">
        <v>277</v>
      </c>
    </row>
    <row r="222" spans="2:2">
      <c r="B222" t="s">
        <v>235</v>
      </c>
    </row>
    <row r="223" spans="2:2">
      <c r="B223" t="s">
        <v>236</v>
      </c>
    </row>
    <row r="224" spans="2:2">
      <c r="B224" t="s">
        <v>237</v>
      </c>
    </row>
    <row r="225" spans="2:2">
      <c r="B225" t="s">
        <v>238</v>
      </c>
    </row>
    <row r="226" spans="2:2">
      <c r="B226" t="s">
        <v>239</v>
      </c>
    </row>
    <row r="227" spans="2:2">
      <c r="B227" t="s">
        <v>240</v>
      </c>
    </row>
    <row r="228" spans="2:2">
      <c r="B228" t="s">
        <v>241</v>
      </c>
    </row>
    <row r="229" spans="2:2">
      <c r="B229" t="s">
        <v>242</v>
      </c>
    </row>
    <row r="230" spans="2:2">
      <c r="B230" t="s">
        <v>243</v>
      </c>
    </row>
    <row r="231" spans="2:2">
      <c r="B231" t="s">
        <v>244</v>
      </c>
    </row>
    <row r="232" spans="2:2">
      <c r="B232" t="s">
        <v>245</v>
      </c>
    </row>
    <row r="233" spans="2:2">
      <c r="B233" t="s">
        <v>246</v>
      </c>
    </row>
    <row r="234" spans="2:2">
      <c r="B234" t="s">
        <v>278</v>
      </c>
    </row>
    <row r="235" spans="2:2">
      <c r="B235" t="s">
        <v>247</v>
      </c>
    </row>
    <row r="236" spans="2:2">
      <c r="B236" t="s">
        <v>248</v>
      </c>
    </row>
    <row r="237" spans="2:2">
      <c r="B237" t="s">
        <v>249</v>
      </c>
    </row>
    <row r="238" spans="2:2">
      <c r="B238" t="s">
        <v>250</v>
      </c>
    </row>
    <row r="239" spans="2:2">
      <c r="B239" t="s">
        <v>279</v>
      </c>
    </row>
    <row r="240" spans="2:2">
      <c r="B240" t="s">
        <v>251</v>
      </c>
    </row>
    <row r="241" spans="2:2">
      <c r="B241" t="s">
        <v>252</v>
      </c>
    </row>
    <row r="242" spans="2:2">
      <c r="B242" t="s">
        <v>253</v>
      </c>
    </row>
    <row r="243" spans="2:2">
      <c r="B243" t="s">
        <v>254</v>
      </c>
    </row>
    <row r="244" spans="2:2">
      <c r="B244" t="s">
        <v>255</v>
      </c>
    </row>
    <row r="245" spans="2:2">
      <c r="B245" t="s">
        <v>256</v>
      </c>
    </row>
    <row r="246" spans="2:2">
      <c r="B246" t="s">
        <v>257</v>
      </c>
    </row>
    <row r="247" spans="2:2">
      <c r="B247" t="s">
        <v>258</v>
      </c>
    </row>
    <row r="248" spans="2:2">
      <c r="B248" t="s">
        <v>259</v>
      </c>
    </row>
    <row r="249" spans="2:2">
      <c r="B249" t="s">
        <v>260</v>
      </c>
    </row>
    <row r="250" spans="2:2">
      <c r="B250" t="s">
        <v>261</v>
      </c>
    </row>
    <row r="251" spans="2:2">
      <c r="B251" t="s">
        <v>262</v>
      </c>
    </row>
    <row r="252" spans="2:2">
      <c r="B252" t="s">
        <v>263</v>
      </c>
    </row>
    <row r="253" spans="2:2">
      <c r="B253" t="s">
        <v>264</v>
      </c>
    </row>
    <row r="254" spans="2:2">
      <c r="B254" t="s">
        <v>280</v>
      </c>
    </row>
    <row r="255" spans="2:2">
      <c r="B255" t="s">
        <v>265</v>
      </c>
    </row>
    <row r="256" spans="2:2">
      <c r="B256" t="s">
        <v>266</v>
      </c>
    </row>
    <row r="257" spans="2:2">
      <c r="B257" t="s">
        <v>267</v>
      </c>
    </row>
    <row r="258" spans="2:2">
      <c r="B258" t="s">
        <v>268</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1256</v>
      </c>
    </row>
    <row r="2" spans="1:3">
      <c r="A2" s="16" t="s">
        <v>1257</v>
      </c>
      <c r="B2" s="16" t="s">
        <v>1284</v>
      </c>
      <c r="C2" s="16" t="s">
        <v>1285</v>
      </c>
    </row>
    <row r="3" spans="1:3">
      <c r="A3" s="16" t="s">
        <v>847</v>
      </c>
      <c r="B3" s="16" t="s">
        <v>1276</v>
      </c>
      <c r="C3" s="16" t="s">
        <v>1258</v>
      </c>
    </row>
    <row r="4" spans="1:3">
      <c r="A4" s="16" t="s">
        <v>798</v>
      </c>
      <c r="B4" s="16" t="s">
        <v>1259</v>
      </c>
      <c r="C4" s="16" t="s">
        <v>1259</v>
      </c>
    </row>
    <row r="5" spans="1:3">
      <c r="A5" s="16" t="s">
        <v>848</v>
      </c>
      <c r="B5" s="16" t="s">
        <v>1260</v>
      </c>
      <c r="C5" s="16" t="s">
        <v>1260</v>
      </c>
    </row>
    <row r="6" spans="1:3">
      <c r="A6" s="16" t="s">
        <v>846</v>
      </c>
      <c r="B6" s="16" t="s">
        <v>1277</v>
      </c>
      <c r="C6" s="16" t="s">
        <v>1261</v>
      </c>
    </row>
    <row r="7" spans="1:3">
      <c r="A7" s="16" t="s">
        <v>845</v>
      </c>
      <c r="B7" s="16" t="s">
        <v>1278</v>
      </c>
      <c r="C7" s="16" t="s">
        <v>1262</v>
      </c>
    </row>
    <row r="8" spans="1:3">
      <c r="A8" s="16" t="s">
        <v>844</v>
      </c>
      <c r="B8" s="16" t="s">
        <v>1263</v>
      </c>
      <c r="C8" s="16" t="s">
        <v>1263</v>
      </c>
    </row>
    <row r="9" spans="1:3">
      <c r="A9" s="16" t="s">
        <v>853</v>
      </c>
      <c r="B9" s="16" t="s">
        <v>1264</v>
      </c>
      <c r="C9" s="16" t="s">
        <v>1264</v>
      </c>
    </row>
    <row r="10" spans="1:3">
      <c r="A10" s="16" t="s">
        <v>855</v>
      </c>
      <c r="B10" s="16" t="s">
        <v>1279</v>
      </c>
      <c r="C10" s="16" t="s">
        <v>1265</v>
      </c>
    </row>
    <row r="11" spans="1:3">
      <c r="A11" s="16" t="s">
        <v>854</v>
      </c>
      <c r="B11" s="16" t="s">
        <v>1280</v>
      </c>
      <c r="C11" s="16" t="s">
        <v>1266</v>
      </c>
    </row>
    <row r="12" spans="1:3">
      <c r="A12" s="16" t="s">
        <v>852</v>
      </c>
      <c r="B12" s="16" t="s">
        <v>1281</v>
      </c>
      <c r="C12" s="16" t="s">
        <v>1267</v>
      </c>
    </row>
    <row r="13" spans="1:3">
      <c r="A13" s="16" t="s">
        <v>718</v>
      </c>
      <c r="B13" s="16" t="s">
        <v>28</v>
      </c>
      <c r="C13" s="16" t="s">
        <v>1268</v>
      </c>
    </row>
    <row r="14" spans="1:3">
      <c r="A14" s="16" t="s">
        <v>856</v>
      </c>
      <c r="B14" s="16" t="s">
        <v>29</v>
      </c>
      <c r="C14" s="16" t="s">
        <v>1269</v>
      </c>
    </row>
    <row r="15" spans="1:3">
      <c r="A15" s="16" t="s">
        <v>857</v>
      </c>
      <c r="B15" s="16" t="s">
        <v>30</v>
      </c>
      <c r="C15" s="16" t="s">
        <v>1270</v>
      </c>
    </row>
    <row r="16" spans="1:3">
      <c r="A16" s="16" t="s">
        <v>716</v>
      </c>
      <c r="B16" s="16" t="s">
        <v>31</v>
      </c>
      <c r="C16" s="16" t="s">
        <v>1271</v>
      </c>
    </row>
    <row r="17" spans="1:3">
      <c r="A17" s="16" t="s">
        <v>851</v>
      </c>
      <c r="B17" s="16" t="s">
        <v>32</v>
      </c>
      <c r="C17" s="16" t="s">
        <v>1272</v>
      </c>
    </row>
    <row r="18" spans="1:3">
      <c r="A18" s="16" t="s">
        <v>850</v>
      </c>
      <c r="B18" s="16" t="s">
        <v>17</v>
      </c>
      <c r="C18" s="16" t="s">
        <v>29</v>
      </c>
    </row>
    <row r="19" spans="1:3">
      <c r="A19" s="16" t="s">
        <v>849</v>
      </c>
      <c r="B19" s="16" t="s">
        <v>1282</v>
      </c>
      <c r="C19" s="16" t="s">
        <v>1273</v>
      </c>
    </row>
    <row r="20" spans="1:3">
      <c r="A20" s="16" t="s">
        <v>871</v>
      </c>
      <c r="C20" s="16" t="s">
        <v>31</v>
      </c>
    </row>
    <row r="21" spans="1:3">
      <c r="A21" s="16" t="s">
        <v>872</v>
      </c>
      <c r="C21" s="16" t="s">
        <v>32</v>
      </c>
    </row>
    <row r="22" spans="1:3">
      <c r="C22" s="16" t="s">
        <v>1274</v>
      </c>
    </row>
    <row r="23" spans="1:3">
      <c r="C23" s="16" t="s">
        <v>1275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2024-05-06T22:49:35Z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