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G:\2024-05-04to05-10 (A5) C384400 NASA\"/>
    </mc:Choice>
  </mc:AlternateContent>
  <xr:revisionPtr revIDLastSave="0" documentId="8_{5A457DD5-E4BD-4B28-B50A-E3F954B3A320}" xr6:coauthVersionLast="47" xr6:coauthVersionMax="47" xr10:uidLastSave="{00000000-0000-0000-0000-000000000000}"/>
  <bookViews>
    <workbookView xWindow="-108" yWindow="-108" windowWidth="23256" windowHeight="12456" tabRatio="859" firstSheet="35" activeTab="4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<sst xmlns="http://schemas.openxmlformats.org/spreadsheetml/2006/main" count="4576" uniqueCount="1802">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</sst>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395"/>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-50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69.599999999999994">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t="s">
        <v>1061</v>
      </c>
      <c r="K3" s="226" t="s">
        <v>1061</v>
      </c>
      <c r="L3" s="226"/>
      <c r="M3" s="226"/>
      <c r="N3" s="226"/>
      <c r="O3" s="226"/>
      <c r="P3" s="226"/>
      <c r="Q3" s="226"/>
      <c r="R3" s="226"/>
      <c r="S3" s="226"/>
      <c r="T3" s="226"/>
      <c r="U3" s="226"/>
      <c r="V3" s="226"/>
      <c r="W3" s="226"/>
      <c r="X3" s="226"/>
      <c r="Y3" s="226"/>
      <c r="Z3" s="226"/>
      <c r="AA3" s="226"/>
      <c r="AB3" s="225" t="s">
        <v>1612</v>
      </c>
      <c r="AC3" s="227" t="s">
        <v>403</v>
      </c>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c r="K4" s="226"/>
      <c r="L4" s="226"/>
      <c r="M4" s="226" t="s">
        <v>1061</v>
      </c>
      <c r="N4" s="226" t="s">
        <v>1061</v>
      </c>
      <c r="O4" s="226" t="s">
        <v>1061</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t="s">
        <v>1061</v>
      </c>
      <c r="V5" s="226" t="s">
        <v>1061</v>
      </c>
      <c r="W5" s="226" t="s">
        <v>1061</v>
      </c>
      <c r="X5" s="226"/>
      <c r="Y5" s="226"/>
      <c r="Z5" s="226"/>
      <c r="AA5" s="226"/>
      <c r="AB5" s="225" t="s">
        <v>1612</v>
      </c>
      <c r="AC5" s="227"/>
      <c r="AD5" s="227" t="s">
        <v>403</v>
      </c>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t="s">
        <v>1061</v>
      </c>
      <c r="T6" s="226"/>
      <c r="U6" s="226"/>
      <c r="V6" s="226"/>
      <c r="W6" s="226"/>
      <c r="X6" s="226"/>
      <c r="Y6" s="226"/>
      <c r="Z6" s="226"/>
      <c r="AA6" s="226"/>
      <c r="AB6" s="225" t="s">
        <v>1612</v>
      </c>
      <c r="AC6" s="227" t="s">
        <v>403</v>
      </c>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t="s">
        <v>1061</v>
      </c>
      <c r="K7" s="226" t="s">
        <v>1061</v>
      </c>
      <c r="L7" s="226"/>
      <c r="M7" s="226"/>
      <c r="N7" s="226"/>
      <c r="O7" s="226"/>
      <c r="P7" s="226"/>
      <c r="Q7" s="226"/>
      <c r="R7" s="226"/>
      <c r="S7" s="226"/>
      <c r="T7" s="226"/>
      <c r="U7" s="226"/>
      <c r="V7" s="226"/>
      <c r="W7" s="226"/>
      <c r="X7" s="226"/>
      <c r="Y7" s="226"/>
      <c r="Z7" s="226"/>
      <c r="AA7" s="226"/>
      <c r="AB7" s="225" t="s">
        <v>1612</v>
      </c>
      <c r="AC7" s="227"/>
      <c r="AD7" s="227" t="s">
        <v>403</v>
      </c>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t="s">
        <v>1061</v>
      </c>
      <c r="N8" s="226" t="s">
        <v>1061</v>
      </c>
      <c r="O8" s="226" t="s">
        <v>1061</v>
      </c>
      <c r="P8" s="226"/>
      <c r="Q8" s="226"/>
      <c r="R8" s="226"/>
      <c r="S8" s="226"/>
      <c r="T8" s="226"/>
      <c r="U8" s="226"/>
      <c r="V8" s="226"/>
      <c r="W8" s="226"/>
      <c r="X8" s="226"/>
      <c r="Y8" s="226"/>
      <c r="Z8" s="226"/>
      <c r="AA8" s="226"/>
      <c r="AB8" s="225" t="s">
        <v>1612</v>
      </c>
      <c r="AC8" s="227" t="s">
        <v>403</v>
      </c>
      <c r="AD8" s="227"/>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t="s">
        <v>1061</v>
      </c>
      <c r="T9" s="226"/>
      <c r="U9" s="226"/>
      <c r="V9" s="226"/>
      <c r="W9" s="226"/>
      <c r="X9" s="226"/>
      <c r="Y9" s="226"/>
      <c r="Z9" s="226"/>
      <c r="AA9" s="226"/>
      <c r="AB9" s="225" t="s">
        <v>1612</v>
      </c>
      <c r="AC9" s="227"/>
      <c r="AD9" s="227" t="s">
        <v>403</v>
      </c>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32" t="str">
        <f>_xlfn.CONCAT("Week ",T8)</f>
        <v>Week 18</v>
      </c>
      <c r="B3" s="433"/>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32" t="str">
        <f>_xlfn.CONCAT("Week ",AJ8)</f>
        <v xml:space="preserve">Week </v>
      </c>
      <c r="R3" s="433"/>
    </row>
    <row r="4" spans="1:20" ht="19.95" customHeight="1">
      <c r="A4" s="434"/>
      <c r="B4" s="435"/>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4"/>
      <c r="R4" s="435"/>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36"/>
      <c r="D6" s="379"/>
      <c r="E6" s="436"/>
      <c r="F6" s="379"/>
      <c r="G6" s="369" t="s">
        <v>1572</v>
      </c>
      <c r="H6" s="379"/>
      <c r="I6" s="369" t="s">
        <v>1572</v>
      </c>
      <c r="J6" s="379"/>
      <c r="K6" s="369" t="s">
        <v>1572</v>
      </c>
      <c r="L6" s="379"/>
      <c r="M6" s="369" t="s">
        <v>1572</v>
      </c>
      <c r="N6" s="379"/>
      <c r="O6" s="429" t="s">
        <v>1572</v>
      </c>
      <c r="P6" s="379"/>
      <c r="Q6" s="368">
        <v>0.49999999999999994</v>
      </c>
      <c r="R6" s="368">
        <v>0.25</v>
      </c>
      <c r="T6" s="360">
        <f>DATE(T5,12,31)</f>
        <v>45291</v>
      </c>
    </row>
    <row r="7" spans="1:20" ht="19.95" customHeight="1">
      <c r="A7" s="368">
        <v>0.52083333333333326</v>
      </c>
      <c r="B7" s="368">
        <v>0.27083333333333331</v>
      </c>
      <c r="C7" s="436"/>
      <c r="D7" s="380"/>
      <c r="E7" s="436"/>
      <c r="F7" s="380"/>
      <c r="G7" s="370" t="s">
        <v>1384</v>
      </c>
      <c r="H7" s="380"/>
      <c r="I7" s="437" t="s">
        <v>956</v>
      </c>
      <c r="J7" s="380"/>
      <c r="K7" s="438" t="s">
        <v>960</v>
      </c>
      <c r="L7" s="380"/>
      <c r="M7" s="428" t="s">
        <v>1577</v>
      </c>
      <c r="N7" s="380"/>
      <c r="O7" s="430"/>
      <c r="P7" s="380"/>
      <c r="Q7" s="368">
        <v>0.52083333333333326</v>
      </c>
      <c r="R7" s="368">
        <v>0.27083333333333331</v>
      </c>
      <c r="T7" s="360">
        <f>T4-T6</f>
        <v>125</v>
      </c>
    </row>
    <row r="8" spans="1:20" ht="19.95" customHeight="1">
      <c r="A8" s="368">
        <v>0.54166666666666663</v>
      </c>
      <c r="B8" s="368">
        <v>0.29166666666666663</v>
      </c>
      <c r="C8" s="438" t="s">
        <v>1588</v>
      </c>
      <c r="D8" s="380"/>
      <c r="E8" s="438" t="s">
        <v>1588</v>
      </c>
      <c r="F8" s="380"/>
      <c r="G8" s="443" t="s">
        <v>1392</v>
      </c>
      <c r="H8" s="380"/>
      <c r="I8" s="437"/>
      <c r="J8" s="380"/>
      <c r="K8" s="440"/>
      <c r="L8" s="380"/>
      <c r="M8" s="428"/>
      <c r="N8" s="380"/>
      <c r="O8" s="431"/>
      <c r="P8" s="380"/>
      <c r="Q8" s="368">
        <v>0.54166666666666663</v>
      </c>
      <c r="R8" s="368">
        <v>0.29166666666666663</v>
      </c>
      <c r="T8" s="360">
        <f>ROUNDUP(T7/7,0)</f>
        <v>18</v>
      </c>
    </row>
    <row r="9" spans="1:20" ht="19.95" customHeight="1">
      <c r="A9" s="368">
        <v>0.5625</v>
      </c>
      <c r="B9" s="368">
        <v>0.31249999999999994</v>
      </c>
      <c r="C9" s="439"/>
      <c r="D9" s="380"/>
      <c r="E9" s="439"/>
      <c r="F9" s="380"/>
      <c r="G9" s="443"/>
      <c r="H9" s="380"/>
      <c r="I9" s="437"/>
      <c r="J9" s="380"/>
      <c r="K9" s="370" t="s">
        <v>1573</v>
      </c>
      <c r="L9" s="380"/>
      <c r="M9" s="369" t="s">
        <v>587</v>
      </c>
      <c r="N9" s="380"/>
      <c r="O9" s="444" t="s">
        <v>1587</v>
      </c>
      <c r="P9" s="380"/>
      <c r="Q9" s="368">
        <v>0.5625</v>
      </c>
      <c r="R9" s="368">
        <v>0.31249999999999994</v>
      </c>
    </row>
    <row r="10" spans="1:20" ht="19.95" customHeight="1">
      <c r="A10" s="368">
        <v>0.58333333333333337</v>
      </c>
      <c r="B10" s="368">
        <v>0.33333333333333326</v>
      </c>
      <c r="C10" s="439"/>
      <c r="D10" s="380"/>
      <c r="E10" s="439"/>
      <c r="F10" s="380"/>
      <c r="G10" s="441" t="s">
        <v>1587</v>
      </c>
      <c r="H10" s="380"/>
      <c r="I10" s="444" t="s">
        <v>1587</v>
      </c>
      <c r="J10" s="380"/>
      <c r="K10" s="444" t="s">
        <v>1587</v>
      </c>
      <c r="L10" s="380"/>
      <c r="M10" s="444" t="s">
        <v>1587</v>
      </c>
      <c r="N10" s="380"/>
      <c r="O10" s="444"/>
      <c r="P10" s="380"/>
      <c r="Q10" s="368">
        <v>0.58333333333333337</v>
      </c>
      <c r="R10" s="368">
        <v>0.33333333333333326</v>
      </c>
    </row>
    <row r="11" spans="1:20" ht="19.95" customHeight="1">
      <c r="A11" s="368">
        <v>0.60416666666666674</v>
      </c>
      <c r="B11" s="368">
        <v>0.35416666666666657</v>
      </c>
      <c r="C11" s="439"/>
      <c r="D11" s="380"/>
      <c r="E11" s="439"/>
      <c r="F11" s="380"/>
      <c r="G11" s="442"/>
      <c r="H11" s="380"/>
      <c r="I11" s="444"/>
      <c r="J11" s="380"/>
      <c r="K11" s="444"/>
      <c r="L11" s="380"/>
      <c r="M11" s="444"/>
      <c r="N11" s="380"/>
      <c r="O11" s="445" t="s">
        <v>1595</v>
      </c>
      <c r="P11" s="380"/>
      <c r="Q11" s="368">
        <v>0.60416666666666674</v>
      </c>
      <c r="R11" s="368">
        <v>0.35416666666666657</v>
      </c>
    </row>
    <row r="12" spans="1:20" ht="19.95" customHeight="1">
      <c r="A12" s="368">
        <v>0.62500000000000011</v>
      </c>
      <c r="B12" s="368">
        <v>0.37499999999999989</v>
      </c>
      <c r="C12" s="439"/>
      <c r="D12" s="380"/>
      <c r="E12" s="439"/>
      <c r="F12" s="380"/>
      <c r="G12" s="438" t="s">
        <v>1576</v>
      </c>
      <c r="H12" s="380"/>
      <c r="I12" s="428" t="s">
        <v>956</v>
      </c>
      <c r="J12" s="380"/>
      <c r="K12" s="438" t="s">
        <v>1573</v>
      </c>
      <c r="L12" s="380"/>
      <c r="M12" s="429" t="s">
        <v>1594</v>
      </c>
      <c r="N12" s="380"/>
      <c r="O12" s="445"/>
      <c r="P12" s="380"/>
      <c r="Q12" s="368">
        <v>0.62500000000000011</v>
      </c>
      <c r="R12" s="368">
        <v>0.37499999999999989</v>
      </c>
    </row>
    <row r="13" spans="1:20" ht="19.95" customHeight="1">
      <c r="A13" s="368">
        <v>0.64583333333333348</v>
      </c>
      <c r="B13" s="368">
        <v>0.3958333333333332</v>
      </c>
      <c r="C13" s="439"/>
      <c r="D13" s="380"/>
      <c r="E13" s="439"/>
      <c r="F13" s="380"/>
      <c r="G13" s="439"/>
      <c r="H13" s="380"/>
      <c r="I13" s="428"/>
      <c r="J13" s="380"/>
      <c r="K13" s="439"/>
      <c r="L13" s="380"/>
      <c r="M13" s="430"/>
      <c r="N13" s="380"/>
      <c r="O13" s="429" t="s">
        <v>1579</v>
      </c>
      <c r="P13" s="380"/>
      <c r="Q13" s="368">
        <v>0.64583333333333348</v>
      </c>
      <c r="R13" s="368">
        <v>0.3958333333333332</v>
      </c>
    </row>
    <row r="14" spans="1:20" ht="19.95" customHeight="1">
      <c r="A14" s="368">
        <v>0.66666666666666685</v>
      </c>
      <c r="B14" s="368">
        <v>0.41666666666666652</v>
      </c>
      <c r="C14" s="439"/>
      <c r="D14" s="380"/>
      <c r="E14" s="439"/>
      <c r="F14" s="380"/>
      <c r="G14" s="439"/>
      <c r="H14" s="380"/>
      <c r="I14" s="428"/>
      <c r="J14" s="380"/>
      <c r="K14" s="439"/>
      <c r="L14" s="380"/>
      <c r="M14" s="431"/>
      <c r="N14" s="380"/>
      <c r="O14" s="430"/>
      <c r="P14" s="380"/>
      <c r="Q14" s="368">
        <v>0.66666666666666685</v>
      </c>
      <c r="R14" s="368">
        <v>0.41666666666666652</v>
      </c>
    </row>
    <row r="15" spans="1:20" ht="19.95" customHeight="1">
      <c r="A15" s="368">
        <v>0.68750000000000022</v>
      </c>
      <c r="B15" s="368">
        <v>0.4375</v>
      </c>
      <c r="C15" s="439"/>
      <c r="D15" s="380"/>
      <c r="E15" s="439"/>
      <c r="F15" s="380"/>
      <c r="G15" s="439"/>
      <c r="H15" s="380"/>
      <c r="I15" s="428"/>
      <c r="J15" s="380"/>
      <c r="K15" s="439"/>
      <c r="L15" s="380"/>
      <c r="M15" s="446" t="s">
        <v>1574</v>
      </c>
      <c r="N15" s="380"/>
      <c r="O15" s="430"/>
      <c r="P15" s="380"/>
      <c r="Q15" s="368">
        <v>0.68750000000000022</v>
      </c>
      <c r="R15" s="368">
        <v>0.4375</v>
      </c>
    </row>
    <row r="16" spans="1:20" ht="19.95" customHeight="1">
      <c r="A16" s="368">
        <v>0.70833333333333359</v>
      </c>
      <c r="B16" s="368">
        <v>0.45833333333333398</v>
      </c>
      <c r="C16" s="439"/>
      <c r="D16" s="380"/>
      <c r="E16" s="439"/>
      <c r="F16" s="380"/>
      <c r="G16" s="439"/>
      <c r="H16" s="380"/>
      <c r="I16" s="428"/>
      <c r="J16" s="380"/>
      <c r="K16" s="439"/>
      <c r="L16" s="380"/>
      <c r="M16" s="447"/>
      <c r="N16" s="380"/>
      <c r="O16" s="430"/>
      <c r="P16" s="380"/>
      <c r="Q16" s="368">
        <v>0.70833333333333359</v>
      </c>
      <c r="R16" s="368">
        <v>0.45833333333333398</v>
      </c>
    </row>
    <row r="17" spans="1:18" ht="19.95" customHeight="1">
      <c r="A17" s="368">
        <v>0.72916666666666696</v>
      </c>
      <c r="B17" s="368">
        <v>0.47916666666666702</v>
      </c>
      <c r="C17" s="439"/>
      <c r="D17" s="380"/>
      <c r="E17" s="439"/>
      <c r="F17" s="380"/>
      <c r="G17" s="440"/>
      <c r="H17" s="380"/>
      <c r="I17" s="429" t="s">
        <v>587</v>
      </c>
      <c r="J17" s="380"/>
      <c r="K17" s="439"/>
      <c r="L17" s="380"/>
      <c r="M17" s="448" t="s">
        <v>1575</v>
      </c>
      <c r="N17" s="380"/>
      <c r="O17" s="430"/>
      <c r="P17" s="380"/>
      <c r="Q17" s="368">
        <v>0.72916666666666696</v>
      </c>
      <c r="R17" s="368">
        <v>0.47916666666666702</v>
      </c>
    </row>
    <row r="18" spans="1:18" ht="19.95" customHeight="1">
      <c r="A18" s="368">
        <v>0.75</v>
      </c>
      <c r="B18" s="368">
        <v>0.5</v>
      </c>
      <c r="C18" s="439"/>
      <c r="D18" s="380"/>
      <c r="E18" s="439"/>
      <c r="F18" s="380"/>
      <c r="G18" s="369" t="s">
        <v>587</v>
      </c>
      <c r="H18" s="380"/>
      <c r="I18" s="431"/>
      <c r="J18" s="380"/>
      <c r="K18" s="439"/>
      <c r="L18" s="380"/>
      <c r="M18" s="449"/>
      <c r="N18" s="380"/>
      <c r="O18" s="430"/>
      <c r="P18" s="380"/>
      <c r="Q18" s="368">
        <v>0.75</v>
      </c>
      <c r="R18" s="368">
        <v>0.5</v>
      </c>
    </row>
    <row r="19" spans="1:18" ht="19.95" customHeight="1">
      <c r="A19" s="368">
        <v>0.77083333333333404</v>
      </c>
      <c r="B19" s="368">
        <v>0.52083333333333404</v>
      </c>
      <c r="C19" s="439"/>
      <c r="D19" s="380"/>
      <c r="E19" s="439"/>
      <c r="F19" s="380"/>
      <c r="G19" s="428" t="s">
        <v>1578</v>
      </c>
      <c r="H19" s="380"/>
      <c r="I19" s="428" t="s">
        <v>959</v>
      </c>
      <c r="J19" s="380"/>
      <c r="K19" s="439"/>
      <c r="L19" s="380"/>
      <c r="M19" s="429" t="s">
        <v>1739</v>
      </c>
      <c r="N19" s="380"/>
      <c r="O19" s="430"/>
      <c r="P19" s="380"/>
      <c r="Q19" s="368">
        <v>0.77083333333333404</v>
      </c>
      <c r="R19" s="368">
        <v>0.52083333333333404</v>
      </c>
    </row>
    <row r="20" spans="1:18" ht="19.95" customHeight="1">
      <c r="A20" s="371">
        <v>0.79166666666666696</v>
      </c>
      <c r="B20" s="371">
        <v>0.54166666666666696</v>
      </c>
      <c r="C20" s="439"/>
      <c r="D20" s="380"/>
      <c r="E20" s="439"/>
      <c r="F20" s="380"/>
      <c r="G20" s="428"/>
      <c r="H20" s="380"/>
      <c r="I20" s="428"/>
      <c r="J20" s="380"/>
      <c r="K20" s="440"/>
      <c r="L20" s="380"/>
      <c r="M20" s="430"/>
      <c r="N20" s="380"/>
      <c r="O20" s="430"/>
      <c r="P20" s="380"/>
      <c r="Q20" s="371">
        <v>0.79166666666666696</v>
      </c>
      <c r="R20" s="371">
        <v>0.54166666666666696</v>
      </c>
    </row>
    <row r="21" spans="1:18" ht="19.95" customHeight="1">
      <c r="A21" s="371">
        <v>0.8125</v>
      </c>
      <c r="B21" s="371">
        <v>0.5625</v>
      </c>
      <c r="C21" s="440"/>
      <c r="D21" s="380"/>
      <c r="E21" s="440"/>
      <c r="F21" s="380"/>
      <c r="G21" s="429" t="s">
        <v>1591</v>
      </c>
      <c r="H21" s="380"/>
      <c r="I21" s="460" t="s">
        <v>1591</v>
      </c>
      <c r="J21" s="380"/>
      <c r="K21" s="460" t="s">
        <v>1591</v>
      </c>
      <c r="L21" s="380"/>
      <c r="M21" s="430"/>
      <c r="N21" s="380"/>
      <c r="O21" s="431"/>
      <c r="P21" s="380"/>
      <c r="Q21" s="371">
        <v>0.8125</v>
      </c>
      <c r="R21" s="371">
        <v>0.5625</v>
      </c>
    </row>
    <row r="22" spans="1:18" ht="19.95" customHeight="1">
      <c r="A22" s="371">
        <v>0.83333333333333404</v>
      </c>
      <c r="B22" s="371">
        <v>0.58333333333333304</v>
      </c>
      <c r="C22" s="429" t="s">
        <v>1593</v>
      </c>
      <c r="D22" s="380"/>
      <c r="E22" s="429" t="s">
        <v>1593</v>
      </c>
      <c r="F22" s="380"/>
      <c r="G22" s="431"/>
      <c r="H22" s="380"/>
      <c r="I22" s="460"/>
      <c r="J22" s="380"/>
      <c r="K22" s="460"/>
      <c r="L22" s="380"/>
      <c r="M22" s="431"/>
      <c r="N22" s="380"/>
      <c r="O22" s="450" t="s">
        <v>1592</v>
      </c>
      <c r="P22" s="380"/>
      <c r="Q22" s="371">
        <v>0.83333333333333404</v>
      </c>
      <c r="R22" s="371">
        <v>0.58333333333333304</v>
      </c>
    </row>
    <row r="23" spans="1:18" ht="19.95" customHeight="1">
      <c r="A23" s="371">
        <v>0.85416666666666696</v>
      </c>
      <c r="B23" s="371">
        <v>0.60416666666666696</v>
      </c>
      <c r="C23" s="431"/>
      <c r="D23" s="380"/>
      <c r="E23" s="431"/>
      <c r="F23" s="380"/>
      <c r="G23" s="457" t="s">
        <v>1592</v>
      </c>
      <c r="H23" s="380"/>
      <c r="I23" s="436" t="s">
        <v>1592</v>
      </c>
      <c r="J23" s="380"/>
      <c r="K23" s="436" t="s">
        <v>1592</v>
      </c>
      <c r="L23" s="380"/>
      <c r="M23" s="436" t="s">
        <v>1592</v>
      </c>
      <c r="N23" s="380"/>
      <c r="O23" s="450"/>
      <c r="P23" s="380"/>
      <c r="Q23" s="371">
        <v>0.85416666666666696</v>
      </c>
      <c r="R23" s="371">
        <v>0.60416666666666696</v>
      </c>
    </row>
    <row r="24" spans="1:18" ht="19.95" customHeight="1">
      <c r="A24" s="371">
        <v>0.874999999999999</v>
      </c>
      <c r="B24" s="371">
        <v>0.624999999999999</v>
      </c>
      <c r="C24" s="450" t="s">
        <v>1592</v>
      </c>
      <c r="D24" s="380"/>
      <c r="E24" s="450" t="s">
        <v>1592</v>
      </c>
      <c r="F24" s="380"/>
      <c r="G24" s="458"/>
      <c r="H24" s="380"/>
      <c r="I24" s="436"/>
      <c r="J24" s="380"/>
      <c r="K24" s="436"/>
      <c r="L24" s="380"/>
      <c r="M24" s="436"/>
      <c r="N24" s="380"/>
      <c r="O24" s="450"/>
      <c r="P24" s="380"/>
      <c r="Q24" s="371">
        <v>0.874999999999999</v>
      </c>
      <c r="R24" s="371">
        <v>0.624999999999999</v>
      </c>
    </row>
    <row r="25" spans="1:18" ht="19.95" customHeight="1">
      <c r="A25" s="371">
        <v>0.89583333333333204</v>
      </c>
      <c r="B25" s="371">
        <v>0.64583333333333204</v>
      </c>
      <c r="C25" s="450"/>
      <c r="D25" s="381"/>
      <c r="E25" s="450"/>
      <c r="F25" s="381"/>
      <c r="G25" s="459"/>
      <c r="H25" s="381"/>
      <c r="I25" s="436"/>
      <c r="J25" s="381"/>
      <c r="K25" s="436"/>
      <c r="L25" s="381"/>
      <c r="M25" s="436"/>
      <c r="N25" s="381"/>
      <c r="O25" s="450"/>
      <c r="P25" s="381"/>
      <c r="Q25" s="371">
        <v>0.89583333333333204</v>
      </c>
      <c r="R25" s="371">
        <v>0.64583333333333204</v>
      </c>
    </row>
    <row r="33" spans="2:15" ht="16.05" customHeight="1">
      <c r="B33" s="372" t="s">
        <v>815</v>
      </c>
      <c r="C33" s="372" t="s">
        <v>816</v>
      </c>
      <c r="D33" s="451" t="s">
        <v>1580</v>
      </c>
      <c r="E33" s="452"/>
      <c r="F33" s="452"/>
      <c r="G33" s="453"/>
      <c r="H33" s="372" t="s">
        <v>1581</v>
      </c>
      <c r="L33" s="454" t="s">
        <v>1590</v>
      </c>
      <c r="M33" s="455"/>
      <c r="N33" s="455"/>
      <c r="O33" s="456"/>
    </row>
    <row r="34" spans="2:15" ht="16.05" customHeight="1">
      <c r="B34" s="373">
        <v>1</v>
      </c>
      <c r="C34" s="374">
        <f>Planning!B41</f>
        <v>45406</v>
      </c>
      <c r="D34" s="461" t="s">
        <v>1582</v>
      </c>
      <c r="E34" s="461"/>
      <c r="F34" s="461"/>
      <c r="G34" s="461"/>
      <c r="H34" s="375" t="s">
        <v>578</v>
      </c>
      <c r="L34" s="465" t="s">
        <v>1589</v>
      </c>
      <c r="M34" s="466"/>
      <c r="N34" s="466"/>
      <c r="O34" s="467"/>
    </row>
    <row r="35" spans="2:15" ht="16.05" customHeight="1">
      <c r="B35" s="373" t="s">
        <v>1583</v>
      </c>
      <c r="C35" s="374">
        <f>G5</f>
        <v>45418</v>
      </c>
      <c r="D35" s="461" t="s">
        <v>1584</v>
      </c>
      <c r="E35" s="461"/>
      <c r="F35" s="461"/>
      <c r="G35" s="461"/>
      <c r="H35" s="375" t="s">
        <v>603</v>
      </c>
      <c r="L35" s="468" t="s">
        <v>1585</v>
      </c>
      <c r="M35" s="469"/>
      <c r="N35" s="469"/>
      <c r="O35" s="470"/>
    </row>
    <row r="36" spans="2:15" ht="16.05" customHeight="1">
      <c r="B36" s="373"/>
      <c r="C36" s="374"/>
      <c r="D36" s="461"/>
      <c r="E36" s="461"/>
      <c r="F36" s="461"/>
      <c r="G36" s="461"/>
      <c r="H36" s="375"/>
      <c r="L36" s="471" t="s">
        <v>1586</v>
      </c>
      <c r="M36" s="472"/>
      <c r="N36" s="472"/>
      <c r="O36" s="473"/>
    </row>
    <row r="37" spans="2:15" ht="16.05" customHeight="1">
      <c r="B37" s="373"/>
      <c r="C37" s="374"/>
      <c r="D37" s="461"/>
      <c r="E37" s="461"/>
      <c r="F37" s="461"/>
      <c r="G37" s="461"/>
      <c r="H37" s="375"/>
      <c r="L37" s="462" t="s">
        <v>1587</v>
      </c>
      <c r="M37" s="463"/>
      <c r="N37" s="463"/>
      <c r="O37" s="464"/>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1150</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28.8">
      <c r="A4" s="491" t="s">
        <v>898</v>
      </c>
      <c r="B4" s="491"/>
      <c r="C4" s="64" t="e">
        <f>J11</f>
        <v>#REF!</v>
      </c>
      <c r="D4" s="64" t="e">
        <f>M11</f>
        <v>#REF!</v>
      </c>
      <c r="E4" s="64" t="str">
        <f>CONCATENATE("LA team: ",'Agreement 3'!B7," and ATMs if applicable")</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I15" s="109"/>
      <c r="K15" s="111"/>
      <c r="L15" s="109" t="e">
        <f>'P1-OrgScope'!#REF!</f>
        <v>#REF!</v>
      </c>
      <c r="M15" s="63"/>
      <c r="N15" s="63"/>
      <c r="O15" s="63"/>
      <c r="P15" s="63"/>
    </row>
    <row r="16" spans="1:16">
      <c r="A16" s="495" t="str">
        <f>J4</f>
        <v>Day 3</v>
      </c>
      <c r="B16" s="495"/>
      <c r="C16" s="496">
        <f>I4</f>
        <v>45418</v>
      </c>
      <c r="D16" s="496"/>
      <c r="E16" s="496"/>
      <c r="F16" s="495" t="str">
        <f>A16</f>
        <v>Day 3</v>
      </c>
      <c r="G16" s="495"/>
      <c r="H16" s="61"/>
      <c r="I16" s="109"/>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8" t="s">
        <v>953</v>
      </c>
      <c r="D19" s="499"/>
      <c r="E19" s="500"/>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1552</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906</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1553</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906</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1554</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480" t="s">
        <v>906</v>
      </c>
      <c r="D71" s="480"/>
      <c r="E71" s="480"/>
      <c r="F71" s="66">
        <v>0.47916666666666669</v>
      </c>
      <c r="G71" s="66">
        <v>0.5</v>
      </c>
      <c r="H71" s="70"/>
    </row>
    <row r="72" spans="1:8" ht="18" customHeight="1">
      <c r="A72" s="66">
        <v>0.75</v>
      </c>
      <c r="B72" s="66">
        <v>0.83333333333333337</v>
      </c>
      <c r="C72" s="480" t="s">
        <v>907</v>
      </c>
      <c r="D72" s="480"/>
      <c r="E72" s="480"/>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93" t="s">
        <v>909</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1151</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49.5" customHeight="1">
      <c r="A4" s="491" t="s">
        <v>898</v>
      </c>
      <c r="B4" s="491"/>
      <c r="C4" s="64" t="e">
        <f>'Schedule4-1P'!C4</f>
        <v>#REF!</v>
      </c>
      <c r="D4" s="64" t="e">
        <f>'Schedule4-1P'!D4</f>
        <v>#REF!</v>
      </c>
      <c r="E4" s="64" t="str">
        <f>'Schedule4-1P'!E4</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K15" s="111"/>
      <c r="L15" s="109" t="e">
        <f>'P1-OrgScope'!#REF!</f>
        <v>#REF!</v>
      </c>
      <c r="M15" s="63"/>
      <c r="N15" s="63"/>
      <c r="O15" s="63"/>
      <c r="P15" s="63"/>
    </row>
    <row r="16" spans="1:16">
      <c r="A16" s="495" t="str">
        <f>J4</f>
        <v>Day 3</v>
      </c>
      <c r="B16" s="495"/>
      <c r="C16" s="496">
        <f>I4</f>
        <v>45418</v>
      </c>
      <c r="D16" s="496"/>
      <c r="E16" s="496"/>
      <c r="F16" s="495" t="str">
        <f>A16</f>
        <v>Day 3</v>
      </c>
      <c r="G16" s="495"/>
      <c r="H16" s="61"/>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2" t="s">
        <v>953</v>
      </c>
      <c r="D19" s="492"/>
      <c r="E19" s="492"/>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955</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1087</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956</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1087</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958</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503" t="s">
        <v>1086</v>
      </c>
      <c r="D71" s="504"/>
      <c r="E71" s="505"/>
      <c r="F71" s="66">
        <v>0.47916666666666669</v>
      </c>
      <c r="G71" s="66">
        <v>0.5</v>
      </c>
      <c r="H71" s="70"/>
    </row>
    <row r="72" spans="1:8" ht="18" customHeight="1">
      <c r="A72" s="66">
        <v>0.75</v>
      </c>
      <c r="B72" s="66">
        <v>0.83333333333333337</v>
      </c>
      <c r="C72" s="506"/>
      <c r="D72" s="507"/>
      <c r="E72" s="508"/>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03" t="s">
        <v>1086</v>
      </c>
      <c r="D81" s="504"/>
      <c r="E81" s="505"/>
      <c r="F81" s="66">
        <v>0.29166666666666669</v>
      </c>
      <c r="G81" s="66">
        <v>0.3125</v>
      </c>
      <c r="H81" s="70"/>
    </row>
    <row r="82" spans="1:8" ht="18" customHeight="1">
      <c r="A82" s="66">
        <v>0.5625</v>
      </c>
      <c r="B82" s="66">
        <v>0.58333333333333337</v>
      </c>
      <c r="C82" s="506"/>
      <c r="D82" s="507"/>
      <c r="E82" s="508"/>
      <c r="F82" s="66">
        <v>0.3125</v>
      </c>
      <c r="G82" s="66">
        <v>0.33333333333333331</v>
      </c>
      <c r="H82" s="70"/>
    </row>
    <row r="83" spans="1:8" ht="18" customHeight="1">
      <c r="A83" s="66">
        <v>0.58333333333333337</v>
      </c>
      <c r="B83" s="66">
        <v>0.60416666666666663</v>
      </c>
      <c r="C83" s="509" t="s">
        <v>909</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28" t="s">
        <v>1383</v>
      </c>
      <c r="C3" s="274" t="s">
        <v>1384</v>
      </c>
      <c r="D3" s="275" t="s">
        <v>1385</v>
      </c>
      <c r="E3" s="275" t="s">
        <v>1385</v>
      </c>
      <c r="F3" s="515" t="s">
        <v>1386</v>
      </c>
      <c r="G3" s="515" t="s">
        <v>1387</v>
      </c>
      <c r="H3" s="276">
        <f t="shared" ref="H3:H19" si="1">+A3-0.25</f>
        <v>0.16666666666666702</v>
      </c>
    </row>
    <row r="4" spans="1:8">
      <c r="A4" s="273">
        <v>0.4375</v>
      </c>
      <c r="B4" s="528"/>
      <c r="C4" s="277" t="s">
        <v>1388</v>
      </c>
      <c r="D4" s="516" t="s">
        <v>1389</v>
      </c>
      <c r="E4" s="516" t="s">
        <v>1390</v>
      </c>
      <c r="F4" s="515"/>
      <c r="G4" s="515"/>
      <c r="H4" s="276">
        <f t="shared" si="1"/>
        <v>0.1875</v>
      </c>
    </row>
    <row r="5" spans="1:8">
      <c r="A5" s="273">
        <v>0.45833333333333398</v>
      </c>
      <c r="B5" s="529" t="s">
        <v>1391</v>
      </c>
      <c r="C5" s="527" t="s">
        <v>1392</v>
      </c>
      <c r="D5" s="516"/>
      <c r="E5" s="516"/>
      <c r="F5" s="515"/>
      <c r="G5" s="515"/>
      <c r="H5" s="276">
        <f t="shared" si="1"/>
        <v>0.20833333333333398</v>
      </c>
    </row>
    <row r="6" spans="1:8">
      <c r="A6" s="273">
        <v>0.47916666666666702</v>
      </c>
      <c r="B6" s="529"/>
      <c r="C6" s="527"/>
      <c r="D6" s="516"/>
      <c r="E6" s="516"/>
      <c r="F6" s="515"/>
      <c r="G6" s="274" t="s">
        <v>1388</v>
      </c>
      <c r="H6" s="276">
        <f t="shared" si="1"/>
        <v>0.22916666666666702</v>
      </c>
    </row>
    <row r="7" spans="1:8">
      <c r="A7" s="273">
        <v>0.5</v>
      </c>
      <c r="B7" s="529"/>
      <c r="C7" s="516" t="s">
        <v>1393</v>
      </c>
      <c r="D7" s="516"/>
      <c r="E7" s="516"/>
      <c r="F7" s="523" t="s">
        <v>905</v>
      </c>
      <c r="G7" s="523" t="s">
        <v>905</v>
      </c>
      <c r="H7" s="276">
        <f t="shared" si="1"/>
        <v>0.25</v>
      </c>
    </row>
    <row r="8" spans="1:8" ht="28.8">
      <c r="A8" s="273">
        <v>0.52083333333333404</v>
      </c>
      <c r="B8" s="278" t="s">
        <v>1383</v>
      </c>
      <c r="C8" s="516"/>
      <c r="D8" s="516"/>
      <c r="E8" s="516"/>
      <c r="F8" s="523"/>
      <c r="G8" s="523"/>
      <c r="H8" s="276">
        <f t="shared" si="1"/>
        <v>0.27083333333333404</v>
      </c>
    </row>
    <row r="9" spans="1:8">
      <c r="A9" s="273">
        <v>0.54166666666666696</v>
      </c>
      <c r="B9" s="522" t="s">
        <v>905</v>
      </c>
      <c r="C9" s="523" t="s">
        <v>905</v>
      </c>
      <c r="D9" s="523" t="s">
        <v>905</v>
      </c>
      <c r="E9" s="523" t="s">
        <v>905</v>
      </c>
      <c r="F9" s="274" t="s">
        <v>1388</v>
      </c>
      <c r="G9" s="527" t="s">
        <v>764</v>
      </c>
      <c r="H9" s="276">
        <f t="shared" si="1"/>
        <v>0.29166666666666696</v>
      </c>
    </row>
    <row r="10" spans="1:8">
      <c r="A10" s="273">
        <v>0.5625</v>
      </c>
      <c r="B10" s="522"/>
      <c r="C10" s="523"/>
      <c r="D10" s="523"/>
      <c r="E10" s="523"/>
      <c r="F10" s="527" t="s">
        <v>1394</v>
      </c>
      <c r="G10" s="527"/>
      <c r="H10" s="276">
        <f t="shared" si="1"/>
        <v>0.3125</v>
      </c>
    </row>
    <row r="11" spans="1:8">
      <c r="A11" s="273">
        <v>0.58333333333333304</v>
      </c>
      <c r="B11" s="528" t="s">
        <v>1395</v>
      </c>
      <c r="C11" s="516" t="s">
        <v>1396</v>
      </c>
      <c r="D11" s="516" t="s">
        <v>1397</v>
      </c>
      <c r="E11" s="516" t="s">
        <v>1398</v>
      </c>
      <c r="F11" s="527"/>
      <c r="G11" s="515" t="s">
        <v>1399</v>
      </c>
      <c r="H11" s="276">
        <f t="shared" si="1"/>
        <v>0.33333333333333304</v>
      </c>
    </row>
    <row r="12" spans="1:8">
      <c r="A12" s="273">
        <v>0.60416666666666696</v>
      </c>
      <c r="B12" s="528"/>
      <c r="C12" s="516"/>
      <c r="D12" s="516"/>
      <c r="E12" s="516"/>
      <c r="F12" s="527" t="s">
        <v>1400</v>
      </c>
      <c r="G12" s="515"/>
      <c r="H12" s="276">
        <f t="shared" si="1"/>
        <v>0.35416666666666696</v>
      </c>
    </row>
    <row r="13" spans="1:8">
      <c r="A13" s="273">
        <v>0.625</v>
      </c>
      <c r="B13" s="528"/>
      <c r="C13" s="516"/>
      <c r="D13" s="516" t="s">
        <v>1401</v>
      </c>
      <c r="E13" s="516"/>
      <c r="F13" s="527"/>
      <c r="G13" s="515"/>
      <c r="H13" s="276">
        <f t="shared" si="1"/>
        <v>0.375</v>
      </c>
    </row>
    <row r="14" spans="1:8">
      <c r="A14" s="273">
        <v>0.64583333333333304</v>
      </c>
      <c r="B14" s="528"/>
      <c r="C14" s="516"/>
      <c r="D14" s="516"/>
      <c r="E14" s="516"/>
      <c r="F14" s="515" t="s">
        <v>1387</v>
      </c>
      <c r="G14" s="530" t="s">
        <v>1402</v>
      </c>
      <c r="H14" s="276">
        <f t="shared" si="1"/>
        <v>0.39583333333333304</v>
      </c>
    </row>
    <row r="15" spans="1:8">
      <c r="A15" s="273">
        <v>0.66666666666666696</v>
      </c>
      <c r="B15" s="528"/>
      <c r="C15" s="277" t="s">
        <v>1388</v>
      </c>
      <c r="D15" s="516"/>
      <c r="E15" s="515" t="s">
        <v>1386</v>
      </c>
      <c r="F15" s="515"/>
      <c r="G15" s="530"/>
      <c r="H15" s="276">
        <f t="shared" si="1"/>
        <v>0.41666666666666696</v>
      </c>
    </row>
    <row r="16" spans="1:8">
      <c r="A16" s="273">
        <v>0.6875</v>
      </c>
      <c r="B16" s="528"/>
      <c r="C16" s="516" t="s">
        <v>1403</v>
      </c>
      <c r="D16" s="516" t="s">
        <v>1404</v>
      </c>
      <c r="E16" s="515"/>
      <c r="F16" s="515"/>
      <c r="G16" s="530"/>
      <c r="H16" s="276">
        <f t="shared" si="1"/>
        <v>0.4375</v>
      </c>
    </row>
    <row r="17" spans="1:8">
      <c r="A17" s="273">
        <v>0.70833333333333304</v>
      </c>
      <c r="B17" s="279" t="s">
        <v>1405</v>
      </c>
      <c r="C17" s="516"/>
      <c r="D17" s="516"/>
      <c r="E17" s="515"/>
      <c r="F17" s="515"/>
      <c r="G17" s="530"/>
      <c r="H17" s="276">
        <f t="shared" si="1"/>
        <v>0.45833333333333304</v>
      </c>
    </row>
    <row r="18" spans="1:8">
      <c r="A18" s="273">
        <v>0.72916666666666663</v>
      </c>
      <c r="B18" s="280" t="s">
        <v>1385</v>
      </c>
      <c r="C18" s="275" t="s">
        <v>1385</v>
      </c>
      <c r="D18" s="275" t="s">
        <v>1385</v>
      </c>
      <c r="E18" s="275" t="s">
        <v>1385</v>
      </c>
      <c r="F18" s="275" t="s">
        <v>1385</v>
      </c>
      <c r="G18" s="530"/>
      <c r="H18" s="276">
        <f t="shared" si="1"/>
        <v>0.47916666666666663</v>
      </c>
    </row>
    <row r="19" spans="1:8" ht="15" thickBot="1">
      <c r="A19" s="281">
        <v>0.75</v>
      </c>
      <c r="B19" s="524" t="s">
        <v>907</v>
      </c>
      <c r="C19" s="525"/>
      <c r="D19" s="525"/>
      <c r="E19" s="525"/>
      <c r="F19" s="525"/>
      <c r="G19" s="525"/>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28" t="s">
        <v>1383</v>
      </c>
      <c r="C23" s="274" t="s">
        <v>1384</v>
      </c>
      <c r="D23" s="275" t="s">
        <v>1385</v>
      </c>
      <c r="E23" s="275" t="s">
        <v>1385</v>
      </c>
      <c r="F23" s="517" t="s">
        <v>1386</v>
      </c>
      <c r="G23" s="517" t="s">
        <v>1387</v>
      </c>
      <c r="H23" s="276">
        <f t="shared" ref="H23:H39" si="3">+A23-0.25</f>
        <v>0.16666666666666702</v>
      </c>
    </row>
    <row r="24" spans="1:8">
      <c r="A24" s="273">
        <v>0.4375</v>
      </c>
      <c r="B24" s="528"/>
      <c r="C24" s="277" t="s">
        <v>1388</v>
      </c>
      <c r="D24" s="516" t="s">
        <v>1389</v>
      </c>
      <c r="E24" s="516" t="s">
        <v>1390</v>
      </c>
      <c r="F24" s="526"/>
      <c r="G24" s="526"/>
      <c r="H24" s="276">
        <f t="shared" si="3"/>
        <v>0.1875</v>
      </c>
    </row>
    <row r="25" spans="1:8">
      <c r="A25" s="273">
        <v>0.45833333333333398</v>
      </c>
      <c r="B25" s="529" t="s">
        <v>1391</v>
      </c>
      <c r="C25" s="527" t="s">
        <v>1392</v>
      </c>
      <c r="D25" s="516"/>
      <c r="E25" s="516"/>
      <c r="F25" s="526"/>
      <c r="G25" s="526"/>
      <c r="H25" s="276">
        <f t="shared" si="3"/>
        <v>0.20833333333333398</v>
      </c>
    </row>
    <row r="26" spans="1:8">
      <c r="A26" s="273">
        <v>0.47916666666666702</v>
      </c>
      <c r="B26" s="529"/>
      <c r="C26" s="527"/>
      <c r="D26" s="516"/>
      <c r="E26" s="516"/>
      <c r="F26" s="526"/>
      <c r="G26" s="526"/>
      <c r="H26" s="276">
        <f t="shared" si="3"/>
        <v>0.22916666666666702</v>
      </c>
    </row>
    <row r="27" spans="1:8">
      <c r="A27" s="273">
        <v>0.5</v>
      </c>
      <c r="B27" s="529"/>
      <c r="C27" s="516" t="s">
        <v>1393</v>
      </c>
      <c r="D27" s="516"/>
      <c r="E27" s="516"/>
      <c r="F27" s="526"/>
      <c r="G27" s="526"/>
      <c r="H27" s="276">
        <f t="shared" si="3"/>
        <v>0.25</v>
      </c>
    </row>
    <row r="28" spans="1:8" ht="28.8">
      <c r="A28" s="273">
        <v>0.52083333333333404</v>
      </c>
      <c r="B28" s="278" t="s">
        <v>1383</v>
      </c>
      <c r="C28" s="516"/>
      <c r="D28" s="516"/>
      <c r="E28" s="516"/>
      <c r="F28" s="518"/>
      <c r="G28" s="518"/>
      <c r="H28" s="276">
        <f t="shared" si="3"/>
        <v>0.27083333333333404</v>
      </c>
    </row>
    <row r="29" spans="1:8">
      <c r="A29" s="273">
        <v>0.54166666666666696</v>
      </c>
      <c r="B29" s="522" t="s">
        <v>905</v>
      </c>
      <c r="C29" s="523" t="s">
        <v>905</v>
      </c>
      <c r="D29" s="523" t="s">
        <v>905</v>
      </c>
      <c r="E29" s="523" t="s">
        <v>905</v>
      </c>
      <c r="F29" s="523" t="s">
        <v>905</v>
      </c>
      <c r="G29" s="523" t="s">
        <v>905</v>
      </c>
      <c r="H29" s="276">
        <f t="shared" si="3"/>
        <v>0.29166666666666696</v>
      </c>
    </row>
    <row r="30" spans="1:8">
      <c r="A30" s="273">
        <v>0.5625</v>
      </c>
      <c r="B30" s="522"/>
      <c r="C30" s="523"/>
      <c r="D30" s="523"/>
      <c r="E30" s="523"/>
      <c r="F30" s="523"/>
      <c r="G30" s="523"/>
      <c r="H30" s="276">
        <f t="shared" si="3"/>
        <v>0.3125</v>
      </c>
    </row>
    <row r="31" spans="1:8">
      <c r="A31" s="273">
        <v>0.58333333333333304</v>
      </c>
      <c r="B31" s="517" t="s">
        <v>1395</v>
      </c>
      <c r="C31" s="516" t="s">
        <v>1396</v>
      </c>
      <c r="D31" s="516" t="s">
        <v>1397</v>
      </c>
      <c r="E31" s="516" t="s">
        <v>1398</v>
      </c>
      <c r="F31" s="275" t="s">
        <v>1388</v>
      </c>
      <c r="G31" s="275" t="s">
        <v>1388</v>
      </c>
      <c r="H31" s="276">
        <f t="shared" si="3"/>
        <v>0.33333333333333304</v>
      </c>
    </row>
    <row r="32" spans="1:8">
      <c r="A32" s="273">
        <v>0.60416666666666696</v>
      </c>
      <c r="B32" s="526"/>
      <c r="C32" s="516"/>
      <c r="D32" s="516"/>
      <c r="E32" s="516"/>
      <c r="F32" s="527" t="s">
        <v>1394</v>
      </c>
      <c r="G32" s="527" t="s">
        <v>1559</v>
      </c>
      <c r="H32" s="276">
        <f t="shared" si="3"/>
        <v>0.35416666666666696</v>
      </c>
    </row>
    <row r="33" spans="1:8">
      <c r="A33" s="273">
        <v>0.625</v>
      </c>
      <c r="B33" s="526"/>
      <c r="C33" s="516"/>
      <c r="D33" s="516" t="s">
        <v>1401</v>
      </c>
      <c r="E33" s="516"/>
      <c r="F33" s="527"/>
      <c r="G33" s="527"/>
      <c r="H33" s="276">
        <f t="shared" si="3"/>
        <v>0.375</v>
      </c>
    </row>
    <row r="34" spans="1:8">
      <c r="A34" s="273">
        <v>0.64583333333333304</v>
      </c>
      <c r="B34" s="526"/>
      <c r="C34" s="516"/>
      <c r="D34" s="516"/>
      <c r="E34" s="516"/>
      <c r="F34" s="527" t="s">
        <v>1400</v>
      </c>
      <c r="G34" s="519" t="s">
        <v>1407</v>
      </c>
      <c r="H34" s="276">
        <f t="shared" si="3"/>
        <v>0.39583333333333304</v>
      </c>
    </row>
    <row r="35" spans="1:8">
      <c r="A35" s="273">
        <v>0.66666666666666696</v>
      </c>
      <c r="B35" s="518"/>
      <c r="C35" s="277" t="s">
        <v>1388</v>
      </c>
      <c r="D35" s="516"/>
      <c r="E35" s="515" t="s">
        <v>1386</v>
      </c>
      <c r="F35" s="527"/>
      <c r="G35" s="520"/>
      <c r="H35" s="276">
        <f t="shared" si="3"/>
        <v>0.41666666666666696</v>
      </c>
    </row>
    <row r="36" spans="1:8">
      <c r="A36" s="273">
        <v>0.6875</v>
      </c>
      <c r="B36" s="283" t="s">
        <v>1408</v>
      </c>
      <c r="C36" s="516" t="s">
        <v>1403</v>
      </c>
      <c r="D36" s="516" t="s">
        <v>1404</v>
      </c>
      <c r="E36" s="515"/>
      <c r="F36" s="517" t="s">
        <v>1387</v>
      </c>
      <c r="G36" s="519" t="s">
        <v>1409</v>
      </c>
      <c r="H36" s="276">
        <f t="shared" si="3"/>
        <v>0.4375</v>
      </c>
    </row>
    <row r="37" spans="1:8">
      <c r="A37" s="273">
        <v>0.70833333333333304</v>
      </c>
      <c r="B37" s="279" t="s">
        <v>1405</v>
      </c>
      <c r="C37" s="516"/>
      <c r="D37" s="516"/>
      <c r="E37" s="515"/>
      <c r="F37" s="518"/>
      <c r="G37" s="520"/>
      <c r="H37" s="276">
        <f t="shared" si="3"/>
        <v>0.45833333333333304</v>
      </c>
    </row>
    <row r="38" spans="1:8">
      <c r="A38" s="273">
        <v>0.72916666666666663</v>
      </c>
      <c r="B38" s="280" t="s">
        <v>1385</v>
      </c>
      <c r="C38" s="275" t="s">
        <v>1385</v>
      </c>
      <c r="D38" s="275" t="s">
        <v>1385</v>
      </c>
      <c r="E38" s="275" t="s">
        <v>1385</v>
      </c>
      <c r="F38" s="275" t="s">
        <v>1385</v>
      </c>
      <c r="G38" s="521"/>
      <c r="H38" s="276">
        <f t="shared" si="3"/>
        <v>0.47916666666666663</v>
      </c>
    </row>
    <row r="39" spans="1:8" ht="15" thickBot="1">
      <c r="A39" s="281">
        <v>0.75</v>
      </c>
      <c r="B39" s="524" t="s">
        <v>907</v>
      </c>
      <c r="C39" s="525"/>
      <c r="D39" s="525"/>
      <c r="E39" s="525"/>
      <c r="F39" s="525"/>
      <c r="G39" s="525"/>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0" t="s">
        <v>1046</v>
      </c>
      <c r="C2" s="540" t="s">
        <v>1047</v>
      </c>
      <c r="D2" s="531" t="s">
        <v>1048</v>
      </c>
      <c r="E2" s="533"/>
      <c r="F2" s="534" t="s">
        <v>1049</v>
      </c>
      <c r="G2" s="536"/>
      <c r="H2" s="531" t="s">
        <v>1050</v>
      </c>
      <c r="I2" s="532"/>
      <c r="J2" s="532"/>
      <c r="K2" s="533"/>
      <c r="L2" s="534" t="s">
        <v>1051</v>
      </c>
      <c r="M2" s="535"/>
      <c r="N2" s="536"/>
      <c r="O2" s="173" t="s">
        <v>1052</v>
      </c>
      <c r="P2" s="174" t="s">
        <v>1053</v>
      </c>
      <c r="Q2" s="531" t="s">
        <v>1054</v>
      </c>
      <c r="R2" s="532"/>
      <c r="S2" s="533"/>
      <c r="T2" s="534" t="s">
        <v>1055</v>
      </c>
      <c r="U2" s="535"/>
      <c r="V2" s="536"/>
      <c r="W2" s="170" t="s">
        <v>1056</v>
      </c>
    </row>
    <row r="3" spans="2:28" ht="15.6">
      <c r="B3" s="541"/>
      <c r="C3" s="541"/>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7"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8"/>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8"/>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9"/>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7"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8"/>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8"/>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8"/>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8"/>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8"/>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8"/>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8"/>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9"/>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7"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8"/>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8"/>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8"/>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8"/>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8"/>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8"/>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9"/>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7"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8"/>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8"/>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8"/>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8"/>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9"/>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2"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42"/>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42"/>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42"/>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3" t="s">
        <v>1046</v>
      </c>
      <c r="C49" s="543" t="s">
        <v>1047</v>
      </c>
      <c r="D49" s="544" t="s">
        <v>1048</v>
      </c>
      <c r="E49" s="544"/>
      <c r="F49" s="545" t="s">
        <v>1049</v>
      </c>
      <c r="G49" s="545"/>
      <c r="H49" s="544" t="s">
        <v>1050</v>
      </c>
      <c r="I49" s="544"/>
      <c r="J49" s="544"/>
      <c r="K49" s="544"/>
      <c r="L49" s="545" t="s">
        <v>1051</v>
      </c>
      <c r="M49" s="545"/>
      <c r="N49" s="545"/>
      <c r="O49" s="173" t="s">
        <v>1052</v>
      </c>
      <c r="P49" s="174" t="s">
        <v>1053</v>
      </c>
      <c r="Q49" s="544" t="s">
        <v>1054</v>
      </c>
      <c r="R49" s="544"/>
      <c r="S49" s="544"/>
      <c r="T49" s="545" t="s">
        <v>1055</v>
      </c>
      <c r="U49" s="545"/>
      <c r="V49" s="545"/>
    </row>
    <row r="50" spans="2:28" ht="93.6">
      <c r="B50" s="543"/>
      <c r="C50" s="543"/>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7"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8"/>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8"/>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9"/>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42"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42"/>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42"/>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42"/>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42"/>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42"/>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42"/>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42"/>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42"/>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42"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42"/>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42"/>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42"/>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42"/>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42"/>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42"/>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42"/>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42"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42"/>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42"/>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42"/>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42"/>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42"/>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42"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42"/>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42"/>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42"/>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abSelected="1"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4" t="str">
        <f>Planning!B28</f>
        <v>CMMI Development (CMMI-DEV)</v>
      </c>
      <c r="B2" s="555"/>
      <c r="C2" s="555"/>
      <c r="D2" s="554"/>
      <c r="E2" s="555"/>
      <c r="F2" s="555"/>
      <c r="G2" s="555"/>
      <c r="H2" s="555"/>
      <c r="I2" s="555"/>
      <c r="L2" s="259" t="s">
        <v>1246</v>
      </c>
      <c r="M2" s="259">
        <f>VALUE(RIGHT(Planning!B16,1))</f>
        <v>5</v>
      </c>
      <c r="N2" s="16" t="s">
        <v>1247</v>
      </c>
    </row>
    <row r="3" spans="1:16" s="8" customFormat="1">
      <c r="A3" s="556" t="str">
        <f>'P1-OrgScope'!B50</f>
        <v>Maturity Level 5</v>
      </c>
      <c r="B3" s="557"/>
      <c r="C3" s="557"/>
      <c r="D3" s="556"/>
      <c r="E3" s="557"/>
      <c r="F3" s="557"/>
      <c r="G3" s="557"/>
      <c r="H3" s="557"/>
      <c r="I3" s="557"/>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3"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3"/>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58"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58"/>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59"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59"/>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59"/>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0"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0"/>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0"/>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61"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61"/>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62"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62"/>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62"/>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S</v>
      </c>
      <c r="E11" s="206" t="str">
        <f>IF('Project&amp;Support'!K3&lt;&gt;"",'Project&amp;Support'!K3,"")</f>
        <v>S</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S</v>
      </c>
      <c r="P13" s="206" t="str">
        <f>IF('Project&amp;Support'!V5&lt;&gt;"",'Project&amp;Support'!V5,"")</f>
        <v>S</v>
      </c>
      <c r="Q13" s="206" t="str">
        <f>IF('Project&amp;Support'!W5&lt;&gt;"",'Project&amp;Support'!W5,"")</f>
        <v>S</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S</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2024-06-23T07:55:28Z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