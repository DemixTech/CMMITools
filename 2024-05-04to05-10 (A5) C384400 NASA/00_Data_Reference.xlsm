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C2F3C1BC-05B8-45DC-9062-A51DDED91C91}" xr6:coauthVersionLast="47" xr6:coauthVersionMax="47" xr10:uidLastSave="{00000000-0000-0000-0000-000000000000}"/>
  <bookViews>
    <workbookView xWindow="-108" yWindow="-108" windowWidth="23256" windowHeight="12456" tabRatio="859"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<sst xmlns="http://schemas.openxmlformats.org/spreadsheetml/2006/main" count="4599" uniqueCount="1806">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</sst>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1"/>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1797</v>
      </c>
    </row>
    <row r="3" spans="1:1">
      <c r="A3" s="123" t="s">
        <v>1182</v>
      </c>
    </row>
    <row r="4" spans="1:1">
      <c r="A4" s="123"/>
    </row>
    <row r="5" spans="1:1">
      <c r="A5" s="122" t="s">
        <v>1187</v>
      </c>
    </row>
    <row r="6" spans="1:1" s="122" customFormat="1">
      <c r="A6" s="123" t="s">
        <v>1188</v>
      </c>
    </row>
    <row r="8" spans="1:1">
      <c r="A8" s="122" t="s">
        <v>1190</v>
      </c>
    </row>
    <row r="9" spans="1:1">
      <c r="A9" s="123"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1154</v>
      </c>
    </row>
    <row r="4" spans="1:32">
      <c r="A4" s="39" t="s">
        <v>1011</v>
      </c>
      <c r="H4" s="181" t="s">
        <v>1076</v>
      </c>
    </row>
    <row r="5" spans="1:32">
      <c r="A5" s="43" t="s">
        <v>816</v>
      </c>
      <c r="B5" s="43" t="s">
        <v>817</v>
      </c>
      <c r="C5" s="43" t="s">
        <v>815</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814</v>
      </c>
      <c r="D6" s="52" t="s">
        <v>1189</v>
      </c>
      <c r="G6" s="122"/>
      <c r="H6" s="122"/>
      <c r="I6" s="122"/>
      <c r="J6" s="122"/>
      <c r="K6" s="122"/>
      <c r="L6" s="122"/>
      <c r="M6" s="122"/>
      <c r="N6" s="122"/>
    </row>
    <row r="7" spans="1:32">
      <c r="A7" s="40">
        <v>10</v>
      </c>
      <c r="B7" s="41">
        <v>44137</v>
      </c>
      <c r="C7" s="40" t="s">
        <v>814</v>
      </c>
      <c r="D7" s="52" t="s">
        <v>820</v>
      </c>
      <c r="G7" s="122"/>
      <c r="H7" s="164"/>
      <c r="I7" s="164"/>
      <c r="J7" s="164"/>
      <c r="K7" s="164"/>
      <c r="L7" s="164"/>
      <c r="M7" s="122"/>
      <c r="N7" s="165"/>
      <c r="O7" s="166"/>
      <c r="P7" s="166"/>
      <c r="Q7" s="166"/>
      <c r="R7" s="166"/>
      <c r="S7" s="8"/>
    </row>
    <row r="8" spans="1:32" ht="28.8">
      <c r="A8" s="40">
        <v>13</v>
      </c>
      <c r="B8" s="41">
        <v>44142</v>
      </c>
      <c r="C8" s="40" t="s">
        <v>814</v>
      </c>
      <c r="D8" s="52" t="s">
        <v>934</v>
      </c>
      <c r="G8" s="122"/>
      <c r="H8" s="122"/>
      <c r="I8" s="122"/>
      <c r="J8" s="122"/>
      <c r="K8" s="122"/>
      <c r="L8" s="122"/>
      <c r="M8" s="122"/>
      <c r="N8" s="122"/>
      <c r="O8" s="122"/>
      <c r="P8" s="8"/>
      <c r="Q8" s="8"/>
      <c r="R8" s="8"/>
      <c r="S8" s="8"/>
      <c r="T8" s="8"/>
    </row>
    <row r="9" spans="1:32">
      <c r="A9" s="40">
        <v>16</v>
      </c>
      <c r="B9" s="41">
        <v>44145</v>
      </c>
      <c r="C9" s="40" t="s">
        <v>814</v>
      </c>
      <c r="D9" s="52" t="s">
        <v>967</v>
      </c>
      <c r="G9" s="122"/>
      <c r="H9" s="122"/>
      <c r="I9" s="122"/>
      <c r="J9" s="122"/>
      <c r="K9" s="122"/>
      <c r="L9" s="122"/>
      <c r="M9" s="122"/>
      <c r="N9" s="122"/>
      <c r="O9" s="122"/>
      <c r="P9" s="8"/>
      <c r="Q9" s="8"/>
      <c r="R9" s="8"/>
      <c r="S9" s="8"/>
    </row>
    <row r="10" spans="1:32">
      <c r="A10" s="40">
        <v>17</v>
      </c>
      <c r="B10" s="41">
        <v>44145</v>
      </c>
      <c r="C10" s="40" t="s">
        <v>814</v>
      </c>
      <c r="D10" s="52" t="s">
        <v>976</v>
      </c>
      <c r="G10" s="122"/>
      <c r="H10" s="122"/>
      <c r="I10" s="122"/>
      <c r="J10" s="122"/>
      <c r="K10" s="122"/>
      <c r="L10" s="122"/>
      <c r="M10" s="122"/>
      <c r="N10" s="122"/>
      <c r="O10" s="122"/>
      <c r="P10" s="8"/>
      <c r="Q10" s="8"/>
      <c r="R10" s="8"/>
      <c r="S10" s="8"/>
    </row>
    <row r="11" spans="1:32" ht="28.8">
      <c r="A11" s="40">
        <v>24</v>
      </c>
      <c r="B11" s="41">
        <v>44153</v>
      </c>
      <c r="C11" s="40" t="s">
        <v>814</v>
      </c>
      <c r="D11" s="52" t="s">
        <v>1015</v>
      </c>
      <c r="G11" s="122"/>
      <c r="H11" s="122"/>
      <c r="I11" s="122"/>
      <c r="J11" s="122"/>
      <c r="K11" s="122"/>
      <c r="L11" s="122"/>
      <c r="M11" s="122"/>
      <c r="N11" s="122"/>
      <c r="O11" s="122"/>
      <c r="P11" s="8"/>
      <c r="Q11" s="8"/>
      <c r="R11" s="8"/>
      <c r="S11" s="8"/>
    </row>
    <row r="12" spans="1:32">
      <c r="A12" s="40">
        <v>25</v>
      </c>
      <c r="B12" s="41">
        <v>44153</v>
      </c>
      <c r="C12" s="40" t="s">
        <v>814</v>
      </c>
      <c r="D12" s="52" t="s">
        <v>1040</v>
      </c>
      <c r="G12" s="122"/>
      <c r="H12" s="122"/>
      <c r="I12" s="122"/>
      <c r="J12" s="122"/>
      <c r="K12" s="122"/>
      <c r="L12" s="122"/>
      <c r="M12" s="122"/>
      <c r="N12" s="122"/>
      <c r="O12" s="122"/>
      <c r="P12" s="8"/>
      <c r="Q12" s="8"/>
      <c r="R12" s="8"/>
      <c r="S12" s="8"/>
    </row>
    <row r="13" spans="1:32" ht="28.8">
      <c r="A13" s="40">
        <v>26</v>
      </c>
      <c r="B13" s="41">
        <v>44154</v>
      </c>
      <c r="C13" s="40" t="s">
        <v>814</v>
      </c>
      <c r="D13" s="52" t="s">
        <v>1046</v>
      </c>
      <c r="G13" s="122"/>
      <c r="H13" s="122"/>
      <c r="I13" s="122"/>
      <c r="J13" s="122"/>
      <c r="K13" s="122"/>
      <c r="L13" s="122"/>
      <c r="M13" s="122"/>
      <c r="N13" s="122"/>
      <c r="O13" s="122"/>
      <c r="P13" s="8"/>
      <c r="Q13" s="8"/>
      <c r="R13" s="8"/>
      <c r="S13" s="8"/>
    </row>
    <row r="14" spans="1:32">
      <c r="A14" s="40">
        <v>34</v>
      </c>
      <c r="B14" s="41">
        <v>44170</v>
      </c>
      <c r="C14" s="40" t="s">
        <v>814</v>
      </c>
      <c r="D14" s="52" t="s">
        <v>1118</v>
      </c>
      <c r="G14" s="122"/>
      <c r="H14" s="122"/>
      <c r="I14" s="122"/>
      <c r="J14" s="122"/>
      <c r="K14" s="122"/>
      <c r="L14" s="122"/>
      <c r="M14" s="122"/>
      <c r="N14" s="122"/>
      <c r="O14" s="122"/>
      <c r="P14" s="8"/>
      <c r="Q14" s="8"/>
      <c r="R14" s="8"/>
      <c r="S14" s="8"/>
    </row>
    <row r="15" spans="1:32">
      <c r="A15" s="40">
        <v>38</v>
      </c>
      <c r="B15" s="41">
        <v>44175</v>
      </c>
      <c r="C15" s="40" t="s">
        <v>814</v>
      </c>
      <c r="D15" s="52" t="s">
        <v>1153</v>
      </c>
      <c r="G15" s="122"/>
      <c r="H15" s="122"/>
      <c r="I15" s="122"/>
      <c r="J15" s="122"/>
      <c r="K15" s="122"/>
      <c r="L15" s="122"/>
      <c r="M15" s="122"/>
      <c r="N15" s="122"/>
      <c r="O15" s="122"/>
      <c r="P15" s="8"/>
      <c r="Q15" s="8"/>
      <c r="R15" s="8"/>
      <c r="S15" s="8"/>
    </row>
    <row r="16" spans="1:32" ht="28.8">
      <c r="A16" s="40">
        <v>43</v>
      </c>
      <c r="B16" s="41">
        <v>44231</v>
      </c>
      <c r="C16" s="40" t="s">
        <v>1294</v>
      </c>
      <c r="D16" s="52" t="s">
        <v>1548</v>
      </c>
      <c r="G16" s="122"/>
      <c r="H16" s="122"/>
      <c r="I16" s="122"/>
      <c r="J16" s="122"/>
      <c r="K16" s="122"/>
      <c r="L16" s="122"/>
      <c r="M16" s="122"/>
      <c r="N16" s="122"/>
      <c r="O16" s="122"/>
      <c r="P16" s="8"/>
      <c r="Q16" s="8"/>
      <c r="R16" s="8"/>
      <c r="S16" s="8"/>
    </row>
    <row r="17" spans="1:19" ht="28.8">
      <c r="A17" s="40">
        <v>50</v>
      </c>
      <c r="B17" s="41">
        <v>44314</v>
      </c>
      <c r="C17" s="40" t="s">
        <v>814</v>
      </c>
      <c r="D17" s="52" t="s">
        <v>1547</v>
      </c>
      <c r="G17" s="122"/>
      <c r="H17" s="122"/>
      <c r="I17" s="122"/>
      <c r="J17" s="122"/>
      <c r="K17" s="122"/>
      <c r="L17" s="122"/>
      <c r="M17" s="122"/>
      <c r="N17" s="122"/>
      <c r="O17" s="122"/>
      <c r="P17" s="8"/>
      <c r="Q17" s="8"/>
      <c r="R17" s="8"/>
      <c r="S17" s="8"/>
    </row>
    <row r="18" spans="1:19" ht="28.8">
      <c r="A18" s="40">
        <v>51</v>
      </c>
      <c r="B18" s="41">
        <v>44318</v>
      </c>
      <c r="C18" s="40" t="s">
        <v>814</v>
      </c>
      <c r="D18" s="52" t="s">
        <v>1554</v>
      </c>
      <c r="G18" s="122"/>
      <c r="H18" s="122"/>
      <c r="I18" s="122"/>
      <c r="J18" s="122"/>
      <c r="K18" s="122"/>
      <c r="L18" s="122"/>
      <c r="M18" s="122"/>
      <c r="N18" s="122"/>
      <c r="O18" s="122"/>
      <c r="P18" s="8"/>
      <c r="Q18" s="8"/>
      <c r="R18" s="8"/>
      <c r="S18" s="8"/>
    </row>
    <row r="19" spans="1:19">
      <c r="A19" s="40">
        <v>52</v>
      </c>
      <c r="B19" s="41">
        <v>44324</v>
      </c>
      <c r="C19" s="40" t="s">
        <v>814</v>
      </c>
      <c r="D19" s="52" t="s">
        <v>1555</v>
      </c>
      <c r="G19" s="122"/>
      <c r="H19" s="122"/>
      <c r="I19" s="122"/>
      <c r="J19" s="122"/>
      <c r="K19" s="122"/>
      <c r="L19" s="122"/>
      <c r="M19" s="122"/>
    </row>
    <row r="20" spans="1:19" ht="28.8">
      <c r="A20" s="40">
        <v>53</v>
      </c>
      <c r="B20" s="41">
        <v>44343</v>
      </c>
      <c r="C20" s="40" t="s">
        <v>814</v>
      </c>
      <c r="D20" s="52" t="s">
        <v>1557</v>
      </c>
    </row>
    <row r="21" spans="1:19">
      <c r="A21" s="40">
        <v>53</v>
      </c>
      <c r="B21" s="41">
        <v>44354</v>
      </c>
      <c r="C21" s="40" t="s">
        <v>1561</v>
      </c>
      <c r="D21" s="52" t="s">
        <v>1569</v>
      </c>
    </row>
    <row r="22" spans="1:19">
      <c r="A22" s="40">
        <v>56</v>
      </c>
      <c r="B22" s="41">
        <v>44463</v>
      </c>
      <c r="C22" s="40" t="s">
        <v>814</v>
      </c>
      <c r="D22" s="52" t="s">
        <v>1568</v>
      </c>
    </row>
    <row r="23" spans="1:19">
      <c r="A23" s="40">
        <v>57</v>
      </c>
      <c r="B23" s="41">
        <v>44566</v>
      </c>
      <c r="C23" s="40" t="s">
        <v>1561</v>
      </c>
      <c r="D23" s="52" t="s">
        <v>1570</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1414</v>
      </c>
      <c r="D45" s="290" t="s">
        <v>1413</v>
      </c>
      <c r="H45" s="289" t="s">
        <v>1051</v>
      </c>
      <c r="I45" s="289"/>
      <c r="J45" s="289"/>
      <c r="K45" s="289"/>
      <c r="L45" s="289"/>
    </row>
    <row r="64" spans="2:19">
      <c r="B64" s="292" t="s">
        <v>1053</v>
      </c>
      <c r="C64" s="292"/>
      <c r="D64" s="293" t="s">
        <v>1054</v>
      </c>
      <c r="F64" s="294" t="s">
        <v>1056</v>
      </c>
      <c r="G64" s="294"/>
      <c r="H64" s="294"/>
      <c r="I64" s="294"/>
      <c r="K64" s="295" t="s">
        <v>1415</v>
      </c>
      <c r="L64" s="295"/>
      <c r="M64" s="295"/>
      <c r="N64" s="295"/>
      <c r="P64" s="297" t="s">
        <v>1052</v>
      </c>
      <c r="Q64" s="296"/>
      <c r="R64" s="296"/>
      <c r="S64" s="296"/>
    </row>
    <row r="84" spans="6:8">
      <c r="F84" s="300" t="s">
        <v>1428</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1208</v>
      </c>
      <c r="B1" s="251"/>
    </row>
    <row r="2" spans="1:2" ht="43.2">
      <c r="A2" s="11" t="s">
        <v>1209</v>
      </c>
      <c r="B2" s="11" t="s">
        <v>1210</v>
      </c>
    </row>
    <row r="3" spans="1:2">
      <c r="B3" s="252" t="s">
        <v>1211</v>
      </c>
    </row>
    <row r="4" spans="1:2">
      <c r="B4" s="253" t="s">
        <v>1212</v>
      </c>
    </row>
    <row r="5" spans="1:2" ht="28.8">
      <c r="B5" s="254" t="s">
        <v>1213</v>
      </c>
    </row>
    <row r="7" spans="1:2" ht="72">
      <c r="A7" s="11" t="s">
        <v>1214</v>
      </c>
      <c r="B7" s="11" t="s">
        <v>1215</v>
      </c>
    </row>
    <row r="9" spans="1:2" ht="28.8">
      <c r="A9" s="11" t="s">
        <v>1216</v>
      </c>
      <c r="B9" s="11" t="s">
        <v>1217</v>
      </c>
    </row>
    <row r="11" spans="1:2">
      <c r="A11" s="251" t="s">
        <v>1218</v>
      </c>
      <c r="B11" s="251"/>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89" customFormat="1" ht="28.8">
      <c r="A2" s="262"/>
      <c r="B2" s="89" t="s">
        <v>1516</v>
      </c>
      <c r="C2" s="89" t="s">
        <v>1517</v>
      </c>
      <c r="D2" s="89" t="s">
        <v>1243</v>
      </c>
      <c r="E2" s="89" t="s">
        <v>1244</v>
      </c>
      <c r="F2" s="89" t="s">
        <v>1253</v>
      </c>
      <c r="G2" s="89" t="s">
        <v>1245</v>
      </c>
      <c r="H2" s="89" t="s">
        <v>1149</v>
      </c>
      <c r="AD2" s="263"/>
      <c r="AE2" s="263"/>
      <c r="AF2" s="263"/>
    </row>
    <row r="7" spans="1:32" s="73" customFormat="1">
      <c r="A7" t="s">
        <v>1183</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1505</v>
      </c>
      <c r="I19" s="53">
        <f t="shared" si="0"/>
        <v>0</v>
      </c>
      <c r="K19"/>
    </row>
    <row r="20" spans="1:11">
      <c r="A20" t="s">
        <v>922</v>
      </c>
      <c r="B20" s="108" t="s">
        <v>403</v>
      </c>
      <c r="C20" s="108" t="s">
        <v>403</v>
      </c>
      <c r="E20" s="108" t="s">
        <v>403</v>
      </c>
      <c r="I20" s="53">
        <f t="shared" si="0"/>
        <v>3</v>
      </c>
      <c r="K20"/>
    </row>
    <row r="21" spans="1:11">
      <c r="A21" t="s">
        <v>923</v>
      </c>
      <c r="C21" s="108" t="s">
        <v>403</v>
      </c>
      <c r="E21" s="108" t="s">
        <v>403</v>
      </c>
      <c r="I21" s="53">
        <f t="shared" si="0"/>
        <v>2</v>
      </c>
      <c r="K21"/>
    </row>
    <row r="22" spans="1:11">
      <c r="A22" t="s">
        <v>924</v>
      </c>
      <c r="C22" s="108" t="s">
        <v>403</v>
      </c>
      <c r="E22" s="108" t="s">
        <v>403</v>
      </c>
      <c r="I22" s="53">
        <f t="shared" si="0"/>
        <v>2</v>
      </c>
      <c r="K22"/>
    </row>
    <row r="23" spans="1:11">
      <c r="A23" t="s">
        <v>1184</v>
      </c>
      <c r="I23" s="53">
        <f t="shared" si="0"/>
        <v>0</v>
      </c>
      <c r="K23"/>
    </row>
    <row r="24" spans="1:11">
      <c r="A24" t="s">
        <v>1185</v>
      </c>
      <c r="I24" s="53">
        <f t="shared" si="0"/>
        <v>0</v>
      </c>
      <c r="K24"/>
    </row>
    <row r="25" spans="1:11">
      <c r="A25" t="s">
        <v>650</v>
      </c>
      <c r="B25" s="108" t="s">
        <v>403</v>
      </c>
      <c r="C25" s="108" t="s">
        <v>403</v>
      </c>
      <c r="E25" s="108" t="s">
        <v>403</v>
      </c>
      <c r="I25" s="53">
        <f t="shared" si="0"/>
        <v>3</v>
      </c>
      <c r="K25"/>
    </row>
    <row r="26" spans="1:11">
      <c r="A26" t="s">
        <v>1128</v>
      </c>
      <c r="I26" s="53">
        <f t="shared" si="0"/>
        <v>0</v>
      </c>
      <c r="K26"/>
    </row>
    <row r="27" spans="1:11">
      <c r="A27" t="s">
        <v>920</v>
      </c>
      <c r="B27" s="108" t="s">
        <v>403</v>
      </c>
      <c r="C27" s="108" t="s">
        <v>403</v>
      </c>
      <c r="E27" s="108" t="s">
        <v>403</v>
      </c>
      <c r="F27" s="108" t="s">
        <v>403</v>
      </c>
      <c r="I27" s="53">
        <f t="shared" si="0"/>
        <v>4</v>
      </c>
      <c r="K27"/>
    </row>
    <row r="28" spans="1:11">
      <c r="A28" t="s">
        <v>1254</v>
      </c>
      <c r="F28" s="108" t="s">
        <v>403</v>
      </c>
      <c r="I28" s="53">
        <f t="shared" si="0"/>
        <v>1</v>
      </c>
      <c r="K28"/>
    </row>
    <row r="29" spans="1:11">
      <c r="A29" t="s">
        <v>1444</v>
      </c>
      <c r="I29" s="53">
        <f t="shared" si="0"/>
        <v>0</v>
      </c>
      <c r="K29"/>
    </row>
    <row r="30" spans="1:11">
      <c r="A30" t="s">
        <v>1445</v>
      </c>
      <c r="I30" s="53">
        <f t="shared" si="0"/>
        <v>0</v>
      </c>
    </row>
    <row r="31" spans="1:11">
      <c r="A31" t="s">
        <v>1446</v>
      </c>
      <c r="I31" s="53">
        <f t="shared" si="0"/>
        <v>0</v>
      </c>
    </row>
    <row r="32" spans="1:11">
      <c r="A32" t="s">
        <v>1014</v>
      </c>
      <c r="I32" s="53">
        <f t="shared" si="0"/>
        <v>0</v>
      </c>
    </row>
    <row r="33" spans="1:9">
      <c r="A33" t="s">
        <v>1443</v>
      </c>
      <c r="I33" s="53">
        <f t="shared" si="0"/>
        <v>0</v>
      </c>
    </row>
    <row r="34" spans="1:9">
      <c r="A34" t="s">
        <v>1289</v>
      </c>
      <c r="B34" s="108" t="s">
        <v>403</v>
      </c>
      <c r="I34" s="53">
        <f t="shared" si="0"/>
        <v>1</v>
      </c>
    </row>
    <row r="35" spans="1:9">
      <c r="A35" t="s">
        <v>1290</v>
      </c>
      <c r="B35" s="108" t="s">
        <v>403</v>
      </c>
      <c r="I35" s="53">
        <f t="shared" si="0"/>
        <v>1</v>
      </c>
    </row>
    <row r="36" spans="1:9">
      <c r="A36" t="s">
        <v>1291</v>
      </c>
      <c r="C36" s="108" t="s">
        <v>403</v>
      </c>
      <c r="I36" s="53">
        <f t="shared" si="0"/>
        <v>1</v>
      </c>
    </row>
    <row r="37" spans="1:9">
      <c r="A37" t="s">
        <v>1292</v>
      </c>
      <c r="C37" s="108" t="s">
        <v>403</v>
      </c>
      <c r="I37" s="53">
        <f t="shared" si="0"/>
        <v>1</v>
      </c>
    </row>
    <row r="38" spans="1:9">
      <c r="A38" t="s">
        <v>1293</v>
      </c>
      <c r="C38" s="108"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1447</v>
      </c>
      <c r="I46" s="53">
        <f t="shared" si="0"/>
        <v>0</v>
      </c>
    </row>
    <row r="47" spans="1:9">
      <c r="A47" t="s">
        <v>1448</v>
      </c>
      <c r="I47" s="53">
        <f t="shared" si="0"/>
        <v>0</v>
      </c>
    </row>
    <row r="48" spans="1:9">
      <c r="A48" t="s">
        <v>1449</v>
      </c>
      <c r="I48" s="53">
        <f t="shared" si="0"/>
        <v>0</v>
      </c>
    </row>
    <row r="49" spans="1:9">
      <c r="A49" t="s">
        <v>1450</v>
      </c>
      <c r="I49" s="53">
        <f t="shared" si="0"/>
        <v>0</v>
      </c>
    </row>
    <row r="50" spans="1:9">
      <c r="A50" t="s">
        <v>1451</v>
      </c>
      <c r="I50" s="53">
        <f t="shared" si="0"/>
        <v>0</v>
      </c>
    </row>
    <row r="51" spans="1:9">
      <c r="A51" t="s">
        <v>1452</v>
      </c>
      <c r="I51" s="53">
        <f t="shared" si="0"/>
        <v>0</v>
      </c>
    </row>
    <row r="52" spans="1:9">
      <c r="A52" t="s">
        <v>1453</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1621</v>
      </c>
      <c r="B1" s="389"/>
    </row>
    <row r="2" spans="1:3" s="46" customFormat="1" ht="15.6">
      <c r="A2" s="47" t="s">
        <v>1619</v>
      </c>
      <c r="B2" s="47" t="s">
        <v>1622</v>
      </c>
      <c r="C2" s="45"/>
    </row>
    <row r="3" spans="1:3" s="46" customFormat="1" ht="15.6">
      <c r="A3" s="45" t="s">
        <v>1623</v>
      </c>
      <c r="B3" s="390" t="str">
        <f>'Agreement 3'!B45</f>
        <v>lingua.bridges@ris.com</v>
      </c>
      <c r="C3" s="45"/>
    </row>
    <row r="4" spans="1:3" s="46" customFormat="1" ht="15.6">
      <c r="A4" s="45" t="s">
        <v>1624</v>
      </c>
      <c r="B4" s="390" t="str">
        <f>_xlfn.CONCAT('Agreement 3'!B33,"; ",'Agreement 3'!B39)</f>
        <v>bill.nelson@nasa.gov; ella.harper@nasa.gov</v>
      </c>
      <c r="C4" s="45"/>
    </row>
    <row r="5" spans="1:3" s="16" customFormat="1">
      <c r="A5" s="16" t="s">
        <v>1620</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1625</v>
      </c>
      <c r="B8" s="158" t="str">
        <f>'Agreement 3'!B30</f>
        <v>Bill Nelson</v>
      </c>
    </row>
    <row r="9" spans="1:3" s="16" customFormat="1">
      <c r="A9" s="16" t="s">
        <v>1626</v>
      </c>
      <c r="B9" s="158" t="str">
        <f>'Agreement 3'!B16</f>
        <v>NASA</v>
      </c>
    </row>
    <row r="10" spans="1:3" s="16" customFormat="1">
      <c r="A10" s="16" t="s">
        <v>1627</v>
      </c>
      <c r="B10" s="158" t="str">
        <f>'Agreement 3'!B31</f>
        <v>Administrator of NASA</v>
      </c>
    </row>
    <row r="11" spans="1:3" s="16" customFormat="1">
      <c r="A11" s="16" t="s">
        <v>1628</v>
      </c>
      <c r="B11" s="158" t="str">
        <f>'Agreement 3'!B32</f>
        <v>+1 202-358-0001</v>
      </c>
    </row>
    <row r="12" spans="1:3" s="16" customFormat="1">
      <c r="A12" s="16" t="s">
        <v>1629</v>
      </c>
      <c r="B12" s="158" t="str">
        <f>'Agreement 3'!B33</f>
        <v>bill.nelson@nasa.gov</v>
      </c>
    </row>
    <row r="13" spans="1:3" s="16" customFormat="1">
      <c r="B13" s="158"/>
    </row>
    <row r="14" spans="1:3" s="16" customFormat="1">
      <c r="A14" s="16" t="s">
        <v>1630</v>
      </c>
      <c r="B14" s="158" t="str">
        <f>'Agreement 3'!B35</f>
        <v>Ella Harper</v>
      </c>
    </row>
    <row r="15" spans="1:3" s="16" customFormat="1">
      <c r="A15" s="16" t="s">
        <v>1631</v>
      </c>
      <c r="B15" s="16">
        <f ca="1">Planning!B44-TODAY()</f>
        <v>-11</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1635</v>
      </c>
      <c r="C2" s="398">
        <v>0.3</v>
      </c>
      <c r="D2" s="398">
        <v>0.5</v>
      </c>
      <c r="E2" s="398">
        <v>1</v>
      </c>
    </row>
    <row r="3" spans="1:13">
      <c r="A3" s="16" t="s">
        <v>603</v>
      </c>
      <c r="B3" s="16" t="s">
        <v>1636</v>
      </c>
      <c r="C3" s="60" t="s">
        <v>386</v>
      </c>
      <c r="M3" s="29" t="str">
        <f>HYPERLINK(_xlfn.CONCAT("https://cmmiinstitute.com/appraisals-sys/appraisals/",'Agreement 3'!B5,"/roles-responsibilities"))</f>
        <v>https://cmmiinstitute.com/appraisals-sys/appraisals/384400/roles-responsibilities</v>
      </c>
    </row>
    <row r="4" spans="1:13">
      <c r="B4" s="16" t="s">
        <v>1637</v>
      </c>
      <c r="C4" s="60" t="s">
        <v>386</v>
      </c>
      <c r="M4" s="29" t="str">
        <f>HYPERLINK(_xlfn.CONCAT("https://cmmiinstitute.com/appraisals-sys/appraisals/",'Agreement 3'!B5,"/appraisal-plan-summary"))</f>
        <v>https://cmmiinstitute.com/appraisals-sys/appraisals/384400/appraisal-plan-summary</v>
      </c>
    </row>
    <row r="5" spans="1:13">
      <c r="B5" s="16" t="s">
        <v>1638</v>
      </c>
      <c r="C5" s="60" t="s">
        <v>386</v>
      </c>
      <c r="M5" s="29" t="str">
        <f>HYPERLINK(_xlfn.CONCAT("https://cmmiinstitute.com/appraisals-sys/appraisals/",'Agreement 3'!B5,"/confidentiality-agreement"))</f>
        <v>https://cmmiinstitute.com/appraisals-sys/appraisals/384400/confidentiality-agreement</v>
      </c>
    </row>
    <row r="6" spans="1:13">
      <c r="B6" s="16" t="s">
        <v>1639</v>
      </c>
      <c r="C6" s="60" t="s">
        <v>386</v>
      </c>
      <c r="M6" s="29" t="str">
        <f>HYPERLINK(_xlfn.CONCAT("https://cmmiinstitute.com/appraisals-sys/appraisals/",'Agreement 3'!B5,"/appraisal-team"))</f>
        <v>https://cmmiinstitute.com/appraisals-sys/appraisals/384400/appraisal-team</v>
      </c>
    </row>
    <row r="8" spans="1:13">
      <c r="A8" s="16" t="s">
        <v>578</v>
      </c>
      <c r="B8" s="16" t="s">
        <v>1636</v>
      </c>
      <c r="C8" s="60" t="s">
        <v>386</v>
      </c>
      <c r="M8" s="29" t="str">
        <f>HYPERLINK(_xlfn.CONCAT("https://cmmiinstitute.com/appraisals-sys/appraisals/",'Agreement 3'!B5,"/roles-responsibilities"))</f>
        <v>https://cmmiinstitute.com/appraisals-sys/appraisals/384400/roles-responsibilities</v>
      </c>
    </row>
    <row r="9" spans="1:13">
      <c r="B9" s="16" t="s">
        <v>1637</v>
      </c>
      <c r="C9" s="60" t="s">
        <v>386</v>
      </c>
      <c r="M9" s="29" t="str">
        <f>HYPERLINK(_xlfn.CONCAT("https://cmmiinstitute.com/appraisals-sys/appraisals/",'Agreement 3'!B5,"/appraisal-plan-summary"))</f>
        <v>https://cmmiinstitute.com/appraisals-sys/appraisals/384400/appraisal-plan-summary</v>
      </c>
    </row>
    <row r="10" spans="1:13">
      <c r="B10" s="16" t="s">
        <v>1638</v>
      </c>
      <c r="C10" s="60" t="s">
        <v>386</v>
      </c>
      <c r="M10" s="29" t="str">
        <f>HYPERLINK(_xlfn.CONCAT("https://cmmiinstitute.com/appraisals-sys/appraisals/",'Agreement 3'!B5,"/confidentiality-agreement"))</f>
        <v>https://cmmiinstitute.com/appraisals-sys/appraisals/384400/confidentiality-agreement</v>
      </c>
    </row>
    <row r="11" spans="1:13">
      <c r="B11" s="16" t="s">
        <v>1639</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1640</v>
      </c>
      <c r="B13" s="16" t="s">
        <v>1652</v>
      </c>
      <c r="C13" s="60" t="s">
        <v>386</v>
      </c>
      <c r="F13" s="60" t="s">
        <v>1647</v>
      </c>
      <c r="G13" s="60" t="s">
        <v>1648</v>
      </c>
      <c r="H13" s="60" t="s">
        <v>1649</v>
      </c>
      <c r="I13" s="60" t="s">
        <v>1650</v>
      </c>
      <c r="J13" s="60" t="s">
        <v>1651</v>
      </c>
    </row>
    <row r="14" spans="1:13">
      <c r="B14" s="16" t="s">
        <v>1653</v>
      </c>
      <c r="C14" s="60" t="s">
        <v>386</v>
      </c>
    </row>
    <row r="15" spans="1:13">
      <c r="B15" s="16" t="s">
        <v>1638</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1641</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1639</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1638</v>
      </c>
      <c r="C19" s="60" t="s">
        <v>386</v>
      </c>
      <c r="M19" s="29" t="str">
        <f>HYPERLINK(_xlfn.CONCAT("https://cmmiinstitute.com/appraisals-sys/appraisals/",'Agreement 3'!B5,"/confidentiality-agreement"))</f>
        <v>https://cmmiinstitute.com/appraisals-sys/appraisals/384400/confidentiality-agreement</v>
      </c>
    </row>
    <row r="20" spans="1:13">
      <c r="B20" s="16" t="s">
        <v>1639</v>
      </c>
      <c r="C20" s="60" t="s">
        <v>386</v>
      </c>
      <c r="M20" s="29" t="str">
        <f>HYPERLINK(_xlfn.CONCAT("https://cmmiinstitute.com/appraisals-sys/appraisals/",'Agreement 3'!B5,"/appraisal-team"))</f>
        <v>https://cmmiinstitute.com/appraisals-sys/appraisals/384400/appraisal-team</v>
      </c>
    </row>
    <row r="22" spans="1:13">
      <c r="A22" s="16" t="s">
        <v>1359</v>
      </c>
      <c r="B22" s="16" t="s">
        <v>1638</v>
      </c>
      <c r="C22" s="60" t="s">
        <v>386</v>
      </c>
      <c r="M22" s="29" t="str">
        <f>HYPERLINK(_xlfn.CONCAT("https://cmmiinstitute.com/appraisals-sys/appraisals/",'Agreement 3'!B5,"/confidentiality-agreement"))</f>
        <v>https://cmmiinstitute.com/appraisals-sys/appraisals/384400/confidentiality-agreement</v>
      </c>
    </row>
    <row r="23" spans="1:13">
      <c r="B23" s="16" t="s">
        <v>1639</v>
      </c>
      <c r="C23" s="60" t="s">
        <v>386</v>
      </c>
      <c r="M23" s="29" t="str">
        <f>HYPERLINK(_xlfn.CONCAT("https://cmmiinstitute.com/appraisals-sys/appraisals/",'Agreement 3'!B5,"/appraisal-team"))</f>
        <v>https://cmmiinstitute.com/appraisals-sys/appraisals/384400/appraisal-team</v>
      </c>
    </row>
    <row r="25" spans="1:13">
      <c r="A25" s="16" t="s">
        <v>1642</v>
      </c>
      <c r="B25" s="16" t="s">
        <v>1643</v>
      </c>
    </row>
    <row r="28" spans="1:13">
      <c r="A28" s="16" t="s">
        <v>1644</v>
      </c>
      <c r="B28" s="16" t="s">
        <v>1645</v>
      </c>
    </row>
    <row r="30" spans="1:13">
      <c r="A30" s="16" t="s">
        <v>1646</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abSelected="1"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1454</v>
      </c>
    </row>
    <row r="3" spans="1:2">
      <c r="A3" s="2" t="s">
        <v>2</v>
      </c>
      <c r="B3" s="269"/>
    </row>
    <row r="4" spans="1:2">
      <c r="A4" s="2" t="s">
        <v>702</v>
      </c>
      <c r="B4" s="3" t="s">
        <v>1455</v>
      </c>
    </row>
    <row r="5" spans="1:2">
      <c r="A5" s="2" t="s">
        <v>1511</v>
      </c>
      <c r="B5" s="4">
        <v>384400</v>
      </c>
    </row>
    <row r="6" spans="1:2">
      <c r="A6" s="5" t="s">
        <v>3</v>
      </c>
      <c r="B6" s="5"/>
    </row>
    <row r="7" spans="1:2">
      <c r="A7" s="2" t="s">
        <v>4</v>
      </c>
      <c r="B7" s="6" t="s">
        <v>1729</v>
      </c>
    </row>
    <row r="8" spans="1:2">
      <c r="A8" s="2" t="s">
        <v>5</v>
      </c>
      <c r="B8" s="6" t="s">
        <v>1769</v>
      </c>
    </row>
    <row r="9" spans="1:2">
      <c r="A9" s="2" t="s">
        <v>7</v>
      </c>
      <c r="B9" s="6" t="s">
        <v>1748</v>
      </c>
    </row>
    <row r="10" spans="1:2">
      <c r="A10" s="2" t="s">
        <v>8</v>
      </c>
      <c r="B10" s="6" t="s">
        <v>1775</v>
      </c>
    </row>
    <row r="11" spans="1:2">
      <c r="A11" s="2" t="s">
        <v>1776</v>
      </c>
      <c r="B11" s="6" t="s">
        <v>1456</v>
      </c>
    </row>
    <row r="12" spans="1:2">
      <c r="A12" s="2" t="s">
        <v>9</v>
      </c>
      <c r="B12" s="6" t="s">
        <v>1457</v>
      </c>
    </row>
    <row r="13" spans="1:2">
      <c r="A13" s="2" t="s">
        <v>10</v>
      </c>
      <c r="B13" s="6" t="s">
        <v>1458</v>
      </c>
    </row>
    <row r="14" spans="1:2">
      <c r="A14" s="2" t="s">
        <v>11</v>
      </c>
      <c r="B14" s="6" t="s">
        <v>1459</v>
      </c>
    </row>
    <row r="15" spans="1:2">
      <c r="A15" s="5" t="s">
        <v>12</v>
      </c>
      <c r="B15" s="5"/>
    </row>
    <row r="16" spans="1:2">
      <c r="A16" s="2" t="s">
        <v>13</v>
      </c>
      <c r="B16" s="6" t="s">
        <v>1756</v>
      </c>
    </row>
    <row r="17" spans="1:3">
      <c r="A17" s="2" t="s">
        <v>14</v>
      </c>
      <c r="B17" s="6" t="s">
        <v>1756</v>
      </c>
    </row>
    <row r="18" spans="1:3">
      <c r="A18" s="2" t="s">
        <v>15</v>
      </c>
      <c r="B18" s="6" t="s">
        <v>1758</v>
      </c>
    </row>
    <row r="19" spans="1:3">
      <c r="A19" s="2" t="s">
        <v>16</v>
      </c>
      <c r="B19" s="6" t="s">
        <v>1757</v>
      </c>
    </row>
    <row r="20" spans="1:3">
      <c r="A20" s="2" t="s">
        <v>17</v>
      </c>
      <c r="B20" s="13" t="s">
        <v>1749</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1728</v>
      </c>
    </row>
    <row r="24" spans="1:3">
      <c r="A24" s="2" t="s">
        <v>1779</v>
      </c>
      <c r="B24" s="6">
        <v>45416</v>
      </c>
    </row>
    <row r="25" spans="1:3">
      <c r="A25" s="2" t="s">
        <v>848</v>
      </c>
      <c r="B25" s="255">
        <v>45422</v>
      </c>
    </row>
    <row r="26" spans="1:3" s="413" customFormat="1">
      <c r="A26" s="412" t="s">
        <v>1780</v>
      </c>
      <c r="B26" s="414">
        <v>2</v>
      </c>
    </row>
    <row r="27" spans="1:3" s="413" customFormat="1">
      <c r="A27" s="412" t="s">
        <v>1781</v>
      </c>
      <c r="B27" s="415">
        <f>B24+B26</f>
        <v>45418</v>
      </c>
    </row>
    <row r="28" spans="1:3" s="413" customFormat="1">
      <c r="A28" s="412" t="s">
        <v>22</v>
      </c>
      <c r="B28" s="416">
        <f>B25</f>
        <v>45422</v>
      </c>
    </row>
    <row r="29" spans="1:3">
      <c r="A29" s="5" t="s">
        <v>23</v>
      </c>
      <c r="B29" s="22"/>
    </row>
    <row r="30" spans="1:3">
      <c r="A30" s="2" t="s">
        <v>4</v>
      </c>
      <c r="B30" s="6" t="s">
        <v>1750</v>
      </c>
    </row>
    <row r="31" spans="1:3">
      <c r="A31" s="2" t="s">
        <v>7</v>
      </c>
      <c r="B31" s="6" t="s">
        <v>1751</v>
      </c>
    </row>
    <row r="32" spans="1:3">
      <c r="A32" s="2" t="s">
        <v>9</v>
      </c>
      <c r="B32" s="255" t="s">
        <v>1752</v>
      </c>
    </row>
    <row r="33" spans="1:5">
      <c r="A33" s="2" t="s">
        <v>10</v>
      </c>
      <c r="B33" s="26" t="s">
        <v>1753</v>
      </c>
    </row>
    <row r="34" spans="1:5">
      <c r="A34" s="5" t="s">
        <v>24</v>
      </c>
      <c r="B34" s="5"/>
    </row>
    <row r="35" spans="1:5">
      <c r="A35" s="2" t="s">
        <v>4</v>
      </c>
      <c r="B35" s="270" t="s">
        <v>1754</v>
      </c>
    </row>
    <row r="36" spans="1:5">
      <c r="A36" s="2" t="s">
        <v>7</v>
      </c>
      <c r="B36" s="6" t="s">
        <v>1755</v>
      </c>
    </row>
    <row r="37" spans="1:5">
      <c r="A37" s="2" t="s">
        <v>5</v>
      </c>
      <c r="B37" s="359" t="str">
        <f>B16</f>
        <v>NASA</v>
      </c>
      <c r="C37" s="11"/>
    </row>
    <row r="38" spans="1:5">
      <c r="A38" s="2" t="s">
        <v>9</v>
      </c>
      <c r="B38" s="255" t="s">
        <v>1767</v>
      </c>
    </row>
    <row r="39" spans="1:5">
      <c r="A39" s="2" t="s">
        <v>10</v>
      </c>
      <c r="B39" s="271" t="s">
        <v>1759</v>
      </c>
    </row>
    <row r="40" spans="1:5">
      <c r="A40" s="5" t="s">
        <v>25</v>
      </c>
      <c r="B40" s="5"/>
    </row>
    <row r="41" spans="1:5">
      <c r="A41" s="2" t="s">
        <v>4</v>
      </c>
      <c r="B41" s="6" t="s">
        <v>1761</v>
      </c>
    </row>
    <row r="42" spans="1:5">
      <c r="A42" s="2" t="s">
        <v>5</v>
      </c>
      <c r="B42" s="6" t="s">
        <v>1295</v>
      </c>
    </row>
    <row r="43" spans="1:5">
      <c r="A43" s="2" t="s">
        <v>7</v>
      </c>
      <c r="B43" s="6" t="s">
        <v>410</v>
      </c>
    </row>
    <row r="44" spans="1:5">
      <c r="A44" s="2" t="s">
        <v>9</v>
      </c>
      <c r="B44" s="255" t="s">
        <v>1768</v>
      </c>
    </row>
    <row r="45" spans="1:5">
      <c r="A45" s="2" t="s">
        <v>10</v>
      </c>
      <c r="B45" s="79" t="s">
        <v>1760</v>
      </c>
    </row>
    <row r="46" spans="1:5">
      <c r="A46" s="7" t="s">
        <v>26</v>
      </c>
      <c r="B46" s="5"/>
    </row>
    <row r="47" spans="1:5">
      <c r="A47" s="2" t="s">
        <v>4</v>
      </c>
      <c r="B47" s="6" t="s">
        <v>1772</v>
      </c>
      <c r="D47" t="s">
        <v>1730</v>
      </c>
      <c r="E47" t="s">
        <v>1772</v>
      </c>
    </row>
    <row r="48" spans="1:5">
      <c r="A48" s="2" t="s">
        <v>5</v>
      </c>
      <c r="B48" s="13" t="s">
        <v>1093</v>
      </c>
      <c r="D48" t="s">
        <v>1769</v>
      </c>
      <c r="E48" t="s">
        <v>1093</v>
      </c>
    </row>
    <row r="49" spans="1:5">
      <c r="A49" s="2" t="s">
        <v>9</v>
      </c>
      <c r="B49" s="255" t="s">
        <v>1774</v>
      </c>
      <c r="D49" t="s">
        <v>1094</v>
      </c>
      <c r="E49" t="s">
        <v>1774</v>
      </c>
    </row>
    <row r="50" spans="1:5">
      <c r="A50" s="2" t="s">
        <v>10</v>
      </c>
      <c r="B50" s="26" t="s">
        <v>1773</v>
      </c>
      <c r="D50" t="s">
        <v>1095</v>
      </c>
      <c r="E50" t="s">
        <v>1773</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734</v>
      </c>
      <c r="B1" s="389"/>
    </row>
    <row r="2" spans="1:23" s="46" customFormat="1" ht="15.6">
      <c r="A2" s="47" t="s">
        <v>696</v>
      </c>
      <c r="B2" s="47"/>
      <c r="C2" s="45"/>
    </row>
    <row r="3" spans="1:23">
      <c r="A3" s="11" t="s">
        <v>691</v>
      </c>
      <c r="B3" s="80" t="str">
        <f>'Agreement 3'!B16</f>
        <v>NASA</v>
      </c>
      <c r="C3" s="11" t="s">
        <v>968</v>
      </c>
    </row>
    <row r="4" spans="1:23">
      <c r="A4" s="11" t="s">
        <v>690</v>
      </c>
      <c r="B4" s="11" t="s">
        <v>1756</v>
      </c>
    </row>
    <row r="6" spans="1:23">
      <c r="A6" s="11" t="s">
        <v>692</v>
      </c>
      <c r="B6" s="81" t="str">
        <f>CONCATENATE(TEXT(B44,"yyyy-mm-dd"),"to",TEXT(B53,"mm-dd")," (A",RIGHT(B16,1),") ","C",'Agreement 3'!B5, " ",Planning!B4)</f>
        <v>2024-05-04to05-10 (A5) C384400 NASA</v>
      </c>
      <c r="C6" s="11" t="s">
        <v>969</v>
      </c>
    </row>
    <row r="7" spans="1:23">
      <c r="A7" s="11" t="s">
        <v>693</v>
      </c>
      <c r="B7" s="11" t="s">
        <v>1762</v>
      </c>
    </row>
    <row r="9" spans="1:23">
      <c r="A9" s="11" t="s">
        <v>424</v>
      </c>
      <c r="B9" s="13" t="s">
        <v>510</v>
      </c>
      <c r="C9" s="11" t="s">
        <v>382</v>
      </c>
    </row>
    <row r="10" spans="1:23">
      <c r="B10" s="13"/>
    </row>
    <row r="12" spans="1:23" s="46" customFormat="1" ht="15.6">
      <c r="A12" s="47" t="s">
        <v>1713</v>
      </c>
      <c r="B12" s="47"/>
      <c r="C12" s="45"/>
    </row>
    <row r="13" spans="1:23" s="46" customFormat="1" ht="15.6">
      <c r="A13" s="399" t="s">
        <v>1699</v>
      </c>
      <c r="B13" s="45"/>
      <c r="C13" s="45"/>
    </row>
    <row r="14" spans="1:23">
      <c r="A14" s="11" t="s">
        <v>1699</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1703</v>
      </c>
      <c r="B20" s="252" t="s">
        <v>403</v>
      </c>
      <c r="C20" s="16" t="s">
        <v>1703</v>
      </c>
      <c r="D20" s="16"/>
      <c r="E20" s="16"/>
      <c r="F20" s="16"/>
      <c r="G20" s="16"/>
      <c r="H20" s="16"/>
      <c r="I20" s="16"/>
      <c r="J20" s="16"/>
      <c r="K20" s="16"/>
      <c r="L20" s="16"/>
      <c r="M20" s="16"/>
      <c r="N20" s="16"/>
      <c r="O20" s="16"/>
      <c r="P20" s="16"/>
      <c r="Q20" s="16"/>
      <c r="R20" s="16"/>
      <c r="S20" s="16"/>
      <c r="T20" s="16"/>
      <c r="U20" s="16"/>
      <c r="V20" s="16"/>
      <c r="W20" s="16"/>
    </row>
    <row r="21" spans="1:23">
      <c r="A21" s="11" t="s">
        <v>1777</v>
      </c>
      <c r="B21" s="252"/>
      <c r="C21" s="16" t="s">
        <v>1777</v>
      </c>
      <c r="D21" s="16"/>
      <c r="E21" s="16"/>
      <c r="F21" s="16"/>
      <c r="G21" s="16"/>
      <c r="H21" s="16"/>
      <c r="I21" s="16"/>
      <c r="J21" s="16"/>
      <c r="K21" s="16"/>
      <c r="L21" s="16"/>
      <c r="M21" s="16"/>
      <c r="N21" s="16"/>
      <c r="O21" s="16"/>
      <c r="P21" s="16"/>
      <c r="Q21" s="16"/>
      <c r="R21" s="16"/>
      <c r="S21" s="16"/>
      <c r="T21" s="16"/>
      <c r="U21" s="16"/>
      <c r="V21" s="16"/>
      <c r="W21" s="16"/>
    </row>
    <row r="22" spans="1:23">
      <c r="A22" s="11" t="s">
        <v>1705</v>
      </c>
      <c r="B22" s="252"/>
      <c r="C22" s="16" t="s">
        <v>1705</v>
      </c>
      <c r="D22" s="16"/>
      <c r="E22" s="16"/>
      <c r="F22" s="16"/>
      <c r="G22" s="16"/>
      <c r="H22" s="16"/>
      <c r="I22" s="16"/>
      <c r="J22" s="16"/>
      <c r="K22" s="16"/>
      <c r="L22" s="16"/>
      <c r="M22" s="16"/>
      <c r="N22" s="16"/>
      <c r="O22" s="16"/>
      <c r="P22" s="16"/>
      <c r="Q22" s="16"/>
      <c r="R22" s="16"/>
      <c r="S22" s="16"/>
      <c r="T22" s="16"/>
      <c r="U22" s="16"/>
      <c r="V22" s="16"/>
      <c r="W22" s="16"/>
    </row>
    <row r="23" spans="1:23">
      <c r="A23" s="11" t="s">
        <v>1706</v>
      </c>
      <c r="B23" s="252"/>
      <c r="C23" s="16" t="s">
        <v>1706</v>
      </c>
      <c r="D23" s="16"/>
      <c r="E23" s="16"/>
      <c r="F23" s="16"/>
      <c r="G23" s="16"/>
      <c r="H23" s="16"/>
      <c r="I23" s="16"/>
      <c r="J23" s="16"/>
      <c r="K23" s="16"/>
      <c r="L23" s="16"/>
      <c r="M23" s="16"/>
      <c r="N23" s="16"/>
      <c r="O23" s="16"/>
      <c r="P23" s="16"/>
      <c r="Q23" s="16"/>
      <c r="R23" s="16"/>
      <c r="S23" s="16"/>
      <c r="T23" s="16"/>
      <c r="U23" s="16"/>
      <c r="V23" s="16"/>
      <c r="W23" s="16"/>
    </row>
    <row r="24" spans="1:23">
      <c r="A24" s="11" t="s">
        <v>1704</v>
      </c>
      <c r="B24" s="252"/>
      <c r="C24" s="16" t="s">
        <v>1704</v>
      </c>
      <c r="D24" s="16"/>
      <c r="E24" s="16"/>
      <c r="F24" s="16"/>
      <c r="G24" s="16"/>
      <c r="H24" s="16"/>
      <c r="I24" s="16"/>
      <c r="J24" s="16"/>
      <c r="K24" s="16"/>
      <c r="L24" s="16"/>
      <c r="M24" s="16"/>
      <c r="N24" s="16"/>
      <c r="O24" s="16"/>
      <c r="P24" s="16"/>
      <c r="Q24" s="16"/>
      <c r="R24" s="16"/>
      <c r="S24" s="16"/>
      <c r="T24" s="16"/>
      <c r="U24" s="16"/>
      <c r="V24" s="16"/>
      <c r="W24" s="16"/>
    </row>
    <row r="25" spans="1:23">
      <c r="A25" s="11" t="s">
        <v>1778</v>
      </c>
      <c r="B25" s="252"/>
      <c r="C25" s="16" t="s">
        <v>1778</v>
      </c>
      <c r="D25" s="16"/>
      <c r="E25" s="16"/>
      <c r="F25" s="16"/>
      <c r="G25" s="16"/>
      <c r="H25" s="16"/>
      <c r="I25" s="16"/>
      <c r="J25" s="16"/>
      <c r="K25" s="16"/>
      <c r="L25" s="16"/>
      <c r="M25" s="16"/>
      <c r="N25" s="16"/>
      <c r="O25" s="16"/>
      <c r="P25" s="16"/>
      <c r="Q25" s="16"/>
      <c r="R25" s="16"/>
      <c r="S25" s="16"/>
      <c r="T25" s="16"/>
      <c r="U25" s="16"/>
      <c r="V25" s="16"/>
      <c r="W25" s="16"/>
    </row>
    <row r="26" spans="1:23">
      <c r="A26" s="11" t="s">
        <v>1707</v>
      </c>
      <c r="B26" s="252"/>
      <c r="C26" s="16" t="s">
        <v>1707</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1794</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1508</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201">
        <f>B44-28</f>
        <v>45388</v>
      </c>
      <c r="C37" s="45"/>
    </row>
    <row r="38" spans="1:3" s="46" customFormat="1" ht="15.6" hidden="1">
      <c r="A38" s="46" t="s">
        <v>972</v>
      </c>
      <c r="B38" s="424">
        <f>B37</f>
        <v>45388</v>
      </c>
      <c r="C38" s="45" t="s">
        <v>969</v>
      </c>
    </row>
    <row r="39" spans="1:3" s="46" customFormat="1" ht="15.6">
      <c r="B39" s="425"/>
      <c r="C39" s="45"/>
    </row>
    <row r="40" spans="1:3" s="46" customFormat="1" ht="15.6">
      <c r="A40" s="46" t="s">
        <v>931</v>
      </c>
      <c r="B40" s="201">
        <f>B44-10</f>
        <v>45406</v>
      </c>
      <c r="C40" s="45"/>
    </row>
    <row r="41" spans="1:3" s="46" customFormat="1" ht="15.6" hidden="1">
      <c r="A41" s="46" t="s">
        <v>973</v>
      </c>
      <c r="B41" s="424">
        <f>B40</f>
        <v>45406</v>
      </c>
      <c r="C41" s="45" t="s">
        <v>969</v>
      </c>
    </row>
    <row r="42" spans="1:3" s="46" customFormat="1" ht="15.6">
      <c r="B42" s="425"/>
      <c r="C42" s="45"/>
    </row>
    <row r="43" spans="1:3" s="46" customFormat="1" ht="15.6">
      <c r="A43" s="46" t="s">
        <v>844</v>
      </c>
      <c r="B43" s="425">
        <f>B44-2</f>
        <v>45414</v>
      </c>
      <c r="C43" s="45"/>
    </row>
    <row r="44" spans="1:3" s="46" customFormat="1" ht="15.6">
      <c r="A44" s="46" t="s">
        <v>845</v>
      </c>
      <c r="B44" s="201">
        <f>B47-B46</f>
        <v>45416</v>
      </c>
      <c r="C44" s="46" t="s">
        <v>969</v>
      </c>
    </row>
    <row r="45" spans="1:3" s="46" customFormat="1" ht="15.6">
      <c r="A45" s="46" t="s">
        <v>846</v>
      </c>
      <c r="B45" s="11">
        <v>0</v>
      </c>
      <c r="C45" s="45"/>
    </row>
    <row r="46" spans="1:3" s="46" customFormat="1" ht="15.6">
      <c r="A46" s="46" t="s">
        <v>977</v>
      </c>
      <c r="B46" s="11">
        <v>2</v>
      </c>
      <c r="C46" s="45" t="s">
        <v>952</v>
      </c>
    </row>
    <row r="47" spans="1:3" s="46" customFormat="1" ht="15.6">
      <c r="A47" s="46" t="s">
        <v>847</v>
      </c>
      <c r="B47" s="201">
        <f>'Agreement 3'!B27</f>
        <v>45418</v>
      </c>
      <c r="C47" s="105"/>
    </row>
    <row r="48" spans="1:3" s="46" customFormat="1" ht="15.6">
      <c r="A48" s="46" t="s">
        <v>1089</v>
      </c>
      <c r="B48" s="11">
        <v>0</v>
      </c>
      <c r="C48" s="105"/>
    </row>
    <row r="49" spans="1:5" s="46" customFormat="1" ht="15.6">
      <c r="A49" s="46" t="s">
        <v>728</v>
      </c>
      <c r="B49" s="201">
        <f>B50-1</f>
        <v>45421</v>
      </c>
      <c r="C49" s="105" t="s">
        <v>969</v>
      </c>
    </row>
    <row r="50" spans="1:5" s="46" customFormat="1" ht="15.6">
      <c r="A50" s="46" t="s">
        <v>848</v>
      </c>
      <c r="B50" s="201">
        <f>'Agreement 3'!B25</f>
        <v>45422</v>
      </c>
      <c r="C50" s="45" t="s">
        <v>968</v>
      </c>
    </row>
    <row r="51" spans="1:5" ht="15.6">
      <c r="A51" s="46" t="s">
        <v>398</v>
      </c>
      <c r="B51" s="35">
        <f>B50-B44+1-B45</f>
        <v>7</v>
      </c>
      <c r="C51" s="11" t="s">
        <v>969</v>
      </c>
    </row>
    <row r="52" spans="1:5">
      <c r="A52" s="11" t="s">
        <v>1091</v>
      </c>
      <c r="B52" s="11">
        <v>0</v>
      </c>
    </row>
    <row r="53" spans="1:5">
      <c r="A53" s="11" t="s">
        <v>1090</v>
      </c>
      <c r="B53" s="201">
        <f>B52+B49+1</f>
        <v>45422</v>
      </c>
      <c r="C53" s="11" t="s">
        <v>969</v>
      </c>
    </row>
    <row r="54" spans="1:5">
      <c r="A54" s="11" t="s">
        <v>1297</v>
      </c>
      <c r="B54" s="11">
        <v>21</v>
      </c>
    </row>
    <row r="55" spans="1:5">
      <c r="A55" s="11" t="s">
        <v>1092</v>
      </c>
      <c r="B55" s="201">
        <f>B53+B54-1</f>
        <v>45442</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1798</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C23" sqref="C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1765</v>
      </c>
    </row>
    <row r="6" spans="1:3" s="11" customFormat="1" ht="14.4">
      <c r="A6" s="11" t="s">
        <v>30</v>
      </c>
      <c r="B6" s="11" t="s">
        <v>1766</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1763</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6" t="s">
        <v>1764</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929</v>
      </c>
    </row>
    <row r="15" spans="1:3" ht="103.8" customHeight="1">
      <c r="A15" s="421" t="s">
        <v>953</v>
      </c>
      <c r="B15" s="422"/>
      <c r="C15" s="348"/>
    </row>
    <row r="17" spans="1:3">
      <c r="A17" s="47" t="s">
        <v>826</v>
      </c>
      <c r="B17" s="47"/>
    </row>
    <row r="18" spans="1:3">
      <c r="A18" s="46" t="s">
        <v>827</v>
      </c>
      <c r="B18" s="11" t="s">
        <v>1298</v>
      </c>
    </row>
    <row r="19" spans="1:3">
      <c r="A19" s="46" t="s">
        <v>828</v>
      </c>
      <c r="B19" s="11"/>
    </row>
    <row r="20" spans="1:3">
      <c r="A20" s="46" t="s">
        <v>829</v>
      </c>
      <c r="B20" s="11" t="s">
        <v>1460</v>
      </c>
    </row>
    <row r="21" spans="1:3" ht="102.6" customHeight="1">
      <c r="A21" s="46" t="s">
        <v>830</v>
      </c>
      <c r="B21" s="252" t="s">
        <v>1799</v>
      </c>
    </row>
    <row r="22" spans="1:3" ht="31.2">
      <c r="A22" s="46" t="s">
        <v>831</v>
      </c>
      <c r="B22" s="50" t="s">
        <v>345</v>
      </c>
      <c r="C22" s="45" t="s">
        <v>382</v>
      </c>
    </row>
    <row r="23" spans="1:3">
      <c r="B23" s="45"/>
    </row>
    <row r="24" spans="1:3">
      <c r="A24" s="46" t="s">
        <v>1800</v>
      </c>
      <c r="B24" s="423">
        <f>SUM('Project&amp;Support'!AB2:AB15)</f>
        <v>3</v>
      </c>
      <c r="C24" s="11"/>
    </row>
    <row r="25" spans="1:3">
      <c r="A25" s="46" t="s">
        <v>1782</v>
      </c>
      <c r="B25" s="13" t="s">
        <v>1783</v>
      </c>
      <c r="C25" s="11" t="s">
        <v>382</v>
      </c>
    </row>
    <row r="26" spans="1:3">
      <c r="B26" s="11"/>
      <c r="C26" s="11"/>
    </row>
    <row r="27" spans="1:3">
      <c r="A27" s="46" t="s">
        <v>832</v>
      </c>
      <c r="B27" s="397" t="s">
        <v>1633</v>
      </c>
    </row>
    <row r="28" spans="1:3" ht="46.8">
      <c r="A28" s="46" t="s">
        <v>944</v>
      </c>
      <c r="B28" s="272" t="s">
        <v>1442</v>
      </c>
      <c r="C28" s="45" t="s">
        <v>969</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968</v>
      </c>
    </row>
    <row r="32" spans="1:3" s="11" customFormat="1" ht="14.4">
      <c r="A32" s="11" t="s">
        <v>32</v>
      </c>
      <c r="B32" s="86" t="str">
        <f t="shared" si="0"/>
        <v>South Pole</v>
      </c>
      <c r="C32" s="11" t="s">
        <v>968</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823</v>
      </c>
      <c r="B35" s="87" t="str">
        <f>_xlfn.CONCAT(B29,", ",B30,", ",B31,", ",B32,", ",B33,", ",B34)</f>
        <v>The Moondoggle Dome-1, Crater Cackle Lane-1, Base Camp Artemis, South Pole, MO0N 1GHT, Moon</v>
      </c>
      <c r="C35" s="45" t="s">
        <v>969</v>
      </c>
    </row>
    <row r="39" spans="1:3">
      <c r="A39" s="47" t="s">
        <v>833</v>
      </c>
      <c r="B39" s="47"/>
    </row>
    <row r="40" spans="1:3">
      <c r="A40" s="46" t="s">
        <v>834</v>
      </c>
      <c r="B40" s="51" t="str">
        <f>'Agreement 3'!B31</f>
        <v>Administrator of NASA</v>
      </c>
      <c r="C40" s="45" t="s">
        <v>968</v>
      </c>
    </row>
    <row r="41" spans="1:3">
      <c r="A41" s="46" t="s">
        <v>835</v>
      </c>
      <c r="B41" s="51" t="str">
        <f>'Agreement 3'!B30</f>
        <v>Bill Nelson</v>
      </c>
      <c r="C41" s="45" t="s">
        <v>968</v>
      </c>
    </row>
    <row r="42" spans="1:3">
      <c r="A42" s="46" t="s">
        <v>836</v>
      </c>
      <c r="B42" s="51" t="str">
        <f>'Agreement 3'!B16</f>
        <v>NASA</v>
      </c>
      <c r="C42" s="45" t="s">
        <v>968</v>
      </c>
    </row>
    <row r="43" spans="1:3" ht="31.2">
      <c r="A43" s="46" t="s">
        <v>1045</v>
      </c>
      <c r="B43" s="50" t="s">
        <v>710</v>
      </c>
      <c r="C43" s="45" t="s">
        <v>382</v>
      </c>
    </row>
    <row r="44" spans="1:3" ht="31.2">
      <c r="A44" s="46" t="s">
        <v>837</v>
      </c>
      <c r="B44" s="48" t="str">
        <f>B11</f>
        <v>The Moondoggle Dome-1, Crater Cackle Lane-1, Base Camp Artemis, South Pole, MO0N 1GHT, Moon</v>
      </c>
      <c r="C44" s="45" t="s">
        <v>969</v>
      </c>
    </row>
    <row r="45" spans="1:3">
      <c r="A45" s="46" t="s">
        <v>838</v>
      </c>
      <c r="B45" s="74" t="str">
        <f>'Agreement 3'!B33</f>
        <v>bill.nelson@nasa.gov</v>
      </c>
      <c r="C45" s="45" t="s">
        <v>968</v>
      </c>
    </row>
    <row r="46" spans="1:3">
      <c r="A46" s="46" t="s">
        <v>839</v>
      </c>
      <c r="B46" s="75" t="str">
        <f>'Agreement 3'!B32</f>
        <v>+1 202-358-0001</v>
      </c>
      <c r="C46" s="45" t="s">
        <v>968</v>
      </c>
    </row>
    <row r="48" spans="1:3">
      <c r="A48" s="47" t="s">
        <v>411</v>
      </c>
      <c r="B48" s="47"/>
    </row>
    <row r="49" spans="1:3">
      <c r="A49" s="46" t="s">
        <v>984</v>
      </c>
      <c r="B49" s="51" t="str">
        <f>'Agreement 3'!B35</f>
        <v>Ella Harper</v>
      </c>
      <c r="C49" s="45" t="s">
        <v>968</v>
      </c>
    </row>
    <row r="50" spans="1:3" ht="31.2">
      <c r="A50" s="46" t="s">
        <v>840</v>
      </c>
      <c r="B50" s="50" t="s">
        <v>710</v>
      </c>
      <c r="C50" s="45" t="s">
        <v>382</v>
      </c>
    </row>
    <row r="51" spans="1:3">
      <c r="A51" s="46" t="s">
        <v>841</v>
      </c>
      <c r="B51" s="75" t="str">
        <f>'Agreement 3'!B38</f>
        <v>+1 202-358-0002</v>
      </c>
      <c r="C51" s="45" t="s">
        <v>968</v>
      </c>
    </row>
    <row r="52" spans="1:3">
      <c r="A52" s="46" t="s">
        <v>842</v>
      </c>
      <c r="B52" s="74" t="str">
        <f>'Agreement 3'!B39</f>
        <v>ella.harper@nasa.gov</v>
      </c>
      <c r="C52" s="45" t="s">
        <v>968</v>
      </c>
    </row>
    <row r="54" spans="1:3">
      <c r="A54" s="47" t="s">
        <v>25</v>
      </c>
      <c r="B54" s="47"/>
    </row>
    <row r="55" spans="1:3">
      <c r="A55" s="46" t="s">
        <v>13</v>
      </c>
      <c r="B55" s="51" t="str">
        <f>'Agreement 3'!B41</f>
        <v>Lingua Bridges</v>
      </c>
      <c r="C55" s="45" t="s">
        <v>968</v>
      </c>
    </row>
    <row r="56" spans="1:3">
      <c r="A56" s="46" t="s">
        <v>979</v>
      </c>
      <c r="B56" s="51" t="str">
        <f>'Agreement 3'!B42</f>
        <v>Freelance</v>
      </c>
      <c r="C56" s="45" t="s">
        <v>968</v>
      </c>
    </row>
    <row r="57" spans="1:3">
      <c r="A57" s="46" t="s">
        <v>980</v>
      </c>
      <c r="B57" s="50" t="s">
        <v>978</v>
      </c>
      <c r="C57" s="45" t="s">
        <v>382</v>
      </c>
    </row>
    <row r="58" spans="1:3">
      <c r="A58" s="46" t="s">
        <v>703</v>
      </c>
      <c r="B58" s="50" t="s">
        <v>420</v>
      </c>
      <c r="C58" s="45" t="s">
        <v>382</v>
      </c>
    </row>
    <row r="59" spans="1:3">
      <c r="A59" s="46" t="s">
        <v>981</v>
      </c>
      <c r="B59" s="46" t="s">
        <v>982</v>
      </c>
    </row>
    <row r="60" spans="1:3">
      <c r="A60" s="46" t="s">
        <v>841</v>
      </c>
      <c r="B60" s="75" t="str">
        <f>'Agreement 3'!B44</f>
        <v>+1 202-358-0003</v>
      </c>
      <c r="C60" s="45" t="s">
        <v>968</v>
      </c>
    </row>
    <row r="61" spans="1:3">
      <c r="A61" s="46" t="s">
        <v>842</v>
      </c>
      <c r="B61" s="74" t="str">
        <f>'Agreement 3'!B45</f>
        <v>lingua.bridges@ris.com</v>
      </c>
      <c r="C61" s="45" t="s">
        <v>968</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1440</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1130</v>
      </c>
      <c r="AC1" s="426" t="s">
        <v>1131</v>
      </c>
      <c r="AD1" s="426"/>
      <c r="AE1" s="426"/>
      <c r="AF1" s="426"/>
      <c r="AG1" s="426"/>
      <c r="AH1" s="426"/>
      <c r="AI1" s="426"/>
      <c r="AJ1" s="426"/>
    </row>
    <row r="2" spans="1:36" s="337" customFormat="1" ht="69.599999999999994">
      <c r="A2" s="335" t="s">
        <v>849</v>
      </c>
      <c r="B2" s="335" t="s">
        <v>13</v>
      </c>
      <c r="C2" s="335" t="s">
        <v>380</v>
      </c>
      <c r="D2" s="335" t="s">
        <v>850</v>
      </c>
      <c r="E2" s="335" t="s">
        <v>1102</v>
      </c>
      <c r="F2" s="336" t="s">
        <v>1103</v>
      </c>
      <c r="G2" s="336" t="s">
        <v>1104</v>
      </c>
      <c r="H2" s="335" t="s">
        <v>1438</v>
      </c>
      <c r="I2" s="221" t="s">
        <v>1441</v>
      </c>
      <c r="J2" s="222" t="s">
        <v>851</v>
      </c>
      <c r="K2" s="222" t="s">
        <v>852</v>
      </c>
      <c r="L2" s="222" t="s">
        <v>805</v>
      </c>
      <c r="M2" s="222" t="s">
        <v>853</v>
      </c>
      <c r="N2" s="222" t="s">
        <v>854</v>
      </c>
      <c r="O2" s="222" t="s">
        <v>855</v>
      </c>
      <c r="P2" s="222" t="s">
        <v>856</v>
      </c>
      <c r="Q2" s="222" t="s">
        <v>857</v>
      </c>
      <c r="R2" s="222" t="s">
        <v>858</v>
      </c>
      <c r="S2" s="222" t="s">
        <v>859</v>
      </c>
      <c r="T2" s="222" t="s">
        <v>726</v>
      </c>
      <c r="U2" s="222" t="s">
        <v>860</v>
      </c>
      <c r="V2" s="222" t="s">
        <v>861</v>
      </c>
      <c r="W2" s="222" t="s">
        <v>862</v>
      </c>
      <c r="X2" s="222" t="s">
        <v>863</v>
      </c>
      <c r="Y2" s="222" t="s">
        <v>724</v>
      </c>
      <c r="Z2" s="222" t="s">
        <v>864</v>
      </c>
      <c r="AA2" s="222" t="s">
        <v>865</v>
      </c>
      <c r="AB2" s="221"/>
      <c r="AC2" s="223" t="s">
        <v>1132</v>
      </c>
      <c r="AD2" s="223" t="s">
        <v>1133</v>
      </c>
      <c r="AE2" s="223" t="s">
        <v>1551</v>
      </c>
      <c r="AF2" s="223" t="s">
        <v>1134</v>
      </c>
      <c r="AG2" s="223" t="s">
        <v>1552</v>
      </c>
      <c r="AH2" s="223" t="s">
        <v>1553</v>
      </c>
      <c r="AI2" s="223" t="s">
        <v>1111</v>
      </c>
      <c r="AJ2" s="224" t="s">
        <v>1135</v>
      </c>
    </row>
    <row r="3" spans="1:36" s="225" customFormat="1" ht="13.8">
      <c r="A3" s="226" t="s">
        <v>866</v>
      </c>
      <c r="B3" s="225" t="s">
        <v>1689</v>
      </c>
      <c r="C3" s="226" t="s">
        <v>1692</v>
      </c>
      <c r="D3" s="226" t="s">
        <v>1105</v>
      </c>
      <c r="E3" s="226" t="s">
        <v>1304</v>
      </c>
      <c r="F3" s="227">
        <v>44021</v>
      </c>
      <c r="G3" s="227">
        <v>44260</v>
      </c>
      <c r="H3" s="226" t="s">
        <v>1306</v>
      </c>
      <c r="I3" s="228" t="s">
        <v>1439</v>
      </c>
      <c r="J3" s="229" t="s">
        <v>1062</v>
      </c>
      <c r="K3" s="229" t="s">
        <v>1062</v>
      </c>
      <c r="L3" s="229"/>
      <c r="M3" s="229"/>
      <c r="N3" s="229"/>
      <c r="O3" s="229"/>
      <c r="P3" s="229"/>
      <c r="Q3" s="229"/>
      <c r="R3" s="229"/>
      <c r="S3" s="229"/>
      <c r="T3" s="229"/>
      <c r="U3" s="229"/>
      <c r="V3" s="229"/>
      <c r="W3" s="229"/>
      <c r="X3" s="229"/>
      <c r="Y3" s="229"/>
      <c r="Z3" s="229"/>
      <c r="AA3" s="229"/>
      <c r="AB3" s="228" t="s">
        <v>1618</v>
      </c>
      <c r="AC3" s="230" t="s">
        <v>403</v>
      </c>
      <c r="AD3" s="230"/>
      <c r="AE3" s="230"/>
      <c r="AF3" s="230"/>
      <c r="AG3" s="230"/>
      <c r="AH3" s="230"/>
      <c r="AI3" s="230"/>
      <c r="AJ3" s="231"/>
    </row>
    <row r="4" spans="1:36" s="225" customFormat="1" ht="13.8">
      <c r="A4" s="226" t="s">
        <v>867</v>
      </c>
      <c r="B4" s="225" t="s">
        <v>1688</v>
      </c>
      <c r="C4" s="226" t="s">
        <v>1693</v>
      </c>
      <c r="D4" s="226" t="s">
        <v>1105</v>
      </c>
      <c r="E4" s="226" t="s">
        <v>1304</v>
      </c>
      <c r="F4" s="232">
        <v>44086</v>
      </c>
      <c r="G4" s="232">
        <v>44258</v>
      </c>
      <c r="H4" s="226" t="s">
        <v>1306</v>
      </c>
      <c r="I4" s="228" t="s">
        <v>1439</v>
      </c>
      <c r="J4" s="229"/>
      <c r="K4" s="229"/>
      <c r="L4" s="229"/>
      <c r="M4" s="229" t="s">
        <v>1062</v>
      </c>
      <c r="N4" s="229" t="s">
        <v>1062</v>
      </c>
      <c r="O4" s="229" t="s">
        <v>1062</v>
      </c>
      <c r="P4" s="229"/>
      <c r="Q4" s="229"/>
      <c r="R4" s="229"/>
      <c r="S4" s="229"/>
      <c r="T4" s="229"/>
      <c r="U4" s="229"/>
      <c r="V4" s="229"/>
      <c r="W4" s="229"/>
      <c r="X4" s="229"/>
      <c r="Y4" s="229"/>
      <c r="Z4" s="229"/>
      <c r="AA4" s="229"/>
      <c r="AB4" s="228" t="s">
        <v>1618</v>
      </c>
      <c r="AC4" s="230" t="s">
        <v>403</v>
      </c>
      <c r="AD4" s="230"/>
      <c r="AE4" s="230"/>
      <c r="AF4" s="230"/>
      <c r="AG4" s="230"/>
      <c r="AH4" s="230"/>
      <c r="AI4" s="230"/>
      <c r="AJ4" s="231"/>
    </row>
    <row r="5" spans="1:36" s="225" customFormat="1" ht="13.8">
      <c r="A5" s="226" t="s">
        <v>868</v>
      </c>
      <c r="B5" s="225" t="s">
        <v>1687</v>
      </c>
      <c r="C5" s="226" t="s">
        <v>1694</v>
      </c>
      <c r="D5" s="226" t="s">
        <v>1105</v>
      </c>
      <c r="E5" s="226" t="s">
        <v>1304</v>
      </c>
      <c r="F5" s="232">
        <v>44062</v>
      </c>
      <c r="G5" s="232">
        <v>44247</v>
      </c>
      <c r="H5" s="226" t="s">
        <v>1306</v>
      </c>
      <c r="I5" s="228" t="s">
        <v>1439</v>
      </c>
      <c r="J5" s="229"/>
      <c r="K5" s="229"/>
      <c r="L5" s="229"/>
      <c r="M5" s="229"/>
      <c r="N5" s="229"/>
      <c r="O5" s="229"/>
      <c r="P5" s="229"/>
      <c r="Q5" s="229"/>
      <c r="R5" s="229"/>
      <c r="S5" s="229"/>
      <c r="T5" s="229"/>
      <c r="U5" s="229" t="s">
        <v>1062</v>
      </c>
      <c r="V5" s="229" t="s">
        <v>1062</v>
      </c>
      <c r="W5" s="229" t="s">
        <v>1062</v>
      </c>
      <c r="X5" s="229"/>
      <c r="Y5" s="229"/>
      <c r="Z5" s="229"/>
      <c r="AA5" s="229"/>
      <c r="AB5" s="228" t="s">
        <v>1618</v>
      </c>
      <c r="AC5" s="230"/>
      <c r="AD5" s="230" t="s">
        <v>403</v>
      </c>
      <c r="AE5" s="230"/>
      <c r="AF5" s="230"/>
      <c r="AG5" s="230"/>
      <c r="AH5" s="230"/>
      <c r="AI5" s="230"/>
      <c r="AJ5" s="231"/>
    </row>
    <row r="6" spans="1:36" s="225" customFormat="1" ht="13.8">
      <c r="A6" s="226" t="s">
        <v>869</v>
      </c>
      <c r="B6" s="225" t="s">
        <v>1686</v>
      </c>
      <c r="C6" s="232" t="s">
        <v>1695</v>
      </c>
      <c r="D6" s="226" t="s">
        <v>1105</v>
      </c>
      <c r="E6" s="226" t="s">
        <v>1304</v>
      </c>
      <c r="F6" s="232" t="s">
        <v>1305</v>
      </c>
      <c r="G6" s="232">
        <v>44265</v>
      </c>
      <c r="H6" s="226" t="s">
        <v>1306</v>
      </c>
      <c r="I6" s="228" t="s">
        <v>1439</v>
      </c>
      <c r="J6" s="229"/>
      <c r="K6" s="229"/>
      <c r="L6" s="229"/>
      <c r="M6" s="229"/>
      <c r="N6" s="229"/>
      <c r="O6" s="229"/>
      <c r="P6" s="229"/>
      <c r="Q6" s="229"/>
      <c r="R6" s="229"/>
      <c r="S6" s="229" t="s">
        <v>1062</v>
      </c>
      <c r="T6" s="229"/>
      <c r="U6" s="229"/>
      <c r="V6" s="229"/>
      <c r="W6" s="229"/>
      <c r="X6" s="229"/>
      <c r="Y6" s="229"/>
      <c r="Z6" s="229"/>
      <c r="AA6" s="229"/>
      <c r="AB6" s="228" t="s">
        <v>1618</v>
      </c>
      <c r="AC6" s="230" t="s">
        <v>403</v>
      </c>
      <c r="AD6" s="230"/>
      <c r="AE6" s="230"/>
      <c r="AF6" s="230"/>
      <c r="AG6" s="230"/>
      <c r="AH6" s="230"/>
      <c r="AI6" s="230"/>
      <c r="AJ6" s="231"/>
    </row>
    <row r="7" spans="1:36" s="225" customFormat="1" ht="13.8">
      <c r="A7" s="226" t="s">
        <v>1680</v>
      </c>
      <c r="B7" s="225" t="s">
        <v>1685</v>
      </c>
      <c r="C7" s="232" t="s">
        <v>1696</v>
      </c>
      <c r="D7" s="226" t="s">
        <v>1105</v>
      </c>
      <c r="E7" s="226" t="s">
        <v>1304</v>
      </c>
      <c r="F7" s="232" t="s">
        <v>1305</v>
      </c>
      <c r="G7" s="232">
        <v>44265</v>
      </c>
      <c r="H7" s="226" t="s">
        <v>1306</v>
      </c>
      <c r="I7" s="228" t="s">
        <v>1439</v>
      </c>
      <c r="J7" s="229" t="s">
        <v>1062</v>
      </c>
      <c r="K7" s="229" t="s">
        <v>1062</v>
      </c>
      <c r="L7" s="229"/>
      <c r="M7" s="229"/>
      <c r="N7" s="229"/>
      <c r="O7" s="229"/>
      <c r="P7" s="229"/>
      <c r="Q7" s="229"/>
      <c r="R7" s="229"/>
      <c r="S7" s="229"/>
      <c r="T7" s="229"/>
      <c r="U7" s="229"/>
      <c r="V7" s="229"/>
      <c r="W7" s="229"/>
      <c r="X7" s="229"/>
      <c r="Y7" s="229"/>
      <c r="Z7" s="229"/>
      <c r="AA7" s="229"/>
      <c r="AB7" s="228" t="s">
        <v>1618</v>
      </c>
      <c r="AC7" s="230"/>
      <c r="AD7" s="230" t="s">
        <v>403</v>
      </c>
      <c r="AE7" s="230"/>
      <c r="AF7" s="230"/>
      <c r="AG7" s="230"/>
      <c r="AH7" s="230"/>
      <c r="AI7" s="230"/>
      <c r="AJ7" s="231"/>
    </row>
    <row r="8" spans="1:36" s="225" customFormat="1" ht="13.8">
      <c r="A8" s="226" t="s">
        <v>1681</v>
      </c>
      <c r="B8" s="225" t="s">
        <v>1684</v>
      </c>
      <c r="C8" s="232" t="s">
        <v>1697</v>
      </c>
      <c r="D8" s="226" t="s">
        <v>1105</v>
      </c>
      <c r="E8" s="226" t="s">
        <v>1304</v>
      </c>
      <c r="F8" s="232" t="s">
        <v>1305</v>
      </c>
      <c r="G8" s="232">
        <v>44265</v>
      </c>
      <c r="H8" s="226" t="s">
        <v>1306</v>
      </c>
      <c r="I8" s="228" t="s">
        <v>1439</v>
      </c>
      <c r="J8" s="229"/>
      <c r="K8" s="229"/>
      <c r="L8" s="229"/>
      <c r="M8" s="229" t="s">
        <v>1062</v>
      </c>
      <c r="N8" s="229" t="s">
        <v>1062</v>
      </c>
      <c r="O8" s="229" t="s">
        <v>1062</v>
      </c>
      <c r="P8" s="229"/>
      <c r="Q8" s="229"/>
      <c r="R8" s="229"/>
      <c r="S8" s="229"/>
      <c r="T8" s="229"/>
      <c r="U8" s="229"/>
      <c r="V8" s="229"/>
      <c r="W8" s="229"/>
      <c r="X8" s="229"/>
      <c r="Y8" s="229"/>
      <c r="Z8" s="229"/>
      <c r="AA8" s="229"/>
      <c r="AB8" s="228" t="s">
        <v>1618</v>
      </c>
      <c r="AC8" s="230" t="s">
        <v>403</v>
      </c>
      <c r="AD8" s="230"/>
      <c r="AE8" s="230"/>
      <c r="AF8" s="230"/>
      <c r="AG8" s="230"/>
      <c r="AH8" s="230"/>
      <c r="AI8" s="230"/>
      <c r="AJ8" s="231"/>
    </row>
    <row r="9" spans="1:36" s="225" customFormat="1" ht="13.8">
      <c r="A9" s="226" t="s">
        <v>1682</v>
      </c>
      <c r="B9" s="225" t="s">
        <v>1683</v>
      </c>
      <c r="C9" s="232" t="s">
        <v>1698</v>
      </c>
      <c r="D9" s="226" t="s">
        <v>1105</v>
      </c>
      <c r="E9" s="226" t="s">
        <v>1304</v>
      </c>
      <c r="F9" s="232" t="s">
        <v>1305</v>
      </c>
      <c r="G9" s="232">
        <v>44265</v>
      </c>
      <c r="H9" s="226" t="s">
        <v>1306</v>
      </c>
      <c r="I9" s="228" t="s">
        <v>1439</v>
      </c>
      <c r="J9" s="229"/>
      <c r="K9" s="229"/>
      <c r="L9" s="229"/>
      <c r="M9" s="229"/>
      <c r="N9" s="229"/>
      <c r="O9" s="229"/>
      <c r="P9" s="229"/>
      <c r="Q9" s="229"/>
      <c r="R9" s="229"/>
      <c r="S9" s="229" t="s">
        <v>1062</v>
      </c>
      <c r="T9" s="229"/>
      <c r="U9" s="229"/>
      <c r="V9" s="229"/>
      <c r="W9" s="229"/>
      <c r="X9" s="229"/>
      <c r="Y9" s="229"/>
      <c r="Z9" s="229"/>
      <c r="AA9" s="229"/>
      <c r="AB9" s="228" t="s">
        <v>1618</v>
      </c>
      <c r="AC9" s="230"/>
      <c r="AD9" s="230" t="s">
        <v>403</v>
      </c>
      <c r="AE9" s="230"/>
      <c r="AF9" s="230"/>
      <c r="AG9" s="230"/>
      <c r="AH9" s="230"/>
      <c r="AI9" s="230"/>
      <c r="AJ9" s="231"/>
    </row>
    <row r="10" spans="1:36" s="225" customFormat="1" ht="27.6">
      <c r="A10" s="234" t="s">
        <v>871</v>
      </c>
      <c r="B10" s="234" t="s">
        <v>1614</v>
      </c>
      <c r="C10" s="234" t="s">
        <v>1690</v>
      </c>
      <c r="D10" s="234" t="s">
        <v>1106</v>
      </c>
      <c r="E10" s="235"/>
      <c r="F10" s="236"/>
      <c r="G10" s="236"/>
      <c r="H10" s="226" t="s">
        <v>1306</v>
      </c>
      <c r="I10" s="229" t="s">
        <v>919</v>
      </c>
      <c r="J10" s="229"/>
      <c r="K10" s="229"/>
      <c r="L10" s="229"/>
      <c r="M10" s="229"/>
      <c r="N10" s="229"/>
      <c r="O10" s="229"/>
      <c r="P10" s="229"/>
      <c r="Q10" s="229"/>
      <c r="R10" s="229"/>
      <c r="S10" s="229"/>
      <c r="T10" s="229"/>
      <c r="U10" s="229"/>
      <c r="V10" s="229"/>
      <c r="W10" s="229"/>
      <c r="X10" s="229"/>
      <c r="Y10" s="229" t="s">
        <v>1120</v>
      </c>
      <c r="Z10" s="229"/>
      <c r="AA10" s="229"/>
      <c r="AB10" s="233">
        <v>1</v>
      </c>
      <c r="AC10" s="230"/>
      <c r="AD10" s="230"/>
      <c r="AE10" s="230" t="s">
        <v>403</v>
      </c>
      <c r="AF10" s="230"/>
      <c r="AG10" s="230"/>
      <c r="AH10" s="230"/>
      <c r="AI10" s="230"/>
      <c r="AJ10" s="231"/>
    </row>
    <row r="11" spans="1:36" s="225" customFormat="1" ht="69">
      <c r="A11" s="234" t="s">
        <v>872</v>
      </c>
      <c r="B11" s="234" t="s">
        <v>1615</v>
      </c>
      <c r="C11" s="234" t="s">
        <v>1466</v>
      </c>
      <c r="D11" s="234" t="s">
        <v>1106</v>
      </c>
      <c r="E11" s="235"/>
      <c r="F11" s="236"/>
      <c r="G11" s="236"/>
      <c r="H11" s="226" t="s">
        <v>1306</v>
      </c>
      <c r="I11" s="229" t="s">
        <v>919</v>
      </c>
      <c r="J11" s="229"/>
      <c r="K11" s="229"/>
      <c r="L11" s="229"/>
      <c r="M11" s="229"/>
      <c r="N11" s="229"/>
      <c r="O11" s="229"/>
      <c r="P11" s="229" t="s">
        <v>1120</v>
      </c>
      <c r="Q11" s="229" t="s">
        <v>1120</v>
      </c>
      <c r="R11" s="229" t="s">
        <v>1120</v>
      </c>
      <c r="S11" s="229"/>
      <c r="T11" s="229"/>
      <c r="U11" s="229"/>
      <c r="V11" s="229"/>
      <c r="W11" s="229"/>
      <c r="X11" s="229" t="s">
        <v>1120</v>
      </c>
      <c r="Y11" s="229"/>
      <c r="Z11" s="229" t="s">
        <v>1120</v>
      </c>
      <c r="AA11" s="229"/>
      <c r="AB11" s="233" t="s">
        <v>1618</v>
      </c>
      <c r="AC11" s="230"/>
      <c r="AD11" s="230"/>
      <c r="AE11" s="230"/>
      <c r="AF11" s="230" t="s">
        <v>403</v>
      </c>
      <c r="AG11" s="230" t="s">
        <v>403</v>
      </c>
      <c r="AH11" s="230"/>
      <c r="AI11" s="230"/>
      <c r="AJ11" s="231"/>
    </row>
    <row r="12" spans="1:36" s="225" customFormat="1" ht="41.4">
      <c r="A12" s="234" t="s">
        <v>873</v>
      </c>
      <c r="B12" s="234" t="s">
        <v>1616</v>
      </c>
      <c r="C12" s="234" t="s">
        <v>1467</v>
      </c>
      <c r="D12" s="234" t="s">
        <v>1106</v>
      </c>
      <c r="E12" s="235"/>
      <c r="F12" s="236"/>
      <c r="G12" s="236"/>
      <c r="H12" s="226" t="s">
        <v>1306</v>
      </c>
      <c r="I12" s="229" t="s">
        <v>919</v>
      </c>
      <c r="J12" s="229"/>
      <c r="K12" s="229"/>
      <c r="L12" s="229"/>
      <c r="M12" s="229"/>
      <c r="N12" s="229"/>
      <c r="O12" s="229"/>
      <c r="P12" s="229"/>
      <c r="Q12" s="229"/>
      <c r="R12" s="229"/>
      <c r="S12" s="229"/>
      <c r="T12" s="229" t="s">
        <v>1120</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874</v>
      </c>
      <c r="B13" s="234" t="s">
        <v>1617</v>
      </c>
      <c r="C13" s="234" t="s">
        <v>1468</v>
      </c>
      <c r="D13" s="234" t="s">
        <v>1106</v>
      </c>
      <c r="E13" s="235"/>
      <c r="F13" s="236"/>
      <c r="G13" s="236"/>
      <c r="H13" s="226" t="s">
        <v>1306</v>
      </c>
      <c r="I13" s="229" t="s">
        <v>919</v>
      </c>
      <c r="J13" s="229"/>
      <c r="K13" s="229"/>
      <c r="L13" s="229" t="s">
        <v>1120</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1546</v>
      </c>
    </row>
    <row r="27" spans="3:3" ht="40.5" customHeight="1">
      <c r="C27" s="11" t="s">
        <v>1519</v>
      </c>
    </row>
    <row r="28" spans="3:3" ht="40.5" customHeight="1">
      <c r="C28" s="11" t="s">
        <v>1518</v>
      </c>
    </row>
    <row r="29" spans="3:3" ht="40.5" customHeight="1">
      <c r="C29" s="11" t="s">
        <v>1691</v>
      </c>
    </row>
    <row r="30" spans="3:3" ht="40.5" customHeight="1">
      <c r="C30" s="11" t="s">
        <v>1520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985</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849</v>
      </c>
      <c r="B2" s="247" t="s">
        <v>875</v>
      </c>
      <c r="C2" s="247" t="s">
        <v>13</v>
      </c>
      <c r="D2" s="247" t="s">
        <v>876</v>
      </c>
      <c r="E2" s="247" t="s">
        <v>877</v>
      </c>
      <c r="F2" s="248" t="s">
        <v>863</v>
      </c>
      <c r="G2" s="248" t="s">
        <v>724</v>
      </c>
      <c r="H2" s="248" t="s">
        <v>864</v>
      </c>
      <c r="I2" s="248" t="s">
        <v>860</v>
      </c>
      <c r="J2" s="248" t="s">
        <v>878</v>
      </c>
      <c r="K2" s="248" t="s">
        <v>879</v>
      </c>
      <c r="L2" s="248" t="s">
        <v>856</v>
      </c>
      <c r="M2" s="248" t="s">
        <v>861</v>
      </c>
      <c r="N2" s="248" t="s">
        <v>726</v>
      </c>
      <c r="O2" s="248" t="s">
        <v>853</v>
      </c>
      <c r="P2" s="248" t="s">
        <v>862</v>
      </c>
      <c r="Q2" s="248" t="s">
        <v>857</v>
      </c>
      <c r="R2" s="248" t="s">
        <v>858</v>
      </c>
      <c r="S2" s="248" t="s">
        <v>805</v>
      </c>
      <c r="T2" s="248" t="s">
        <v>851</v>
      </c>
      <c r="U2" s="248" t="s">
        <v>854</v>
      </c>
      <c r="V2" s="248" t="s">
        <v>859</v>
      </c>
      <c r="W2" s="248" t="s">
        <v>852</v>
      </c>
      <c r="X2" s="248" t="s">
        <v>855</v>
      </c>
      <c r="Y2" s="248" t="s">
        <v>865</v>
      </c>
    </row>
    <row r="3" spans="1:26">
      <c r="A3" s="391" t="s">
        <v>866</v>
      </c>
      <c r="B3" s="392" t="str">
        <f t="shared" ref="B3:B27" si="1">VLOOKUP(A3,tbl_projectNames,2,FALSE)</f>
        <v>p1MRE</v>
      </c>
      <c r="C3" s="391" t="s">
        <v>1469</v>
      </c>
      <c r="D3" s="391" t="s">
        <v>880</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866</v>
      </c>
      <c r="B4" s="392" t="str">
        <f t="shared" si="1"/>
        <v>p1MRE</v>
      </c>
      <c r="C4" s="391" t="s">
        <v>1470</v>
      </c>
      <c r="D4" s="391" t="s">
        <v>881</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866</v>
      </c>
      <c r="B5" s="392" t="str">
        <f t="shared" si="1"/>
        <v>p1MRE</v>
      </c>
      <c r="C5" s="391" t="s">
        <v>1471</v>
      </c>
      <c r="D5" s="391" t="s">
        <v>1110</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866</v>
      </c>
      <c r="B6" s="392" t="str">
        <f t="shared" si="1"/>
        <v>p1MRE</v>
      </c>
      <c r="C6" s="391" t="s">
        <v>1472</v>
      </c>
      <c r="D6" s="391" t="s">
        <v>1242</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866</v>
      </c>
      <c r="B7" s="392" t="str">
        <f t="shared" si="1"/>
        <v>p1MRE</v>
      </c>
      <c r="C7" s="391" t="s">
        <v>1473</v>
      </c>
      <c r="D7" s="391" t="s">
        <v>1309</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867</v>
      </c>
      <c r="B8" s="392" t="str">
        <f t="shared" si="1"/>
        <v>p2RRE</v>
      </c>
      <c r="C8" s="391" t="s">
        <v>1474</v>
      </c>
      <c r="D8" s="391" t="s">
        <v>880</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867</v>
      </c>
      <c r="B9" s="392" t="str">
        <f t="shared" si="1"/>
        <v>p2RRE</v>
      </c>
      <c r="C9" s="391" t="s">
        <v>1475</v>
      </c>
      <c r="D9" s="391" t="s">
        <v>881</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867</v>
      </c>
      <c r="B10" s="392" t="str">
        <f t="shared" si="1"/>
        <v>p2RRE</v>
      </c>
      <c r="C10" s="391" t="s">
        <v>1476</v>
      </c>
      <c r="D10" s="391" t="s">
        <v>1110</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867</v>
      </c>
      <c r="B11" s="392" t="str">
        <f t="shared" si="1"/>
        <v>p2RRE</v>
      </c>
      <c r="C11" s="391" t="s">
        <v>1477</v>
      </c>
      <c r="D11" s="391" t="s">
        <v>1242</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867</v>
      </c>
      <c r="B12" s="392" t="str">
        <f t="shared" si="1"/>
        <v>p2RRE</v>
      </c>
      <c r="C12" s="391" t="s">
        <v>1478</v>
      </c>
      <c r="D12" s="391" t="s">
        <v>1309</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868</v>
      </c>
      <c r="B13" s="392" t="str">
        <f t="shared" si="1"/>
        <v>p3FNR</v>
      </c>
      <c r="C13" s="391" t="s">
        <v>1479</v>
      </c>
      <c r="D13" s="391" t="s">
        <v>880</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868</v>
      </c>
      <c r="B14" s="392" t="str">
        <f t="shared" si="1"/>
        <v>p3FNR</v>
      </c>
      <c r="C14" s="391" t="s">
        <v>1480</v>
      </c>
      <c r="D14" s="391" t="s">
        <v>881</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868</v>
      </c>
      <c r="B15" s="392" t="str">
        <f t="shared" si="1"/>
        <v>p3FNR</v>
      </c>
      <c r="C15" s="391" t="s">
        <v>1481</v>
      </c>
      <c r="D15" s="391" t="s">
        <v>1110</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868</v>
      </c>
      <c r="B16" s="392" t="str">
        <f t="shared" si="1"/>
        <v>p3FNR</v>
      </c>
      <c r="C16" s="391" t="s">
        <v>1482</v>
      </c>
      <c r="D16" s="391" t="s">
        <v>1242</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868</v>
      </c>
      <c r="B17" s="392" t="str">
        <f t="shared" si="1"/>
        <v>p3FNR</v>
      </c>
      <c r="C17" s="391" t="s">
        <v>1483</v>
      </c>
      <c r="D17" s="391" t="s">
        <v>1309</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1299</v>
      </c>
      <c r="B18" s="392" t="str">
        <f t="shared" si="1"/>
        <v>p4SSH</v>
      </c>
      <c r="C18" s="391" t="s">
        <v>1484</v>
      </c>
      <c r="D18" s="391" t="s">
        <v>880</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1299</v>
      </c>
      <c r="B19" s="392" t="str">
        <f t="shared" si="1"/>
        <v>p4SSH</v>
      </c>
      <c r="C19" s="391" t="s">
        <v>1485</v>
      </c>
      <c r="D19" s="391" t="s">
        <v>881</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1299</v>
      </c>
      <c r="B20" s="392" t="str">
        <f t="shared" si="1"/>
        <v>p4SSH</v>
      </c>
      <c r="C20" s="391" t="s">
        <v>1486</v>
      </c>
      <c r="D20" s="391" t="s">
        <v>1110</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1299</v>
      </c>
      <c r="B21" s="392" t="str">
        <f t="shared" si="1"/>
        <v>p4SSH</v>
      </c>
      <c r="C21" s="391" t="s">
        <v>1487</v>
      </c>
      <c r="D21" s="391" t="s">
        <v>1242</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1299</v>
      </c>
      <c r="B22" s="392" t="str">
        <f t="shared" si="1"/>
        <v>p4SSH</v>
      </c>
      <c r="C22" s="391" t="s">
        <v>1488</v>
      </c>
      <c r="D22" s="391" t="s">
        <v>1309</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871</v>
      </c>
      <c r="B23" s="392" t="str">
        <f t="shared" si="1"/>
        <v>s1CM</v>
      </c>
      <c r="C23" s="391" t="s">
        <v>1489</v>
      </c>
      <c r="D23" s="391" t="s">
        <v>1308</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872</v>
      </c>
      <c r="B24" s="392" t="str">
        <f t="shared" si="1"/>
        <v>s2EPG-MA</v>
      </c>
      <c r="C24" s="391" t="s">
        <v>1490</v>
      </c>
      <c r="D24" s="391" t="s">
        <v>1310</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872</v>
      </c>
      <c r="B25" s="392" t="str">
        <f t="shared" ref="B25" si="3">VLOOKUP(A25,tbl_projectNames,2,FALSE)</f>
        <v>s2EPG-MA</v>
      </c>
      <c r="C25" s="391" t="s">
        <v>1550</v>
      </c>
      <c r="D25" s="391" t="s">
        <v>1549</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873</v>
      </c>
      <c r="B26" s="392" t="str">
        <f t="shared" si="1"/>
        <v>s3HR</v>
      </c>
      <c r="C26" s="391" t="s">
        <v>1491</v>
      </c>
      <c r="D26" s="391" t="s">
        <v>1307</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874</v>
      </c>
      <c r="B27" s="394" t="str">
        <f t="shared" si="1"/>
        <v>s4PPQA</v>
      </c>
      <c r="C27" s="393" t="s">
        <v>1492</v>
      </c>
      <c r="D27" s="393" t="s">
        <v>1192</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1138</v>
      </c>
      <c r="B1" s="99"/>
      <c r="C1" s="99"/>
      <c r="D1" s="99"/>
      <c r="E1" s="99"/>
      <c r="F1" s="99"/>
      <c r="G1" s="99"/>
      <c r="H1" s="99"/>
      <c r="I1" s="99"/>
      <c r="J1" s="99"/>
      <c r="K1" s="99"/>
      <c r="L1" s="99"/>
      <c r="M1" s="99"/>
      <c r="N1" s="99"/>
      <c r="O1" s="99"/>
      <c r="P1" s="99"/>
      <c r="Q1" s="99"/>
      <c r="R1" s="99"/>
      <c r="S1" s="99"/>
      <c r="T1" s="99"/>
      <c r="U1" s="99"/>
      <c r="V1" s="99"/>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6"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6"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6"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6"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1549</v>
      </c>
      <c r="B8" s="96" t="s">
        <v>959</v>
      </c>
      <c r="C8" s="57" t="s">
        <v>403</v>
      </c>
      <c r="D8" s="57"/>
      <c r="E8" s="57" t="s">
        <v>403</v>
      </c>
      <c r="F8" s="57"/>
      <c r="G8" s="57"/>
      <c r="H8" s="57"/>
      <c r="I8" s="57" t="s">
        <v>403</v>
      </c>
      <c r="J8" s="57"/>
      <c r="K8" s="57"/>
      <c r="L8" s="57"/>
      <c r="M8" s="57"/>
      <c r="N8" s="57"/>
      <c r="O8" s="57"/>
      <c r="P8" s="57"/>
      <c r="Q8" s="57"/>
      <c r="R8" s="57"/>
      <c r="S8" s="57"/>
      <c r="T8" s="57"/>
      <c r="U8" s="57"/>
      <c r="V8" s="57"/>
      <c r="W8" s="45" t="s">
        <v>1549</v>
      </c>
    </row>
    <row r="9" spans="1:23">
      <c r="A9" s="58" t="s">
        <v>1192</v>
      </c>
      <c r="B9" s="96"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6"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6"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6"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6"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913</v>
      </c>
      <c r="B3" s="261" t="s">
        <v>884</v>
      </c>
    </row>
    <row r="4" spans="1:11">
      <c r="A4" s="261" t="s">
        <v>885</v>
      </c>
      <c r="B4" t="s">
        <v>866</v>
      </c>
      <c r="C4" t="s">
        <v>867</v>
      </c>
      <c r="D4" t="s">
        <v>868</v>
      </c>
      <c r="E4" t="s">
        <v>1299</v>
      </c>
      <c r="F4" t="s">
        <v>871</v>
      </c>
      <c r="G4" t="s">
        <v>872</v>
      </c>
      <c r="H4" t="s">
        <v>873</v>
      </c>
      <c r="I4" t="s">
        <v>874</v>
      </c>
      <c r="J4" t="s">
        <v>886</v>
      </c>
      <c r="K4" t="s">
        <v>887</v>
      </c>
    </row>
    <row r="5" spans="1:11">
      <c r="A5" s="106" t="s">
        <v>886</v>
      </c>
    </row>
    <row r="6" spans="1:11">
      <c r="A6" s="106" t="s">
        <v>1300</v>
      </c>
      <c r="F6">
        <v>1</v>
      </c>
      <c r="K6">
        <v>1</v>
      </c>
    </row>
    <row r="7" spans="1:11">
      <c r="A7" s="106" t="s">
        <v>1301</v>
      </c>
      <c r="G7">
        <v>2</v>
      </c>
      <c r="K7">
        <v>2</v>
      </c>
    </row>
    <row r="8" spans="1:11">
      <c r="A8" s="106" t="s">
        <v>1302</v>
      </c>
      <c r="H8">
        <v>1</v>
      </c>
      <c r="K8">
        <v>1</v>
      </c>
    </row>
    <row r="9" spans="1:11">
      <c r="A9" s="106" t="s">
        <v>1303</v>
      </c>
      <c r="I9">
        <v>1</v>
      </c>
      <c r="K9">
        <v>1</v>
      </c>
    </row>
    <row r="10" spans="1:11">
      <c r="A10" s="106" t="s">
        <v>1461</v>
      </c>
      <c r="B10">
        <v>5</v>
      </c>
      <c r="K10">
        <v>5</v>
      </c>
    </row>
    <row r="11" spans="1:11">
      <c r="A11" s="106" t="s">
        <v>1462</v>
      </c>
      <c r="C11">
        <v>5</v>
      </c>
      <c r="K11">
        <v>5</v>
      </c>
    </row>
    <row r="12" spans="1:11">
      <c r="A12" s="106" t="s">
        <v>1463</v>
      </c>
      <c r="D12">
        <v>5</v>
      </c>
      <c r="K12">
        <v>5</v>
      </c>
    </row>
    <row r="13" spans="1:11">
      <c r="A13" s="106" t="s">
        <v>1464</v>
      </c>
      <c r="E13">
        <v>5</v>
      </c>
      <c r="K13">
        <v>5</v>
      </c>
    </row>
    <row r="14" spans="1:11">
      <c r="A14" s="106"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1" t="s">
        <v>935</v>
      </c>
      <c r="B2" s="91"/>
      <c r="C2" s="91"/>
      <c r="D2" s="91"/>
      <c r="E2" s="91"/>
      <c r="F2" s="91"/>
      <c r="G2" s="91"/>
      <c r="H2" s="91"/>
      <c r="I2" s="91"/>
      <c r="J2" s="91"/>
      <c r="K2" s="91"/>
      <c r="L2" s="91"/>
      <c r="M2" s="91"/>
      <c r="N2" s="91"/>
    </row>
    <row r="3" spans="1:14" hidden="1">
      <c r="A3" s="261" t="s">
        <v>885</v>
      </c>
      <c r="B3" t="s">
        <v>883</v>
      </c>
    </row>
    <row r="4" spans="1:14" hidden="1">
      <c r="A4" s="106" t="s">
        <v>886</v>
      </c>
    </row>
    <row r="5" spans="1:14">
      <c r="A5" s="106" t="s">
        <v>1469</v>
      </c>
      <c r="B5">
        <v>1</v>
      </c>
    </row>
    <row r="6" spans="1:14">
      <c r="A6" s="106" t="s">
        <v>1470</v>
      </c>
      <c r="B6">
        <v>1</v>
      </c>
    </row>
    <row r="7" spans="1:14">
      <c r="A7" s="106" t="s">
        <v>1471</v>
      </c>
      <c r="B7">
        <v>1</v>
      </c>
    </row>
    <row r="8" spans="1:14">
      <c r="A8" s="106" t="s">
        <v>1472</v>
      </c>
      <c r="B8">
        <v>1</v>
      </c>
    </row>
    <row r="9" spans="1:14">
      <c r="A9" s="106" t="s">
        <v>1473</v>
      </c>
      <c r="B9">
        <v>1</v>
      </c>
    </row>
    <row r="10" spans="1:14">
      <c r="A10" s="106" t="s">
        <v>1474</v>
      </c>
      <c r="B10">
        <v>1</v>
      </c>
    </row>
    <row r="11" spans="1:14">
      <c r="A11" s="106" t="s">
        <v>1475</v>
      </c>
      <c r="B11">
        <v>1</v>
      </c>
    </row>
    <row r="12" spans="1:14">
      <c r="A12" s="106" t="s">
        <v>1476</v>
      </c>
      <c r="B12">
        <v>1</v>
      </c>
    </row>
    <row r="13" spans="1:14">
      <c r="A13" s="106" t="s">
        <v>1477</v>
      </c>
      <c r="B13">
        <v>1</v>
      </c>
    </row>
    <row r="14" spans="1:14">
      <c r="A14" s="106" t="s">
        <v>1478</v>
      </c>
      <c r="B14">
        <v>1</v>
      </c>
    </row>
    <row r="15" spans="1:14">
      <c r="A15" s="106" t="s">
        <v>1479</v>
      </c>
      <c r="B15">
        <v>1</v>
      </c>
    </row>
    <row r="16" spans="1:14">
      <c r="A16" s="106" t="s">
        <v>1480</v>
      </c>
      <c r="B16">
        <v>1</v>
      </c>
    </row>
    <row r="17" spans="1:2">
      <c r="A17" s="106" t="s">
        <v>1481</v>
      </c>
      <c r="B17">
        <v>1</v>
      </c>
    </row>
    <row r="18" spans="1:2">
      <c r="A18" s="106" t="s">
        <v>1482</v>
      </c>
      <c r="B18">
        <v>1</v>
      </c>
    </row>
    <row r="19" spans="1:2">
      <c r="A19" s="106" t="s">
        <v>1483</v>
      </c>
      <c r="B19">
        <v>1</v>
      </c>
    </row>
    <row r="20" spans="1:2">
      <c r="A20" s="106" t="s">
        <v>1484</v>
      </c>
      <c r="B20">
        <v>1</v>
      </c>
    </row>
    <row r="21" spans="1:2">
      <c r="A21" s="106" t="s">
        <v>1485</v>
      </c>
      <c r="B21">
        <v>1</v>
      </c>
    </row>
    <row r="22" spans="1:2">
      <c r="A22" s="106" t="s">
        <v>1486</v>
      </c>
      <c r="B22">
        <v>1</v>
      </c>
    </row>
    <row r="23" spans="1:2">
      <c r="A23" s="106" t="s">
        <v>1487</v>
      </c>
      <c r="B23">
        <v>1</v>
      </c>
    </row>
    <row r="24" spans="1:2">
      <c r="A24" s="106" t="s">
        <v>1488</v>
      </c>
      <c r="B24">
        <v>1</v>
      </c>
    </row>
    <row r="25" spans="1:2">
      <c r="A25" s="106" t="s">
        <v>1489</v>
      </c>
      <c r="B25">
        <v>1</v>
      </c>
    </row>
    <row r="26" spans="1:2">
      <c r="A26" s="106" t="s">
        <v>1490</v>
      </c>
      <c r="B26">
        <v>1</v>
      </c>
    </row>
    <row r="27" spans="1:2">
      <c r="A27" s="106" t="s">
        <v>1550</v>
      </c>
      <c r="B27">
        <v>1</v>
      </c>
    </row>
    <row r="28" spans="1:2">
      <c r="A28" s="106" t="s">
        <v>1491</v>
      </c>
      <c r="B28">
        <v>1</v>
      </c>
    </row>
    <row r="29" spans="1:2">
      <c r="A29" s="106" t="s">
        <v>1492</v>
      </c>
      <c r="B29">
        <v>1</v>
      </c>
    </row>
    <row r="30" spans="1:2">
      <c r="A30" s="106"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885</v>
      </c>
      <c r="B3" t="s">
        <v>893</v>
      </c>
    </row>
    <row r="4" spans="1:2">
      <c r="A4" s="106" t="s">
        <v>863</v>
      </c>
      <c r="B4">
        <v>1</v>
      </c>
    </row>
    <row r="5" spans="1:2">
      <c r="A5" s="106" t="s">
        <v>724</v>
      </c>
      <c r="B5">
        <v>1</v>
      </c>
    </row>
    <row r="6" spans="1:2">
      <c r="A6" s="106" t="s">
        <v>864</v>
      </c>
      <c r="B6">
        <v>1</v>
      </c>
    </row>
    <row r="7" spans="1:2">
      <c r="A7" s="106" t="s">
        <v>860</v>
      </c>
      <c r="B7">
        <v>1</v>
      </c>
    </row>
    <row r="8" spans="1:2">
      <c r="A8" s="106" t="s">
        <v>861</v>
      </c>
      <c r="B8">
        <v>1</v>
      </c>
    </row>
    <row r="9" spans="1:2">
      <c r="A9" s="106" t="s">
        <v>856</v>
      </c>
      <c r="B9">
        <v>1</v>
      </c>
    </row>
    <row r="10" spans="1:2">
      <c r="A10" s="106" t="s">
        <v>726</v>
      </c>
      <c r="B10">
        <v>1</v>
      </c>
    </row>
    <row r="11" spans="1:2">
      <c r="A11" s="106" t="s">
        <v>857</v>
      </c>
      <c r="B11">
        <v>1</v>
      </c>
    </row>
    <row r="12" spans="1:2">
      <c r="A12" s="106" t="s">
        <v>858</v>
      </c>
      <c r="B12">
        <v>1</v>
      </c>
    </row>
    <row r="13" spans="1:2">
      <c r="A13" s="106" t="s">
        <v>851</v>
      </c>
      <c r="B13">
        <v>1</v>
      </c>
    </row>
    <row r="14" spans="1:2">
      <c r="A14" s="106" t="s">
        <v>862</v>
      </c>
      <c r="B14">
        <v>1</v>
      </c>
    </row>
    <row r="15" spans="1:2">
      <c r="A15" s="106" t="s">
        <v>805</v>
      </c>
      <c r="B15">
        <v>1</v>
      </c>
    </row>
    <row r="16" spans="1:2">
      <c r="A16" s="106" t="s">
        <v>853</v>
      </c>
      <c r="B16">
        <v>1</v>
      </c>
    </row>
    <row r="17" spans="1:2">
      <c r="A17" s="106" t="s">
        <v>854</v>
      </c>
      <c r="B17">
        <v>1</v>
      </c>
    </row>
    <row r="18" spans="1:2">
      <c r="A18" s="106" t="s">
        <v>859</v>
      </c>
      <c r="B18">
        <v>1</v>
      </c>
    </row>
    <row r="19" spans="1:2">
      <c r="A19" s="106" t="s">
        <v>852</v>
      </c>
      <c r="B19">
        <v>1</v>
      </c>
    </row>
    <row r="20" spans="1:2">
      <c r="A20" s="106" t="s">
        <v>855</v>
      </c>
      <c r="B20">
        <v>1</v>
      </c>
    </row>
    <row r="21" spans="1:2">
      <c r="A21" s="106" t="s">
        <v>886</v>
      </c>
    </row>
    <row r="22" spans="1:2">
      <c r="A22" s="106"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22" workbookViewId="0">
      <selection activeCell="B28" sqref="B2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929</v>
      </c>
    </row>
    <row r="4" spans="1:3">
      <c r="A4" s="11" t="s">
        <v>424</v>
      </c>
      <c r="B4" s="87"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1801</v>
      </c>
      <c r="B27" s="76" t="str">
        <f>StartupInfo!B25</f>
        <v>0-50</v>
      </c>
      <c r="C27" s="16" t="s">
        <v>918</v>
      </c>
    </row>
    <row r="28" spans="1:23">
      <c r="A28" s="11" t="s">
        <v>1802</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738</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918</v>
      </c>
    </row>
    <row r="34" spans="1:23">
      <c r="A34" s="11" t="s">
        <v>28</v>
      </c>
      <c r="B34" s="87" t="str">
        <f>IF(StartupInfo!B19="","",StartupInfo!B19)</f>
        <v/>
      </c>
      <c r="C34" s="16" t="s">
        <v>918</v>
      </c>
    </row>
    <row r="35" spans="1:23">
      <c r="A35" s="11" t="s">
        <v>380</v>
      </c>
      <c r="B35" s="87" t="str">
        <f>IF(StartupInfo!B20="","",StartupInfo!B20)</f>
        <v>The company provides space exploration services…</v>
      </c>
      <c r="C35" s="16" t="s">
        <v>918</v>
      </c>
    </row>
    <row r="36" spans="1:23" ht="72">
      <c r="A36" s="11" t="s">
        <v>379</v>
      </c>
      <c r="B36" s="87" t="str">
        <f>IF(StartupInfo!B21="","",StartupInfo!B21)</f>
        <v>1. General Manager
2. Integrated Management
3. Development Unit
4. Product Department
5. Business Department</v>
      </c>
      <c r="C36" s="16" t="s">
        <v>918</v>
      </c>
    </row>
    <row r="37" spans="1:23">
      <c r="A37" s="11" t="s">
        <v>381</v>
      </c>
      <c r="B37" s="87" t="str">
        <f>IF(StartupInfo!B4="",StartupInfo!B3,_xlfn.CONCAT(StartupInfo!B3,"(",StartupInfo!B4,")"))</f>
        <v>NASA(NASA)</v>
      </c>
      <c r="C37" s="16" t="s">
        <v>918</v>
      </c>
    </row>
    <row r="38" spans="1:23">
      <c r="A38" s="11" t="s">
        <v>383</v>
      </c>
      <c r="B38" s="11">
        <v>1</v>
      </c>
    </row>
    <row r="39" spans="1:23">
      <c r="A39" s="11" t="s">
        <v>384</v>
      </c>
      <c r="B39" s="11">
        <v>1</v>
      </c>
    </row>
    <row r="40" spans="1:23" ht="28.8">
      <c r="A40" s="11" t="s">
        <v>385</v>
      </c>
      <c r="B40" s="87" t="str">
        <f>IF(StartupInfo!B27="","No","Yes")</f>
        <v>Yes</v>
      </c>
      <c r="C40" s="16" t="s">
        <v>918</v>
      </c>
    </row>
    <row r="41" spans="1:23">
      <c r="A41" s="11" t="s">
        <v>700</v>
      </c>
      <c r="B41" s="87" t="str">
        <f>StartupInfo!B27</f>
        <v>TO BE PROVIDED</v>
      </c>
      <c r="C41" s="16" t="s">
        <v>918</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741</v>
      </c>
      <c r="B45" s="17"/>
    </row>
    <row r="46" spans="1:23">
      <c r="A46" s="27" t="s">
        <v>1713</v>
      </c>
      <c r="B46" s="28"/>
      <c r="C46" s="29"/>
    </row>
    <row r="47" spans="1:23" s="46" customFormat="1" ht="15.6">
      <c r="A47" s="399" t="s">
        <v>1699</v>
      </c>
      <c r="B47" s="45"/>
      <c r="C47" s="45"/>
    </row>
    <row r="48" spans="1:23">
      <c r="A48" s="11" t="s">
        <v>1699</v>
      </c>
      <c r="B48" s="13" t="str">
        <f>Planning!B14</f>
        <v>Maturity Level</v>
      </c>
    </row>
    <row r="49" spans="1:23">
      <c r="A49" s="11" t="s">
        <v>1247</v>
      </c>
      <c r="B49" s="13" t="str">
        <f>Planning!B15</f>
        <v>Level 5</v>
      </c>
    </row>
    <row r="50" spans="1:23">
      <c r="A50" s="11" t="s">
        <v>1412</v>
      </c>
      <c r="B50" s="81" t="str">
        <f>Planning!B16</f>
        <v>Maturity Level 5</v>
      </c>
    </row>
    <row r="52" spans="1:23">
      <c r="A52" s="399" t="s">
        <v>831</v>
      </c>
    </row>
    <row r="53" spans="1:23">
      <c r="A53" s="11" t="s">
        <v>652</v>
      </c>
      <c r="B53" s="417" t="str">
        <f>IF(Planning!B19&lt;&gt;"","x","")</f>
        <v/>
      </c>
    </row>
    <row r="54" spans="1:23">
      <c r="A54" s="11" t="s">
        <v>1703</v>
      </c>
      <c r="B54" s="417" t="str">
        <f>IF(Planning!B20&lt;&gt;"","x","")</f>
        <v>x</v>
      </c>
    </row>
    <row r="55" spans="1:23">
      <c r="A55" s="11" t="s">
        <v>1777</v>
      </c>
      <c r="B55" s="417" t="str">
        <f>IF(Planning!B21&lt;&gt;"","x","")</f>
        <v/>
      </c>
    </row>
    <row r="56" spans="1:23">
      <c r="A56" s="11" t="s">
        <v>1705</v>
      </c>
      <c r="B56" s="417" t="str">
        <f>IF(Planning!B22&lt;&gt;"","x","")</f>
        <v/>
      </c>
    </row>
    <row r="57" spans="1:23">
      <c r="A57" s="11" t="s">
        <v>1706</v>
      </c>
      <c r="B57" s="417" t="str">
        <f>IF(Planning!B23&lt;&gt;"","x","")</f>
        <v/>
      </c>
    </row>
    <row r="58" spans="1:23">
      <c r="A58" s="11" t="s">
        <v>1704</v>
      </c>
      <c r="B58" s="417" t="str">
        <f>IF(Planning!B24&lt;&gt;"","x","")</f>
        <v/>
      </c>
    </row>
    <row r="59" spans="1:23">
      <c r="A59" s="11" t="s">
        <v>1778</v>
      </c>
      <c r="B59" s="417" t="str">
        <f>IF(Planning!B25&lt;&gt;"","x","")</f>
        <v/>
      </c>
    </row>
    <row r="60" spans="1:23">
      <c r="A60" s="11" t="s">
        <v>1707</v>
      </c>
      <c r="B60" s="417" t="str">
        <f>IF(Planning!B26&lt;&gt;"","x","")</f>
        <v/>
      </c>
    </row>
    <row r="62" spans="1:23">
      <c r="A62" s="27" t="s">
        <v>742</v>
      </c>
      <c r="B62" s="28"/>
      <c r="C62" s="29"/>
    </row>
    <row r="63" spans="1:23">
      <c r="A63" s="32" t="s">
        <v>743</v>
      </c>
      <c r="B63" s="31" t="s">
        <v>1714</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739</v>
      </c>
      <c r="B65" s="17"/>
    </row>
    <row r="66" spans="1:23">
      <c r="A66" s="27" t="s">
        <v>740</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968</v>
      </c>
    </row>
    <row r="70" spans="1:23">
      <c r="A70" s="11" t="s">
        <v>390</v>
      </c>
      <c r="B70" s="34">
        <f>B85-1</f>
        <v>45415</v>
      </c>
      <c r="C70" s="16" t="s">
        <v>969</v>
      </c>
    </row>
    <row r="72" spans="1:23">
      <c r="A72" s="14" t="s">
        <v>391</v>
      </c>
      <c r="D72" s="30" t="s">
        <v>793</v>
      </c>
    </row>
    <row r="73" spans="1:23">
      <c r="A73" s="11" t="s">
        <v>392</v>
      </c>
      <c r="B73" s="34" t="s">
        <v>1715</v>
      </c>
    </row>
    <row r="74" spans="1:23">
      <c r="A74" s="11" t="s">
        <v>393</v>
      </c>
      <c r="B74" s="34">
        <f>Planning!B38</f>
        <v>45388</v>
      </c>
      <c r="C74" s="16" t="s">
        <v>929</v>
      </c>
    </row>
    <row r="75" spans="1:23">
      <c r="A75" s="11" t="s">
        <v>394</v>
      </c>
      <c r="B75" s="34">
        <f>B74</f>
        <v>45388</v>
      </c>
      <c r="C75" s="400" t="s">
        <v>969</v>
      </c>
    </row>
    <row r="76" spans="1:23">
      <c r="B76" s="400"/>
      <c r="C76" s="400"/>
    </row>
    <row r="77" spans="1:23">
      <c r="A77" s="14" t="s">
        <v>392</v>
      </c>
      <c r="B77" s="34" t="s">
        <v>1716</v>
      </c>
      <c r="C77" s="400"/>
    </row>
    <row r="78" spans="1:23">
      <c r="A78" s="11" t="s">
        <v>393</v>
      </c>
      <c r="B78" s="34">
        <f>Planning!B41</f>
        <v>45406</v>
      </c>
      <c r="C78" s="16" t="s">
        <v>929</v>
      </c>
    </row>
    <row r="79" spans="1:23">
      <c r="A79" s="11" t="s">
        <v>394</v>
      </c>
      <c r="B79" s="34">
        <f>B78</f>
        <v>45406</v>
      </c>
      <c r="C79" s="16" t="s">
        <v>969</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929</v>
      </c>
    </row>
    <row r="86" spans="1:23">
      <c r="A86" s="410" t="s">
        <v>698</v>
      </c>
      <c r="B86" s="411">
        <f>'Agreement 3'!B27</f>
        <v>45418</v>
      </c>
      <c r="C86" s="16" t="s">
        <v>968</v>
      </c>
    </row>
    <row r="87" spans="1:23">
      <c r="A87" s="11" t="s">
        <v>397</v>
      </c>
      <c r="B87" s="34">
        <f>Planning!B50</f>
        <v>45422</v>
      </c>
      <c r="C87" s="16" t="s">
        <v>929</v>
      </c>
    </row>
    <row r="88" spans="1:23">
      <c r="A88" s="11" t="s">
        <v>398</v>
      </c>
      <c r="B88" s="35">
        <f>Planning!B51</f>
        <v>7</v>
      </c>
      <c r="C88" s="16" t="s">
        <v>929</v>
      </c>
    </row>
    <row r="90" spans="1:23">
      <c r="A90" s="14" t="s">
        <v>399</v>
      </c>
    </row>
    <row r="91" spans="1:23">
      <c r="A91" s="11" t="s">
        <v>400</v>
      </c>
      <c r="B91" s="34">
        <f>Planning!B53</f>
        <v>45422</v>
      </c>
      <c r="C91" s="16" t="s">
        <v>929</v>
      </c>
    </row>
    <row r="92" spans="1:23">
      <c r="A92" s="11" t="s">
        <v>401</v>
      </c>
      <c r="B92" s="34">
        <f>Planning!B55</f>
        <v>45442</v>
      </c>
      <c r="C92" s="16" t="s">
        <v>929</v>
      </c>
    </row>
    <row r="94" spans="1:23">
      <c r="A94" s="27" t="s">
        <v>1717</v>
      </c>
      <c r="B94" s="28"/>
      <c r="C94" s="29" t="str">
        <f>HYPERLINK(_xlfn.CONCAT("https://cmmiinstitute.com/appraisals-sys/appraisals/",Planning!$B$33,"/timeline"))</f>
        <v>https://cmmiinstitute.com/appraisals-sys/appraisals/384400/timeline</v>
      </c>
    </row>
    <row r="96" spans="1:23">
      <c r="A96" s="14" t="s">
        <v>391</v>
      </c>
      <c r="D96" s="30" t="s">
        <v>793</v>
      </c>
    </row>
    <row r="97" spans="1:23">
      <c r="A97" s="11" t="s">
        <v>392</v>
      </c>
      <c r="B97" s="34" t="str">
        <f>B73</f>
        <v>30% Readiness review</v>
      </c>
    </row>
    <row r="98" spans="1:23">
      <c r="A98" s="11" t="s">
        <v>393</v>
      </c>
      <c r="B98" s="34">
        <f t="shared" ref="B98:B99" si="0">B74</f>
        <v>45388</v>
      </c>
      <c r="C98" s="16" t="s">
        <v>929</v>
      </c>
    </row>
    <row r="99" spans="1:23">
      <c r="A99" s="11" t="s">
        <v>394</v>
      </c>
      <c r="B99" s="34">
        <f t="shared" si="0"/>
        <v>45388</v>
      </c>
      <c r="C99" s="400" t="s">
        <v>969</v>
      </c>
    </row>
    <row r="100" spans="1:23">
      <c r="B100" s="109"/>
      <c r="C100" s="400"/>
    </row>
    <row r="101" spans="1:23" ht="100.8">
      <c r="A101" s="11" t="s">
        <v>717</v>
      </c>
      <c r="B101" s="21" t="s">
        <v>1724</v>
      </c>
      <c r="C101" s="400"/>
    </row>
    <row r="102" spans="1:23" ht="86.4">
      <c r="A102" s="11" t="s">
        <v>718</v>
      </c>
      <c r="B102" s="21" t="s">
        <v>1725</v>
      </c>
      <c r="C102" s="400"/>
    </row>
    <row r="103" spans="1:23">
      <c r="A103" s="11" t="s">
        <v>719</v>
      </c>
      <c r="B103" s="87" t="str">
        <f>_xlfn.CONCAT('P1-Personnel'!B9," and ",'P1-Personnel'!B13)</f>
        <v>Dr Pieter van Zyl and ATM-1</v>
      </c>
      <c r="C103" s="400" t="s">
        <v>969</v>
      </c>
    </row>
    <row r="104" spans="1:23">
      <c r="A104" s="11" t="s">
        <v>720</v>
      </c>
      <c r="B104" s="11" t="s">
        <v>1726</v>
      </c>
      <c r="C104" s="400"/>
    </row>
    <row r="105" spans="1:23">
      <c r="A105" s="11" t="s">
        <v>1718</v>
      </c>
      <c r="B105" s="11" t="s">
        <v>27</v>
      </c>
      <c r="C105" s="400"/>
    </row>
    <row r="106" spans="1:23">
      <c r="A106" s="11" t="s">
        <v>1719</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929</v>
      </c>
    </row>
    <row r="110" spans="1:23">
      <c r="A110" s="11" t="s">
        <v>394</v>
      </c>
      <c r="B110" s="34">
        <f t="shared" si="1"/>
        <v>45406</v>
      </c>
      <c r="C110" s="16" t="s">
        <v>969</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717</v>
      </c>
      <c r="B112" s="401" t="s">
        <v>1727</v>
      </c>
      <c r="C112" s="400"/>
    </row>
    <row r="113" spans="1:23" ht="86.4">
      <c r="A113" s="11" t="s">
        <v>718</v>
      </c>
      <c r="B113" s="401" t="s">
        <v>1720</v>
      </c>
      <c r="C113" s="400"/>
    </row>
    <row r="114" spans="1:23">
      <c r="A114" s="11" t="s">
        <v>719</v>
      </c>
      <c r="B114" s="402" t="str">
        <f>_xlfn.CONCAT('P1-Personnel'!B9," and ",'P1-Personnel'!B13)</f>
        <v>Dr Pieter van Zyl and ATM-1</v>
      </c>
      <c r="C114" s="400" t="s">
        <v>969</v>
      </c>
    </row>
    <row r="115" spans="1:23">
      <c r="A115" s="11" t="s">
        <v>720</v>
      </c>
      <c r="B115" s="109" t="s">
        <v>1726</v>
      </c>
      <c r="C115" s="400"/>
    </row>
    <row r="116" spans="1:23">
      <c r="A116" s="11" t="s">
        <v>1718</v>
      </c>
      <c r="B116" s="109" t="s">
        <v>27</v>
      </c>
      <c r="C116" s="400"/>
    </row>
    <row r="117" spans="1:23">
      <c r="A117" s="11" t="s">
        <v>1719</v>
      </c>
      <c r="B117" s="109" t="s">
        <v>386</v>
      </c>
      <c r="C117" s="400"/>
    </row>
    <row r="118" spans="1:23">
      <c r="B118" s="400"/>
      <c r="C118" s="400"/>
    </row>
    <row r="119" spans="1:23">
      <c r="A119" s="15" t="s">
        <v>753</v>
      </c>
      <c r="B119" s="17"/>
    </row>
    <row r="120" spans="1:23">
      <c r="A120" s="27" t="s">
        <v>413</v>
      </c>
      <c r="B120" s="28"/>
      <c r="C120" s="29"/>
    </row>
    <row r="121" spans="1:23" s="101" customFormat="1">
      <c r="A121" s="102" t="s">
        <v>1313</v>
      </c>
      <c r="B121" s="100"/>
      <c r="C121" s="162" t="s">
        <v>1042</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754</v>
      </c>
      <c r="B123" s="28"/>
      <c r="C123" s="29"/>
    </row>
    <row r="124" spans="1:23">
      <c r="A124" s="427" t="s">
        <v>1314</v>
      </c>
      <c r="B124" s="427"/>
    </row>
    <row r="126" spans="1:23">
      <c r="A126" s="27" t="s">
        <v>755</v>
      </c>
      <c r="B126" s="28"/>
      <c r="C126" s="29"/>
    </row>
    <row r="127" spans="1:23">
      <c r="A127" s="11" t="s">
        <v>421</v>
      </c>
      <c r="B127" s="13" t="s">
        <v>419</v>
      </c>
      <c r="C127" s="16" t="s">
        <v>382</v>
      </c>
    </row>
    <row r="128" spans="1:23">
      <c r="A128" s="11" t="s">
        <v>422</v>
      </c>
    </row>
    <row r="129" spans="1:3">
      <c r="A129" s="11" t="s">
        <v>423</v>
      </c>
      <c r="B129" s="11" t="s">
        <v>794</v>
      </c>
    </row>
    <row r="131" spans="1:3">
      <c r="A131" s="27" t="s">
        <v>694</v>
      </c>
      <c r="B131" s="28"/>
      <c r="C131" s="29"/>
    </row>
    <row r="132" spans="1:3">
      <c r="A132" s="11" t="s">
        <v>414</v>
      </c>
      <c r="B132" s="12" t="str">
        <f>B127</f>
        <v>Type of Work</v>
      </c>
    </row>
    <row r="133" spans="1:3">
      <c r="A133" s="11" t="s">
        <v>795</v>
      </c>
      <c r="B133" s="11" t="s">
        <v>796</v>
      </c>
    </row>
    <row r="134" spans="1:3">
      <c r="A134" s="11" t="s">
        <v>380</v>
      </c>
      <c r="B134" s="11" t="s">
        <v>794</v>
      </c>
    </row>
    <row r="136" spans="1:3">
      <c r="A136" s="27" t="s">
        <v>756</v>
      </c>
      <c r="B136" s="28"/>
      <c r="C136" s="29"/>
    </row>
    <row r="137" spans="1:3">
      <c r="A137" s="11" t="s">
        <v>13</v>
      </c>
      <c r="B137" s="11" t="s">
        <v>796</v>
      </c>
    </row>
    <row r="138" spans="1:3">
      <c r="A138" s="11" t="s">
        <v>797</v>
      </c>
      <c r="B138" s="11" t="s">
        <v>798</v>
      </c>
    </row>
    <row r="139" spans="1:3">
      <c r="A139" s="11" t="s">
        <v>799</v>
      </c>
      <c r="B139" s="11" t="s">
        <v>800</v>
      </c>
    </row>
    <row r="141" spans="1:3">
      <c r="A141" s="27" t="s">
        <v>757</v>
      </c>
      <c r="B141" s="28"/>
      <c r="C141" s="29"/>
    </row>
    <row r="142" spans="1:3">
      <c r="A142" s="428" t="s">
        <v>801</v>
      </c>
      <c r="B142" s="428"/>
    </row>
    <row r="143" spans="1:3">
      <c r="B143" s="400"/>
      <c r="C143" s="400"/>
    </row>
    <row r="144" spans="1:3">
      <c r="A144" s="212" t="s">
        <v>758</v>
      </c>
      <c r="B144" s="213"/>
      <c r="C144" s="214"/>
    </row>
    <row r="145" spans="1:3">
      <c r="A145" s="429" t="s">
        <v>759</v>
      </c>
      <c r="B145" s="431"/>
      <c r="C145" s="215" t="s">
        <v>1115</v>
      </c>
    </row>
    <row r="146" spans="1:3" ht="15" thickBot="1">
      <c r="A146" s="430"/>
      <c r="B146" s="432"/>
      <c r="C146" s="215" t="s">
        <v>1721</v>
      </c>
    </row>
    <row r="147" spans="1:3">
      <c r="A147" s="216" t="s">
        <v>724</v>
      </c>
      <c r="B147" s="216" t="s">
        <v>1116</v>
      </c>
      <c r="C147" s="214"/>
    </row>
    <row r="148" spans="1:3" ht="15" thickBot="1">
      <c r="A148" s="217" t="s">
        <v>802</v>
      </c>
      <c r="B148" s="217" t="s">
        <v>803</v>
      </c>
      <c r="C148" s="214"/>
    </row>
    <row r="149" spans="1:3">
      <c r="A149" s="218" t="s">
        <v>723</v>
      </c>
      <c r="B149" s="218" t="s">
        <v>1722</v>
      </c>
      <c r="C149" s="214"/>
    </row>
    <row r="150" spans="1:3" ht="15" thickBot="1">
      <c r="A150" s="217" t="s">
        <v>802</v>
      </c>
      <c r="B150" s="217" t="s">
        <v>803</v>
      </c>
      <c r="C150" s="214"/>
    </row>
    <row r="151" spans="1:3">
      <c r="A151" s="218" t="s">
        <v>804</v>
      </c>
      <c r="B151" s="218" t="s">
        <v>1723</v>
      </c>
      <c r="C151" s="214"/>
    </row>
    <row r="152" spans="1:3" ht="15" thickBot="1">
      <c r="A152" s="217" t="s">
        <v>802</v>
      </c>
      <c r="B152" s="217" t="s">
        <v>803</v>
      </c>
      <c r="C152" s="214"/>
    </row>
    <row r="153" spans="1:3">
      <c r="A153" s="218" t="s">
        <v>725</v>
      </c>
      <c r="B153" s="218" t="s">
        <v>1117</v>
      </c>
      <c r="C153" s="214"/>
    </row>
    <row r="154" spans="1:3" ht="15" thickBot="1">
      <c r="A154" s="217" t="s">
        <v>802</v>
      </c>
      <c r="B154" s="217" t="s">
        <v>803</v>
      </c>
      <c r="C154" s="214"/>
    </row>
    <row r="155" spans="1:3">
      <c r="C155" s="214"/>
    </row>
    <row r="156" spans="1:3">
      <c r="A156" s="27" t="s">
        <v>760</v>
      </c>
      <c r="B156" s="28"/>
      <c r="C156" s="214"/>
    </row>
    <row r="157" spans="1:3" ht="28.8">
      <c r="A157" s="11" t="s">
        <v>806</v>
      </c>
      <c r="B157" s="11" t="s">
        <v>1315</v>
      </c>
      <c r="C157" s="214"/>
    </row>
    <row r="158" spans="1:3">
      <c r="A158" s="38" t="s">
        <v>802</v>
      </c>
      <c r="B158" s="38" t="s">
        <v>803</v>
      </c>
      <c r="C158" s="214"/>
    </row>
    <row r="159" spans="1:3">
      <c r="C159" s="214"/>
    </row>
    <row r="160" spans="1:3">
      <c r="A160" s="27" t="s">
        <v>761</v>
      </c>
      <c r="B160" s="28"/>
      <c r="C160" s="29"/>
    </row>
    <row r="161" spans="1:2">
      <c r="A161" s="11" t="s">
        <v>807</v>
      </c>
      <c r="B161" s="11" t="s">
        <v>1119</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1" t="s">
        <v>1021</v>
      </c>
      <c r="B5" s="161" t="s">
        <v>406</v>
      </c>
      <c r="C5" s="161" t="s">
        <v>1037</v>
      </c>
      <c r="D5" s="161" t="s">
        <v>979</v>
      </c>
      <c r="E5" s="161" t="s">
        <v>980</v>
      </c>
      <c r="F5" s="161" t="s">
        <v>1022</v>
      </c>
      <c r="G5" s="161" t="s">
        <v>1023</v>
      </c>
      <c r="H5" s="161" t="s">
        <v>1024</v>
      </c>
      <c r="I5" s="161" t="s">
        <v>1025</v>
      </c>
      <c r="J5" s="161" t="s">
        <v>1026</v>
      </c>
      <c r="K5" s="161" t="s">
        <v>1027</v>
      </c>
      <c r="L5" s="161" t="s">
        <v>1028</v>
      </c>
      <c r="M5" s="161" t="s">
        <v>1029</v>
      </c>
      <c r="N5" s="161"/>
      <c r="O5" s="161" t="s">
        <v>1030</v>
      </c>
      <c r="P5" s="161" t="s">
        <v>1031</v>
      </c>
      <c r="Q5" s="161" t="s">
        <v>1032</v>
      </c>
      <c r="R5" s="161" t="s">
        <v>1033</v>
      </c>
      <c r="S5" s="161" t="s">
        <v>1034</v>
      </c>
      <c r="T5" s="161" t="s">
        <v>1035</v>
      </c>
      <c r="U5" s="161" t="s">
        <v>1036</v>
      </c>
      <c r="V5" s="161" t="s">
        <v>10</v>
      </c>
      <c r="W5" s="160"/>
      <c r="X5" s="210" t="s">
        <v>1114</v>
      </c>
      <c r="AA5" s="158"/>
    </row>
    <row r="6" spans="1:36" s="16" customFormat="1">
      <c r="A6" s="16" t="s">
        <v>578</v>
      </c>
      <c r="B6" s="85" t="str">
        <f>IF('Agreement 3'!B30="","",'Agreement 3'!B30)</f>
        <v>Bill Nelson</v>
      </c>
      <c r="C6" s="16" t="s">
        <v>971</v>
      </c>
      <c r="D6" s="78" t="str">
        <f>IF('Agreement 3'!B16="","",'Agreement 3'!B16)</f>
        <v>NASA</v>
      </c>
      <c r="E6" s="85" t="s">
        <v>710</v>
      </c>
      <c r="G6" s="16" t="s">
        <v>705</v>
      </c>
      <c r="H6" s="16" t="s">
        <v>1113</v>
      </c>
      <c r="I6" s="158" t="str">
        <f>'Agreement 3'!B32</f>
        <v>+1 202-358-0001</v>
      </c>
      <c r="V6" s="84" t="str">
        <f>IF('Agreement 3'!B33="","",'Agreement 3'!B33)</f>
        <v>bill.nelson@nasa.gov</v>
      </c>
      <c r="X6" s="49" t="s">
        <v>1513</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971</v>
      </c>
      <c r="D7" s="78" t="str">
        <f>IF('Agreement 3'!B37="","",'Agreement 3'!B37)</f>
        <v>NASA</v>
      </c>
      <c r="E7" s="159" t="s">
        <v>710</v>
      </c>
      <c r="F7" s="78"/>
      <c r="G7" s="78" t="s">
        <v>705</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968</v>
      </c>
      <c r="D8" s="85" t="str">
        <f>StartupInfo!B56</f>
        <v>Freelance</v>
      </c>
      <c r="E8" s="85" t="str">
        <f>StartupInfo!B57</f>
        <v>External</v>
      </c>
      <c r="F8" s="78" t="str">
        <f>StartupInfo!B58</f>
        <v>Other</v>
      </c>
      <c r="G8" s="78" t="str">
        <f>StartupInfo!B59</f>
        <v>Reports directly to the ATL</v>
      </c>
      <c r="H8" s="16" t="s">
        <v>1150</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978</v>
      </c>
      <c r="H9" s="85" t="str">
        <f>'Agreement 3'!B9</f>
        <v>CMMI High Maturity Lead Appraiser</v>
      </c>
      <c r="I9" s="85" t="str">
        <f>'Agreement 3'!B12</f>
        <v>+27-82-900-0008</v>
      </c>
      <c r="J9" s="16" t="s">
        <v>1018</v>
      </c>
      <c r="L9" s="16">
        <v>8</v>
      </c>
      <c r="M9" s="158">
        <v>44137</v>
      </c>
      <c r="O9" s="16">
        <v>35</v>
      </c>
      <c r="P9" s="16" t="s">
        <v>412</v>
      </c>
      <c r="Q9" s="16" t="s">
        <v>1019</v>
      </c>
      <c r="R9" s="16">
        <v>30</v>
      </c>
      <c r="S9" s="16">
        <v>15</v>
      </c>
      <c r="T9" s="16" t="s">
        <v>603</v>
      </c>
      <c r="U9" s="16" t="s">
        <v>603</v>
      </c>
      <c r="V9" s="83"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1" t="s">
        <v>1021</v>
      </c>
      <c r="B12" s="161" t="s">
        <v>406</v>
      </c>
      <c r="C12" s="161" t="s">
        <v>1037</v>
      </c>
      <c r="D12" s="161" t="s">
        <v>979</v>
      </c>
      <c r="E12" s="161" t="s">
        <v>980</v>
      </c>
      <c r="F12" s="161" t="s">
        <v>1022</v>
      </c>
      <c r="G12" s="161" t="s">
        <v>1023</v>
      </c>
      <c r="H12" s="161" t="s">
        <v>1024</v>
      </c>
      <c r="I12" s="161" t="s">
        <v>1025</v>
      </c>
      <c r="J12" s="161" t="s">
        <v>1026</v>
      </c>
      <c r="K12" s="161" t="s">
        <v>1027</v>
      </c>
      <c r="L12" s="161" t="s">
        <v>1028</v>
      </c>
      <c r="M12" s="161" t="s">
        <v>1029</v>
      </c>
      <c r="N12" s="161"/>
      <c r="O12" s="161" t="s">
        <v>1030</v>
      </c>
      <c r="P12" s="161" t="s">
        <v>1031</v>
      </c>
      <c r="Q12" s="161" t="s">
        <v>1032</v>
      </c>
      <c r="R12" s="161" t="s">
        <v>1033</v>
      </c>
      <c r="S12" s="161" t="s">
        <v>1034</v>
      </c>
      <c r="T12" s="161" t="s">
        <v>1035</v>
      </c>
      <c r="U12" s="161" t="s">
        <v>1036</v>
      </c>
      <c r="V12" s="161" t="s">
        <v>10</v>
      </c>
      <c r="W12" s="160"/>
      <c r="AA12" s="158"/>
    </row>
    <row r="13" spans="1:36">
      <c r="A13" s="11" t="s">
        <v>1072</v>
      </c>
      <c r="B13" s="204" t="s">
        <v>1493</v>
      </c>
      <c r="C13" s="16" t="s">
        <v>1112</v>
      </c>
      <c r="D13" s="16" t="s">
        <v>6</v>
      </c>
      <c r="E13" s="16" t="s">
        <v>978</v>
      </c>
      <c r="F13" s="16" t="s">
        <v>1100</v>
      </c>
      <c r="H13" s="16" t="s">
        <v>938</v>
      </c>
      <c r="I13" s="16" t="s">
        <v>1497</v>
      </c>
      <c r="J13" s="16" t="s">
        <v>1038</v>
      </c>
      <c r="L13" s="16">
        <v>8</v>
      </c>
      <c r="M13" s="158">
        <v>44186</v>
      </c>
      <c r="O13" s="16">
        <v>7</v>
      </c>
      <c r="P13" s="16" t="s">
        <v>412</v>
      </c>
      <c r="Q13" s="16" t="s">
        <v>1019</v>
      </c>
      <c r="R13" s="16">
        <v>3</v>
      </c>
      <c r="S13" s="16">
        <v>0</v>
      </c>
      <c r="T13" s="16" t="s">
        <v>1020</v>
      </c>
      <c r="U13" s="16" t="s">
        <v>1632</v>
      </c>
      <c r="V13" s="29" t="s">
        <v>1501</v>
      </c>
      <c r="AA13" s="250"/>
    </row>
    <row r="14" spans="1:36">
      <c r="A14" s="11" t="s">
        <v>1072</v>
      </c>
      <c r="B14" s="204" t="s">
        <v>1494</v>
      </c>
      <c r="C14" s="16" t="s">
        <v>1112</v>
      </c>
      <c r="D14" s="16" t="s">
        <v>6</v>
      </c>
      <c r="E14" s="16" t="s">
        <v>978</v>
      </c>
      <c r="F14" s="16" t="s">
        <v>1100</v>
      </c>
      <c r="H14" s="16" t="s">
        <v>938</v>
      </c>
      <c r="I14" s="16" t="s">
        <v>1498</v>
      </c>
      <c r="J14" s="16" t="s">
        <v>1038</v>
      </c>
      <c r="L14" s="16">
        <v>8</v>
      </c>
      <c r="M14" s="158">
        <v>44186</v>
      </c>
      <c r="O14" s="16">
        <v>18</v>
      </c>
      <c r="P14" s="16" t="s">
        <v>412</v>
      </c>
      <c r="Q14" s="16" t="s">
        <v>1019</v>
      </c>
      <c r="R14" s="16">
        <v>14</v>
      </c>
      <c r="S14" s="16">
        <v>0</v>
      </c>
      <c r="T14" s="16" t="s">
        <v>1020</v>
      </c>
      <c r="U14" s="16" t="s">
        <v>1632</v>
      </c>
      <c r="V14" s="29" t="s">
        <v>1502</v>
      </c>
      <c r="AA14" s="250"/>
    </row>
    <row r="15" spans="1:36">
      <c r="A15" s="11" t="s">
        <v>1072</v>
      </c>
      <c r="B15" s="204" t="s">
        <v>1495</v>
      </c>
      <c r="C15" s="16" t="s">
        <v>1112</v>
      </c>
      <c r="D15" s="16" t="s">
        <v>6</v>
      </c>
      <c r="E15" s="16" t="s">
        <v>978</v>
      </c>
      <c r="F15" s="16" t="s">
        <v>1100</v>
      </c>
      <c r="H15" s="16" t="s">
        <v>938</v>
      </c>
      <c r="I15" s="16" t="s">
        <v>1499</v>
      </c>
      <c r="J15" s="16" t="s">
        <v>1018</v>
      </c>
      <c r="L15" s="16">
        <v>8</v>
      </c>
      <c r="M15" s="158">
        <v>44186</v>
      </c>
      <c r="O15" s="16">
        <v>20</v>
      </c>
      <c r="P15" s="16" t="s">
        <v>412</v>
      </c>
      <c r="Q15" s="16" t="s">
        <v>1019</v>
      </c>
      <c r="R15" s="16">
        <v>30</v>
      </c>
      <c r="S15" s="16">
        <v>5</v>
      </c>
      <c r="T15" s="16" t="s">
        <v>1020</v>
      </c>
      <c r="U15" s="16" t="s">
        <v>1632</v>
      </c>
      <c r="V15" s="29" t="s">
        <v>1503</v>
      </c>
      <c r="AA15" s="250"/>
    </row>
    <row r="16" spans="1:36">
      <c r="A16" s="11" t="s">
        <v>1072</v>
      </c>
      <c r="B16" s="204" t="s">
        <v>1496</v>
      </c>
      <c r="C16" s="16" t="s">
        <v>1112</v>
      </c>
      <c r="D16" s="16" t="s">
        <v>6</v>
      </c>
      <c r="E16" s="16" t="s">
        <v>978</v>
      </c>
      <c r="F16" s="16" t="s">
        <v>1100</v>
      </c>
      <c r="H16" s="16" t="s">
        <v>938</v>
      </c>
      <c r="I16" s="16" t="s">
        <v>1500</v>
      </c>
      <c r="J16" s="16" t="s">
        <v>1038</v>
      </c>
      <c r="L16" s="16">
        <v>8</v>
      </c>
      <c r="M16" s="158">
        <v>44186</v>
      </c>
      <c r="O16" s="16">
        <v>12</v>
      </c>
      <c r="P16" s="16" t="s">
        <v>412</v>
      </c>
      <c r="Q16" s="16" t="s">
        <v>1019</v>
      </c>
      <c r="R16" s="16">
        <v>10</v>
      </c>
      <c r="S16" s="16">
        <v>9</v>
      </c>
      <c r="T16" s="16" t="s">
        <v>1020</v>
      </c>
      <c r="U16" s="16" t="s">
        <v>1632</v>
      </c>
      <c r="V16" s="29" t="s">
        <v>1504</v>
      </c>
      <c r="AA16" s="250"/>
    </row>
    <row r="17" spans="1:27">
      <c r="A17" s="11" t="s">
        <v>1072</v>
      </c>
      <c r="B17" s="204" t="s">
        <v>1193</v>
      </c>
      <c r="C17" s="16" t="s">
        <v>1112</v>
      </c>
      <c r="D17" s="16" t="s">
        <v>6</v>
      </c>
      <c r="E17" s="16" t="s">
        <v>978</v>
      </c>
      <c r="F17" s="16" t="s">
        <v>1100</v>
      </c>
      <c r="H17" s="16" t="s">
        <v>938</v>
      </c>
      <c r="I17" s="16" t="s">
        <v>1194</v>
      </c>
      <c r="J17" s="16" t="s">
        <v>1038</v>
      </c>
      <c r="K17" s="16" t="s">
        <v>1039</v>
      </c>
      <c r="L17" s="16">
        <v>8</v>
      </c>
      <c r="M17" s="158">
        <v>44137</v>
      </c>
      <c r="O17" s="16">
        <v>16</v>
      </c>
      <c r="P17" s="16" t="s">
        <v>412</v>
      </c>
      <c r="Q17" s="16" t="s">
        <v>1019</v>
      </c>
      <c r="R17" s="16">
        <v>17</v>
      </c>
      <c r="S17" s="16">
        <v>2</v>
      </c>
      <c r="T17" s="16" t="s">
        <v>1020</v>
      </c>
      <c r="U17" s="16" t="s">
        <v>1632</v>
      </c>
      <c r="V17" s="29" t="s">
        <v>1195</v>
      </c>
      <c r="AA17" s="250"/>
    </row>
    <row r="18" spans="1:27">
      <c r="A18" s="11" t="s">
        <v>1072</v>
      </c>
      <c r="B18" s="204" t="s">
        <v>1196</v>
      </c>
      <c r="C18" s="16" t="s">
        <v>1112</v>
      </c>
      <c r="D18" s="16" t="s">
        <v>6</v>
      </c>
      <c r="E18" s="16" t="s">
        <v>978</v>
      </c>
      <c r="F18" s="16" t="s">
        <v>1100</v>
      </c>
      <c r="H18" s="16" t="s">
        <v>938</v>
      </c>
      <c r="I18" s="16" t="s">
        <v>1197</v>
      </c>
      <c r="J18" s="16" t="s">
        <v>1038</v>
      </c>
      <c r="L18" s="16">
        <v>8</v>
      </c>
      <c r="M18" s="158">
        <v>44202</v>
      </c>
      <c r="O18" s="16">
        <v>18</v>
      </c>
      <c r="P18" s="16" t="s">
        <v>412</v>
      </c>
      <c r="Q18" s="16" t="s">
        <v>1019</v>
      </c>
      <c r="R18" s="16">
        <v>15</v>
      </c>
      <c r="S18" s="16">
        <v>1</v>
      </c>
      <c r="T18" s="16" t="s">
        <v>1020</v>
      </c>
      <c r="U18" s="16" t="s">
        <v>1632</v>
      </c>
      <c r="V18" s="29" t="s">
        <v>1198</v>
      </c>
      <c r="AA18" s="250"/>
    </row>
    <row r="19" spans="1:27">
      <c r="A19" s="11" t="s">
        <v>1072</v>
      </c>
      <c r="B19" s="204" t="s">
        <v>1199</v>
      </c>
      <c r="C19" s="16" t="s">
        <v>1112</v>
      </c>
      <c r="D19" s="16" t="s">
        <v>6</v>
      </c>
      <c r="E19" s="16" t="s">
        <v>710</v>
      </c>
      <c r="F19" s="16" t="s">
        <v>705</v>
      </c>
      <c r="H19" s="16" t="s">
        <v>1191</v>
      </c>
      <c r="I19" s="16" t="s">
        <v>1200</v>
      </c>
      <c r="J19" s="16" t="s">
        <v>1018</v>
      </c>
      <c r="K19" s="16" t="s">
        <v>1039</v>
      </c>
      <c r="L19" s="16">
        <v>8</v>
      </c>
      <c r="M19" s="158">
        <v>44144</v>
      </c>
      <c r="O19" s="16">
        <v>20</v>
      </c>
      <c r="P19" s="16" t="s">
        <v>412</v>
      </c>
      <c r="Q19" s="16" t="s">
        <v>1019</v>
      </c>
      <c r="R19" s="16">
        <v>14</v>
      </c>
      <c r="S19" s="16">
        <v>2</v>
      </c>
      <c r="T19" s="16" t="s">
        <v>1020</v>
      </c>
      <c r="U19" s="16" t="s">
        <v>1632</v>
      </c>
      <c r="V19" s="29" t="s">
        <v>1201</v>
      </c>
      <c r="AA19" s="250"/>
    </row>
    <row r="20" spans="1:27">
      <c r="A20" s="11" t="s">
        <v>1072</v>
      </c>
      <c r="B20" s="204" t="s">
        <v>1202</v>
      </c>
      <c r="C20" s="16" t="s">
        <v>1112</v>
      </c>
      <c r="D20" s="16" t="s">
        <v>6</v>
      </c>
      <c r="E20" s="16" t="s">
        <v>710</v>
      </c>
      <c r="F20" s="16" t="s">
        <v>705</v>
      </c>
      <c r="H20" s="16" t="s">
        <v>1191</v>
      </c>
      <c r="I20" s="16" t="s">
        <v>1203</v>
      </c>
      <c r="J20" s="16" t="s">
        <v>1038</v>
      </c>
      <c r="K20" s="16" t="s">
        <v>1039</v>
      </c>
      <c r="L20" s="16">
        <v>8</v>
      </c>
      <c r="M20" s="158">
        <v>44144</v>
      </c>
      <c r="O20" s="16">
        <v>5</v>
      </c>
      <c r="P20" s="16" t="s">
        <v>412</v>
      </c>
      <c r="Q20" s="16" t="s">
        <v>1019</v>
      </c>
      <c r="R20" s="16">
        <v>14</v>
      </c>
      <c r="S20" s="16">
        <v>3</v>
      </c>
      <c r="T20" s="16" t="s">
        <v>1020</v>
      </c>
      <c r="U20" s="16" t="s">
        <v>1632</v>
      </c>
      <c r="V20" s="29" t="s">
        <v>1204</v>
      </c>
      <c r="AA20" s="250"/>
    </row>
    <row r="21" spans="1:27">
      <c r="A21" s="11" t="s">
        <v>1072</v>
      </c>
      <c r="B21" s="204" t="s">
        <v>1205</v>
      </c>
      <c r="C21" s="16" t="s">
        <v>1112</v>
      </c>
      <c r="D21" s="16" t="s">
        <v>6</v>
      </c>
      <c r="E21" s="16" t="s">
        <v>978</v>
      </c>
      <c r="F21" s="16" t="s">
        <v>1100</v>
      </c>
      <c r="H21" s="16" t="s">
        <v>938</v>
      </c>
      <c r="I21" s="16" t="s">
        <v>1206</v>
      </c>
      <c r="J21" s="16" t="s">
        <v>1038</v>
      </c>
      <c r="K21" s="16" t="s">
        <v>1039</v>
      </c>
      <c r="L21" s="16">
        <v>8</v>
      </c>
      <c r="M21" s="158">
        <v>44202</v>
      </c>
      <c r="O21" s="16">
        <v>17</v>
      </c>
      <c r="P21" s="16" t="s">
        <v>412</v>
      </c>
      <c r="Q21" s="16" t="s">
        <v>1019</v>
      </c>
      <c r="R21" s="16">
        <v>17</v>
      </c>
      <c r="S21" s="16">
        <v>1</v>
      </c>
      <c r="T21" s="16" t="s">
        <v>1020</v>
      </c>
      <c r="U21" s="16" t="s">
        <v>1632</v>
      </c>
      <c r="V21" s="29" t="s">
        <v>1207</v>
      </c>
      <c r="AA21" s="250"/>
    </row>
    <row r="22" spans="1:27">
      <c r="B22" s="204"/>
      <c r="V22" s="29"/>
      <c r="AA22" s="250"/>
    </row>
    <row r="23" spans="1:27">
      <c r="A23" s="204" t="s">
        <v>939</v>
      </c>
      <c r="B23" s="204" t="s">
        <v>1515</v>
      </c>
      <c r="C23" s="16" t="s">
        <v>1112</v>
      </c>
      <c r="V23" s="29" t="s">
        <v>1514</v>
      </c>
      <c r="AA23" s="250"/>
    </row>
    <row r="24" spans="1:27">
      <c r="A24" s="11" t="s">
        <v>938</v>
      </c>
      <c r="B24" s="204"/>
      <c r="C24" s="16" t="s">
        <v>1112</v>
      </c>
      <c r="V24" s="29"/>
      <c r="AA24" s="250"/>
    </row>
    <row r="25" spans="1:27">
      <c r="A25" s="11" t="s">
        <v>1072</v>
      </c>
      <c r="B25" s="204" t="s">
        <v>1493</v>
      </c>
      <c r="C25" s="16" t="s">
        <v>1112</v>
      </c>
      <c r="D25" s="16" t="s">
        <v>6</v>
      </c>
      <c r="E25" s="16" t="s">
        <v>978</v>
      </c>
      <c r="F25" s="16" t="s">
        <v>1100</v>
      </c>
      <c r="H25" s="16" t="s">
        <v>938</v>
      </c>
      <c r="I25" s="16" t="s">
        <v>1497</v>
      </c>
      <c r="J25" s="16" t="s">
        <v>1038</v>
      </c>
      <c r="L25" s="16">
        <v>8</v>
      </c>
      <c r="M25" s="158">
        <v>44186</v>
      </c>
      <c r="O25" s="16">
        <v>7</v>
      </c>
      <c r="P25" s="16" t="s">
        <v>412</v>
      </c>
      <c r="Q25" s="16" t="s">
        <v>1019</v>
      </c>
      <c r="R25" s="16">
        <v>3</v>
      </c>
      <c r="S25" s="16">
        <v>0</v>
      </c>
      <c r="T25" s="16" t="s">
        <v>1020</v>
      </c>
      <c r="U25" s="16" t="s">
        <v>1632</v>
      </c>
      <c r="V25" s="29" t="s">
        <v>1501</v>
      </c>
      <c r="AA25" s="250"/>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1" customFormat="1">
      <c r="A37" s="102" t="s">
        <v>1311</v>
      </c>
      <c r="B37" s="100"/>
      <c r="C37" s="162" t="s">
        <v>1043</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1" customFormat="1">
      <c r="A40" s="102" t="s">
        <v>1312</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179" zoomScale="85" zoomScaleNormal="85" workbookViewId="0">
      <selection activeCell="B192" sqref="B192"/>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1661</v>
      </c>
    </row>
    <row r="6" spans="1:3" s="16" customFormat="1">
      <c r="A6" s="16" t="s">
        <v>576</v>
      </c>
      <c r="B6" s="11" t="s">
        <v>1661</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1662</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1663</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1664</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1611</v>
      </c>
    </row>
    <row r="35" spans="1:3" s="16" customFormat="1" ht="28.8">
      <c r="A35" s="16" t="s">
        <v>574</v>
      </c>
      <c r="B35" s="11" t="s">
        <v>1612</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1655</v>
      </c>
    </row>
    <row r="41" spans="1:3" s="16" customFormat="1" ht="28.8">
      <c r="A41" s="16" t="s">
        <v>574</v>
      </c>
      <c r="B41" s="11" t="s">
        <v>1656</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45388</v>
      </c>
      <c r="C76" s="11" t="s">
        <v>929</v>
      </c>
    </row>
    <row r="77" spans="1:3">
      <c r="A77" s="11" t="s">
        <v>611</v>
      </c>
      <c r="B77" s="11" t="s">
        <v>714</v>
      </c>
    </row>
    <row r="79" spans="1:3">
      <c r="A79" s="11" t="s">
        <v>609</v>
      </c>
      <c r="B79" s="11" t="s">
        <v>715</v>
      </c>
    </row>
    <row r="80" spans="1:3">
      <c r="A80" s="11" t="s">
        <v>610</v>
      </c>
      <c r="B80" s="33">
        <f>Planning!B40</f>
        <v>45406</v>
      </c>
      <c r="C80" s="11" t="s">
        <v>929</v>
      </c>
    </row>
    <row r="81" spans="1:3" ht="28.8">
      <c r="A81" s="11" t="s">
        <v>611</v>
      </c>
      <c r="B81" s="11" t="s">
        <v>936</v>
      </c>
    </row>
    <row r="83" spans="1:3" s="16" customFormat="1">
      <c r="A83" s="103"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7" t="str">
        <f>_xlfn.CONCAT("Readiness review for ",B75)</f>
        <v>Readiness review for Version 1 of OE database</v>
      </c>
      <c r="C90" s="11" t="s">
        <v>969</v>
      </c>
    </row>
    <row r="91" spans="1:3">
      <c r="A91" s="11" t="s">
        <v>393</v>
      </c>
      <c r="B91" s="33">
        <f>Planning!B38</f>
        <v>45388</v>
      </c>
      <c r="C91" s="11" t="s">
        <v>929</v>
      </c>
    </row>
    <row r="92" spans="1:3">
      <c r="A92" s="11" t="s">
        <v>394</v>
      </c>
      <c r="B92" s="33">
        <f>B91</f>
        <v>45388</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7" t="str">
        <f>_xlfn.CONCAT("Readiness review for ",B79)</f>
        <v>Readiness review for Version 2 of OE database</v>
      </c>
      <c r="C100" s="11" t="s">
        <v>969</v>
      </c>
    </row>
    <row r="101" spans="1:3">
      <c r="A101" s="11" t="s">
        <v>393</v>
      </c>
      <c r="B101" s="33">
        <f>Planning!B41</f>
        <v>45406</v>
      </c>
      <c r="C101" s="11" t="s">
        <v>929</v>
      </c>
    </row>
    <row r="102" spans="1:3">
      <c r="A102" s="11" t="s">
        <v>394</v>
      </c>
      <c r="B102" s="33">
        <f>B101</f>
        <v>45406</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3"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1746</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1521</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1522</v>
      </c>
    </row>
    <row r="166" spans="1:3">
      <c r="A166" s="11" t="s">
        <v>647</v>
      </c>
      <c r="B166" s="13" t="s">
        <v>420</v>
      </c>
      <c r="C166" s="11" t="s">
        <v>382</v>
      </c>
    </row>
    <row r="167" spans="1:3">
      <c r="A167" s="11" t="s">
        <v>653</v>
      </c>
      <c r="B167" s="11" t="s">
        <v>1523</v>
      </c>
    </row>
    <row r="168" spans="1:3" ht="28.8">
      <c r="A168" s="11" t="s">
        <v>654</v>
      </c>
      <c r="B168" s="11" t="s">
        <v>1524</v>
      </c>
    </row>
    <row r="169" spans="1:3">
      <c r="A169" s="11" t="s">
        <v>655</v>
      </c>
      <c r="B169" s="13" t="s">
        <v>662</v>
      </c>
      <c r="C169" s="11" t="s">
        <v>382</v>
      </c>
    </row>
    <row r="170" spans="1:3" ht="100.8">
      <c r="A170" s="11" t="s">
        <v>656</v>
      </c>
      <c r="B170" s="11" t="s">
        <v>1525</v>
      </c>
    </row>
    <row r="171" spans="1:3">
      <c r="A171" s="11" t="s">
        <v>657</v>
      </c>
      <c r="B171" s="13" t="s">
        <v>661</v>
      </c>
      <c r="C171" s="11" t="s">
        <v>382</v>
      </c>
    </row>
    <row r="173" spans="1:3">
      <c r="A173" s="14" t="s">
        <v>1373</v>
      </c>
      <c r="B173" s="14" t="s">
        <v>1526</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1747</v>
      </c>
    </row>
    <row r="179" spans="1:3">
      <c r="A179" s="11" t="s">
        <v>657</v>
      </c>
      <c r="B179" s="13" t="s">
        <v>1376</v>
      </c>
      <c r="C179" s="11" t="s">
        <v>382</v>
      </c>
    </row>
    <row r="181" spans="1:3">
      <c r="A181" s="14" t="s">
        <v>1377</v>
      </c>
      <c r="B181" s="14" t="s">
        <v>1527</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1543</v>
      </c>
    </row>
    <row r="187" spans="1:3">
      <c r="A187" s="11" t="s">
        <v>657</v>
      </c>
      <c r="B187" s="13" t="s">
        <v>1376</v>
      </c>
      <c r="C187" s="11" t="s">
        <v>382</v>
      </c>
    </row>
    <row r="189" spans="1:3">
      <c r="A189" s="14" t="s">
        <v>1380</v>
      </c>
      <c r="B189" s="14" t="s">
        <v>1803</v>
      </c>
    </row>
    <row r="190" spans="1:3">
      <c r="A190" s="11" t="s">
        <v>647</v>
      </c>
      <c r="B190" s="13" t="s">
        <v>650</v>
      </c>
      <c r="C190" s="11" t="s">
        <v>382</v>
      </c>
    </row>
    <row r="191" spans="1:3">
      <c r="A191" s="11" t="s">
        <v>653</v>
      </c>
    </row>
    <row r="192" spans="1:3" ht="43.2">
      <c r="A192" s="11" t="s">
        <v>654</v>
      </c>
      <c r="B192" s="11" t="s">
        <v>1804</v>
      </c>
    </row>
    <row r="193" spans="1:3">
      <c r="A193" s="11" t="s">
        <v>655</v>
      </c>
      <c r="B193" s="13" t="s">
        <v>1379</v>
      </c>
      <c r="C193" s="11" t="s">
        <v>382</v>
      </c>
    </row>
    <row r="194" spans="1:3" ht="144">
      <c r="A194" s="11" t="s">
        <v>656</v>
      </c>
      <c r="B194" s="11" t="s">
        <v>1805</v>
      </c>
    </row>
    <row r="195" spans="1:3">
      <c r="A195" s="11" t="s">
        <v>657</v>
      </c>
      <c r="B195" s="13" t="s">
        <v>1376</v>
      </c>
      <c r="C195" s="11" t="s">
        <v>382</v>
      </c>
    </row>
    <row r="197" spans="1:3" ht="28.8">
      <c r="A197" s="14" t="s">
        <v>1528</v>
      </c>
      <c r="B197" s="14" t="s">
        <v>1529</v>
      </c>
    </row>
    <row r="198" spans="1:3">
      <c r="A198" s="11" t="s">
        <v>647</v>
      </c>
      <c r="B198" s="13" t="s">
        <v>420</v>
      </c>
      <c r="C198" s="11" t="s">
        <v>382</v>
      </c>
    </row>
    <row r="199" spans="1:3">
      <c r="A199" s="11" t="s">
        <v>653</v>
      </c>
      <c r="B199" s="11" t="s">
        <v>1523</v>
      </c>
    </row>
    <row r="200" spans="1:3" ht="43.2">
      <c r="A200" s="11" t="s">
        <v>654</v>
      </c>
      <c r="B200" s="11" t="s">
        <v>1530</v>
      </c>
    </row>
    <row r="201" spans="1:3">
      <c r="A201" s="11" t="s">
        <v>655</v>
      </c>
      <c r="B201" s="13" t="s">
        <v>662</v>
      </c>
      <c r="C201" s="11" t="s">
        <v>382</v>
      </c>
    </row>
    <row r="202" spans="1:3" ht="115.2">
      <c r="A202" s="11" t="s">
        <v>656</v>
      </c>
      <c r="B202" s="11" t="s">
        <v>1531</v>
      </c>
    </row>
    <row r="203" spans="1:3">
      <c r="A203" s="11" t="s">
        <v>657</v>
      </c>
      <c r="B203" s="13" t="s">
        <v>1376</v>
      </c>
      <c r="C203" s="11" t="s">
        <v>382</v>
      </c>
    </row>
    <row r="206" spans="1:3">
      <c r="A206" s="14" t="s">
        <v>1532</v>
      </c>
      <c r="B206" s="14" t="s">
        <v>1658</v>
      </c>
    </row>
    <row r="207" spans="1:3">
      <c r="A207" s="11" t="s">
        <v>647</v>
      </c>
      <c r="B207" s="13" t="s">
        <v>420</v>
      </c>
      <c r="C207" s="11" t="s">
        <v>382</v>
      </c>
    </row>
    <row r="208" spans="1:3">
      <c r="A208" s="11" t="s">
        <v>653</v>
      </c>
      <c r="B208" s="11" t="s">
        <v>1523</v>
      </c>
    </row>
    <row r="209" spans="1:3" ht="28.8">
      <c r="A209" s="11" t="s">
        <v>654</v>
      </c>
      <c r="B209" s="11" t="s">
        <v>1659</v>
      </c>
    </row>
    <row r="210" spans="1:3">
      <c r="A210" s="11" t="s">
        <v>655</v>
      </c>
      <c r="B210" s="13" t="s">
        <v>1379</v>
      </c>
      <c r="C210" s="11" t="s">
        <v>382</v>
      </c>
    </row>
    <row r="211" spans="1:3" ht="43.2">
      <c r="A211" s="11" t="s">
        <v>656</v>
      </c>
      <c r="B211" s="11" t="s">
        <v>1660</v>
      </c>
    </row>
    <row r="212" spans="1:3">
      <c r="A212" s="11" t="s">
        <v>657</v>
      </c>
      <c r="B212" s="13" t="s">
        <v>1376</v>
      </c>
      <c r="C212" s="11" t="s">
        <v>382</v>
      </c>
    </row>
    <row r="214" spans="1:3">
      <c r="A214" s="14" t="s">
        <v>1533</v>
      </c>
      <c r="B214" s="14" t="s">
        <v>1667</v>
      </c>
    </row>
    <row r="215" spans="1:3">
      <c r="A215" s="11" t="s">
        <v>647</v>
      </c>
      <c r="B215" s="13" t="s">
        <v>420</v>
      </c>
      <c r="C215" s="11" t="s">
        <v>382</v>
      </c>
    </row>
    <row r="216" spans="1:3">
      <c r="A216" s="11" t="s">
        <v>653</v>
      </c>
      <c r="B216" s="11" t="s">
        <v>1523</v>
      </c>
    </row>
    <row r="217" spans="1:3" ht="28.8">
      <c r="A217" s="11" t="s">
        <v>654</v>
      </c>
      <c r="B217" s="11" t="s">
        <v>1668</v>
      </c>
    </row>
    <row r="218" spans="1:3">
      <c r="A218" s="11" t="s">
        <v>655</v>
      </c>
      <c r="B218" s="13" t="s">
        <v>662</v>
      </c>
      <c r="C218" s="11" t="s">
        <v>382</v>
      </c>
    </row>
    <row r="219" spans="1:3" ht="57.6">
      <c r="A219" s="11" t="s">
        <v>656</v>
      </c>
      <c r="B219" s="11" t="s">
        <v>1669</v>
      </c>
    </row>
    <row r="220" spans="1:3">
      <c r="A220" s="11" t="s">
        <v>657</v>
      </c>
      <c r="B220" s="13" t="s">
        <v>1376</v>
      </c>
      <c r="C220" s="11" t="s">
        <v>382</v>
      </c>
    </row>
    <row r="222" spans="1:3">
      <c r="A222" s="14" t="s">
        <v>1666</v>
      </c>
      <c r="B222" s="14" t="s">
        <v>1613</v>
      </c>
    </row>
    <row r="223" spans="1:3">
      <c r="A223" s="11" t="s">
        <v>647</v>
      </c>
      <c r="B223" s="13" t="s">
        <v>420</v>
      </c>
      <c r="C223" s="11" t="s">
        <v>382</v>
      </c>
    </row>
    <row r="224" spans="1:3">
      <c r="A224" s="11" t="s">
        <v>653</v>
      </c>
      <c r="B224" s="11" t="s">
        <v>1523</v>
      </c>
    </row>
    <row r="225" spans="1:3" ht="28.8">
      <c r="A225" s="11" t="s">
        <v>654</v>
      </c>
      <c r="B225" s="11" t="s">
        <v>1535</v>
      </c>
    </row>
    <row r="226" spans="1:3">
      <c r="A226" s="11" t="s">
        <v>655</v>
      </c>
      <c r="B226" s="13" t="s">
        <v>662</v>
      </c>
      <c r="C226" s="11" t="s">
        <v>382</v>
      </c>
    </row>
    <row r="227" spans="1:3" ht="129.6">
      <c r="A227" s="11" t="s">
        <v>656</v>
      </c>
      <c r="B227" s="11" t="s">
        <v>1536</v>
      </c>
    </row>
    <row r="228" spans="1:3">
      <c r="A228" s="11" t="s">
        <v>657</v>
      </c>
      <c r="B228" s="13" t="s">
        <v>1376</v>
      </c>
      <c r="C228" s="11" t="s">
        <v>382</v>
      </c>
    </row>
    <row r="230" spans="1:3">
      <c r="A230" s="14" t="s">
        <v>1534</v>
      </c>
      <c r="B230" s="14" t="s">
        <v>1670</v>
      </c>
    </row>
    <row r="231" spans="1:3">
      <c r="A231" s="11" t="s">
        <v>647</v>
      </c>
      <c r="B231" s="13" t="s">
        <v>420</v>
      </c>
      <c r="C231" s="11" t="s">
        <v>382</v>
      </c>
    </row>
    <row r="232" spans="1:3">
      <c r="A232" s="11" t="s">
        <v>653</v>
      </c>
      <c r="B232" s="11" t="s">
        <v>1523</v>
      </c>
    </row>
    <row r="233" spans="1:3">
      <c r="A233" s="11" t="s">
        <v>654</v>
      </c>
      <c r="B233" s="11" t="s">
        <v>1671</v>
      </c>
    </row>
    <row r="234" spans="1:3">
      <c r="A234" s="11" t="s">
        <v>655</v>
      </c>
      <c r="B234" s="13" t="s">
        <v>662</v>
      </c>
      <c r="C234" s="11" t="s">
        <v>382</v>
      </c>
    </row>
    <row r="235" spans="1:3" ht="43.2">
      <c r="A235" s="11" t="s">
        <v>656</v>
      </c>
      <c r="B235" s="11" t="s">
        <v>1672</v>
      </c>
    </row>
    <row r="236" spans="1:3">
      <c r="A236" s="11" t="s">
        <v>657</v>
      </c>
      <c r="B236" s="13" t="s">
        <v>661</v>
      </c>
      <c r="C236" s="11" t="s">
        <v>382</v>
      </c>
    </row>
    <row r="238" spans="1:3">
      <c r="A238" s="14" t="s">
        <v>1537</v>
      </c>
      <c r="B238" s="14" t="s">
        <v>1673</v>
      </c>
    </row>
    <row r="239" spans="1:3">
      <c r="A239" s="11" t="s">
        <v>647</v>
      </c>
      <c r="B239" s="13" t="s">
        <v>420</v>
      </c>
      <c r="C239" s="11" t="s">
        <v>382</v>
      </c>
    </row>
    <row r="240" spans="1:3">
      <c r="A240" s="11" t="s">
        <v>653</v>
      </c>
      <c r="B240" s="11" t="s">
        <v>1523</v>
      </c>
    </row>
    <row r="241" spans="1:3">
      <c r="A241" s="11" t="s">
        <v>654</v>
      </c>
      <c r="B241" s="11" t="s">
        <v>1674</v>
      </c>
    </row>
    <row r="242" spans="1:3">
      <c r="A242" s="11" t="s">
        <v>655</v>
      </c>
      <c r="B242" s="13" t="s">
        <v>662</v>
      </c>
      <c r="C242" s="11" t="s">
        <v>382</v>
      </c>
    </row>
    <row r="243" spans="1:3" ht="100.8">
      <c r="A243" s="11" t="s">
        <v>656</v>
      </c>
      <c r="B243" s="11" t="s">
        <v>1538</v>
      </c>
    </row>
    <row r="244" spans="1:3">
      <c r="A244" s="11" t="s">
        <v>657</v>
      </c>
      <c r="B244" s="13" t="s">
        <v>1376</v>
      </c>
      <c r="C244" s="11" t="s">
        <v>382</v>
      </c>
    </row>
    <row r="246" spans="1:3">
      <c r="A246" s="14" t="s">
        <v>1676</v>
      </c>
      <c r="B246" s="14" t="s">
        <v>1677</v>
      </c>
    </row>
    <row r="247" spans="1:3">
      <c r="A247" s="11" t="s">
        <v>647</v>
      </c>
      <c r="B247" s="13" t="s">
        <v>420</v>
      </c>
      <c r="C247" s="11" t="s">
        <v>382</v>
      </c>
    </row>
    <row r="248" spans="1:3">
      <c r="A248" s="11" t="s">
        <v>653</v>
      </c>
      <c r="B248" s="11" t="s">
        <v>1523</v>
      </c>
    </row>
    <row r="249" spans="1:3">
      <c r="A249" s="11" t="s">
        <v>654</v>
      </c>
      <c r="B249" s="11" t="s">
        <v>1678</v>
      </c>
    </row>
    <row r="250" spans="1:3">
      <c r="A250" s="11" t="s">
        <v>655</v>
      </c>
      <c r="B250" s="13" t="s">
        <v>662</v>
      </c>
      <c r="C250" s="11" t="s">
        <v>382</v>
      </c>
    </row>
    <row r="251" spans="1:3" ht="43.2">
      <c r="A251" s="11" t="s">
        <v>656</v>
      </c>
      <c r="B251" s="11" t="s">
        <v>1679</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1654</v>
      </c>
    </row>
    <row r="260" spans="1:3">
      <c r="A260" s="11" t="s">
        <v>680</v>
      </c>
      <c r="B260" s="13" t="s">
        <v>659</v>
      </c>
      <c r="C260" s="11" t="s">
        <v>382</v>
      </c>
    </row>
    <row r="261" spans="1:3" ht="100.8">
      <c r="A261" s="11" t="s">
        <v>681</v>
      </c>
      <c r="B261" s="11" t="s">
        <v>1675</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1665</v>
      </c>
    </row>
    <row r="271" spans="1:3">
      <c r="A271" s="19" t="s">
        <v>581</v>
      </c>
    </row>
    <row r="273" spans="1:3">
      <c r="A273" s="27" t="s">
        <v>786</v>
      </c>
      <c r="B273" s="28"/>
      <c r="C273" s="29"/>
    </row>
    <row r="274" spans="1:3" ht="57.6">
      <c r="A274" s="219" t="s">
        <v>1127</v>
      </c>
      <c r="B274" s="13" t="s">
        <v>1126</v>
      </c>
      <c r="C274" s="11" t="s">
        <v>382</v>
      </c>
    </row>
    <row r="276" spans="1:3">
      <c r="A276" s="17" t="s">
        <v>787</v>
      </c>
      <c r="B276" s="17"/>
    </row>
    <row r="277" spans="1:3">
      <c r="A277" s="27" t="s">
        <v>788</v>
      </c>
      <c r="B277" s="28"/>
      <c r="C277" s="29"/>
    </row>
    <row r="278" spans="1:3" ht="72">
      <c r="A278" s="219"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8" t="str">
        <f>_xlfn.CONCAT("Week ",T8)</f>
        <v>Week 18</v>
      </c>
      <c r="B3" s="439"/>
      <c r="C3" s="367" t="s">
        <v>1574</v>
      </c>
      <c r="D3" s="368" t="s">
        <v>1575</v>
      </c>
      <c r="E3" s="367" t="s">
        <v>1574</v>
      </c>
      <c r="F3" s="368" t="s">
        <v>1575</v>
      </c>
      <c r="G3" s="367" t="s">
        <v>1574</v>
      </c>
      <c r="H3" s="368" t="s">
        <v>1575</v>
      </c>
      <c r="I3" s="367" t="s">
        <v>1574</v>
      </c>
      <c r="J3" s="368" t="s">
        <v>1575</v>
      </c>
      <c r="K3" s="367" t="s">
        <v>1574</v>
      </c>
      <c r="L3" s="368" t="s">
        <v>1575</v>
      </c>
      <c r="M3" s="367" t="s">
        <v>1574</v>
      </c>
      <c r="N3" s="368" t="s">
        <v>1575</v>
      </c>
      <c r="O3" s="367" t="s">
        <v>1574</v>
      </c>
      <c r="P3" s="368" t="s">
        <v>1575</v>
      </c>
      <c r="Q3" s="438" t="str">
        <f>_xlfn.CONCAT("Week ",AJ8)</f>
        <v xml:space="preserve">Week </v>
      </c>
      <c r="R3" s="439"/>
    </row>
    <row r="4" spans="1:20" ht="19.95" customHeight="1">
      <c r="A4" s="440"/>
      <c r="B4" s="441"/>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40"/>
      <c r="R4" s="441"/>
      <c r="T4" s="366">
        <f>C5</f>
        <v>45416</v>
      </c>
    </row>
    <row r="5" spans="1:20" ht="19.95" customHeight="1">
      <c r="A5" s="371" t="s">
        <v>1576</v>
      </c>
      <c r="B5" s="371" t="s">
        <v>1577</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1576</v>
      </c>
      <c r="R5" s="371" t="s">
        <v>1577</v>
      </c>
      <c r="T5" s="366">
        <f>YEAR(T4)-1</f>
        <v>2023</v>
      </c>
    </row>
    <row r="6" spans="1:20" ht="19.95" customHeight="1">
      <c r="A6" s="374">
        <v>0.49999999999999994</v>
      </c>
      <c r="B6" s="374">
        <v>0.25</v>
      </c>
      <c r="C6" s="442"/>
      <c r="D6" s="385"/>
      <c r="E6" s="442"/>
      <c r="F6" s="385"/>
      <c r="G6" s="375" t="s">
        <v>1578</v>
      </c>
      <c r="H6" s="385"/>
      <c r="I6" s="375" t="s">
        <v>1578</v>
      </c>
      <c r="J6" s="385"/>
      <c r="K6" s="375" t="s">
        <v>1578</v>
      </c>
      <c r="L6" s="385"/>
      <c r="M6" s="375" t="s">
        <v>1578</v>
      </c>
      <c r="N6" s="385"/>
      <c r="O6" s="435" t="s">
        <v>1578</v>
      </c>
      <c r="P6" s="385"/>
      <c r="Q6" s="374">
        <v>0.49999999999999994</v>
      </c>
      <c r="R6" s="374">
        <v>0.25</v>
      </c>
      <c r="T6" s="366">
        <f>DATE(T5,12,31)</f>
        <v>45291</v>
      </c>
    </row>
    <row r="7" spans="1:20" ht="19.95" customHeight="1">
      <c r="A7" s="374">
        <v>0.52083333333333326</v>
      </c>
      <c r="B7" s="374">
        <v>0.27083333333333331</v>
      </c>
      <c r="C7" s="442"/>
      <c r="D7" s="386"/>
      <c r="E7" s="442"/>
      <c r="F7" s="386"/>
      <c r="G7" s="376" t="s">
        <v>1385</v>
      </c>
      <c r="H7" s="386"/>
      <c r="I7" s="443" t="s">
        <v>957</v>
      </c>
      <c r="J7" s="386"/>
      <c r="K7" s="444" t="s">
        <v>961</v>
      </c>
      <c r="L7" s="386"/>
      <c r="M7" s="434" t="s">
        <v>1583</v>
      </c>
      <c r="N7" s="386"/>
      <c r="O7" s="436"/>
      <c r="P7" s="386"/>
      <c r="Q7" s="374">
        <v>0.52083333333333326</v>
      </c>
      <c r="R7" s="374">
        <v>0.27083333333333331</v>
      </c>
      <c r="T7" s="366">
        <f>T4-T6</f>
        <v>125</v>
      </c>
    </row>
    <row r="8" spans="1:20" ht="19.95" customHeight="1">
      <c r="A8" s="374">
        <v>0.54166666666666663</v>
      </c>
      <c r="B8" s="374">
        <v>0.29166666666666663</v>
      </c>
      <c r="C8" s="444" t="s">
        <v>1594</v>
      </c>
      <c r="D8" s="386"/>
      <c r="E8" s="444" t="s">
        <v>1594</v>
      </c>
      <c r="F8" s="386"/>
      <c r="G8" s="449" t="s">
        <v>1393</v>
      </c>
      <c r="H8" s="386"/>
      <c r="I8" s="443"/>
      <c r="J8" s="386"/>
      <c r="K8" s="446"/>
      <c r="L8" s="386"/>
      <c r="M8" s="434"/>
      <c r="N8" s="386"/>
      <c r="O8" s="437"/>
      <c r="P8" s="386"/>
      <c r="Q8" s="374">
        <v>0.54166666666666663</v>
      </c>
      <c r="R8" s="374">
        <v>0.29166666666666663</v>
      </c>
      <c r="T8" s="366">
        <f>ROUNDUP(T7/7,0)</f>
        <v>18</v>
      </c>
    </row>
    <row r="9" spans="1:20" ht="19.95" customHeight="1">
      <c r="A9" s="374">
        <v>0.5625</v>
      </c>
      <c r="B9" s="374">
        <v>0.31249999999999994</v>
      </c>
      <c r="C9" s="445"/>
      <c r="D9" s="386"/>
      <c r="E9" s="445"/>
      <c r="F9" s="386"/>
      <c r="G9" s="449"/>
      <c r="H9" s="386"/>
      <c r="I9" s="443"/>
      <c r="J9" s="386"/>
      <c r="K9" s="376" t="s">
        <v>1579</v>
      </c>
      <c r="L9" s="386"/>
      <c r="M9" s="375" t="s">
        <v>587</v>
      </c>
      <c r="N9" s="386"/>
      <c r="O9" s="450" t="s">
        <v>1593</v>
      </c>
      <c r="P9" s="386"/>
      <c r="Q9" s="374">
        <v>0.5625</v>
      </c>
      <c r="R9" s="374">
        <v>0.31249999999999994</v>
      </c>
    </row>
    <row r="10" spans="1:20" ht="19.95" customHeight="1">
      <c r="A10" s="374">
        <v>0.58333333333333337</v>
      </c>
      <c r="B10" s="374">
        <v>0.33333333333333326</v>
      </c>
      <c r="C10" s="445"/>
      <c r="D10" s="386"/>
      <c r="E10" s="445"/>
      <c r="F10" s="386"/>
      <c r="G10" s="447" t="s">
        <v>1593</v>
      </c>
      <c r="H10" s="386"/>
      <c r="I10" s="450" t="s">
        <v>1593</v>
      </c>
      <c r="J10" s="386"/>
      <c r="K10" s="450" t="s">
        <v>1593</v>
      </c>
      <c r="L10" s="386"/>
      <c r="M10" s="450" t="s">
        <v>1593</v>
      </c>
      <c r="N10" s="386"/>
      <c r="O10" s="450"/>
      <c r="P10" s="386"/>
      <c r="Q10" s="374">
        <v>0.58333333333333337</v>
      </c>
      <c r="R10" s="374">
        <v>0.33333333333333326</v>
      </c>
    </row>
    <row r="11" spans="1:20" ht="19.95" customHeight="1">
      <c r="A11" s="374">
        <v>0.60416666666666674</v>
      </c>
      <c r="B11" s="374">
        <v>0.35416666666666657</v>
      </c>
      <c r="C11" s="445"/>
      <c r="D11" s="386"/>
      <c r="E11" s="445"/>
      <c r="F11" s="386"/>
      <c r="G11" s="448"/>
      <c r="H11" s="386"/>
      <c r="I11" s="450"/>
      <c r="J11" s="386"/>
      <c r="K11" s="450"/>
      <c r="L11" s="386"/>
      <c r="M11" s="450"/>
      <c r="N11" s="386"/>
      <c r="O11" s="451" t="s">
        <v>1601</v>
      </c>
      <c r="P11" s="386"/>
      <c r="Q11" s="374">
        <v>0.60416666666666674</v>
      </c>
      <c r="R11" s="374">
        <v>0.35416666666666657</v>
      </c>
    </row>
    <row r="12" spans="1:20" ht="19.95" customHeight="1">
      <c r="A12" s="374">
        <v>0.62500000000000011</v>
      </c>
      <c r="B12" s="374">
        <v>0.37499999999999989</v>
      </c>
      <c r="C12" s="445"/>
      <c r="D12" s="386"/>
      <c r="E12" s="445"/>
      <c r="F12" s="386"/>
      <c r="G12" s="444" t="s">
        <v>1582</v>
      </c>
      <c r="H12" s="386"/>
      <c r="I12" s="434" t="s">
        <v>957</v>
      </c>
      <c r="J12" s="386"/>
      <c r="K12" s="444" t="s">
        <v>1579</v>
      </c>
      <c r="L12" s="386"/>
      <c r="M12" s="435" t="s">
        <v>1600</v>
      </c>
      <c r="N12" s="386"/>
      <c r="O12" s="451"/>
      <c r="P12" s="386"/>
      <c r="Q12" s="374">
        <v>0.62500000000000011</v>
      </c>
      <c r="R12" s="374">
        <v>0.37499999999999989</v>
      </c>
    </row>
    <row r="13" spans="1:20" ht="19.95" customHeight="1">
      <c r="A13" s="374">
        <v>0.64583333333333348</v>
      </c>
      <c r="B13" s="374">
        <v>0.3958333333333332</v>
      </c>
      <c r="C13" s="445"/>
      <c r="D13" s="386"/>
      <c r="E13" s="445"/>
      <c r="F13" s="386"/>
      <c r="G13" s="445"/>
      <c r="H13" s="386"/>
      <c r="I13" s="434"/>
      <c r="J13" s="386"/>
      <c r="K13" s="445"/>
      <c r="L13" s="386"/>
      <c r="M13" s="436"/>
      <c r="N13" s="386"/>
      <c r="O13" s="435" t="s">
        <v>1585</v>
      </c>
      <c r="P13" s="386"/>
      <c r="Q13" s="374">
        <v>0.64583333333333348</v>
      </c>
      <c r="R13" s="374">
        <v>0.3958333333333332</v>
      </c>
    </row>
    <row r="14" spans="1:20" ht="19.95" customHeight="1">
      <c r="A14" s="374">
        <v>0.66666666666666685</v>
      </c>
      <c r="B14" s="374">
        <v>0.41666666666666652</v>
      </c>
      <c r="C14" s="445"/>
      <c r="D14" s="386"/>
      <c r="E14" s="445"/>
      <c r="F14" s="386"/>
      <c r="G14" s="445"/>
      <c r="H14" s="386"/>
      <c r="I14" s="434"/>
      <c r="J14" s="386"/>
      <c r="K14" s="445"/>
      <c r="L14" s="386"/>
      <c r="M14" s="437"/>
      <c r="N14" s="386"/>
      <c r="O14" s="436"/>
      <c r="P14" s="386"/>
      <c r="Q14" s="374">
        <v>0.66666666666666685</v>
      </c>
      <c r="R14" s="374">
        <v>0.41666666666666652</v>
      </c>
    </row>
    <row r="15" spans="1:20" ht="19.95" customHeight="1">
      <c r="A15" s="374">
        <v>0.68750000000000022</v>
      </c>
      <c r="B15" s="374">
        <v>0.4375</v>
      </c>
      <c r="C15" s="445"/>
      <c r="D15" s="386"/>
      <c r="E15" s="445"/>
      <c r="F15" s="386"/>
      <c r="G15" s="445"/>
      <c r="H15" s="386"/>
      <c r="I15" s="434"/>
      <c r="J15" s="386"/>
      <c r="K15" s="445"/>
      <c r="L15" s="386"/>
      <c r="M15" s="452" t="s">
        <v>1580</v>
      </c>
      <c r="N15" s="386"/>
      <c r="O15" s="436"/>
      <c r="P15" s="386"/>
      <c r="Q15" s="374">
        <v>0.68750000000000022</v>
      </c>
      <c r="R15" s="374">
        <v>0.4375</v>
      </c>
    </row>
    <row r="16" spans="1:20" ht="19.95" customHeight="1">
      <c r="A16" s="374">
        <v>0.70833333333333359</v>
      </c>
      <c r="B16" s="374">
        <v>0.45833333333333398</v>
      </c>
      <c r="C16" s="445"/>
      <c r="D16" s="386"/>
      <c r="E16" s="445"/>
      <c r="F16" s="386"/>
      <c r="G16" s="445"/>
      <c r="H16" s="386"/>
      <c r="I16" s="434"/>
      <c r="J16" s="386"/>
      <c r="K16" s="445"/>
      <c r="L16" s="386"/>
      <c r="M16" s="453"/>
      <c r="N16" s="386"/>
      <c r="O16" s="436"/>
      <c r="P16" s="386"/>
      <c r="Q16" s="374">
        <v>0.70833333333333359</v>
      </c>
      <c r="R16" s="374">
        <v>0.45833333333333398</v>
      </c>
    </row>
    <row r="17" spans="1:18" ht="19.95" customHeight="1">
      <c r="A17" s="374">
        <v>0.72916666666666696</v>
      </c>
      <c r="B17" s="374">
        <v>0.47916666666666702</v>
      </c>
      <c r="C17" s="445"/>
      <c r="D17" s="386"/>
      <c r="E17" s="445"/>
      <c r="F17" s="386"/>
      <c r="G17" s="446"/>
      <c r="H17" s="386"/>
      <c r="I17" s="435" t="s">
        <v>587</v>
      </c>
      <c r="J17" s="386"/>
      <c r="K17" s="445"/>
      <c r="L17" s="386"/>
      <c r="M17" s="454" t="s">
        <v>1581</v>
      </c>
      <c r="N17" s="386"/>
      <c r="O17" s="436"/>
      <c r="P17" s="386"/>
      <c r="Q17" s="374">
        <v>0.72916666666666696</v>
      </c>
      <c r="R17" s="374">
        <v>0.47916666666666702</v>
      </c>
    </row>
    <row r="18" spans="1:18" ht="19.95" customHeight="1">
      <c r="A18" s="374">
        <v>0.75</v>
      </c>
      <c r="B18" s="374">
        <v>0.5</v>
      </c>
      <c r="C18" s="445"/>
      <c r="D18" s="386"/>
      <c r="E18" s="445"/>
      <c r="F18" s="386"/>
      <c r="G18" s="375" t="s">
        <v>587</v>
      </c>
      <c r="H18" s="386"/>
      <c r="I18" s="437"/>
      <c r="J18" s="386"/>
      <c r="K18" s="445"/>
      <c r="L18" s="386"/>
      <c r="M18" s="455"/>
      <c r="N18" s="386"/>
      <c r="O18" s="436"/>
      <c r="P18" s="386"/>
      <c r="Q18" s="374">
        <v>0.75</v>
      </c>
      <c r="R18" s="374">
        <v>0.5</v>
      </c>
    </row>
    <row r="19" spans="1:18" ht="19.95" customHeight="1">
      <c r="A19" s="374">
        <v>0.77083333333333404</v>
      </c>
      <c r="B19" s="374">
        <v>0.52083333333333404</v>
      </c>
      <c r="C19" s="445"/>
      <c r="D19" s="386"/>
      <c r="E19" s="445"/>
      <c r="F19" s="386"/>
      <c r="G19" s="434" t="s">
        <v>1584</v>
      </c>
      <c r="H19" s="386"/>
      <c r="I19" s="434" t="s">
        <v>960</v>
      </c>
      <c r="J19" s="386"/>
      <c r="K19" s="445"/>
      <c r="L19" s="386"/>
      <c r="M19" s="435" t="s">
        <v>1745</v>
      </c>
      <c r="N19" s="386"/>
      <c r="O19" s="436"/>
      <c r="P19" s="386"/>
      <c r="Q19" s="374">
        <v>0.77083333333333404</v>
      </c>
      <c r="R19" s="374">
        <v>0.52083333333333404</v>
      </c>
    </row>
    <row r="20" spans="1:18" ht="19.95" customHeight="1">
      <c r="A20" s="377">
        <v>0.79166666666666696</v>
      </c>
      <c r="B20" s="377">
        <v>0.54166666666666696</v>
      </c>
      <c r="C20" s="445"/>
      <c r="D20" s="386"/>
      <c r="E20" s="445"/>
      <c r="F20" s="386"/>
      <c r="G20" s="434"/>
      <c r="H20" s="386"/>
      <c r="I20" s="434"/>
      <c r="J20" s="386"/>
      <c r="K20" s="446"/>
      <c r="L20" s="386"/>
      <c r="M20" s="436"/>
      <c r="N20" s="386"/>
      <c r="O20" s="436"/>
      <c r="P20" s="386"/>
      <c r="Q20" s="377">
        <v>0.79166666666666696</v>
      </c>
      <c r="R20" s="377">
        <v>0.54166666666666696</v>
      </c>
    </row>
    <row r="21" spans="1:18" ht="19.95" customHeight="1">
      <c r="A21" s="377">
        <v>0.8125</v>
      </c>
      <c r="B21" s="377">
        <v>0.5625</v>
      </c>
      <c r="C21" s="446"/>
      <c r="D21" s="386"/>
      <c r="E21" s="446"/>
      <c r="F21" s="386"/>
      <c r="G21" s="435" t="s">
        <v>1597</v>
      </c>
      <c r="H21" s="386"/>
      <c r="I21" s="466" t="s">
        <v>1597</v>
      </c>
      <c r="J21" s="386"/>
      <c r="K21" s="466" t="s">
        <v>1597</v>
      </c>
      <c r="L21" s="386"/>
      <c r="M21" s="436"/>
      <c r="N21" s="386"/>
      <c r="O21" s="437"/>
      <c r="P21" s="386"/>
      <c r="Q21" s="377">
        <v>0.8125</v>
      </c>
      <c r="R21" s="377">
        <v>0.5625</v>
      </c>
    </row>
    <row r="22" spans="1:18" ht="19.95" customHeight="1">
      <c r="A22" s="377">
        <v>0.83333333333333404</v>
      </c>
      <c r="B22" s="377">
        <v>0.58333333333333304</v>
      </c>
      <c r="C22" s="435" t="s">
        <v>1599</v>
      </c>
      <c r="D22" s="386"/>
      <c r="E22" s="435" t="s">
        <v>1599</v>
      </c>
      <c r="F22" s="386"/>
      <c r="G22" s="437"/>
      <c r="H22" s="386"/>
      <c r="I22" s="466"/>
      <c r="J22" s="386"/>
      <c r="K22" s="466"/>
      <c r="L22" s="386"/>
      <c r="M22" s="437"/>
      <c r="N22" s="386"/>
      <c r="O22" s="456" t="s">
        <v>1598</v>
      </c>
      <c r="P22" s="386"/>
      <c r="Q22" s="377">
        <v>0.83333333333333404</v>
      </c>
      <c r="R22" s="377">
        <v>0.58333333333333304</v>
      </c>
    </row>
    <row r="23" spans="1:18" ht="19.95" customHeight="1">
      <c r="A23" s="377">
        <v>0.85416666666666696</v>
      </c>
      <c r="B23" s="377">
        <v>0.60416666666666696</v>
      </c>
      <c r="C23" s="437"/>
      <c r="D23" s="386"/>
      <c r="E23" s="437"/>
      <c r="F23" s="386"/>
      <c r="G23" s="463" t="s">
        <v>1598</v>
      </c>
      <c r="H23" s="386"/>
      <c r="I23" s="442" t="s">
        <v>1598</v>
      </c>
      <c r="J23" s="386"/>
      <c r="K23" s="442" t="s">
        <v>1598</v>
      </c>
      <c r="L23" s="386"/>
      <c r="M23" s="442" t="s">
        <v>1598</v>
      </c>
      <c r="N23" s="386"/>
      <c r="O23" s="456"/>
      <c r="P23" s="386"/>
      <c r="Q23" s="377">
        <v>0.85416666666666696</v>
      </c>
      <c r="R23" s="377">
        <v>0.60416666666666696</v>
      </c>
    </row>
    <row r="24" spans="1:18" ht="19.95" customHeight="1">
      <c r="A24" s="377">
        <v>0.874999999999999</v>
      </c>
      <c r="B24" s="377">
        <v>0.624999999999999</v>
      </c>
      <c r="C24" s="456" t="s">
        <v>1598</v>
      </c>
      <c r="D24" s="386"/>
      <c r="E24" s="456" t="s">
        <v>1598</v>
      </c>
      <c r="F24" s="386"/>
      <c r="G24" s="464"/>
      <c r="H24" s="386"/>
      <c r="I24" s="442"/>
      <c r="J24" s="386"/>
      <c r="K24" s="442"/>
      <c r="L24" s="386"/>
      <c r="M24" s="442"/>
      <c r="N24" s="386"/>
      <c r="O24" s="456"/>
      <c r="P24" s="386"/>
      <c r="Q24" s="377">
        <v>0.874999999999999</v>
      </c>
      <c r="R24" s="377">
        <v>0.624999999999999</v>
      </c>
    </row>
    <row r="25" spans="1:18" ht="19.95" customHeight="1">
      <c r="A25" s="377">
        <v>0.89583333333333204</v>
      </c>
      <c r="B25" s="377">
        <v>0.64583333333333204</v>
      </c>
      <c r="C25" s="456"/>
      <c r="D25" s="387"/>
      <c r="E25" s="456"/>
      <c r="F25" s="387"/>
      <c r="G25" s="465"/>
      <c r="H25" s="387"/>
      <c r="I25" s="442"/>
      <c r="J25" s="387"/>
      <c r="K25" s="442"/>
      <c r="L25" s="387"/>
      <c r="M25" s="442"/>
      <c r="N25" s="387"/>
      <c r="O25" s="456"/>
      <c r="P25" s="387"/>
      <c r="Q25" s="377">
        <v>0.89583333333333204</v>
      </c>
      <c r="R25" s="377">
        <v>0.64583333333333204</v>
      </c>
    </row>
    <row r="33" spans="2:15" ht="16.05" customHeight="1">
      <c r="B33" s="378" t="s">
        <v>816</v>
      </c>
      <c r="C33" s="378" t="s">
        <v>817</v>
      </c>
      <c r="D33" s="457" t="s">
        <v>1586</v>
      </c>
      <c r="E33" s="458"/>
      <c r="F33" s="458"/>
      <c r="G33" s="459"/>
      <c r="H33" s="378" t="s">
        <v>1587</v>
      </c>
      <c r="L33" s="460" t="s">
        <v>1596</v>
      </c>
      <c r="M33" s="461"/>
      <c r="N33" s="461"/>
      <c r="O33" s="462"/>
    </row>
    <row r="34" spans="2:15" ht="16.05" customHeight="1">
      <c r="B34" s="379">
        <v>1</v>
      </c>
      <c r="C34" s="380">
        <f>Planning!B41</f>
        <v>45406</v>
      </c>
      <c r="D34" s="467" t="s">
        <v>1588</v>
      </c>
      <c r="E34" s="467"/>
      <c r="F34" s="467"/>
      <c r="G34" s="467"/>
      <c r="H34" s="381" t="s">
        <v>578</v>
      </c>
      <c r="L34" s="471" t="s">
        <v>1595</v>
      </c>
      <c r="M34" s="472"/>
      <c r="N34" s="472"/>
      <c r="O34" s="473"/>
    </row>
    <row r="35" spans="2:15" ht="16.05" customHeight="1">
      <c r="B35" s="379" t="s">
        <v>1589</v>
      </c>
      <c r="C35" s="380">
        <f>G5</f>
        <v>45418</v>
      </c>
      <c r="D35" s="467" t="s">
        <v>1590</v>
      </c>
      <c r="E35" s="467"/>
      <c r="F35" s="467"/>
      <c r="G35" s="467"/>
      <c r="H35" s="381" t="s">
        <v>603</v>
      </c>
      <c r="L35" s="474" t="s">
        <v>1591</v>
      </c>
      <c r="M35" s="475"/>
      <c r="N35" s="475"/>
      <c r="O35" s="476"/>
    </row>
    <row r="36" spans="2:15" ht="16.05" customHeight="1">
      <c r="B36" s="379"/>
      <c r="C36" s="380"/>
      <c r="D36" s="467"/>
      <c r="E36" s="467"/>
      <c r="F36" s="467"/>
      <c r="G36" s="467"/>
      <c r="H36" s="381"/>
      <c r="L36" s="477" t="s">
        <v>1592</v>
      </c>
      <c r="M36" s="478"/>
      <c r="N36" s="478"/>
      <c r="O36" s="479"/>
    </row>
    <row r="37" spans="2:15" ht="16.05" customHeight="1">
      <c r="B37" s="379"/>
      <c r="C37" s="380"/>
      <c r="D37" s="467"/>
      <c r="E37" s="467"/>
      <c r="F37" s="467"/>
      <c r="G37" s="467"/>
      <c r="H37" s="381"/>
      <c r="L37" s="468" t="s">
        <v>1593</v>
      </c>
      <c r="M37" s="469"/>
      <c r="N37" s="469"/>
      <c r="O37" s="470"/>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3" t="s">
        <v>1180</v>
      </c>
      <c r="B3" s="11"/>
    </row>
    <row r="4" spans="1:3" s="16" customFormat="1">
      <c r="B4" s="11"/>
    </row>
    <row r="5" spans="1:3">
      <c r="A5" s="27" t="s">
        <v>1179</v>
      </c>
      <c r="B5" s="28"/>
      <c r="C5" s="29"/>
    </row>
    <row r="6" spans="1:3" s="16" customFormat="1">
      <c r="A6" s="103"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3" t="s">
        <v>1125</v>
      </c>
      <c r="B3" s="11"/>
    </row>
    <row r="4" spans="1:3" s="16" customFormat="1">
      <c r="B4" s="11"/>
    </row>
    <row r="5" spans="1:3">
      <c r="A5" s="27" t="s">
        <v>1121</v>
      </c>
      <c r="B5" s="28"/>
      <c r="C5" s="29"/>
    </row>
    <row r="6" spans="1:3">
      <c r="A6" s="11" t="s">
        <v>1556</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1461</v>
      </c>
      <c r="C2" t="s">
        <v>851</v>
      </c>
      <c r="D2" t="s">
        <v>1471</v>
      </c>
      <c r="E2" t="s">
        <v>1110</v>
      </c>
      <c r="F2" t="s">
        <v>866</v>
      </c>
      <c r="G2" t="s">
        <v>403</v>
      </c>
    </row>
    <row r="3" spans="1:7">
      <c r="A3" t="s">
        <v>866</v>
      </c>
      <c r="B3" t="s">
        <v>1461</v>
      </c>
      <c r="C3" t="s">
        <v>852</v>
      </c>
      <c r="D3" t="s">
        <v>1470</v>
      </c>
      <c r="E3" t="s">
        <v>881</v>
      </c>
      <c r="F3" t="s">
        <v>866</v>
      </c>
      <c r="G3" t="s">
        <v>403</v>
      </c>
    </row>
    <row r="4" spans="1:7">
      <c r="A4" t="s">
        <v>867</v>
      </c>
      <c r="B4" t="s">
        <v>1462</v>
      </c>
      <c r="C4" t="s">
        <v>853</v>
      </c>
      <c r="D4" t="s">
        <v>1474</v>
      </c>
      <c r="E4" t="s">
        <v>880</v>
      </c>
      <c r="F4" t="s">
        <v>867</v>
      </c>
      <c r="G4" t="s">
        <v>403</v>
      </c>
    </row>
    <row r="5" spans="1:7">
      <c r="A5" t="s">
        <v>867</v>
      </c>
      <c r="B5" t="s">
        <v>1462</v>
      </c>
      <c r="C5" t="s">
        <v>854</v>
      </c>
      <c r="D5" t="s">
        <v>1474</v>
      </c>
      <c r="E5" t="s">
        <v>880</v>
      </c>
      <c r="F5" t="s">
        <v>867</v>
      </c>
      <c r="G5" t="s">
        <v>403</v>
      </c>
    </row>
    <row r="6" spans="1:7">
      <c r="A6" t="s">
        <v>867</v>
      </c>
      <c r="B6" t="s">
        <v>1462</v>
      </c>
      <c r="C6" t="s">
        <v>855</v>
      </c>
      <c r="D6" t="s">
        <v>1476</v>
      </c>
      <c r="E6" t="s">
        <v>1110</v>
      </c>
      <c r="F6" t="s">
        <v>867</v>
      </c>
      <c r="G6" t="s">
        <v>403</v>
      </c>
    </row>
    <row r="7" spans="1:7">
      <c r="A7" t="s">
        <v>868</v>
      </c>
      <c r="B7" t="s">
        <v>1463</v>
      </c>
      <c r="C7" t="s">
        <v>860</v>
      </c>
      <c r="D7" t="s">
        <v>1483</v>
      </c>
      <c r="E7" t="s">
        <v>1309</v>
      </c>
      <c r="F7" t="s">
        <v>868</v>
      </c>
      <c r="G7" t="s">
        <v>403</v>
      </c>
    </row>
    <row r="8" spans="1:7">
      <c r="A8" t="s">
        <v>868</v>
      </c>
      <c r="B8" t="s">
        <v>1463</v>
      </c>
      <c r="C8" t="s">
        <v>861</v>
      </c>
      <c r="D8" t="s">
        <v>1483</v>
      </c>
      <c r="E8" t="s">
        <v>1309</v>
      </c>
      <c r="F8" t="s">
        <v>868</v>
      </c>
      <c r="G8" t="s">
        <v>403</v>
      </c>
    </row>
    <row r="9" spans="1:7">
      <c r="A9" t="s">
        <v>868</v>
      </c>
      <c r="B9" t="s">
        <v>1463</v>
      </c>
      <c r="C9" t="s">
        <v>862</v>
      </c>
      <c r="D9" t="s">
        <v>1483</v>
      </c>
      <c r="E9" t="s">
        <v>1309</v>
      </c>
      <c r="F9" t="s">
        <v>868</v>
      </c>
      <c r="G9" t="s">
        <v>403</v>
      </c>
    </row>
    <row r="10" spans="1:7">
      <c r="A10" t="s">
        <v>869</v>
      </c>
      <c r="B10" t="s">
        <v>1464</v>
      </c>
      <c r="C10" t="s">
        <v>859</v>
      </c>
      <c r="D10" t="s">
        <v>1488</v>
      </c>
      <c r="E10" t="s">
        <v>1309</v>
      </c>
      <c r="F10" t="s">
        <v>869</v>
      </c>
      <c r="G10" t="s">
        <v>403</v>
      </c>
    </row>
    <row r="11" spans="1:7">
      <c r="A11" t="s">
        <v>871</v>
      </c>
      <c r="B11" t="s">
        <v>1300</v>
      </c>
      <c r="C11" t="s">
        <v>724</v>
      </c>
      <c r="D11" t="s">
        <v>1489</v>
      </c>
      <c r="E11" t="s">
        <v>1308</v>
      </c>
      <c r="F11" t="s">
        <v>871</v>
      </c>
      <c r="G11" t="s">
        <v>403</v>
      </c>
    </row>
    <row r="12" spans="1:7">
      <c r="A12" t="s">
        <v>872</v>
      </c>
      <c r="B12" t="s">
        <v>1301</v>
      </c>
      <c r="C12" t="s">
        <v>863</v>
      </c>
      <c r="D12" t="s">
        <v>1550</v>
      </c>
      <c r="E12" t="s">
        <v>1549</v>
      </c>
      <c r="F12" t="s">
        <v>872</v>
      </c>
      <c r="G12" t="s">
        <v>403</v>
      </c>
    </row>
    <row r="13" spans="1:7">
      <c r="A13" t="s">
        <v>872</v>
      </c>
      <c r="B13" t="s">
        <v>1301</v>
      </c>
      <c r="C13" t="s">
        <v>864</v>
      </c>
      <c r="D13" t="s">
        <v>1490</v>
      </c>
      <c r="E13" t="s">
        <v>1310</v>
      </c>
      <c r="F13" t="s">
        <v>872</v>
      </c>
      <c r="G13" t="s">
        <v>403</v>
      </c>
    </row>
    <row r="14" spans="1:7">
      <c r="A14" t="s">
        <v>872</v>
      </c>
      <c r="B14" t="s">
        <v>1301</v>
      </c>
      <c r="C14" t="s">
        <v>856</v>
      </c>
      <c r="D14" t="s">
        <v>1550</v>
      </c>
      <c r="E14" t="s">
        <v>1549</v>
      </c>
      <c r="F14" t="s">
        <v>872</v>
      </c>
      <c r="G14" t="s">
        <v>403</v>
      </c>
    </row>
    <row r="15" spans="1:7">
      <c r="A15" t="s">
        <v>872</v>
      </c>
      <c r="B15" t="s">
        <v>1301</v>
      </c>
      <c r="C15" t="s">
        <v>857</v>
      </c>
      <c r="D15" t="s">
        <v>1490</v>
      </c>
      <c r="E15" t="s">
        <v>1310</v>
      </c>
      <c r="F15" t="s">
        <v>872</v>
      </c>
      <c r="G15" t="s">
        <v>403</v>
      </c>
    </row>
    <row r="16" spans="1:7">
      <c r="A16" t="s">
        <v>872</v>
      </c>
      <c r="B16" t="s">
        <v>1301</v>
      </c>
      <c r="C16" t="s">
        <v>858</v>
      </c>
      <c r="D16" t="s">
        <v>1490</v>
      </c>
      <c r="E16" t="s">
        <v>1310</v>
      </c>
      <c r="F16" t="s">
        <v>872</v>
      </c>
      <c r="G16" t="s">
        <v>403</v>
      </c>
    </row>
    <row r="17" spans="1:7">
      <c r="A17" t="s">
        <v>873</v>
      </c>
      <c r="B17" t="s">
        <v>1302</v>
      </c>
      <c r="C17" t="s">
        <v>726</v>
      </c>
      <c r="D17" t="s">
        <v>1491</v>
      </c>
      <c r="E17" t="s">
        <v>1307</v>
      </c>
      <c r="F17" t="s">
        <v>873</v>
      </c>
      <c r="G17" t="s">
        <v>403</v>
      </c>
    </row>
    <row r="18" spans="1:7">
      <c r="A18" t="s">
        <v>874</v>
      </c>
      <c r="B18" t="s">
        <v>1303</v>
      </c>
      <c r="C18" t="s">
        <v>805</v>
      </c>
      <c r="D18" t="s">
        <v>1492</v>
      </c>
      <c r="E18" t="s">
        <v>1192</v>
      </c>
      <c r="F18" t="s">
        <v>874</v>
      </c>
      <c r="G18" t="s">
        <v>403</v>
      </c>
    </row>
    <row r="19" spans="1:7">
      <c r="A19" t="s">
        <v>866</v>
      </c>
      <c r="B19" t="s">
        <v>1461</v>
      </c>
      <c r="C19" t="s">
        <v>852</v>
      </c>
      <c r="D19" t="s">
        <v>1471</v>
      </c>
      <c r="E19" t="s">
        <v>1110</v>
      </c>
      <c r="F19" t="s">
        <v>866</v>
      </c>
    </row>
    <row r="20" spans="1:7">
      <c r="A20" t="s">
        <v>867</v>
      </c>
      <c r="B20" t="s">
        <v>1462</v>
      </c>
      <c r="C20" t="s">
        <v>853</v>
      </c>
      <c r="D20" t="s">
        <v>1475</v>
      </c>
      <c r="E20" t="s">
        <v>881</v>
      </c>
      <c r="F20" t="s">
        <v>867</v>
      </c>
    </row>
    <row r="21" spans="1:7">
      <c r="A21" t="s">
        <v>867</v>
      </c>
      <c r="B21" t="s">
        <v>1462</v>
      </c>
      <c r="C21" t="s">
        <v>853</v>
      </c>
      <c r="D21" t="s">
        <v>1476</v>
      </c>
      <c r="E21" t="s">
        <v>1110</v>
      </c>
      <c r="F21" t="s">
        <v>867</v>
      </c>
    </row>
    <row r="22" spans="1:7">
      <c r="A22" t="s">
        <v>867</v>
      </c>
      <c r="B22" t="s">
        <v>1462</v>
      </c>
      <c r="C22" t="s">
        <v>853</v>
      </c>
      <c r="D22" t="s">
        <v>1478</v>
      </c>
      <c r="E22" t="s">
        <v>1309</v>
      </c>
      <c r="F22" t="s">
        <v>867</v>
      </c>
    </row>
    <row r="23" spans="1:7">
      <c r="A23" t="s">
        <v>867</v>
      </c>
      <c r="B23" t="s">
        <v>1462</v>
      </c>
      <c r="C23" t="s">
        <v>853</v>
      </c>
      <c r="D23" t="s">
        <v>1477</v>
      </c>
      <c r="E23" t="s">
        <v>1242</v>
      </c>
      <c r="F23" t="s">
        <v>867</v>
      </c>
    </row>
    <row r="24" spans="1:7">
      <c r="A24" t="s">
        <v>867</v>
      </c>
      <c r="B24" t="s">
        <v>1462</v>
      </c>
      <c r="C24" t="s">
        <v>855</v>
      </c>
      <c r="D24" t="s">
        <v>1477</v>
      </c>
      <c r="E24" t="s">
        <v>1242</v>
      </c>
      <c r="F24" t="s">
        <v>867</v>
      </c>
    </row>
    <row r="25" spans="1:7">
      <c r="A25" t="s">
        <v>872</v>
      </c>
      <c r="B25" t="s">
        <v>1301</v>
      </c>
      <c r="C25" t="s">
        <v>864</v>
      </c>
      <c r="D25" t="s">
        <v>1550</v>
      </c>
      <c r="E25" t="s">
        <v>1549</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883</v>
      </c>
      <c r="B3" s="261" t="s">
        <v>884</v>
      </c>
    </row>
    <row r="4" spans="1:13">
      <c r="A4" s="261" t="s">
        <v>885</v>
      </c>
      <c r="B4" t="s">
        <v>866</v>
      </c>
      <c r="C4" t="s">
        <v>867</v>
      </c>
      <c r="D4" t="s">
        <v>869</v>
      </c>
      <c r="E4" t="s">
        <v>871</v>
      </c>
      <c r="F4" t="s">
        <v>872</v>
      </c>
      <c r="G4" t="s">
        <v>886</v>
      </c>
      <c r="H4" t="s">
        <v>868</v>
      </c>
      <c r="I4" t="s">
        <v>873</v>
      </c>
      <c r="J4" t="s">
        <v>874</v>
      </c>
      <c r="K4" t="s">
        <v>887</v>
      </c>
    </row>
    <row r="5" spans="1:13">
      <c r="A5" s="106" t="s">
        <v>863</v>
      </c>
      <c r="F5">
        <v>1</v>
      </c>
      <c r="K5">
        <v>1</v>
      </c>
      <c r="M5" t="s">
        <v>863</v>
      </c>
    </row>
    <row r="6" spans="1:13">
      <c r="A6" s="106" t="s">
        <v>724</v>
      </c>
      <c r="E6">
        <v>1</v>
      </c>
      <c r="K6">
        <v>1</v>
      </c>
      <c r="M6" t="s">
        <v>724</v>
      </c>
    </row>
    <row r="7" spans="1:13">
      <c r="A7" s="106" t="s">
        <v>860</v>
      </c>
      <c r="H7">
        <v>1</v>
      </c>
      <c r="K7">
        <v>1</v>
      </c>
      <c r="M7" t="s">
        <v>860</v>
      </c>
    </row>
    <row r="8" spans="1:13">
      <c r="A8" s="106" t="s">
        <v>861</v>
      </c>
      <c r="H8">
        <v>1</v>
      </c>
      <c r="K8">
        <v>1</v>
      </c>
      <c r="M8" t="s">
        <v>861</v>
      </c>
    </row>
    <row r="9" spans="1:13">
      <c r="A9" s="106" t="s">
        <v>851</v>
      </c>
      <c r="B9">
        <v>1</v>
      </c>
      <c r="K9">
        <v>1</v>
      </c>
      <c r="M9" t="s">
        <v>851</v>
      </c>
    </row>
    <row r="10" spans="1:13">
      <c r="A10" s="106" t="s">
        <v>862</v>
      </c>
      <c r="H10">
        <v>1</v>
      </c>
      <c r="K10">
        <v>1</v>
      </c>
      <c r="M10" t="s">
        <v>862</v>
      </c>
    </row>
    <row r="11" spans="1:13">
      <c r="A11" s="106" t="s">
        <v>853</v>
      </c>
      <c r="C11">
        <v>5</v>
      </c>
      <c r="K11">
        <v>5</v>
      </c>
      <c r="M11" t="s">
        <v>853</v>
      </c>
    </row>
    <row r="12" spans="1:13">
      <c r="A12" s="106" t="s">
        <v>854</v>
      </c>
      <c r="C12">
        <v>1</v>
      </c>
      <c r="K12">
        <v>1</v>
      </c>
      <c r="M12" t="s">
        <v>854</v>
      </c>
    </row>
    <row r="13" spans="1:13">
      <c r="A13" s="106" t="s">
        <v>859</v>
      </c>
      <c r="D13">
        <v>1</v>
      </c>
      <c r="K13">
        <v>1</v>
      </c>
      <c r="M13" t="s">
        <v>859</v>
      </c>
    </row>
    <row r="14" spans="1:13">
      <c r="A14" s="106" t="s">
        <v>852</v>
      </c>
      <c r="B14">
        <v>2</v>
      </c>
      <c r="K14">
        <v>2</v>
      </c>
      <c r="M14" t="s">
        <v>852</v>
      </c>
    </row>
    <row r="15" spans="1:13">
      <c r="A15" s="106" t="s">
        <v>855</v>
      </c>
      <c r="C15">
        <v>2</v>
      </c>
      <c r="K15">
        <v>2</v>
      </c>
      <c r="M15" t="s">
        <v>855</v>
      </c>
    </row>
    <row r="16" spans="1:13">
      <c r="A16" s="106" t="s">
        <v>886</v>
      </c>
    </row>
    <row r="17" spans="1:13">
      <c r="A17" s="106" t="s">
        <v>856</v>
      </c>
      <c r="F17">
        <v>1</v>
      </c>
      <c r="K17">
        <v>1</v>
      </c>
      <c r="M17" t="s">
        <v>856</v>
      </c>
    </row>
    <row r="18" spans="1:13">
      <c r="A18" s="106" t="s">
        <v>857</v>
      </c>
      <c r="F18">
        <v>1</v>
      </c>
      <c r="K18">
        <v>1</v>
      </c>
      <c r="M18" t="s">
        <v>857</v>
      </c>
    </row>
    <row r="19" spans="1:13">
      <c r="A19" s="106" t="s">
        <v>858</v>
      </c>
      <c r="F19">
        <v>1</v>
      </c>
      <c r="K19">
        <v>1</v>
      </c>
      <c r="M19" t="s">
        <v>858</v>
      </c>
    </row>
    <row r="20" spans="1:13">
      <c r="A20" s="106" t="s">
        <v>726</v>
      </c>
      <c r="I20">
        <v>1</v>
      </c>
      <c r="K20">
        <v>1</v>
      </c>
      <c r="M20" t="s">
        <v>726</v>
      </c>
    </row>
    <row r="21" spans="1:13">
      <c r="A21" s="106" t="s">
        <v>805</v>
      </c>
      <c r="J21">
        <v>1</v>
      </c>
      <c r="K21">
        <v>1</v>
      </c>
      <c r="M21" t="s">
        <v>805</v>
      </c>
    </row>
    <row r="22" spans="1:13">
      <c r="A22" s="106" t="s">
        <v>864</v>
      </c>
      <c r="F22">
        <v>2</v>
      </c>
      <c r="K22">
        <v>2</v>
      </c>
      <c r="M22" t="s">
        <v>864</v>
      </c>
    </row>
    <row r="23" spans="1:13">
      <c r="A23" s="106"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849</v>
      </c>
      <c r="B1" s="119" t="s">
        <v>875</v>
      </c>
      <c r="C1" s="95" t="s">
        <v>889</v>
      </c>
      <c r="D1" s="94" t="s">
        <v>890</v>
      </c>
      <c r="E1" s="94" t="s">
        <v>876</v>
      </c>
      <c r="F1" s="95" t="s">
        <v>891</v>
      </c>
      <c r="G1" s="93" t="s">
        <v>892</v>
      </c>
      <c r="H1" s="94" t="s">
        <v>593</v>
      </c>
      <c r="I1" s="94" t="s">
        <v>894</v>
      </c>
      <c r="K1" s="264" t="s">
        <v>1247</v>
      </c>
      <c r="L1" s="264">
        <f>VALUE(RIGHT(Planning!B16,1))</f>
        <v>5</v>
      </c>
      <c r="M1" s="16" t="s">
        <v>1248</v>
      </c>
    </row>
    <row r="2" spans="1:13">
      <c r="A2" t="s">
        <v>866</v>
      </c>
      <c r="B2" t="s">
        <v>1461</v>
      </c>
      <c r="C2" t="s">
        <v>851</v>
      </c>
      <c r="D2" t="s">
        <v>1471</v>
      </c>
      <c r="E2" t="s">
        <v>1110</v>
      </c>
      <c r="F2" t="s">
        <v>866</v>
      </c>
      <c r="G2" t="s">
        <v>403</v>
      </c>
      <c r="H2" s="265" t="str">
        <f t="shared" ref="H2" si="0">VLOOKUP(E2,tbl_RolePAlookup,2,FALSE)</f>
        <v>[4] Engineering</v>
      </c>
      <c r="I2" s="360">
        <f t="shared" ref="I2" si="1">VLOOKUP(C2,tbl_PAcount,L$1+1,FALSE)</f>
        <v>10</v>
      </c>
    </row>
    <row r="3" spans="1:13">
      <c r="A3" t="s">
        <v>866</v>
      </c>
      <c r="B3" t="s">
        <v>1461</v>
      </c>
      <c r="C3" t="s">
        <v>852</v>
      </c>
      <c r="D3" t="s">
        <v>1470</v>
      </c>
      <c r="E3" t="s">
        <v>881</v>
      </c>
      <c r="F3" t="s">
        <v>866</v>
      </c>
      <c r="G3" t="s">
        <v>403</v>
      </c>
      <c r="H3" s="265" t="str">
        <f t="shared" ref="H3:H18" si="2">VLOOKUP(E3,tbl_RolePAlookup,2,FALSE)</f>
        <v>[4] Engineering</v>
      </c>
      <c r="I3" s="360">
        <f t="shared" ref="I3:I18" si="3">VLOOKUP(C3,tbl_PAcount,L$1+1,FALSE)</f>
        <v>10</v>
      </c>
    </row>
    <row r="4" spans="1:13">
      <c r="A4" t="s">
        <v>867</v>
      </c>
      <c r="B4" t="s">
        <v>1462</v>
      </c>
      <c r="C4" t="s">
        <v>853</v>
      </c>
      <c r="D4" t="s">
        <v>1474</v>
      </c>
      <c r="E4" t="s">
        <v>880</v>
      </c>
      <c r="F4" t="s">
        <v>867</v>
      </c>
      <c r="G4" t="s">
        <v>403</v>
      </c>
      <c r="H4" s="265" t="str">
        <f t="shared" si="2"/>
        <v>[4] Engineering</v>
      </c>
      <c r="I4" s="360">
        <f t="shared" si="3"/>
        <v>6</v>
      </c>
    </row>
    <row r="5" spans="1:13">
      <c r="A5" t="s">
        <v>867</v>
      </c>
      <c r="B5" t="s">
        <v>1462</v>
      </c>
      <c r="C5" t="s">
        <v>854</v>
      </c>
      <c r="D5" t="s">
        <v>1474</v>
      </c>
      <c r="E5" t="s">
        <v>880</v>
      </c>
      <c r="F5" t="s">
        <v>867</v>
      </c>
      <c r="G5" t="s">
        <v>403</v>
      </c>
      <c r="H5" s="265" t="str">
        <f t="shared" si="2"/>
        <v>[4] Engineering</v>
      </c>
      <c r="I5" s="360">
        <f t="shared" si="3"/>
        <v>14</v>
      </c>
    </row>
    <row r="6" spans="1:13">
      <c r="A6" t="s">
        <v>867</v>
      </c>
      <c r="B6" t="s">
        <v>1462</v>
      </c>
      <c r="C6" t="s">
        <v>855</v>
      </c>
      <c r="D6" t="s">
        <v>1476</v>
      </c>
      <c r="E6" t="s">
        <v>1110</v>
      </c>
      <c r="F6" t="s">
        <v>867</v>
      </c>
      <c r="G6" t="s">
        <v>403</v>
      </c>
      <c r="H6" s="265" t="str">
        <f t="shared" si="2"/>
        <v>[4] Engineering</v>
      </c>
      <c r="I6" s="360">
        <f t="shared" si="3"/>
        <v>7</v>
      </c>
    </row>
    <row r="7" spans="1:13">
      <c r="A7" t="s">
        <v>868</v>
      </c>
      <c r="B7" t="s">
        <v>1463</v>
      </c>
      <c r="C7" t="s">
        <v>860</v>
      </c>
      <c r="D7" t="s">
        <v>1483</v>
      </c>
      <c r="E7" t="s">
        <v>1309</v>
      </c>
      <c r="F7" t="s">
        <v>868</v>
      </c>
      <c r="G7" t="s">
        <v>403</v>
      </c>
      <c r="H7" s="265" t="str">
        <f t="shared" si="2"/>
        <v>[3] Project Management</v>
      </c>
      <c r="I7" s="360">
        <f t="shared" si="3"/>
        <v>6</v>
      </c>
    </row>
    <row r="8" spans="1:13">
      <c r="A8" t="s">
        <v>868</v>
      </c>
      <c r="B8" t="s">
        <v>1463</v>
      </c>
      <c r="C8" t="s">
        <v>861</v>
      </c>
      <c r="D8" t="s">
        <v>1483</v>
      </c>
      <c r="E8" t="s">
        <v>1309</v>
      </c>
      <c r="F8" t="s">
        <v>868</v>
      </c>
      <c r="G8" t="s">
        <v>403</v>
      </c>
      <c r="H8" s="265" t="str">
        <f t="shared" si="2"/>
        <v>[3] Project Management</v>
      </c>
      <c r="I8" s="360">
        <f t="shared" si="3"/>
        <v>10</v>
      </c>
    </row>
    <row r="9" spans="1:13">
      <c r="A9" t="s">
        <v>868</v>
      </c>
      <c r="B9" t="s">
        <v>1463</v>
      </c>
      <c r="C9" t="s">
        <v>862</v>
      </c>
      <c r="D9" t="s">
        <v>1483</v>
      </c>
      <c r="E9" t="s">
        <v>1309</v>
      </c>
      <c r="F9" t="s">
        <v>868</v>
      </c>
      <c r="G9" t="s">
        <v>403</v>
      </c>
      <c r="H9" s="265" t="str">
        <f t="shared" si="2"/>
        <v>[3] Project Management</v>
      </c>
      <c r="I9" s="360">
        <f t="shared" si="3"/>
        <v>15</v>
      </c>
    </row>
    <row r="10" spans="1:13">
      <c r="A10" t="s">
        <v>869</v>
      </c>
      <c r="B10" t="s">
        <v>1464</v>
      </c>
      <c r="C10" t="s">
        <v>859</v>
      </c>
      <c r="D10" t="s">
        <v>1488</v>
      </c>
      <c r="E10" t="s">
        <v>1309</v>
      </c>
      <c r="F10" t="s">
        <v>869</v>
      </c>
      <c r="G10" t="s">
        <v>403</v>
      </c>
      <c r="H10" s="265" t="str">
        <f t="shared" si="2"/>
        <v>[3] Project Management</v>
      </c>
      <c r="I10" s="360">
        <f t="shared" si="3"/>
        <v>8</v>
      </c>
    </row>
    <row r="11" spans="1:13">
      <c r="A11" t="s">
        <v>871</v>
      </c>
      <c r="B11" t="s">
        <v>1300</v>
      </c>
      <c r="C11" t="s">
        <v>724</v>
      </c>
      <c r="D11" t="s">
        <v>1489</v>
      </c>
      <c r="E11" t="s">
        <v>1308</v>
      </c>
      <c r="F11" t="s">
        <v>871</v>
      </c>
      <c r="G11" t="s">
        <v>403</v>
      </c>
      <c r="H11" s="265" t="str">
        <f t="shared" si="2"/>
        <v>[5] Configuration Management</v>
      </c>
      <c r="I11" s="360">
        <f t="shared" si="3"/>
        <v>7</v>
      </c>
    </row>
    <row r="12" spans="1:13">
      <c r="A12" t="s">
        <v>872</v>
      </c>
      <c r="B12" t="s">
        <v>1301</v>
      </c>
      <c r="C12" t="s">
        <v>863</v>
      </c>
      <c r="D12" t="s">
        <v>1550</v>
      </c>
      <c r="E12" t="s">
        <v>1549</v>
      </c>
      <c r="F12" t="s">
        <v>872</v>
      </c>
      <c r="G12" t="s">
        <v>403</v>
      </c>
      <c r="H12" s="265" t="str">
        <f t="shared" si="2"/>
        <v>[6] Process Management</v>
      </c>
      <c r="I12" s="360">
        <f t="shared" si="3"/>
        <v>11</v>
      </c>
    </row>
    <row r="13" spans="1:13">
      <c r="A13" t="s">
        <v>872</v>
      </c>
      <c r="B13" t="s">
        <v>1301</v>
      </c>
      <c r="C13" t="s">
        <v>864</v>
      </c>
      <c r="D13" t="s">
        <v>1490</v>
      </c>
      <c r="E13" t="s">
        <v>1310</v>
      </c>
      <c r="F13" t="s">
        <v>872</v>
      </c>
      <c r="G13" t="s">
        <v>403</v>
      </c>
      <c r="H13" s="265" t="str">
        <f t="shared" si="2"/>
        <v>[6] Process Management</v>
      </c>
      <c r="I13" s="360">
        <f t="shared" si="3"/>
        <v>8</v>
      </c>
    </row>
    <row r="14" spans="1:13">
      <c r="A14" t="s">
        <v>872</v>
      </c>
      <c r="B14" t="s">
        <v>1301</v>
      </c>
      <c r="C14" t="s">
        <v>856</v>
      </c>
      <c r="D14" t="s">
        <v>1550</v>
      </c>
      <c r="E14" t="s">
        <v>1549</v>
      </c>
      <c r="F14" t="s">
        <v>872</v>
      </c>
      <c r="G14" t="s">
        <v>403</v>
      </c>
      <c r="H14" s="265" t="str">
        <f t="shared" si="2"/>
        <v>[6] Process Management</v>
      </c>
      <c r="I14" s="360">
        <f t="shared" si="3"/>
        <v>22</v>
      </c>
    </row>
    <row r="15" spans="1:13">
      <c r="A15" t="s">
        <v>872</v>
      </c>
      <c r="B15" t="s">
        <v>1301</v>
      </c>
      <c r="C15" t="s">
        <v>857</v>
      </c>
      <c r="D15" t="s">
        <v>1490</v>
      </c>
      <c r="E15" t="s">
        <v>1310</v>
      </c>
      <c r="F15" t="s">
        <v>872</v>
      </c>
      <c r="G15" t="s">
        <v>403</v>
      </c>
      <c r="H15" s="265" t="str">
        <f t="shared" si="2"/>
        <v>[6] Process Management</v>
      </c>
      <c r="I15" s="360">
        <f t="shared" si="3"/>
        <v>11</v>
      </c>
    </row>
    <row r="16" spans="1:13">
      <c r="A16" t="s">
        <v>872</v>
      </c>
      <c r="B16" t="s">
        <v>1301</v>
      </c>
      <c r="C16" t="s">
        <v>858</v>
      </c>
      <c r="D16" t="s">
        <v>1490</v>
      </c>
      <c r="E16" t="s">
        <v>1310</v>
      </c>
      <c r="F16" t="s">
        <v>872</v>
      </c>
      <c r="G16" t="s">
        <v>403</v>
      </c>
      <c r="H16" s="265" t="str">
        <f t="shared" si="2"/>
        <v>[6] Process Management</v>
      </c>
      <c r="I16" s="360">
        <f t="shared" si="3"/>
        <v>11</v>
      </c>
    </row>
    <row r="17" spans="1:9">
      <c r="A17" t="s">
        <v>873</v>
      </c>
      <c r="B17" t="s">
        <v>1302</v>
      </c>
      <c r="C17" t="s">
        <v>726</v>
      </c>
      <c r="D17" t="s">
        <v>1491</v>
      </c>
      <c r="E17" t="s">
        <v>1307</v>
      </c>
      <c r="F17" t="s">
        <v>873</v>
      </c>
      <c r="G17" t="s">
        <v>403</v>
      </c>
      <c r="H17" s="265" t="str">
        <f t="shared" si="2"/>
        <v>[7] Organisational Training</v>
      </c>
      <c r="I17" s="360">
        <f t="shared" si="3"/>
        <v>9</v>
      </c>
    </row>
    <row r="18" spans="1:9">
      <c r="A18" t="s">
        <v>874</v>
      </c>
      <c r="B18" t="s">
        <v>1303</v>
      </c>
      <c r="C18" t="s">
        <v>805</v>
      </c>
      <c r="D18" t="s">
        <v>1492</v>
      </c>
      <c r="E18" t="s">
        <v>1192</v>
      </c>
      <c r="F18" t="s">
        <v>874</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1247</v>
      </c>
      <c r="E1" s="264">
        <f>VALUE(RIGHT(Planning!B16,1))</f>
        <v>5</v>
      </c>
      <c r="F1" s="16" t="s">
        <v>1248</v>
      </c>
    </row>
    <row r="3" spans="1:10" ht="28.8">
      <c r="A3" s="261" t="s">
        <v>885</v>
      </c>
      <c r="B3" t="s">
        <v>1246</v>
      </c>
      <c r="D3" s="349" t="s">
        <v>1256</v>
      </c>
      <c r="E3" s="349" t="s">
        <v>894</v>
      </c>
      <c r="F3" s="350" t="s">
        <v>879</v>
      </c>
      <c r="G3" s="349" t="s">
        <v>1249</v>
      </c>
      <c r="H3" s="349" t="s">
        <v>1250</v>
      </c>
      <c r="I3" s="349" t="s">
        <v>1251</v>
      </c>
      <c r="J3" s="349" t="s">
        <v>1252</v>
      </c>
    </row>
    <row r="4" spans="1:10">
      <c r="A4" s="106" t="s">
        <v>956</v>
      </c>
      <c r="B4">
        <v>39</v>
      </c>
      <c r="D4" t="s">
        <v>956</v>
      </c>
      <c r="E4">
        <v>45</v>
      </c>
      <c r="F4">
        <f t="shared" ref="F4:F9" si="0">VLOOKUP($F$3,tbl_PAcount,$E$1+1,FALSE)</f>
        <v>6</v>
      </c>
      <c r="G4" s="266">
        <f>F4+E4</f>
        <v>51</v>
      </c>
      <c r="H4">
        <v>3</v>
      </c>
      <c r="I4" s="266">
        <f>H4*G4</f>
        <v>153</v>
      </c>
      <c r="J4" s="266">
        <f>I4/60</f>
        <v>2.5499999999999998</v>
      </c>
    </row>
    <row r="5" spans="1:10">
      <c r="A5" s="106" t="s">
        <v>957</v>
      </c>
      <c r="B5">
        <v>47</v>
      </c>
      <c r="D5" t="s">
        <v>957</v>
      </c>
      <c r="E5">
        <v>41</v>
      </c>
      <c r="F5">
        <f t="shared" si="0"/>
        <v>6</v>
      </c>
      <c r="G5" s="266">
        <f t="shared" ref="G5:G9" si="1">F5+E5</f>
        <v>47</v>
      </c>
      <c r="H5">
        <v>3</v>
      </c>
      <c r="I5" s="266">
        <f t="shared" ref="I5:I9" si="2">H5*G5</f>
        <v>141</v>
      </c>
      <c r="J5" s="266">
        <f t="shared" ref="J5:J9" si="3">I5/60</f>
        <v>2.35</v>
      </c>
    </row>
    <row r="6" spans="1:10">
      <c r="A6" s="106" t="s">
        <v>958</v>
      </c>
      <c r="B6">
        <v>7</v>
      </c>
      <c r="D6" t="s">
        <v>958</v>
      </c>
      <c r="E6">
        <v>7</v>
      </c>
      <c r="F6">
        <f t="shared" si="0"/>
        <v>6</v>
      </c>
      <c r="G6" s="266">
        <f t="shared" si="1"/>
        <v>13</v>
      </c>
      <c r="H6">
        <v>3</v>
      </c>
      <c r="I6" s="266">
        <f t="shared" si="2"/>
        <v>39</v>
      </c>
      <c r="J6" s="266">
        <f t="shared" si="3"/>
        <v>0.65</v>
      </c>
    </row>
    <row r="7" spans="1:10">
      <c r="A7" s="106" t="s">
        <v>959</v>
      </c>
      <c r="B7">
        <v>63</v>
      </c>
      <c r="D7" t="s">
        <v>959</v>
      </c>
      <c r="E7">
        <v>63</v>
      </c>
      <c r="F7">
        <f t="shared" si="0"/>
        <v>6</v>
      </c>
      <c r="G7" s="266">
        <f t="shared" si="1"/>
        <v>69</v>
      </c>
      <c r="H7">
        <v>3</v>
      </c>
      <c r="I7" s="266">
        <f t="shared" si="2"/>
        <v>207</v>
      </c>
      <c r="J7" s="266">
        <f t="shared" si="3"/>
        <v>3.45</v>
      </c>
    </row>
    <row r="8" spans="1:10">
      <c r="A8" s="106" t="s">
        <v>960</v>
      </c>
      <c r="B8">
        <v>9</v>
      </c>
      <c r="D8" t="s">
        <v>960</v>
      </c>
      <c r="E8">
        <v>9</v>
      </c>
      <c r="F8">
        <f t="shared" si="0"/>
        <v>6</v>
      </c>
      <c r="G8" s="266">
        <f t="shared" si="1"/>
        <v>15</v>
      </c>
      <c r="H8">
        <v>3</v>
      </c>
      <c r="I8" s="266">
        <f t="shared" si="2"/>
        <v>45</v>
      </c>
      <c r="J8" s="266">
        <f t="shared" si="3"/>
        <v>0.75</v>
      </c>
    </row>
    <row r="9" spans="1:10">
      <c r="A9" s="106" t="s">
        <v>965</v>
      </c>
      <c r="B9">
        <v>6</v>
      </c>
      <c r="D9" t="s">
        <v>965</v>
      </c>
      <c r="E9">
        <v>6</v>
      </c>
      <c r="F9">
        <f t="shared" si="0"/>
        <v>6</v>
      </c>
      <c r="G9" s="266">
        <f t="shared" si="1"/>
        <v>12</v>
      </c>
      <c r="H9">
        <v>3</v>
      </c>
      <c r="I9" s="266">
        <f t="shared" si="2"/>
        <v>36</v>
      </c>
      <c r="J9" s="266">
        <f t="shared" si="3"/>
        <v>0.6</v>
      </c>
    </row>
    <row r="10" spans="1:10">
      <c r="A10" s="106" t="s">
        <v>886</v>
      </c>
    </row>
    <row r="11" spans="1:10">
      <c r="A11" s="106"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1151</v>
      </c>
      <c r="B1" s="507"/>
      <c r="C1" s="507"/>
      <c r="D1" s="507"/>
      <c r="E1" s="507"/>
      <c r="F1" s="507"/>
      <c r="G1" s="507"/>
      <c r="H1" s="61"/>
      <c r="I1" s="113" t="s">
        <v>895</v>
      </c>
      <c r="J1" s="114" t="s">
        <v>896</v>
      </c>
      <c r="K1" s="110" t="s">
        <v>897</v>
      </c>
      <c r="L1" s="110"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0"/>
      <c r="J2" s="110"/>
      <c r="K2" s="110"/>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5">
        <f>Planning!B44</f>
        <v>45416</v>
      </c>
      <c r="J3" s="116" t="str">
        <f>_xlfn.CONCAT("Day 1-",L3)</f>
        <v>Day 1-2</v>
      </c>
      <c r="K3" s="117">
        <f>Planning!B44+Planning!B46-1</f>
        <v>45417</v>
      </c>
      <c r="L3" s="110">
        <f>K3-I3+1</f>
        <v>2</v>
      </c>
      <c r="M3" s="63"/>
      <c r="N3" s="63"/>
      <c r="O3" s="63"/>
      <c r="P3" s="63"/>
    </row>
    <row r="4" spans="1:16" ht="28.8">
      <c r="A4" s="497" t="s">
        <v>899</v>
      </c>
      <c r="B4" s="497"/>
      <c r="C4" s="64" t="e">
        <f>J11</f>
        <v>#REF!</v>
      </c>
      <c r="D4" s="64" t="e">
        <f>M11</f>
        <v>#REF!</v>
      </c>
      <c r="E4" s="64" t="str">
        <f>CONCATENATE("LA team: ",'Agreement 3'!B7," and ATMs if applicable")</f>
        <v>LA team: Dr Pieter van Zyl and ATMs if applicable</v>
      </c>
      <c r="F4" s="497" t="s">
        <v>900</v>
      </c>
      <c r="G4" s="497"/>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6"/>
      <c r="D6" s="486"/>
      <c r="E6" s="486"/>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6"/>
      <c r="D7" s="486"/>
      <c r="E7" s="486"/>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6"/>
      <c r="D9" s="486"/>
      <c r="E9" s="486"/>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6"/>
      <c r="D10" s="486"/>
      <c r="E10" s="486"/>
      <c r="F10" s="66">
        <v>0.375</v>
      </c>
      <c r="G10" s="66">
        <v>0.41666666666666669</v>
      </c>
      <c r="H10" s="61"/>
      <c r="I10" s="117"/>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6"/>
      <c r="D13" s="486"/>
      <c r="E13" s="486"/>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503" t="str">
        <f>CONCATENATE("Schedule above includes ",Planning!B45," non-working day(s).")</f>
        <v>Schedule above includes 0 non-working day(s).</v>
      </c>
      <c r="B15" s="503"/>
      <c r="C15" s="503"/>
      <c r="D15" s="503"/>
      <c r="E15" s="503"/>
      <c r="F15" s="503"/>
      <c r="G15" s="503"/>
      <c r="H15" s="61"/>
      <c r="I15" s="110"/>
      <c r="K15" s="112"/>
      <c r="L15" s="110" t="e">
        <f>'P1-OrgScope'!#REF!</f>
        <v>#REF!</v>
      </c>
      <c r="M15" s="63"/>
      <c r="N15" s="63"/>
      <c r="O15" s="63"/>
      <c r="P15" s="63"/>
    </row>
    <row r="16" spans="1:16">
      <c r="A16" s="501" t="str">
        <f>J4</f>
        <v>Day 3</v>
      </c>
      <c r="B16" s="501"/>
      <c r="C16" s="502">
        <f>I4</f>
        <v>45418</v>
      </c>
      <c r="D16" s="502"/>
      <c r="E16" s="502"/>
      <c r="F16" s="501" t="str">
        <f>A16</f>
        <v>Day 3</v>
      </c>
      <c r="G16" s="501"/>
      <c r="H16" s="61"/>
      <c r="I16" s="110"/>
      <c r="K16" s="112"/>
      <c r="L16" s="110"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504" t="s">
        <v>954</v>
      </c>
      <c r="D19" s="505"/>
      <c r="E19" s="506"/>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18"/>
      <c r="L24" s="118"/>
      <c r="M24" s="118"/>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1558</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907</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1559</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907</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1560</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486" t="s">
        <v>907</v>
      </c>
      <c r="D71" s="486"/>
      <c r="E71" s="486"/>
      <c r="F71" s="66">
        <v>0.47916666666666669</v>
      </c>
      <c r="G71" s="66">
        <v>0.5</v>
      </c>
      <c r="H71" s="70"/>
    </row>
    <row r="72" spans="1:8" ht="18" customHeight="1">
      <c r="A72" s="66">
        <v>0.75</v>
      </c>
      <c r="B72" s="66">
        <v>0.83333333333333337</v>
      </c>
      <c r="C72" s="486" t="s">
        <v>908</v>
      </c>
      <c r="D72" s="486"/>
      <c r="E72" s="486"/>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499" t="s">
        <v>910</v>
      </c>
      <c r="D81" s="499"/>
      <c r="E81" s="499"/>
      <c r="F81" s="66">
        <v>0.29166666666666669</v>
      </c>
      <c r="G81" s="66">
        <v>0.3125</v>
      </c>
      <c r="H81" s="70"/>
    </row>
    <row r="82" spans="1:8" ht="18" customHeight="1">
      <c r="A82" s="66">
        <v>0.5625</v>
      </c>
      <c r="B82" s="66">
        <v>0.58333333333333337</v>
      </c>
      <c r="C82" s="499"/>
      <c r="D82" s="499"/>
      <c r="E82" s="499"/>
      <c r="F82" s="66">
        <v>0.3125</v>
      </c>
      <c r="G82" s="66">
        <v>0.33333333333333331</v>
      </c>
      <c r="H82" s="70"/>
    </row>
    <row r="83" spans="1:8" ht="18" customHeight="1">
      <c r="A83" s="66">
        <v>0.58333333333333337</v>
      </c>
      <c r="B83" s="66">
        <v>0.60416666666666663</v>
      </c>
      <c r="C83" s="499"/>
      <c r="D83" s="499"/>
      <c r="E83" s="499"/>
      <c r="F83" s="66">
        <v>0.33333333333333331</v>
      </c>
      <c r="G83" s="66">
        <v>0.35416666666666669</v>
      </c>
      <c r="H83" s="70"/>
    </row>
    <row r="84" spans="1:8" ht="18" customHeight="1">
      <c r="A84" s="66">
        <v>0.60416666666666663</v>
      </c>
      <c r="B84" s="66">
        <v>0.625</v>
      </c>
      <c r="C84" s="499"/>
      <c r="D84" s="499"/>
      <c r="E84" s="499"/>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1567</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1566</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1152</v>
      </c>
      <c r="B1" s="507"/>
      <c r="C1" s="507"/>
      <c r="D1" s="507"/>
      <c r="E1" s="507"/>
      <c r="F1" s="507"/>
      <c r="G1" s="507"/>
      <c r="H1" s="61"/>
      <c r="I1" s="113" t="s">
        <v>895</v>
      </c>
      <c r="J1" s="114" t="s">
        <v>896</v>
      </c>
      <c r="K1" s="110" t="s">
        <v>897</v>
      </c>
      <c r="L1" s="110"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0"/>
      <c r="J2" s="110"/>
      <c r="K2" s="110"/>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5">
        <f>Planning!B44</f>
        <v>45416</v>
      </c>
      <c r="J3" s="116" t="str">
        <f>_xlfn.CONCAT("Day 1-",L3)</f>
        <v>Day 1-2</v>
      </c>
      <c r="K3" s="117">
        <f>Planning!B44+Planning!B46-1</f>
        <v>45417</v>
      </c>
      <c r="L3" s="110">
        <f>K3-I3+1</f>
        <v>2</v>
      </c>
      <c r="M3" s="63"/>
      <c r="N3" s="63"/>
      <c r="O3" s="63"/>
      <c r="P3" s="63"/>
    </row>
    <row r="4" spans="1:16" ht="49.5" customHeight="1">
      <c r="A4" s="497" t="s">
        <v>899</v>
      </c>
      <c r="B4" s="497"/>
      <c r="C4" s="64" t="e">
        <f>'Schedule4-1P'!C4</f>
        <v>#REF!</v>
      </c>
      <c r="D4" s="64" t="e">
        <f>'Schedule4-1P'!D4</f>
        <v>#REF!</v>
      </c>
      <c r="E4" s="64" t="str">
        <f>'Schedule4-1P'!E4</f>
        <v>LA team: Dr Pieter van Zyl and ATMs if applicable</v>
      </c>
      <c r="F4" s="497" t="s">
        <v>900</v>
      </c>
      <c r="G4" s="497"/>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6"/>
      <c r="D6" s="486"/>
      <c r="E6" s="486"/>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6"/>
      <c r="D7" s="486"/>
      <c r="E7" s="486"/>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6"/>
      <c r="D9" s="486"/>
      <c r="E9" s="486"/>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6"/>
      <c r="D10" s="486"/>
      <c r="E10" s="486"/>
      <c r="F10" s="66">
        <v>0.375</v>
      </c>
      <c r="G10" s="66">
        <v>0.41666666666666669</v>
      </c>
      <c r="H10" s="61"/>
      <c r="I10" s="117"/>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6"/>
      <c r="D13" s="486"/>
      <c r="E13" s="486"/>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503" t="str">
        <f>CONCATENATE("Schedule above includes ",Planning!B45," non-working day(s).")</f>
        <v>Schedule above includes 0 non-working day(s).</v>
      </c>
      <c r="B15" s="503"/>
      <c r="C15" s="503"/>
      <c r="D15" s="503"/>
      <c r="E15" s="503"/>
      <c r="F15" s="503"/>
      <c r="G15" s="503"/>
      <c r="H15" s="61"/>
      <c r="K15" s="112"/>
      <c r="L15" s="110" t="e">
        <f>'P1-OrgScope'!#REF!</f>
        <v>#REF!</v>
      </c>
      <c r="M15" s="63"/>
      <c r="N15" s="63"/>
      <c r="O15" s="63"/>
      <c r="P15" s="63"/>
    </row>
    <row r="16" spans="1:16">
      <c r="A16" s="501" t="str">
        <f>J4</f>
        <v>Day 3</v>
      </c>
      <c r="B16" s="501"/>
      <c r="C16" s="502">
        <f>I4</f>
        <v>45418</v>
      </c>
      <c r="D16" s="502"/>
      <c r="E16" s="502"/>
      <c r="F16" s="501" t="str">
        <f>A16</f>
        <v>Day 3</v>
      </c>
      <c r="G16" s="501"/>
      <c r="H16" s="61"/>
      <c r="K16" s="112"/>
      <c r="L16" s="110"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98" t="s">
        <v>954</v>
      </c>
      <c r="D19" s="498"/>
      <c r="E19" s="498"/>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18"/>
      <c r="L24" s="118"/>
      <c r="M24" s="118"/>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956</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1088</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957</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1088</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959</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509" t="s">
        <v>1087</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509" t="s">
        <v>1087</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15" t="s">
        <v>910</v>
      </c>
      <c r="D83" s="516"/>
      <c r="E83" s="517"/>
      <c r="F83" s="66">
        <v>0.33333333333333331</v>
      </c>
      <c r="G83" s="66">
        <v>0.35416666666666669</v>
      </c>
      <c r="H83" s="70"/>
    </row>
    <row r="84" spans="1:8" ht="18" customHeight="1">
      <c r="A84" s="66">
        <v>0.60416666666666663</v>
      </c>
      <c r="B84" s="66">
        <v>0.625</v>
      </c>
      <c r="C84" s="518"/>
      <c r="D84" s="519"/>
      <c r="E84" s="520"/>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1567</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1566</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1381</v>
      </c>
    </row>
    <row r="2" spans="1:8">
      <c r="A2" s="274" t="s">
        <v>1382</v>
      </c>
      <c r="B2" s="275">
        <f>Planning!B44</f>
        <v>45416</v>
      </c>
      <c r="C2" s="276">
        <f>B2+1</f>
        <v>45417</v>
      </c>
      <c r="D2" s="276">
        <f t="shared" ref="D2:G2" si="0">C2+1</f>
        <v>45418</v>
      </c>
      <c r="E2" s="276">
        <f t="shared" si="0"/>
        <v>45419</v>
      </c>
      <c r="F2" s="276">
        <f t="shared" si="0"/>
        <v>45420</v>
      </c>
      <c r="G2" s="276">
        <f t="shared" si="0"/>
        <v>45421</v>
      </c>
      <c r="H2" s="277" t="s">
        <v>1383</v>
      </c>
    </row>
    <row r="3" spans="1:8" ht="28.8">
      <c r="A3" s="278">
        <v>0.41666666666666702</v>
      </c>
      <c r="B3" s="534" t="s">
        <v>1384</v>
      </c>
      <c r="C3" s="279" t="s">
        <v>1385</v>
      </c>
      <c r="D3" s="280" t="s">
        <v>1386</v>
      </c>
      <c r="E3" s="280" t="s">
        <v>1386</v>
      </c>
      <c r="F3" s="521" t="s">
        <v>1387</v>
      </c>
      <c r="G3" s="521" t="s">
        <v>1388</v>
      </c>
      <c r="H3" s="281">
        <f t="shared" ref="H3:H19" si="1">+A3-0.25</f>
        <v>0.16666666666666702</v>
      </c>
    </row>
    <row r="4" spans="1:8">
      <c r="A4" s="278">
        <v>0.4375</v>
      </c>
      <c r="B4" s="534"/>
      <c r="C4" s="282" t="s">
        <v>1389</v>
      </c>
      <c r="D4" s="522" t="s">
        <v>1390</v>
      </c>
      <c r="E4" s="522" t="s">
        <v>1391</v>
      </c>
      <c r="F4" s="521"/>
      <c r="G4" s="521"/>
      <c r="H4" s="281">
        <f t="shared" si="1"/>
        <v>0.1875</v>
      </c>
    </row>
    <row r="5" spans="1:8">
      <c r="A5" s="278">
        <v>0.45833333333333398</v>
      </c>
      <c r="B5" s="535" t="s">
        <v>1392</v>
      </c>
      <c r="C5" s="533" t="s">
        <v>1393</v>
      </c>
      <c r="D5" s="522"/>
      <c r="E5" s="522"/>
      <c r="F5" s="521"/>
      <c r="G5" s="521"/>
      <c r="H5" s="281">
        <f t="shared" si="1"/>
        <v>0.20833333333333398</v>
      </c>
    </row>
    <row r="6" spans="1:8">
      <c r="A6" s="278">
        <v>0.47916666666666702</v>
      </c>
      <c r="B6" s="535"/>
      <c r="C6" s="533"/>
      <c r="D6" s="522"/>
      <c r="E6" s="522"/>
      <c r="F6" s="521"/>
      <c r="G6" s="279" t="s">
        <v>1389</v>
      </c>
      <c r="H6" s="281">
        <f t="shared" si="1"/>
        <v>0.22916666666666702</v>
      </c>
    </row>
    <row r="7" spans="1:8">
      <c r="A7" s="278">
        <v>0.5</v>
      </c>
      <c r="B7" s="535"/>
      <c r="C7" s="522" t="s">
        <v>1394</v>
      </c>
      <c r="D7" s="522"/>
      <c r="E7" s="522"/>
      <c r="F7" s="529" t="s">
        <v>906</v>
      </c>
      <c r="G7" s="529" t="s">
        <v>906</v>
      </c>
      <c r="H7" s="281">
        <f t="shared" si="1"/>
        <v>0.25</v>
      </c>
    </row>
    <row r="8" spans="1:8" ht="28.8">
      <c r="A8" s="278">
        <v>0.52083333333333404</v>
      </c>
      <c r="B8" s="283" t="s">
        <v>1384</v>
      </c>
      <c r="C8" s="522"/>
      <c r="D8" s="522"/>
      <c r="E8" s="522"/>
      <c r="F8" s="529"/>
      <c r="G8" s="529"/>
      <c r="H8" s="281">
        <f t="shared" si="1"/>
        <v>0.27083333333333404</v>
      </c>
    </row>
    <row r="9" spans="1:8">
      <c r="A9" s="278">
        <v>0.54166666666666696</v>
      </c>
      <c r="B9" s="528" t="s">
        <v>906</v>
      </c>
      <c r="C9" s="529" t="s">
        <v>906</v>
      </c>
      <c r="D9" s="529" t="s">
        <v>906</v>
      </c>
      <c r="E9" s="529" t="s">
        <v>906</v>
      </c>
      <c r="F9" s="279" t="s">
        <v>1389</v>
      </c>
      <c r="G9" s="533" t="s">
        <v>765</v>
      </c>
      <c r="H9" s="281">
        <f t="shared" si="1"/>
        <v>0.29166666666666696</v>
      </c>
    </row>
    <row r="10" spans="1:8">
      <c r="A10" s="278">
        <v>0.5625</v>
      </c>
      <c r="B10" s="528"/>
      <c r="C10" s="529"/>
      <c r="D10" s="529"/>
      <c r="E10" s="529"/>
      <c r="F10" s="533" t="s">
        <v>1395</v>
      </c>
      <c r="G10" s="533"/>
      <c r="H10" s="281">
        <f t="shared" si="1"/>
        <v>0.3125</v>
      </c>
    </row>
    <row r="11" spans="1:8">
      <c r="A11" s="278">
        <v>0.58333333333333304</v>
      </c>
      <c r="B11" s="534" t="s">
        <v>1396</v>
      </c>
      <c r="C11" s="522" t="s">
        <v>1397</v>
      </c>
      <c r="D11" s="522" t="s">
        <v>1398</v>
      </c>
      <c r="E11" s="522" t="s">
        <v>1399</v>
      </c>
      <c r="F11" s="533"/>
      <c r="G11" s="521" t="s">
        <v>1400</v>
      </c>
      <c r="H11" s="281">
        <f t="shared" si="1"/>
        <v>0.33333333333333304</v>
      </c>
    </row>
    <row r="12" spans="1:8">
      <c r="A12" s="278">
        <v>0.60416666666666696</v>
      </c>
      <c r="B12" s="534"/>
      <c r="C12" s="522"/>
      <c r="D12" s="522"/>
      <c r="E12" s="522"/>
      <c r="F12" s="533" t="s">
        <v>1401</v>
      </c>
      <c r="G12" s="521"/>
      <c r="H12" s="281">
        <f t="shared" si="1"/>
        <v>0.35416666666666696</v>
      </c>
    </row>
    <row r="13" spans="1:8">
      <c r="A13" s="278">
        <v>0.625</v>
      </c>
      <c r="B13" s="534"/>
      <c r="C13" s="522"/>
      <c r="D13" s="522" t="s">
        <v>1402</v>
      </c>
      <c r="E13" s="522"/>
      <c r="F13" s="533"/>
      <c r="G13" s="521"/>
      <c r="H13" s="281">
        <f t="shared" si="1"/>
        <v>0.375</v>
      </c>
    </row>
    <row r="14" spans="1:8">
      <c r="A14" s="278">
        <v>0.64583333333333304</v>
      </c>
      <c r="B14" s="534"/>
      <c r="C14" s="522"/>
      <c r="D14" s="522"/>
      <c r="E14" s="522"/>
      <c r="F14" s="521" t="s">
        <v>1388</v>
      </c>
      <c r="G14" s="536" t="s">
        <v>1403</v>
      </c>
      <c r="H14" s="281">
        <f t="shared" si="1"/>
        <v>0.39583333333333304</v>
      </c>
    </row>
    <row r="15" spans="1:8">
      <c r="A15" s="278">
        <v>0.66666666666666696</v>
      </c>
      <c r="B15" s="534"/>
      <c r="C15" s="282" t="s">
        <v>1389</v>
      </c>
      <c r="D15" s="522"/>
      <c r="E15" s="521" t="s">
        <v>1387</v>
      </c>
      <c r="F15" s="521"/>
      <c r="G15" s="536"/>
      <c r="H15" s="281">
        <f t="shared" si="1"/>
        <v>0.41666666666666696</v>
      </c>
    </row>
    <row r="16" spans="1:8">
      <c r="A16" s="278">
        <v>0.6875</v>
      </c>
      <c r="B16" s="534"/>
      <c r="C16" s="522" t="s">
        <v>1404</v>
      </c>
      <c r="D16" s="522" t="s">
        <v>1405</v>
      </c>
      <c r="E16" s="521"/>
      <c r="F16" s="521"/>
      <c r="G16" s="536"/>
      <c r="H16" s="281">
        <f t="shared" si="1"/>
        <v>0.4375</v>
      </c>
    </row>
    <row r="17" spans="1:8">
      <c r="A17" s="278">
        <v>0.70833333333333304</v>
      </c>
      <c r="B17" s="284" t="s">
        <v>1406</v>
      </c>
      <c r="C17" s="522"/>
      <c r="D17" s="522"/>
      <c r="E17" s="521"/>
      <c r="F17" s="521"/>
      <c r="G17" s="536"/>
      <c r="H17" s="281">
        <f t="shared" si="1"/>
        <v>0.45833333333333304</v>
      </c>
    </row>
    <row r="18" spans="1:8">
      <c r="A18" s="278">
        <v>0.72916666666666663</v>
      </c>
      <c r="B18" s="285" t="s">
        <v>1386</v>
      </c>
      <c r="C18" s="280" t="s">
        <v>1386</v>
      </c>
      <c r="D18" s="280" t="s">
        <v>1386</v>
      </c>
      <c r="E18" s="280" t="s">
        <v>1386</v>
      </c>
      <c r="F18" s="280" t="s">
        <v>1386</v>
      </c>
      <c r="G18" s="536"/>
      <c r="H18" s="281">
        <f t="shared" si="1"/>
        <v>0.47916666666666663</v>
      </c>
    </row>
    <row r="19" spans="1:8" ht="15" thickBot="1">
      <c r="A19" s="286">
        <v>0.75</v>
      </c>
      <c r="B19" s="530" t="s">
        <v>908</v>
      </c>
      <c r="C19" s="531"/>
      <c r="D19" s="531"/>
      <c r="E19" s="531"/>
      <c r="F19" s="531"/>
      <c r="G19" s="531"/>
      <c r="H19" s="287">
        <f t="shared" si="1"/>
        <v>0.5</v>
      </c>
    </row>
    <row r="21" spans="1:8" ht="15" thickBot="1">
      <c r="A21" s="8" t="s">
        <v>1407</v>
      </c>
    </row>
    <row r="22" spans="1:8">
      <c r="A22" s="274" t="s">
        <v>1382</v>
      </c>
      <c r="B22" s="275">
        <f>Planning!B44</f>
        <v>45416</v>
      </c>
      <c r="C22" s="275">
        <f>B22+1</f>
        <v>45417</v>
      </c>
      <c r="D22" s="275">
        <f t="shared" ref="D22:F22" si="2">C22+1</f>
        <v>45418</v>
      </c>
      <c r="E22" s="275">
        <f t="shared" si="2"/>
        <v>45419</v>
      </c>
      <c r="F22" s="275">
        <f t="shared" si="2"/>
        <v>45420</v>
      </c>
      <c r="G22" s="275">
        <f>F22+1</f>
        <v>45421</v>
      </c>
      <c r="H22" s="277" t="s">
        <v>1383</v>
      </c>
    </row>
    <row r="23" spans="1:8" ht="28.8">
      <c r="A23" s="278">
        <v>0.41666666666666702</v>
      </c>
      <c r="B23" s="534" t="s">
        <v>1384</v>
      </c>
      <c r="C23" s="279" t="s">
        <v>1385</v>
      </c>
      <c r="D23" s="280" t="s">
        <v>1386</v>
      </c>
      <c r="E23" s="280" t="s">
        <v>1386</v>
      </c>
      <c r="F23" s="523" t="s">
        <v>1387</v>
      </c>
      <c r="G23" s="523" t="s">
        <v>1388</v>
      </c>
      <c r="H23" s="281">
        <f t="shared" ref="H23:H39" si="3">+A23-0.25</f>
        <v>0.16666666666666702</v>
      </c>
    </row>
    <row r="24" spans="1:8">
      <c r="A24" s="278">
        <v>0.4375</v>
      </c>
      <c r="B24" s="534"/>
      <c r="C24" s="282" t="s">
        <v>1389</v>
      </c>
      <c r="D24" s="522" t="s">
        <v>1390</v>
      </c>
      <c r="E24" s="522" t="s">
        <v>1391</v>
      </c>
      <c r="F24" s="532"/>
      <c r="G24" s="532"/>
      <c r="H24" s="281">
        <f t="shared" si="3"/>
        <v>0.1875</v>
      </c>
    </row>
    <row r="25" spans="1:8">
      <c r="A25" s="278">
        <v>0.45833333333333398</v>
      </c>
      <c r="B25" s="535" t="s">
        <v>1392</v>
      </c>
      <c r="C25" s="533" t="s">
        <v>1393</v>
      </c>
      <c r="D25" s="522"/>
      <c r="E25" s="522"/>
      <c r="F25" s="532"/>
      <c r="G25" s="532"/>
      <c r="H25" s="281">
        <f t="shared" si="3"/>
        <v>0.20833333333333398</v>
      </c>
    </row>
    <row r="26" spans="1:8">
      <c r="A26" s="278">
        <v>0.47916666666666702</v>
      </c>
      <c r="B26" s="535"/>
      <c r="C26" s="533"/>
      <c r="D26" s="522"/>
      <c r="E26" s="522"/>
      <c r="F26" s="532"/>
      <c r="G26" s="532"/>
      <c r="H26" s="281">
        <f t="shared" si="3"/>
        <v>0.22916666666666702</v>
      </c>
    </row>
    <row r="27" spans="1:8">
      <c r="A27" s="278">
        <v>0.5</v>
      </c>
      <c r="B27" s="535"/>
      <c r="C27" s="522" t="s">
        <v>1394</v>
      </c>
      <c r="D27" s="522"/>
      <c r="E27" s="522"/>
      <c r="F27" s="532"/>
      <c r="G27" s="532"/>
      <c r="H27" s="281">
        <f t="shared" si="3"/>
        <v>0.25</v>
      </c>
    </row>
    <row r="28" spans="1:8" ht="28.8">
      <c r="A28" s="278">
        <v>0.52083333333333404</v>
      </c>
      <c r="B28" s="283" t="s">
        <v>1384</v>
      </c>
      <c r="C28" s="522"/>
      <c r="D28" s="522"/>
      <c r="E28" s="522"/>
      <c r="F28" s="524"/>
      <c r="G28" s="524"/>
      <c r="H28" s="281">
        <f t="shared" si="3"/>
        <v>0.27083333333333404</v>
      </c>
    </row>
    <row r="29" spans="1:8">
      <c r="A29" s="278">
        <v>0.54166666666666696</v>
      </c>
      <c r="B29" s="528" t="s">
        <v>906</v>
      </c>
      <c r="C29" s="529" t="s">
        <v>906</v>
      </c>
      <c r="D29" s="529" t="s">
        <v>906</v>
      </c>
      <c r="E29" s="529" t="s">
        <v>906</v>
      </c>
      <c r="F29" s="529" t="s">
        <v>906</v>
      </c>
      <c r="G29" s="529" t="s">
        <v>906</v>
      </c>
      <c r="H29" s="281">
        <f t="shared" si="3"/>
        <v>0.29166666666666696</v>
      </c>
    </row>
    <row r="30" spans="1:8">
      <c r="A30" s="278">
        <v>0.5625</v>
      </c>
      <c r="B30" s="528"/>
      <c r="C30" s="529"/>
      <c r="D30" s="529"/>
      <c r="E30" s="529"/>
      <c r="F30" s="529"/>
      <c r="G30" s="529"/>
      <c r="H30" s="281">
        <f t="shared" si="3"/>
        <v>0.3125</v>
      </c>
    </row>
    <row r="31" spans="1:8">
      <c r="A31" s="278">
        <v>0.58333333333333304</v>
      </c>
      <c r="B31" s="523" t="s">
        <v>1396</v>
      </c>
      <c r="C31" s="522" t="s">
        <v>1397</v>
      </c>
      <c r="D31" s="522" t="s">
        <v>1398</v>
      </c>
      <c r="E31" s="522" t="s">
        <v>1399</v>
      </c>
      <c r="F31" s="280" t="s">
        <v>1389</v>
      </c>
      <c r="G31" s="280" t="s">
        <v>1389</v>
      </c>
      <c r="H31" s="281">
        <f t="shared" si="3"/>
        <v>0.33333333333333304</v>
      </c>
    </row>
    <row r="32" spans="1:8">
      <c r="A32" s="278">
        <v>0.60416666666666696</v>
      </c>
      <c r="B32" s="532"/>
      <c r="C32" s="522"/>
      <c r="D32" s="522"/>
      <c r="E32" s="522"/>
      <c r="F32" s="533" t="s">
        <v>1395</v>
      </c>
      <c r="G32" s="533" t="s">
        <v>1565</v>
      </c>
      <c r="H32" s="281">
        <f t="shared" si="3"/>
        <v>0.35416666666666696</v>
      </c>
    </row>
    <row r="33" spans="1:8">
      <c r="A33" s="278">
        <v>0.625</v>
      </c>
      <c r="B33" s="532"/>
      <c r="C33" s="522"/>
      <c r="D33" s="522" t="s">
        <v>1402</v>
      </c>
      <c r="E33" s="522"/>
      <c r="F33" s="533"/>
      <c r="G33" s="533"/>
      <c r="H33" s="281">
        <f t="shared" si="3"/>
        <v>0.375</v>
      </c>
    </row>
    <row r="34" spans="1:8">
      <c r="A34" s="278">
        <v>0.64583333333333304</v>
      </c>
      <c r="B34" s="532"/>
      <c r="C34" s="522"/>
      <c r="D34" s="522"/>
      <c r="E34" s="522"/>
      <c r="F34" s="533" t="s">
        <v>1401</v>
      </c>
      <c r="G34" s="525" t="s">
        <v>1408</v>
      </c>
      <c r="H34" s="281">
        <f t="shared" si="3"/>
        <v>0.39583333333333304</v>
      </c>
    </row>
    <row r="35" spans="1:8">
      <c r="A35" s="278">
        <v>0.66666666666666696</v>
      </c>
      <c r="B35" s="524"/>
      <c r="C35" s="282" t="s">
        <v>1389</v>
      </c>
      <c r="D35" s="522"/>
      <c r="E35" s="521" t="s">
        <v>1387</v>
      </c>
      <c r="F35" s="533"/>
      <c r="G35" s="526"/>
      <c r="H35" s="281">
        <f t="shared" si="3"/>
        <v>0.41666666666666696</v>
      </c>
    </row>
    <row r="36" spans="1:8">
      <c r="A36" s="278">
        <v>0.6875</v>
      </c>
      <c r="B36" s="288" t="s">
        <v>1409</v>
      </c>
      <c r="C36" s="522" t="s">
        <v>1404</v>
      </c>
      <c r="D36" s="522" t="s">
        <v>1405</v>
      </c>
      <c r="E36" s="521"/>
      <c r="F36" s="523" t="s">
        <v>1388</v>
      </c>
      <c r="G36" s="525" t="s">
        <v>1410</v>
      </c>
      <c r="H36" s="281">
        <f t="shared" si="3"/>
        <v>0.4375</v>
      </c>
    </row>
    <row r="37" spans="1:8">
      <c r="A37" s="278">
        <v>0.70833333333333304</v>
      </c>
      <c r="B37" s="284" t="s">
        <v>1406</v>
      </c>
      <c r="C37" s="522"/>
      <c r="D37" s="522"/>
      <c r="E37" s="521"/>
      <c r="F37" s="524"/>
      <c r="G37" s="526"/>
      <c r="H37" s="281">
        <f t="shared" si="3"/>
        <v>0.45833333333333304</v>
      </c>
    </row>
    <row r="38" spans="1:8">
      <c r="A38" s="278">
        <v>0.72916666666666663</v>
      </c>
      <c r="B38" s="285" t="s">
        <v>1386</v>
      </c>
      <c r="C38" s="280" t="s">
        <v>1386</v>
      </c>
      <c r="D38" s="280" t="s">
        <v>1386</v>
      </c>
      <c r="E38" s="280" t="s">
        <v>1386</v>
      </c>
      <c r="F38" s="280" t="s">
        <v>1386</v>
      </c>
      <c r="G38" s="527"/>
      <c r="H38" s="281">
        <f t="shared" si="3"/>
        <v>0.47916666666666663</v>
      </c>
    </row>
    <row r="39" spans="1:8" ht="15" thickBot="1">
      <c r="A39" s="286">
        <v>0.75</v>
      </c>
      <c r="B39" s="530" t="s">
        <v>908</v>
      </c>
      <c r="C39" s="531"/>
      <c r="D39" s="531"/>
      <c r="E39" s="531"/>
      <c r="F39" s="531"/>
      <c r="G39" s="531"/>
      <c r="H39" s="287">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851</v>
      </c>
      <c r="F1" s="120" t="s">
        <v>852</v>
      </c>
      <c r="G1" s="120" t="s">
        <v>805</v>
      </c>
      <c r="H1" s="120" t="s">
        <v>853</v>
      </c>
      <c r="I1" s="120" t="s">
        <v>854</v>
      </c>
      <c r="J1" s="120" t="s">
        <v>855</v>
      </c>
      <c r="K1" s="120" t="s">
        <v>856</v>
      </c>
      <c r="L1" s="120" t="s">
        <v>857</v>
      </c>
      <c r="M1" s="120" t="s">
        <v>858</v>
      </c>
      <c r="N1" s="120" t="s">
        <v>859</v>
      </c>
      <c r="O1" s="120" t="s">
        <v>726</v>
      </c>
      <c r="P1" s="120" t="s">
        <v>860</v>
      </c>
      <c r="Q1" s="120" t="s">
        <v>861</v>
      </c>
      <c r="R1" s="120" t="s">
        <v>862</v>
      </c>
      <c r="S1" s="120" t="s">
        <v>863</v>
      </c>
      <c r="T1" s="120" t="s">
        <v>724</v>
      </c>
      <c r="U1" s="120" t="s">
        <v>864</v>
      </c>
      <c r="V1" s="120" t="s">
        <v>865</v>
      </c>
      <c r="W1" s="120" t="s">
        <v>878</v>
      </c>
      <c r="X1" s="120" t="s">
        <v>879</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1539</v>
      </c>
    </row>
    <row r="21" spans="1:3">
      <c r="C21" s="352" t="s">
        <v>1540</v>
      </c>
    </row>
    <row r="22" spans="1:3">
      <c r="C22" s="121" t="s">
        <v>1541</v>
      </c>
    </row>
    <row r="23" spans="1:3">
      <c r="C23" s="243" t="s">
        <v>1542</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3" t="s">
        <v>1357</v>
      </c>
    </row>
    <row r="4" spans="1:22">
      <c r="A4" s="16" t="s">
        <v>603</v>
      </c>
      <c r="B4" s="60">
        <v>1</v>
      </c>
      <c r="C4" s="273" t="str">
        <f t="shared" ref="C4:C20" si="0">_xlfn.CONCAT(A4, " (",B4,")")</f>
        <v>ATL (1)</v>
      </c>
    </row>
    <row r="5" spans="1:22">
      <c r="A5" s="16" t="s">
        <v>986</v>
      </c>
      <c r="B5" s="60">
        <v>4</v>
      </c>
      <c r="C5" s="273" t="str">
        <f t="shared" si="0"/>
        <v>ATM (4)</v>
      </c>
    </row>
    <row r="6" spans="1:22">
      <c r="A6" s="16" t="s">
        <v>724</v>
      </c>
      <c r="B6" s="60">
        <v>1</v>
      </c>
      <c r="C6" s="273" t="str">
        <f t="shared" si="0"/>
        <v>CM (1)</v>
      </c>
    </row>
    <row r="7" spans="1:22">
      <c r="A7" s="16" t="s">
        <v>1338</v>
      </c>
      <c r="B7" s="60">
        <v>4</v>
      </c>
      <c r="C7" s="273" t="str">
        <f t="shared" si="0"/>
        <v>Engineers (4)</v>
      </c>
    </row>
    <row r="8" spans="1:22">
      <c r="A8" s="16" t="s">
        <v>1354</v>
      </c>
      <c r="B8" s="60">
        <v>2</v>
      </c>
      <c r="C8" s="273" t="str">
        <f t="shared" si="0"/>
        <v>EPG (2)</v>
      </c>
    </row>
    <row r="9" spans="1:22">
      <c r="A9" s="16" t="s">
        <v>726</v>
      </c>
      <c r="B9" s="60">
        <v>1</v>
      </c>
      <c r="C9" s="273" t="str">
        <f t="shared" si="0"/>
        <v>OT (1)</v>
      </c>
    </row>
    <row r="10" spans="1:22">
      <c r="A10" s="16" t="s">
        <v>1359</v>
      </c>
      <c r="B10" s="60">
        <v>1</v>
      </c>
      <c r="C10" s="273" t="str">
        <f t="shared" si="0"/>
        <v>OUC (1)</v>
      </c>
    </row>
    <row r="11" spans="1:22">
      <c r="A11" s="16" t="s">
        <v>1343</v>
      </c>
      <c r="B11" s="60">
        <v>2</v>
      </c>
      <c r="C11" s="273" t="str">
        <f t="shared" si="0"/>
        <v>PMs (2)</v>
      </c>
    </row>
    <row r="12" spans="1:22">
      <c r="A12" s="16" t="s">
        <v>805</v>
      </c>
      <c r="B12" s="60">
        <v>1</v>
      </c>
      <c r="C12" s="273" t="str">
        <f t="shared" si="0"/>
        <v>PQA (1)</v>
      </c>
    </row>
    <row r="13" spans="1:22">
      <c r="A13" s="16" t="s">
        <v>1358</v>
      </c>
      <c r="B13" s="60">
        <v>1</v>
      </c>
      <c r="C13" s="273" t="str">
        <f t="shared" si="0"/>
        <v>SM (1)</v>
      </c>
    </row>
    <row r="14" spans="1:22">
      <c r="A14" s="16" t="s">
        <v>578</v>
      </c>
      <c r="B14" s="60">
        <v>1</v>
      </c>
      <c r="C14" s="273" t="str">
        <f t="shared" si="0"/>
        <v>Sponsor (1)</v>
      </c>
    </row>
    <row r="15" spans="1:22">
      <c r="A15" s="16" t="s">
        <v>1360</v>
      </c>
      <c r="B15" s="60">
        <v>1</v>
      </c>
      <c r="C15" s="273" t="str">
        <f t="shared" si="0"/>
        <v>RI (1)</v>
      </c>
    </row>
    <row r="16" spans="1:22">
      <c r="A16" s="16" t="s">
        <v>1361</v>
      </c>
      <c r="B16" s="273">
        <f>B7+B6</f>
        <v>5</v>
      </c>
      <c r="C16" s="273" t="str">
        <f t="shared" si="0"/>
        <v>ParticipantsPrelim1 (5)</v>
      </c>
    </row>
    <row r="17" spans="1:22">
      <c r="A17" s="16" t="s">
        <v>1362</v>
      </c>
      <c r="B17" s="273">
        <f>B8+B9+B11+B12</f>
        <v>6</v>
      </c>
      <c r="C17" s="273" t="str">
        <f t="shared" si="0"/>
        <v>ParticipantsPrelim2 (6)</v>
      </c>
    </row>
    <row r="18" spans="1:22">
      <c r="A18" s="16" t="s">
        <v>1365</v>
      </c>
      <c r="B18" s="60">
        <v>5</v>
      </c>
      <c r="C18" s="273" t="str">
        <f t="shared" si="0"/>
        <v>ParticipantsTechTest (5)</v>
      </c>
    </row>
    <row r="19" spans="1:22">
      <c r="A19" s="16" t="s">
        <v>1363</v>
      </c>
      <c r="B19" s="273">
        <f>B13+B12+B11+B10+B9+B7+B6+B5</f>
        <v>15</v>
      </c>
      <c r="C19" s="273" t="str">
        <f t="shared" si="0"/>
        <v>ParticipantsOpen (15)</v>
      </c>
    </row>
    <row r="20" spans="1:22">
      <c r="A20" s="16" t="s">
        <v>1364</v>
      </c>
      <c r="B20" s="273">
        <f>B14+B13+B12+B11+B10+B8+B7+B6</f>
        <v>13</v>
      </c>
      <c r="C20" s="273"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1657</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2" t="s">
        <v>1262</v>
      </c>
      <c r="D1" t="s">
        <v>1279</v>
      </c>
      <c r="E1" t="s">
        <v>1280</v>
      </c>
      <c r="F1" s="242" t="s">
        <v>1265</v>
      </c>
      <c r="G1" s="242" t="s">
        <v>1266</v>
      </c>
      <c r="H1" t="s">
        <v>1281</v>
      </c>
      <c r="I1" t="s">
        <v>1282</v>
      </c>
      <c r="J1" t="s">
        <v>1283</v>
      </c>
      <c r="K1" t="s">
        <v>29</v>
      </c>
      <c r="L1" t="s">
        <v>30</v>
      </c>
      <c r="M1" t="s">
        <v>31</v>
      </c>
      <c r="N1" t="s">
        <v>32</v>
      </c>
      <c r="O1" t="s">
        <v>33</v>
      </c>
      <c r="P1" t="s">
        <v>17</v>
      </c>
    </row>
    <row r="2" spans="1:16">
      <c r="A2" t="s">
        <v>1300</v>
      </c>
      <c r="B2" t="s">
        <v>1285</v>
      </c>
      <c r="C2">
        <v>1</v>
      </c>
      <c r="D2" t="s">
        <v>1465</v>
      </c>
      <c r="E2" t="s">
        <v>386</v>
      </c>
      <c r="H2" t="s">
        <v>1298</v>
      </c>
      <c r="I2" t="s">
        <v>386</v>
      </c>
      <c r="J2" t="s">
        <v>1489</v>
      </c>
      <c r="K2" t="s">
        <v>1510</v>
      </c>
      <c r="L2" t="s">
        <v>1509</v>
      </c>
      <c r="M2" t="s">
        <v>1506</v>
      </c>
      <c r="N2" t="s">
        <v>1507</v>
      </c>
      <c r="O2" t="s">
        <v>1512</v>
      </c>
      <c r="P2" t="s">
        <v>18</v>
      </c>
    </row>
    <row r="3" spans="1:16">
      <c r="A3" t="s">
        <v>1301</v>
      </c>
      <c r="B3" t="s">
        <v>1285</v>
      </c>
      <c r="C3">
        <v>2</v>
      </c>
      <c r="D3" t="s">
        <v>1466</v>
      </c>
      <c r="E3" t="s">
        <v>386</v>
      </c>
      <c r="H3" t="s">
        <v>1298</v>
      </c>
      <c r="I3" t="s">
        <v>386</v>
      </c>
      <c r="J3" t="s">
        <v>1490</v>
      </c>
      <c r="K3" t="s">
        <v>1510</v>
      </c>
      <c r="L3" t="s">
        <v>1509</v>
      </c>
      <c r="M3" t="s">
        <v>1506</v>
      </c>
      <c r="N3" t="s">
        <v>1507</v>
      </c>
      <c r="O3" t="s">
        <v>1512</v>
      </c>
      <c r="P3" t="s">
        <v>18</v>
      </c>
    </row>
    <row r="4" spans="1:16">
      <c r="A4" t="s">
        <v>1302</v>
      </c>
      <c r="B4" t="s">
        <v>1285</v>
      </c>
      <c r="C4">
        <v>1</v>
      </c>
      <c r="D4" t="s">
        <v>1467</v>
      </c>
      <c r="E4" t="s">
        <v>386</v>
      </c>
      <c r="H4" t="s">
        <v>1298</v>
      </c>
      <c r="I4" t="s">
        <v>386</v>
      </c>
      <c r="J4" t="s">
        <v>1491</v>
      </c>
      <c r="K4" t="s">
        <v>1510</v>
      </c>
      <c r="L4" t="s">
        <v>1509</v>
      </c>
      <c r="M4" t="s">
        <v>1506</v>
      </c>
      <c r="N4" t="s">
        <v>1507</v>
      </c>
      <c r="O4" t="s">
        <v>1512</v>
      </c>
      <c r="P4" t="s">
        <v>18</v>
      </c>
    </row>
    <row r="5" spans="1:16">
      <c r="A5" t="s">
        <v>1303</v>
      </c>
      <c r="B5" t="s">
        <v>1285</v>
      </c>
      <c r="C5">
        <v>1</v>
      </c>
      <c r="D5" t="s">
        <v>1468</v>
      </c>
      <c r="E5" t="s">
        <v>386</v>
      </c>
      <c r="H5" t="s">
        <v>1298</v>
      </c>
      <c r="I5" t="s">
        <v>386</v>
      </c>
      <c r="J5" t="s">
        <v>1492</v>
      </c>
      <c r="K5" t="s">
        <v>1510</v>
      </c>
      <c r="L5" t="s">
        <v>1509</v>
      </c>
      <c r="M5" t="s">
        <v>1506</v>
      </c>
      <c r="N5" t="s">
        <v>1507</v>
      </c>
      <c r="O5" t="s">
        <v>1512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1731</v>
      </c>
      <c r="B1" s="405" t="s">
        <v>1278</v>
      </c>
      <c r="C1" s="405" t="s">
        <v>1261</v>
      </c>
      <c r="D1" s="405" t="s">
        <v>1262</v>
      </c>
      <c r="E1" s="405" t="s">
        <v>1732</v>
      </c>
      <c r="F1" s="405" t="s">
        <v>1280</v>
      </c>
      <c r="G1" s="405" t="s">
        <v>1265</v>
      </c>
      <c r="H1" s="405" t="s">
        <v>1266</v>
      </c>
      <c r="I1" s="405" t="s">
        <v>1282</v>
      </c>
      <c r="J1" s="405" t="s">
        <v>1733</v>
      </c>
      <c r="K1" s="405" t="s">
        <v>1734</v>
      </c>
      <c r="L1" s="405" t="s">
        <v>29</v>
      </c>
      <c r="M1" s="405" t="s">
        <v>30</v>
      </c>
      <c r="N1" s="405" t="s">
        <v>31</v>
      </c>
      <c r="O1" s="405" t="s">
        <v>32</v>
      </c>
      <c r="P1" s="405" t="s">
        <v>33</v>
      </c>
      <c r="Q1" s="405" t="s">
        <v>1735</v>
      </c>
      <c r="R1" s="405" t="s">
        <v>1736</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2" t="s">
        <v>1262</v>
      </c>
      <c r="D1" t="s">
        <v>1263</v>
      </c>
      <c r="E1" t="s">
        <v>1264</v>
      </c>
      <c r="F1" s="242" t="s">
        <v>1265</v>
      </c>
      <c r="G1" s="242" t="s">
        <v>1266</v>
      </c>
      <c r="H1" t="s">
        <v>1267</v>
      </c>
      <c r="I1" s="242" t="s">
        <v>1268</v>
      </c>
      <c r="J1" s="242" t="s">
        <v>1269</v>
      </c>
      <c r="K1" s="242" t="s">
        <v>1270</v>
      </c>
      <c r="L1" s="242" t="s">
        <v>1271</v>
      </c>
      <c r="M1" t="s">
        <v>1272</v>
      </c>
      <c r="N1" s="242" t="s">
        <v>1273</v>
      </c>
      <c r="O1" t="s">
        <v>1274</v>
      </c>
      <c r="P1" t="s">
        <v>30</v>
      </c>
      <c r="Q1" t="s">
        <v>1275</v>
      </c>
      <c r="R1" t="s">
        <v>32</v>
      </c>
      <c r="S1" t="s">
        <v>33</v>
      </c>
      <c r="T1" t="s">
        <v>1276</v>
      </c>
    </row>
    <row r="2" spans="1:20" ht="24" customHeight="1">
      <c r="A2" t="s">
        <v>1689</v>
      </c>
      <c r="C2">
        <v>5</v>
      </c>
      <c r="D2" t="s">
        <v>1692</v>
      </c>
      <c r="E2" t="s">
        <v>386</v>
      </c>
      <c r="H2" t="s">
        <v>1298</v>
      </c>
      <c r="I2" t="s">
        <v>1288</v>
      </c>
      <c r="J2" t="s">
        <v>1105</v>
      </c>
      <c r="K2" s="268">
        <v>44021</v>
      </c>
      <c r="L2" s="268">
        <v>44260</v>
      </c>
      <c r="M2" t="s">
        <v>386</v>
      </c>
      <c r="N2" t="s">
        <v>1473</v>
      </c>
      <c r="O2" t="s">
        <v>1510</v>
      </c>
      <c r="P2" t="s">
        <v>1509</v>
      </c>
      <c r="Q2" t="s">
        <v>1506</v>
      </c>
      <c r="R2" t="s">
        <v>1507</v>
      </c>
      <c r="S2" t="s">
        <v>1512</v>
      </c>
      <c r="T2" t="s">
        <v>18</v>
      </c>
    </row>
    <row r="3" spans="1:20" ht="24" customHeight="1">
      <c r="A3" t="s">
        <v>1688</v>
      </c>
      <c r="C3">
        <v>5</v>
      </c>
      <c r="D3" t="s">
        <v>1693</v>
      </c>
      <c r="E3" t="s">
        <v>386</v>
      </c>
      <c r="H3" t="s">
        <v>1298</v>
      </c>
      <c r="I3" t="s">
        <v>1288</v>
      </c>
      <c r="J3" t="s">
        <v>1105</v>
      </c>
      <c r="K3" s="268">
        <v>44086</v>
      </c>
      <c r="L3" s="268">
        <v>44258</v>
      </c>
      <c r="M3" t="s">
        <v>386</v>
      </c>
      <c r="N3" t="s">
        <v>1478</v>
      </c>
      <c r="O3" t="s">
        <v>1510</v>
      </c>
      <c r="P3" t="s">
        <v>1509</v>
      </c>
      <c r="Q3" t="s">
        <v>1506</v>
      </c>
      <c r="R3" t="s">
        <v>1507</v>
      </c>
      <c r="S3" t="s">
        <v>1512</v>
      </c>
      <c r="T3" t="s">
        <v>18</v>
      </c>
    </row>
    <row r="4" spans="1:20" ht="24" customHeight="1">
      <c r="A4" t="s">
        <v>1687</v>
      </c>
      <c r="C4">
        <v>5</v>
      </c>
      <c r="D4" t="s">
        <v>1694</v>
      </c>
      <c r="E4" t="s">
        <v>386</v>
      </c>
      <c r="H4" t="s">
        <v>1298</v>
      </c>
      <c r="I4" t="s">
        <v>1288</v>
      </c>
      <c r="J4" t="s">
        <v>1105</v>
      </c>
      <c r="K4" s="268">
        <v>44062</v>
      </c>
      <c r="L4" s="268">
        <v>44247</v>
      </c>
      <c r="M4" t="s">
        <v>386</v>
      </c>
      <c r="N4" t="s">
        <v>1483</v>
      </c>
      <c r="O4" t="s">
        <v>1510</v>
      </c>
      <c r="P4" t="s">
        <v>1509</v>
      </c>
      <c r="Q4" t="s">
        <v>1506</v>
      </c>
      <c r="R4" t="s">
        <v>1507</v>
      </c>
      <c r="S4" t="s">
        <v>1512</v>
      </c>
      <c r="T4" t="s">
        <v>18</v>
      </c>
    </row>
    <row r="5" spans="1:20" ht="24" customHeight="1">
      <c r="A5" t="s">
        <v>1686</v>
      </c>
      <c r="C5">
        <v>5</v>
      </c>
      <c r="D5" t="s">
        <v>1695</v>
      </c>
      <c r="E5" t="s">
        <v>386</v>
      </c>
      <c r="H5" t="s">
        <v>1298</v>
      </c>
      <c r="I5" t="s">
        <v>1288</v>
      </c>
      <c r="J5" t="s">
        <v>1105</v>
      </c>
      <c r="K5" s="268">
        <v>44116</v>
      </c>
      <c r="L5" s="268">
        <v>44265</v>
      </c>
      <c r="M5" t="s">
        <v>386</v>
      </c>
      <c r="N5" t="s">
        <v>1488</v>
      </c>
      <c r="O5" t="s">
        <v>1510</v>
      </c>
      <c r="P5" t="s">
        <v>1509</v>
      </c>
      <c r="Q5" t="s">
        <v>1506</v>
      </c>
      <c r="R5" t="s">
        <v>1507</v>
      </c>
      <c r="S5" t="s">
        <v>1512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4" t="s">
        <v>1737</v>
      </c>
      <c r="B1" s="404" t="s">
        <v>1738</v>
      </c>
      <c r="C1" s="404" t="s">
        <v>1261</v>
      </c>
      <c r="D1" s="404" t="s">
        <v>1262</v>
      </c>
      <c r="E1" s="404" t="s">
        <v>1739</v>
      </c>
      <c r="F1" s="404" t="s">
        <v>1264</v>
      </c>
      <c r="G1" s="404" t="s">
        <v>1265</v>
      </c>
      <c r="H1" s="404" t="s">
        <v>1266</v>
      </c>
      <c r="I1" s="404" t="s">
        <v>1740</v>
      </c>
      <c r="J1" s="404" t="s">
        <v>1741</v>
      </c>
      <c r="K1" s="404" t="s">
        <v>1742</v>
      </c>
      <c r="L1" s="404" t="s">
        <v>1272</v>
      </c>
      <c r="M1" s="404" t="s">
        <v>1743</v>
      </c>
      <c r="N1" s="404" t="s">
        <v>1734</v>
      </c>
      <c r="O1" s="404" t="s">
        <v>1274</v>
      </c>
      <c r="P1" s="404" t="s">
        <v>30</v>
      </c>
      <c r="Q1" s="404" t="s">
        <v>1275</v>
      </c>
      <c r="R1" s="404" t="s">
        <v>32</v>
      </c>
      <c r="S1" s="404" t="s">
        <v>33</v>
      </c>
      <c r="T1" s="404" t="s">
        <v>1744</v>
      </c>
      <c r="U1" s="404" t="s">
        <v>1736</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1471</v>
      </c>
      <c r="B2" t="s">
        <v>1110</v>
      </c>
      <c r="C2" t="s">
        <v>1298</v>
      </c>
    </row>
    <row r="3" spans="1:3">
      <c r="A3" t="s">
        <v>1470</v>
      </c>
      <c r="B3" t="s">
        <v>881</v>
      </c>
      <c r="C3" t="s">
        <v>1298</v>
      </c>
    </row>
    <row r="4" spans="1:3">
      <c r="A4" t="s">
        <v>1474</v>
      </c>
      <c r="B4" t="s">
        <v>880</v>
      </c>
      <c r="C4" t="s">
        <v>1298</v>
      </c>
    </row>
    <row r="5" spans="1:3">
      <c r="A5" t="s">
        <v>1476</v>
      </c>
      <c r="B5" t="s">
        <v>1110</v>
      </c>
      <c r="C5" t="s">
        <v>1298</v>
      </c>
    </row>
    <row r="6" spans="1:3">
      <c r="A6" t="s">
        <v>1483</v>
      </c>
      <c r="B6" t="s">
        <v>1309</v>
      </c>
      <c r="C6" t="s">
        <v>1298</v>
      </c>
    </row>
    <row r="7" spans="1:3">
      <c r="A7" t="s">
        <v>1488</v>
      </c>
      <c r="B7" t="s">
        <v>1309</v>
      </c>
      <c r="C7" t="s">
        <v>1298</v>
      </c>
    </row>
    <row r="8" spans="1:3">
      <c r="A8" t="s">
        <v>1489</v>
      </c>
      <c r="B8" t="s">
        <v>1308</v>
      </c>
      <c r="C8" t="s">
        <v>1298</v>
      </c>
    </row>
    <row r="9" spans="1:3">
      <c r="A9" t="s">
        <v>1490</v>
      </c>
      <c r="B9" t="s">
        <v>1310</v>
      </c>
      <c r="C9" t="s">
        <v>1298</v>
      </c>
    </row>
    <row r="10" spans="1:3">
      <c r="A10" t="s">
        <v>1491</v>
      </c>
      <c r="B10" t="s">
        <v>1307</v>
      </c>
      <c r="C10" t="s">
        <v>1298</v>
      </c>
    </row>
    <row r="11" spans="1:3">
      <c r="A11" t="s">
        <v>1492</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1461</v>
      </c>
      <c r="C1" t="s">
        <v>1462</v>
      </c>
      <c r="D1" t="s">
        <v>1463</v>
      </c>
      <c r="E1" t="s">
        <v>1464</v>
      </c>
      <c r="F1" t="s">
        <v>1300</v>
      </c>
      <c r="G1" t="s">
        <v>1301</v>
      </c>
      <c r="H1" t="s">
        <v>1302</v>
      </c>
      <c r="I1" t="s">
        <v>1303</v>
      </c>
    </row>
    <row r="2" spans="1:9">
      <c r="A2" t="s">
        <v>1471</v>
      </c>
      <c r="B2" t="s">
        <v>1257</v>
      </c>
    </row>
    <row r="3" spans="1:9">
      <c r="A3" t="s">
        <v>1470</v>
      </c>
      <c r="B3" t="s">
        <v>1257</v>
      </c>
    </row>
    <row r="4" spans="1:9">
      <c r="A4" t="s">
        <v>1474</v>
      </c>
      <c r="C4" t="s">
        <v>1257</v>
      </c>
    </row>
    <row r="5" spans="1:9">
      <c r="A5" t="s">
        <v>1476</v>
      </c>
      <c r="C5" t="s">
        <v>1257</v>
      </c>
    </row>
    <row r="6" spans="1:9">
      <c r="A6" t="s">
        <v>1483</v>
      </c>
      <c r="D6" t="s">
        <v>1257</v>
      </c>
    </row>
    <row r="7" spans="1:9">
      <c r="A7" t="s">
        <v>1488</v>
      </c>
      <c r="E7" t="s">
        <v>1257</v>
      </c>
    </row>
    <row r="8" spans="1:9">
      <c r="A8" t="s">
        <v>1489</v>
      </c>
      <c r="F8" t="s">
        <v>1257</v>
      </c>
    </row>
    <row r="9" spans="1:9">
      <c r="A9" t="s">
        <v>1490</v>
      </c>
      <c r="G9" t="s">
        <v>1257</v>
      </c>
    </row>
    <row r="10" spans="1:9">
      <c r="A10" t="s">
        <v>1491</v>
      </c>
      <c r="H10" t="s">
        <v>1257</v>
      </c>
    </row>
    <row r="11" spans="1:9">
      <c r="A11" t="s">
        <v>1492</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1471</v>
      </c>
      <c r="D2" t="s">
        <v>1257</v>
      </c>
      <c r="E2" t="s">
        <v>1257</v>
      </c>
      <c r="F2" t="s">
        <v>1257</v>
      </c>
      <c r="G2" t="s">
        <v>1257</v>
      </c>
    </row>
    <row r="3" spans="1:20">
      <c r="A3" t="s">
        <v>1470</v>
      </c>
      <c r="E3" t="s">
        <v>1257</v>
      </c>
      <c r="F3" t="s">
        <v>1257</v>
      </c>
    </row>
    <row r="4" spans="1:20">
      <c r="A4" t="s">
        <v>1474</v>
      </c>
      <c r="B4" t="s">
        <v>1257</v>
      </c>
      <c r="E4" t="s">
        <v>1257</v>
      </c>
    </row>
    <row r="5" spans="1:20">
      <c r="A5" t="s">
        <v>1476</v>
      </c>
      <c r="D5" t="s">
        <v>1257</v>
      </c>
      <c r="E5" t="s">
        <v>1257</v>
      </c>
      <c r="F5" t="s">
        <v>1257</v>
      </c>
      <c r="G5" t="s">
        <v>1257</v>
      </c>
    </row>
    <row r="6" spans="1:20">
      <c r="A6" t="s">
        <v>1483</v>
      </c>
      <c r="E6" t="s">
        <v>1257</v>
      </c>
      <c r="H6" t="s">
        <v>1257</v>
      </c>
      <c r="I6" t="s">
        <v>1257</v>
      </c>
      <c r="J6" t="s">
        <v>1257</v>
      </c>
      <c r="K6" t="s">
        <v>1257</v>
      </c>
      <c r="M6" t="s">
        <v>1257</v>
      </c>
      <c r="N6" t="s">
        <v>1257</v>
      </c>
    </row>
    <row r="7" spans="1:20">
      <c r="A7" t="s">
        <v>1488</v>
      </c>
      <c r="E7" t="s">
        <v>1257</v>
      </c>
      <c r="H7" t="s">
        <v>1257</v>
      </c>
      <c r="I7" t="s">
        <v>1257</v>
      </c>
      <c r="J7" t="s">
        <v>1257</v>
      </c>
      <c r="K7" t="s">
        <v>1257</v>
      </c>
      <c r="M7" t="s">
        <v>1257</v>
      </c>
      <c r="N7" t="s">
        <v>1257</v>
      </c>
    </row>
    <row r="8" spans="1:20">
      <c r="A8" t="s">
        <v>1489</v>
      </c>
      <c r="O8" t="s">
        <v>1257</v>
      </c>
    </row>
    <row r="9" spans="1:20">
      <c r="A9" t="s">
        <v>1490</v>
      </c>
      <c r="M9" t="s">
        <v>1257</v>
      </c>
      <c r="N9" t="s">
        <v>1257</v>
      </c>
      <c r="P9" t="s">
        <v>1257</v>
      </c>
      <c r="Q9" t="s">
        <v>1257</v>
      </c>
      <c r="R9" t="s">
        <v>1257</v>
      </c>
    </row>
    <row r="10" spans="1:20">
      <c r="A10" t="s">
        <v>1491</v>
      </c>
      <c r="L10" t="s">
        <v>1257</v>
      </c>
    </row>
    <row r="11" spans="1:20">
      <c r="A11" t="s">
        <v>1492</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6" t="s">
        <v>1047</v>
      </c>
      <c r="C2" s="546" t="s">
        <v>1048</v>
      </c>
      <c r="D2" s="537" t="s">
        <v>1049</v>
      </c>
      <c r="E2" s="539"/>
      <c r="F2" s="540" t="s">
        <v>1050</v>
      </c>
      <c r="G2" s="542"/>
      <c r="H2" s="537" t="s">
        <v>1051</v>
      </c>
      <c r="I2" s="538"/>
      <c r="J2" s="538"/>
      <c r="K2" s="539"/>
      <c r="L2" s="540" t="s">
        <v>1052</v>
      </c>
      <c r="M2" s="541"/>
      <c r="N2" s="542"/>
      <c r="O2" s="176" t="s">
        <v>1053</v>
      </c>
      <c r="P2" s="177" t="s">
        <v>1054</v>
      </c>
      <c r="Q2" s="537" t="s">
        <v>1055</v>
      </c>
      <c r="R2" s="538"/>
      <c r="S2" s="539"/>
      <c r="T2" s="540" t="s">
        <v>1056</v>
      </c>
      <c r="U2" s="541"/>
      <c r="V2" s="542"/>
      <c r="W2" s="173" t="s">
        <v>1057</v>
      </c>
    </row>
    <row r="3" spans="2:28" ht="15.6">
      <c r="B3" s="547"/>
      <c r="C3" s="547"/>
      <c r="D3" s="178" t="s">
        <v>878</v>
      </c>
      <c r="E3" s="178" t="s">
        <v>879</v>
      </c>
      <c r="F3" s="179" t="s">
        <v>852</v>
      </c>
      <c r="G3" s="179" t="s">
        <v>851</v>
      </c>
      <c r="H3" s="178" t="s">
        <v>853</v>
      </c>
      <c r="I3" s="178" t="s">
        <v>855</v>
      </c>
      <c r="J3" s="178" t="s">
        <v>805</v>
      </c>
      <c r="K3" s="178" t="s">
        <v>854</v>
      </c>
      <c r="L3" s="179" t="s">
        <v>858</v>
      </c>
      <c r="M3" s="179" t="s">
        <v>857</v>
      </c>
      <c r="N3" s="179" t="s">
        <v>856</v>
      </c>
      <c r="O3" s="178" t="s">
        <v>859</v>
      </c>
      <c r="P3" s="179" t="s">
        <v>726</v>
      </c>
      <c r="Q3" s="178" t="s">
        <v>861</v>
      </c>
      <c r="R3" s="178" t="s">
        <v>862</v>
      </c>
      <c r="S3" s="178" t="s">
        <v>860</v>
      </c>
      <c r="T3" s="179" t="s">
        <v>863</v>
      </c>
      <c r="U3" s="179" t="s">
        <v>864</v>
      </c>
      <c r="V3" s="179" t="s">
        <v>724</v>
      </c>
      <c r="W3" s="173" t="s">
        <v>865</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3" t="s">
        <v>1058</v>
      </c>
      <c r="C5" s="180"/>
      <c r="D5" s="245"/>
      <c r="E5" s="245"/>
      <c r="F5" s="245"/>
      <c r="G5" s="245"/>
      <c r="H5" s="245"/>
      <c r="I5" s="245"/>
      <c r="J5" s="245"/>
      <c r="K5" s="245"/>
      <c r="L5" s="245"/>
      <c r="M5" s="245"/>
      <c r="N5" s="245"/>
      <c r="O5" s="245"/>
      <c r="P5" s="245"/>
      <c r="Q5" s="245"/>
      <c r="R5" s="245"/>
      <c r="S5" s="245"/>
      <c r="T5" s="245"/>
      <c r="U5" s="245"/>
      <c r="V5" s="245"/>
      <c r="W5" s="163" t="s">
        <v>1063</v>
      </c>
      <c r="Z5" s="384" t="s">
        <v>1604</v>
      </c>
    </row>
    <row r="6" spans="2:28" ht="15" customHeight="1">
      <c r="B6" s="544"/>
      <c r="C6" s="179">
        <v>1.1000000000000001</v>
      </c>
      <c r="D6" s="246"/>
      <c r="E6" s="246"/>
      <c r="F6" s="246"/>
      <c r="G6" s="246"/>
      <c r="H6" s="246"/>
      <c r="I6" s="246"/>
      <c r="J6" s="246"/>
      <c r="K6" s="246"/>
      <c r="L6" s="246"/>
      <c r="M6" s="246"/>
      <c r="N6" s="246"/>
      <c r="O6" s="246"/>
      <c r="P6" s="246"/>
      <c r="Q6" s="246"/>
      <c r="R6" s="246"/>
      <c r="S6" s="246"/>
      <c r="T6" s="246"/>
      <c r="U6" s="246"/>
      <c r="V6" s="246"/>
      <c r="W6" s="163" t="s">
        <v>1061</v>
      </c>
    </row>
    <row r="7" spans="2:28" ht="15" customHeight="1">
      <c r="B7" s="544"/>
      <c r="C7" s="179">
        <v>1.2</v>
      </c>
      <c r="D7" s="246"/>
      <c r="E7" s="246"/>
      <c r="F7" s="246"/>
      <c r="G7" s="246"/>
      <c r="H7" s="246"/>
      <c r="I7" s="246"/>
      <c r="J7" s="246"/>
      <c r="K7" s="246"/>
      <c r="L7" s="246"/>
      <c r="M7" s="246"/>
      <c r="N7" s="246"/>
      <c r="O7" s="246"/>
      <c r="P7" s="246"/>
      <c r="Q7" s="246"/>
      <c r="R7" s="246"/>
      <c r="S7" s="246"/>
      <c r="T7" s="246"/>
      <c r="U7" s="246"/>
      <c r="V7" s="246"/>
      <c r="W7" s="163" t="s">
        <v>882</v>
      </c>
      <c r="Z7" s="8" t="s">
        <v>1602</v>
      </c>
      <c r="AB7" s="383" t="s">
        <v>1062</v>
      </c>
    </row>
    <row r="8" spans="2:28" ht="15" customHeight="1">
      <c r="B8" s="545"/>
      <c r="C8" s="179">
        <v>1.3</v>
      </c>
      <c r="D8" s="246"/>
      <c r="E8" s="246"/>
      <c r="F8" s="246"/>
      <c r="G8" s="246"/>
      <c r="H8" s="246"/>
      <c r="I8" s="246"/>
      <c r="J8" s="246"/>
      <c r="K8" s="246"/>
      <c r="L8" s="246"/>
      <c r="M8" s="246"/>
      <c r="N8" s="246"/>
      <c r="O8" s="246"/>
      <c r="P8" s="246"/>
      <c r="Q8" s="246"/>
      <c r="R8" s="246"/>
      <c r="S8" s="246"/>
      <c r="T8" s="246"/>
      <c r="U8" s="246"/>
      <c r="V8" s="246"/>
      <c r="W8" s="163" t="s">
        <v>1060</v>
      </c>
      <c r="Z8" s="8" t="s">
        <v>1603</v>
      </c>
      <c r="AB8" s="383" t="s">
        <v>1063</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1060</v>
      </c>
    </row>
    <row r="10" spans="2:28" ht="15" customHeight="1">
      <c r="B10" s="543" t="s">
        <v>1064</v>
      </c>
      <c r="C10" s="180"/>
      <c r="D10" s="244"/>
      <c r="E10" s="244"/>
      <c r="F10" s="244"/>
      <c r="G10" s="244"/>
      <c r="H10" s="244"/>
      <c r="I10" s="244"/>
      <c r="J10" s="244"/>
      <c r="K10" s="244"/>
      <c r="L10" s="244"/>
      <c r="M10" s="244"/>
      <c r="N10" s="244"/>
      <c r="O10" s="244"/>
      <c r="P10" s="244"/>
      <c r="Q10" s="244"/>
      <c r="R10" s="244"/>
      <c r="S10" s="244"/>
      <c r="T10" s="244"/>
      <c r="U10" s="244"/>
      <c r="V10" s="244"/>
      <c r="W10" s="174"/>
      <c r="Z10" s="384" t="s">
        <v>1610</v>
      </c>
    </row>
    <row r="11" spans="2:28" ht="15" customHeight="1">
      <c r="B11" s="544"/>
      <c r="C11" s="179">
        <v>2.1</v>
      </c>
      <c r="D11" s="180"/>
      <c r="E11" s="180"/>
      <c r="F11" s="180"/>
      <c r="G11" s="180"/>
      <c r="H11" s="180"/>
      <c r="I11" s="358" t="s">
        <v>1544</v>
      </c>
      <c r="J11" s="180"/>
      <c r="K11" s="180"/>
      <c r="L11" s="180"/>
      <c r="M11" s="180"/>
      <c r="N11" s="180"/>
      <c r="O11" s="180"/>
      <c r="P11" s="180"/>
      <c r="Q11" s="180"/>
      <c r="R11" s="180"/>
      <c r="S11" s="180"/>
      <c r="T11" s="180"/>
      <c r="U11" s="180"/>
      <c r="V11" s="180"/>
      <c r="W11" s="163"/>
    </row>
    <row r="12" spans="2:28" ht="15" customHeight="1">
      <c r="B12" s="544"/>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1061</v>
      </c>
      <c r="Z12" s="8" t="s">
        <v>1605</v>
      </c>
      <c r="AB12" s="382" t="s">
        <v>1059</v>
      </c>
    </row>
    <row r="13" spans="2:28" ht="15" customHeight="1">
      <c r="B13" s="544"/>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1061</v>
      </c>
      <c r="Z13" s="8" t="s">
        <v>1606</v>
      </c>
      <c r="AB13" s="382" t="s">
        <v>1060</v>
      </c>
    </row>
    <row r="14" spans="2:28" ht="15" customHeight="1">
      <c r="B14" s="544"/>
      <c r="C14" s="179">
        <v>2.4</v>
      </c>
      <c r="D14" s="180"/>
      <c r="E14" s="180"/>
      <c r="F14" s="180"/>
      <c r="G14" s="180"/>
      <c r="H14" s="180"/>
      <c r="I14" s="180"/>
      <c r="J14" s="180"/>
      <c r="K14" s="180"/>
      <c r="L14" s="180"/>
      <c r="M14" s="180"/>
      <c r="N14" s="180"/>
      <c r="O14" s="180"/>
      <c r="P14" s="180"/>
      <c r="Q14" s="180"/>
      <c r="R14" s="180"/>
      <c r="S14" s="180"/>
      <c r="T14" s="180"/>
      <c r="U14" s="180"/>
      <c r="V14" s="180"/>
      <c r="W14" s="163" t="s">
        <v>1059</v>
      </c>
      <c r="Z14" s="8" t="s">
        <v>1607</v>
      </c>
      <c r="AB14" s="382" t="s">
        <v>882</v>
      </c>
    </row>
    <row r="15" spans="2:28" ht="15" customHeight="1">
      <c r="B15" s="544"/>
      <c r="C15" s="179">
        <v>2.5</v>
      </c>
      <c r="D15" s="180"/>
      <c r="E15" s="180"/>
      <c r="F15" s="180"/>
      <c r="G15" s="180"/>
      <c r="H15" s="180"/>
      <c r="I15" s="180"/>
      <c r="J15" s="180"/>
      <c r="K15" s="180"/>
      <c r="L15" s="180"/>
      <c r="M15" s="180"/>
      <c r="N15" s="180"/>
      <c r="O15" s="180"/>
      <c r="P15" s="180"/>
      <c r="Q15" s="180"/>
      <c r="R15" s="180"/>
      <c r="S15" s="180"/>
      <c r="T15" s="180"/>
      <c r="U15" s="180"/>
      <c r="V15" s="180"/>
      <c r="W15" s="163" t="s">
        <v>1060</v>
      </c>
      <c r="Z15" s="8" t="s">
        <v>1608</v>
      </c>
      <c r="AB15" s="382" t="s">
        <v>1061</v>
      </c>
    </row>
    <row r="16" spans="2:28" ht="15" customHeight="1">
      <c r="B16" s="544"/>
      <c r="C16" s="179">
        <v>2.6</v>
      </c>
      <c r="D16" s="180"/>
      <c r="E16" s="180"/>
      <c r="F16" s="180"/>
      <c r="G16" s="180"/>
      <c r="H16" s="180"/>
      <c r="I16" s="180"/>
      <c r="J16" s="180"/>
      <c r="K16" s="180"/>
      <c r="L16" s="180"/>
      <c r="M16" s="180"/>
      <c r="N16" s="180"/>
      <c r="O16" s="180"/>
      <c r="P16" s="180"/>
      <c r="Q16" s="180"/>
      <c r="R16" s="180"/>
      <c r="S16" s="180"/>
      <c r="T16" s="180"/>
      <c r="U16" s="180"/>
      <c r="V16" s="180"/>
      <c r="W16" s="163"/>
      <c r="Z16" s="8" t="s">
        <v>1609</v>
      </c>
      <c r="AB16" s="382" t="s">
        <v>1065</v>
      </c>
    </row>
    <row r="17" spans="2:23" ht="15" customHeight="1">
      <c r="B17" s="544"/>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5"/>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3" t="s">
        <v>1066</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4"/>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4"/>
      <c r="C22" s="179">
        <v>3.2</v>
      </c>
      <c r="D22" s="180"/>
      <c r="E22" s="180"/>
      <c r="F22" s="180"/>
      <c r="G22" s="180"/>
      <c r="H22" s="180"/>
      <c r="I22" s="180"/>
      <c r="J22" s="180"/>
      <c r="K22" s="180"/>
      <c r="L22" s="180"/>
      <c r="M22" s="180"/>
      <c r="N22" s="180"/>
      <c r="O22" s="180"/>
      <c r="P22" s="180"/>
      <c r="Q22" s="180"/>
      <c r="R22" s="180"/>
      <c r="S22" s="180"/>
      <c r="T22" s="180"/>
      <c r="U22" s="180"/>
      <c r="V22" s="180"/>
      <c r="W22" s="163" t="s">
        <v>1061</v>
      </c>
    </row>
    <row r="23" spans="2:23" ht="15.6">
      <c r="B23" s="544"/>
      <c r="C23" s="179">
        <v>3.3</v>
      </c>
      <c r="D23" s="180"/>
      <c r="E23" s="180"/>
      <c r="F23" s="180"/>
      <c r="G23" s="180"/>
      <c r="H23" s="180"/>
      <c r="I23" s="180"/>
      <c r="J23" s="180"/>
      <c r="K23" s="180"/>
      <c r="L23" s="180"/>
      <c r="M23" s="180"/>
      <c r="N23" s="180"/>
      <c r="O23" s="180"/>
      <c r="P23" s="180"/>
      <c r="Q23" s="180"/>
      <c r="R23" s="180"/>
      <c r="S23" s="180"/>
      <c r="T23" s="180"/>
      <c r="U23" s="180"/>
      <c r="V23" s="180"/>
      <c r="W23" s="163" t="s">
        <v>1061</v>
      </c>
    </row>
    <row r="24" spans="2:23" ht="15.6">
      <c r="B24" s="544"/>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4"/>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4"/>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5"/>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3" t="s">
        <v>1067</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4"/>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4"/>
      <c r="C31" s="179">
        <v>4.2</v>
      </c>
      <c r="D31" s="180"/>
      <c r="E31" s="180"/>
      <c r="F31" s="180"/>
      <c r="G31" s="180"/>
      <c r="H31" s="180"/>
      <c r="I31" s="180"/>
      <c r="J31" s="180"/>
      <c r="K31" s="180"/>
      <c r="L31" s="180"/>
      <c r="M31" s="180"/>
      <c r="N31" s="180"/>
      <c r="O31" s="180"/>
      <c r="P31" s="180"/>
      <c r="Q31" s="180"/>
      <c r="R31" s="180"/>
      <c r="S31" s="180"/>
      <c r="T31" s="180"/>
      <c r="U31" s="180"/>
      <c r="V31" s="180"/>
      <c r="W31" s="163" t="s">
        <v>1061</v>
      </c>
    </row>
    <row r="32" spans="2:23" ht="15.6">
      <c r="B32" s="544"/>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4"/>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5"/>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48" t="s">
        <v>1068</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48"/>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48"/>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48"/>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9" t="s">
        <v>1047</v>
      </c>
      <c r="C49" s="549" t="s">
        <v>1048</v>
      </c>
      <c r="D49" s="550" t="s">
        <v>1049</v>
      </c>
      <c r="E49" s="550"/>
      <c r="F49" s="551" t="s">
        <v>1050</v>
      </c>
      <c r="G49" s="551"/>
      <c r="H49" s="550" t="s">
        <v>1051</v>
      </c>
      <c r="I49" s="550"/>
      <c r="J49" s="550"/>
      <c r="K49" s="550"/>
      <c r="L49" s="551" t="s">
        <v>1052</v>
      </c>
      <c r="M49" s="551"/>
      <c r="N49" s="551"/>
      <c r="O49" s="176" t="s">
        <v>1053</v>
      </c>
      <c r="P49" s="177" t="s">
        <v>1054</v>
      </c>
      <c r="Q49" s="550" t="s">
        <v>1055</v>
      </c>
      <c r="R49" s="550"/>
      <c r="S49" s="550"/>
      <c r="T49" s="551" t="s">
        <v>1056</v>
      </c>
      <c r="U49" s="551"/>
      <c r="V49" s="551"/>
    </row>
    <row r="50" spans="2:28" ht="93.6">
      <c r="B50" s="549"/>
      <c r="C50" s="549"/>
      <c r="D50" s="178" t="s">
        <v>878</v>
      </c>
      <c r="E50" s="178" t="s">
        <v>879</v>
      </c>
      <c r="F50" s="179" t="s">
        <v>852</v>
      </c>
      <c r="G50" s="179" t="s">
        <v>851</v>
      </c>
      <c r="H50" s="178" t="s">
        <v>853</v>
      </c>
      <c r="I50" s="178" t="s">
        <v>855</v>
      </c>
      <c r="J50" s="178" t="s">
        <v>805</v>
      </c>
      <c r="K50" s="178" t="s">
        <v>854</v>
      </c>
      <c r="L50" s="179" t="s">
        <v>858</v>
      </c>
      <c r="M50" s="179" t="s">
        <v>857</v>
      </c>
      <c r="N50" s="179" t="s">
        <v>856</v>
      </c>
      <c r="O50" s="178" t="s">
        <v>859</v>
      </c>
      <c r="P50" s="179" t="s">
        <v>726</v>
      </c>
      <c r="Q50" s="178" t="s">
        <v>861</v>
      </c>
      <c r="R50" s="178" t="s">
        <v>862</v>
      </c>
      <c r="S50" s="178" t="s">
        <v>860</v>
      </c>
      <c r="T50" s="179" t="s">
        <v>863</v>
      </c>
      <c r="U50" s="179" t="s">
        <v>864</v>
      </c>
      <c r="V50" s="179" t="s">
        <v>724</v>
      </c>
      <c r="W50" s="173" t="s">
        <v>1057</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865</v>
      </c>
    </row>
    <row r="52" spans="2:28" ht="12" customHeight="1">
      <c r="B52" s="543" t="s">
        <v>1058</v>
      </c>
      <c r="C52" s="180"/>
      <c r="D52" s="180" t="s">
        <v>1062</v>
      </c>
      <c r="E52" s="180" t="s">
        <v>1062</v>
      </c>
      <c r="F52" s="180" t="s">
        <v>1062</v>
      </c>
      <c r="G52" s="180" t="s">
        <v>1062</v>
      </c>
      <c r="H52" s="180" t="s">
        <v>1062</v>
      </c>
      <c r="I52" s="180" t="s">
        <v>1062</v>
      </c>
      <c r="J52" s="180" t="s">
        <v>1062</v>
      </c>
      <c r="K52" s="180" t="s">
        <v>1062</v>
      </c>
      <c r="L52" s="180" t="s">
        <v>1062</v>
      </c>
      <c r="M52" s="180" t="s">
        <v>1062</v>
      </c>
      <c r="N52" s="180" t="s">
        <v>1062</v>
      </c>
      <c r="O52" s="180" t="s">
        <v>1062</v>
      </c>
      <c r="P52" s="180" t="s">
        <v>1062</v>
      </c>
      <c r="Q52" s="180" t="s">
        <v>1062</v>
      </c>
      <c r="R52" s="180" t="s">
        <v>1062</v>
      </c>
      <c r="S52" s="180" t="s">
        <v>1062</v>
      </c>
      <c r="T52" s="180" t="s">
        <v>1062</v>
      </c>
      <c r="U52" s="180" t="s">
        <v>1062</v>
      </c>
      <c r="V52" s="180" t="s">
        <v>1062</v>
      </c>
      <c r="W52" s="163"/>
    </row>
    <row r="53" spans="2:28" ht="15.6">
      <c r="B53" s="544"/>
      <c r="C53" s="179">
        <v>1.1000000000000001</v>
      </c>
      <c r="D53" s="180" t="s">
        <v>1059</v>
      </c>
      <c r="E53" s="180" t="s">
        <v>1059</v>
      </c>
      <c r="F53" s="180" t="s">
        <v>1059</v>
      </c>
      <c r="G53" s="180" t="s">
        <v>1059</v>
      </c>
      <c r="H53" s="180" t="s">
        <v>1059</v>
      </c>
      <c r="I53" s="180" t="s">
        <v>1059</v>
      </c>
      <c r="J53" s="180" t="s">
        <v>1059</v>
      </c>
      <c r="K53" s="180" t="s">
        <v>1059</v>
      </c>
      <c r="L53" s="180" t="s">
        <v>1059</v>
      </c>
      <c r="M53" s="180" t="s">
        <v>1059</v>
      </c>
      <c r="N53" s="180" t="s">
        <v>1059</v>
      </c>
      <c r="O53" s="180" t="s">
        <v>1059</v>
      </c>
      <c r="P53" s="180" t="s">
        <v>1059</v>
      </c>
      <c r="Q53" s="180" t="s">
        <v>1059</v>
      </c>
      <c r="R53" s="180" t="s">
        <v>1059</v>
      </c>
      <c r="S53" s="180" t="s">
        <v>1059</v>
      </c>
      <c r="T53" s="180" t="s">
        <v>1059</v>
      </c>
      <c r="U53" s="180" t="s">
        <v>1059</v>
      </c>
      <c r="V53" s="180" t="s">
        <v>1059</v>
      </c>
      <c r="W53" s="163" t="s">
        <v>1063</v>
      </c>
    </row>
    <row r="54" spans="2:28" ht="15.6">
      <c r="B54" s="544"/>
      <c r="C54" s="179">
        <v>1.2</v>
      </c>
      <c r="D54" s="180"/>
      <c r="E54" s="180"/>
      <c r="F54" s="180"/>
      <c r="G54" s="180"/>
      <c r="H54" s="180"/>
      <c r="I54" s="180" t="s">
        <v>1059</v>
      </c>
      <c r="J54" s="180"/>
      <c r="K54" s="180"/>
      <c r="L54" s="180" t="s">
        <v>1059</v>
      </c>
      <c r="M54" s="180"/>
      <c r="N54" s="180" t="s">
        <v>1059</v>
      </c>
      <c r="O54" s="180"/>
      <c r="P54" s="180"/>
      <c r="Q54" s="180" t="s">
        <v>1059</v>
      </c>
      <c r="R54" s="180" t="s">
        <v>1059</v>
      </c>
      <c r="S54" s="180"/>
      <c r="T54" s="180"/>
      <c r="U54" s="180" t="s">
        <v>1059</v>
      </c>
      <c r="V54" s="180"/>
      <c r="W54" s="163" t="s">
        <v>1061</v>
      </c>
      <c r="Z54" s="8" t="s">
        <v>1059</v>
      </c>
      <c r="AB54" s="8" t="s">
        <v>1062</v>
      </c>
    </row>
    <row r="55" spans="2:28" ht="15.6">
      <c r="B55" s="545"/>
      <c r="C55" s="179">
        <v>1.3</v>
      </c>
      <c r="D55" s="180"/>
      <c r="E55" s="180"/>
      <c r="F55" s="180"/>
      <c r="G55" s="180"/>
      <c r="H55" s="180"/>
      <c r="I55" s="180"/>
      <c r="J55" s="180"/>
      <c r="K55" s="180"/>
      <c r="L55" s="180" t="s">
        <v>1059</v>
      </c>
      <c r="M55" s="180"/>
      <c r="N55" s="180"/>
      <c r="O55" s="180"/>
      <c r="P55" s="180"/>
      <c r="Q55" s="180"/>
      <c r="R55" s="180"/>
      <c r="S55" s="180"/>
      <c r="T55" s="180"/>
      <c r="U55" s="180"/>
      <c r="V55" s="180"/>
      <c r="W55" s="163" t="s">
        <v>882</v>
      </c>
      <c r="Z55" s="8" t="s">
        <v>1060</v>
      </c>
      <c r="AB55" s="8" t="s">
        <v>1063</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1060</v>
      </c>
      <c r="Z56" s="8" t="s">
        <v>882</v>
      </c>
    </row>
    <row r="57" spans="2:28" ht="15.6">
      <c r="B57" s="548" t="s">
        <v>1064</v>
      </c>
      <c r="C57" s="180"/>
      <c r="D57" s="180" t="s">
        <v>1062</v>
      </c>
      <c r="E57" s="180" t="s">
        <v>1062</v>
      </c>
      <c r="F57" s="180" t="s">
        <v>1062</v>
      </c>
      <c r="G57" s="180" t="s">
        <v>1062</v>
      </c>
      <c r="H57" s="180" t="s">
        <v>1062</v>
      </c>
      <c r="I57" s="180" t="s">
        <v>1062</v>
      </c>
      <c r="J57" s="180" t="s">
        <v>1062</v>
      </c>
      <c r="K57" s="180" t="s">
        <v>1062</v>
      </c>
      <c r="L57" s="180" t="s">
        <v>1062</v>
      </c>
      <c r="M57" s="180" t="s">
        <v>1062</v>
      </c>
      <c r="N57" s="180" t="s">
        <v>1062</v>
      </c>
      <c r="O57" s="180" t="s">
        <v>1062</v>
      </c>
      <c r="P57" s="180" t="s">
        <v>1062</v>
      </c>
      <c r="Q57" s="180" t="s">
        <v>1062</v>
      </c>
      <c r="R57" s="180" t="s">
        <v>1062</v>
      </c>
      <c r="S57" s="180" t="s">
        <v>1062</v>
      </c>
      <c r="T57" s="180" t="s">
        <v>1062</v>
      </c>
      <c r="U57" s="180" t="s">
        <v>1062</v>
      </c>
      <c r="V57" s="180" t="s">
        <v>1062</v>
      </c>
      <c r="W57" s="163" t="s">
        <v>1060</v>
      </c>
      <c r="Z57" s="8" t="s">
        <v>882</v>
      </c>
    </row>
    <row r="58" spans="2:28" ht="12" customHeight="1">
      <c r="B58" s="548"/>
      <c r="C58" s="179">
        <v>2.1</v>
      </c>
      <c r="D58" s="180" t="s">
        <v>1059</v>
      </c>
      <c r="E58" s="180" t="s">
        <v>1060</v>
      </c>
      <c r="F58" s="180" t="s">
        <v>1059</v>
      </c>
      <c r="G58" s="180" t="s">
        <v>1059</v>
      </c>
      <c r="H58" s="180" t="s">
        <v>1059</v>
      </c>
      <c r="I58" s="180" t="s">
        <v>1059</v>
      </c>
      <c r="J58" s="180" t="s">
        <v>1059</v>
      </c>
      <c r="K58" s="180" t="s">
        <v>1059</v>
      </c>
      <c r="L58" s="180" t="s">
        <v>1059</v>
      </c>
      <c r="M58" s="180" t="s">
        <v>1059</v>
      </c>
      <c r="N58" s="180" t="s">
        <v>1059</v>
      </c>
      <c r="O58" s="180" t="s">
        <v>1060</v>
      </c>
      <c r="P58" s="180" t="s">
        <v>1059</v>
      </c>
      <c r="Q58" s="180" t="s">
        <v>1059</v>
      </c>
      <c r="R58" s="180" t="s">
        <v>1059</v>
      </c>
      <c r="S58" s="180" t="s">
        <v>1059</v>
      </c>
      <c r="T58" s="180" t="s">
        <v>1059</v>
      </c>
      <c r="U58" s="180" t="s">
        <v>1059</v>
      </c>
      <c r="V58" s="180" t="s">
        <v>1059</v>
      </c>
      <c r="W58" s="174"/>
      <c r="Z58" s="8" t="s">
        <v>1061</v>
      </c>
    </row>
    <row r="59" spans="2:28" ht="15.6">
      <c r="B59" s="548"/>
      <c r="C59" s="179">
        <v>2.2000000000000002</v>
      </c>
      <c r="D59" s="180" t="s">
        <v>1059</v>
      </c>
      <c r="E59" s="180" t="s">
        <v>1059</v>
      </c>
      <c r="F59" s="180" t="s">
        <v>1059</v>
      </c>
      <c r="G59" s="180" t="s">
        <v>1059</v>
      </c>
      <c r="H59" s="180" t="s">
        <v>1059</v>
      </c>
      <c r="I59" s="180" t="s">
        <v>1059</v>
      </c>
      <c r="J59" s="180" t="s">
        <v>1059</v>
      </c>
      <c r="K59" s="180" t="s">
        <v>1059</v>
      </c>
      <c r="L59" s="180" t="s">
        <v>1059</v>
      </c>
      <c r="M59" s="180" t="s">
        <v>1059</v>
      </c>
      <c r="N59" s="180" t="s">
        <v>1059</v>
      </c>
      <c r="O59" s="180" t="s">
        <v>1059</v>
      </c>
      <c r="P59" s="180" t="s">
        <v>1059</v>
      </c>
      <c r="Q59" s="180" t="s">
        <v>1059</v>
      </c>
      <c r="R59" s="180" t="s">
        <v>1059</v>
      </c>
      <c r="S59" s="180" t="s">
        <v>1059</v>
      </c>
      <c r="T59" s="180" t="s">
        <v>1059</v>
      </c>
      <c r="U59" s="180" t="s">
        <v>1059</v>
      </c>
      <c r="V59" s="180" t="s">
        <v>1059</v>
      </c>
      <c r="W59" s="163"/>
      <c r="Z59" s="8" t="s">
        <v>1065</v>
      </c>
    </row>
    <row r="60" spans="2:28" ht="15.6">
      <c r="B60" s="548"/>
      <c r="C60" s="179">
        <v>2.2999999999999998</v>
      </c>
      <c r="D60" s="180" t="s">
        <v>1059</v>
      </c>
      <c r="E60" s="180"/>
      <c r="F60" s="180" t="s">
        <v>1059</v>
      </c>
      <c r="G60" s="180" t="s">
        <v>1059</v>
      </c>
      <c r="H60" s="180" t="s">
        <v>1059</v>
      </c>
      <c r="I60" s="180" t="s">
        <v>1059</v>
      </c>
      <c r="J60" s="180" t="s">
        <v>1059</v>
      </c>
      <c r="K60" s="180" t="s">
        <v>1059</v>
      </c>
      <c r="L60" s="180"/>
      <c r="M60" s="180" t="s">
        <v>1059</v>
      </c>
      <c r="N60" s="180" t="s">
        <v>1059</v>
      </c>
      <c r="O60" s="180"/>
      <c r="P60" s="180"/>
      <c r="Q60" s="180" t="s">
        <v>1059</v>
      </c>
      <c r="R60" s="180" t="s">
        <v>1059</v>
      </c>
      <c r="S60" s="180" t="s">
        <v>1059</v>
      </c>
      <c r="T60" s="180"/>
      <c r="U60" s="180" t="s">
        <v>1059</v>
      </c>
      <c r="V60" s="180" t="s">
        <v>1059</v>
      </c>
      <c r="W60" s="163" t="s">
        <v>1061</v>
      </c>
    </row>
    <row r="61" spans="2:28" ht="15.6">
      <c r="B61" s="548"/>
      <c r="C61" s="179">
        <v>2.4</v>
      </c>
      <c r="D61" s="180" t="s">
        <v>1059</v>
      </c>
      <c r="E61" s="180"/>
      <c r="F61" s="180"/>
      <c r="G61" s="180" t="s">
        <v>1059</v>
      </c>
      <c r="H61" s="180" t="s">
        <v>1059</v>
      </c>
      <c r="I61" s="180"/>
      <c r="J61" s="180" t="s">
        <v>1059</v>
      </c>
      <c r="K61" s="180" t="s">
        <v>1059</v>
      </c>
      <c r="L61" s="180"/>
      <c r="M61" s="180"/>
      <c r="N61" s="180" t="s">
        <v>1059</v>
      </c>
      <c r="O61" s="180"/>
      <c r="P61" s="180"/>
      <c r="Q61" s="180" t="s">
        <v>1059</v>
      </c>
      <c r="R61" s="180" t="s">
        <v>1059</v>
      </c>
      <c r="S61" s="180" t="s">
        <v>1059</v>
      </c>
      <c r="T61" s="180"/>
      <c r="U61" s="180" t="s">
        <v>1059</v>
      </c>
      <c r="V61" s="180" t="s">
        <v>1059</v>
      </c>
      <c r="W61" s="163" t="s">
        <v>1061</v>
      </c>
    </row>
    <row r="62" spans="2:28" ht="15.6">
      <c r="B62" s="548"/>
      <c r="C62" s="179">
        <v>2.5</v>
      </c>
      <c r="D62" s="180"/>
      <c r="E62" s="180"/>
      <c r="F62" s="180"/>
      <c r="G62" s="180" t="s">
        <v>1059</v>
      </c>
      <c r="H62" s="180"/>
      <c r="I62" s="180"/>
      <c r="J62" s="180"/>
      <c r="K62" s="180" t="s">
        <v>1059</v>
      </c>
      <c r="L62" s="180"/>
      <c r="M62" s="180"/>
      <c r="N62" s="180" t="s">
        <v>1059</v>
      </c>
      <c r="O62" s="180"/>
      <c r="P62" s="180"/>
      <c r="Q62" s="180"/>
      <c r="R62" s="180" t="s">
        <v>1059</v>
      </c>
      <c r="S62" s="180"/>
      <c r="T62" s="180"/>
      <c r="U62" s="180" t="s">
        <v>1059</v>
      </c>
      <c r="V62" s="180" t="s">
        <v>1059</v>
      </c>
      <c r="W62" s="163" t="s">
        <v>1059</v>
      </c>
    </row>
    <row r="63" spans="2:28" ht="15.6">
      <c r="B63" s="548"/>
      <c r="C63" s="179">
        <v>2.6</v>
      </c>
      <c r="D63" s="180"/>
      <c r="E63" s="180"/>
      <c r="F63" s="180"/>
      <c r="G63" s="180" t="s">
        <v>1059</v>
      </c>
      <c r="H63" s="180"/>
      <c r="I63" s="180"/>
      <c r="J63" s="180"/>
      <c r="K63" s="180" t="s">
        <v>1059</v>
      </c>
      <c r="L63" s="180"/>
      <c r="M63" s="180"/>
      <c r="N63" s="180" t="s">
        <v>1059</v>
      </c>
      <c r="O63" s="180"/>
      <c r="P63" s="180"/>
      <c r="Q63" s="180"/>
      <c r="R63" s="180" t="s">
        <v>1059</v>
      </c>
      <c r="S63" s="180"/>
      <c r="T63" s="180"/>
      <c r="U63" s="180"/>
      <c r="V63" s="180"/>
      <c r="W63" s="163" t="s">
        <v>1060</v>
      </c>
    </row>
    <row r="64" spans="2:28" ht="15.6">
      <c r="B64" s="548"/>
      <c r="C64" s="179">
        <v>2.7</v>
      </c>
      <c r="D64" s="180"/>
      <c r="E64" s="180"/>
      <c r="F64" s="180"/>
      <c r="G64" s="180"/>
      <c r="H64" s="180"/>
      <c r="I64" s="180"/>
      <c r="J64" s="180"/>
      <c r="K64" s="180"/>
      <c r="L64" s="180"/>
      <c r="M64" s="180"/>
      <c r="N64" s="180"/>
      <c r="O64" s="180"/>
      <c r="P64" s="180"/>
      <c r="Q64" s="180"/>
      <c r="R64" s="180" t="s">
        <v>1059</v>
      </c>
      <c r="S64" s="180"/>
      <c r="T64" s="180"/>
      <c r="U64" s="180"/>
      <c r="V64" s="180"/>
      <c r="W64" s="163"/>
    </row>
    <row r="65" spans="2:23" ht="15.6">
      <c r="B65" s="548"/>
      <c r="C65" s="179">
        <v>2.8</v>
      </c>
      <c r="D65" s="180"/>
      <c r="E65" s="180"/>
      <c r="F65" s="180"/>
      <c r="G65" s="180"/>
      <c r="H65" s="180"/>
      <c r="I65" s="180"/>
      <c r="J65" s="180"/>
      <c r="K65" s="180"/>
      <c r="L65" s="180"/>
      <c r="M65" s="180"/>
      <c r="N65" s="180"/>
      <c r="O65" s="180"/>
      <c r="P65" s="180"/>
      <c r="Q65" s="180"/>
      <c r="R65" s="180" t="s">
        <v>1059</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48" t="s">
        <v>1066</v>
      </c>
      <c r="C67" s="180"/>
      <c r="D67" s="180" t="s">
        <v>1063</v>
      </c>
      <c r="E67" s="180" t="s">
        <v>1062</v>
      </c>
      <c r="F67" s="180" t="s">
        <v>1062</v>
      </c>
      <c r="G67" s="180" t="s">
        <v>1062</v>
      </c>
      <c r="H67" s="180" t="s">
        <v>1062</v>
      </c>
      <c r="I67" s="180" t="s">
        <v>1062</v>
      </c>
      <c r="J67" s="180" t="s">
        <v>1063</v>
      </c>
      <c r="K67" s="180" t="s">
        <v>1062</v>
      </c>
      <c r="L67" s="180" t="s">
        <v>1062</v>
      </c>
      <c r="M67" s="180" t="s">
        <v>1062</v>
      </c>
      <c r="N67" s="180" t="s">
        <v>1062</v>
      </c>
      <c r="O67" s="180" t="s">
        <v>1062</v>
      </c>
      <c r="P67" s="180" t="s">
        <v>1062</v>
      </c>
      <c r="Q67" s="180" t="s">
        <v>1062</v>
      </c>
      <c r="R67" s="180" t="s">
        <v>1062</v>
      </c>
      <c r="S67" s="180" t="s">
        <v>1062</v>
      </c>
      <c r="T67" s="180" t="s">
        <v>1062</v>
      </c>
      <c r="U67" s="180" t="s">
        <v>1062</v>
      </c>
      <c r="V67" s="180"/>
      <c r="W67" s="163"/>
    </row>
    <row r="68" spans="2:23" ht="12" customHeight="1">
      <c r="B68" s="548"/>
      <c r="C68" s="179">
        <v>3.1</v>
      </c>
      <c r="D68" s="180" t="s">
        <v>1059</v>
      </c>
      <c r="E68" s="180" t="s">
        <v>1059</v>
      </c>
      <c r="F68" s="180" t="s">
        <v>1059</v>
      </c>
      <c r="G68" s="180" t="s">
        <v>1059</v>
      </c>
      <c r="H68" s="180" t="s">
        <v>1059</v>
      </c>
      <c r="I68" s="180" t="s">
        <v>1059</v>
      </c>
      <c r="J68" s="180" t="s">
        <v>882</v>
      </c>
      <c r="K68" s="180" t="s">
        <v>1059</v>
      </c>
      <c r="L68" s="180" t="s">
        <v>1059</v>
      </c>
      <c r="M68" s="180" t="s">
        <v>1059</v>
      </c>
      <c r="N68" s="180" t="s">
        <v>1059</v>
      </c>
      <c r="O68" s="180" t="s">
        <v>1059</v>
      </c>
      <c r="P68" s="180" t="s">
        <v>1059</v>
      </c>
      <c r="Q68" s="180" t="s">
        <v>1059</v>
      </c>
      <c r="R68" s="180" t="s">
        <v>1059</v>
      </c>
      <c r="S68" s="180" t="s">
        <v>1060</v>
      </c>
      <c r="T68" s="180" t="s">
        <v>1059</v>
      </c>
      <c r="U68" s="180" t="s">
        <v>1059</v>
      </c>
      <c r="V68" s="180"/>
      <c r="W68" s="174"/>
    </row>
    <row r="69" spans="2:23" ht="15.6">
      <c r="B69" s="548"/>
      <c r="C69" s="179">
        <v>3.2</v>
      </c>
      <c r="D69" s="180" t="s">
        <v>882</v>
      </c>
      <c r="E69" s="180" t="s">
        <v>1059</v>
      </c>
      <c r="F69" s="180" t="s">
        <v>1059</v>
      </c>
      <c r="G69" s="180" t="s">
        <v>1059</v>
      </c>
      <c r="H69" s="180"/>
      <c r="I69" s="180" t="s">
        <v>1059</v>
      </c>
      <c r="J69" s="180"/>
      <c r="K69" s="180" t="s">
        <v>1059</v>
      </c>
      <c r="L69" s="180" t="s">
        <v>1059</v>
      </c>
      <c r="M69" s="180" t="s">
        <v>1059</v>
      </c>
      <c r="N69" s="180" t="s">
        <v>1059</v>
      </c>
      <c r="O69" s="180" t="s">
        <v>1059</v>
      </c>
      <c r="P69" s="180" t="s">
        <v>1059</v>
      </c>
      <c r="Q69" s="180" t="s">
        <v>1059</v>
      </c>
      <c r="R69" s="180" t="s">
        <v>1059</v>
      </c>
      <c r="S69" s="180" t="s">
        <v>1059</v>
      </c>
      <c r="T69" s="180" t="s">
        <v>1059</v>
      </c>
      <c r="U69" s="180"/>
      <c r="V69" s="180"/>
      <c r="W69" s="163"/>
    </row>
    <row r="70" spans="2:23" ht="15.6">
      <c r="B70" s="548"/>
      <c r="C70" s="179">
        <v>3.3</v>
      </c>
      <c r="D70" s="180"/>
      <c r="E70" s="180" t="s">
        <v>1059</v>
      </c>
      <c r="F70" s="180" t="s">
        <v>1059</v>
      </c>
      <c r="G70" s="180" t="s">
        <v>1059</v>
      </c>
      <c r="H70" s="180"/>
      <c r="I70" s="180"/>
      <c r="J70" s="180"/>
      <c r="K70" s="180" t="s">
        <v>1059</v>
      </c>
      <c r="L70" s="180" t="s">
        <v>1059</v>
      </c>
      <c r="M70" s="180" t="s">
        <v>1059</v>
      </c>
      <c r="N70" s="180" t="s">
        <v>1059</v>
      </c>
      <c r="O70" s="180" t="s">
        <v>1059</v>
      </c>
      <c r="P70" s="180" t="s">
        <v>1059</v>
      </c>
      <c r="Q70" s="180" t="s">
        <v>1059</v>
      </c>
      <c r="R70" s="180" t="s">
        <v>1059</v>
      </c>
      <c r="S70" s="180"/>
      <c r="T70" s="180" t="s">
        <v>1059</v>
      </c>
      <c r="U70" s="180"/>
      <c r="V70" s="180"/>
      <c r="W70" s="163" t="s">
        <v>1061</v>
      </c>
    </row>
    <row r="71" spans="2:23" ht="15.6">
      <c r="B71" s="548"/>
      <c r="C71" s="179">
        <v>3.4</v>
      </c>
      <c r="D71" s="180"/>
      <c r="E71" s="180"/>
      <c r="F71" s="180" t="s">
        <v>1059</v>
      </c>
      <c r="G71" s="180"/>
      <c r="H71" s="180"/>
      <c r="I71" s="180"/>
      <c r="J71" s="180"/>
      <c r="K71" s="180" t="s">
        <v>1059</v>
      </c>
      <c r="L71" s="180" t="s">
        <v>1059</v>
      </c>
      <c r="M71" s="180" t="s">
        <v>1059</v>
      </c>
      <c r="N71" s="180" t="s">
        <v>1059</v>
      </c>
      <c r="O71" s="180" t="s">
        <v>1059</v>
      </c>
      <c r="P71" s="180" t="s">
        <v>1059</v>
      </c>
      <c r="Q71" s="180" t="s">
        <v>1059</v>
      </c>
      <c r="R71" s="180" t="s">
        <v>1060</v>
      </c>
      <c r="S71" s="180"/>
      <c r="T71" s="180" t="s">
        <v>1059</v>
      </c>
      <c r="U71" s="180"/>
      <c r="V71" s="180"/>
      <c r="W71" s="163" t="s">
        <v>1061</v>
      </c>
    </row>
    <row r="72" spans="2:23" ht="15.6">
      <c r="B72" s="548"/>
      <c r="C72" s="179">
        <v>3.5</v>
      </c>
      <c r="D72" s="180"/>
      <c r="E72" s="180"/>
      <c r="F72" s="180" t="s">
        <v>1059</v>
      </c>
      <c r="G72" s="180"/>
      <c r="H72" s="180"/>
      <c r="I72" s="180"/>
      <c r="J72" s="180"/>
      <c r="K72" s="180" t="s">
        <v>1059</v>
      </c>
      <c r="L72" s="180" t="s">
        <v>1059</v>
      </c>
      <c r="M72" s="180" t="s">
        <v>1059</v>
      </c>
      <c r="N72" s="180" t="s">
        <v>1059</v>
      </c>
      <c r="O72" s="180" t="s">
        <v>1059</v>
      </c>
      <c r="P72" s="180" t="s">
        <v>1059</v>
      </c>
      <c r="Q72" s="180"/>
      <c r="R72" s="180"/>
      <c r="S72" s="180"/>
      <c r="T72" s="180" t="s">
        <v>1059</v>
      </c>
      <c r="U72" s="180"/>
      <c r="V72" s="180"/>
      <c r="W72" s="163"/>
    </row>
    <row r="73" spans="2:23" ht="15.6">
      <c r="B73" s="548"/>
      <c r="C73" s="179">
        <v>3.6</v>
      </c>
      <c r="D73" s="180"/>
      <c r="E73" s="180"/>
      <c r="F73" s="180" t="s">
        <v>1059</v>
      </c>
      <c r="G73" s="180"/>
      <c r="H73" s="180"/>
      <c r="I73" s="180"/>
      <c r="J73" s="180"/>
      <c r="K73" s="180" t="s">
        <v>1059</v>
      </c>
      <c r="L73" s="180" t="s">
        <v>1059</v>
      </c>
      <c r="M73" s="180" t="s">
        <v>1060</v>
      </c>
      <c r="N73" s="180" t="s">
        <v>1059</v>
      </c>
      <c r="O73" s="180"/>
      <c r="P73" s="180" t="s">
        <v>1059</v>
      </c>
      <c r="Q73" s="180"/>
      <c r="R73" s="180"/>
      <c r="S73" s="180"/>
      <c r="T73" s="180"/>
      <c r="U73" s="180"/>
      <c r="V73" s="180"/>
      <c r="W73" s="163"/>
    </row>
    <row r="74" spans="2:23" ht="15.6">
      <c r="B74" s="548"/>
      <c r="C74" s="179">
        <v>3.7</v>
      </c>
      <c r="D74" s="180"/>
      <c r="E74" s="180"/>
      <c r="F74" s="180"/>
      <c r="G74" s="180"/>
      <c r="H74" s="180"/>
      <c r="I74" s="180"/>
      <c r="J74" s="180"/>
      <c r="K74" s="180" t="s">
        <v>1059</v>
      </c>
      <c r="L74" s="180"/>
      <c r="M74" s="180" t="s">
        <v>1059</v>
      </c>
      <c r="N74" s="180"/>
      <c r="O74" s="180"/>
      <c r="P74" s="180" t="s">
        <v>1059</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48" t="s">
        <v>1067</v>
      </c>
      <c r="C76" s="180"/>
      <c r="D76" s="180" t="s">
        <v>1063</v>
      </c>
      <c r="E76" s="180"/>
      <c r="F76" s="180"/>
      <c r="G76" s="180"/>
      <c r="H76" s="180"/>
      <c r="I76" s="180"/>
      <c r="J76" s="180"/>
      <c r="K76" s="180"/>
      <c r="L76" s="180" t="s">
        <v>1062</v>
      </c>
      <c r="M76" s="180"/>
      <c r="N76" s="180" t="s">
        <v>1062</v>
      </c>
      <c r="O76" s="180"/>
      <c r="P76" s="180"/>
      <c r="Q76" s="180"/>
      <c r="R76" s="180" t="s">
        <v>1062</v>
      </c>
      <c r="S76" s="180"/>
      <c r="T76" s="180" t="s">
        <v>1062</v>
      </c>
      <c r="U76" s="180"/>
      <c r="V76" s="180"/>
      <c r="W76" s="163"/>
    </row>
    <row r="77" spans="2:23" ht="12" customHeight="1">
      <c r="B77" s="548"/>
      <c r="C77" s="179">
        <v>4.0999999999999996</v>
      </c>
      <c r="D77" s="180" t="s">
        <v>1059</v>
      </c>
      <c r="E77" s="180"/>
      <c r="F77" s="180"/>
      <c r="G77" s="180"/>
      <c r="H77" s="180"/>
      <c r="I77" s="180"/>
      <c r="J77" s="180"/>
      <c r="K77" s="180"/>
      <c r="L77" s="180" t="s">
        <v>1059</v>
      </c>
      <c r="M77" s="180"/>
      <c r="N77" s="180" t="s">
        <v>1059</v>
      </c>
      <c r="O77" s="180"/>
      <c r="P77" s="180"/>
      <c r="Q77" s="180"/>
      <c r="R77" s="180" t="s">
        <v>1059</v>
      </c>
      <c r="S77" s="180"/>
      <c r="T77" s="180" t="s">
        <v>1059</v>
      </c>
      <c r="U77" s="180"/>
      <c r="V77" s="180"/>
      <c r="W77" s="174"/>
    </row>
    <row r="78" spans="2:23" ht="15.6">
      <c r="B78" s="548"/>
      <c r="C78" s="179">
        <v>4.2</v>
      </c>
      <c r="D78" s="180"/>
      <c r="E78" s="180"/>
      <c r="F78" s="180"/>
      <c r="G78" s="180"/>
      <c r="H78" s="180"/>
      <c r="I78" s="180"/>
      <c r="J78" s="180"/>
      <c r="K78" s="180"/>
      <c r="L78" s="180"/>
      <c r="M78" s="180"/>
      <c r="N78" s="180" t="s">
        <v>1059</v>
      </c>
      <c r="O78" s="180"/>
      <c r="P78" s="180"/>
      <c r="Q78" s="180"/>
      <c r="R78" s="180"/>
      <c r="S78" s="180"/>
      <c r="T78" s="180" t="s">
        <v>1059</v>
      </c>
      <c r="U78" s="180"/>
      <c r="V78" s="180"/>
      <c r="W78" s="163"/>
    </row>
    <row r="79" spans="2:23" ht="15.6">
      <c r="B79" s="548"/>
      <c r="C79" s="179">
        <v>4.3</v>
      </c>
      <c r="D79" s="180"/>
      <c r="E79" s="180"/>
      <c r="F79" s="180"/>
      <c r="G79" s="180"/>
      <c r="H79" s="180"/>
      <c r="I79" s="180"/>
      <c r="J79" s="180"/>
      <c r="K79" s="180"/>
      <c r="L79" s="180"/>
      <c r="M79" s="180"/>
      <c r="N79" s="180" t="s">
        <v>1059</v>
      </c>
      <c r="O79" s="180"/>
      <c r="P79" s="180"/>
      <c r="Q79" s="180"/>
      <c r="R79" s="180"/>
      <c r="S79" s="180"/>
      <c r="T79" s="180"/>
      <c r="U79" s="180"/>
      <c r="V79" s="180"/>
      <c r="W79" s="163" t="s">
        <v>1061</v>
      </c>
    </row>
    <row r="80" spans="2:23" ht="15.6">
      <c r="B80" s="548"/>
      <c r="C80" s="179">
        <v>4.4000000000000004</v>
      </c>
      <c r="D80" s="180"/>
      <c r="E80" s="180"/>
      <c r="F80" s="180"/>
      <c r="G80" s="180"/>
      <c r="H80" s="180"/>
      <c r="I80" s="180"/>
      <c r="J80" s="180"/>
      <c r="K80" s="180"/>
      <c r="L80" s="180"/>
      <c r="M80" s="180"/>
      <c r="N80" s="180" t="s">
        <v>1059</v>
      </c>
      <c r="O80" s="180"/>
      <c r="P80" s="180"/>
      <c r="Q80" s="180"/>
      <c r="R80" s="180"/>
      <c r="S80" s="180"/>
      <c r="T80" s="180"/>
      <c r="U80" s="180"/>
      <c r="V80" s="180"/>
      <c r="W80" s="163"/>
    </row>
    <row r="81" spans="2:23" ht="15.6">
      <c r="B81" s="548"/>
      <c r="C81" s="179">
        <v>4.5</v>
      </c>
      <c r="D81" s="180"/>
      <c r="E81" s="180"/>
      <c r="F81" s="180"/>
      <c r="G81" s="180"/>
      <c r="H81" s="180"/>
      <c r="I81" s="180"/>
      <c r="J81" s="180"/>
      <c r="K81" s="180"/>
      <c r="L81" s="180"/>
      <c r="M81" s="180"/>
      <c r="N81" s="180" t="s">
        <v>1059</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48" t="s">
        <v>1068</v>
      </c>
      <c r="C83" s="180"/>
      <c r="D83" s="180"/>
      <c r="E83" s="180"/>
      <c r="F83" s="180"/>
      <c r="G83" s="180"/>
      <c r="H83" s="180"/>
      <c r="I83" s="180"/>
      <c r="J83" s="180"/>
      <c r="K83" s="180"/>
      <c r="L83" s="180"/>
      <c r="M83" s="180"/>
      <c r="N83" s="180" t="s">
        <v>1062</v>
      </c>
      <c r="O83" s="180"/>
      <c r="P83" s="180"/>
      <c r="Q83" s="180"/>
      <c r="R83" s="180"/>
      <c r="S83" s="180"/>
      <c r="T83" s="180" t="s">
        <v>1062</v>
      </c>
      <c r="U83" s="180"/>
      <c r="V83" s="180"/>
      <c r="W83" s="163"/>
    </row>
    <row r="84" spans="2:23" ht="12" customHeight="1">
      <c r="B84" s="548"/>
      <c r="C84" s="179">
        <v>5.0999999999999996</v>
      </c>
      <c r="D84" s="180"/>
      <c r="E84" s="180"/>
      <c r="F84" s="180"/>
      <c r="G84" s="180"/>
      <c r="H84" s="180"/>
      <c r="I84" s="180"/>
      <c r="J84" s="180"/>
      <c r="K84" s="180"/>
      <c r="L84" s="180"/>
      <c r="M84" s="180"/>
      <c r="N84" s="180" t="s">
        <v>1059</v>
      </c>
      <c r="O84" s="180"/>
      <c r="P84" s="180"/>
      <c r="Q84" s="180"/>
      <c r="R84" s="180"/>
      <c r="S84" s="180"/>
      <c r="T84" s="180" t="s">
        <v>1059</v>
      </c>
      <c r="U84" s="180"/>
      <c r="V84" s="180"/>
      <c r="W84" s="174"/>
    </row>
    <row r="85" spans="2:23" ht="15.6">
      <c r="B85" s="548"/>
      <c r="C85" s="179">
        <v>5.2</v>
      </c>
      <c r="D85" s="180"/>
      <c r="E85" s="180"/>
      <c r="F85" s="180"/>
      <c r="G85" s="180"/>
      <c r="H85" s="180"/>
      <c r="I85" s="180"/>
      <c r="J85" s="180"/>
      <c r="K85" s="180"/>
      <c r="L85" s="180"/>
      <c r="M85" s="180"/>
      <c r="N85" s="180" t="s">
        <v>1059</v>
      </c>
      <c r="O85" s="180"/>
      <c r="P85" s="180"/>
      <c r="Q85" s="180"/>
      <c r="R85" s="180"/>
      <c r="S85" s="180"/>
      <c r="T85" s="180"/>
      <c r="U85" s="180"/>
      <c r="V85" s="180"/>
      <c r="W85" s="163"/>
    </row>
    <row r="86" spans="2:23" ht="15.6">
      <c r="B86" s="548"/>
      <c r="C86" s="179">
        <v>5.3</v>
      </c>
      <c r="D86" s="180"/>
      <c r="E86" s="180"/>
      <c r="F86" s="180"/>
      <c r="G86" s="180"/>
      <c r="H86" s="180"/>
      <c r="I86" s="180"/>
      <c r="J86" s="180"/>
      <c r="K86" s="180"/>
      <c r="L86" s="180"/>
      <c r="M86" s="180"/>
      <c r="N86" s="180" t="s">
        <v>1059</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885</v>
      </c>
      <c r="B3" t="s">
        <v>883</v>
      </c>
    </row>
    <row r="4" spans="1:2">
      <c r="A4" s="106" t="s">
        <v>403</v>
      </c>
      <c r="B4">
        <v>17</v>
      </c>
    </row>
    <row r="5" spans="1:2">
      <c r="A5" s="104" t="s">
        <v>880</v>
      </c>
      <c r="B5">
        <v>2</v>
      </c>
    </row>
    <row r="6" spans="1:2">
      <c r="A6" s="240" t="s">
        <v>1474</v>
      </c>
      <c r="B6">
        <v>2</v>
      </c>
    </row>
    <row r="7" spans="1:2">
      <c r="A7" s="104" t="s">
        <v>1308</v>
      </c>
      <c r="B7">
        <v>1</v>
      </c>
    </row>
    <row r="8" spans="1:2">
      <c r="A8" s="240" t="s">
        <v>1489</v>
      </c>
      <c r="B8">
        <v>1</v>
      </c>
    </row>
    <row r="9" spans="1:2">
      <c r="A9" s="104" t="s">
        <v>881</v>
      </c>
      <c r="B9">
        <v>1</v>
      </c>
    </row>
    <row r="10" spans="1:2">
      <c r="A10" s="240" t="s">
        <v>1470</v>
      </c>
      <c r="B10">
        <v>1</v>
      </c>
    </row>
    <row r="11" spans="1:2">
      <c r="A11" s="104" t="s">
        <v>1110</v>
      </c>
      <c r="B11">
        <v>2</v>
      </c>
    </row>
    <row r="12" spans="1:2">
      <c r="A12" s="240" t="s">
        <v>1471</v>
      </c>
      <c r="B12">
        <v>1</v>
      </c>
    </row>
    <row r="13" spans="1:2">
      <c r="A13" s="240" t="s">
        <v>1476</v>
      </c>
      <c r="B13">
        <v>1</v>
      </c>
    </row>
    <row r="14" spans="1:2">
      <c r="A14" s="104" t="s">
        <v>1309</v>
      </c>
      <c r="B14">
        <v>4</v>
      </c>
    </row>
    <row r="15" spans="1:2">
      <c r="A15" s="240" t="s">
        <v>1483</v>
      </c>
      <c r="B15">
        <v>3</v>
      </c>
    </row>
    <row r="16" spans="1:2">
      <c r="A16" s="240" t="s">
        <v>1488</v>
      </c>
      <c r="B16">
        <v>1</v>
      </c>
    </row>
    <row r="17" spans="1:2">
      <c r="A17" s="104" t="s">
        <v>1192</v>
      </c>
      <c r="B17">
        <v>1</v>
      </c>
    </row>
    <row r="18" spans="1:2">
      <c r="A18" s="240" t="s">
        <v>1492</v>
      </c>
      <c r="B18">
        <v>1</v>
      </c>
    </row>
    <row r="19" spans="1:2">
      <c r="A19" s="104" t="s">
        <v>1307</v>
      </c>
      <c r="B19">
        <v>1</v>
      </c>
    </row>
    <row r="20" spans="1:2">
      <c r="A20" s="240" t="s">
        <v>1491</v>
      </c>
      <c r="B20">
        <v>1</v>
      </c>
    </row>
    <row r="21" spans="1:2">
      <c r="A21" s="104" t="s">
        <v>1310</v>
      </c>
      <c r="B21">
        <v>5</v>
      </c>
    </row>
    <row r="22" spans="1:2">
      <c r="A22" s="240" t="s">
        <v>1490</v>
      </c>
      <c r="B22">
        <v>5</v>
      </c>
    </row>
    <row r="23" spans="1:2">
      <c r="A23" s="106" t="s">
        <v>886</v>
      </c>
    </row>
    <row r="24" spans="1:2">
      <c r="A24" s="104" t="s">
        <v>886</v>
      </c>
    </row>
    <row r="25" spans="1:2">
      <c r="A25" s="240" t="s">
        <v>886</v>
      </c>
    </row>
    <row r="26" spans="1:2">
      <c r="A26" s="106"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975</v>
      </c>
      <c r="B1" s="11"/>
      <c r="C1" s="11"/>
      <c r="D1" s="11"/>
      <c r="E1" s="11"/>
      <c r="F1" s="11"/>
    </row>
    <row r="3" spans="1:6">
      <c r="A3" s="261" t="s">
        <v>885</v>
      </c>
    </row>
    <row r="4" spans="1:6">
      <c r="A4" s="106" t="s">
        <v>1474</v>
      </c>
    </row>
    <row r="5" spans="1:6">
      <c r="A5" s="104" t="s">
        <v>853</v>
      </c>
    </row>
    <row r="6" spans="1:6">
      <c r="A6" s="104" t="s">
        <v>854</v>
      </c>
    </row>
    <row r="7" spans="1:6">
      <c r="A7" s="106" t="s">
        <v>1489</v>
      </c>
    </row>
    <row r="8" spans="1:6">
      <c r="A8" s="104" t="s">
        <v>724</v>
      </c>
    </row>
    <row r="9" spans="1:6">
      <c r="A9" s="106" t="s">
        <v>1470</v>
      </c>
    </row>
    <row r="10" spans="1:6">
      <c r="A10" s="104" t="s">
        <v>852</v>
      </c>
    </row>
    <row r="11" spans="1:6">
      <c r="A11" s="106" t="s">
        <v>1471</v>
      </c>
    </row>
    <row r="12" spans="1:6">
      <c r="A12" s="104" t="s">
        <v>851</v>
      </c>
    </row>
    <row r="13" spans="1:6">
      <c r="A13" s="106" t="s">
        <v>1476</v>
      </c>
    </row>
    <row r="14" spans="1:6">
      <c r="A14" s="104" t="s">
        <v>855</v>
      </c>
    </row>
    <row r="15" spans="1:6">
      <c r="A15" s="106" t="s">
        <v>1492</v>
      </c>
    </row>
    <row r="16" spans="1:6">
      <c r="A16" s="104" t="s">
        <v>805</v>
      </c>
    </row>
    <row r="17" spans="1:1">
      <c r="A17" s="106" t="s">
        <v>1490</v>
      </c>
    </row>
    <row r="18" spans="1:1">
      <c r="A18" s="104" t="s">
        <v>863</v>
      </c>
    </row>
    <row r="19" spans="1:1">
      <c r="A19" s="104" t="s">
        <v>864</v>
      </c>
    </row>
    <row r="20" spans="1:1">
      <c r="A20" s="104" t="s">
        <v>856</v>
      </c>
    </row>
    <row r="21" spans="1:1">
      <c r="A21" s="104" t="s">
        <v>857</v>
      </c>
    </row>
    <row r="22" spans="1:1">
      <c r="A22" s="104" t="s">
        <v>858</v>
      </c>
    </row>
    <row r="23" spans="1:1">
      <c r="A23" s="106" t="s">
        <v>1483</v>
      </c>
    </row>
    <row r="24" spans="1:1">
      <c r="A24" s="104" t="s">
        <v>860</v>
      </c>
    </row>
    <row r="25" spans="1:1">
      <c r="A25" s="104" t="s">
        <v>861</v>
      </c>
    </row>
    <row r="26" spans="1:1">
      <c r="A26" s="104" t="s">
        <v>862</v>
      </c>
    </row>
    <row r="27" spans="1:1">
      <c r="A27" s="106" t="s">
        <v>1488</v>
      </c>
    </row>
    <row r="28" spans="1:1">
      <c r="A28" s="104" t="s">
        <v>859</v>
      </c>
    </row>
    <row r="29" spans="1:1">
      <c r="A29" s="106" t="s">
        <v>1491</v>
      </c>
    </row>
    <row r="30" spans="1:1">
      <c r="A30" s="104" t="s">
        <v>726</v>
      </c>
    </row>
    <row r="31" spans="1:1">
      <c r="A31" s="106" t="s">
        <v>886</v>
      </c>
    </row>
    <row r="32" spans="1:1">
      <c r="A32" s="104" t="s">
        <v>886</v>
      </c>
    </row>
    <row r="33" spans="1:1">
      <c r="A33" s="106"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974</v>
      </c>
      <c r="B1" s="11"/>
      <c r="C1" s="11"/>
      <c r="D1" s="11"/>
      <c r="E1" s="11"/>
      <c r="F1" s="11"/>
    </row>
    <row r="3" spans="1:6">
      <c r="A3" s="261" t="s">
        <v>885</v>
      </c>
    </row>
    <row r="4" spans="1:6">
      <c r="A4" s="106" t="s">
        <v>886</v>
      </c>
    </row>
    <row r="5" spans="1:6">
      <c r="A5" s="104" t="s">
        <v>886</v>
      </c>
    </row>
    <row r="6" spans="1:6">
      <c r="A6" s="106" t="s">
        <v>1461</v>
      </c>
    </row>
    <row r="7" spans="1:6">
      <c r="A7" s="104" t="s">
        <v>1471</v>
      </c>
    </row>
    <row r="8" spans="1:6">
      <c r="A8" s="104" t="s">
        <v>1470</v>
      </c>
    </row>
    <row r="9" spans="1:6">
      <c r="A9" s="106" t="s">
        <v>1462</v>
      </c>
    </row>
    <row r="10" spans="1:6">
      <c r="A10" s="104" t="s">
        <v>1474</v>
      </c>
    </row>
    <row r="11" spans="1:6">
      <c r="A11" s="104" t="s">
        <v>1476</v>
      </c>
    </row>
    <row r="12" spans="1:6">
      <c r="A12" s="106" t="s">
        <v>1463</v>
      </c>
    </row>
    <row r="13" spans="1:6">
      <c r="A13" s="104" t="s">
        <v>1483</v>
      </c>
    </row>
    <row r="14" spans="1:6">
      <c r="A14" s="106" t="s">
        <v>1464</v>
      </c>
    </row>
    <row r="15" spans="1:6">
      <c r="A15" s="104" t="s">
        <v>1488</v>
      </c>
    </row>
    <row r="16" spans="1:6">
      <c r="A16" s="106" t="s">
        <v>1300</v>
      </c>
    </row>
    <row r="17" spans="1:1">
      <c r="A17" s="104" t="s">
        <v>1489</v>
      </c>
    </row>
    <row r="18" spans="1:1">
      <c r="A18" s="106" t="s">
        <v>1301</v>
      </c>
    </row>
    <row r="19" spans="1:1">
      <c r="A19" s="104" t="s">
        <v>1490</v>
      </c>
    </row>
    <row r="20" spans="1:1">
      <c r="A20" s="106" t="s">
        <v>1302</v>
      </c>
    </row>
    <row r="21" spans="1:1">
      <c r="A21" s="104" t="s">
        <v>1491</v>
      </c>
    </row>
    <row r="22" spans="1:1">
      <c r="A22" s="106" t="s">
        <v>1303</v>
      </c>
    </row>
    <row r="23" spans="1:1">
      <c r="A23" s="104" t="s">
        <v>1492</v>
      </c>
    </row>
    <row r="24" spans="1:1">
      <c r="A24" s="106"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885</v>
      </c>
    </row>
    <row r="4" spans="1:1">
      <c r="A4" s="106" t="s">
        <v>886</v>
      </c>
    </row>
    <row r="5" spans="1:1">
      <c r="A5" s="104" t="s">
        <v>886</v>
      </c>
    </row>
    <row r="6" spans="1:1">
      <c r="A6" s="106" t="s">
        <v>956</v>
      </c>
    </row>
    <row r="7" spans="1:1">
      <c r="A7" s="104" t="s">
        <v>1483</v>
      </c>
    </row>
    <row r="8" spans="1:1">
      <c r="A8" s="104" t="s">
        <v>1488</v>
      </c>
    </row>
    <row r="9" spans="1:1">
      <c r="A9" s="106" t="s">
        <v>957</v>
      </c>
    </row>
    <row r="10" spans="1:1">
      <c r="A10" s="104" t="s">
        <v>1471</v>
      </c>
    </row>
    <row r="11" spans="1:1">
      <c r="A11" s="104" t="s">
        <v>1470</v>
      </c>
    </row>
    <row r="12" spans="1:1">
      <c r="A12" s="104" t="s">
        <v>1474</v>
      </c>
    </row>
    <row r="13" spans="1:1">
      <c r="A13" s="104" t="s">
        <v>1476</v>
      </c>
    </row>
    <row r="14" spans="1:1">
      <c r="A14" s="106" t="s">
        <v>958</v>
      </c>
    </row>
    <row r="15" spans="1:1">
      <c r="A15" s="104" t="s">
        <v>1489</v>
      </c>
    </row>
    <row r="16" spans="1:1">
      <c r="A16" s="106" t="s">
        <v>959</v>
      </c>
    </row>
    <row r="17" spans="1:1">
      <c r="A17" s="104" t="s">
        <v>1490</v>
      </c>
    </row>
    <row r="18" spans="1:1">
      <c r="A18" s="106" t="s">
        <v>960</v>
      </c>
    </row>
    <row r="19" spans="1:1">
      <c r="A19" s="104" t="s">
        <v>1491</v>
      </c>
    </row>
    <row r="20" spans="1:1">
      <c r="A20" s="106" t="s">
        <v>965</v>
      </c>
    </row>
    <row r="21" spans="1:1">
      <c r="A21" s="104" t="s">
        <v>1492</v>
      </c>
    </row>
    <row r="22" spans="1:1">
      <c r="A22" s="106"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1001</v>
      </c>
      <c r="B2" s="128"/>
      <c r="C2" s="128"/>
      <c r="D2" s="129"/>
      <c r="E2" s="130"/>
    </row>
    <row r="3" spans="1:5" s="8" customFormat="1">
      <c r="A3" s="131"/>
      <c r="B3" s="132"/>
      <c r="C3" s="132"/>
      <c r="E3" s="133"/>
    </row>
    <row r="4" spans="1:5" s="8" customFormat="1" ht="21">
      <c r="A4" s="131"/>
      <c r="B4" s="134" t="s">
        <v>1075</v>
      </c>
      <c r="C4" s="132"/>
      <c r="E4" s="133"/>
    </row>
    <row r="5" spans="1:5" s="8" customFormat="1" ht="21">
      <c r="A5" s="131"/>
      <c r="B5" s="134" t="str">
        <f>Planning!B28</f>
        <v>CMMI Development (CMMI-DEV)</v>
      </c>
      <c r="C5" s="132"/>
      <c r="E5" s="133"/>
    </row>
    <row r="6" spans="1:5" s="8" customFormat="1" ht="21">
      <c r="A6" s="131" t="s">
        <v>1002</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870</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727</v>
      </c>
      <c r="B20" s="141">
        <f>Planning!B47</f>
        <v>45418</v>
      </c>
      <c r="C20" s="132"/>
      <c r="E20" s="133"/>
    </row>
    <row r="21" spans="1:9" s="8" customFormat="1" ht="21">
      <c r="A21" s="131" t="s">
        <v>728</v>
      </c>
      <c r="B21" s="141">
        <f>Planning!B49</f>
        <v>45421</v>
      </c>
      <c r="C21" s="132"/>
      <c r="E21" s="133"/>
      <c r="G21" s="142" t="s">
        <v>1003</v>
      </c>
    </row>
    <row r="22" spans="1:9" s="8" customFormat="1" ht="21">
      <c r="A22" s="131" t="s">
        <v>729</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844</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1004</v>
      </c>
      <c r="B26" s="239" t="s">
        <v>1005</v>
      </c>
      <c r="C26" s="237" t="s">
        <v>1006</v>
      </c>
      <c r="D26" s="144" t="s">
        <v>817</v>
      </c>
      <c r="E26" s="133"/>
      <c r="G26" s="145"/>
    </row>
    <row r="27" spans="1:9" s="8" customFormat="1" ht="15.6">
      <c r="A27" s="131"/>
      <c r="B27" s="238" t="s">
        <v>1572</v>
      </c>
      <c r="C27" s="146" t="s">
        <v>1007</v>
      </c>
      <c r="D27" s="147">
        <f>'P1-OrgScope'!B92</f>
        <v>45442</v>
      </c>
      <c r="E27" s="133"/>
      <c r="G27" s="148" t="str">
        <f>G24</f>
        <v>10 May 2027</v>
      </c>
      <c r="H27" s="142" t="s">
        <v>1008</v>
      </c>
    </row>
    <row r="28" spans="1:9" s="8" customFormat="1" ht="15.6">
      <c r="A28" s="131"/>
      <c r="B28" s="146" t="s">
        <v>1634</v>
      </c>
      <c r="C28" s="146" t="s">
        <v>1009</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1571</v>
      </c>
      <c r="C31" s="559"/>
      <c r="D31" s="559"/>
      <c r="E31" s="133"/>
      <c r="G31" s="151" t="s">
        <v>1354</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1573</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942</v>
      </c>
      <c r="B6" s="323" t="str">
        <f>StartupInfo!B18</f>
        <v>R&amp;D Department</v>
      </c>
    </row>
    <row r="7" spans="1:10">
      <c r="A7" s="331" t="s">
        <v>943</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1562</v>
      </c>
    </row>
    <row r="10" spans="1:10">
      <c r="A10" s="322" t="s">
        <v>945</v>
      </c>
      <c r="B10" s="323" t="str">
        <f>'Agreement 3'!B30</f>
        <v>Bill Nelson</v>
      </c>
    </row>
    <row r="11" spans="1:10">
      <c r="A11" s="331" t="s">
        <v>834</v>
      </c>
      <c r="B11" s="324" t="str">
        <f>'Agreement 3'!B31</f>
        <v>Administrator of NASA</v>
      </c>
    </row>
    <row r="12" spans="1:10">
      <c r="A12" s="331" t="s">
        <v>940</v>
      </c>
      <c r="B12" s="325" t="str">
        <f>StartupInfo!B43</f>
        <v>Internal</v>
      </c>
    </row>
    <row r="14" spans="1:10">
      <c r="A14" s="322" t="s">
        <v>941</v>
      </c>
      <c r="B14" s="323" t="str">
        <f>'Agreement 3'!B7</f>
        <v>Dr Pieter van Zyl</v>
      </c>
    </row>
    <row r="15" spans="1:10">
      <c r="A15" s="331" t="s">
        <v>946</v>
      </c>
      <c r="B15" s="324" t="str">
        <f>'Agreement 3'!B11</f>
        <v>0500535-01</v>
      </c>
    </row>
    <row r="16" spans="1:10">
      <c r="A16" s="331" t="s">
        <v>947</v>
      </c>
      <c r="B16" s="324" t="str">
        <f>'Agreement 3'!B8</f>
        <v>Demix</v>
      </c>
    </row>
    <row r="17" spans="1:2">
      <c r="A17" s="331" t="s">
        <v>948</v>
      </c>
      <c r="B17" s="324" t="str">
        <f>'Agreement 3'!B48</f>
        <v>Demix (China) Information Technology</v>
      </c>
    </row>
    <row r="18" spans="1:2">
      <c r="A18" s="331" t="s">
        <v>10</v>
      </c>
      <c r="B18" s="324" t="str">
        <f>'Agreement 3'!B13</f>
        <v>pieter.vanzyl@demix.org</v>
      </c>
    </row>
    <row r="20" spans="1:2">
      <c r="A20" s="322" t="s">
        <v>949</v>
      </c>
      <c r="B20" s="323" t="str">
        <f>_xlfn.CONCAT('Agreement 3'!B7," - ",'Agreement 3'!B8)</f>
        <v>Dr Pieter van Zyl - Demix</v>
      </c>
    </row>
    <row r="21" spans="1:2">
      <c r="A21" s="331" t="s">
        <v>950</v>
      </c>
      <c r="B21" s="324" t="str">
        <f>_xlfn.CONCAT('P1-Personnel'!B13," - ",'P1-Personnel'!D13)</f>
        <v>ATM-1 - Demix (Pty) Ltd</v>
      </c>
    </row>
    <row r="22" spans="1:2">
      <c r="A22" s="331" t="s">
        <v>950</v>
      </c>
      <c r="B22" s="324" t="str">
        <f>_xlfn.CONCAT('P1-Personnel'!B14," - ",'P1-Personnel'!D14)</f>
        <v>ATM-2 - Demix (Pty) Ltd</v>
      </c>
    </row>
    <row r="23" spans="1:2">
      <c r="A23" s="331" t="s">
        <v>950</v>
      </c>
      <c r="B23" s="324" t="str">
        <f>_xlfn.CONCAT('P1-Personnel'!B15," - ",'P1-Personnel'!D15)</f>
        <v>ATM-3 - Demix (Pty) Ltd</v>
      </c>
    </row>
    <row r="24" spans="1:2">
      <c r="A24" s="331" t="s">
        <v>950</v>
      </c>
      <c r="B24" s="324" t="str">
        <f>_xlfn.CONCAT('P1-Personnel'!B16," - ",'P1-Personnel'!D16)</f>
        <v>ATM-4 - Demix (Pty) Ltd</v>
      </c>
    </row>
    <row r="25" spans="1:2">
      <c r="A25" s="331" t="s">
        <v>950</v>
      </c>
      <c r="B25" s="324" t="str">
        <f>_xlfn.CONCAT('P1-Personnel'!B17," - ",'P1-Personnel'!D17)</f>
        <v>ATM-5 - Demix (Pty) Ltd</v>
      </c>
    </row>
    <row r="26" spans="1:2">
      <c r="A26" s="331" t="s">
        <v>950</v>
      </c>
      <c r="B26" s="324" t="str">
        <f>_xlfn.CONCAT('P1-Personnel'!B18," - ",'P1-Personnel'!D18)</f>
        <v>ATM-6 - Demix (Pty) Ltd</v>
      </c>
    </row>
    <row r="27" spans="1:2">
      <c r="A27" s="331" t="s">
        <v>950</v>
      </c>
      <c r="B27" s="324" t="str">
        <f>_xlfn.CONCAT('P1-Personnel'!B19," - ",'P1-Personnel'!D19)</f>
        <v>ATM-7 - Demix (Pty) Ltd</v>
      </c>
    </row>
    <row r="28" spans="1:2">
      <c r="A28" s="331" t="s">
        <v>950</v>
      </c>
      <c r="B28" s="324" t="str">
        <f>_xlfn.CONCAT('P1-Personnel'!B20," - ",'P1-Personnel'!D20)</f>
        <v>ATM-8 - Demix (Pty) Ltd</v>
      </c>
    </row>
    <row r="29" spans="1:2">
      <c r="A29" s="331" t="s">
        <v>950</v>
      </c>
      <c r="B29" s="324" t="str">
        <f>_xlfn.CONCAT('P1-Personnel'!B21," - ",'P1-Personnel'!D21)</f>
        <v>ATM-9 - Demix (Pty) Ltd</v>
      </c>
    </row>
    <row r="30" spans="1:2">
      <c r="A30" s="331" t="s">
        <v>951</v>
      </c>
      <c r="B30" s="324" t="str">
        <f>_xlfn.CONCAT('Agreement 3'!B35," - ",'Agreement 3'!B37)</f>
        <v>Ella Harper - NASA</v>
      </c>
    </row>
    <row r="31" spans="1:2">
      <c r="A31" s="331" t="s">
        <v>25</v>
      </c>
      <c r="B31" s="324" t="str">
        <f>_xlfn.CONCAT('P1-Personnel'!B8," - ",'P1-Personnel'!D8)</f>
        <v>Lingua Bridges - Freelance</v>
      </c>
    </row>
    <row r="33" spans="1:2">
      <c r="A33" s="322" t="s">
        <v>1430</v>
      </c>
      <c r="B33" s="322" t="s">
        <v>380</v>
      </c>
    </row>
    <row r="34" spans="1:2" ht="31.95" customHeight="1">
      <c r="A34" s="331" t="s">
        <v>765</v>
      </c>
      <c r="B34" s="327" t="s">
        <v>1431</v>
      </c>
    </row>
    <row r="35" spans="1:2" ht="31.95" customHeight="1">
      <c r="A35" s="331" t="s">
        <v>1432</v>
      </c>
      <c r="B35" s="328" t="s">
        <v>1323</v>
      </c>
    </row>
    <row r="36" spans="1:2" ht="31.95" customHeight="1">
      <c r="A36" s="331" t="s">
        <v>766</v>
      </c>
      <c r="B36" s="328" t="s">
        <v>1320</v>
      </c>
    </row>
    <row r="37" spans="1:2" ht="31.95" customHeight="1">
      <c r="A37" s="331" t="s">
        <v>1433</v>
      </c>
      <c r="B37" s="328" t="s">
        <v>1321</v>
      </c>
    </row>
    <row r="38" spans="1:2" ht="31.95" customHeight="1">
      <c r="A38" s="331" t="s">
        <v>650</v>
      </c>
      <c r="B38" s="328" t="s">
        <v>1434</v>
      </c>
    </row>
    <row r="39" spans="1:2">
      <c r="A39" s="322" t="s">
        <v>1435</v>
      </c>
      <c r="B39" s="322" t="s">
        <v>380</v>
      </c>
    </row>
    <row r="40" spans="1:2" ht="34.950000000000003" customHeight="1">
      <c r="A40" s="331" t="s">
        <v>1436</v>
      </c>
      <c r="B40" s="328" t="s">
        <v>1437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0" t="str">
        <f>Planning!B28</f>
        <v>CMMI Development (CMMI-DEV)</v>
      </c>
      <c r="B2" s="561"/>
      <c r="C2" s="561"/>
      <c r="D2" s="560"/>
      <c r="E2" s="561"/>
      <c r="F2" s="561"/>
      <c r="G2" s="561"/>
      <c r="H2" s="561"/>
      <c r="I2" s="561"/>
      <c r="L2" s="264" t="s">
        <v>1247</v>
      </c>
      <c r="M2" s="264">
        <f>VALUE(RIGHT(Planning!B16,1))</f>
        <v>5</v>
      </c>
      <c r="N2" s="16" t="s">
        <v>1248</v>
      </c>
    </row>
    <row r="3" spans="1:16" s="8" customFormat="1">
      <c r="A3" s="562" t="str">
        <f>'P1-OrgScope'!B50</f>
        <v>Maturity Level 5</v>
      </c>
      <c r="B3" s="563"/>
      <c r="C3" s="563"/>
      <c r="D3" s="562"/>
      <c r="E3" s="563"/>
      <c r="F3" s="563"/>
      <c r="G3" s="563"/>
      <c r="H3" s="563"/>
      <c r="I3" s="563"/>
      <c r="J3" s="122"/>
      <c r="K3" s="298"/>
      <c r="L3" s="298"/>
      <c r="M3" s="298"/>
      <c r="N3" s="122"/>
      <c r="O3" s="122"/>
      <c r="P3" s="122"/>
    </row>
    <row r="4" spans="1:16">
      <c r="A4" s="301" t="s">
        <v>1411</v>
      </c>
      <c r="B4" s="301" t="s">
        <v>888</v>
      </c>
      <c r="C4" s="302" t="s">
        <v>1412</v>
      </c>
      <c r="D4" s="315" t="s">
        <v>888</v>
      </c>
      <c r="E4" s="316">
        <v>1</v>
      </c>
      <c r="F4" s="316">
        <v>2</v>
      </c>
      <c r="G4" s="316">
        <v>3</v>
      </c>
      <c r="H4" s="316">
        <v>4</v>
      </c>
      <c r="I4" s="316">
        <v>5</v>
      </c>
      <c r="M4" s="298" t="s">
        <v>1427</v>
      </c>
    </row>
    <row r="5" spans="1:16" ht="20.7" customHeight="1">
      <c r="A5" s="569" t="s">
        <v>1416</v>
      </c>
      <c r="B5" s="303" t="s">
        <v>998</v>
      </c>
      <c r="C5" s="283">
        <f t="shared" ref="C5:C24" si="0">IF(M5&gt;=$M$2,$M$2,M5)</f>
        <v>3</v>
      </c>
      <c r="D5" s="317" t="s">
        <v>998</v>
      </c>
      <c r="E5" s="318" t="str">
        <f>IF($C5&gt;=E$4,"x","")</f>
        <v>x</v>
      </c>
      <c r="F5" s="318" t="str">
        <f t="shared" ref="F5:I20" si="1">IF($C5&gt;=F$4,"x","")</f>
        <v>x</v>
      </c>
      <c r="G5" s="318" t="str">
        <f t="shared" si="1"/>
        <v>x</v>
      </c>
      <c r="H5" s="318" t="str">
        <f t="shared" si="1"/>
        <v/>
      </c>
      <c r="I5" s="318" t="str">
        <f t="shared" si="1"/>
        <v/>
      </c>
      <c r="M5" s="298">
        <v>3</v>
      </c>
    </row>
    <row r="6" spans="1:16" ht="20.7" customHeight="1">
      <c r="A6" s="569"/>
      <c r="B6" s="303" t="s">
        <v>1010</v>
      </c>
      <c r="C6" s="283">
        <f t="shared" si="0"/>
        <v>3</v>
      </c>
      <c r="D6" s="317" t="s">
        <v>1010</v>
      </c>
      <c r="E6" s="318" t="str">
        <f t="shared" ref="E6:I24" si="2">IF($C6&gt;=E$4,"x","")</f>
        <v>x</v>
      </c>
      <c r="F6" s="318" t="str">
        <f t="shared" si="1"/>
        <v>x</v>
      </c>
      <c r="G6" s="318" t="str">
        <f t="shared" si="1"/>
        <v>x</v>
      </c>
      <c r="H6" s="318" t="str">
        <f t="shared" si="1"/>
        <v/>
      </c>
      <c r="I6" s="318" t="str">
        <f t="shared" si="1"/>
        <v/>
      </c>
      <c r="M6" s="298">
        <v>3</v>
      </c>
    </row>
    <row r="7" spans="1:16" ht="20.7" customHeight="1">
      <c r="A7" s="569"/>
      <c r="B7" s="303" t="s">
        <v>992</v>
      </c>
      <c r="C7" s="283">
        <f t="shared" si="0"/>
        <v>3</v>
      </c>
      <c r="D7" s="317" t="s">
        <v>992</v>
      </c>
      <c r="E7" s="318" t="str">
        <f t="shared" si="2"/>
        <v>x</v>
      </c>
      <c r="F7" s="318" t="str">
        <f t="shared" si="1"/>
        <v>x</v>
      </c>
      <c r="G7" s="318" t="str">
        <f t="shared" si="1"/>
        <v>x</v>
      </c>
      <c r="H7" s="318" t="str">
        <f t="shared" si="1"/>
        <v/>
      </c>
      <c r="I7" s="318" t="str">
        <f t="shared" si="1"/>
        <v/>
      </c>
      <c r="M7" s="298">
        <v>3</v>
      </c>
    </row>
    <row r="8" spans="1:16" ht="20.7" customHeight="1">
      <c r="A8" s="569"/>
      <c r="B8" s="303" t="s">
        <v>1417</v>
      </c>
      <c r="C8" s="283">
        <f t="shared" si="0"/>
        <v>3</v>
      </c>
      <c r="D8" s="317" t="s">
        <v>1417</v>
      </c>
      <c r="E8" s="318" t="str">
        <f t="shared" si="2"/>
        <v>x</v>
      </c>
      <c r="F8" s="318" t="str">
        <f t="shared" si="1"/>
        <v>x</v>
      </c>
      <c r="G8" s="318" t="str">
        <f t="shared" si="1"/>
        <v>x</v>
      </c>
      <c r="H8" s="318" t="str">
        <f t="shared" si="1"/>
        <v/>
      </c>
      <c r="I8" s="318" t="str">
        <f t="shared" si="1"/>
        <v/>
      </c>
      <c r="M8" s="298">
        <v>3</v>
      </c>
    </row>
    <row r="9" spans="1:16" ht="20.7" customHeight="1">
      <c r="A9" s="564" t="s">
        <v>1419</v>
      </c>
      <c r="B9" s="304" t="s">
        <v>999</v>
      </c>
      <c r="C9" s="283">
        <f t="shared" si="0"/>
        <v>3</v>
      </c>
      <c r="D9" s="317" t="s">
        <v>999</v>
      </c>
      <c r="E9" s="318" t="str">
        <f t="shared" si="2"/>
        <v>x</v>
      </c>
      <c r="F9" s="318" t="str">
        <f t="shared" si="1"/>
        <v>x</v>
      </c>
      <c r="G9" s="318" t="str">
        <f t="shared" si="1"/>
        <v>x</v>
      </c>
      <c r="H9" s="318" t="str">
        <f t="shared" si="1"/>
        <v/>
      </c>
      <c r="I9" s="318" t="str">
        <f t="shared" si="1"/>
        <v/>
      </c>
      <c r="M9" s="298">
        <v>3</v>
      </c>
    </row>
    <row r="10" spans="1:16" ht="20.7" customHeight="1">
      <c r="A10" s="564"/>
      <c r="B10" s="304" t="s">
        <v>1000</v>
      </c>
      <c r="C10" s="283">
        <f t="shared" si="0"/>
        <v>3</v>
      </c>
      <c r="D10" s="317" t="s">
        <v>1000</v>
      </c>
      <c r="E10" s="318" t="str">
        <f t="shared" si="2"/>
        <v>x</v>
      </c>
      <c r="F10" s="318" t="str">
        <f t="shared" si="1"/>
        <v>x</v>
      </c>
      <c r="G10" s="318" t="str">
        <f t="shared" si="1"/>
        <v>x</v>
      </c>
      <c r="H10" s="318" t="str">
        <f t="shared" si="1"/>
        <v/>
      </c>
      <c r="I10" s="318" t="str">
        <f t="shared" si="1"/>
        <v/>
      </c>
      <c r="M10" s="298">
        <v>3</v>
      </c>
    </row>
    <row r="11" spans="1:16" ht="20.7" hidden="1" customHeight="1">
      <c r="A11" s="305" t="s">
        <v>1428</v>
      </c>
      <c r="B11" s="306" t="s">
        <v>1429</v>
      </c>
      <c r="C11" s="283">
        <f t="shared" si="0"/>
        <v>4</v>
      </c>
      <c r="D11" s="317" t="s">
        <v>1429</v>
      </c>
      <c r="E11" s="318" t="str">
        <f t="shared" si="2"/>
        <v>x</v>
      </c>
      <c r="F11" s="318" t="str">
        <f t="shared" si="1"/>
        <v>x</v>
      </c>
      <c r="G11" s="318" t="str">
        <f t="shared" si="1"/>
        <v>x</v>
      </c>
      <c r="H11" s="318" t="str">
        <f t="shared" si="1"/>
        <v>x</v>
      </c>
      <c r="I11" s="318" t="str">
        <f t="shared" si="1"/>
        <v/>
      </c>
      <c r="M11" s="298">
        <v>4</v>
      </c>
    </row>
    <row r="12" spans="1:16" ht="20.7" customHeight="1">
      <c r="A12" s="565" t="s">
        <v>1426</v>
      </c>
      <c r="B12" s="307" t="s">
        <v>996</v>
      </c>
      <c r="C12" s="283">
        <f t="shared" si="0"/>
        <v>3</v>
      </c>
      <c r="D12" s="317" t="s">
        <v>996</v>
      </c>
      <c r="E12" s="318" t="str">
        <f t="shared" si="2"/>
        <v>x</v>
      </c>
      <c r="F12" s="318" t="str">
        <f t="shared" si="1"/>
        <v>x</v>
      </c>
      <c r="G12" s="318" t="str">
        <f t="shared" si="1"/>
        <v>x</v>
      </c>
      <c r="H12" s="318" t="str">
        <f t="shared" si="1"/>
        <v/>
      </c>
      <c r="I12" s="318" t="str">
        <f t="shared" si="1"/>
        <v/>
      </c>
      <c r="M12" s="298">
        <v>3</v>
      </c>
    </row>
    <row r="13" spans="1:16" ht="20.7" customHeight="1">
      <c r="A13" s="565"/>
      <c r="B13" s="307" t="s">
        <v>995</v>
      </c>
      <c r="C13" s="283">
        <f t="shared" si="0"/>
        <v>4</v>
      </c>
      <c r="D13" s="317" t="s">
        <v>995</v>
      </c>
      <c r="E13" s="318" t="str">
        <f t="shared" si="2"/>
        <v>x</v>
      </c>
      <c r="F13" s="318" t="str">
        <f t="shared" si="1"/>
        <v>x</v>
      </c>
      <c r="G13" s="318" t="str">
        <f t="shared" si="1"/>
        <v>x</v>
      </c>
      <c r="H13" s="318" t="str">
        <f t="shared" si="1"/>
        <v>x</v>
      </c>
      <c r="I13" s="318" t="str">
        <f t="shared" si="1"/>
        <v/>
      </c>
      <c r="M13" s="298">
        <v>4</v>
      </c>
    </row>
    <row r="14" spans="1:16" ht="20.7" customHeight="1">
      <c r="A14" s="565"/>
      <c r="B14" s="307" t="s">
        <v>1420</v>
      </c>
      <c r="C14" s="283">
        <f t="shared" si="0"/>
        <v>3</v>
      </c>
      <c r="D14" s="317" t="s">
        <v>1420</v>
      </c>
      <c r="E14" s="318" t="str">
        <f t="shared" si="2"/>
        <v>x</v>
      </c>
      <c r="F14" s="318" t="str">
        <f t="shared" si="1"/>
        <v>x</v>
      </c>
      <c r="G14" s="318" t="str">
        <f t="shared" si="1"/>
        <v>x</v>
      </c>
      <c r="H14" s="318" t="str">
        <f t="shared" si="1"/>
        <v/>
      </c>
      <c r="I14" s="318" t="str">
        <f t="shared" si="1"/>
        <v/>
      </c>
      <c r="M14" s="298">
        <v>3</v>
      </c>
    </row>
    <row r="15" spans="1:16" ht="20.7" customHeight="1">
      <c r="A15" s="308" t="s">
        <v>1425</v>
      </c>
      <c r="B15" s="309" t="s">
        <v>997</v>
      </c>
      <c r="C15" s="283">
        <f t="shared" si="0"/>
        <v>3</v>
      </c>
      <c r="D15" s="317" t="s">
        <v>997</v>
      </c>
      <c r="E15" s="318" t="str">
        <f t="shared" si="2"/>
        <v>x</v>
      </c>
      <c r="F15" s="318" t="str">
        <f t="shared" si="1"/>
        <v>x</v>
      </c>
      <c r="G15" s="318" t="str">
        <f t="shared" si="1"/>
        <v>x</v>
      </c>
      <c r="H15" s="318" t="str">
        <f t="shared" si="1"/>
        <v/>
      </c>
      <c r="I15" s="318" t="str">
        <f t="shared" si="1"/>
        <v/>
      </c>
      <c r="M15" s="298">
        <v>3</v>
      </c>
    </row>
    <row r="16" spans="1:16" ht="20.7" customHeight="1">
      <c r="A16" s="310" t="s">
        <v>1424</v>
      </c>
      <c r="B16" s="311" t="s">
        <v>989</v>
      </c>
      <c r="C16" s="283">
        <f t="shared" si="0"/>
        <v>3</v>
      </c>
      <c r="D16" s="317" t="s">
        <v>989</v>
      </c>
      <c r="E16" s="318" t="str">
        <f t="shared" si="2"/>
        <v>x</v>
      </c>
      <c r="F16" s="318" t="str">
        <f t="shared" si="1"/>
        <v>x</v>
      </c>
      <c r="G16" s="318" t="str">
        <f t="shared" si="1"/>
        <v>x</v>
      </c>
      <c r="H16" s="318" t="str">
        <f t="shared" si="1"/>
        <v/>
      </c>
      <c r="I16" s="318" t="str">
        <f t="shared" si="1"/>
        <v/>
      </c>
      <c r="M16" s="298">
        <v>3</v>
      </c>
    </row>
    <row r="17" spans="1:13" ht="20.7" customHeight="1">
      <c r="A17" s="566" t="s">
        <v>1423</v>
      </c>
      <c r="B17" s="312" t="s">
        <v>987</v>
      </c>
      <c r="C17" s="283">
        <f t="shared" si="0"/>
        <v>5</v>
      </c>
      <c r="D17" s="317" t="s">
        <v>987</v>
      </c>
      <c r="E17" s="318" t="str">
        <f t="shared" si="2"/>
        <v>x</v>
      </c>
      <c r="F17" s="318" t="str">
        <f t="shared" si="1"/>
        <v>x</v>
      </c>
      <c r="G17" s="318" t="str">
        <f t="shared" si="1"/>
        <v>x</v>
      </c>
      <c r="H17" s="318" t="str">
        <f t="shared" si="1"/>
        <v>x</v>
      </c>
      <c r="I17" s="318" t="str">
        <f t="shared" si="1"/>
        <v>x</v>
      </c>
      <c r="M17" s="298">
        <v>5</v>
      </c>
    </row>
    <row r="18" spans="1:13" ht="20.7" customHeight="1">
      <c r="A18" s="566"/>
      <c r="B18" s="312" t="s">
        <v>988</v>
      </c>
      <c r="C18" s="283">
        <f t="shared" si="0"/>
        <v>3</v>
      </c>
      <c r="D18" s="317" t="s">
        <v>988</v>
      </c>
      <c r="E18" s="318" t="str">
        <f t="shared" si="2"/>
        <v>x</v>
      </c>
      <c r="F18" s="318" t="str">
        <f t="shared" si="1"/>
        <v>x</v>
      </c>
      <c r="G18" s="318" t="str">
        <f t="shared" si="1"/>
        <v>x</v>
      </c>
      <c r="H18" s="318" t="str">
        <f t="shared" si="1"/>
        <v/>
      </c>
      <c r="I18" s="318" t="str">
        <f t="shared" si="1"/>
        <v/>
      </c>
      <c r="M18" s="298">
        <v>3</v>
      </c>
    </row>
    <row r="19" spans="1:13" ht="20.7" customHeight="1">
      <c r="A19" s="566"/>
      <c r="B19" s="312" t="s">
        <v>994</v>
      </c>
      <c r="C19" s="283">
        <f t="shared" si="0"/>
        <v>2</v>
      </c>
      <c r="D19" s="317" t="s">
        <v>994</v>
      </c>
      <c r="E19" s="318" t="str">
        <f t="shared" si="2"/>
        <v>x</v>
      </c>
      <c r="F19" s="318" t="str">
        <f t="shared" si="1"/>
        <v>x</v>
      </c>
      <c r="G19" s="318" t="str">
        <f t="shared" si="1"/>
        <v/>
      </c>
      <c r="H19" s="318" t="str">
        <f t="shared" si="1"/>
        <v/>
      </c>
      <c r="I19" s="318" t="str">
        <f t="shared" si="1"/>
        <v/>
      </c>
      <c r="M19" s="298">
        <v>2</v>
      </c>
    </row>
    <row r="20" spans="1:13" ht="20.7" customHeight="1">
      <c r="A20" s="567" t="s">
        <v>1422</v>
      </c>
      <c r="B20" s="313" t="s">
        <v>1563</v>
      </c>
      <c r="C20" s="283">
        <f t="shared" si="0"/>
        <v>4</v>
      </c>
      <c r="D20" s="317" t="s">
        <v>1563</v>
      </c>
      <c r="E20" s="318" t="str">
        <f t="shared" si="2"/>
        <v>x</v>
      </c>
      <c r="F20" s="318" t="str">
        <f t="shared" si="1"/>
        <v>x</v>
      </c>
      <c r="G20" s="318" t="str">
        <f t="shared" si="1"/>
        <v>x</v>
      </c>
      <c r="H20" s="318" t="str">
        <f t="shared" si="1"/>
        <v>x</v>
      </c>
      <c r="I20" s="318" t="str">
        <f t="shared" si="1"/>
        <v/>
      </c>
      <c r="M20" s="298">
        <v>4</v>
      </c>
    </row>
    <row r="21" spans="1:13" ht="20.7" customHeight="1">
      <c r="A21" s="567"/>
      <c r="B21" s="313" t="s">
        <v>1421</v>
      </c>
      <c r="C21" s="283">
        <v>4</v>
      </c>
      <c r="D21" s="317" t="s">
        <v>1421</v>
      </c>
      <c r="E21" s="318" t="str">
        <f t="shared" si="2"/>
        <v>x</v>
      </c>
      <c r="F21" s="318" t="str">
        <f t="shared" si="2"/>
        <v>x</v>
      </c>
      <c r="G21" s="318" t="str">
        <f t="shared" si="2"/>
        <v>x</v>
      </c>
      <c r="H21" s="318" t="str">
        <f t="shared" si="2"/>
        <v>x</v>
      </c>
      <c r="I21" s="318" t="str">
        <f t="shared" si="2"/>
        <v/>
      </c>
      <c r="M21" s="298">
        <v>3</v>
      </c>
    </row>
    <row r="22" spans="1:13" ht="20.7" customHeight="1">
      <c r="A22" s="568" t="s">
        <v>1418</v>
      </c>
      <c r="B22" s="314" t="s">
        <v>993</v>
      </c>
      <c r="C22" s="283">
        <f t="shared" si="0"/>
        <v>5</v>
      </c>
      <c r="D22" s="317" t="s">
        <v>993</v>
      </c>
      <c r="E22" s="318" t="str">
        <f t="shared" si="2"/>
        <v>x</v>
      </c>
      <c r="F22" s="318" t="str">
        <f t="shared" si="2"/>
        <v>x</v>
      </c>
      <c r="G22" s="318" t="str">
        <f t="shared" si="2"/>
        <v>x</v>
      </c>
      <c r="H22" s="318" t="str">
        <f t="shared" si="2"/>
        <v>x</v>
      </c>
      <c r="I22" s="318" t="str">
        <f t="shared" si="2"/>
        <v>x</v>
      </c>
      <c r="M22" s="298">
        <v>5</v>
      </c>
    </row>
    <row r="23" spans="1:13" ht="20.7" customHeight="1">
      <c r="A23" s="568"/>
      <c r="B23" s="314" t="s">
        <v>990</v>
      </c>
      <c r="C23" s="283">
        <f t="shared" si="0"/>
        <v>4</v>
      </c>
      <c r="D23" s="317" t="s">
        <v>990</v>
      </c>
      <c r="E23" s="318" t="str">
        <f t="shared" si="2"/>
        <v>x</v>
      </c>
      <c r="F23" s="318" t="str">
        <f t="shared" si="2"/>
        <v>x</v>
      </c>
      <c r="G23" s="318" t="str">
        <f t="shared" si="2"/>
        <v>x</v>
      </c>
      <c r="H23" s="318" t="str">
        <f t="shared" si="2"/>
        <v>x</v>
      </c>
      <c r="I23" s="318" t="str">
        <f t="shared" si="2"/>
        <v/>
      </c>
      <c r="M23" s="298">
        <v>4</v>
      </c>
    </row>
    <row r="24" spans="1:13" ht="20.7" customHeight="1">
      <c r="A24" s="568"/>
      <c r="B24" s="314" t="s">
        <v>991</v>
      </c>
      <c r="C24" s="283">
        <f t="shared" si="0"/>
        <v>3</v>
      </c>
      <c r="D24" s="317" t="s">
        <v>991</v>
      </c>
      <c r="E24" s="318" t="str">
        <f t="shared" si="2"/>
        <v>x</v>
      </c>
      <c r="F24" s="318" t="str">
        <f t="shared" si="2"/>
        <v>x</v>
      </c>
      <c r="G24" s="318" t="str">
        <f t="shared" si="2"/>
        <v>x</v>
      </c>
      <c r="H24" s="318" t="str">
        <f t="shared" si="2"/>
        <v/>
      </c>
      <c r="I24" s="318" t="str">
        <f t="shared" si="2"/>
        <v/>
      </c>
      <c r="M24" s="29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1120</v>
      </c>
      <c r="E24" s="197" t="s">
        <v>1156</v>
      </c>
      <c r="G24" s="209" t="s">
        <v>1129</v>
      </c>
      <c r="H24" s="122"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1081</v>
      </c>
      <c r="B1" s="169" t="s">
        <v>1083</v>
      </c>
      <c r="C1" s="192" t="s">
        <v>1082</v>
      </c>
      <c r="D1" s="169" t="s">
        <v>380</v>
      </c>
      <c r="E1" s="169" t="s">
        <v>1086</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1564</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1081</v>
      </c>
      <c r="B15" s="169" t="s">
        <v>1084</v>
      </c>
      <c r="C15" s="192" t="s">
        <v>1082</v>
      </c>
      <c r="D15" s="169" t="s">
        <v>380</v>
      </c>
      <c r="E15" s="169"/>
    </row>
    <row r="16" spans="1:5" ht="42">
      <c r="A16" s="570" t="s">
        <v>1085</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1069</v>
      </c>
      <c r="C2" s="319" t="s">
        <v>1070</v>
      </c>
      <c r="D2" s="319" t="s">
        <v>1071</v>
      </c>
      <c r="E2" s="319" t="s">
        <v>817</v>
      </c>
    </row>
    <row r="3" spans="2:5" s="184" customFormat="1" ht="30" hidden="1" customHeight="1">
      <c r="B3" s="341" t="s">
        <v>578</v>
      </c>
      <c r="C3" s="341" t="str">
        <f>'Agreement 3'!B30</f>
        <v>Bill Nelson</v>
      </c>
      <c r="D3" s="341"/>
      <c r="E3" s="342">
        <f>'P1-OrgScope'!B91</f>
        <v>45422</v>
      </c>
    </row>
    <row r="4" spans="2:5" s="184" customFormat="1" ht="30" customHeight="1">
      <c r="B4" s="341" t="s">
        <v>1073</v>
      </c>
      <c r="C4" s="341" t="str">
        <f>'Agreement 3'!B7</f>
        <v>Dr Pieter van Zyl</v>
      </c>
      <c r="D4" s="341"/>
      <c r="E4" s="342">
        <f>E3</f>
        <v>45422</v>
      </c>
    </row>
    <row r="5" spans="2:5" s="184" customFormat="1" ht="30" customHeight="1">
      <c r="B5" s="341" t="s">
        <v>1072</v>
      </c>
      <c r="C5" s="341" t="str">
        <f>'P1-Personnel'!B13</f>
        <v>ATM-1</v>
      </c>
      <c r="D5" s="341"/>
      <c r="E5" s="342">
        <f>E4</f>
        <v>45422</v>
      </c>
    </row>
    <row r="6" spans="2:5" s="184" customFormat="1" ht="30" customHeight="1">
      <c r="B6" s="341" t="s">
        <v>1072</v>
      </c>
      <c r="C6" s="341" t="str">
        <f>'P1-Personnel'!B14</f>
        <v>ATM-2</v>
      </c>
      <c r="D6" s="341"/>
      <c r="E6" s="342">
        <f>E5</f>
        <v>45422</v>
      </c>
    </row>
    <row r="7" spans="2:5" s="184" customFormat="1" ht="30" customHeight="1">
      <c r="B7" s="341" t="s">
        <v>1072</v>
      </c>
      <c r="C7" s="341" t="str">
        <f>'P1-Personnel'!B15</f>
        <v>ATM-3</v>
      </c>
      <c r="D7" s="341"/>
      <c r="E7" s="342">
        <f t="shared" ref="E7:E13" si="0">E6</f>
        <v>45422</v>
      </c>
    </row>
    <row r="8" spans="2:5" s="184" customFormat="1" ht="30" customHeight="1">
      <c r="B8" s="341" t="s">
        <v>1072</v>
      </c>
      <c r="C8" s="341" t="str">
        <f>'P1-Personnel'!B16</f>
        <v>ATM-4</v>
      </c>
      <c r="D8" s="341"/>
      <c r="E8" s="342">
        <f t="shared" si="0"/>
        <v>45422</v>
      </c>
    </row>
    <row r="9" spans="2:5" s="184" customFormat="1" ht="30" customHeight="1">
      <c r="B9" s="341" t="s">
        <v>1072</v>
      </c>
      <c r="C9" s="341" t="str">
        <f>'P1-Personnel'!B17</f>
        <v>ATM-5</v>
      </c>
      <c r="D9" s="341"/>
      <c r="E9" s="342">
        <f t="shared" si="0"/>
        <v>45422</v>
      </c>
    </row>
    <row r="10" spans="2:5" s="184" customFormat="1" ht="30" customHeight="1">
      <c r="B10" s="341" t="s">
        <v>1072</v>
      </c>
      <c r="C10" s="341" t="str">
        <f>'P1-Personnel'!B18</f>
        <v>ATM-6</v>
      </c>
      <c r="D10" s="341"/>
      <c r="E10" s="342">
        <f t="shared" si="0"/>
        <v>45422</v>
      </c>
    </row>
    <row r="11" spans="2:5" s="184" customFormat="1" ht="30" customHeight="1">
      <c r="B11" s="341" t="s">
        <v>1072</v>
      </c>
      <c r="C11" s="341" t="str">
        <f>'P1-Personnel'!B19</f>
        <v>ATM-7</v>
      </c>
      <c r="D11" s="341"/>
      <c r="E11" s="342">
        <f t="shared" si="0"/>
        <v>45422</v>
      </c>
    </row>
    <row r="12" spans="2:5" s="184" customFormat="1" ht="30" customHeight="1">
      <c r="B12" s="341" t="s">
        <v>1072</v>
      </c>
      <c r="C12" s="341" t="str">
        <f>'P1-Personnel'!B20</f>
        <v>ATM-8</v>
      </c>
      <c r="D12" s="341"/>
      <c r="E12" s="342">
        <f t="shared" si="0"/>
        <v>45422</v>
      </c>
    </row>
    <row r="13" spans="2:5" s="184" customFormat="1" ht="30" customHeight="1">
      <c r="B13" s="341" t="s">
        <v>1072</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1078</v>
      </c>
      <c r="C2" s="578"/>
      <c r="D2" s="578"/>
      <c r="E2" s="320"/>
      <c r="F2" s="320"/>
      <c r="G2" s="320"/>
      <c r="H2" s="320"/>
      <c r="I2" s="320"/>
      <c r="J2" s="320"/>
      <c r="K2" s="320"/>
      <c r="L2" s="320"/>
      <c r="M2" s="320"/>
    </row>
    <row r="3" spans="2:13" ht="31.2">
      <c r="B3" s="346">
        <v>1</v>
      </c>
      <c r="C3" s="341" t="s">
        <v>1158</v>
      </c>
      <c r="D3" s="341" t="s">
        <v>1159</v>
      </c>
    </row>
    <row r="4" spans="2:13" ht="31.2">
      <c r="B4" s="346">
        <v>2</v>
      </c>
      <c r="C4" s="341" t="s">
        <v>1160</v>
      </c>
      <c r="D4" s="341" t="s">
        <v>1161</v>
      </c>
    </row>
    <row r="5" spans="2:13" ht="31.2">
      <c r="B5" s="346">
        <v>3</v>
      </c>
      <c r="C5" s="341" t="s">
        <v>1162</v>
      </c>
      <c r="D5" s="341" t="s">
        <v>1163</v>
      </c>
    </row>
    <row r="6" spans="2:13">
      <c r="B6" s="346">
        <v>4</v>
      </c>
      <c r="C6" s="341" t="s">
        <v>1079</v>
      </c>
      <c r="D6" s="341" t="s">
        <v>1080</v>
      </c>
    </row>
    <row r="7" spans="2:13" ht="31.2">
      <c r="B7" s="346">
        <v>5</v>
      </c>
      <c r="C7" s="341" t="s">
        <v>1164</v>
      </c>
      <c r="D7" s="341" t="s">
        <v>1165</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1077</v>
      </c>
      <c r="C18" s="578"/>
      <c r="D18" s="578"/>
    </row>
    <row r="19" spans="2:4" ht="31.2">
      <c r="B19" s="346">
        <v>1</v>
      </c>
      <c r="C19" s="341" t="s">
        <v>1166</v>
      </c>
      <c r="D19" s="341" t="s">
        <v>1167</v>
      </c>
    </row>
    <row r="20" spans="2:4" ht="46.8">
      <c r="B20" s="346">
        <v>2</v>
      </c>
      <c r="C20" s="341" t="s">
        <v>1168</v>
      </c>
      <c r="D20" s="341" t="s">
        <v>1169</v>
      </c>
    </row>
    <row r="21" spans="2:4" ht="46.8">
      <c r="B21" s="346">
        <v>3</v>
      </c>
      <c r="C21" s="341" t="s">
        <v>1170</v>
      </c>
      <c r="D21" s="341" t="s">
        <v>1171</v>
      </c>
    </row>
    <row r="22" spans="2:4" ht="46.8">
      <c r="B22" s="346">
        <v>4</v>
      </c>
      <c r="C22" s="341" t="s">
        <v>1172</v>
      </c>
      <c r="D22" s="341" t="s">
        <v>1173</v>
      </c>
    </row>
    <row r="23" spans="2:4" ht="46.8">
      <c r="B23" s="346">
        <v>5</v>
      </c>
      <c r="C23" s="341" t="s">
        <v>1174</v>
      </c>
      <c r="D23" s="341" t="s">
        <v>1175</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1545</v>
      </c>
      <c r="AP4" s="25" t="s">
        <v>1700</v>
      </c>
      <c r="AR4" s="25" t="s">
        <v>1247</v>
      </c>
      <c r="AT4" s="25" t="s">
        <v>425</v>
      </c>
      <c r="AV4" s="25" t="s">
        <v>1130</v>
      </c>
    </row>
    <row r="5" spans="2:48">
      <c r="B5" t="s">
        <v>34</v>
      </c>
      <c r="D5" t="s">
        <v>291</v>
      </c>
      <c r="E5" t="s">
        <v>403</v>
      </c>
      <c r="F5" t="s">
        <v>1708</v>
      </c>
      <c r="H5" t="s">
        <v>1794</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1783</v>
      </c>
      <c r="AR5" t="s">
        <v>1701</v>
      </c>
      <c r="AT5" t="s">
        <v>1769</v>
      </c>
    </row>
    <row r="6" spans="2:48">
      <c r="B6" t="s">
        <v>270</v>
      </c>
      <c r="D6" t="s">
        <v>292</v>
      </c>
      <c r="E6" t="s">
        <v>403</v>
      </c>
      <c r="F6" t="s">
        <v>1709</v>
      </c>
      <c r="H6" t="s">
        <v>1794</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1784</v>
      </c>
      <c r="AR6" t="s">
        <v>1064</v>
      </c>
      <c r="AT6" t="s">
        <v>1093</v>
      </c>
    </row>
    <row r="7" spans="2:48">
      <c r="B7" t="s">
        <v>35</v>
      </c>
      <c r="D7" t="s">
        <v>293</v>
      </c>
      <c r="E7" t="s">
        <v>403</v>
      </c>
      <c r="F7" t="s">
        <v>1710</v>
      </c>
      <c r="H7" t="s">
        <v>1795</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1785</v>
      </c>
      <c r="AR7" t="s">
        <v>1066</v>
      </c>
      <c r="AT7" t="s">
        <v>1770</v>
      </c>
    </row>
    <row r="8" spans="2:48">
      <c r="B8" t="s">
        <v>36</v>
      </c>
      <c r="D8" t="s">
        <v>294</v>
      </c>
      <c r="E8" t="s">
        <v>403</v>
      </c>
      <c r="F8" t="s">
        <v>1711</v>
      </c>
      <c r="H8" t="s">
        <v>1795</v>
      </c>
      <c r="J8" t="s">
        <v>411</v>
      </c>
      <c r="L8" t="s">
        <v>418</v>
      </c>
      <c r="N8" t="s">
        <v>432</v>
      </c>
      <c r="T8" s="16" t="s">
        <v>593</v>
      </c>
      <c r="V8" t="s">
        <v>604</v>
      </c>
      <c r="X8" t="s">
        <v>617</v>
      </c>
      <c r="Z8" t="s">
        <v>622</v>
      </c>
      <c r="AB8" t="s">
        <v>641</v>
      </c>
      <c r="AD8" t="s">
        <v>650</v>
      </c>
      <c r="AF8" t="s">
        <v>667</v>
      </c>
      <c r="AH8" t="s">
        <v>687</v>
      </c>
      <c r="AJ8" s="16" t="s">
        <v>708</v>
      </c>
      <c r="AL8" t="s">
        <v>650</v>
      </c>
      <c r="AP8" t="s">
        <v>1786</v>
      </c>
      <c r="AR8" t="s">
        <v>1702</v>
      </c>
      <c r="AT8" t="s">
        <v>1771</v>
      </c>
    </row>
    <row r="9" spans="2:48">
      <c r="B9" t="s">
        <v>37</v>
      </c>
      <c r="D9" t="s">
        <v>295</v>
      </c>
      <c r="E9" t="s">
        <v>403</v>
      </c>
      <c r="F9" t="s">
        <v>1712</v>
      </c>
      <c r="H9" t="s">
        <v>1796</v>
      </c>
      <c r="L9" t="s">
        <v>419</v>
      </c>
      <c r="N9" t="s">
        <v>433</v>
      </c>
      <c r="T9" s="16" t="s">
        <v>594</v>
      </c>
      <c r="V9" t="s">
        <v>420</v>
      </c>
      <c r="X9" t="s">
        <v>420</v>
      </c>
      <c r="Z9" t="s">
        <v>623</v>
      </c>
      <c r="AB9" t="s">
        <v>642</v>
      </c>
      <c r="AD9" t="s">
        <v>651</v>
      </c>
      <c r="AF9" t="s">
        <v>668</v>
      </c>
      <c r="AH9" t="s">
        <v>420</v>
      </c>
      <c r="AJ9" s="16" t="s">
        <v>707</v>
      </c>
      <c r="AL9" t="s">
        <v>1122</v>
      </c>
      <c r="AP9" t="s">
        <v>1787</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1788</v>
      </c>
    </row>
    <row r="11" spans="2:48">
      <c r="B11" t="s">
        <v>39</v>
      </c>
      <c r="D11" t="s">
        <v>297</v>
      </c>
      <c r="E11" t="s">
        <v>403</v>
      </c>
      <c r="N11" t="s">
        <v>435</v>
      </c>
      <c r="T11" s="16" t="s">
        <v>420</v>
      </c>
      <c r="Z11" t="s">
        <v>625</v>
      </c>
      <c r="AB11" t="s">
        <v>420</v>
      </c>
      <c r="AD11" t="s">
        <v>420</v>
      </c>
      <c r="AF11" t="s">
        <v>670</v>
      </c>
      <c r="AP11" t="s">
        <v>1789</v>
      </c>
    </row>
    <row r="12" spans="2:48">
      <c r="B12" t="s">
        <v>40</v>
      </c>
      <c r="D12" t="s">
        <v>298</v>
      </c>
      <c r="E12" t="s">
        <v>403</v>
      </c>
      <c r="N12" t="s">
        <v>436</v>
      </c>
      <c r="Z12" t="s">
        <v>626</v>
      </c>
      <c r="AF12" t="s">
        <v>671</v>
      </c>
      <c r="AP12" t="s">
        <v>1790</v>
      </c>
    </row>
    <row r="13" spans="2:48">
      <c r="B13" t="s">
        <v>41</v>
      </c>
      <c r="D13" t="s">
        <v>299</v>
      </c>
      <c r="E13" t="s">
        <v>403</v>
      </c>
      <c r="N13" t="s">
        <v>437</v>
      </c>
      <c r="Z13" t="s">
        <v>627</v>
      </c>
      <c r="AF13" t="s">
        <v>672</v>
      </c>
      <c r="AP13" t="s">
        <v>1791</v>
      </c>
    </row>
    <row r="14" spans="2:48">
      <c r="B14" t="s">
        <v>271</v>
      </c>
      <c r="D14" t="s">
        <v>300</v>
      </c>
      <c r="E14" t="s">
        <v>403</v>
      </c>
      <c r="N14" t="s">
        <v>438</v>
      </c>
      <c r="Z14" t="s">
        <v>628</v>
      </c>
      <c r="AF14" t="s">
        <v>673</v>
      </c>
      <c r="AP14" t="s">
        <v>1792</v>
      </c>
    </row>
    <row r="15" spans="2:48">
      <c r="B15" t="s">
        <v>42</v>
      </c>
      <c r="D15" t="s">
        <v>301</v>
      </c>
      <c r="E15" t="s">
        <v>403</v>
      </c>
      <c r="N15" t="s">
        <v>439</v>
      </c>
      <c r="Z15" t="s">
        <v>629</v>
      </c>
      <c r="AF15" t="s">
        <v>674</v>
      </c>
      <c r="AP15" t="s">
        <v>1793</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1749</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2024-05-15T19:09:02Z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