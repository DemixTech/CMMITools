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39ECBA1A-3F2D-4E04-AD80-6C0ABE5538F7}" xr6:coauthVersionLast="46" xr6:coauthVersionMax="46" xr10:uidLastSave="{00000000-0000-0000-0000-000000000000}"/>
  <bookViews>
    <workbookView xWindow="-120" yWindow="-16320" windowWidth="29040" windowHeight="15840" firstSheet="4" activeTab="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13" r:id="rId51"/>
    <pivotCache cacheId="14" r:id="rId52"/>
    <pivotCache cacheId="15" r:id="rId53"/>
    <pivotCache cacheId="16" r:id="rId54"/>
    <pivotCache cacheId="17" r:id="rId55"/>
    <pivotCache cacheId="18"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46" l="1"/>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H5" i="32" s="1"/>
  <c r="O6" i="32"/>
  <c r="H6" i="32" s="1"/>
  <c r="O7" i="32"/>
  <c r="H7" i="32" s="1"/>
  <c r="O8" i="32"/>
  <c r="H8" i="32" s="1"/>
  <c r="O9" i="32"/>
  <c r="H9" i="32" s="1"/>
  <c r="O10" i="32"/>
  <c r="H10" i="32" s="1"/>
  <c r="O11" i="32"/>
  <c r="H11" i="32" s="1"/>
  <c r="O12" i="32"/>
  <c r="H12" i="32" s="1"/>
  <c r="O13" i="32"/>
  <c r="H13" i="32" s="1"/>
  <c r="O14" i="32"/>
  <c r="H14" i="32" s="1"/>
  <c r="O15" i="32"/>
  <c r="H15" i="32" s="1"/>
  <c r="O16" i="32"/>
  <c r="H16" i="32" s="1"/>
  <c r="O17" i="32"/>
  <c r="H17" i="32" s="1"/>
  <c r="O18" i="32"/>
  <c r="H18" i="32" s="1"/>
  <c r="B27" i="19"/>
  <c r="O3" i="32"/>
  <c r="H3" i="32" s="1"/>
  <c r="I3" i="32"/>
  <c r="O4" i="32"/>
  <c r="H4" i="32" s="1"/>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O2" i="32"/>
  <c r="H2" i="32" s="1"/>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<sst xmlns="http://schemas.openxmlformats.org/spreadsheetml/2006/main" count="4742" uniqueCount="1721">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</sst>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3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1543</v>
      </c>
      <c r="D44" s="351" t="s">
        <v>1542</v>
      </c>
      <c r="H44" s="350" t="s">
        <v>1093</v>
      </c>
      <c r="I44" s="350"/>
      <c r="J44" s="350"/>
      <c r="K44" s="350"/>
      <c r="L44" s="350"/>
    </row>
    <row r="63" spans="2:19">
      <c r="B63" s="353" t="s">
        <v>1095</v>
      </c>
      <c r="C63" s="353"/>
      <c r="D63" s="354" t="s">
        <v>1096</v>
      </c>
      <c r="F63" s="355" t="s">
        <v>1098</v>
      </c>
      <c r="G63" s="355"/>
      <c r="H63" s="355"/>
      <c r="I63" s="355"/>
      <c r="K63" s="356" t="s">
        <v>1544</v>
      </c>
      <c r="L63" s="356"/>
      <c r="M63" s="356"/>
      <c r="N63" s="356"/>
      <c r="P63" s="358" t="s">
        <v>1094</v>
      </c>
      <c r="Q63" s="357"/>
      <c r="R63" s="357"/>
      <c r="S63" s="357"/>
    </row>
    <row r="83" spans="6:8">
      <c r="F83" s="363" t="s">
        <v>1558</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1273</v>
      </c>
      <c r="B1" s="294"/>
    </row>
    <row r="2" spans="1:2" ht="43.5">
      <c r="A2" s="117" t="s">
        <v>1274</v>
      </c>
      <c r="B2" s="117" t="s">
        <v>1275</v>
      </c>
    </row>
    <row r="3" spans="1:2">
      <c r="B3" s="295" t="s">
        <v>1276</v>
      </c>
    </row>
    <row r="4" spans="1:2">
      <c r="B4" s="296" t="s">
        <v>1277</v>
      </c>
    </row>
    <row r="5" spans="1:2" ht="29">
      <c r="B5" s="297" t="s">
        <v>1278</v>
      </c>
    </row>
    <row r="7" spans="1:2" ht="72.5">
      <c r="A7" s="117" t="s">
        <v>1279</v>
      </c>
      <c r="B7" s="117" t="s">
        <v>1280</v>
      </c>
    </row>
    <row r="9" spans="1:2" ht="29">
      <c r="A9" s="117" t="s">
        <v>1281</v>
      </c>
      <c r="B9" s="117" t="s">
        <v>1282</v>
      </c>
    </row>
    <row r="11" spans="1:2">
      <c r="A11" s="294" t="s">
        <v>1283</v>
      </c>
      <c r="B11" s="294"/>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1673</v>
      </c>
      <c r="C2" s="104" t="s">
        <v>1674</v>
      </c>
      <c r="D2" s="104" t="s">
        <v>1326</v>
      </c>
      <c r="E2" s="104" t="s">
        <v>1327</v>
      </c>
      <c r="F2" s="104" t="s">
        <v>1336</v>
      </c>
      <c r="G2" s="104" t="s">
        <v>1328</v>
      </c>
      <c r="H2" s="104" t="s">
        <v>1210</v>
      </c>
      <c r="AD2" s="315"/>
      <c r="AE2" s="315"/>
      <c r="AF2" s="315"/>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5"/>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298"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298">
        <v>44174</v>
      </c>
    </row>
    <row r="23" spans="1:2">
      <c r="A23" s="2" t="s">
        <v>21</v>
      </c>
      <c r="B23" s="299" t="s">
        <v>1654</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1655</v>
      </c>
    </row>
    <row r="29" spans="1:2">
      <c r="A29" s="2" t="s">
        <v>7</v>
      </c>
      <c r="B29" s="298" t="s">
        <v>1656</v>
      </c>
    </row>
    <row r="30" spans="1:2">
      <c r="A30" s="2" t="s">
        <v>9</v>
      </c>
      <c r="B30" s="298" t="s">
        <v>1593</v>
      </c>
    </row>
    <row r="31" spans="1:2">
      <c r="A31" s="2" t="s">
        <v>10</v>
      </c>
      <c r="B31" s="27" t="s">
        <v>1657</v>
      </c>
    </row>
    <row r="32" spans="1:2">
      <c r="A32" s="5" t="s">
        <v>26</v>
      </c>
      <c r="B32" s="5"/>
    </row>
    <row r="33" spans="1:5">
      <c r="A33" s="2" t="s">
        <v>4</v>
      </c>
      <c r="B33" s="326" t="s">
        <v>1658</v>
      </c>
    </row>
    <row r="34" spans="1:5">
      <c r="A34" s="2" t="s">
        <v>5</v>
      </c>
      <c r="B34" s="413" t="str">
        <f>B16</f>
        <v>Software for Mars (Pty) Ltd</v>
      </c>
      <c r="C34" t="s">
        <v>1006</v>
      </c>
    </row>
    <row r="35" spans="1:5">
      <c r="A35" s="2" t="s">
        <v>9</v>
      </c>
      <c r="B35" s="327" t="s">
        <v>1594</v>
      </c>
    </row>
    <row r="36" spans="1:5">
      <c r="A36" s="2" t="s">
        <v>10</v>
      </c>
      <c r="B36" s="328" t="s">
        <v>1659</v>
      </c>
    </row>
    <row r="37" spans="1:5">
      <c r="A37" s="5" t="s">
        <v>27</v>
      </c>
      <c r="B37" s="5"/>
    </row>
    <row r="38" spans="1:5">
      <c r="A38" s="2" t="s">
        <v>4</v>
      </c>
      <c r="B38" s="413" t="s">
        <v>1660</v>
      </c>
    </row>
    <row r="39" spans="1:5">
      <c r="A39" s="2" t="s">
        <v>5</v>
      </c>
      <c r="B39" s="298" t="s">
        <v>1379</v>
      </c>
    </row>
    <row r="40" spans="1:5">
      <c r="A40" s="2" t="s">
        <v>7</v>
      </c>
      <c r="B40" s="298" t="s">
        <v>424</v>
      </c>
    </row>
    <row r="41" spans="1:5">
      <c r="A41" s="2" t="s">
        <v>9</v>
      </c>
      <c r="B41" s="299"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6"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1381</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1238</v>
      </c>
      <c r="C43" s="120" t="s">
        <v>885</v>
      </c>
      <c r="D43" s="125" t="s">
        <v>1086</v>
      </c>
    </row>
    <row r="44" spans="1:4" s="120" customFormat="1" ht="43.5">
      <c r="A44" s="120" t="s">
        <v>595</v>
      </c>
      <c r="B44" s="89" t="s">
        <v>1382</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38"/>
    </row>
    <row r="54" spans="1:3" s="50" customFormat="1" ht="46.5">
      <c r="A54" s="50" t="s">
        <v>1083</v>
      </c>
      <c r="B54" s="420"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4" sqref="B4"/>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7"/>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4" t="s">
        <v>1668</v>
      </c>
      <c r="C23" s="306"/>
    </row>
    <row r="24" spans="1:3" ht="31">
      <c r="A24" s="50" t="s">
        <v>863</v>
      </c>
      <c r="B24" s="54" t="s">
        <v>347</v>
      </c>
      <c r="C24" s="49" t="s">
        <v>384</v>
      </c>
    </row>
    <row r="25" spans="1:3">
      <c r="A25" s="50" t="s">
        <v>864</v>
      </c>
      <c r="B25" s="50">
        <v>2481632</v>
      </c>
    </row>
    <row r="26" spans="1:3" ht="46.5">
      <c r="A26" s="50" t="s">
        <v>980</v>
      </c>
      <c r="B26" s="329"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8" t="s">
        <v>1190</v>
      </c>
      <c r="AD1" s="428"/>
      <c r="AE1" s="428"/>
      <c r="AF1" s="428"/>
      <c r="AG1" s="428"/>
      <c r="AH1" s="428"/>
      <c r="AI1" s="428"/>
    </row>
    <row r="2" spans="1:35" s="402" customFormat="1" ht="68">
      <c r="A2" s="400" t="s">
        <v>881</v>
      </c>
      <c r="B2" s="400" t="s">
        <v>13</v>
      </c>
      <c r="C2" s="400" t="s">
        <v>382</v>
      </c>
      <c r="D2" s="400" t="s">
        <v>882</v>
      </c>
      <c r="E2" s="400" t="s">
        <v>1150</v>
      </c>
      <c r="F2" s="401" t="s">
        <v>1151</v>
      </c>
      <c r="G2" s="401" t="s">
        <v>1152</v>
      </c>
      <c r="H2" s="400" t="s">
        <v>1568</v>
      </c>
      <c r="I2" s="261" t="s">
        <v>1571</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1193</v>
      </c>
      <c r="AF2" s="263" t="s">
        <v>1194</v>
      </c>
      <c r="AG2" s="263" t="s">
        <v>1195</v>
      </c>
      <c r="AH2" s="263" t="s">
        <v>1160</v>
      </c>
      <c r="AI2" s="264" t="s">
        <v>1196</v>
      </c>
    </row>
    <row r="3" spans="1:35" s="265" customFormat="1" ht="13">
      <c r="A3" s="266" t="s">
        <v>898</v>
      </c>
      <c r="B3" s="265" t="s">
        <v>1602</v>
      </c>
      <c r="C3" s="266" t="s">
        <v>1601</v>
      </c>
      <c r="D3" s="266" t="s">
        <v>1153</v>
      </c>
      <c r="E3" s="266" t="s">
        <v>1394</v>
      </c>
      <c r="F3" s="267">
        <v>44021</v>
      </c>
      <c r="G3" s="267">
        <v>44260</v>
      </c>
      <c r="H3" s="266" t="s">
        <v>1396</v>
      </c>
      <c r="I3" s="268" t="s">
        <v>1569</v>
      </c>
      <c r="J3" s="269" t="s">
        <v>1104</v>
      </c>
      <c r="K3" s="269" t="s">
        <v>1104</v>
      </c>
      <c r="L3" s="269"/>
      <c r="M3" s="269"/>
      <c r="N3" s="269"/>
      <c r="O3" s="269"/>
      <c r="P3" s="269"/>
      <c r="Q3" s="269"/>
      <c r="R3" s="269"/>
      <c r="S3" s="269"/>
      <c r="T3" s="269"/>
      <c r="U3" s="269"/>
      <c r="V3" s="269"/>
      <c r="W3" s="269"/>
      <c r="X3" s="269"/>
      <c r="Y3" s="269"/>
      <c r="Z3" s="269"/>
      <c r="AA3" s="269"/>
      <c r="AB3" s="268">
        <v>10</v>
      </c>
      <c r="AC3" s="270" t="s">
        <v>1340</v>
      </c>
      <c r="AD3" s="270"/>
      <c r="AE3" s="270"/>
      <c r="AF3" s="270"/>
      <c r="AG3" s="270"/>
      <c r="AH3" s="270"/>
      <c r="AI3" s="271"/>
    </row>
    <row r="4" spans="1:35" s="265" customFormat="1" ht="13">
      <c r="A4" s="266" t="s">
        <v>899</v>
      </c>
      <c r="B4" s="265" t="s">
        <v>1603</v>
      </c>
      <c r="C4" s="266" t="s">
        <v>1604</v>
      </c>
      <c r="D4" s="266" t="s">
        <v>1153</v>
      </c>
      <c r="E4" s="300" t="s">
        <v>1394</v>
      </c>
      <c r="F4" s="272">
        <v>44086</v>
      </c>
      <c r="G4" s="272">
        <v>44258</v>
      </c>
      <c r="H4" s="266" t="s">
        <v>1396</v>
      </c>
      <c r="I4" s="268" t="s">
        <v>1569</v>
      </c>
      <c r="J4" s="269"/>
      <c r="K4" s="269"/>
      <c r="L4" s="269"/>
      <c r="M4" s="269" t="s">
        <v>1104</v>
      </c>
      <c r="N4" s="269" t="s">
        <v>1104</v>
      </c>
      <c r="O4" s="269" t="s">
        <v>1104</v>
      </c>
      <c r="P4" s="269"/>
      <c r="Q4" s="269"/>
      <c r="R4" s="269"/>
      <c r="S4" s="269"/>
      <c r="T4" s="269"/>
      <c r="U4" s="269"/>
      <c r="V4" s="269"/>
      <c r="W4" s="269"/>
      <c r="X4" s="269"/>
      <c r="Y4" s="269"/>
      <c r="Z4" s="269"/>
      <c r="AA4" s="269"/>
      <c r="AB4" s="268">
        <v>11</v>
      </c>
      <c r="AC4" s="270" t="s">
        <v>1340</v>
      </c>
      <c r="AD4" s="270"/>
      <c r="AE4" s="270"/>
      <c r="AF4" s="270"/>
      <c r="AG4" s="270"/>
      <c r="AH4" s="270"/>
      <c r="AI4" s="271"/>
    </row>
    <row r="5" spans="1:35" s="265" customFormat="1" ht="13">
      <c r="A5" s="266" t="s">
        <v>900</v>
      </c>
      <c r="B5" s="265" t="s">
        <v>1605</v>
      </c>
      <c r="C5" s="266" t="s">
        <v>1606</v>
      </c>
      <c r="D5" s="266" t="s">
        <v>1153</v>
      </c>
      <c r="E5" s="300" t="s">
        <v>1394</v>
      </c>
      <c r="F5" s="272">
        <v>44062</v>
      </c>
      <c r="G5" s="272">
        <v>44247</v>
      </c>
      <c r="H5" s="266" t="s">
        <v>1396</v>
      </c>
      <c r="I5" s="268" t="s">
        <v>1569</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1340</v>
      </c>
      <c r="AE5" s="270"/>
      <c r="AF5" s="270"/>
      <c r="AG5" s="270"/>
      <c r="AH5" s="270"/>
      <c r="AI5" s="271"/>
    </row>
    <row r="6" spans="1:35" s="265" customFormat="1" ht="13">
      <c r="A6" s="266" t="s">
        <v>901</v>
      </c>
      <c r="B6" s="265" t="s">
        <v>1607</v>
      </c>
      <c r="C6" s="272" t="s">
        <v>1608</v>
      </c>
      <c r="D6" s="266" t="s">
        <v>1153</v>
      </c>
      <c r="E6" s="300" t="s">
        <v>1394</v>
      </c>
      <c r="F6" s="272" t="s">
        <v>1395</v>
      </c>
      <c r="G6" s="272">
        <v>44265</v>
      </c>
      <c r="H6" s="300" t="s">
        <v>1396</v>
      </c>
      <c r="I6" s="268" t="s">
        <v>1569</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1"/>
    </row>
    <row r="7" spans="1:35" s="265" customFormat="1" ht="26">
      <c r="A7" s="274" t="s">
        <v>903</v>
      </c>
      <c r="B7" s="274" t="s">
        <v>1390</v>
      </c>
      <c r="C7" s="274" t="s">
        <v>1609</v>
      </c>
      <c r="D7" s="274" t="s">
        <v>1154</v>
      </c>
      <c r="E7" s="275"/>
      <c r="F7" s="276"/>
      <c r="G7" s="276"/>
      <c r="H7" s="300" t="s">
        <v>1396</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1"/>
    </row>
    <row r="8" spans="1:35" s="265" customFormat="1" ht="65">
      <c r="A8" s="274" t="s">
        <v>904</v>
      </c>
      <c r="B8" s="274" t="s">
        <v>1391</v>
      </c>
      <c r="C8" s="274" t="s">
        <v>1610</v>
      </c>
      <c r="D8" s="274" t="s">
        <v>1154</v>
      </c>
      <c r="E8" s="275"/>
      <c r="F8" s="276"/>
      <c r="G8" s="276"/>
      <c r="H8" s="300" t="s">
        <v>1396</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c r="AH8" s="270"/>
      <c r="AI8" s="271"/>
    </row>
    <row r="9" spans="1:35" s="265" customFormat="1" ht="39">
      <c r="A9" s="274" t="s">
        <v>905</v>
      </c>
      <c r="B9" s="274" t="s">
        <v>1392</v>
      </c>
      <c r="C9" s="274" t="s">
        <v>1611</v>
      </c>
      <c r="D9" s="274" t="s">
        <v>1154</v>
      </c>
      <c r="E9" s="275"/>
      <c r="F9" s="276"/>
      <c r="G9" s="276"/>
      <c r="H9" s="300" t="s">
        <v>1396</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t="s">
        <v>411</v>
      </c>
      <c r="AH9" s="270"/>
      <c r="AI9" s="271"/>
    </row>
    <row r="10" spans="1:35" s="265" customFormat="1" ht="26">
      <c r="A10" s="274" t="s">
        <v>906</v>
      </c>
      <c r="B10" s="274" t="s">
        <v>1393</v>
      </c>
      <c r="C10" s="274" t="s">
        <v>1612</v>
      </c>
      <c r="D10" s="274" t="s">
        <v>1154</v>
      </c>
      <c r="E10" s="275"/>
      <c r="F10" s="276"/>
      <c r="G10" s="276"/>
      <c r="H10" s="300" t="s">
        <v>1396</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t="s">
        <v>411</v>
      </c>
      <c r="AI10" s="271"/>
    </row>
    <row r="23" spans="3:3">
      <c r="C23" s="421"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 t="shared" ref="F1:Y1" si="0">COUNTIF(F3:F1048576,"=x")</f>
        <v>5</v>
      </c>
      <c r="G1" s="260">
        <f t="shared" si="0"/>
        <v>1</v>
      </c>
      <c r="H1" s="260">
        <f t="shared" si="0"/>
        <v>5</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5" t="str">
        <f t="shared" ref="B3:B26" si="1">VLOOKUP(A3,tbl_projectNames,2,FALSE)</f>
        <v>P1-Falcon9</v>
      </c>
      <c r="C3" s="323" t="s">
        <v>1613</v>
      </c>
      <c r="D3" s="322" t="s">
        <v>912</v>
      </c>
      <c r="E3" s="330" t="str">
        <f t="shared" ref="E3:E26"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5" t="str">
        <f t="shared" si="1"/>
        <v>P1-Falcon9</v>
      </c>
      <c r="C4" s="323" t="s">
        <v>1614</v>
      </c>
      <c r="D4" s="322" t="s">
        <v>913</v>
      </c>
      <c r="E4" s="330"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5" t="str">
        <f t="shared" si="1"/>
        <v>P1-Falcon9</v>
      </c>
      <c r="C5" s="323" t="s">
        <v>1615</v>
      </c>
      <c r="D5" s="322" t="s">
        <v>1158</v>
      </c>
      <c r="E5" s="330"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5" t="str">
        <f t="shared" si="1"/>
        <v>P1-Falcon9</v>
      </c>
      <c r="C6" s="323" t="s">
        <v>1616</v>
      </c>
      <c r="D6" s="322" t="s">
        <v>1312</v>
      </c>
      <c r="E6" s="330"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5" t="str">
        <f t="shared" si="1"/>
        <v>P1-Falcon9</v>
      </c>
      <c r="C7" s="323" t="s">
        <v>1617</v>
      </c>
      <c r="D7" s="323" t="s">
        <v>1424</v>
      </c>
      <c r="E7" s="330"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5" t="str">
        <f t="shared" si="1"/>
        <v>P2-Raptor</v>
      </c>
      <c r="C8" s="323" t="s">
        <v>1618</v>
      </c>
      <c r="D8" s="323" t="s">
        <v>912</v>
      </c>
      <c r="E8" s="330"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5" t="str">
        <f t="shared" si="1"/>
        <v>P2-Raptor</v>
      </c>
      <c r="C9" s="323" t="s">
        <v>1619</v>
      </c>
      <c r="D9" s="323" t="s">
        <v>913</v>
      </c>
      <c r="E9" s="330"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5" t="str">
        <f t="shared" si="1"/>
        <v>P2-Raptor</v>
      </c>
      <c r="C10" s="323" t="s">
        <v>1620</v>
      </c>
      <c r="D10" s="321" t="s">
        <v>1158</v>
      </c>
      <c r="E10" s="330"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5" t="str">
        <f t="shared" si="1"/>
        <v>P2-Raptor</v>
      </c>
      <c r="C11" s="323" t="s">
        <v>1621</v>
      </c>
      <c r="D11" s="323" t="s">
        <v>1312</v>
      </c>
      <c r="E11" s="330"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5" t="str">
        <f t="shared" si="1"/>
        <v>P2-Raptor</v>
      </c>
      <c r="C12" s="323" t="s">
        <v>1622</v>
      </c>
      <c r="D12" s="323" t="s">
        <v>1424</v>
      </c>
      <c r="E12" s="330"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5" t="str">
        <f t="shared" si="1"/>
        <v>P3-Starship</v>
      </c>
      <c r="C13" s="323" t="s">
        <v>1623</v>
      </c>
      <c r="D13" s="323" t="s">
        <v>912</v>
      </c>
      <c r="E13" s="330"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5" t="str">
        <f t="shared" si="1"/>
        <v>P3-Starship</v>
      </c>
      <c r="C14" s="323" t="s">
        <v>1624</v>
      </c>
      <c r="D14" s="323" t="s">
        <v>913</v>
      </c>
      <c r="E14" s="330"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5" t="str">
        <f t="shared" si="1"/>
        <v>P3-Starship</v>
      </c>
      <c r="C15" s="323" t="s">
        <v>1625</v>
      </c>
      <c r="D15" s="323" t="s">
        <v>1158</v>
      </c>
      <c r="E15" s="330"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5" t="str">
        <f t="shared" si="1"/>
        <v>P3-Starship</v>
      </c>
      <c r="C16" s="323" t="s">
        <v>1626</v>
      </c>
      <c r="D16" s="323" t="s">
        <v>1312</v>
      </c>
      <c r="E16" s="330"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5" t="str">
        <f t="shared" si="1"/>
        <v>P3-Starship</v>
      </c>
      <c r="C17" s="323" t="s">
        <v>1627</v>
      </c>
      <c r="D17" s="323" t="s">
        <v>1424</v>
      </c>
      <c r="E17" s="330"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1388</v>
      </c>
      <c r="B18" s="415" t="str">
        <f t="shared" si="1"/>
        <v>P4-SupperHeavy</v>
      </c>
      <c r="C18" s="323" t="s">
        <v>1628</v>
      </c>
      <c r="D18" s="321" t="s">
        <v>912</v>
      </c>
      <c r="E18" s="330"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1388</v>
      </c>
      <c r="B19" s="415" t="str">
        <f t="shared" si="1"/>
        <v>P4-SupperHeavy</v>
      </c>
      <c r="C19" s="323" t="s">
        <v>1629</v>
      </c>
      <c r="D19" s="321" t="s">
        <v>913</v>
      </c>
      <c r="E19" s="330"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1388</v>
      </c>
      <c r="B20" s="415" t="str">
        <f t="shared" si="1"/>
        <v>P4-SupperHeavy</v>
      </c>
      <c r="C20" s="323" t="s">
        <v>1630</v>
      </c>
      <c r="D20" s="321" t="s">
        <v>1158</v>
      </c>
      <c r="E20" s="330"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1388</v>
      </c>
      <c r="B21" s="415" t="str">
        <f t="shared" si="1"/>
        <v>P4-SupperHeavy</v>
      </c>
      <c r="C21" s="323" t="s">
        <v>1631</v>
      </c>
      <c r="D21" s="321" t="s">
        <v>1312</v>
      </c>
      <c r="E21" s="330"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1388</v>
      </c>
      <c r="B22" s="415" t="str">
        <f t="shared" si="1"/>
        <v>P4-SupperHeavy</v>
      </c>
      <c r="C22" s="323" t="s">
        <v>1632</v>
      </c>
      <c r="D22" s="323" t="s">
        <v>1424</v>
      </c>
      <c r="E22" s="330"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5" t="str">
        <f t="shared" si="1"/>
        <v>S1-CM</v>
      </c>
      <c r="C23" s="323" t="s">
        <v>1633</v>
      </c>
      <c r="D23" s="323" t="s">
        <v>1423</v>
      </c>
      <c r="E23" s="330"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5" t="str">
        <f t="shared" si="1"/>
        <v>S2-EPG-MA</v>
      </c>
      <c r="C24" s="323" t="s">
        <v>1634</v>
      </c>
      <c r="D24" s="321" t="s">
        <v>1425</v>
      </c>
      <c r="E24" s="330" t="str">
        <f t="shared" si="2"/>
        <v>Process manager function in OU</v>
      </c>
      <c r="F24" s="292" t="s">
        <v>411</v>
      </c>
      <c r="G24" s="292"/>
      <c r="H24" s="292" t="s">
        <v>411</v>
      </c>
      <c r="I24" s="292"/>
      <c r="J24" s="292"/>
      <c r="K24" s="292"/>
      <c r="L24" s="292" t="s">
        <v>411</v>
      </c>
      <c r="M24" s="292"/>
      <c r="N24" s="292"/>
      <c r="O24" s="292"/>
      <c r="P24" s="292"/>
      <c r="Q24" s="292" t="s">
        <v>411</v>
      </c>
      <c r="R24" s="292" t="s">
        <v>411</v>
      </c>
      <c r="S24" s="292"/>
      <c r="T24" s="292"/>
      <c r="U24" s="292"/>
      <c r="V24" s="292"/>
      <c r="W24" s="292"/>
      <c r="X24" s="292"/>
      <c r="Y24" s="292"/>
      <c r="Z24" s="63"/>
    </row>
    <row r="25" spans="1:26" s="310" customFormat="1">
      <c r="A25" s="323" t="s">
        <v>905</v>
      </c>
      <c r="B25" s="415" t="str">
        <f t="shared" si="1"/>
        <v>S3-HR</v>
      </c>
      <c r="C25" s="323" t="s">
        <v>1635</v>
      </c>
      <c r="D25" s="323" t="s">
        <v>1422</v>
      </c>
      <c r="E25" s="330" t="str">
        <f t="shared" si="2"/>
        <v>Training Manager function in OU</v>
      </c>
      <c r="F25" s="292"/>
      <c r="G25" s="292"/>
      <c r="H25" s="292"/>
      <c r="I25" s="292"/>
      <c r="J25" s="292"/>
      <c r="K25" s="292"/>
      <c r="L25" s="292"/>
      <c r="M25" s="292"/>
      <c r="N25" s="292" t="s">
        <v>411</v>
      </c>
      <c r="O25" s="292"/>
      <c r="P25" s="292"/>
      <c r="Q25" s="292"/>
      <c r="R25" s="292"/>
      <c r="S25" s="292"/>
      <c r="T25" s="292"/>
      <c r="U25" s="292"/>
      <c r="V25" s="292"/>
      <c r="W25" s="292"/>
      <c r="X25" s="292"/>
      <c r="Y25" s="292"/>
      <c r="Z25" s="63"/>
    </row>
    <row r="26" spans="1:26" s="310" customFormat="1">
      <c r="A26" s="323" t="s">
        <v>906</v>
      </c>
      <c r="B26" s="415" t="str">
        <f t="shared" si="1"/>
        <v>S4-PPQA</v>
      </c>
      <c r="C26" s="323" t="s">
        <v>1636</v>
      </c>
      <c r="D26" s="323" t="s">
        <v>1257</v>
      </c>
      <c r="E26" s="330" t="str">
        <f t="shared" si="2"/>
        <v>Process Assurance Manager function in OU</v>
      </c>
      <c r="F26" s="292"/>
      <c r="G26" s="292"/>
      <c r="H26" s="292"/>
      <c r="I26" s="292"/>
      <c r="J26" s="292"/>
      <c r="K26" s="292"/>
      <c r="L26" s="292"/>
      <c r="M26" s="292"/>
      <c r="N26" s="292"/>
      <c r="O26" s="292"/>
      <c r="P26" s="292"/>
      <c r="Q26" s="292"/>
      <c r="R26" s="292"/>
      <c r="S26" s="292" t="s">
        <v>411</v>
      </c>
      <c r="T26" s="292"/>
      <c r="U26" s="292"/>
      <c r="V26" s="292"/>
      <c r="W26" s="292"/>
      <c r="X26" s="292"/>
      <c r="Y26" s="292"/>
      <c r="Z26" s="63"/>
    </row>
    <row r="27" spans="1:26" s="310" customFormat="1">
      <c r="A27" s="323"/>
      <c r="B27" s="323"/>
      <c r="C27" s="323"/>
      <c r="D27" s="323"/>
      <c r="E27" s="322"/>
      <c r="F27" s="292"/>
      <c r="G27" s="292"/>
      <c r="H27" s="292"/>
      <c r="I27" s="292"/>
      <c r="J27" s="292"/>
      <c r="K27" s="292"/>
      <c r="L27" s="292"/>
      <c r="M27" s="292"/>
      <c r="N27" s="292"/>
      <c r="O27" s="292"/>
      <c r="P27" s="292"/>
      <c r="Q27" s="292"/>
      <c r="R27" s="292"/>
      <c r="S27" s="292"/>
      <c r="T27" s="292"/>
      <c r="U27" s="292"/>
      <c r="V27" s="292"/>
      <c r="W27" s="292"/>
      <c r="X27" s="292"/>
      <c r="Y27" s="292"/>
      <c r="Z27" s="63"/>
    </row>
    <row r="28" spans="1:26">
      <c r="E28" s="307"/>
      <c r="Z28" s="310"/>
    </row>
    <row r="29" spans="1:26">
      <c r="A29" s="310"/>
      <c r="B29" s="310"/>
      <c r="C29" s="310"/>
      <c r="D29" s="310"/>
      <c r="E29" s="307"/>
      <c r="Z29" s="31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tabSelected="1" workbookViewId="0">
      <selection activeCell="S6" sqref="S6"/>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c r="U6" s="61"/>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1</v>
      </c>
      <c r="U14" s="63">
        <f t="shared" si="0"/>
        <v>1</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1388</v>
      </c>
      <c r="F4" s="320" t="s">
        <v>903</v>
      </c>
      <c r="G4" s="320" t="s">
        <v>904</v>
      </c>
      <c r="H4" s="320" t="s">
        <v>1324</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1325</v>
      </c>
      <c r="B6" s="312"/>
      <c r="C6" s="312"/>
      <c r="D6" s="312"/>
      <c r="E6" s="312"/>
      <c r="F6" s="312"/>
      <c r="G6" s="312"/>
      <c r="H6" s="312">
        <v>1</v>
      </c>
      <c r="I6" s="312"/>
      <c r="J6" s="312"/>
      <c r="K6" s="312"/>
      <c r="L6" s="312">
        <v>1</v>
      </c>
    </row>
    <row r="7" spans="1:12">
      <c r="A7" s="309" t="s">
        <v>1385</v>
      </c>
      <c r="B7" s="312">
        <v>5</v>
      </c>
      <c r="C7" s="312"/>
      <c r="D7" s="312"/>
      <c r="E7" s="312"/>
      <c r="F7" s="312"/>
      <c r="G7" s="312"/>
      <c r="H7" s="312"/>
      <c r="I7" s="312"/>
      <c r="J7" s="312"/>
      <c r="K7" s="312"/>
      <c r="L7" s="312">
        <v>5</v>
      </c>
    </row>
    <row r="8" spans="1:12">
      <c r="A8" s="309" t="s">
        <v>1386</v>
      </c>
      <c r="B8" s="312"/>
      <c r="C8" s="312">
        <v>5</v>
      </c>
      <c r="D8" s="312"/>
      <c r="E8" s="312"/>
      <c r="F8" s="312"/>
      <c r="G8" s="312"/>
      <c r="H8" s="312"/>
      <c r="I8" s="312"/>
      <c r="J8" s="312"/>
      <c r="K8" s="312"/>
      <c r="L8" s="312">
        <v>5</v>
      </c>
    </row>
    <row r="9" spans="1:12">
      <c r="A9" s="309" t="s">
        <v>1387</v>
      </c>
      <c r="B9" s="312"/>
      <c r="C9" s="312"/>
      <c r="D9" s="312">
        <v>5</v>
      </c>
      <c r="E9" s="312"/>
      <c r="F9" s="312"/>
      <c r="G9" s="312"/>
      <c r="H9" s="312"/>
      <c r="I9" s="312"/>
      <c r="J9" s="312"/>
      <c r="K9" s="312"/>
      <c r="L9" s="312">
        <v>5</v>
      </c>
    </row>
    <row r="10" spans="1:12">
      <c r="A10" s="309" t="s">
        <v>1389</v>
      </c>
      <c r="B10" s="312"/>
      <c r="C10" s="312"/>
      <c r="D10" s="312"/>
      <c r="E10" s="312">
        <v>5</v>
      </c>
      <c r="F10" s="312"/>
      <c r="G10" s="312"/>
      <c r="H10" s="312"/>
      <c r="I10" s="312"/>
      <c r="J10" s="312"/>
      <c r="K10" s="312"/>
      <c r="L10" s="312">
        <v>5</v>
      </c>
    </row>
    <row r="11" spans="1:12">
      <c r="A11" s="309" t="s">
        <v>1390</v>
      </c>
      <c r="B11" s="312"/>
      <c r="C11" s="312"/>
      <c r="D11" s="312"/>
      <c r="E11" s="312"/>
      <c r="F11" s="312">
        <v>1</v>
      </c>
      <c r="G11" s="312"/>
      <c r="H11" s="312"/>
      <c r="I11" s="312"/>
      <c r="J11" s="312"/>
      <c r="K11" s="312"/>
      <c r="L11" s="312">
        <v>1</v>
      </c>
    </row>
    <row r="12" spans="1:12">
      <c r="A12" s="309" t="s">
        <v>1391</v>
      </c>
      <c r="B12" s="312"/>
      <c r="C12" s="312"/>
      <c r="D12" s="312"/>
      <c r="E12" s="312"/>
      <c r="F12" s="312"/>
      <c r="G12" s="312">
        <v>1</v>
      </c>
      <c r="H12" s="312"/>
      <c r="I12" s="312"/>
      <c r="J12" s="312"/>
      <c r="K12" s="312"/>
      <c r="L12" s="312">
        <v>1</v>
      </c>
    </row>
    <row r="13" spans="1:12">
      <c r="A13" s="309" t="s">
        <v>1392</v>
      </c>
      <c r="B13" s="312"/>
      <c r="C13" s="312"/>
      <c r="D13" s="312"/>
      <c r="E13" s="312"/>
      <c r="F13" s="312"/>
      <c r="G13" s="312"/>
      <c r="H13" s="312"/>
      <c r="I13" s="312">
        <v>1</v>
      </c>
      <c r="J13" s="312"/>
      <c r="K13" s="312"/>
      <c r="L13" s="312">
        <v>1</v>
      </c>
    </row>
    <row r="14" spans="1:12">
      <c r="A14" s="309" t="s">
        <v>1393</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1397</v>
      </c>
      <c r="B5" s="312">
        <v>1</v>
      </c>
    </row>
    <row r="6" spans="1:14">
      <c r="A6" s="309" t="s">
        <v>1398</v>
      </c>
      <c r="B6" s="312">
        <v>1</v>
      </c>
    </row>
    <row r="7" spans="1:14">
      <c r="A7" s="309" t="s">
        <v>1399</v>
      </c>
      <c r="B7" s="312">
        <v>1</v>
      </c>
    </row>
    <row r="8" spans="1:14">
      <c r="A8" s="309" t="s">
        <v>1400</v>
      </c>
      <c r="B8" s="312">
        <v>1</v>
      </c>
    </row>
    <row r="9" spans="1:14">
      <c r="A9" s="309" t="s">
        <v>1401</v>
      </c>
      <c r="B9" s="312">
        <v>1</v>
      </c>
    </row>
    <row r="10" spans="1:14">
      <c r="A10" s="309" t="s">
        <v>1402</v>
      </c>
      <c r="B10" s="312">
        <v>1</v>
      </c>
    </row>
    <row r="11" spans="1:14">
      <c r="A11" s="309" t="s">
        <v>1403</v>
      </c>
      <c r="B11" s="312">
        <v>1</v>
      </c>
    </row>
    <row r="12" spans="1:14">
      <c r="A12" s="309" t="s">
        <v>1404</v>
      </c>
      <c r="B12" s="312">
        <v>1</v>
      </c>
    </row>
    <row r="13" spans="1:14">
      <c r="A13" s="309" t="s">
        <v>1405</v>
      </c>
      <c r="B13" s="312">
        <v>1</v>
      </c>
    </row>
    <row r="14" spans="1:14">
      <c r="A14" s="309" t="s">
        <v>1406</v>
      </c>
      <c r="B14" s="312">
        <v>1</v>
      </c>
    </row>
    <row r="15" spans="1:14">
      <c r="A15" s="309" t="s">
        <v>1407</v>
      </c>
      <c r="B15" s="312">
        <v>1</v>
      </c>
    </row>
    <row r="16" spans="1:14">
      <c r="A16" s="309" t="s">
        <v>1408</v>
      </c>
      <c r="B16" s="312">
        <v>1</v>
      </c>
    </row>
    <row r="17" spans="1:2">
      <c r="A17" s="309" t="s">
        <v>1409</v>
      </c>
      <c r="B17" s="312">
        <v>1</v>
      </c>
    </row>
    <row r="18" spans="1:2">
      <c r="A18" s="309" t="s">
        <v>1410</v>
      </c>
      <c r="B18" s="312">
        <v>1</v>
      </c>
    </row>
    <row r="19" spans="1:2">
      <c r="A19" s="309" t="s">
        <v>1411</v>
      </c>
      <c r="B19" s="312">
        <v>1</v>
      </c>
    </row>
    <row r="20" spans="1:2">
      <c r="A20" s="309" t="s">
        <v>1412</v>
      </c>
      <c r="B20" s="312">
        <v>1</v>
      </c>
    </row>
    <row r="21" spans="1:2">
      <c r="A21" s="309" t="s">
        <v>1413</v>
      </c>
      <c r="B21" s="312">
        <v>1</v>
      </c>
    </row>
    <row r="22" spans="1:2">
      <c r="A22" s="309" t="s">
        <v>1414</v>
      </c>
      <c r="B22" s="312">
        <v>1</v>
      </c>
    </row>
    <row r="23" spans="1:2">
      <c r="A23" s="309" t="s">
        <v>1415</v>
      </c>
      <c r="B23" s="312">
        <v>1</v>
      </c>
    </row>
    <row r="24" spans="1:2">
      <c r="A24" s="309" t="s">
        <v>1416</v>
      </c>
      <c r="B24" s="312">
        <v>1</v>
      </c>
    </row>
    <row r="25" spans="1:2">
      <c r="A25" s="309" t="s">
        <v>1417</v>
      </c>
      <c r="B25" s="312">
        <v>1</v>
      </c>
    </row>
    <row r="26" spans="1:2">
      <c r="A26" s="309" t="s">
        <v>1418</v>
      </c>
      <c r="B26" s="312">
        <v>1</v>
      </c>
    </row>
    <row r="27" spans="1:2">
      <c r="A27" s="309" t="s">
        <v>1419</v>
      </c>
      <c r="B27" s="312">
        <v>1</v>
      </c>
    </row>
    <row r="28" spans="1:2">
      <c r="A28" s="309" t="s">
        <v>1420</v>
      </c>
      <c r="B28" s="312">
        <v>1</v>
      </c>
    </row>
    <row r="29" spans="1:2">
      <c r="A29" s="309" t="s">
        <v>1421</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 workbookViewId="0">
      <selection activeCell="D12" sqref="D12"/>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1676</v>
      </c>
    </row>
    <row r="11" spans="1:3">
      <c r="A11" s="11" t="s">
        <v>823</v>
      </c>
    </row>
    <row r="12" spans="1:3" ht="43.5">
      <c r="A12" s="11" t="s">
        <v>821</v>
      </c>
      <c r="B12" s="11" t="s">
        <v>1198</v>
      </c>
      <c r="C12" s="250" t="s">
        <v>1720</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3"/>
    </row>
    <row r="92" spans="1:36" s="117" customFormat="1">
      <c r="A92" s="117" t="s">
        <v>1114</v>
      </c>
      <c r="B92" s="242"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3"/>
    </row>
    <row r="93" spans="1:36" s="117" customFormat="1">
      <c r="A93" s="117" t="s">
        <v>1114</v>
      </c>
      <c r="B93" s="242"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3"/>
    </row>
    <row r="94" spans="1:36" s="117" customFormat="1">
      <c r="A94" s="117" t="s">
        <v>1114</v>
      </c>
      <c r="B94" s="242"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3"/>
    </row>
    <row r="95" spans="1:36" s="117" customFormat="1">
      <c r="A95" s="117" t="s">
        <v>1114</v>
      </c>
      <c r="B95" s="242"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3"/>
    </row>
    <row r="96" spans="1:36" s="117" customFormat="1">
      <c r="A96" s="117" t="s">
        <v>1114</v>
      </c>
      <c r="B96" s="242"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3"/>
    </row>
    <row r="97" spans="1:27" s="117" customFormat="1">
      <c r="A97" s="117" t="s">
        <v>1114</v>
      </c>
      <c r="B97" s="242"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3"/>
    </row>
    <row r="98" spans="1:27" s="117" customFormat="1">
      <c r="A98" s="117" t="s">
        <v>1114</v>
      </c>
      <c r="B98" s="242"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3"/>
    </row>
    <row r="99" spans="1:27" s="117" customFormat="1">
      <c r="A99" s="117" t="s">
        <v>1114</v>
      </c>
      <c r="B99" s="242"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1429</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1166</v>
      </c>
    </row>
    <row r="147" spans="1:3" ht="15" thickBot="1">
      <c r="A147" s="433"/>
      <c r="B147" s="435"/>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1436</v>
      </c>
    </row>
    <row r="156" spans="1:3">
      <c r="A156" s="28" t="s">
        <v>790</v>
      </c>
      <c r="B156" s="29"/>
      <c r="C156" s="30"/>
    </row>
    <row r="157" spans="1:3" ht="29">
      <c r="A157" s="11" t="s">
        <v>837</v>
      </c>
      <c r="B157" s="11" t="s">
        <v>1435</v>
      </c>
      <c r="C157" s="258"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1492</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H2" sqref="H2:H18"/>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1330</v>
      </c>
      <c r="L1" s="316">
        <f>VALUE(RIGHT(Planning!B10,1))</f>
        <v>5</v>
      </c>
      <c r="M1" s="125" t="s">
        <v>1331</v>
      </c>
    </row>
    <row r="2" spans="1:15" s="125" customFormat="1">
      <c r="A2" s="320" t="s">
        <v>898</v>
      </c>
      <c r="B2" s="320" t="s">
        <v>1602</v>
      </c>
      <c r="C2" s="320" t="s">
        <v>883</v>
      </c>
      <c r="D2" s="320" t="s">
        <v>1615</v>
      </c>
      <c r="E2" s="320" t="s">
        <v>1158</v>
      </c>
      <c r="F2" s="320" t="s">
        <v>898</v>
      </c>
      <c r="G2" s="320" t="s">
        <v>411</v>
      </c>
      <c r="H2" s="125" t="str">
        <f>IF(ISERROR(O2),"[10] TBD",O2)</f>
        <v>[4] Engineering</v>
      </c>
      <c r="I2" s="318">
        <f t="shared" ref="I2" si="0">VLOOKUP(C2,tbl_PAcount,L$1+1,FALSE)</f>
        <v>10</v>
      </c>
      <c r="O2" s="317" t="str">
        <f t="shared" ref="O2:O18" si="1">VLOOKUP(E2,tbl_RolePAlookup,2,FALSE)</f>
        <v>[4] Engineering</v>
      </c>
    </row>
    <row r="3" spans="1:15" s="125" customFormat="1">
      <c r="A3" s="320" t="s">
        <v>898</v>
      </c>
      <c r="B3" s="320" t="s">
        <v>1602</v>
      </c>
      <c r="C3" s="320" t="s">
        <v>884</v>
      </c>
      <c r="D3" s="320" t="s">
        <v>1614</v>
      </c>
      <c r="E3" s="320" t="s">
        <v>913</v>
      </c>
      <c r="F3" s="320" t="s">
        <v>898</v>
      </c>
      <c r="G3" s="320" t="s">
        <v>411</v>
      </c>
      <c r="H3" s="125" t="str">
        <f t="shared" ref="H3:H18" si="2">IF(ISERROR(O3),"[10] TBD",O3)</f>
        <v>[4] Engineering</v>
      </c>
      <c r="I3" s="318">
        <f t="shared" ref="I3:I18" si="3">VLOOKUP(C3,tbl_PAcount,L$1+1,FALSE)</f>
        <v>10</v>
      </c>
      <c r="O3" s="317" t="str">
        <f t="shared" si="1"/>
        <v>[4] Engineering</v>
      </c>
    </row>
    <row r="4" spans="1:15" s="125" customFormat="1">
      <c r="A4" s="320" t="s">
        <v>899</v>
      </c>
      <c r="B4" s="320" t="s">
        <v>1603</v>
      </c>
      <c r="C4" s="320" t="s">
        <v>885</v>
      </c>
      <c r="D4" s="320" t="s">
        <v>1618</v>
      </c>
      <c r="E4" s="320" t="s">
        <v>912</v>
      </c>
      <c r="F4" s="320" t="s">
        <v>899</v>
      </c>
      <c r="G4" s="320" t="s">
        <v>411</v>
      </c>
      <c r="H4" s="125" t="str">
        <f t="shared" si="2"/>
        <v>[4] Engineering</v>
      </c>
      <c r="I4" s="318">
        <f t="shared" si="3"/>
        <v>6</v>
      </c>
      <c r="O4" s="317" t="str">
        <f t="shared" si="1"/>
        <v>[4] Engineering</v>
      </c>
    </row>
    <row r="5" spans="1:15" s="125" customFormat="1">
      <c r="A5" s="320" t="s">
        <v>899</v>
      </c>
      <c r="B5" s="320" t="s">
        <v>1603</v>
      </c>
      <c r="C5" s="320" t="s">
        <v>886</v>
      </c>
      <c r="D5" s="320" t="s">
        <v>1618</v>
      </c>
      <c r="E5" s="320" t="s">
        <v>912</v>
      </c>
      <c r="F5" s="320" t="s">
        <v>899</v>
      </c>
      <c r="G5" s="320" t="s">
        <v>411</v>
      </c>
      <c r="H5" s="125" t="str">
        <f t="shared" si="2"/>
        <v>[4] Engineering</v>
      </c>
      <c r="I5" s="318">
        <f t="shared" si="3"/>
        <v>14</v>
      </c>
      <c r="O5" s="317" t="str">
        <f t="shared" si="1"/>
        <v>[4] Engineering</v>
      </c>
    </row>
    <row r="6" spans="1:15" s="125" customFormat="1">
      <c r="A6" s="320" t="s">
        <v>899</v>
      </c>
      <c r="B6" s="320" t="s">
        <v>1603</v>
      </c>
      <c r="C6" s="320" t="s">
        <v>887</v>
      </c>
      <c r="D6" s="320" t="s">
        <v>1620</v>
      </c>
      <c r="E6" s="320" t="s">
        <v>1158</v>
      </c>
      <c r="F6" s="320" t="s">
        <v>899</v>
      </c>
      <c r="G6" s="320" t="s">
        <v>411</v>
      </c>
      <c r="H6" s="125" t="str">
        <f t="shared" si="2"/>
        <v>[4] Engineering</v>
      </c>
      <c r="I6" s="318">
        <f t="shared" si="3"/>
        <v>7</v>
      </c>
      <c r="O6" s="317" t="str">
        <f t="shared" si="1"/>
        <v>[4] Engineering</v>
      </c>
    </row>
    <row r="7" spans="1:15" s="125" customFormat="1">
      <c r="A7" s="320" t="s">
        <v>900</v>
      </c>
      <c r="B7" s="320" t="s">
        <v>1605</v>
      </c>
      <c r="C7" s="320" t="s">
        <v>892</v>
      </c>
      <c r="D7" s="320" t="s">
        <v>1627</v>
      </c>
      <c r="E7" s="320" t="s">
        <v>1424</v>
      </c>
      <c r="F7" s="320" t="s">
        <v>900</v>
      </c>
      <c r="G7" s="320" t="s">
        <v>411</v>
      </c>
      <c r="H7" s="125" t="str">
        <f t="shared" si="2"/>
        <v>[3] Project Management</v>
      </c>
      <c r="I7" s="318">
        <f t="shared" si="3"/>
        <v>6</v>
      </c>
      <c r="O7" s="317" t="str">
        <f t="shared" si="1"/>
        <v>[3] Project Management</v>
      </c>
    </row>
    <row r="8" spans="1:15" s="125" customFormat="1">
      <c r="A8" s="320" t="s">
        <v>900</v>
      </c>
      <c r="B8" s="320" t="s">
        <v>1605</v>
      </c>
      <c r="C8" s="320" t="s">
        <v>893</v>
      </c>
      <c r="D8" s="320" t="s">
        <v>1627</v>
      </c>
      <c r="E8" s="320" t="s">
        <v>1424</v>
      </c>
      <c r="F8" s="320" t="s">
        <v>900</v>
      </c>
      <c r="G8" s="320" t="s">
        <v>411</v>
      </c>
      <c r="H8" s="125" t="str">
        <f t="shared" si="2"/>
        <v>[3] Project Management</v>
      </c>
      <c r="I8" s="318">
        <f t="shared" si="3"/>
        <v>10</v>
      </c>
      <c r="O8" s="317" t="str">
        <f t="shared" si="1"/>
        <v>[3] Project Management</v>
      </c>
    </row>
    <row r="9" spans="1:15" s="125" customFormat="1">
      <c r="A9" s="320" t="s">
        <v>900</v>
      </c>
      <c r="B9" s="320" t="s">
        <v>1605</v>
      </c>
      <c r="C9" s="320" t="s">
        <v>894</v>
      </c>
      <c r="D9" s="320" t="s">
        <v>1627</v>
      </c>
      <c r="E9" s="320" t="s">
        <v>1424</v>
      </c>
      <c r="F9" s="320" t="s">
        <v>900</v>
      </c>
      <c r="G9" s="320" t="s">
        <v>411</v>
      </c>
      <c r="H9" s="125" t="str">
        <f t="shared" si="2"/>
        <v>[3] Project Management</v>
      </c>
      <c r="I9" s="318">
        <f t="shared" si="3"/>
        <v>15</v>
      </c>
      <c r="O9" s="317" t="str">
        <f t="shared" si="1"/>
        <v>[3] Project Management</v>
      </c>
    </row>
    <row r="10" spans="1:15" s="125" customFormat="1">
      <c r="A10" s="320" t="s">
        <v>901</v>
      </c>
      <c r="B10" s="320" t="s">
        <v>1607</v>
      </c>
      <c r="C10" s="320" t="s">
        <v>891</v>
      </c>
      <c r="D10" s="320" t="s">
        <v>1632</v>
      </c>
      <c r="E10" s="320" t="s">
        <v>1424</v>
      </c>
      <c r="F10" s="320" t="s">
        <v>901</v>
      </c>
      <c r="G10" s="320" t="s">
        <v>411</v>
      </c>
      <c r="H10" s="125" t="str">
        <f t="shared" si="2"/>
        <v>[3] Project Management</v>
      </c>
      <c r="I10" s="318">
        <f t="shared" si="3"/>
        <v>8</v>
      </c>
      <c r="O10" s="317" t="str">
        <f t="shared" si="1"/>
        <v>[3] Project Management</v>
      </c>
    </row>
    <row r="11" spans="1:15" s="125" customFormat="1">
      <c r="A11" s="320" t="s">
        <v>903</v>
      </c>
      <c r="B11" s="320" t="s">
        <v>1390</v>
      </c>
      <c r="C11" s="320" t="s">
        <v>751</v>
      </c>
      <c r="D11" s="320" t="s">
        <v>1633</v>
      </c>
      <c r="E11" s="320" t="s">
        <v>1423</v>
      </c>
      <c r="F11" s="320" t="s">
        <v>903</v>
      </c>
      <c r="G11" s="320" t="s">
        <v>411</v>
      </c>
      <c r="H11" s="125" t="str">
        <f t="shared" si="2"/>
        <v>[5] Configuration Management</v>
      </c>
      <c r="I11" s="318">
        <f t="shared" si="3"/>
        <v>7</v>
      </c>
      <c r="O11" s="317" t="str">
        <f t="shared" si="1"/>
        <v>[5] Configuration Management</v>
      </c>
    </row>
    <row r="12" spans="1:15" s="125" customFormat="1">
      <c r="A12" s="320" t="s">
        <v>904</v>
      </c>
      <c r="B12" s="320" t="s">
        <v>1391</v>
      </c>
      <c r="C12" s="320" t="s">
        <v>895</v>
      </c>
      <c r="D12" s="320" t="s">
        <v>1634</v>
      </c>
      <c r="E12" s="320" t="s">
        <v>1425</v>
      </c>
      <c r="F12" s="320" t="s">
        <v>904</v>
      </c>
      <c r="G12" s="320" t="s">
        <v>411</v>
      </c>
      <c r="H12" s="125" t="str">
        <f t="shared" si="2"/>
        <v>[6] Process Management</v>
      </c>
      <c r="I12" s="318">
        <f t="shared" si="3"/>
        <v>11</v>
      </c>
      <c r="O12" s="317" t="str">
        <f t="shared" si="1"/>
        <v>[6] Process Management</v>
      </c>
    </row>
    <row r="13" spans="1:15">
      <c r="A13" s="320" t="s">
        <v>904</v>
      </c>
      <c r="B13" s="320" t="s">
        <v>1391</v>
      </c>
      <c r="C13" s="320" t="s">
        <v>896</v>
      </c>
      <c r="D13" s="320" t="s">
        <v>1634</v>
      </c>
      <c r="E13" s="320" t="s">
        <v>1425</v>
      </c>
      <c r="F13" s="320" t="s">
        <v>904</v>
      </c>
      <c r="G13" s="320" t="s">
        <v>411</v>
      </c>
      <c r="H13" s="125" t="str">
        <f t="shared" si="2"/>
        <v>[6] Process Management</v>
      </c>
      <c r="I13" s="318">
        <f t="shared" si="3"/>
        <v>8</v>
      </c>
      <c r="O13" s="317" t="str">
        <f t="shared" si="1"/>
        <v>[6] Process Management</v>
      </c>
    </row>
    <row r="14" spans="1:15">
      <c r="A14" s="320" t="s">
        <v>904</v>
      </c>
      <c r="B14" s="320" t="s">
        <v>1391</v>
      </c>
      <c r="C14" s="320" t="s">
        <v>888</v>
      </c>
      <c r="D14" s="320" t="s">
        <v>1634</v>
      </c>
      <c r="E14" s="320" t="s">
        <v>1425</v>
      </c>
      <c r="F14" s="320" t="s">
        <v>904</v>
      </c>
      <c r="G14" s="320" t="s">
        <v>411</v>
      </c>
      <c r="H14" s="125" t="str">
        <f t="shared" si="2"/>
        <v>[6] Process Management</v>
      </c>
      <c r="I14" s="318">
        <f t="shared" si="3"/>
        <v>22</v>
      </c>
      <c r="O14" s="317" t="str">
        <f t="shared" si="1"/>
        <v>[6] Process Management</v>
      </c>
    </row>
    <row r="15" spans="1:15">
      <c r="A15" s="320" t="s">
        <v>904</v>
      </c>
      <c r="B15" s="320" t="s">
        <v>1391</v>
      </c>
      <c r="C15" s="320" t="s">
        <v>889</v>
      </c>
      <c r="D15" s="320" t="s">
        <v>1634</v>
      </c>
      <c r="E15" s="320" t="s">
        <v>1425</v>
      </c>
      <c r="F15" s="320" t="s">
        <v>904</v>
      </c>
      <c r="G15" s="320" t="s">
        <v>411</v>
      </c>
      <c r="H15" s="125" t="str">
        <f t="shared" si="2"/>
        <v>[6] Process Management</v>
      </c>
      <c r="I15" s="318">
        <f t="shared" si="3"/>
        <v>11</v>
      </c>
      <c r="O15" s="317" t="str">
        <f t="shared" si="1"/>
        <v>[6] Process Management</v>
      </c>
    </row>
    <row r="16" spans="1:15">
      <c r="A16" s="320" t="s">
        <v>904</v>
      </c>
      <c r="B16" s="320" t="s">
        <v>1391</v>
      </c>
      <c r="C16" s="320" t="s">
        <v>890</v>
      </c>
      <c r="D16" s="320" t="s">
        <v>1634</v>
      </c>
      <c r="E16" s="320" t="s">
        <v>1425</v>
      </c>
      <c r="F16" s="320" t="s">
        <v>904</v>
      </c>
      <c r="G16" s="320" t="s">
        <v>411</v>
      </c>
      <c r="H16" s="125" t="str">
        <f t="shared" si="2"/>
        <v>[6] Process Management</v>
      </c>
      <c r="I16" s="318">
        <f t="shared" si="3"/>
        <v>11</v>
      </c>
      <c r="O16" s="317" t="str">
        <f t="shared" si="1"/>
        <v>[6] Process Management</v>
      </c>
    </row>
    <row r="17" spans="1:15">
      <c r="A17" s="320" t="s">
        <v>905</v>
      </c>
      <c r="B17" s="320" t="s">
        <v>1392</v>
      </c>
      <c r="C17" s="320" t="s">
        <v>753</v>
      </c>
      <c r="D17" s="320" t="s">
        <v>1635</v>
      </c>
      <c r="E17" s="320" t="s">
        <v>1422</v>
      </c>
      <c r="F17" s="320" t="s">
        <v>905</v>
      </c>
      <c r="G17" s="320" t="s">
        <v>411</v>
      </c>
      <c r="H17" s="125" t="str">
        <f t="shared" si="2"/>
        <v>[7] Organisational Training</v>
      </c>
      <c r="I17" s="318">
        <f t="shared" si="3"/>
        <v>9</v>
      </c>
      <c r="O17" s="317" t="str">
        <f t="shared" si="1"/>
        <v>[7] Organisational Training</v>
      </c>
    </row>
    <row r="18" spans="1:15">
      <c r="A18" s="320" t="s">
        <v>906</v>
      </c>
      <c r="B18" s="320" t="s">
        <v>1393</v>
      </c>
      <c r="C18" s="320" t="s">
        <v>836</v>
      </c>
      <c r="D18" s="320" t="s">
        <v>1636</v>
      </c>
      <c r="E18" s="320" t="s">
        <v>1257</v>
      </c>
      <c r="F18" s="320" t="s">
        <v>906</v>
      </c>
      <c r="G18" s="320" t="s">
        <v>411</v>
      </c>
      <c r="H18" s="125" t="str">
        <f t="shared" si="2"/>
        <v>[8] Process Quality Assurance</v>
      </c>
      <c r="I18" s="318">
        <f t="shared" si="3"/>
        <v>6</v>
      </c>
      <c r="O18" s="317" t="str">
        <f t="shared" si="1"/>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1330</v>
      </c>
      <c r="E1" s="316">
        <f>VALUE(RIGHT(Planning!B10,1))</f>
        <v>5</v>
      </c>
      <c r="F1" s="125" t="s">
        <v>1331</v>
      </c>
    </row>
    <row r="3" spans="1:10" ht="29">
      <c r="A3" s="311" t="s">
        <v>917</v>
      </c>
      <c r="B3" t="s">
        <v>1329</v>
      </c>
      <c r="D3" s="418" t="s">
        <v>1339</v>
      </c>
      <c r="E3" s="418" t="s">
        <v>926</v>
      </c>
      <c r="F3" s="419" t="s">
        <v>911</v>
      </c>
      <c r="G3" s="418" t="s">
        <v>1332</v>
      </c>
      <c r="H3" s="418" t="s">
        <v>1333</v>
      </c>
      <c r="I3" s="418" t="s">
        <v>1334</v>
      </c>
      <c r="J3" s="418" t="s">
        <v>1335</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1212</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68" t="str">
        <f>J11</f>
        <v>Mini team 1:ATM-5 / ATM-6 / ATM-7</v>
      </c>
      <c r="D4" s="68" t="str">
        <f>M11</f>
        <v>Mini team 2: ATM-1 / ATM-2 / ATM-3 / ATM-4</v>
      </c>
      <c r="E4" s="68" t="str">
        <f>CONCATENATE("LA team: ",'Agreement 3'!B7," and ATMs if applicable")</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1"/>
      <c r="D12" s="441"/>
      <c r="E12" s="441"/>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I15" s="135"/>
      <c r="K15" s="139"/>
      <c r="L15" s="135"/>
      <c r="M15" s="136"/>
      <c r="N15" s="67"/>
      <c r="O15" s="67"/>
      <c r="P15" s="67"/>
    </row>
    <row r="16" spans="1:16">
      <c r="A16" s="443" t="str">
        <f>J4</f>
        <v>Day 3</v>
      </c>
      <c r="B16" s="443"/>
      <c r="C16" s="444">
        <f>I4</f>
        <v>44298</v>
      </c>
      <c r="D16" s="444"/>
      <c r="E16" s="444"/>
      <c r="F16" s="443" t="str">
        <f>A16</f>
        <v>Day 3</v>
      </c>
      <c r="G16" s="443"/>
      <c r="H16" s="65"/>
      <c r="I16" s="135"/>
      <c r="K16" s="139"/>
      <c r="L16" s="136"/>
      <c r="M16" s="136"/>
      <c r="N16" s="67"/>
      <c r="O16" s="67"/>
      <c r="P16" s="67"/>
    </row>
    <row r="17" spans="1:18" ht="29">
      <c r="A17" s="443" t="s">
        <v>931</v>
      </c>
      <c r="B17" s="443"/>
      <c r="C17" s="71" t="str">
        <f>C4</f>
        <v>Mini team 1:ATM-5 / ATM-6 / ATM-7</v>
      </c>
      <c r="D17" s="71" t="str">
        <f>D4</f>
        <v>Mini team 2: ATM-1 / ATM-2 / ATM-3 / ATM-4</v>
      </c>
      <c r="E17" s="71"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5" t="s">
        <v>990</v>
      </c>
      <c r="D19" s="446"/>
      <c r="E19" s="44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939</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71" t="str">
        <f>C17</f>
        <v>Mini team 1:ATM-5 / ATM-6 / ATM-7</v>
      </c>
      <c r="D36" s="71" t="str">
        <f>D17</f>
        <v>Mini team 2: ATM-1 / ATM-2 / ATM-3 / ATM-4</v>
      </c>
      <c r="E36" s="71" t="str">
        <f>E17</f>
        <v>LA team: van Zyl, Pieter and ATMs if applicable</v>
      </c>
      <c r="F36" s="443" t="s">
        <v>932</v>
      </c>
      <c r="G36" s="443"/>
      <c r="H36" s="74"/>
    </row>
    <row r="37" spans="1:16" ht="18" customHeight="1">
      <c r="A37" s="70">
        <v>0.41666666666666669</v>
      </c>
      <c r="B37" s="70">
        <v>0.4375</v>
      </c>
      <c r="C37" s="441" t="s">
        <v>939</v>
      </c>
      <c r="D37" s="441"/>
      <c r="E37" s="7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939</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68" t="str">
        <f>C36</f>
        <v>Mini team 1:ATM-5 / ATM-6 / ATM-7</v>
      </c>
      <c r="D55" s="68" t="str">
        <f>D36</f>
        <v>Mini team 2: ATM-1 / ATM-2 / ATM-3 / ATM-4</v>
      </c>
      <c r="E55" s="68" t="str">
        <f>E36</f>
        <v>LA team: van Zyl, Pieter and ATMs if applicable</v>
      </c>
      <c r="F55" s="436" t="s">
        <v>932</v>
      </c>
      <c r="G55" s="436"/>
      <c r="H55" s="74"/>
    </row>
    <row r="56" spans="1:8" ht="18" customHeight="1">
      <c r="A56" s="70">
        <v>0.41666666666666669</v>
      </c>
      <c r="B56" s="70">
        <v>0.4375</v>
      </c>
      <c r="C56" s="441" t="s">
        <v>941</v>
      </c>
      <c r="D56" s="441"/>
      <c r="E56" s="7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41" t="s">
        <v>939</v>
      </c>
      <c r="D71" s="441"/>
      <c r="E71" s="441"/>
      <c r="F71" s="70">
        <v>0.47916666666666669</v>
      </c>
      <c r="G71" s="70">
        <v>0.5</v>
      </c>
      <c r="H71" s="74"/>
    </row>
    <row r="72" spans="1:8" ht="18" customHeight="1">
      <c r="A72" s="70">
        <v>0.75</v>
      </c>
      <c r="B72" s="70">
        <v>0.83333333333333337</v>
      </c>
      <c r="C72" s="441" t="s">
        <v>940</v>
      </c>
      <c r="D72" s="441"/>
      <c r="E72" s="441"/>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68" t="str">
        <f>C55</f>
        <v>Mini team 1:ATM-5 / ATM-6 / ATM-7</v>
      </c>
      <c r="D74" s="68" t="str">
        <f>D55</f>
        <v>Mini team 2: ATM-1 / ATM-2 / ATM-3 / ATM-4</v>
      </c>
      <c r="E74" s="68"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49" t="s">
        <v>942</v>
      </c>
      <c r="D81" s="449"/>
      <c r="E81" s="449"/>
      <c r="F81" s="70">
        <v>0.29166666666666669</v>
      </c>
      <c r="G81" s="70">
        <v>0.3125</v>
      </c>
      <c r="H81" s="74"/>
    </row>
    <row r="82" spans="1:8" ht="18" customHeight="1">
      <c r="A82" s="70">
        <v>0.5625</v>
      </c>
      <c r="B82" s="70">
        <v>0.58333333333333337</v>
      </c>
      <c r="C82" s="449"/>
      <c r="D82" s="449"/>
      <c r="E82" s="449"/>
      <c r="F82" s="70">
        <v>0.3125</v>
      </c>
      <c r="G82" s="70">
        <v>0.33333333333333331</v>
      </c>
      <c r="H82" s="74"/>
    </row>
    <row r="83" spans="1:8" ht="18" customHeight="1">
      <c r="A83" s="70">
        <v>0.58333333333333337</v>
      </c>
      <c r="B83" s="70">
        <v>0.60416666666666663</v>
      </c>
      <c r="C83" s="449"/>
      <c r="D83" s="449"/>
      <c r="E83" s="449"/>
      <c r="F83" s="70">
        <v>0.33333333333333331</v>
      </c>
      <c r="G83" s="70">
        <v>0.35416666666666669</v>
      </c>
      <c r="H83" s="74"/>
    </row>
    <row r="84" spans="1:8" ht="18" customHeight="1">
      <c r="A84" s="70">
        <v>0.60416666666666663</v>
      </c>
      <c r="B84" s="70">
        <v>0.625</v>
      </c>
      <c r="C84" s="449"/>
      <c r="D84" s="449"/>
      <c r="E84" s="449"/>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68" t="str">
        <f>C74</f>
        <v>Mini team 1:ATM-5 / ATM-6 / ATM-7</v>
      </c>
      <c r="D93" s="68" t="str">
        <f>D74</f>
        <v>Mini team 2: ATM-1 / ATM-2 / ATM-3 / ATM-4</v>
      </c>
      <c r="E93" s="68"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1213</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231" t="str">
        <f>'Schedule4-1P'!C4</f>
        <v>Mini team 1:ATM-5 / ATM-6 / ATM-7</v>
      </c>
      <c r="D4" s="231" t="str">
        <f>'Schedule4-1P'!D4</f>
        <v>Mini team 2: ATM-1 / ATM-2 / ATM-3 / ATM-4</v>
      </c>
      <c r="E4" s="231" t="str">
        <f>'Schedule4-1P'!E4</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1"/>
      <c r="D12" s="441"/>
      <c r="E12" s="441"/>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1"/>
      <c r="D13" s="441"/>
      <c r="E13" s="441"/>
      <c r="F13" s="70">
        <v>0.5</v>
      </c>
      <c r="G13" s="70">
        <v>0.54166666666666663</v>
      </c>
      <c r="H13" s="65"/>
      <c r="I13" s="135" t="str">
        <f>'P1PA-SS'!B95</f>
        <v>ATM-5</v>
      </c>
      <c r="K13" s="138"/>
      <c r="L13" s="135"/>
      <c r="M13" s="139"/>
      <c r="N13" s="67"/>
      <c r="O13" s="67"/>
      <c r="P13" s="67"/>
    </row>
    <row r="14" spans="1:16">
      <c r="I14" s="135"/>
      <c r="K14" s="43"/>
      <c r="L14" s="135"/>
      <c r="M14" s="139"/>
    </row>
    <row r="15" spans="1:16">
      <c r="A15" s="442" t="str">
        <f>CONCATENATE("Schedule above includes ",Planning!B28," non-working day(s).")</f>
        <v>Schedule above includes 0 non-working day(s).</v>
      </c>
      <c r="B15" s="442"/>
      <c r="C15" s="442"/>
      <c r="D15" s="442"/>
      <c r="E15" s="442"/>
      <c r="F15" s="442"/>
      <c r="G15" s="442"/>
      <c r="H15" s="65"/>
      <c r="K15" s="139"/>
      <c r="L15" s="136"/>
      <c r="M15" s="136"/>
      <c r="N15" s="67"/>
      <c r="O15" s="67"/>
      <c r="P15" s="67"/>
    </row>
    <row r="16" spans="1:16">
      <c r="A16" s="443" t="str">
        <f>J4</f>
        <v>Day 3</v>
      </c>
      <c r="B16" s="443"/>
      <c r="C16" s="444">
        <f>I4</f>
        <v>44298</v>
      </c>
      <c r="D16" s="444"/>
      <c r="E16" s="444"/>
      <c r="F16" s="443" t="str">
        <f>A16</f>
        <v>Day 3</v>
      </c>
      <c r="G16" s="443"/>
      <c r="H16" s="65"/>
      <c r="K16" s="139"/>
      <c r="L16" s="136"/>
      <c r="M16" s="136"/>
      <c r="N16" s="67"/>
      <c r="O16" s="67"/>
      <c r="P16" s="67"/>
    </row>
    <row r="17" spans="1:18" ht="29">
      <c r="A17" s="443" t="s">
        <v>931</v>
      </c>
      <c r="B17" s="443"/>
      <c r="C17" s="233" t="str">
        <f>C4</f>
        <v>Mini team 1:ATM-5 / ATM-6 / ATM-7</v>
      </c>
      <c r="D17" s="233" t="str">
        <f>D4</f>
        <v>Mini team 2: ATM-1 / ATM-2 / ATM-3 / ATM-4</v>
      </c>
      <c r="E17" s="233"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0" t="s">
        <v>990</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1131</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233" t="str">
        <f>C17</f>
        <v>Mini team 1:ATM-5 / ATM-6 / ATM-7</v>
      </c>
      <c r="D36" s="233" t="str">
        <f>D17</f>
        <v>Mini team 2: ATM-1 / ATM-2 / ATM-3 / ATM-4</v>
      </c>
      <c r="E36" s="233" t="str">
        <f>E17</f>
        <v>LA team: van Zyl, Pieter and ATMs if applicable</v>
      </c>
      <c r="F36" s="443" t="s">
        <v>932</v>
      </c>
      <c r="G36" s="443"/>
      <c r="H36" s="74"/>
    </row>
    <row r="37" spans="1:16" ht="18" customHeight="1">
      <c r="A37" s="70">
        <v>0.41666666666666669</v>
      </c>
      <c r="B37" s="70">
        <v>0.4375</v>
      </c>
      <c r="C37" s="441" t="s">
        <v>939</v>
      </c>
      <c r="D37" s="441"/>
      <c r="E37" s="23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1131</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231" t="str">
        <f>C36</f>
        <v>Mini team 1:ATM-5 / ATM-6 / ATM-7</v>
      </c>
      <c r="D55" s="231" t="str">
        <f>D36</f>
        <v>Mini team 2: ATM-1 / ATM-2 / ATM-3 / ATM-4</v>
      </c>
      <c r="E55" s="231" t="str">
        <f>E36</f>
        <v>LA team: van Zyl, Pieter and ATMs if applicable</v>
      </c>
      <c r="F55" s="436" t="s">
        <v>932</v>
      </c>
      <c r="G55" s="436"/>
      <c r="H55" s="74"/>
    </row>
    <row r="56" spans="1:8" ht="18" customHeight="1">
      <c r="A56" s="70">
        <v>0.41666666666666669</v>
      </c>
      <c r="B56" s="70">
        <v>0.4375</v>
      </c>
      <c r="C56" s="441" t="s">
        <v>941</v>
      </c>
      <c r="D56" s="441"/>
      <c r="E56" s="23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71" t="s">
        <v>1130</v>
      </c>
      <c r="D71" s="472"/>
      <c r="E71" s="473"/>
      <c r="F71" s="70">
        <v>0.47916666666666669</v>
      </c>
      <c r="G71" s="70">
        <v>0.5</v>
      </c>
      <c r="H71" s="74"/>
    </row>
    <row r="72" spans="1:8" ht="18" customHeight="1">
      <c r="A72" s="70">
        <v>0.75</v>
      </c>
      <c r="B72" s="70">
        <v>0.83333333333333337</v>
      </c>
      <c r="C72" s="474"/>
      <c r="D72" s="475"/>
      <c r="E72" s="476"/>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231" t="str">
        <f>C55</f>
        <v>Mini team 1:ATM-5 / ATM-6 / ATM-7</v>
      </c>
      <c r="D74" s="231" t="str">
        <f>D55</f>
        <v>Mini team 2: ATM-1 / ATM-2 / ATM-3 / ATM-4</v>
      </c>
      <c r="E74" s="231"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71" t="s">
        <v>1130</v>
      </c>
      <c r="D81" s="472"/>
      <c r="E81" s="473"/>
      <c r="F81" s="70">
        <v>0.29166666666666669</v>
      </c>
      <c r="G81" s="70">
        <v>0.3125</v>
      </c>
      <c r="H81" s="74"/>
    </row>
    <row r="82" spans="1:8" ht="18" customHeight="1">
      <c r="A82" s="70">
        <v>0.5625</v>
      </c>
      <c r="B82" s="70">
        <v>0.58333333333333337</v>
      </c>
      <c r="C82" s="474"/>
      <c r="D82" s="475"/>
      <c r="E82" s="476"/>
      <c r="F82" s="70">
        <v>0.3125</v>
      </c>
      <c r="G82" s="70">
        <v>0.33333333333333331</v>
      </c>
      <c r="H82" s="74"/>
    </row>
    <row r="83" spans="1:8" ht="18" customHeight="1">
      <c r="A83" s="70">
        <v>0.58333333333333337</v>
      </c>
      <c r="B83" s="70">
        <v>0.60416666666666663</v>
      </c>
      <c r="C83" s="465" t="s">
        <v>942</v>
      </c>
      <c r="D83" s="466"/>
      <c r="E83" s="467"/>
      <c r="F83" s="70">
        <v>0.33333333333333331</v>
      </c>
      <c r="G83" s="70">
        <v>0.35416666666666669</v>
      </c>
      <c r="H83" s="74"/>
    </row>
    <row r="84" spans="1:8" ht="18" customHeight="1">
      <c r="A84" s="70">
        <v>0.60416666666666663</v>
      </c>
      <c r="B84" s="70">
        <v>0.625</v>
      </c>
      <c r="C84" s="468"/>
      <c r="D84" s="469"/>
      <c r="E84" s="470"/>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231" t="str">
        <f>C74</f>
        <v>Mini team 1:ATM-5 / ATM-6 / ATM-7</v>
      </c>
      <c r="D93" s="231" t="str">
        <f>D74</f>
        <v>Mini team 2: ATM-1 / ATM-2 / ATM-3 / ATM-4</v>
      </c>
      <c r="E93" s="231"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3" t="s">
        <v>1511</v>
      </c>
      <c r="B2" s="334">
        <f>Planning!B27</f>
        <v>44296</v>
      </c>
      <c r="C2" s="335">
        <f>B2+1</f>
        <v>44297</v>
      </c>
      <c r="D2" s="335">
        <f t="shared" ref="D2:G2" si="0">C2+1</f>
        <v>44298</v>
      </c>
      <c r="E2" s="335">
        <f t="shared" si="0"/>
        <v>44299</v>
      </c>
      <c r="F2" s="335">
        <f t="shared" si="0"/>
        <v>44300</v>
      </c>
      <c r="G2" s="335">
        <f t="shared" si="0"/>
        <v>44301</v>
      </c>
      <c r="H2" s="336" t="s">
        <v>1512</v>
      </c>
    </row>
    <row r="3" spans="1:8" ht="29">
      <c r="A3" s="337">
        <v>0.41666666666666702</v>
      </c>
      <c r="B3" s="477" t="s">
        <v>1513</v>
      </c>
      <c r="C3" s="338" t="s">
        <v>1514</v>
      </c>
      <c r="D3" s="339" t="s">
        <v>1515</v>
      </c>
      <c r="E3" s="339" t="s">
        <v>1515</v>
      </c>
      <c r="F3" s="478" t="s">
        <v>1516</v>
      </c>
      <c r="G3" s="478" t="s">
        <v>1517</v>
      </c>
      <c r="H3" s="340">
        <f t="shared" ref="H3:H19" si="1">+A3-0.25</f>
        <v>0.16666666666666702</v>
      </c>
    </row>
    <row r="4" spans="1:8">
      <c r="A4" s="337">
        <v>0.4375</v>
      </c>
      <c r="B4" s="477"/>
      <c r="C4" s="341" t="s">
        <v>1518</v>
      </c>
      <c r="D4" s="479" t="s">
        <v>1519</v>
      </c>
      <c r="E4" s="479" t="s">
        <v>1520</v>
      </c>
      <c r="F4" s="478"/>
      <c r="G4" s="478"/>
      <c r="H4" s="340">
        <f t="shared" si="1"/>
        <v>0.1875</v>
      </c>
    </row>
    <row r="5" spans="1:8">
      <c r="A5" s="337">
        <v>0.45833333333333398</v>
      </c>
      <c r="B5" s="480" t="s">
        <v>1521</v>
      </c>
      <c r="C5" s="481" t="s">
        <v>1522</v>
      </c>
      <c r="D5" s="479"/>
      <c r="E5" s="479"/>
      <c r="F5" s="478"/>
      <c r="G5" s="478"/>
      <c r="H5" s="340">
        <f t="shared" si="1"/>
        <v>0.20833333333333398</v>
      </c>
    </row>
    <row r="6" spans="1:8">
      <c r="A6" s="337">
        <v>0.47916666666666702</v>
      </c>
      <c r="B6" s="480"/>
      <c r="C6" s="481"/>
      <c r="D6" s="479"/>
      <c r="E6" s="479"/>
      <c r="F6" s="478"/>
      <c r="G6" s="338" t="s">
        <v>1518</v>
      </c>
      <c r="H6" s="340">
        <f t="shared" si="1"/>
        <v>0.22916666666666702</v>
      </c>
    </row>
    <row r="7" spans="1:8">
      <c r="A7" s="337">
        <v>0.5</v>
      </c>
      <c r="B7" s="480"/>
      <c r="C7" s="479" t="s">
        <v>1523</v>
      </c>
      <c r="D7" s="479"/>
      <c r="E7" s="479"/>
      <c r="F7" s="482" t="s">
        <v>938</v>
      </c>
      <c r="G7" s="482" t="s">
        <v>938</v>
      </c>
      <c r="H7" s="340">
        <f t="shared" si="1"/>
        <v>0.25</v>
      </c>
    </row>
    <row r="8" spans="1:8" ht="29">
      <c r="A8" s="337">
        <v>0.52083333333333404</v>
      </c>
      <c r="B8" s="342" t="s">
        <v>1513</v>
      </c>
      <c r="C8" s="479"/>
      <c r="D8" s="479"/>
      <c r="E8" s="479"/>
      <c r="F8" s="482"/>
      <c r="G8" s="482"/>
      <c r="H8" s="340">
        <f t="shared" si="1"/>
        <v>0.27083333333333404</v>
      </c>
    </row>
    <row r="9" spans="1:8">
      <c r="A9" s="337">
        <v>0.54166666666666696</v>
      </c>
      <c r="B9" s="483" t="s">
        <v>938</v>
      </c>
      <c r="C9" s="482" t="s">
        <v>938</v>
      </c>
      <c r="D9" s="482" t="s">
        <v>938</v>
      </c>
      <c r="E9" s="482" t="s">
        <v>938</v>
      </c>
      <c r="F9" s="338" t="s">
        <v>1518</v>
      </c>
      <c r="G9" s="481" t="s">
        <v>795</v>
      </c>
      <c r="H9" s="340">
        <f t="shared" si="1"/>
        <v>0.29166666666666696</v>
      </c>
    </row>
    <row r="10" spans="1:8">
      <c r="A10" s="337">
        <v>0.5625</v>
      </c>
      <c r="B10" s="483"/>
      <c r="C10" s="482"/>
      <c r="D10" s="482"/>
      <c r="E10" s="482"/>
      <c r="F10" s="481" t="s">
        <v>1524</v>
      </c>
      <c r="G10" s="481"/>
      <c r="H10" s="340">
        <f t="shared" si="1"/>
        <v>0.3125</v>
      </c>
    </row>
    <row r="11" spans="1:8">
      <c r="A11" s="337">
        <v>0.58333333333333304</v>
      </c>
      <c r="B11" s="477" t="s">
        <v>1525</v>
      </c>
      <c r="C11" s="479" t="s">
        <v>1526</v>
      </c>
      <c r="D11" s="479" t="s">
        <v>1527</v>
      </c>
      <c r="E11" s="479" t="s">
        <v>1528</v>
      </c>
      <c r="F11" s="481"/>
      <c r="G11" s="478" t="s">
        <v>1529</v>
      </c>
      <c r="H11" s="340">
        <f t="shared" si="1"/>
        <v>0.33333333333333304</v>
      </c>
    </row>
    <row r="12" spans="1:8">
      <c r="A12" s="337">
        <v>0.60416666666666696</v>
      </c>
      <c r="B12" s="477"/>
      <c r="C12" s="479"/>
      <c r="D12" s="479"/>
      <c r="E12" s="479"/>
      <c r="F12" s="481" t="s">
        <v>1530</v>
      </c>
      <c r="G12" s="478"/>
      <c r="H12" s="340">
        <f t="shared" si="1"/>
        <v>0.35416666666666696</v>
      </c>
    </row>
    <row r="13" spans="1:8">
      <c r="A13" s="337">
        <v>0.625</v>
      </c>
      <c r="B13" s="477"/>
      <c r="C13" s="479"/>
      <c r="D13" s="479" t="s">
        <v>1531</v>
      </c>
      <c r="E13" s="479"/>
      <c r="F13" s="481"/>
      <c r="G13" s="478"/>
      <c r="H13" s="340">
        <f t="shared" si="1"/>
        <v>0.375</v>
      </c>
    </row>
    <row r="14" spans="1:8">
      <c r="A14" s="337">
        <v>0.64583333333333304</v>
      </c>
      <c r="B14" s="477"/>
      <c r="C14" s="479"/>
      <c r="D14" s="479"/>
      <c r="E14" s="479"/>
      <c r="F14" s="478" t="s">
        <v>1517</v>
      </c>
      <c r="G14" s="484" t="s">
        <v>1532</v>
      </c>
      <c r="H14" s="340">
        <f t="shared" si="1"/>
        <v>0.39583333333333304</v>
      </c>
    </row>
    <row r="15" spans="1:8">
      <c r="A15" s="337">
        <v>0.66666666666666696</v>
      </c>
      <c r="B15" s="477"/>
      <c r="C15" s="341" t="s">
        <v>1518</v>
      </c>
      <c r="D15" s="479"/>
      <c r="E15" s="478" t="s">
        <v>1516</v>
      </c>
      <c r="F15" s="478"/>
      <c r="G15" s="484"/>
      <c r="H15" s="340">
        <f t="shared" si="1"/>
        <v>0.41666666666666696</v>
      </c>
    </row>
    <row r="16" spans="1:8">
      <c r="A16" s="337">
        <v>0.6875</v>
      </c>
      <c r="B16" s="477"/>
      <c r="C16" s="479" t="s">
        <v>1533</v>
      </c>
      <c r="D16" s="479" t="s">
        <v>1534</v>
      </c>
      <c r="E16" s="478"/>
      <c r="F16" s="478"/>
      <c r="G16" s="484"/>
      <c r="H16" s="340">
        <f t="shared" si="1"/>
        <v>0.4375</v>
      </c>
    </row>
    <row r="17" spans="1:8">
      <c r="A17" s="337">
        <v>0.70833333333333304</v>
      </c>
      <c r="B17" s="343" t="s">
        <v>1535</v>
      </c>
      <c r="C17" s="479"/>
      <c r="D17" s="479"/>
      <c r="E17" s="478"/>
      <c r="F17" s="478"/>
      <c r="G17" s="484"/>
      <c r="H17" s="340">
        <f t="shared" si="1"/>
        <v>0.45833333333333304</v>
      </c>
    </row>
    <row r="18" spans="1:8">
      <c r="A18" s="337">
        <v>0.72916666666666663</v>
      </c>
      <c r="B18" s="344" t="s">
        <v>1515</v>
      </c>
      <c r="C18" s="339" t="s">
        <v>1515</v>
      </c>
      <c r="D18" s="339" t="s">
        <v>1515</v>
      </c>
      <c r="E18" s="339" t="s">
        <v>1515</v>
      </c>
      <c r="F18" s="339" t="s">
        <v>1515</v>
      </c>
      <c r="G18" s="484"/>
      <c r="H18" s="340">
        <f t="shared" si="1"/>
        <v>0.47916666666666663</v>
      </c>
    </row>
    <row r="19" spans="1:8" ht="15" thickBot="1">
      <c r="A19" s="345">
        <v>0.75</v>
      </c>
      <c r="B19" s="485" t="s">
        <v>940</v>
      </c>
      <c r="C19" s="486"/>
      <c r="D19" s="486"/>
      <c r="E19" s="486"/>
      <c r="F19" s="486"/>
      <c r="G19" s="486"/>
      <c r="H19" s="346">
        <f t="shared" si="1"/>
        <v>0.5</v>
      </c>
    </row>
    <row r="21" spans="1:8" ht="15" thickBot="1">
      <c r="A21" s="8" t="s">
        <v>1536</v>
      </c>
    </row>
    <row r="22" spans="1:8">
      <c r="A22" s="333" t="s">
        <v>1511</v>
      </c>
      <c r="B22" s="334">
        <f>Planning!B27</f>
        <v>44296</v>
      </c>
      <c r="C22" s="334">
        <f>B22+1</f>
        <v>44297</v>
      </c>
      <c r="D22" s="334">
        <f t="shared" ref="D22:F22" si="2">C22+1</f>
        <v>44298</v>
      </c>
      <c r="E22" s="334">
        <f t="shared" si="2"/>
        <v>44299</v>
      </c>
      <c r="F22" s="334">
        <f t="shared" si="2"/>
        <v>44300</v>
      </c>
      <c r="G22" s="334">
        <f>F22+1</f>
        <v>44301</v>
      </c>
      <c r="H22" s="336" t="s">
        <v>1512</v>
      </c>
    </row>
    <row r="23" spans="1:8" ht="29">
      <c r="A23" s="337">
        <v>0.41666666666666702</v>
      </c>
      <c r="B23" s="477" t="s">
        <v>1513</v>
      </c>
      <c r="C23" s="338" t="s">
        <v>1514</v>
      </c>
      <c r="D23" s="339" t="s">
        <v>1515</v>
      </c>
      <c r="E23" s="339" t="s">
        <v>1515</v>
      </c>
      <c r="F23" s="487" t="s">
        <v>1516</v>
      </c>
      <c r="G23" s="487" t="s">
        <v>1517</v>
      </c>
      <c r="H23" s="340">
        <f t="shared" ref="H23:H39" si="3">+A23-0.25</f>
        <v>0.16666666666666702</v>
      </c>
    </row>
    <row r="24" spans="1:8">
      <c r="A24" s="337">
        <v>0.4375</v>
      </c>
      <c r="B24" s="477"/>
      <c r="C24" s="341" t="s">
        <v>1518</v>
      </c>
      <c r="D24" s="479" t="s">
        <v>1519</v>
      </c>
      <c r="E24" s="479" t="s">
        <v>1520</v>
      </c>
      <c r="F24" s="488"/>
      <c r="G24" s="488"/>
      <c r="H24" s="340">
        <f t="shared" si="3"/>
        <v>0.1875</v>
      </c>
    </row>
    <row r="25" spans="1:8">
      <c r="A25" s="337">
        <v>0.45833333333333398</v>
      </c>
      <c r="B25" s="480" t="s">
        <v>1521</v>
      </c>
      <c r="C25" s="481" t="s">
        <v>1522</v>
      </c>
      <c r="D25" s="479"/>
      <c r="E25" s="479"/>
      <c r="F25" s="488"/>
      <c r="G25" s="488"/>
      <c r="H25" s="340">
        <f t="shared" si="3"/>
        <v>0.20833333333333398</v>
      </c>
    </row>
    <row r="26" spans="1:8">
      <c r="A26" s="337">
        <v>0.47916666666666702</v>
      </c>
      <c r="B26" s="480"/>
      <c r="C26" s="481"/>
      <c r="D26" s="479"/>
      <c r="E26" s="479"/>
      <c r="F26" s="488"/>
      <c r="G26" s="488"/>
      <c r="H26" s="340">
        <f t="shared" si="3"/>
        <v>0.22916666666666702</v>
      </c>
    </row>
    <row r="27" spans="1:8">
      <c r="A27" s="337">
        <v>0.5</v>
      </c>
      <c r="B27" s="480"/>
      <c r="C27" s="479" t="s">
        <v>1523</v>
      </c>
      <c r="D27" s="479"/>
      <c r="E27" s="479"/>
      <c r="F27" s="488"/>
      <c r="G27" s="488"/>
      <c r="H27" s="340">
        <f t="shared" si="3"/>
        <v>0.25</v>
      </c>
    </row>
    <row r="28" spans="1:8" ht="29">
      <c r="A28" s="337">
        <v>0.52083333333333404</v>
      </c>
      <c r="B28" s="342" t="s">
        <v>1513</v>
      </c>
      <c r="C28" s="479"/>
      <c r="D28" s="479"/>
      <c r="E28" s="479"/>
      <c r="F28" s="489"/>
      <c r="G28" s="489"/>
      <c r="H28" s="340">
        <f t="shared" si="3"/>
        <v>0.27083333333333404</v>
      </c>
    </row>
    <row r="29" spans="1:8">
      <c r="A29" s="337">
        <v>0.54166666666666696</v>
      </c>
      <c r="B29" s="483" t="s">
        <v>938</v>
      </c>
      <c r="C29" s="482" t="s">
        <v>938</v>
      </c>
      <c r="D29" s="482" t="s">
        <v>938</v>
      </c>
      <c r="E29" s="482" t="s">
        <v>938</v>
      </c>
      <c r="F29" s="482" t="s">
        <v>938</v>
      </c>
      <c r="G29" s="482" t="s">
        <v>938</v>
      </c>
      <c r="H29" s="340">
        <f t="shared" si="3"/>
        <v>0.29166666666666696</v>
      </c>
    </row>
    <row r="30" spans="1:8">
      <c r="A30" s="337">
        <v>0.5625</v>
      </c>
      <c r="B30" s="483"/>
      <c r="C30" s="482"/>
      <c r="D30" s="482"/>
      <c r="E30" s="482"/>
      <c r="F30" s="482"/>
      <c r="G30" s="482"/>
      <c r="H30" s="340">
        <f t="shared" si="3"/>
        <v>0.3125</v>
      </c>
    </row>
    <row r="31" spans="1:8">
      <c r="A31" s="337">
        <v>0.58333333333333304</v>
      </c>
      <c r="B31" s="487" t="s">
        <v>1525</v>
      </c>
      <c r="C31" s="479" t="s">
        <v>1526</v>
      </c>
      <c r="D31" s="479" t="s">
        <v>1527</v>
      </c>
      <c r="E31" s="479" t="s">
        <v>1528</v>
      </c>
      <c r="F31" s="339" t="s">
        <v>1518</v>
      </c>
      <c r="G31" s="339" t="s">
        <v>1518</v>
      </c>
      <c r="H31" s="340">
        <f t="shared" si="3"/>
        <v>0.33333333333333304</v>
      </c>
    </row>
    <row r="32" spans="1:8">
      <c r="A32" s="337">
        <v>0.60416666666666696</v>
      </c>
      <c r="B32" s="488"/>
      <c r="C32" s="479"/>
      <c r="D32" s="479"/>
      <c r="E32" s="479"/>
      <c r="F32" s="481" t="s">
        <v>1524</v>
      </c>
      <c r="G32" s="481" t="s">
        <v>795</v>
      </c>
      <c r="H32" s="340">
        <f t="shared" si="3"/>
        <v>0.35416666666666696</v>
      </c>
    </row>
    <row r="33" spans="1:8">
      <c r="A33" s="337">
        <v>0.625</v>
      </c>
      <c r="B33" s="488"/>
      <c r="C33" s="479"/>
      <c r="D33" s="479" t="s">
        <v>1531</v>
      </c>
      <c r="E33" s="479"/>
      <c r="F33" s="481"/>
      <c r="G33" s="481"/>
      <c r="H33" s="340">
        <f t="shared" si="3"/>
        <v>0.375</v>
      </c>
    </row>
    <row r="34" spans="1:8">
      <c r="A34" s="337">
        <v>0.64583333333333304</v>
      </c>
      <c r="B34" s="488"/>
      <c r="C34" s="479"/>
      <c r="D34" s="479"/>
      <c r="E34" s="479"/>
      <c r="F34" s="481" t="s">
        <v>1530</v>
      </c>
      <c r="G34" s="490" t="s">
        <v>1537</v>
      </c>
      <c r="H34" s="340">
        <f t="shared" si="3"/>
        <v>0.39583333333333304</v>
      </c>
    </row>
    <row r="35" spans="1:8">
      <c r="A35" s="337">
        <v>0.66666666666666696</v>
      </c>
      <c r="B35" s="489"/>
      <c r="C35" s="341" t="s">
        <v>1518</v>
      </c>
      <c r="D35" s="479"/>
      <c r="E35" s="478" t="s">
        <v>1516</v>
      </c>
      <c r="F35" s="481"/>
      <c r="G35" s="491"/>
      <c r="H35" s="340">
        <f t="shared" si="3"/>
        <v>0.41666666666666696</v>
      </c>
    </row>
    <row r="36" spans="1:8">
      <c r="A36" s="337">
        <v>0.6875</v>
      </c>
      <c r="B36" s="347" t="s">
        <v>1538</v>
      </c>
      <c r="C36" s="479" t="s">
        <v>1533</v>
      </c>
      <c r="D36" s="479" t="s">
        <v>1534</v>
      </c>
      <c r="E36" s="478"/>
      <c r="F36" s="487" t="s">
        <v>1517</v>
      </c>
      <c r="G36" s="490" t="s">
        <v>1539</v>
      </c>
      <c r="H36" s="340">
        <f t="shared" si="3"/>
        <v>0.4375</v>
      </c>
    </row>
    <row r="37" spans="1:8">
      <c r="A37" s="337">
        <v>0.70833333333333304</v>
      </c>
      <c r="B37" s="343" t="s">
        <v>1535</v>
      </c>
      <c r="C37" s="479"/>
      <c r="D37" s="479"/>
      <c r="E37" s="478"/>
      <c r="F37" s="489"/>
      <c r="G37" s="491"/>
      <c r="H37" s="340">
        <f t="shared" si="3"/>
        <v>0.45833333333333304</v>
      </c>
    </row>
    <row r="38" spans="1:8">
      <c r="A38" s="337">
        <v>0.72916666666666663</v>
      </c>
      <c r="B38" s="344" t="s">
        <v>1515</v>
      </c>
      <c r="C38" s="339" t="s">
        <v>1515</v>
      </c>
      <c r="D38" s="339" t="s">
        <v>1515</v>
      </c>
      <c r="E38" s="339" t="s">
        <v>1515</v>
      </c>
      <c r="F38" s="339" t="s">
        <v>1515</v>
      </c>
      <c r="G38" s="492"/>
      <c r="H38" s="340">
        <f t="shared" si="3"/>
        <v>0.47916666666666663</v>
      </c>
    </row>
    <row r="39" spans="1:8" ht="15" thickBot="1">
      <c r="A39" s="345">
        <v>0.75</v>
      </c>
      <c r="B39" s="485" t="s">
        <v>940</v>
      </c>
      <c r="C39" s="486"/>
      <c r="D39" s="486"/>
      <c r="E39" s="486"/>
      <c r="F39" s="486"/>
      <c r="G39" s="486"/>
      <c r="H39" s="346">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2" t="s">
        <v>411</v>
      </c>
      <c r="S5" s="422"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2" t="s">
        <v>411</v>
      </c>
    </row>
    <row r="7" spans="1:24">
      <c r="A7" s="129" t="str">
        <f>'P1PA-SS'!A93</f>
        <v>Appraisal team member</v>
      </c>
      <c r="B7" s="131" t="str">
        <f>'P1PA-SS'!B93</f>
        <v>ATM-3</v>
      </c>
      <c r="C7" s="129" t="str">
        <f>'P1PA-SS'!V93</f>
        <v>atm3.email@gmail.com</v>
      </c>
      <c r="D7" s="128">
        <f t="shared" si="1"/>
        <v>3</v>
      </c>
      <c r="H7" s="422" t="s">
        <v>411</v>
      </c>
      <c r="T7" s="422" t="s">
        <v>411</v>
      </c>
      <c r="U7" s="422" t="s">
        <v>411</v>
      </c>
    </row>
    <row r="8" spans="1:24" s="129" customFormat="1">
      <c r="A8" s="129" t="str">
        <f>'P1PA-SS'!A94</f>
        <v>Appraisal team member</v>
      </c>
      <c r="B8" s="131" t="str">
        <f>'P1PA-SS'!B94</f>
        <v>ATM-4</v>
      </c>
      <c r="C8" s="129" t="str">
        <f>'P1PA-SS'!V94</f>
        <v>atm4.email@gmail.com</v>
      </c>
      <c r="D8" s="128">
        <f t="shared" si="1"/>
        <v>5</v>
      </c>
      <c r="E8" s="422" t="s">
        <v>411</v>
      </c>
      <c r="F8" s="422" t="s">
        <v>411</v>
      </c>
      <c r="G8" s="128"/>
      <c r="H8" s="128"/>
      <c r="I8" s="422" t="s">
        <v>411</v>
      </c>
      <c r="J8" s="128"/>
      <c r="K8" s="128"/>
      <c r="L8" s="128"/>
      <c r="M8" s="128"/>
      <c r="N8" s="422" t="s">
        <v>411</v>
      </c>
      <c r="O8" s="422"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2" t="s">
        <v>411</v>
      </c>
      <c r="M9" s="422" t="s">
        <v>411</v>
      </c>
      <c r="N9" s="128"/>
      <c r="O9" s="128"/>
      <c r="P9" s="422" t="s">
        <v>411</v>
      </c>
      <c r="Q9" s="422" t="s">
        <v>411</v>
      </c>
      <c r="R9" s="422"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2" t="s">
        <v>411</v>
      </c>
      <c r="M10" s="422" t="s">
        <v>411</v>
      </c>
      <c r="N10" s="128"/>
      <c r="O10" s="128"/>
      <c r="P10" s="422" t="s">
        <v>411</v>
      </c>
      <c r="Q10" s="422" t="s">
        <v>411</v>
      </c>
      <c r="R10" s="422"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2" t="s">
        <v>411</v>
      </c>
      <c r="M11" s="422" t="s">
        <v>411</v>
      </c>
      <c r="N11" s="128"/>
      <c r="O11" s="128"/>
      <c r="P11" s="422" t="s">
        <v>411</v>
      </c>
      <c r="Q11" s="422" t="s">
        <v>411</v>
      </c>
      <c r="R11" s="422"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2"/>
      <c r="M12" s="422"/>
      <c r="N12" s="128"/>
      <c r="O12" s="128"/>
      <c r="P12" s="422"/>
      <c r="Q12" s="422"/>
      <c r="R12" s="422"/>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2"/>
      <c r="M13" s="422"/>
      <c r="N13" s="128"/>
      <c r="O13" s="128"/>
      <c r="P13" s="422"/>
      <c r="Q13" s="422"/>
      <c r="R13" s="422"/>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1716</v>
      </c>
    </row>
    <row r="22" spans="1:24">
      <c r="C22" s="422" t="s">
        <v>1717</v>
      </c>
    </row>
    <row r="23" spans="1:24">
      <c r="C23" s="149" t="s">
        <v>1718</v>
      </c>
    </row>
    <row r="24" spans="1:24">
      <c r="C24" s="284"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1" t="s">
        <v>1481</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1459</v>
      </c>
      <c r="B7" s="64">
        <v>6</v>
      </c>
      <c r="C7" s="331" t="str">
        <f t="shared" si="0"/>
        <v>Engineers (6)</v>
      </c>
    </row>
    <row r="8" spans="1:22">
      <c r="A8" s="125" t="s">
        <v>1478</v>
      </c>
      <c r="B8" s="64">
        <v>1</v>
      </c>
      <c r="C8" s="331" t="str">
        <f t="shared" si="0"/>
        <v>EPG (1)</v>
      </c>
    </row>
    <row r="9" spans="1:22">
      <c r="A9" s="125" t="s">
        <v>753</v>
      </c>
      <c r="B9" s="64">
        <v>1</v>
      </c>
      <c r="C9" s="331" t="str">
        <f t="shared" si="0"/>
        <v>OT (1)</v>
      </c>
    </row>
    <row r="10" spans="1:22">
      <c r="A10" s="125" t="s">
        <v>1483</v>
      </c>
      <c r="B10" s="64">
        <v>1</v>
      </c>
      <c r="C10" s="331" t="str">
        <f t="shared" si="0"/>
        <v>OUC (1)</v>
      </c>
    </row>
    <row r="11" spans="1:22">
      <c r="A11" s="125" t="s">
        <v>1466</v>
      </c>
      <c r="B11" s="64">
        <v>2</v>
      </c>
      <c r="C11" s="331" t="str">
        <f t="shared" si="0"/>
        <v>PMs (2)</v>
      </c>
    </row>
    <row r="12" spans="1:22">
      <c r="A12" s="125" t="s">
        <v>752</v>
      </c>
      <c r="B12" s="64">
        <v>1</v>
      </c>
      <c r="C12" s="331" t="str">
        <f t="shared" si="0"/>
        <v>PPQA (1)</v>
      </c>
    </row>
    <row r="13" spans="1:22">
      <c r="A13" s="125" t="s">
        <v>1482</v>
      </c>
      <c r="B13" s="64">
        <v>2</v>
      </c>
      <c r="C13" s="331" t="str">
        <f t="shared" si="0"/>
        <v>SM (2)</v>
      </c>
    </row>
    <row r="14" spans="1:22">
      <c r="A14" s="125" t="s">
        <v>593</v>
      </c>
      <c r="B14" s="64">
        <v>1</v>
      </c>
      <c r="C14" s="331" t="str">
        <f t="shared" si="0"/>
        <v>Sponsor (1)</v>
      </c>
    </row>
    <row r="15" spans="1:22">
      <c r="A15" s="125" t="s">
        <v>1484</v>
      </c>
      <c r="B15" s="64">
        <v>1</v>
      </c>
      <c r="C15" s="331" t="str">
        <f t="shared" si="0"/>
        <v>RI (1)</v>
      </c>
    </row>
    <row r="16" spans="1:22">
      <c r="A16" s="125" t="s">
        <v>1485</v>
      </c>
      <c r="B16" s="64">
        <f>B7+B6</f>
        <v>7</v>
      </c>
      <c r="C16" s="331" t="str">
        <f t="shared" si="0"/>
        <v>ParticipantsPrelim1 (7)</v>
      </c>
    </row>
    <row r="17" spans="1:22">
      <c r="A17" s="125" t="s">
        <v>1486</v>
      </c>
      <c r="B17" s="64">
        <f>B8+B9+B11+B12</f>
        <v>5</v>
      </c>
      <c r="C17" s="331" t="str">
        <f t="shared" si="0"/>
        <v>ParticipantsPrelim2 (5)</v>
      </c>
    </row>
    <row r="18" spans="1:22">
      <c r="A18" s="125" t="s">
        <v>1489</v>
      </c>
      <c r="B18" s="64">
        <v>5</v>
      </c>
      <c r="C18" s="331" t="str">
        <f t="shared" si="0"/>
        <v>ParticipantsTechTest (5)</v>
      </c>
    </row>
    <row r="19" spans="1:22">
      <c r="A19" s="125" t="s">
        <v>1487</v>
      </c>
      <c r="B19" s="64">
        <f>B13+B12+B11+B10+B9+B7+B6+B5</f>
        <v>18</v>
      </c>
      <c r="C19" s="331" t="str">
        <f t="shared" si="0"/>
        <v>ParticipantsOpen (18)</v>
      </c>
    </row>
    <row r="20" spans="1:22">
      <c r="A20" s="125" t="s">
        <v>1488</v>
      </c>
      <c r="B20" s="64">
        <f>B14+B13+B12+B11+B10+B8+B7+B6</f>
        <v>15</v>
      </c>
      <c r="C20" s="331" t="str">
        <f t="shared" si="0"/>
        <v>ParticipantsFinal (15)</v>
      </c>
    </row>
    <row r="21" spans="1:22" s="238" customFormat="1">
      <c r="B21" s="332"/>
      <c r="C21" s="332"/>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3" t="s">
        <v>1345</v>
      </c>
      <c r="D1" t="s">
        <v>1362</v>
      </c>
      <c r="E1" t="s">
        <v>1363</v>
      </c>
      <c r="F1" s="283" t="s">
        <v>1348</v>
      </c>
      <c r="G1" s="283"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3" t="s">
        <v>1345</v>
      </c>
      <c r="D1" t="s">
        <v>1346</v>
      </c>
      <c r="E1" t="s">
        <v>1347</v>
      </c>
      <c r="F1" s="283" t="s">
        <v>1348</v>
      </c>
      <c r="G1" s="283" t="s">
        <v>1349</v>
      </c>
      <c r="H1" t="s">
        <v>1350</v>
      </c>
      <c r="I1" s="283" t="s">
        <v>1351</v>
      </c>
      <c r="J1" s="283" t="s">
        <v>1352</v>
      </c>
      <c r="K1" s="283" t="s">
        <v>1353</v>
      </c>
      <c r="L1" s="283" t="s">
        <v>1354</v>
      </c>
      <c r="M1" t="s">
        <v>1355</v>
      </c>
      <c r="N1" s="283"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4">
        <v>44021</v>
      </c>
      <c r="L2" s="324">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4">
        <v>44086</v>
      </c>
      <c r="L3" s="324">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4">
        <v>44062</v>
      </c>
      <c r="L4" s="324">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4">
        <v>44116</v>
      </c>
      <c r="L5" s="324">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506" t="s">
        <v>1089</v>
      </c>
      <c r="C2" s="506" t="s">
        <v>1090</v>
      </c>
      <c r="D2" s="497" t="s">
        <v>1091</v>
      </c>
      <c r="E2" s="499"/>
      <c r="F2" s="500" t="s">
        <v>1092</v>
      </c>
      <c r="G2" s="502"/>
      <c r="H2" s="497" t="s">
        <v>1093</v>
      </c>
      <c r="I2" s="498"/>
      <c r="J2" s="498"/>
      <c r="K2" s="499"/>
      <c r="L2" s="500" t="s">
        <v>1094</v>
      </c>
      <c r="M2" s="501"/>
      <c r="N2" s="502"/>
      <c r="O2" s="210" t="s">
        <v>1095</v>
      </c>
      <c r="P2" s="211" t="s">
        <v>1096</v>
      </c>
      <c r="Q2" s="497" t="s">
        <v>1097</v>
      </c>
      <c r="R2" s="498"/>
      <c r="S2" s="499"/>
      <c r="T2" s="500" t="s">
        <v>1098</v>
      </c>
      <c r="U2" s="501"/>
      <c r="V2" s="502"/>
      <c r="W2" s="207" t="s">
        <v>1099</v>
      </c>
    </row>
    <row r="3" spans="2:28" ht="15.5">
      <c r="B3" s="507"/>
      <c r="C3" s="507"/>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3" t="s">
        <v>1100</v>
      </c>
      <c r="C5" s="214"/>
      <c r="D5" s="288" t="s">
        <v>1104</v>
      </c>
      <c r="E5" s="288" t="s">
        <v>1104</v>
      </c>
      <c r="F5" s="288" t="s">
        <v>1104</v>
      </c>
      <c r="G5" s="288" t="s">
        <v>1104</v>
      </c>
      <c r="H5" s="288" t="s">
        <v>1104</v>
      </c>
      <c r="I5" s="288" t="s">
        <v>1104</v>
      </c>
      <c r="J5" s="288" t="s">
        <v>1104</v>
      </c>
      <c r="K5" s="288" t="s">
        <v>1104</v>
      </c>
      <c r="L5" s="288" t="s">
        <v>1104</v>
      </c>
      <c r="M5" s="288" t="s">
        <v>1104</v>
      </c>
      <c r="N5" s="288" t="s">
        <v>1104</v>
      </c>
      <c r="O5" s="288" t="s">
        <v>1104</v>
      </c>
      <c r="P5" s="288" t="s">
        <v>1104</v>
      </c>
      <c r="Q5" s="288" t="s">
        <v>1104</v>
      </c>
      <c r="R5" s="288" t="s">
        <v>1104</v>
      </c>
      <c r="S5" s="288" t="s">
        <v>1104</v>
      </c>
      <c r="T5" s="288" t="s">
        <v>1104</v>
      </c>
      <c r="U5" s="288" t="s">
        <v>1104</v>
      </c>
      <c r="V5" s="288" t="s">
        <v>1104</v>
      </c>
      <c r="W5" s="197" t="s">
        <v>1105</v>
      </c>
    </row>
    <row r="6" spans="2:28" ht="15.5">
      <c r="B6" s="504"/>
      <c r="C6" s="286">
        <v>1.1000000000000001</v>
      </c>
      <c r="D6" s="289" t="s">
        <v>1101</v>
      </c>
      <c r="E6" s="289" t="s">
        <v>1101</v>
      </c>
      <c r="F6" s="289" t="s">
        <v>1101</v>
      </c>
      <c r="G6" s="289" t="s">
        <v>1101</v>
      </c>
      <c r="H6" s="289" t="s">
        <v>1101</v>
      </c>
      <c r="I6" s="289" t="s">
        <v>1101</v>
      </c>
      <c r="J6" s="289" t="s">
        <v>1101</v>
      </c>
      <c r="K6" s="289" t="s">
        <v>1101</v>
      </c>
      <c r="L6" s="289" t="s">
        <v>1101</v>
      </c>
      <c r="M6" s="289" t="s">
        <v>1101</v>
      </c>
      <c r="N6" s="289" t="s">
        <v>1101</v>
      </c>
      <c r="O6" s="289" t="s">
        <v>1101</v>
      </c>
      <c r="P6" s="289" t="s">
        <v>1101</v>
      </c>
      <c r="Q6" s="289" t="s">
        <v>1102</v>
      </c>
      <c r="R6" s="289" t="s">
        <v>1101</v>
      </c>
      <c r="S6" s="289" t="s">
        <v>1101</v>
      </c>
      <c r="T6" s="289" t="s">
        <v>1101</v>
      </c>
      <c r="U6" s="289" t="s">
        <v>1101</v>
      </c>
      <c r="V6" s="289" t="s">
        <v>1101</v>
      </c>
      <c r="W6" s="197" t="s">
        <v>1103</v>
      </c>
      <c r="Z6" s="196" t="s">
        <v>1101</v>
      </c>
      <c r="AB6" s="196" t="s">
        <v>1104</v>
      </c>
    </row>
    <row r="7" spans="2:28" ht="15.5">
      <c r="B7" s="504"/>
      <c r="C7" s="286">
        <v>1.2</v>
      </c>
      <c r="D7" s="289"/>
      <c r="E7" s="289"/>
      <c r="F7" s="289"/>
      <c r="G7" s="289"/>
      <c r="H7" s="289"/>
      <c r="I7" s="289" t="s">
        <v>1101</v>
      </c>
      <c r="J7" s="289"/>
      <c r="K7" s="289"/>
      <c r="L7" s="289" t="s">
        <v>1101</v>
      </c>
      <c r="M7" s="289"/>
      <c r="N7" s="289" t="s">
        <v>1101</v>
      </c>
      <c r="O7" s="289"/>
      <c r="P7" s="289"/>
      <c r="Q7" s="289" t="s">
        <v>1101</v>
      </c>
      <c r="R7" s="289" t="s">
        <v>1101</v>
      </c>
      <c r="S7" s="289"/>
      <c r="T7" s="289" t="s">
        <v>1219</v>
      </c>
      <c r="U7" s="289" t="s">
        <v>1101</v>
      </c>
      <c r="V7" s="289" t="s">
        <v>1219</v>
      </c>
      <c r="W7" s="197" t="s">
        <v>914</v>
      </c>
      <c r="Z7" s="196" t="s">
        <v>1102</v>
      </c>
      <c r="AB7" s="196" t="s">
        <v>1105</v>
      </c>
    </row>
    <row r="8" spans="2:28" ht="15.5">
      <c r="B8" s="504"/>
      <c r="C8" s="286">
        <v>1.3</v>
      </c>
      <c r="D8" s="289"/>
      <c r="E8" s="289"/>
      <c r="F8" s="289"/>
      <c r="G8" s="289"/>
      <c r="H8" s="289"/>
      <c r="I8" s="289"/>
      <c r="J8" s="289"/>
      <c r="K8" s="289"/>
      <c r="L8" s="289" t="s">
        <v>1101</v>
      </c>
      <c r="M8" s="289"/>
      <c r="N8" s="289"/>
      <c r="O8" s="289"/>
      <c r="P8" s="289"/>
      <c r="Q8" s="289"/>
      <c r="R8" s="289"/>
      <c r="S8" s="289"/>
      <c r="T8" s="289"/>
      <c r="U8" s="289"/>
      <c r="V8" s="289"/>
      <c r="W8" s="197" t="s">
        <v>1102</v>
      </c>
      <c r="Z8" s="196" t="s">
        <v>914</v>
      </c>
    </row>
    <row r="9" spans="2:28" ht="15.5">
      <c r="B9" s="505"/>
      <c r="C9" s="286">
        <v>1.4</v>
      </c>
      <c r="D9" s="289"/>
      <c r="E9" s="289"/>
      <c r="F9" s="289" t="s">
        <v>1219</v>
      </c>
      <c r="G9" s="289" t="s">
        <v>1219</v>
      </c>
      <c r="H9" s="289" t="s">
        <v>1219</v>
      </c>
      <c r="I9" s="289" t="s">
        <v>1219</v>
      </c>
      <c r="J9" s="289" t="s">
        <v>1219</v>
      </c>
      <c r="K9" s="289" t="s">
        <v>1219</v>
      </c>
      <c r="L9" s="289"/>
      <c r="M9" s="289" t="s">
        <v>1219</v>
      </c>
      <c r="N9" s="289" t="s">
        <v>1219</v>
      </c>
      <c r="O9" s="289" t="s">
        <v>1219</v>
      </c>
      <c r="P9" s="289" t="s">
        <v>1219</v>
      </c>
      <c r="Q9" s="289" t="s">
        <v>1219</v>
      </c>
      <c r="R9" s="289" t="s">
        <v>1219</v>
      </c>
      <c r="S9" s="289" t="s">
        <v>1219</v>
      </c>
      <c r="T9" s="289" t="s">
        <v>1219</v>
      </c>
      <c r="U9" s="289" t="s">
        <v>1219</v>
      </c>
      <c r="V9" s="289"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503" t="s">
        <v>1106</v>
      </c>
      <c r="C11" s="214"/>
      <c r="D11" s="287" t="s">
        <v>1104</v>
      </c>
      <c r="E11" s="287" t="s">
        <v>1104</v>
      </c>
      <c r="F11" s="287" t="s">
        <v>1104</v>
      </c>
      <c r="G11" s="287" t="s">
        <v>1104</v>
      </c>
      <c r="H11" s="287" t="s">
        <v>1104</v>
      </c>
      <c r="I11" s="287" t="s">
        <v>1104</v>
      </c>
      <c r="J11" s="287" t="s">
        <v>1104</v>
      </c>
      <c r="K11" s="287" t="s">
        <v>1104</v>
      </c>
      <c r="L11" s="287" t="s">
        <v>1104</v>
      </c>
      <c r="M11" s="287" t="s">
        <v>1104</v>
      </c>
      <c r="N11" s="287" t="s">
        <v>1104</v>
      </c>
      <c r="O11" s="287" t="s">
        <v>1104</v>
      </c>
      <c r="P11" s="287" t="s">
        <v>1104</v>
      </c>
      <c r="Q11" s="287" t="s">
        <v>1104</v>
      </c>
      <c r="R11" s="287" t="s">
        <v>1104</v>
      </c>
      <c r="S11" s="287" t="s">
        <v>1104</v>
      </c>
      <c r="T11" s="287" t="s">
        <v>1104</v>
      </c>
      <c r="U11" s="287" t="s">
        <v>1104</v>
      </c>
      <c r="V11" s="287" t="s">
        <v>1104</v>
      </c>
      <c r="W11" s="197"/>
      <c r="Z11" s="196" t="s">
        <v>1107</v>
      </c>
    </row>
    <row r="12" spans="2:28" ht="15.5">
      <c r="B12" s="504"/>
      <c r="C12" s="286">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504"/>
      <c r="C13" s="286">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504"/>
      <c r="C14" s="286">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504"/>
      <c r="C15" s="286">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504"/>
      <c r="C16" s="286">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504"/>
      <c r="C17" s="286">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504"/>
      <c r="C18" s="286">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505"/>
      <c r="C19" s="286">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3" t="s">
        <v>1108</v>
      </c>
      <c r="C21" s="214"/>
      <c r="D21" s="287" t="s">
        <v>1104</v>
      </c>
      <c r="E21" s="287" t="s">
        <v>1104</v>
      </c>
      <c r="F21" s="287" t="s">
        <v>1104</v>
      </c>
      <c r="G21" s="287" t="s">
        <v>1104</v>
      </c>
      <c r="H21" s="287" t="s">
        <v>1104</v>
      </c>
      <c r="I21" s="287" t="s">
        <v>1104</v>
      </c>
      <c r="J21" s="287" t="s">
        <v>1104</v>
      </c>
      <c r="K21" s="287" t="s">
        <v>1104</v>
      </c>
      <c r="L21" s="287" t="s">
        <v>1104</v>
      </c>
      <c r="M21" s="287" t="s">
        <v>1104</v>
      </c>
      <c r="N21" s="287" t="s">
        <v>1104</v>
      </c>
      <c r="O21" s="287" t="s">
        <v>1104</v>
      </c>
      <c r="P21" s="287" t="s">
        <v>1104</v>
      </c>
      <c r="Q21" s="287" t="s">
        <v>1104</v>
      </c>
      <c r="R21" s="287" t="s">
        <v>1104</v>
      </c>
      <c r="S21" s="287" t="s">
        <v>1104</v>
      </c>
      <c r="T21" s="287" t="s">
        <v>1104</v>
      </c>
      <c r="U21" s="287" t="s">
        <v>1104</v>
      </c>
      <c r="V21" s="214"/>
      <c r="W21" s="197"/>
    </row>
    <row r="22" spans="2:23" ht="15.5">
      <c r="B22" s="504"/>
      <c r="C22" s="286">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504"/>
      <c r="C23" s="286">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504"/>
      <c r="C24" s="286">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504"/>
      <c r="C25" s="286">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504"/>
      <c r="C26" s="286">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504"/>
      <c r="C27" s="286">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505"/>
      <c r="C28" s="286">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3" t="s">
        <v>1109</v>
      </c>
      <c r="C30" s="214"/>
      <c r="D30" s="287" t="s">
        <v>1104</v>
      </c>
      <c r="E30" s="214"/>
      <c r="F30" s="214"/>
      <c r="G30" s="214"/>
      <c r="H30" s="214"/>
      <c r="I30" s="214"/>
      <c r="J30" s="214"/>
      <c r="K30" s="214"/>
      <c r="L30" s="287" t="s">
        <v>1104</v>
      </c>
      <c r="M30" s="214"/>
      <c r="N30" s="287" t="s">
        <v>1104</v>
      </c>
      <c r="O30" s="214"/>
      <c r="P30" s="214"/>
      <c r="Q30" s="214"/>
      <c r="R30" s="287" t="s">
        <v>1104</v>
      </c>
      <c r="S30" s="214"/>
      <c r="T30" s="287" t="s">
        <v>1104</v>
      </c>
      <c r="U30" s="214"/>
      <c r="V30" s="214"/>
      <c r="W30" s="197"/>
    </row>
    <row r="31" spans="2:23" ht="15.5">
      <c r="B31" s="504"/>
      <c r="C31" s="286">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504"/>
      <c r="C32" s="286">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504"/>
      <c r="C33" s="286">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504"/>
      <c r="C34" s="286">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505"/>
      <c r="C35" s="286">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3" t="s">
        <v>1110</v>
      </c>
      <c r="C37" s="214"/>
      <c r="D37" s="214"/>
      <c r="E37" s="214"/>
      <c r="F37" s="214"/>
      <c r="G37" s="214"/>
      <c r="H37" s="214"/>
      <c r="I37" s="214"/>
      <c r="J37" s="214"/>
      <c r="K37" s="214"/>
      <c r="L37" s="214"/>
      <c r="M37" s="214"/>
      <c r="N37" s="287" t="s">
        <v>1104</v>
      </c>
      <c r="O37" s="214"/>
      <c r="P37" s="214"/>
      <c r="Q37" s="214"/>
      <c r="R37" s="214"/>
      <c r="S37" s="214"/>
      <c r="T37" s="287" t="s">
        <v>1104</v>
      </c>
      <c r="U37" s="214"/>
      <c r="V37" s="214"/>
      <c r="W37" s="197"/>
    </row>
    <row r="38" spans="2:23" ht="15.5">
      <c r="B38" s="493"/>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493"/>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493"/>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96" t="s">
        <v>1089</v>
      </c>
      <c r="C50" s="496" t="s">
        <v>1090</v>
      </c>
      <c r="D50" s="494" t="s">
        <v>1091</v>
      </c>
      <c r="E50" s="494"/>
      <c r="F50" s="495" t="s">
        <v>1092</v>
      </c>
      <c r="G50" s="495"/>
      <c r="H50" s="494" t="s">
        <v>1093</v>
      </c>
      <c r="I50" s="494"/>
      <c r="J50" s="494"/>
      <c r="K50" s="494"/>
      <c r="L50" s="495" t="s">
        <v>1094</v>
      </c>
      <c r="M50" s="495"/>
      <c r="N50" s="495"/>
      <c r="O50" s="210" t="s">
        <v>1095</v>
      </c>
      <c r="P50" s="211" t="s">
        <v>1096</v>
      </c>
      <c r="Q50" s="494" t="s">
        <v>1097</v>
      </c>
      <c r="R50" s="494"/>
      <c r="S50" s="494"/>
      <c r="T50" s="495" t="s">
        <v>1098</v>
      </c>
      <c r="U50" s="495"/>
      <c r="V50" s="495"/>
      <c r="W50" s="207" t="s">
        <v>1099</v>
      </c>
    </row>
    <row r="51" spans="2:28" ht="15.5">
      <c r="B51" s="496"/>
      <c r="C51" s="49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3"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93"/>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93"/>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93"/>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93"/>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93"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93"/>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93"/>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93"/>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93"/>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93"/>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93"/>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93"/>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93"/>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3"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93"/>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93"/>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93"/>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93"/>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93"/>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93"/>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93"/>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3"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93"/>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93"/>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93"/>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93"/>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93"/>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3"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93"/>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93"/>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93"/>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1320</v>
      </c>
      <c r="B6" s="312">
        <v>1</v>
      </c>
    </row>
    <row r="7" spans="1:2">
      <c r="A7" s="126" t="s">
        <v>1156</v>
      </c>
      <c r="B7" s="312">
        <v>1</v>
      </c>
    </row>
    <row r="8" spans="1:2">
      <c r="A8" s="281" t="s">
        <v>1314</v>
      </c>
      <c r="B8" s="312">
        <v>1</v>
      </c>
    </row>
    <row r="9" spans="1:2">
      <c r="A9" s="126" t="s">
        <v>913</v>
      </c>
      <c r="B9" s="312">
        <v>1</v>
      </c>
    </row>
    <row r="10" spans="1:2">
      <c r="A10" s="281" t="s">
        <v>1321</v>
      </c>
      <c r="B10" s="312">
        <v>1</v>
      </c>
    </row>
    <row r="11" spans="1:2">
      <c r="A11" s="126" t="s">
        <v>1158</v>
      </c>
      <c r="B11" s="312">
        <v>2</v>
      </c>
    </row>
    <row r="12" spans="1:2">
      <c r="A12" s="281" t="s">
        <v>1322</v>
      </c>
      <c r="B12" s="312">
        <v>1</v>
      </c>
    </row>
    <row r="13" spans="1:2">
      <c r="A13" s="281" t="s">
        <v>1323</v>
      </c>
      <c r="B13" s="312">
        <v>1</v>
      </c>
    </row>
    <row r="14" spans="1:2">
      <c r="A14" s="126" t="s">
        <v>1159</v>
      </c>
      <c r="B14" s="312">
        <v>5</v>
      </c>
    </row>
    <row r="15" spans="1:2">
      <c r="A15" s="281" t="s">
        <v>1313</v>
      </c>
      <c r="B15" s="312">
        <v>5</v>
      </c>
    </row>
    <row r="16" spans="1:2">
      <c r="A16" s="126" t="s">
        <v>1157</v>
      </c>
      <c r="B16" s="312">
        <v>5</v>
      </c>
    </row>
    <row r="17" spans="1:2">
      <c r="A17" s="281" t="s">
        <v>1317</v>
      </c>
      <c r="B17" s="312">
        <v>3</v>
      </c>
    </row>
    <row r="18" spans="1:2">
      <c r="A18" s="281" t="s">
        <v>1318</v>
      </c>
      <c r="B18" s="312">
        <v>1</v>
      </c>
    </row>
    <row r="19" spans="1:2">
      <c r="A19" s="281" t="s">
        <v>1319</v>
      </c>
      <c r="B19" s="312">
        <v>1</v>
      </c>
    </row>
    <row r="20" spans="1:2">
      <c r="A20" s="126" t="s">
        <v>1257</v>
      </c>
      <c r="B20" s="312">
        <v>1</v>
      </c>
    </row>
    <row r="21" spans="1:2">
      <c r="A21" s="281" t="s">
        <v>1315</v>
      </c>
      <c r="B21" s="312">
        <v>1</v>
      </c>
    </row>
    <row r="22" spans="1:2">
      <c r="A22" s="126" t="s">
        <v>1310</v>
      </c>
      <c r="B22" s="312">
        <v>1</v>
      </c>
    </row>
    <row r="23" spans="1:2">
      <c r="A23" s="281" t="s">
        <v>1316</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1319</v>
      </c>
    </row>
    <row r="5" spans="1:6">
      <c r="A5" s="126" t="s">
        <v>891</v>
      </c>
    </row>
    <row r="6" spans="1:6">
      <c r="A6" s="309" t="s">
        <v>1322</v>
      </c>
    </row>
    <row r="7" spans="1:6">
      <c r="A7" s="126" t="s">
        <v>883</v>
      </c>
    </row>
    <row r="8" spans="1:6">
      <c r="A8" s="309" t="s">
        <v>1320</v>
      </c>
    </row>
    <row r="9" spans="1:6">
      <c r="A9" s="126" t="s">
        <v>886</v>
      </c>
    </row>
    <row r="10" spans="1:6">
      <c r="A10" s="309" t="s">
        <v>1313</v>
      </c>
    </row>
    <row r="11" spans="1:6">
      <c r="A11" s="126" t="s">
        <v>895</v>
      </c>
    </row>
    <row r="12" spans="1:6">
      <c r="A12" s="126" t="s">
        <v>896</v>
      </c>
    </row>
    <row r="13" spans="1:6">
      <c r="A13" s="126" t="s">
        <v>888</v>
      </c>
    </row>
    <row r="14" spans="1:6">
      <c r="A14" s="126" t="s">
        <v>889</v>
      </c>
    </row>
    <row r="15" spans="1:6">
      <c r="A15" s="126" t="s">
        <v>890</v>
      </c>
    </row>
    <row r="16" spans="1:6">
      <c r="A16" s="309" t="s">
        <v>1317</v>
      </c>
    </row>
    <row r="17" spans="1:1">
      <c r="A17" s="126" t="s">
        <v>892</v>
      </c>
    </row>
    <row r="18" spans="1:1">
      <c r="A18" s="126" t="s">
        <v>893</v>
      </c>
    </row>
    <row r="19" spans="1:1">
      <c r="A19" s="126" t="s">
        <v>894</v>
      </c>
    </row>
    <row r="20" spans="1:1">
      <c r="A20" s="309" t="s">
        <v>1321</v>
      </c>
    </row>
    <row r="21" spans="1:1">
      <c r="A21" s="126" t="s">
        <v>884</v>
      </c>
    </row>
    <row r="22" spans="1:1">
      <c r="A22" s="309" t="s">
        <v>1318</v>
      </c>
    </row>
    <row r="23" spans="1:1">
      <c r="A23" s="126" t="s">
        <v>885</v>
      </c>
    </row>
    <row r="24" spans="1:1">
      <c r="A24" s="309" t="s">
        <v>1323</v>
      </c>
    </row>
    <row r="25" spans="1:1">
      <c r="A25" s="126" t="s">
        <v>887</v>
      </c>
    </row>
    <row r="26" spans="1:1">
      <c r="A26" s="309" t="s">
        <v>1314</v>
      </c>
    </row>
    <row r="27" spans="1:1">
      <c r="A27" s="126" t="s">
        <v>751</v>
      </c>
    </row>
    <row r="28" spans="1:1">
      <c r="A28" s="309" t="s">
        <v>1316</v>
      </c>
    </row>
    <row r="29" spans="1:1">
      <c r="A29" s="126" t="s">
        <v>753</v>
      </c>
    </row>
    <row r="30" spans="1:1">
      <c r="A30" s="309" t="s">
        <v>1315</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1314</v>
      </c>
    </row>
    <row r="6" spans="1:6">
      <c r="A6" s="309" t="s">
        <v>969</v>
      </c>
    </row>
    <row r="7" spans="1:6">
      <c r="A7" s="126" t="s">
        <v>1313</v>
      </c>
    </row>
    <row r="8" spans="1:6">
      <c r="A8" s="309" t="s">
        <v>970</v>
      </c>
    </row>
    <row r="9" spans="1:6">
      <c r="A9" s="126" t="s">
        <v>1315</v>
      </c>
    </row>
    <row r="10" spans="1:6">
      <c r="A10" s="309" t="s">
        <v>918</v>
      </c>
    </row>
    <row r="11" spans="1:6">
      <c r="A11" s="126" t="s">
        <v>918</v>
      </c>
    </row>
    <row r="12" spans="1:6">
      <c r="A12" s="309" t="s">
        <v>1306</v>
      </c>
    </row>
    <row r="13" spans="1:6">
      <c r="A13" s="126" t="s">
        <v>1317</v>
      </c>
    </row>
    <row r="14" spans="1:6">
      <c r="A14" s="309" t="s">
        <v>1307</v>
      </c>
    </row>
    <row r="15" spans="1:6">
      <c r="A15" s="126" t="s">
        <v>1322</v>
      </c>
    </row>
    <row r="16" spans="1:6">
      <c r="A16" s="126" t="s">
        <v>1321</v>
      </c>
    </row>
    <row r="17" spans="1:1">
      <c r="A17" s="309" t="s">
        <v>1308</v>
      </c>
    </row>
    <row r="18" spans="1:1">
      <c r="A18" s="126" t="s">
        <v>1318</v>
      </c>
    </row>
    <row r="19" spans="1:1">
      <c r="A19" s="126" t="s">
        <v>1320</v>
      </c>
    </row>
    <row r="20" spans="1:1">
      <c r="A20" s="126" t="s">
        <v>1323</v>
      </c>
    </row>
    <row r="21" spans="1:1">
      <c r="A21" s="309" t="s">
        <v>1309</v>
      </c>
    </row>
    <row r="22" spans="1:1">
      <c r="A22" s="126" t="s">
        <v>1319</v>
      </c>
    </row>
    <row r="23" spans="1:1">
      <c r="A23" s="309" t="s">
        <v>1311</v>
      </c>
    </row>
    <row r="24" spans="1:1">
      <c r="A24" s="126" t="s">
        <v>1316</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1317</v>
      </c>
    </row>
    <row r="8" spans="1:1">
      <c r="A8" s="126" t="s">
        <v>1318</v>
      </c>
    </row>
    <row r="9" spans="1:1">
      <c r="A9" s="126" t="s">
        <v>1319</v>
      </c>
    </row>
    <row r="10" spans="1:1">
      <c r="A10" s="309" t="s">
        <v>993</v>
      </c>
    </row>
    <row r="11" spans="1:1">
      <c r="A11" s="126" t="s">
        <v>1322</v>
      </c>
    </row>
    <row r="12" spans="1:1">
      <c r="A12" s="126" t="s">
        <v>1321</v>
      </c>
    </row>
    <row r="13" spans="1:1">
      <c r="A13" s="126" t="s">
        <v>1320</v>
      </c>
    </row>
    <row r="14" spans="1:1">
      <c r="A14" s="126" t="s">
        <v>1323</v>
      </c>
    </row>
    <row r="15" spans="1:1">
      <c r="A15" s="309" t="s">
        <v>994</v>
      </c>
    </row>
    <row r="16" spans="1:1">
      <c r="A16" s="126" t="s">
        <v>1314</v>
      </c>
    </row>
    <row r="17" spans="1:1">
      <c r="A17" s="309" t="s">
        <v>995</v>
      </c>
    </row>
    <row r="18" spans="1:1">
      <c r="A18" s="126" t="s">
        <v>1313</v>
      </c>
    </row>
    <row r="19" spans="1:1">
      <c r="A19" s="309" t="s">
        <v>996</v>
      </c>
    </row>
    <row r="20" spans="1:1">
      <c r="A20" s="126" t="s">
        <v>1316</v>
      </c>
    </row>
    <row r="21" spans="1:1">
      <c r="A21" s="309" t="s">
        <v>1002</v>
      </c>
    </row>
    <row r="22" spans="1:1">
      <c r="A22" s="126" t="s">
        <v>1315</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3"/>
      <c r="C1" s="423"/>
      <c r="D1" s="423"/>
      <c r="E1" s="423"/>
      <c r="F1" s="423"/>
      <c r="G1" s="423"/>
      <c r="H1" s="423"/>
      <c r="I1" s="423"/>
      <c r="J1" s="423"/>
      <c r="K1" s="423"/>
    </row>
    <row r="2" spans="1:11" ht="23.5" customHeight="1">
      <c r="A2" s="423"/>
      <c r="B2" s="509" t="str">
        <f>StartupInfo!B3</f>
        <v>Software for Mars (Pty) Ltd</v>
      </c>
      <c r="C2" s="509"/>
      <c r="D2" s="509"/>
      <c r="E2" s="509"/>
      <c r="F2" s="509"/>
      <c r="G2" s="509"/>
      <c r="H2" s="509"/>
      <c r="I2" s="509"/>
      <c r="J2" s="423"/>
      <c r="K2" s="423"/>
    </row>
    <row r="3" spans="1:11" ht="19.5" customHeight="1">
      <c r="B3" s="509" t="str">
        <f>StartupInfo!B4</f>
        <v>Mars</v>
      </c>
      <c r="C3" s="509"/>
      <c r="D3" s="509"/>
      <c r="E3" s="509"/>
      <c r="F3" s="509"/>
      <c r="G3" s="509"/>
      <c r="H3" s="509"/>
      <c r="I3" s="509"/>
      <c r="J3" s="424"/>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4"/>
      <c r="C6" s="424"/>
      <c r="D6" s="424"/>
      <c r="E6" s="424"/>
      <c r="F6" s="424"/>
      <c r="G6" s="424"/>
      <c r="H6" s="424"/>
      <c r="I6" s="424"/>
      <c r="J6" s="424"/>
      <c r="K6" s="236"/>
    </row>
    <row r="7" spans="1:11" s="427" customFormat="1">
      <c r="A7" s="425"/>
      <c r="B7" s="512" t="str">
        <f>CONCATENATE("was rated on ",TEXT(Planning!B33,"dd mmmm yyyy")," at ",Planning!B10)</f>
        <v>was rated on 16 April 2021 at Maturity Level 5</v>
      </c>
      <c r="C7" s="512"/>
      <c r="D7" s="512"/>
      <c r="E7" s="512"/>
      <c r="F7" s="512"/>
      <c r="G7" s="512"/>
      <c r="H7" s="512"/>
      <c r="I7" s="512"/>
      <c r="J7" s="426"/>
      <c r="K7" s="425"/>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1050</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1560</v>
      </c>
      <c r="B32" s="386" t="s">
        <v>382</v>
      </c>
    </row>
    <row r="33" spans="1:2" ht="32" customHeight="1">
      <c r="A33" s="395" t="s">
        <v>795</v>
      </c>
      <c r="B33" s="391" t="s">
        <v>1561</v>
      </c>
    </row>
    <row r="34" spans="1:2" ht="32" customHeight="1">
      <c r="A34" s="395" t="s">
        <v>1562</v>
      </c>
      <c r="B34" s="392" t="s">
        <v>1444</v>
      </c>
    </row>
    <row r="35" spans="1:2" ht="32" customHeight="1">
      <c r="A35" s="395" t="s">
        <v>796</v>
      </c>
      <c r="B35" s="392" t="s">
        <v>1441</v>
      </c>
    </row>
    <row r="36" spans="1:2" ht="32" customHeight="1">
      <c r="A36" s="395" t="s">
        <v>1563</v>
      </c>
      <c r="B36" s="392" t="s">
        <v>1442</v>
      </c>
    </row>
    <row r="37" spans="1:2" ht="32" customHeight="1">
      <c r="A37" s="395" t="s">
        <v>672</v>
      </c>
      <c r="B37" s="392" t="s">
        <v>1564</v>
      </c>
    </row>
    <row r="38" spans="1:2">
      <c r="A38" s="386" t="s">
        <v>1565</v>
      </c>
      <c r="B38" s="386" t="s">
        <v>382</v>
      </c>
    </row>
    <row r="39" spans="1:2" ht="35" customHeight="1">
      <c r="A39" s="395" t="s">
        <v>1566</v>
      </c>
      <c r="B39" s="392"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8" t="str">
        <f>'P1PA-SS'!B76</f>
        <v>CMMI Development V2.0 (CMMI-DEV) without SAM</v>
      </c>
      <c r="B2" s="519"/>
      <c r="C2" s="519"/>
      <c r="E2" s="361" t="s">
        <v>1330</v>
      </c>
      <c r="F2" s="361">
        <f>VALUE(RIGHT(Planning!B10,1))</f>
        <v>5</v>
      </c>
      <c r="G2" s="349" t="s">
        <v>1331</v>
      </c>
      <c r="J2" s="518" t="str">
        <f>'P1PA-SS'!B76</f>
        <v>CMMI Development V2.0 (CMMI-DEV) without SAM</v>
      </c>
      <c r="K2" s="519"/>
      <c r="L2" s="519"/>
      <c r="M2" s="519"/>
      <c r="N2" s="519"/>
      <c r="O2" s="519"/>
    </row>
    <row r="3" spans="1:20" s="348" customFormat="1">
      <c r="A3" s="520" t="str">
        <f>'P1PA-SS'!B75</f>
        <v>Maturity Level 5</v>
      </c>
      <c r="B3" s="521"/>
      <c r="C3" s="521"/>
      <c r="D3" s="359"/>
      <c r="E3" s="359"/>
      <c r="F3" s="359"/>
      <c r="G3" s="364"/>
      <c r="H3" s="364"/>
      <c r="I3" s="364"/>
      <c r="J3" s="520" t="str">
        <f>'P1PA-SS'!B75</f>
        <v>Maturity Level 5</v>
      </c>
      <c r="K3" s="521"/>
      <c r="L3" s="521"/>
      <c r="M3" s="521"/>
      <c r="N3" s="521"/>
      <c r="O3" s="521"/>
      <c r="P3" s="364"/>
      <c r="Q3" s="364"/>
      <c r="R3" s="364"/>
      <c r="S3" s="364"/>
      <c r="T3" s="364"/>
    </row>
    <row r="4" spans="1:20">
      <c r="A4" s="365" t="s">
        <v>1540</v>
      </c>
      <c r="B4" s="365" t="s">
        <v>920</v>
      </c>
      <c r="C4" s="366" t="s">
        <v>1541</v>
      </c>
      <c r="F4" s="359" t="s">
        <v>1557</v>
      </c>
      <c r="J4" s="379" t="s">
        <v>920</v>
      </c>
      <c r="K4" s="380">
        <v>1</v>
      </c>
      <c r="L4" s="380">
        <v>2</v>
      </c>
      <c r="M4" s="380">
        <v>3</v>
      </c>
      <c r="N4" s="380">
        <v>4</v>
      </c>
      <c r="O4" s="380">
        <v>5</v>
      </c>
    </row>
    <row r="5" spans="1:20" ht="20.5" customHeight="1">
      <c r="A5" s="522" t="s">
        <v>1545</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2"/>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2"/>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2"/>
      <c r="B8" s="367" t="s">
        <v>1546</v>
      </c>
      <c r="C8" s="360">
        <f t="shared" si="0"/>
        <v>3</v>
      </c>
      <c r="F8" s="359">
        <v>3</v>
      </c>
      <c r="J8" s="381" t="s">
        <v>1546</v>
      </c>
      <c r="K8" s="382" t="str">
        <f t="shared" si="2"/>
        <v>x</v>
      </c>
      <c r="L8" s="382" t="str">
        <f t="shared" si="1"/>
        <v>x</v>
      </c>
      <c r="M8" s="382" t="str">
        <f t="shared" si="1"/>
        <v>x</v>
      </c>
      <c r="N8" s="382" t="str">
        <f t="shared" si="1"/>
        <v/>
      </c>
      <c r="O8" s="382" t="str">
        <f t="shared" si="1"/>
        <v/>
      </c>
    </row>
    <row r="9" spans="1:20" ht="20.5" customHeight="1">
      <c r="A9" s="523" t="s">
        <v>1548</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3"/>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1558</v>
      </c>
      <c r="B11" s="370" t="s">
        <v>1559</v>
      </c>
      <c r="C11" s="360">
        <f t="shared" si="0"/>
        <v>4</v>
      </c>
      <c r="F11" s="359">
        <v>4</v>
      </c>
      <c r="J11" s="381" t="s">
        <v>1559</v>
      </c>
      <c r="K11" s="382" t="str">
        <f t="shared" si="2"/>
        <v>x</v>
      </c>
      <c r="L11" s="382" t="str">
        <f t="shared" si="1"/>
        <v>x</v>
      </c>
      <c r="M11" s="382" t="str">
        <f t="shared" si="1"/>
        <v>x</v>
      </c>
      <c r="N11" s="382" t="str">
        <f t="shared" si="1"/>
        <v>x</v>
      </c>
      <c r="O11" s="382" t="str">
        <f t="shared" si="1"/>
        <v/>
      </c>
    </row>
    <row r="12" spans="1:20" ht="20.5" customHeight="1">
      <c r="A12" s="524" t="s">
        <v>1556</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4"/>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4"/>
      <c r="B14" s="371" t="s">
        <v>1549</v>
      </c>
      <c r="C14" s="360">
        <f t="shared" si="0"/>
        <v>3</v>
      </c>
      <c r="F14" s="359">
        <v>3</v>
      </c>
      <c r="J14" s="381" t="s">
        <v>1549</v>
      </c>
      <c r="K14" s="382" t="str">
        <f t="shared" si="2"/>
        <v>x</v>
      </c>
      <c r="L14" s="382" t="str">
        <f t="shared" si="1"/>
        <v>x</v>
      </c>
      <c r="M14" s="382" t="str">
        <f t="shared" si="1"/>
        <v>x</v>
      </c>
      <c r="N14" s="382" t="str">
        <f t="shared" si="1"/>
        <v/>
      </c>
      <c r="O14" s="382" t="str">
        <f t="shared" si="1"/>
        <v/>
      </c>
    </row>
    <row r="15" spans="1:20" ht="20.5" customHeight="1">
      <c r="A15" s="372" t="s">
        <v>1555</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1554</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5" t="s">
        <v>1553</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5"/>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5"/>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16" t="s">
        <v>1552</v>
      </c>
      <c r="B20" s="377" t="s">
        <v>1551</v>
      </c>
      <c r="C20" s="360">
        <f t="shared" si="0"/>
        <v>4</v>
      </c>
      <c r="F20" s="359">
        <v>4</v>
      </c>
      <c r="J20" s="381" t="s">
        <v>1551</v>
      </c>
      <c r="K20" s="382" t="str">
        <f t="shared" si="2"/>
        <v>x</v>
      </c>
      <c r="L20" s="382" t="str">
        <f t="shared" si="1"/>
        <v>x</v>
      </c>
      <c r="M20" s="382" t="str">
        <f t="shared" si="1"/>
        <v>x</v>
      </c>
      <c r="N20" s="382" t="str">
        <f t="shared" si="1"/>
        <v>x</v>
      </c>
      <c r="O20" s="382" t="str">
        <f t="shared" si="1"/>
        <v/>
      </c>
    </row>
    <row r="21" spans="1:15" ht="20.5" customHeight="1">
      <c r="A21" s="516"/>
      <c r="B21" s="377" t="s">
        <v>1550</v>
      </c>
      <c r="C21" s="360">
        <f t="shared" si="0"/>
        <v>3</v>
      </c>
      <c r="F21" s="359">
        <v>3</v>
      </c>
      <c r="J21" s="381" t="s">
        <v>1550</v>
      </c>
      <c r="K21" s="382" t="str">
        <f t="shared" si="2"/>
        <v>x</v>
      </c>
      <c r="L21" s="382" t="str">
        <f t="shared" si="2"/>
        <v>x</v>
      </c>
      <c r="M21" s="382" t="str">
        <f t="shared" si="2"/>
        <v>x</v>
      </c>
      <c r="N21" s="382" t="str">
        <f t="shared" si="2"/>
        <v/>
      </c>
      <c r="O21" s="382" t="str">
        <f t="shared" si="2"/>
        <v/>
      </c>
    </row>
    <row r="22" spans="1:15" ht="20.5" customHeight="1">
      <c r="A22" s="517" t="s">
        <v>1547</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17"/>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17"/>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1217</v>
      </c>
      <c r="G27" s="247"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6" t="s">
        <v>1128</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3" t="s">
        <v>1121</v>
      </c>
      <c r="C2" s="534"/>
      <c r="D2" s="534"/>
      <c r="E2" s="384"/>
      <c r="F2" s="384"/>
      <c r="G2" s="384"/>
      <c r="H2" s="384"/>
      <c r="I2" s="384"/>
      <c r="J2" s="384"/>
      <c r="K2" s="384"/>
      <c r="L2" s="384"/>
      <c r="M2" s="384"/>
    </row>
    <row r="3" spans="2:13" ht="31">
      <c r="B3" s="411">
        <v>1</v>
      </c>
      <c r="C3" s="406" t="s">
        <v>1220</v>
      </c>
      <c r="D3" s="406" t="s">
        <v>1221</v>
      </c>
    </row>
    <row r="4" spans="2:13" ht="31">
      <c r="B4" s="411">
        <v>2</v>
      </c>
      <c r="C4" s="406" t="s">
        <v>1222</v>
      </c>
      <c r="D4" s="406" t="s">
        <v>1223</v>
      </c>
    </row>
    <row r="5" spans="2:13" ht="31">
      <c r="B5" s="411">
        <v>3</v>
      </c>
      <c r="C5" s="406" t="s">
        <v>1224</v>
      </c>
      <c r="D5" s="406" t="s">
        <v>1225</v>
      </c>
    </row>
    <row r="6" spans="2:13">
      <c r="B6" s="411">
        <v>4</v>
      </c>
      <c r="C6" s="406" t="s">
        <v>1122</v>
      </c>
      <c r="D6" s="406" t="s">
        <v>1123</v>
      </c>
    </row>
    <row r="7" spans="2:13" ht="31">
      <c r="B7" s="411">
        <v>5</v>
      </c>
      <c r="C7" s="406" t="s">
        <v>1226</v>
      </c>
      <c r="D7" s="406" t="s">
        <v>1227</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3" t="s">
        <v>1120</v>
      </c>
      <c r="C18" s="534"/>
      <c r="D18" s="534"/>
    </row>
    <row r="19" spans="2:4" ht="31">
      <c r="B19" s="411">
        <v>1</v>
      </c>
      <c r="C19" s="406" t="s">
        <v>1228</v>
      </c>
      <c r="D19" s="406" t="s">
        <v>1229</v>
      </c>
    </row>
    <row r="20" spans="2:4" ht="46.5">
      <c r="B20" s="411">
        <v>2</v>
      </c>
      <c r="C20" s="406" t="s">
        <v>1230</v>
      </c>
      <c r="D20" s="406" t="s">
        <v>1231</v>
      </c>
    </row>
    <row r="21" spans="2:4" ht="46.5">
      <c r="B21" s="411">
        <v>3</v>
      </c>
      <c r="C21" s="406" t="s">
        <v>1232</v>
      </c>
      <c r="D21" s="406" t="s">
        <v>1233</v>
      </c>
    </row>
    <row r="22" spans="2:4" ht="46.5">
      <c r="B22" s="411">
        <v>4</v>
      </c>
      <c r="C22" s="406" t="s">
        <v>1234</v>
      </c>
      <c r="D22" s="406" t="s">
        <v>1235</v>
      </c>
    </row>
    <row r="23" spans="2:4" ht="46.5">
      <c r="B23" s="411">
        <v>5</v>
      </c>
      <c r="C23" s="406" t="s">
        <v>1236</v>
      </c>
      <c r="D23" s="406" t="s">
        <v>1237</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2021-04-16T02:57:10Z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