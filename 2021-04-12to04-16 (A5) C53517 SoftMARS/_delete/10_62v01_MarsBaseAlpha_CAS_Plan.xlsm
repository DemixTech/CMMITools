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EF949723-99CF-4751-A0AF-7D10D27305D1}" xr6:coauthVersionLast="47" xr6:coauthVersionMax="47" xr10:uidLastSave="{00000000-0000-0000-0000-000000000000}"/>
  <bookViews>
    <workbookView xWindow="-120" yWindow="-16320" windowWidth="29040" windowHeight="15720" tabRatio="859" firstSheet="1" activeTab="4" xr2:uid="{17A60280-7B31-4962-89EB-A14BB501988E}"/>
  </bookViews>
  <sheets>
    <sheet name="Copyright" sheetId="61" r:id="rId1"/>
    <sheet name="Release" sheetId="22" r:id="rId2"/>
    <sheet name="Guide" sheetId="62" r:id="rId3"/>
    <sheet name="Control" sheetId="38" r:id="rId4"/>
    <sheet name="Emails" sheetId="83" r:id="rId5"/>
    <sheet name="Agreement 3" sheetId="1" r:id="rId6"/>
    <sheet name="Planning" sheetId="19" r:id="rId7"/>
    <sheet name="StartupInfo" sheetId="24" r:id="rId8"/>
    <sheet name="Project&amp;Support" sheetId="25" r:id="rId9"/>
    <sheet name="Staff" sheetId="27" r:id="rId10"/>
    <sheet name="StaffGuide" sheetId="59" r:id="rId11"/>
    <sheet name="PvtProjectFTEs" sheetId="36" r:id="rId12"/>
    <sheet name="PvtStaffDistinct" sheetId="28" r:id="rId13"/>
    <sheet name="PvtPACheck" sheetId="33" r:id="rId14"/>
    <sheet name="P1PA-SS" sheetId="15" r:id="rId15"/>
    <sheet name="P1PA-RSG" sheetId="16" r:id="rId16"/>
    <sheet name="P1PA-R" sheetId="18" r:id="rId17"/>
    <sheet name="P2CA" sheetId="56" r:id="rId18"/>
    <sheet name="P3RF" sheetId="55" r:id="rId19"/>
    <sheet name="Schedule" sheetId="30" r:id="rId20"/>
    <sheet name="PvtCheck1" sheetId="54" r:id="rId21"/>
    <sheet name="Schedule2" sheetId="32" r:id="rId22"/>
    <sheet name="PvtEffort" sheetId="66" r:id="rId23"/>
    <sheet name="ScheduleISACA" sheetId="82" r:id="rId24"/>
    <sheet name="Schedule4-1P" sheetId="35" state="hidden" r:id="rId25"/>
    <sheet name="Schedule4-1A" sheetId="52" state="hidden" r:id="rId26"/>
    <sheet name="Schedule4-2" sheetId="76" r:id="rId27"/>
    <sheet name="ATM_PA" sheetId="44" r:id="rId28"/>
    <sheet name="C_Resource_Estimates" sheetId="73" r:id="rId29"/>
    <sheet name="C_Support" sheetId="72" r:id="rId30"/>
    <sheet name="C_Projects" sheetId="71" r:id="rId31"/>
    <sheet name="C_OUParticipants" sheetId="67" r:id="rId32"/>
    <sheet name="C_OUProjects" sheetId="68" r:id="rId33"/>
    <sheet name="C_OUPracticeAreas" sheetId="69" r:id="rId34"/>
    <sheet name="OULC" sheetId="49" r:id="rId35"/>
    <sheet name="PvtPartDistinct" sheetId="60" r:id="rId36"/>
    <sheet name="PvtPart_PA" sheetId="42" r:id="rId37"/>
    <sheet name="PvtPart_PrjSup" sheetId="41" r:id="rId38"/>
    <sheet name="PvtPart_Session" sheetId="39" r:id="rId39"/>
    <sheet name="pptxCertificate" sheetId="46" r:id="rId40"/>
    <sheet name="pptxCover" sheetId="47" r:id="rId41"/>
    <sheet name="pptxLink1" sheetId="74" r:id="rId42"/>
    <sheet name="pptxLink2" sheetId="75" r:id="rId43"/>
    <sheet name="pptxLink3" sheetId="77" r:id="rId44"/>
    <sheet name="pptxLink4" sheetId="78" r:id="rId45"/>
    <sheet name="pptxLink5" sheetId="79" r:id="rId46"/>
    <sheet name="pptxLink6" sheetId="80" r:id="rId47"/>
    <sheet name="pptxLink7" sheetId="81" r:id="rId48"/>
    <sheet name="Tables" sheetId="4" r:id="rId49"/>
    <sheet name="BASE" sheetId="70" r:id="rId50"/>
  </sheets>
  <externalReferences>
    <externalReference r:id="rId51"/>
    <externalReference r:id="rId52"/>
    <externalReference r:id="rId53"/>
    <externalReference r:id="rId54"/>
  </externalReferences>
  <definedNames>
    <definedName name="_xlnm._FilterDatabase" localSheetId="9" hidden="1">Staff!$A$2:$Y$30</definedName>
    <definedName name="_xlnm._FilterDatabase" localSheetId="10" hidden="1">StaffGuide!$A$2:$V$2</definedName>
    <definedName name="_xlnm.Print_Area" localSheetId="27">ATM_PA!$A$1:$X$27</definedName>
    <definedName name="_xlnm.Print_Area" localSheetId="8">'Project&amp;Support'!$A$1:$AJ$20</definedName>
    <definedName name="_xlnm.Print_Area" localSheetId="12">PvtStaffDistinct!$A$2:$A$31</definedName>
    <definedName name="_xlnm.Print_Area" localSheetId="21">Schedule2!$A$1:$I$10</definedName>
    <definedName name="_xlnm.Print_Area" localSheetId="25">'Schedule4-1A'!$A$1:$G$110</definedName>
    <definedName name="_xlnm.Print_Area" localSheetId="24">'Schedule4-1P'!$A$1:$G$110</definedName>
    <definedName name="_xlnm.Print_Area" localSheetId="23">ScheduleISACA!$A$1:$R$26</definedName>
    <definedName name="_xlnm.Print_Area" localSheetId="9">Staff!$A$2:$Y$30</definedName>
    <definedName name="_xlnm.Print_Area" localSheetId="10">StaffGuide!$A$2:$V$2</definedName>
    <definedName name="_xlnm.Print_Area" localSheetId="7">StartupInfo!$A$1:$B$56</definedName>
    <definedName name="_xlnm.Print_Titles" localSheetId="9">Staff!$2:$2</definedName>
    <definedName name="_xlnm.Print_Titles" localSheetId="10">StaffGuide!$2:$2</definedName>
    <definedName name="tbl_Affiliation">Tables!$AN$5:$AN$6</definedName>
    <definedName name="tbl_Application_domain">[1]TablesLookup!$A$2:$A$8</definedName>
    <definedName name="tbl_AppraisalArtifacts" localSheetId="4">[2]Tables!$AL$5:$AL$10</definedName>
    <definedName name="tbl_AppraisalArtifacts" localSheetId="23">[3]Tables!$AL$5:$AL$10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3">[3]Tables!$AF$5:$AF$19</definedName>
    <definedName name="tbl_COI">Tables!$AF$5:$AF$19</definedName>
    <definedName name="tbl_CollectionApproach" localSheetId="4">[2]Tables!$R$5:$R$7</definedName>
    <definedName name="tbl_CollectionApproach" localSheetId="23">[3]Tables!$R$5:$R$7</definedName>
    <definedName name="tbl_CollectionApproach">Tables!$R$5:$R$7</definedName>
    <definedName name="tbl_collectiontechnique" localSheetId="4">[2]Tables!$T$5:$T$11</definedName>
    <definedName name="tbl_collectiontechnique" localSheetId="23">[3]Tables!$T$5:$T$11</definedName>
    <definedName name="tbl_collectiontechnique">Tables!$T$5:$T$11</definedName>
    <definedName name="tbl_constraints" localSheetId="4">[2]Tables!$AB$5:$AB$11</definedName>
    <definedName name="tbl_constraints" localSheetId="23">[3]Tables!$AB$5:$AB$11</definedName>
    <definedName name="tbl_constraints">Tables!$AB$5:$AB$11</definedName>
    <definedName name="tbl_country" localSheetId="4">[2]Tables!$B$5:$B$258</definedName>
    <definedName name="tbl_country" localSheetId="23">[3]Tables!$B$5:$B$258</definedName>
    <definedName name="tbl_country">Tables!$B$5:$B$258</definedName>
    <definedName name="tbl_Day_of_week">[4]TableLookup!$C$2:$D$8</definedName>
    <definedName name="tbl_equipment" localSheetId="4">[2]Tables!$Z$5:$Z$17</definedName>
    <definedName name="tbl_equipment" localSheetId="23">[3]Tables!$Z$5:$Z$17</definedName>
    <definedName name="tbl_equipment">Tables!$Z$5:$Z$17</definedName>
    <definedName name="tbl_followon" localSheetId="4">[2]Tables!$AH$5:$AH$9</definedName>
    <definedName name="tbl_followon" localSheetId="23">[3]Tables!$AH$5:$AH$9</definedName>
    <definedName name="tbl_followon">Tables!$AH$5:$AH$9</definedName>
    <definedName name="tbl_isic" localSheetId="4">[2]Tables!$D$5:$D$92</definedName>
    <definedName name="tbl_isic" localSheetId="23">[3]Tables!$D$5:$D$92</definedName>
    <definedName name="tbl_isic">Tables!$D$5:$D$92</definedName>
    <definedName name="tbl_logisticalRequirement" localSheetId="4">[2]Tables!$X$5:$X$9</definedName>
    <definedName name="tbl_logisticalRequirement" localSheetId="23">[3]Tables!$X$5:$X$9</definedName>
    <definedName name="tbl_logisticalRequirement">Tables!$X$5:$X$9</definedName>
    <definedName name="tbl_modelview" localSheetId="4">[2]Tables!$H$5:$H$9</definedName>
    <definedName name="tbl_modelview" localSheetId="23">[3]Tables!$H$5:$H$9</definedName>
    <definedName name="tbl_modelview">Tables!$H$5:$H$9</definedName>
    <definedName name="tbl_PAcount" localSheetId="4">[2]Tables!$U$36:$Z$56</definedName>
    <definedName name="tbl_PAcount" localSheetId="23">[3]Tables!$U$36:$Z$56</definedName>
    <definedName name="tbl_PAcount">Tables!$U$36:$Z$56</definedName>
    <definedName name="tbl_projectNames" localSheetId="4">'[2]Project&amp;Support'!$A$3:$B$60</definedName>
    <definedName name="tbl_projectNames" localSheetId="23">'[3]Project&amp;Support'!$A$3:$B$60</definedName>
    <definedName name="tbl_projectNames">'Project&amp;Support'!$A$3:$B$58</definedName>
    <definedName name="tbl_reportingRelationship" localSheetId="4">[2]Tables!$AJ$5:$AJ$10</definedName>
    <definedName name="tbl_reportingRelationship" localSheetId="23">[3]Tables!$AJ$5:$AJ$10</definedName>
    <definedName name="tbl_reportingRelationship">Tables!$AJ$5:$AJ$10</definedName>
    <definedName name="tbl_responsibleEntity" localSheetId="4">[2]Tables!$V$5:$V$9</definedName>
    <definedName name="tbl_responsibleEntity" localSheetId="23">[3]Tables!$V$5:$V$9</definedName>
    <definedName name="tbl_responsibleEntity">Tables!$V$5:$V$9</definedName>
    <definedName name="tbl_riskCategory" localSheetId="4">[2]Tables!$AD$5:$AD$11</definedName>
    <definedName name="tbl_riskCategory" localSheetId="23">[3]Tables!$AD$5:$AD$11</definedName>
    <definedName name="tbl_riskCategory">Tables!$AD$5:$AD$11</definedName>
    <definedName name="tbl_RolePAlookup" localSheetId="4">[2]StaffGuide!$A$3:$V$13</definedName>
    <definedName name="tbl_RolePAlookup" localSheetId="23">[3]StaffGuide!$A$3:$V$13</definedName>
    <definedName name="tbl_RolePAlookup">StaffGuide!$A$3:$V$13</definedName>
    <definedName name="tbl_sampling" localSheetId="4">[2]Tables!$L$5:$L$10</definedName>
    <definedName name="tbl_sampling" localSheetId="23">[3]Tables!$L$5:$L$10</definedName>
    <definedName name="tbl_sampling">Tables!$L$5:$L$10</definedName>
    <definedName name="tbl_target" localSheetId="4">[2]Tables!$F$5:$F$9</definedName>
    <definedName name="tbl_target" localSheetId="23">[3]Tables!$F$5:$F$9</definedName>
    <definedName name="tbl_target">Tables!$F$5:$F$9</definedName>
    <definedName name="tbl_timezone" localSheetId="4">[2]Tables!$N$5:$N$143</definedName>
    <definedName name="tbl_timezone" localSheetId="23">[3]Tables!$N$5:$N$143</definedName>
    <definedName name="tbl_timezone">Tables!$N$5:$N$143</definedName>
  </definedNames>
  <calcPr calcId="191029"/>
  <pivotCaches>
    <pivotCache cacheId="6" r:id="rId55"/>
    <pivotCache cacheId="7" r:id="rId56"/>
    <pivotCache cacheId="8" r:id="rId57"/>
    <pivotCache cacheId="9" r:id="rId58"/>
    <pivotCache cacheId="10" r:id="rId59"/>
    <pivotCache cacheId="11"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2" i="83" l="1"/>
  <c r="B64" i="83"/>
  <c r="B22" i="83"/>
  <c r="B21" i="83"/>
  <c r="B20" i="83"/>
  <c r="B19" i="83"/>
  <c r="B18" i="83"/>
  <c r="B57" i="83"/>
  <c r="B61"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3" i="83"/>
  <c r="B60"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<sst xmlns="http://schemas.openxmlformats.org/spreadsheetml/2006/main" count="4368" uniqueCount="1757">
  <si>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</si>
  <si>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</si>
  <si>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</si>
  <si>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</si>
  <si>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</si>
  <si>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</si>
  <si>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</si>
  <si>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</si>
  <si>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</si>
  <si>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</si>
  <si>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</si>
  <si>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</si>
  <si>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</si>
  <si>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</si>
  <si>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</si>
  <si>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</si>
  <si>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</si>
  <si>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</si>
  <si>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</si>
  <si>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</si>
  <si>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</si>
  <si>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</si>
  <si>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</si>
  <si>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</si>
  <si>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</si>
  <si>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</si>
  <si>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</si>
  <si>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</si>
  <si>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</si>
  <si>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</si>
  <si>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</si>
  <si>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</si>
  <si>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</si>
  <si>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</si>
  <si>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</si>
  <si>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</si>
  <si>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</si>
  <si>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</si>
  <si>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</si>
  <si>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</si>
  <si>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</si>
  <si>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</si>
  <si>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</si>
  <si>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</si>
  <si>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</si>
  <si>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</si>
  <si>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</si>
  <si>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</si>
  <si>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</si>
  <si>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</si>
  <si>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</si>
  <si>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</si>
  <si>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</si>
  <si>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</si>
  <si>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</si>
  <si>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</si>
  <si>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</si>
  <si>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</si>
  <si>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</si>
  <si>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</si>
  <si>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</si>
  <si>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</si>
  <si>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</si>
  <si>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</si>
  <si>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</si>
  <si>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</si>
  <si>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</si>
  <si>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</si>
  <si>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</si>
  <si>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</si>
  <si>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</si>
  <si>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</si>
  <si>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</si>
  <si>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</si>
  <si>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</si>
  <si>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</si>
  <si>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</si>
  <si>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</si>
  <si>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</si>
  <si>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</si>
  <si>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</si>
  <si>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</si>
  <si>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</si>
  <si>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</si>
  <si>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</si>
  <si>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</si>
  <si>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</si>
  <si>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</si>
  <si>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</si>
  <si>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</si>
  <si>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</si>
  <si>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</si>
  <si>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</si>
  <si>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</si>
  <si>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</si>
  <si>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</si>
  <si>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</si>
  <si>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</si>
  <si>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</si>
  <si>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</si>
  <si>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</si>
  <si>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</si>
  <si>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</si>
  <si>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</si>
  <si>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</si>
  <si>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</si>
  <si>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</si>
  <si>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</si>
  <si>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</si>
  <si>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</si>
  <si>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</si>
  <si>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</si>
  <si>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</si>
  <si>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</si>
  <si>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</si>
  <si>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</si>
  <si>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</si>
  <si>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</si>
  <si>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</si>
  <si>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</si>
  <si>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</si>
  <si>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</si>
  <si>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</si>
  <si>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</si>
  <si>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</si>
  <si>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</si>
  <si>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</si>
  <si>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</si>
  <si>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</si>
  <si>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</si>
  <si>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</si>
  <si>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</si>
  <si>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</si>
  <si>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</si>
  <si>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</si>
  <si>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</si>
  <si>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</si>
  <si>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</si>
  <si>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</si>
  <si>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</si>
  <si>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</si>
  <si>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</si>
  <si>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</si>
  <si>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</si>
  <si>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</si>
  <si>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</si>
  <si>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</si>
  <si>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</si>
  <si>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</si>
  <si>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</si>
  <si>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</si>
  <si>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</si>
  <si>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</si>
  <si>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</si>
  <si>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</si>
  <si>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</si>
  <si>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</si>
  <si>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</si>
  <si>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</si>
  <si>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</si>
  <si>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</si>
  <si>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</si>
  <si>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</si>
  <si>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</si>
  <si>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</si>
  <si>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</si>
  <si>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</si>
  <si>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</si>
  <si>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</si>
  <si>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</si>
  <si>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</si>
  <si>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</si>
  <si>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</si>
  <si>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</si>
  <si>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</si>
  <si>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</si>
  <si>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</si>
  <si>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</si>
  <si>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</si>
  <si>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</si>
  <si>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</si>
  <si>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</si>
  <si>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</si>
  <si>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</si>
  <si>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</si>
  <si>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</si>
  <si>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</si>
  <si>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</si>
  <si>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</si>
  <si>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</si>
  <si>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</si>
  <si>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</si>
  <si>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</si>
  <si>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</si>
  <si>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</si>
  <si>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</si>
  <si>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</si>
  <si>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</si>
  <si>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</si>
  <si>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</si>
  <si>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</si>
  <si>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</si>
  <si>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</si>
  <si>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</si>
  <si>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</si>
  <si>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</si>
  <si>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</si>
  <si>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</si>
  <si>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</si>
  <si>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</si>
  <si>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</si>
  <si>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</si>
  <si>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</si>
  <si>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</si>
  <si>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</si>
  <si>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</si>
  <si>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</si>
  <si>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</si>
  <si>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</si>
  <si>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</si>
  <si>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</si>
  <si>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</si>
  <si>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</si>
  <si>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</si>
  <si>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</si>
  <si>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</si>
  <si>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</si>
  <si>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</si>
  <si>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</si>
  <si>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</si>
  <si>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</si>
  <si>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</si>
  <si>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</si>
  <si>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</si>
  <si>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</si>
  <si>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</si>
  <si>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</si>
  <si>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</si>
  <si>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</si>
  <si>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</si>
  <si>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</si>
  <si>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</si>
  <si>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</si>
  <si>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</si>
  <si>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</si>
  <si>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</si>
  <si>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</si>
  <si>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</si>
  <si>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</si>
  <si>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</si>
  <si>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</si>
  <si>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</si>
  <si>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</si>
  <si>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</si>
  <si>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</si>
  <si>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</si>
  <si>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</si>
  <si>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</si>
  <si>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</si>
  <si>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</si>
  <si>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</si>
  <si>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</si>
  <si>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</si>
  <si>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</si>
  <si>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</si>
  <si>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</si>
  <si>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</si>
  <si>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</si>
  <si>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</si>
  <si>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</si>
  <si>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</si>
  <si>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</si>
  <si>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</si>
  <si>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</si>
  <si>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</si>
  <si>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</si>
  <si>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</si>
  <si>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</si>
  <si>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</si>
  <si>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</si>
  <si>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</si>
  <si>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</si>
  <si>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</si>
  <si>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</si>
  <si>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</si>
  <si>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</si>
  <si>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</si>
  <si>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</si>
  <si>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</si>
  <si>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</si>
  <si>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</si>
  <si>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</si>
  <si>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</si>
  <si>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</si>
  <si>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</si>
  <si>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</si>
  <si>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</si>
  <si>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</si>
  <si>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</si>
  <si>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</si>
  <si>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</si>
  <si>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</si>
  <si>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</si>
  <si>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</si>
  <si>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</si>
  <si>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</si>
  <si>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</si>
  <si>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</si>
  <si>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</si>
  <si>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</si>
  <si>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</si>
  <si>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</si>
  <si>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</si>
  <si>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</si>
  <si>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</si>
  <si>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</si>
  <si>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</si>
  <si>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</si>
  <si>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</si>
  <si>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</si>
  <si>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</si>
  <si>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</si>
  <si>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</si>
  <si>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</si>
  <si>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</si>
  <si>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</si>
  <si>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</si>
  <si>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</si>
  <si>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</si>
  <si>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</si>
  <si>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</si>
  <si>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</si>
  <si>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</si>
  <si>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</si>
  <si>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</si>
  <si>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</si>
  <si>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</si>
  <si>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</si>
  <si>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</si>
  <si>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</si>
  <si>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</si>
  <si>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</si>
  <si>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</si>
  <si>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</si>
  <si>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</si>
  <si>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</si>
  <si>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</si>
  <si>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</si>
  <si>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</si>
  <si>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</si>
  <si>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</si>
  <si>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</si>
  <si>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</si>
  <si>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</si>
  <si>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</si>
  <si>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</si>
  <si>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</si>
  <si>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</si>
  <si>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</si>
  <si>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</si>
  <si>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</si>
  <si>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</si>
  <si>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</si>
  <si>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</si>
  <si>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</si>
  <si>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</si>
  <si>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</si>
  <si>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</si>
  <si>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</si>
  <si>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</si>
  <si>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</si>
  <si>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</si>
  <si>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</si>
  <si>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</si>
  <si>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</si>
  <si>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</si>
  <si>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</si>
  <si>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</si>
  <si>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</si>
  <si>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</si>
  <si>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</si>
  <si>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</si>
  <si>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</si>
  <si>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</si>
  <si>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</si>
  <si>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</si>
  <si>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</si>
  <si>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</si>
  <si>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</si>
  <si>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</si>
  <si>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</si>
  <si>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</si>
  <si>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</si>
  <si>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</si>
  <si>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</si>
  <si>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</si>
  <si>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</si>
  <si>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</si>
  <si>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</si>
  <si>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</si>
  <si>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</si>
  <si>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</si>
  <si>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</si>
  <si>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</si>
  <si>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</si>
  <si>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</si>
  <si>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</si>
  <si>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</si>
  <si>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</si>
  <si>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</si>
  <si>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</si>
  <si>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</si>
  <si>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</si>
  <si>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</si>
  <si>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</si>
  <si>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</si>
  <si>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</si>
  <si>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</si>
  <si>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</si>
  <si>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</si>
  <si>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</si>
  <si>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</si>
  <si>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</si>
  <si>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</si>
  <si>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</si>
  <si>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</si>
  <si>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</si>
  <si>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</si>
  <si>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</si>
  <si>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</si>
  <si>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</si>
  <si>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</si>
  <si>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</si>
  <si>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</si>
  <si>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</si>
  <si>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</si>
  <si>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</si>
  <si>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</si>
  <si>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</si>
  <si>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</si>
  <si>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</si>
  <si>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</si>
  <si>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</si>
  <si>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</si>
  <si>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</si>
  <si>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</si>
  <si>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</si>
  <si>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</si>
  <si>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</si>
  <si>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</si>
  <si>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</si>
  <si>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</si>
  <si>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</si>
  <si>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</si>
  <si>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</si>
  <si>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</si>
  <si>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</si>
  <si>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</si>
  <si>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</si>
  <si>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</si>
  <si>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</si>
  <si>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</si>
  <si>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</si>
  <si>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</si>
  <si>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</si>
  <si>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</si>
  <si>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</si>
  <si>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</si>
  <si>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</si>
  <si>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</si>
  <si>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</si>
  <si>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</si>
  <si>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</si>
  <si>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</si>
  <si>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</si>
  <si>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</si>
  <si>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</si>
  <si>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</si>
  <si>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</si>
  <si>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</si>
  <si>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</si>
  <si>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</si>
  <si>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</si>
  <si>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</si>
  <si>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</si>
  <si>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</si>
  <si>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</si>
  <si>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</si>
  <si>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</si>
  <si>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</si>
  <si>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</si>
  <si>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</si>
  <si>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</si>
  <si>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</si>
  <si>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</si>
  <si>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</si>
  <si>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</si>
  <si>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</si>
  <si>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</si>
  <si>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</si>
  <si>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</si>
  <si>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</si>
  <si>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</si>
  <si>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</si>
  <si>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</si>
  <si>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</si>
  <si>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</si>
  <si>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</si>
  <si>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</si>
  <si>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</si>
  <si>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</si>
  <si>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</si>
  <si>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</si>
  <si>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</si>
  <si>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</si>
  <si>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</si>
  <si>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</si>
  <si>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</si>
  <si>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</si>
  <si>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</si>
  <si>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</si>
  <si>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</si>
  <si>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</si>
  <si>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</si>
  <si>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</si>
  <si>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</si>
  <si>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</si>
  <si>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</si>
  <si>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</si>
  <si>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</si>
  <si>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</si>
  <si>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</si>
  <si>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</si>
  <si>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</si>
  <si>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</si>
  <si>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</si>
  <si>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</si>
  <si>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</si>
  <si>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</si>
  <si>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</si>
  <si>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</si>
  <si>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</si>
  <si>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</si>
  <si>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</si>
  <si>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</si>
  <si>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</si>
  <si>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</si>
  <si>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</si>
  <si>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</si>
  <si>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</si>
  <si>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</si>
  <si>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</si>
  <si>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</si>
  <si>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</si>
  <si>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</si>
  <si>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</si>
  <si>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</si>
  <si>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</si>
  <si>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</si>
  <si>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</si>
  <si>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</si>
  <si>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</si>
  <si>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</si>
  <si>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</si>
  <si>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</si>
  <si>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</si>
  <si>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</si>
  <si>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</si>
  <si>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</si>
  <si>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</si>
  <si>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</si>
  <si>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</si>
  <si>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</si>
  <si>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</si>
  <si>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</si>
  <si>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</si>
  <si>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</si>
  <si>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</si>
  <si>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</si>
  <si>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</si>
  <si>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</si>
  <si>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</si>
  <si>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</si>
  <si>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</si>
  <si>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</si>
  <si>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</si>
  <si>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</si>
  <si>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</si>
  <si>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</si>
  <si>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</si>
  <si>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</si>
  <si>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</si>
  <si>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</si>
  <si>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</si>
  <si>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</si>
  <si>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</si>
  <si>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</si>
  <si>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</si>
  <si>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</si>
  <si>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</si>
  <si>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</si>
  <si>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</si>
  <si>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</si>
  <si>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</si>
  <si>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</si>
  <si>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</si>
  <si>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</si>
  <si>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</si>
  <si>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</si>
  <si>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</si>
  <si>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</si>
  <si>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</si>
  <si>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</si>
  <si>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</si>
  <si>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</si>
  <si>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</si>
  <si>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</si>
  <si>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</si>
  <si>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</si>
  <si>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</si>
  <si>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</si>
  <si>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</si>
  <si>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</si>
  <si>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</si>
  <si>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</si>
  <si>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</si>
  <si>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</si>
  <si>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</si>
  <si>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</si>
  <si>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</si>
  <si>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</si>
  <si>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</si>
  <si>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</si>
  <si>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</si>
  <si>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</si>
  <si>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</si>
  <si>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</si>
  <si>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</si>
  <si>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</si>
  <si>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</si>
  <si>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</si>
  <si>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</si>
  <si>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</si>
  <si>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</si>
  <si>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</si>
  <si>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</si>
  <si>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</si>
  <si>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</si>
  <si>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</si>
  <si>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</si>
  <si>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</si>
  <si>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</si>
  <si>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</si>
  <si>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</si>
  <si>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</si>
  <si>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</si>
  <si>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</si>
  <si>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</si>
  <si>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</si>
  <si>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</si>
  <si>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</si>
  <si>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</si>
  <si>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</si>
  <si>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</si>
  <si>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</si>
  <si>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</si>
  <si>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</si>
  <si>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</si>
  <si>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</si>
  <si>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</si>
  <si>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</si>
  <si>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</si>
  <si>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</si>
  <si>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</si>
  <si>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</si>
  <si>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</si>
  <si>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</si>
  <si>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</si>
  <si>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</si>
  <si>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</si>
  <si>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</si>
  <si>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</si>
  <si>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</si>
  <si>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</si>
  <si>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</si>
  <si>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</si>
  <si>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</si>
  <si>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</si>
  <si>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</si>
  <si>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</si>
  <si>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</si>
  <si>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</si>
  <si>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</si>
  <si>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</si>
  <si>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</si>
  <si>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</si>
  <si>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</si>
  <si>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</si>
  <si>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</si>
  <si>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</si>
  <si>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</si>
  <si>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</si>
  <si>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</si>
  <si>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</si>
  <si>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</si>
  <si>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</si>
  <si>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</si>
  <si>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</si>
  <si>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</si>
  <si>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</si>
  <si>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</si>
  <si>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</si>
  <si>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</si>
  <si>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</si>
  <si>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</si>
  <si>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</si>
  <si>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</si>
  <si>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</si>
  <si>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</si>
  <si>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</si>
  <si>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</si>
  <si>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</si>
  <si>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</si>
  <si>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</si>
  <si>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</si>
  <si>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</si>
  <si>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</si>
  <si>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</si>
  <si>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</si>
  <si>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</si>
  <si>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</si>
  <si>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</si>
  <si>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</si>
  <si>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</si>
  <si>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</si>
  <si>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</si>
  <si>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</si>
  <si>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</si>
  <si>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</si>
  <si>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</si>
  <si>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</si>
  <si>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</si>
  <si>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</si>
  <si>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</si>
  <si>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</si>
  <si>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</si>
  <si>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</si>
  <si>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</si>
  <si>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</si>
  <si>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</si>
  <si>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</si>
  <si>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</si>
  <si>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</si>
  <si>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</si>
  <si>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</si>
  <si>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</si>
  <si>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</si>
  <si>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</si>
  <si>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</si>
  <si>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</si>
  <si>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</si>
  <si>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</si>
  <si>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</si>
  <si>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</si>
  <si>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</si>
  <si>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</si>
  <si>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</si>
  <si>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</si>
  <si>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</si>
  <si>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</si>
  <si>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</si>
  <si>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</si>
  <si>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</si>
  <si>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</si>
  <si>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</si>
  <si>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</si>
  <si>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</si>
  <si>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</si>
  <si>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</si>
  <si>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</si>
  <si>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</si>
  <si>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</si>
  <si>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</si>
  <si>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</si>
  <si>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</si>
  <si>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</si>
  <si>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</si>
  <si>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</si>
  <si>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</si>
  <si>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</si>
  <si>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</si>
  <si>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</si>
  <si>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</si>
  <si>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</si>
  <si>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</si>
  <si>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</si>
  <si>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</si>
  <si>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</si>
  <si>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</si>
  <si>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</si>
  <si>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</si>
  <si>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</si>
  <si>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</si>
  <si>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</si>
  <si>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</si>
  <si>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</si>
  <si>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</si>
  <si>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</si>
  <si>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</si>
  <si>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</si>
  <si>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</si>
  <si>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</si>
  <si>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</si>
  <si>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</si>
  <si>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</si>
  <si>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</si>
  <si>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</si>
  <si>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</si>
  <si>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</si>
  <si>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</si>
  <si>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</si>
  <si>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</si>
  <si>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</si>
  <si>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</si>
  <si>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</si>
  <si>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</si>
  <si>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</si>
  <si>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</si>
  <si>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</si>
  <si>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</si>
  <si>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</si>
  <si>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</si>
  <si>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</si>
  <si>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</si>
  <si>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</si>
  <si>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</si>
  <si>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</si>
  <si>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</si>
  <si>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</si>
  <si>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</si>
  <si>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</si>
  <si>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</si>
  <si>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</si>
  <si>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</si>
  <si>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</si>
  <si>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</si>
  <si>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</si>
  <si>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</si>
  <si>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</si>
  <si>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</si>
  <si>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</si>
  <si>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</si>
  <si>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</si>
  <si>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</si>
  <si>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</si>
  <si>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</si>
  <si>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</si>
  <si>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</si>
  <si>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</si>
  <si>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</si>
  <si>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</si>
  <si>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</si>
  <si>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</si>
  <si>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</si>
  <si>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</si>
  <si>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</si>
  <si>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</si>
  <si>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</si>
  <si>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</si>
  <si>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</si>
  <si>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</si>
  <si>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</si>
  <si>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</si>
  <si>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</si>
  <si>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</si>
  <si>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</si>
  <si>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</si>
  <si>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</si>
  <si>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</si>
  <si>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</si>
  <si>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</si>
  <si>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</si>
  <si>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</si>
  <si>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</si>
  <si>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</si>
  <si>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</si>
  <si>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</si>
  <si>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</si>
  <si>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</si>
  <si>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</si>
  <si>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</si>
  <si>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</si>
  <si>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</si>
  <si>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</si>
  <si>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</si>
  <si>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</si>
  <si>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</si>
  <si>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</si>
  <si>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</si>
  <si>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</si>
  <si>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</si>
  <si>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</si>
  <si>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</si>
  <si>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</si>
  <si>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</si>
  <si>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</si>
  <si>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</si>
  <si>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</si>
  <si>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</si>
  <si>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</si>
  <si>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</si>
  <si>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</si>
  <si>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</si>
  <si>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</si>
  <si>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</si>
  <si>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</si>
  <si>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</si>
  <si>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</si>
  <si>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</si>
  <si>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</si>
  <si>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</si>
  <si>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</si>
  <si>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</si>
  <si>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</si>
  <si>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</si>
  <si>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</si>
  <si>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</si>
  <si>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</si>
  <si>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</si>
  <si>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</si>
  <si>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</si>
  <si>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</si>
  <si>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</si>
  <si>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</si>
  <si>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</si>
  <si>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</si>
  <si>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</si>
  <si>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</si>
  <si>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</si>
  <si>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</si>
  <si>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</si>
  <si>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</si>
  <si>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</si>
  <si>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</si>
  <si>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</si>
  <si>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</si>
  <si>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</si>
  <si>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</si>
  <si>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</si>
  <si>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</si>
  <si>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</si>
  <si>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</si>
  <si>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</si>
  <si>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</si>
  <si>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</si>
  <si>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</si>
  <si>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</si>
  <si>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</si>
  <si>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</si>
  <si>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</si>
  <si>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</si>
  <si>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</si>
  <si>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</si>
  <si>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</si>
  <si>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</si>
  <si>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</si>
  <si>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</si>
  <si>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</si>
  <si>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</si>
  <si>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</si>
  <si>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</si>
  <si>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</si>
  <si>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</si>
  <si>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</si>
  <si>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</si>
  <si>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</si>
  <si>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</si>
  <si>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</si>
  <si>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</si>
  <si>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</si>
  <si>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</si>
  <si>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</si>
  <si>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</si>
  <si>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</si>
  <si>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</si>
  <si>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</si>
  <si>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</si>
  <si>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</si>
  <si>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</si>
  <si>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</si>
  <si>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</si>
  <si>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</si>
  <si>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</si>
  <si>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</si>
  <si>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</si>
  <si>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</si>
  <si>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</si>
  <si>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</si>
  <si>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</si>
  <si>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</si>
  <si>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</si>
  <si>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</si>
  <si>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</si>
  <si>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</si>
  <si>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</si>
  <si>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</si>
  <si>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</si>
  <si>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</si>
  <si>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</si>
  <si>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</si>
  <si>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</si>
  <si>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</si>
  <si>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</si>
  <si>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</si>
  <si>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</si>
  <si>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</si>
  <si>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</si>
  <si>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</si>
  <si>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</si>
  <si>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</si>
  <si>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</si>
  <si>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</si>
  <si>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</si>
  <si>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</si>
  <si>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</si>
  <si>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</si>
  <si>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</si>
  <si>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</si>
  <si>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</si>
  <si>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</si>
  <si>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</si>
  <si>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</si>
  <si>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</si>
  <si>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</si>
  <si>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</si>
  <si>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</si>
  <si>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</si>
  <si>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</si>
  <si>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</si>
  <si>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</si>
  <si>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</si>
  <si>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</si>
  <si>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</si>
  <si>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</si>
  <si>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</si>
  <si>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</si>
  <si>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</si>
  <si>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</si>
  <si>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</si>
  <si>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</si>
  <si>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</si>
  <si>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</si>
  <si>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</si>
  <si>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</si>
  <si>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</si>
  <si>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</si>
  <si>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</si>
  <si>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</si>
  <si>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</si>
  <si>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</si>
  <si>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</si>
  <si>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</si>
  <si>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</si>
  <si>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</si>
  <si>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</si>
  <si>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</si>
  <si>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</si>
  <si>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</si>
  <si>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</si>
  <si>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</si>
  <si>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</si>
  <si>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</si>
  <si>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</si>
  <si>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</si>
  <si>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</si>
  <si>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</si>
  <si>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</si>
  <si>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</si>
  <si>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</si>
  <si>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</si>
  <si>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</si>
  <si>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</si>
  <si>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</si>
  <si>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</si>
  <si>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</si>
  <si>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</si>
  <si>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</si>
  <si>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</si>
  <si>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</si>
  <si>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</si>
  <si>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</si>
  <si>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</si>
  <si>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</si>
  <si>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</si>
  <si>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</si>
  <si>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</si>
  <si>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</si>
  <si>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</si>
  <si>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</si>
  <si>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</si>
  <si>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</si>
  <si>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</si>
  <si>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</si>
  <si>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</si>
  <si>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</si>
  <si>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</si>
  <si>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</si>
  <si>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</si>
  <si>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</si>
  <si>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</si>
  <si>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</si>
  <si>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</si>
  <si>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</si>
  <si>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</si>
  <si>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</si>
  <si>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</si>
  <si>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</si>
  <si>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</si>
  <si>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</si>
  <si>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</si>
  <si>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</si>
  <si>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</si>
  <si>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</si>
  <si>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</si>
  <si>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</si>
  <si>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</si>
  <si>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</si>
  <si>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</si>
  <si>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</si>
  <si>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</si>
  <si>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</si>
  <si>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</si>
  <si>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</si>
  <si>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</si>
  <si>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</si>
  <si>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</si>
  <si>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</si>
  <si>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</si>
  <si>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</si>
  <si>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</si>
  <si>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</si>
  <si>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</si>
  <si>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</si>
  <si>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</si>
  <si>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</si>
  <si>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</si>
  <si>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</si>
  <si>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</si>
  <si>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</si>
  <si>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</si>
  <si>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</si>
  <si>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</si>
  <si>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</si>
  <si>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</si>
  <si>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</si>
  <si>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</si>
  <si>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</si>
  <si>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</si>
  <si>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</si>
  <si>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</si>
  <si>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</si>
  <si>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</si>
  <si>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</si>
  <si>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</si>
  <si>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</si>
  <si>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</si>
  <si>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</si>
  <si>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</si>
  <si>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</si>
  <si>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</si>
  <si>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</si>
  <si>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</si>
  <si>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</si>
  <si>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</si>
  <si>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</si>
  <si>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</si>
  <si>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</si>
  <si>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</si>
  <si>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</si>
  <si>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</si>
  <si>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</si>
  <si>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</si>
  <si>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</si>
  <si>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</si>
  <si>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</si>
  <si>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</si>
  <si>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</si>
  <si>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</si>
  <si>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</si>
  <si>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</si>
  <si>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</si>
  <si>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</si>
  <si>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</si>
  <si>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</si>
  <si>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</si>
  <si>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</si>
  <si>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</si>
  <si>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</si>
  <si>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</si>
  <si>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</si>
  <si>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</si>
  <si>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</si>
  <si>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</si>
  <si>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</si>
  <si>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</si>
  <si>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</si>
  <si>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</si>
  <si>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</si>
  <si>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</si>
  <si>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</si>
  <si>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</si>
  <si>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</si>
  <si>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</si>
  <si>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</si>
  <si>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</si>
  <si>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</si>
  <si>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</si>
  <si>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</si>
  <si>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</si>
  <si>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</si>
  <si>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</si>
  <si>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</si>
  <si>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</si>
  <si>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</si>
  <si>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</si>
  <si>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</si>
  <si>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</si>
  <si>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</si>
  <si>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</si>
  <si>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</si>
  <si>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</si>
  <si>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</si>
  <si>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</si>
  <si>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</si>
  <si>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</si>
  <si>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</si>
  <si>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</si>
  <si>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</si>
  <si>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</si>
  <si>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</si>
  <si>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</si>
  <si>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</si>
  <si>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</si>
  <si>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</si>
  <si>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</si>
  <si>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</si>
  <si>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</si>
  <si>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</si>
  <si>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</si>
  <si>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</si>
  <si>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</si>
  <si>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</si>
  <si>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</si>
  <si>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</si>
  <si>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</si>
  <si>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</si>
  <si>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</si>
  <si>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</si>
  <si>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</si>
  <si>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</si>
  <si>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</si>
  <si>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</si>
  <si>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</si>
  <si>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</si>
  <si>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</si>
  <si>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</si>
  <si>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</si>
  <si>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</si>
  <si>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</si>
  <si>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</si>
  <si>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</si>
  <si>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</si>
  <si>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</si>
  <si>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</si>
  <si>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</si>
  <si>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</si>
  <si>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</si>
  <si>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</si>
  <si>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</si>
  <si>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</si>
  <si>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</si>
  <si>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</si>
  <si>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</si>
  <si>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</si>
  <si>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</si>
  <si>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</si>
  <si>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</si>
  <si>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</si>
  <si>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</si>
  <si>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</si>
  <si>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</si>
  <si>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</si>
  <si>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</si>
  <si>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</si>
  <si>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</si>
  <si>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</si>
  <si>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</si>
  <si>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</si>
  <si>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</si>
  <si>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</si>
  <si>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</si>
  <si>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</si>
  <si>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</si>
  <si>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</si>
  <si>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</si>
  <si>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</si>
  <si>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</si>
  <si>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</si>
  <si>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</si>
  <si>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</si>
  <si>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</si>
  <si>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</si>
  <si>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</si>
  <si>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</si>
  <si>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</si>
  <si>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</si>
  <si>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</si>
  <si>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</si>
  <si>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</si>
  <si>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</si>
  <si>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</si>
  <si>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</si>
  <si>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</si>
  <si>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</si>
  <si>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</si>
  <si>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</si>
  <si>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</si>
  <si>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</si>
  <si>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</si>
  <si>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</si>
  <si>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</si>
  <si>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</si>
  <si>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</si>
  <si>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</si>
  <si>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</si>
  <si>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</si>
  <si>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</si>
  <si>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</si>
  <si>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</si>
  <si>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</si>
  <si>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</si>
  <si>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</si>
  <si>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</si>
  <si>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</si>
  <si>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</si>
  <si>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</si>
  <si>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</si>
  <si>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</si>
  <si>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</si>
  <si>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</si>
  <si>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</si>
  <si>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</si>
  <si>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</si>
  <si>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</si>
  <si>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</si>
  <si>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</si>
  <si>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</si>
  <si>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</si>
  <si>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</si>
  <si>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</si>
  <si>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</si>
  <si>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</si>
  <si>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</si>
  <si>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</si>
  <si>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</si>
  <si>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</si>
  <si>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</si>
  <si>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</si>
  <si>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</si>
  <si>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</si>
  <si>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</si>
  <si>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</si>
  <si>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</si>
  <si>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</si>
  <si>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</si>
  <si>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</si>
  <si>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</si>
  <si>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</si>
  <si>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</si>
  <si>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</si>
  <si>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</si>
  <si>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</si>
  <si>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</si>
  <si>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</si>
  <si>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</si>
  <si>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</si>
  <si>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</si>
  <si>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</si>
  <si>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</si>
  <si>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</si>
  <si>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</si>
  <si>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</si>
  <si>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</si>
  <si>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</si>
  <si>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</si>
  <si>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</si>
  <si>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</si>
  <si>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</si>
  <si>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</si>
  <si>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</si>
  <si>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</si>
  <si>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</si>
  <si>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</si>
  <si>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</si>
  <si>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</si>
  <si>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</si>
  <si>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</si>
  <si>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</si>
  <si>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</si>
  <si>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</si>
  <si>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</si>
  <si>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</si>
  <si>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</si>
  <si>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</si>
  <si>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</si>
  <si>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</si>
  <si>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</si>
  <si>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</si>
  <si>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</si>
  <si>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</si>
  <si>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</si>
  <si>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</si>
  <si>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</si>
  <si>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</si>
  <si>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</si>
  <si>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</si>
  <si>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</si>
  <si>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</si>
  <si>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</si>
  <si>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</si>
  <si>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</si>
  <si>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</si>
  <si>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</si>
  <si>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</si>
  <si>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</si>
  <si>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</si>
  <si>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</si>
  <si>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</si>
  <si>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</si>
  <si>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</si>
  <si>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</si>
  <si>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</si>
  <si>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</si>
  <si>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</si>
  <si>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</si>
  <si>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</si>
  <si>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</si>
  <si>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</si>
  <si>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</si>
  <si>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</si>
  <si>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</si>
  <si>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</si>
  <si>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</si>
  <si>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</si>
  <si>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</si>
  <si>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</si>
  <si>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</si>
  <si>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</si>
  <si>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</si>
  <si>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</si>
  <si>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</si>
  <si>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</si>
  <si>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</si>
  <si>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</si>
  <si>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</si>
  <si>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</si>
  <si>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</si>
  <si>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</si>
  <si>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</si>
  <si>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</si>
  <si>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</si>
  <si>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</si>
  <si>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</si>
  <si>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</si>
  <si>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</si>
  <si>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</si>
  <si>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</si>
  <si>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</si>
  <si>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</si>
  <si>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</si>
  <si>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</si>
  <si>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</si>
  <si>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</si>
  <si>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</si>
  <si>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</si>
  <si>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</si>
  <si>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</si>
  <si>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</si>
  <si>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</si>
  <si>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</si>
  <si>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</si>
  <si>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</si>
  <si>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</si>
  <si>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</si>
  <si>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</si>
  <si>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</si>
  <si>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</si>
  <si>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</si>
  <si>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</si>
  <si>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</si>
  <si>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</si>
  <si>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</si>
  <si>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</si>
  <si>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</si>
  <si>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</si>
  <si>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</si>
  <si>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</si>
  <si>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</si>
  <si>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</si>
  <si>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</si>
  <si>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</si>
  <si>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</si>
  <si>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</si>
  <si>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</si>
  <si>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</si>
  <si>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</si>
  <si>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</si>
  <si>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</si>
  <si>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</si>
  <si>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</si>
  <si>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</si>
  <si>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</si>
  <si>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</si>
  <si>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</si>
  <si>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</si>
  <si>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</si>
  <si>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</si>
  <si>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</si>
  <si>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</si>
  <si>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</si>
  <si>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</si>
  <si>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</si>
  <si>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</si>
  <si>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</si>
  <si>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</si>
  <si>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</si>
  <si>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</si>
  <si>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</si>
  <si>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</si>
  <si>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</si>
  <si>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</si>
  <si>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</si>
  <si>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</si>
  <si>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</si>
  <si>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</si>
  <si>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</si>
  <si>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</si>
  <si>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</si>
  <si>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</si>
  <si>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</si>
  <si>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</si>
  <si>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</si>
  <si>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</si>
  <si>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</si>
  <si>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</si>
  <si>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</si>
  <si>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</si>
  <si>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</si>
  <si>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</si>
  <si>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</si>
  <si>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</si>
  <si>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</si>
  <si>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</si>
  <si>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</si>
  <si>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</si>
  <si>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</si>
  <si>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</si>
  <si>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</si>
  <si>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</si>
  <si>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</si>
  <si>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</si>
  <si>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</si>
  <si>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</si>
  <si>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</si>
  <si>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</si>
  <si>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</si>
  <si>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</si>
  <si>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</si>
  <si>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</si>
  <si>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</si>
  <si>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</si>
  <si>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</si>
  <si>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</si>
  <si>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</si>
  <si>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</si>
  <si>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</si>
  <si>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</si>
  <si>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</si>
  <si>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</si>
  <si>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</si>
  <si>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</si>
  <si>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</si>
  <si>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</si>
  <si>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</si>
  <si>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</si>
  <si>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</si>
  <si>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</si>
  <si>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</si>
  <si>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</si>
  <si>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</si>
  <si>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</si>
  <si>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</si>
  <si>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</si>
  <si>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</si>
  <si>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</si>
  <si>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</si>
  <si>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</si>
  <si>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</si>
  <si>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</si>
  <si>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</si>
  <si>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</si>
  <si>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</si>
  <si>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</si>
  <si>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</si>
  <si>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</si>
  <si>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</si>
  <si>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</si>
  <si>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</si>
  <si>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</si>
  <si>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</si>
  <si>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</si>
  <si>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</si>
  <si>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</si>
  <si>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</si>
  <si>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</si>
  <si>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</si>
  <si>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</si>
  <si>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</si>
  <si>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</si>
  <si>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</si>
  <si>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</si>
  <si>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</si>
  <si>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</si>
  <si>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</si>
  <si>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</si>
  <si>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</si>
  <si>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</si>
  <si>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</si>
  <si>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</si>
  <si>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</si>
  <si>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</si>
  <si>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</si>
  <si>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</si>
  <si>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</si>
  <si>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</si>
  <si>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</si>
  <si>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</si>
  <si>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</si>
  <si>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</si>
  <si>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</si>
  <si>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</si>
  <si>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</si>
  <si>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</si>
  <si>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</si>
  <si>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</si>
  <si>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</si>
  <si>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</si>
  <si>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</si>
  <si>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</si>
  <si>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</si>
  <si>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</si>
  <si>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</si>
  <si>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</si>
  <si>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</si>
  <si>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</si>
  <si>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</si>
  <si>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</si>
  <si>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</si>
  <si>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</si>
  <si>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</si>
  <si>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</si>
  <si>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</si>
  <si>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</si>
  <si>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</si>
  <si>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</si>
  <si>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</si>
  <si>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</si>
  <si>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</si>
  <si>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</si>
  <si>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</si>
  <si>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</si>
  <si>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</si>
  <si>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</si>
  <si>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</si>
  <si>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</si>
  <si>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</si>
  <si>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</si>
  <si>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</si>
  <si>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</si>
  <si>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</si>
  <si>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</si>
  <si>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</si>
  <si>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</si>
  <si>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</si>
  <si>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</si>
  <si>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</si>
  <si>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</si>
  <si>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</si>
  <si>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</si>
  <si>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</si>
  <si>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</si>
  <si>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</si>
  <si>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</si>
  <si>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</si>
  <si>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</si>
  <si>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</si>
  <si>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</si>
  <si>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</si>
  <si>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</si>
  <si>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</si>
  <si>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</si>
  <si>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</si>
  <si>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</si>
  <si>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</si>
  <si>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Download R&amp;R</t>
  </si>
  <si>
    <t>Download C&amp;NA</t>
  </si>
  <si>
    <t>Download plan</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</si>
  <si>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</si>
  <si>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</si>
  <si>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</si>
  <si>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</si>
  <si>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</si>
  <si>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</si>
  <si>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</si>
  <si>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</si>
  <si>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</si>
  <si>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</si>
  <si>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</si>
  <si>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</si>
  <si>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</si>
  <si>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</si>
  <si>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</si>
  <si>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</si>
  <si>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</si>
  <si>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</si>
  <si>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</si>
  <si>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</si>
  <si>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</si>
  <si>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</si>
  <si>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</si>
  <si>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</si>
  <si>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</si>
  <si>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</si>
  <si>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</si>
  <si>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</si>
  <si>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</si>
  <si>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</si>
  <si>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</si>
  <si>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</si>
  <si>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</si>
  <si>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</si>
  <si>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</si>
  <si>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</si>
  <si>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</si>
  <si>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</si>
  <si>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Download NDA</t>
  </si>
  <si>
    <t>CAS appraisal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</si>
</sst>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800-00000A000000}"/>
                </a:ext>
              </a:extLst>
            </xdr:cNvPr>
            <xdr:cNvPicPr>
              <a:picLocks noChangeAspect="1" noChangeArrowheads="1"/>
              <a:extLst>
                <a:ext uri="{84589F7E-364E-4C9E-8A38-B11213B215E9}">
                  <a14:cameraTool cellRange="StartupInfo!$B$15" spid="_x0000_s127201"/>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4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49" customWidth="1"/>
    <col min="2" max="16384" width="8.6640625" style="8"/>
  </cols>
  <sheetData>
    <row r="2" spans="1:1">
      <c r="A2" s="149" t="s">
        <v>1213</v>
      </c>
    </row>
    <row r="3" spans="1:1">
      <c r="A3" s="150" t="s">
        <v>1214</v>
      </c>
    </row>
    <row r="4" spans="1:1">
      <c r="A4" s="150"/>
    </row>
    <row r="5" spans="1:1">
      <c r="A5" s="149" t="s">
        <v>1219</v>
      </c>
    </row>
    <row r="6" spans="1:1" s="149" customFormat="1">
      <c r="A6" s="150" t="s">
        <v>1220</v>
      </c>
    </row>
    <row r="8" spans="1:1">
      <c r="A8" s="149" t="s">
        <v>1222</v>
      </c>
    </row>
    <row r="9" spans="1:1">
      <c r="A9" s="150" t="s">
        <v>1218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1185</v>
      </c>
    </row>
    <row r="4" spans="1:32">
      <c r="A4" s="43" t="s">
        <v>1035</v>
      </c>
      <c r="H4" s="214" t="s">
        <v>1101</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1221</v>
      </c>
      <c r="G6" s="149"/>
      <c r="H6" s="149"/>
      <c r="I6" s="149"/>
      <c r="J6" s="149"/>
      <c r="K6" s="149"/>
      <c r="L6" s="149"/>
      <c r="M6" s="149"/>
      <c r="N6" s="149"/>
    </row>
    <row r="7" spans="1:32">
      <c r="A7" s="44">
        <v>10</v>
      </c>
      <c r="B7" s="45">
        <v>44137</v>
      </c>
      <c r="C7" s="44" t="s">
        <v>836</v>
      </c>
      <c r="D7" s="56" t="s">
        <v>842</v>
      </c>
      <c r="G7" s="149"/>
      <c r="H7" s="197"/>
      <c r="I7" s="197"/>
      <c r="J7" s="197"/>
      <c r="K7" s="197"/>
      <c r="L7" s="197"/>
      <c r="M7" s="149"/>
      <c r="N7" s="198"/>
      <c r="O7" s="199"/>
      <c r="P7" s="199"/>
      <c r="Q7" s="199"/>
      <c r="R7" s="199"/>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1039</v>
      </c>
      <c r="G11" s="149"/>
      <c r="H11" s="149"/>
      <c r="I11" s="149"/>
      <c r="J11" s="149"/>
      <c r="K11" s="149"/>
      <c r="L11" s="149"/>
      <c r="M11" s="149"/>
      <c r="N11" s="149"/>
      <c r="O11" s="149"/>
      <c r="P11" s="8"/>
      <c r="Q11" s="8"/>
      <c r="R11" s="8"/>
      <c r="S11" s="8"/>
    </row>
    <row r="12" spans="1:32">
      <c r="A12" s="44">
        <v>25</v>
      </c>
      <c r="B12" s="45">
        <v>44153</v>
      </c>
      <c r="C12" s="44" t="s">
        <v>836</v>
      </c>
      <c r="D12" s="56" t="s">
        <v>1064</v>
      </c>
      <c r="G12" s="149"/>
      <c r="H12" s="149"/>
      <c r="I12" s="149"/>
      <c r="J12" s="149"/>
      <c r="K12" s="149"/>
      <c r="L12" s="149"/>
      <c r="M12" s="149"/>
      <c r="N12" s="149"/>
      <c r="O12" s="149"/>
      <c r="P12" s="8"/>
      <c r="Q12" s="8"/>
      <c r="R12" s="8"/>
      <c r="S12" s="8"/>
    </row>
    <row r="13" spans="1:32" ht="28.8">
      <c r="A13" s="44">
        <v>26</v>
      </c>
      <c r="B13" s="45">
        <v>44154</v>
      </c>
      <c r="C13" s="44" t="s">
        <v>836</v>
      </c>
      <c r="D13" s="56" t="s">
        <v>1070</v>
      </c>
      <c r="G13" s="149"/>
      <c r="H13" s="149"/>
      <c r="I13" s="149"/>
      <c r="J13" s="149"/>
      <c r="K13" s="149"/>
      <c r="L13" s="149"/>
      <c r="M13" s="149"/>
      <c r="N13" s="149"/>
      <c r="O13" s="149"/>
      <c r="P13" s="8"/>
      <c r="Q13" s="8"/>
      <c r="R13" s="8"/>
      <c r="S13" s="8"/>
    </row>
    <row r="14" spans="1:32">
      <c r="A14" s="44">
        <v>34</v>
      </c>
      <c r="B14" s="45">
        <v>44170</v>
      </c>
      <c r="C14" s="44" t="s">
        <v>836</v>
      </c>
      <c r="D14" s="56" t="s">
        <v>1149</v>
      </c>
      <c r="G14" s="149"/>
      <c r="H14" s="149"/>
      <c r="I14" s="149"/>
      <c r="J14" s="149"/>
      <c r="K14" s="149"/>
      <c r="L14" s="149"/>
      <c r="M14" s="149"/>
      <c r="N14" s="149"/>
      <c r="O14" s="149"/>
      <c r="P14" s="8"/>
      <c r="Q14" s="8"/>
      <c r="R14" s="8"/>
      <c r="S14" s="8"/>
    </row>
    <row r="15" spans="1:32">
      <c r="A15" s="44">
        <v>38</v>
      </c>
      <c r="B15" s="45">
        <v>44175</v>
      </c>
      <c r="C15" s="44" t="s">
        <v>836</v>
      </c>
      <c r="D15" s="56" t="s">
        <v>1184</v>
      </c>
      <c r="G15" s="149"/>
      <c r="H15" s="149"/>
      <c r="I15" s="149"/>
      <c r="J15" s="149"/>
      <c r="K15" s="149"/>
      <c r="L15" s="149"/>
      <c r="M15" s="149"/>
      <c r="N15" s="149"/>
      <c r="O15" s="149"/>
      <c r="P15" s="8"/>
      <c r="Q15" s="8"/>
      <c r="R15" s="8"/>
      <c r="S15" s="8"/>
    </row>
    <row r="16" spans="1:32" ht="28.8">
      <c r="A16" s="44">
        <v>43</v>
      </c>
      <c r="B16" s="45">
        <v>44231</v>
      </c>
      <c r="C16" s="44" t="s">
        <v>1327</v>
      </c>
      <c r="D16" s="56" t="s">
        <v>1628</v>
      </c>
      <c r="G16" s="149"/>
      <c r="H16" s="149"/>
      <c r="I16" s="149"/>
      <c r="J16" s="149"/>
      <c r="K16" s="149"/>
      <c r="L16" s="149"/>
      <c r="M16" s="149"/>
      <c r="N16" s="149"/>
      <c r="O16" s="149"/>
      <c r="P16" s="8"/>
      <c r="Q16" s="8"/>
      <c r="R16" s="8"/>
      <c r="S16" s="8"/>
    </row>
    <row r="17" spans="1:19" ht="28.8">
      <c r="A17" s="44">
        <v>50</v>
      </c>
      <c r="B17" s="45">
        <v>44314</v>
      </c>
      <c r="C17" s="44" t="s">
        <v>836</v>
      </c>
      <c r="D17" s="56" t="s">
        <v>1627</v>
      </c>
      <c r="G17" s="149"/>
      <c r="H17" s="149"/>
      <c r="I17" s="149"/>
      <c r="J17" s="149"/>
      <c r="K17" s="149"/>
      <c r="L17" s="149"/>
      <c r="M17" s="149"/>
      <c r="N17" s="149"/>
      <c r="O17" s="149"/>
      <c r="P17" s="8"/>
      <c r="Q17" s="8"/>
      <c r="R17" s="8"/>
      <c r="S17" s="8"/>
    </row>
    <row r="18" spans="1:19" ht="28.8">
      <c r="A18" s="44">
        <v>51</v>
      </c>
      <c r="B18" s="45">
        <v>44318</v>
      </c>
      <c r="C18" s="44" t="s">
        <v>836</v>
      </c>
      <c r="D18" s="56" t="s">
        <v>1634</v>
      </c>
      <c r="G18" s="149"/>
      <c r="H18" s="149"/>
      <c r="I18" s="149"/>
      <c r="J18" s="149"/>
      <c r="K18" s="149"/>
      <c r="L18" s="149"/>
      <c r="M18" s="149"/>
      <c r="N18" s="149"/>
      <c r="O18" s="149"/>
      <c r="P18" s="8"/>
      <c r="Q18" s="8"/>
      <c r="R18" s="8"/>
      <c r="S18" s="8"/>
    </row>
    <row r="19" spans="1:19">
      <c r="A19" s="44">
        <v>52</v>
      </c>
      <c r="B19" s="45">
        <v>44324</v>
      </c>
      <c r="C19" s="44" t="s">
        <v>836</v>
      </c>
      <c r="D19" s="56" t="s">
        <v>1635</v>
      </c>
      <c r="G19" s="149"/>
      <c r="H19" s="149"/>
      <c r="I19" s="149"/>
      <c r="J19" s="149"/>
      <c r="K19" s="149"/>
      <c r="L19" s="149"/>
      <c r="M19" s="149"/>
    </row>
    <row r="20" spans="1:19" ht="28.8">
      <c r="A20" s="44">
        <v>53</v>
      </c>
      <c r="B20" s="45">
        <v>44343</v>
      </c>
      <c r="C20" s="44" t="s">
        <v>836</v>
      </c>
      <c r="D20" s="56" t="s">
        <v>1637</v>
      </c>
    </row>
    <row r="21" spans="1:19">
      <c r="A21" s="44">
        <v>53</v>
      </c>
      <c r="B21" s="45">
        <v>44354</v>
      </c>
      <c r="C21" s="44" t="s">
        <v>1641</v>
      </c>
      <c r="D21" s="56" t="s">
        <v>1649</v>
      </c>
    </row>
    <row r="22" spans="1:19">
      <c r="A22" s="44">
        <v>56</v>
      </c>
      <c r="B22" s="45">
        <v>44463</v>
      </c>
      <c r="C22" s="44" t="s">
        <v>836</v>
      </c>
      <c r="D22" s="56" t="s">
        <v>1648</v>
      </c>
    </row>
    <row r="23" spans="1:19">
      <c r="A23" s="44">
        <v>57</v>
      </c>
      <c r="B23" s="45">
        <v>44566</v>
      </c>
      <c r="C23" s="44" t="s">
        <v>1641</v>
      </c>
      <c r="D23" s="56" t="s">
        <v>1650</v>
      </c>
    </row>
    <row r="24" spans="1:19">
      <c r="H24" s="8"/>
      <c r="I24" s="8"/>
      <c r="J24" s="8"/>
      <c r="K24" s="8"/>
      <c r="L24" s="8"/>
      <c r="M24" s="8"/>
      <c r="N24" s="8"/>
      <c r="O24" s="8"/>
      <c r="P24" s="8"/>
      <c r="Q24" s="8"/>
      <c r="R24" s="8"/>
    </row>
    <row r="25" spans="1:19">
      <c r="H25" s="200"/>
      <c r="I25" s="200"/>
      <c r="J25" s="200"/>
      <c r="K25" s="200"/>
      <c r="L25" s="200"/>
      <c r="M25" s="8"/>
      <c r="N25" s="201"/>
      <c r="O25" s="201"/>
      <c r="P25" s="201"/>
      <c r="Q25" s="201"/>
      <c r="R25" s="20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0" t="s">
        <v>1454</v>
      </c>
      <c r="D45" s="349" t="s">
        <v>1453</v>
      </c>
      <c r="H45" s="348" t="s">
        <v>1075</v>
      </c>
      <c r="I45" s="348"/>
      <c r="J45" s="348"/>
      <c r="K45" s="348"/>
      <c r="L45" s="348"/>
    </row>
    <row r="64" spans="2:19">
      <c r="B64" s="351" t="s">
        <v>1077</v>
      </c>
      <c r="C64" s="351"/>
      <c r="D64" s="352" t="s">
        <v>1078</v>
      </c>
      <c r="F64" s="353" t="s">
        <v>1080</v>
      </c>
      <c r="G64" s="353"/>
      <c r="H64" s="353"/>
      <c r="I64" s="353"/>
      <c r="K64" s="354" t="s">
        <v>1455</v>
      </c>
      <c r="L64" s="354"/>
      <c r="M64" s="354"/>
      <c r="N64" s="354"/>
      <c r="P64" s="356" t="s">
        <v>1076</v>
      </c>
      <c r="Q64" s="355"/>
      <c r="R64" s="355"/>
      <c r="S64" s="355"/>
    </row>
    <row r="84" spans="6:8">
      <c r="F84" s="361" t="s">
        <v>1468</v>
      </c>
      <c r="G84" s="361"/>
      <c r="H84" s="360"/>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3" t="s">
        <v>1241</v>
      </c>
      <c r="B1" s="293"/>
    </row>
    <row r="2" spans="1:2" ht="43.2">
      <c r="A2" s="116" t="s">
        <v>1242</v>
      </c>
      <c r="B2" s="116" t="s">
        <v>1243</v>
      </c>
    </row>
    <row r="3" spans="1:2">
      <c r="B3" s="294" t="s">
        <v>1244</v>
      </c>
    </row>
    <row r="4" spans="1:2">
      <c r="B4" s="295" t="s">
        <v>1245</v>
      </c>
    </row>
    <row r="5" spans="1:2" ht="28.8">
      <c r="B5" s="296" t="s">
        <v>1246</v>
      </c>
    </row>
    <row r="7" spans="1:2" ht="72">
      <c r="A7" s="116" t="s">
        <v>1247</v>
      </c>
      <c r="B7" s="116" t="s">
        <v>1248</v>
      </c>
    </row>
    <row r="9" spans="1:2" ht="28.8">
      <c r="A9" s="116" t="s">
        <v>1249</v>
      </c>
      <c r="B9" s="116" t="s">
        <v>1250</v>
      </c>
    </row>
    <row r="11" spans="1:2">
      <c r="A11" s="293" t="s">
        <v>1251</v>
      </c>
      <c r="B11" s="293"/>
    </row>
    <row r="12" spans="1:2">
      <c r="A12" s="116" t="s">
        <v>1215</v>
      </c>
      <c r="B12" s="116" t="s">
        <v>1252</v>
      </c>
    </row>
    <row r="13" spans="1:2" ht="43.2">
      <c r="A13" s="116" t="s">
        <v>1186</v>
      </c>
      <c r="B13" s="116" t="s">
        <v>1253</v>
      </c>
    </row>
    <row r="14" spans="1:2">
      <c r="A14" s="116" t="s">
        <v>1254</v>
      </c>
      <c r="B14" s="116" t="s">
        <v>1255</v>
      </c>
    </row>
    <row r="15" spans="1:2" ht="57.6">
      <c r="A15" s="116" t="s">
        <v>938</v>
      </c>
      <c r="B15" s="116" t="s">
        <v>1256</v>
      </c>
    </row>
    <row r="16" spans="1:2" ht="43.2">
      <c r="A16" s="124" t="s">
        <v>939</v>
      </c>
      <c r="B16" s="116" t="s">
        <v>1257</v>
      </c>
    </row>
    <row r="17" spans="1:2">
      <c r="A17" s="124" t="s">
        <v>951</v>
      </c>
      <c r="B17" s="116" t="s">
        <v>1258</v>
      </c>
    </row>
    <row r="18" spans="1:2" ht="28.8">
      <c r="A18" s="124" t="s">
        <v>940</v>
      </c>
      <c r="B18" s="116" t="s">
        <v>1259</v>
      </c>
    </row>
    <row r="19" spans="1:2" ht="43.2">
      <c r="A19" s="124" t="s">
        <v>1167</v>
      </c>
      <c r="B19" s="116" t="s">
        <v>1260</v>
      </c>
    </row>
    <row r="20" spans="1:2">
      <c r="A20" s="124" t="s">
        <v>992</v>
      </c>
      <c r="B20" s="116" t="s">
        <v>1261</v>
      </c>
    </row>
    <row r="21" spans="1:2">
      <c r="A21" s="124" t="s">
        <v>1262</v>
      </c>
    </row>
    <row r="22" spans="1:2">
      <c r="A22" s="124" t="s">
        <v>1263</v>
      </c>
    </row>
    <row r="23" spans="1:2">
      <c r="A23" s="124" t="s">
        <v>1264</v>
      </c>
    </row>
    <row r="24" spans="1:2">
      <c r="A24" s="124" t="s">
        <v>1265</v>
      </c>
    </row>
    <row r="25" spans="1:2">
      <c r="A25" s="124" t="s">
        <v>944</v>
      </c>
    </row>
    <row r="26" spans="1:2">
      <c r="A26" s="124" t="s">
        <v>945</v>
      </c>
    </row>
    <row r="27" spans="1:2">
      <c r="A27" s="124" t="s">
        <v>946</v>
      </c>
    </row>
    <row r="28" spans="1:2">
      <c r="A28" s="124" t="s">
        <v>1216</v>
      </c>
    </row>
    <row r="29" spans="1:2">
      <c r="A29" s="124" t="s">
        <v>1217</v>
      </c>
    </row>
    <row r="30" spans="1:2">
      <c r="A30" s="124" t="s">
        <v>664</v>
      </c>
    </row>
    <row r="31" spans="1:2">
      <c r="A31" s="124" t="s">
        <v>1266</v>
      </c>
    </row>
    <row r="32" spans="1:2">
      <c r="A32" s="124" t="s">
        <v>942</v>
      </c>
    </row>
    <row r="33" spans="1:1">
      <c r="A33" s="124" t="s">
        <v>1267</v>
      </c>
    </row>
    <row r="34" spans="1:1">
      <c r="A34" s="124" t="s">
        <v>1268</v>
      </c>
    </row>
    <row r="35" spans="1:1">
      <c r="A35" s="124" t="s">
        <v>1269</v>
      </c>
    </row>
    <row r="36" spans="1:1">
      <c r="A36" s="124" t="s">
        <v>1270</v>
      </c>
    </row>
    <row r="37" spans="1:1">
      <c r="A37" s="124" t="s">
        <v>943</v>
      </c>
    </row>
    <row r="38" spans="1:1">
      <c r="A38" s="124" t="s">
        <v>1038</v>
      </c>
    </row>
    <row r="39" spans="1:1">
      <c r="A39" s="124" t="s">
        <v>1124</v>
      </c>
    </row>
    <row r="40" spans="1:1">
      <c r="A40" s="124" t="s">
        <v>1036</v>
      </c>
    </row>
    <row r="41" spans="1:1">
      <c r="A41" s="124" t="s">
        <v>1037</v>
      </c>
    </row>
    <row r="42" spans="1:1">
      <c r="A42" s="124" t="s">
        <v>988</v>
      </c>
    </row>
    <row r="43" spans="1:1">
      <c r="A43" s="124" t="s">
        <v>1125</v>
      </c>
    </row>
    <row r="44" spans="1:1">
      <c r="A44" s="124" t="s">
        <v>1126</v>
      </c>
    </row>
    <row r="45" spans="1:1">
      <c r="A45" s="124" t="s">
        <v>1127</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3"/>
      <c r="B2" s="103" t="s">
        <v>1579</v>
      </c>
      <c r="C2" s="103" t="s">
        <v>1580</v>
      </c>
      <c r="D2" s="103" t="s">
        <v>1276</v>
      </c>
      <c r="E2" s="103" t="s">
        <v>1277</v>
      </c>
      <c r="F2" s="103" t="s">
        <v>1286</v>
      </c>
      <c r="G2" s="103" t="s">
        <v>1278</v>
      </c>
      <c r="H2" s="103" t="s">
        <v>1180</v>
      </c>
      <c r="AD2" s="314"/>
      <c r="AE2" s="314"/>
      <c r="AF2" s="314"/>
    </row>
    <row r="7" spans="1:32" s="77" customFormat="1">
      <c r="A7" t="s">
        <v>1215</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1186</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1254</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1167</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1170</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1171</v>
      </c>
      <c r="B17" s="131"/>
      <c r="C17" s="131"/>
      <c r="D17" s="131"/>
      <c r="E17" s="131"/>
      <c r="F17" s="131"/>
      <c r="G17" s="131"/>
      <c r="H17" s="131"/>
      <c r="I17" s="127">
        <f t="shared" si="0"/>
        <v>0</v>
      </c>
      <c r="K17" s="128"/>
      <c r="AD17" s="77"/>
      <c r="AE17" s="77"/>
      <c r="AF17" s="77"/>
    </row>
    <row r="18" spans="1:32" s="127" customFormat="1">
      <c r="A18" t="s">
        <v>1172</v>
      </c>
      <c r="B18" s="131"/>
      <c r="C18" s="131"/>
      <c r="D18" s="131"/>
      <c r="E18" s="131"/>
      <c r="F18" s="131"/>
      <c r="G18" s="131"/>
      <c r="H18" s="131"/>
      <c r="I18" s="127">
        <f t="shared" si="0"/>
        <v>0</v>
      </c>
      <c r="K18" s="128"/>
      <c r="AD18" s="77"/>
      <c r="AE18" s="77"/>
      <c r="AF18" s="77"/>
    </row>
    <row r="19" spans="1:32" s="127" customFormat="1">
      <c r="A19" t="s">
        <v>1555</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1216</v>
      </c>
      <c r="B23" s="131"/>
      <c r="C23" s="131"/>
      <c r="D23" s="131"/>
      <c r="E23" s="131"/>
      <c r="F23" s="131"/>
      <c r="G23" s="131"/>
      <c r="H23" s="131"/>
      <c r="I23" s="127">
        <f t="shared" si="0"/>
        <v>0</v>
      </c>
      <c r="K23" s="128"/>
      <c r="AD23" s="77"/>
      <c r="AE23" s="77"/>
      <c r="AF23" s="77"/>
    </row>
    <row r="24" spans="1:32" s="127" customFormat="1">
      <c r="A24" t="s">
        <v>1217</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1159</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1287</v>
      </c>
      <c r="B28" s="131"/>
      <c r="C28" s="131"/>
      <c r="D28" s="131"/>
      <c r="E28" s="131"/>
      <c r="F28" s="131" t="s">
        <v>410</v>
      </c>
      <c r="G28" s="131"/>
      <c r="H28" s="131"/>
      <c r="I28" s="127">
        <f t="shared" si="0"/>
        <v>1</v>
      </c>
      <c r="K28" s="128"/>
      <c r="AD28" s="77"/>
      <c r="AE28" s="77"/>
      <c r="AF28" s="77"/>
    </row>
    <row r="29" spans="1:32" s="127" customFormat="1">
      <c r="A29" t="s">
        <v>1484</v>
      </c>
      <c r="B29" s="131"/>
      <c r="C29" s="131"/>
      <c r="D29" s="131"/>
      <c r="E29" s="131"/>
      <c r="F29" s="131"/>
      <c r="G29" s="131"/>
      <c r="H29" s="131"/>
      <c r="I29" s="127">
        <f t="shared" si="0"/>
        <v>0</v>
      </c>
      <c r="K29" s="128"/>
      <c r="AD29" s="77"/>
      <c r="AE29" s="77"/>
      <c r="AF29" s="77"/>
    </row>
    <row r="30" spans="1:32">
      <c r="A30" t="s">
        <v>1485</v>
      </c>
      <c r="I30" s="127">
        <f t="shared" si="0"/>
        <v>0</v>
      </c>
    </row>
    <row r="31" spans="1:32">
      <c r="A31" t="s">
        <v>1486</v>
      </c>
      <c r="I31" s="127">
        <f t="shared" si="0"/>
        <v>0</v>
      </c>
    </row>
    <row r="32" spans="1:32">
      <c r="A32" t="s">
        <v>1038</v>
      </c>
      <c r="I32" s="127">
        <f t="shared" si="0"/>
        <v>0</v>
      </c>
    </row>
    <row r="33" spans="1:9">
      <c r="A33" t="s">
        <v>1483</v>
      </c>
      <c r="I33" s="127">
        <f t="shared" si="0"/>
        <v>0</v>
      </c>
    </row>
    <row r="34" spans="1:9">
      <c r="A34" t="s">
        <v>1322</v>
      </c>
      <c r="B34" s="131" t="s">
        <v>410</v>
      </c>
      <c r="I34" s="127">
        <f t="shared" si="0"/>
        <v>1</v>
      </c>
    </row>
    <row r="35" spans="1:9">
      <c r="A35" t="s">
        <v>1323</v>
      </c>
      <c r="B35" s="131" t="s">
        <v>410</v>
      </c>
      <c r="I35" s="127">
        <f t="shared" si="0"/>
        <v>1</v>
      </c>
    </row>
    <row r="36" spans="1:9">
      <c r="A36" t="s">
        <v>1324</v>
      </c>
      <c r="C36" s="131" t="s">
        <v>410</v>
      </c>
      <c r="I36" s="127">
        <f t="shared" si="0"/>
        <v>1</v>
      </c>
    </row>
    <row r="37" spans="1:9">
      <c r="A37" t="s">
        <v>1325</v>
      </c>
      <c r="C37" s="131" t="s">
        <v>410</v>
      </c>
      <c r="I37" s="127">
        <f t="shared" si="0"/>
        <v>1</v>
      </c>
    </row>
    <row r="38" spans="1:9">
      <c r="A38" t="s">
        <v>1326</v>
      </c>
      <c r="C38" s="131" t="s">
        <v>410</v>
      </c>
      <c r="I38" s="127">
        <f t="shared" si="0"/>
        <v>1</v>
      </c>
    </row>
    <row r="39" spans="1:9">
      <c r="A39" t="s">
        <v>1127</v>
      </c>
      <c r="I39" s="127">
        <f t="shared" si="0"/>
        <v>0</v>
      </c>
    </row>
    <row r="40" spans="1:9">
      <c r="A40" t="s">
        <v>1179</v>
      </c>
      <c r="I40" s="127">
        <f t="shared" si="0"/>
        <v>0</v>
      </c>
    </row>
    <row r="41" spans="1:9">
      <c r="A41" t="s">
        <v>1173</v>
      </c>
      <c r="I41" s="127">
        <f t="shared" si="0"/>
        <v>0</v>
      </c>
    </row>
    <row r="42" spans="1:9">
      <c r="A42" t="s">
        <v>1174</v>
      </c>
      <c r="I42" s="127">
        <f t="shared" si="0"/>
        <v>0</v>
      </c>
    </row>
    <row r="43" spans="1:9">
      <c r="A43" t="s">
        <v>1175</v>
      </c>
      <c r="I43" s="127">
        <f t="shared" si="0"/>
        <v>0</v>
      </c>
    </row>
    <row r="44" spans="1:9">
      <c r="A44" t="s">
        <v>1036</v>
      </c>
      <c r="I44" s="127">
        <f t="shared" si="0"/>
        <v>0</v>
      </c>
    </row>
    <row r="45" spans="1:9">
      <c r="A45" t="s">
        <v>1037</v>
      </c>
      <c r="I45" s="127">
        <f t="shared" si="0"/>
        <v>0</v>
      </c>
    </row>
    <row r="46" spans="1:9">
      <c r="A46" t="s">
        <v>1487</v>
      </c>
      <c r="I46" s="127">
        <f t="shared" si="0"/>
        <v>0</v>
      </c>
    </row>
    <row r="47" spans="1:9">
      <c r="A47" t="s">
        <v>1488</v>
      </c>
      <c r="I47" s="127">
        <f t="shared" si="0"/>
        <v>0</v>
      </c>
    </row>
    <row r="48" spans="1:9">
      <c r="A48" t="s">
        <v>1489</v>
      </c>
      <c r="I48" s="127">
        <f t="shared" si="0"/>
        <v>0</v>
      </c>
    </row>
    <row r="49" spans="1:9">
      <c r="A49" t="s">
        <v>1490</v>
      </c>
      <c r="I49" s="127">
        <f t="shared" si="0"/>
        <v>0</v>
      </c>
    </row>
    <row r="50" spans="1:9">
      <c r="A50" t="s">
        <v>1491</v>
      </c>
      <c r="I50" s="127">
        <f t="shared" si="0"/>
        <v>0</v>
      </c>
    </row>
    <row r="51" spans="1:9">
      <c r="A51" t="s">
        <v>1492</v>
      </c>
      <c r="I51" s="127">
        <f t="shared" si="0"/>
        <v>0</v>
      </c>
    </row>
    <row r="52" spans="1:9">
      <c r="A52" t="s">
        <v>1493</v>
      </c>
      <c r="I52" s="127">
        <f t="shared" si="0"/>
        <v>0</v>
      </c>
    </row>
    <row r="53" spans="1:9">
      <c r="A53" t="s">
        <v>947</v>
      </c>
      <c r="I53" s="127">
        <f t="shared" si="0"/>
        <v>0</v>
      </c>
    </row>
    <row r="54" spans="1:9">
      <c r="A54" t="s">
        <v>1277</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4"/>
  <sheetViews>
    <sheetView tabSelected="1" topLeftCell="A31" zoomScale="90" zoomScaleNormal="90" workbookViewId="0">
      <selection activeCell="B63" sqref="B63"/>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54" t="s">
        <v>1720</v>
      </c>
      <c r="B1" s="455"/>
    </row>
    <row r="2" spans="1:3" s="50" customFormat="1" ht="15.6">
      <c r="A2" s="51" t="s">
        <v>1710</v>
      </c>
      <c r="B2" s="51" t="s">
        <v>1721</v>
      </c>
      <c r="C2" s="49"/>
    </row>
    <row r="3" spans="1:3" s="50" customFormat="1" ht="15.6">
      <c r="A3" s="49" t="s">
        <v>1722</v>
      </c>
      <c r="B3" s="456" t="str">
        <f>'Agreement 3'!B42</f>
        <v>barbara.land@email.com</v>
      </c>
      <c r="C3" s="49"/>
    </row>
    <row r="4" spans="1:3" s="50" customFormat="1" ht="15.6">
      <c r="A4" s="49" t="s">
        <v>1723</v>
      </c>
      <c r="B4" s="456" t="str">
        <f>_xlfn.CONCAT('Agreement 3'!B31,"; ",'Agreement 3'!B36)</f>
        <v>donald.kessler@email.com; nathalie.lake@email.com</v>
      </c>
      <c r="C4" s="49"/>
    </row>
    <row r="5" spans="1:3" s="124" customFormat="1">
      <c r="A5" s="124" t="s">
        <v>1711</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1724</v>
      </c>
      <c r="B8" s="192" t="str">
        <f>'Agreement 3'!B28</f>
        <v>Prof Kessler, Donald</v>
      </c>
    </row>
    <row r="9" spans="1:3" s="124" customFormat="1">
      <c r="A9" s="124" t="s">
        <v>1725</v>
      </c>
      <c r="B9" s="192" t="str">
        <f>'Agreement 3'!B16</f>
        <v>Software for Mars (Pty) Ltd</v>
      </c>
    </row>
    <row r="10" spans="1:3" s="124" customFormat="1">
      <c r="A10" s="124" t="s">
        <v>1726</v>
      </c>
      <c r="B10" s="192" t="str">
        <f>'Agreement 3'!B29</f>
        <v>The Boss</v>
      </c>
    </row>
    <row r="11" spans="1:3" s="124" customFormat="1">
      <c r="A11" s="124" t="s">
        <v>1727</v>
      </c>
      <c r="B11" s="192" t="str">
        <f>'Agreement 3'!B30</f>
        <v>+000 1111 2222</v>
      </c>
    </row>
    <row r="12" spans="1:3" s="124" customFormat="1">
      <c r="A12" s="124" t="s">
        <v>1728</v>
      </c>
      <c r="B12" s="192" t="str">
        <f>'Agreement 3'!B31</f>
        <v>donald.kessler@email.com</v>
      </c>
    </row>
    <row r="13" spans="1:3" s="124" customFormat="1">
      <c r="B13" s="192"/>
    </row>
    <row r="14" spans="1:3" s="124" customFormat="1">
      <c r="A14" s="124" t="s">
        <v>1729</v>
      </c>
      <c r="B14" s="192" t="str">
        <f>'Agreement 3'!B33</f>
        <v>Miss Lake, Nathalie</v>
      </c>
    </row>
    <row r="15" spans="1:3" s="124" customFormat="1">
      <c r="A15" s="124" t="s">
        <v>1730</v>
      </c>
      <c r="B15" s="457">
        <f ca="1">Planning!B27-TODAY()</f>
        <v>-412</v>
      </c>
    </row>
    <row r="16" spans="1:3" s="124" customFormat="1"/>
    <row r="17" spans="1:3" s="50" customFormat="1" ht="15.6">
      <c r="A17" s="51" t="s">
        <v>1731</v>
      </c>
      <c r="B17" s="51" t="s">
        <v>1732</v>
      </c>
      <c r="C17" s="49"/>
    </row>
    <row r="18" spans="1:3" s="124" customFormat="1">
      <c r="A18" s="124" t="s">
        <v>1733</v>
      </c>
      <c r="B18" s="124" t="str">
        <f>_xlfn.CONCAT('P1PA-SS'!V92,"; ",'P1PA-SS'!V93)</f>
        <v>atm1.email@gmail.com; atm2.email@gmail.com</v>
      </c>
    </row>
    <row r="19" spans="1:3" s="124" customFormat="1">
      <c r="A19" s="124" t="s">
        <v>1711</v>
      </c>
      <c r="B19" s="124" t="str">
        <f>_xlfn.CONCAT('Agreement 3'!B16, " (CASID",'Agreement 3'!B5,") | CAS review before submission")</f>
        <v>Software for Mars (Pty) Ltd (CASID53517) | CAS review before submission</v>
      </c>
    </row>
    <row r="20" spans="1:3" s="124" customFormat="1">
      <c r="A20" s="124" t="s">
        <v>1734</v>
      </c>
      <c r="B20" s="124" t="str">
        <f>_xlfn.CONCAT('P1PA-SS'!B92," and ",'P1PA-SS'!B93)</f>
        <v>ATM-1 and ATM-2</v>
      </c>
    </row>
    <row r="21" spans="1:3" s="124" customFormat="1">
      <c r="A21" s="124" t="s">
        <v>1735</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1736</v>
      </c>
      <c r="B24" s="51" t="s">
        <v>1737</v>
      </c>
      <c r="C24" s="49"/>
    </row>
    <row r="25" spans="1:3" s="124" customFormat="1">
      <c r="A25" s="124" t="s">
        <v>1722</v>
      </c>
      <c r="B25" s="192" t="str">
        <f>'Agreement 3'!B42</f>
        <v>barbara.land@email.com</v>
      </c>
    </row>
    <row r="26" spans="1:3" s="124" customFormat="1">
      <c r="A26" s="124" t="s">
        <v>1738</v>
      </c>
      <c r="B26" s="124" t="str">
        <f>_xlfn.CONCAT('Agreement 3'!B31,"; ",'Agreement 3'!B36,"; ",'P1PA-SS'!V92,"; ",'P1PA-SS'!V93)</f>
        <v>donald.kessler@email.com; nathalie.lake@email.com; atm1.email@gmail.com; atm2.email@gmail.com</v>
      </c>
    </row>
    <row r="27" spans="1:3" s="124" customFormat="1">
      <c r="A27" s="124" t="s">
        <v>1711</v>
      </c>
      <c r="B27" s="124" t="str">
        <f>_xlfn.CONCAT('Agreement 3'!B16," (CASID",'Agreement 3'!B5,") | Random sample and OEdb")</f>
        <v>Software for Mars (Pty) Ltd (CASID53517) | Random sample and OEdb</v>
      </c>
    </row>
    <row r="28" spans="1:3" s="124" customFormat="1">
      <c r="A28" s="124" t="s">
        <v>1739</v>
      </c>
      <c r="B28" s="192" t="str">
        <f>'Agreement 3'!B38</f>
        <v>Miss Land, Barbara</v>
      </c>
    </row>
    <row r="29" spans="1:3" s="124" customFormat="1">
      <c r="A29" s="124" t="s">
        <v>1740</v>
      </c>
      <c r="B29" s="192" t="str">
        <f>'Agreement 3'!B33</f>
        <v>Miss Lake, Nathalie</v>
      </c>
    </row>
    <row r="30" spans="1:3" s="124" customFormat="1"/>
    <row r="31" spans="1:3" s="124" customFormat="1">
      <c r="A31" s="124" t="s">
        <v>1741</v>
      </c>
      <c r="B31" s="124" t="str">
        <f>'P1PA-SS'!B92</f>
        <v>ATM-1</v>
      </c>
    </row>
    <row r="32" spans="1:3" s="124" customFormat="1"/>
    <row r="33" spans="1:3" s="50" customFormat="1" ht="15.6">
      <c r="A33" s="51" t="s">
        <v>1717</v>
      </c>
      <c r="B33" s="51" t="s">
        <v>1742</v>
      </c>
      <c r="C33" s="49"/>
    </row>
    <row r="34" spans="1:3" s="124" customFormat="1">
      <c r="A34" s="124" t="s">
        <v>1743</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1711</v>
      </c>
      <c r="B35" s="192" t="str">
        <f>_xlfn.CONCAT('Agreement 3'!B16," (CASID",'Agreement 3'!B5,") | Please sign CAS documents")</f>
        <v>Software for Mars (Pty) Ltd (CASID53517) | Please sign CAS documents</v>
      </c>
    </row>
    <row r="36" spans="1:3" s="124" customFormat="1">
      <c r="B36" s="192"/>
    </row>
    <row r="37" spans="1:3" s="124" customFormat="1">
      <c r="A37" s="124" t="s">
        <v>1724</v>
      </c>
      <c r="B37" s="192" t="str">
        <f>'Agreement 3'!B28</f>
        <v>Prof Kessler, Donald</v>
      </c>
    </row>
    <row r="38" spans="1:3" s="124" customFormat="1">
      <c r="A38" s="124" t="s">
        <v>1744</v>
      </c>
      <c r="B38" s="192" t="str">
        <f>_xlfn.CONCAT("https://cmmiinstitute.com/appraisals-sys/appraisals/",'Agreement 3'!B5,"/roles-responsibilities")</f>
        <v>https://cmmiinstitute.com/appraisals-sys/appraisals/53517/roles-responsibilities</v>
      </c>
    </row>
    <row r="39" spans="1:3" s="124" customFormat="1">
      <c r="A39" s="124" t="s">
        <v>1718</v>
      </c>
      <c r="B39" s="192" t="str">
        <f>_xlfn.CONCAT("https://cmmiinstitute.com/appraisals-sys/appraisals/",'Agreement 3'!B5,"/confidentiality-agreement")</f>
        <v>https://cmmiinstitute.com/appraisals-sys/appraisals/53517/confidentiality-agreement</v>
      </c>
    </row>
    <row r="40" spans="1:3" s="124" customFormat="1">
      <c r="A40" s="124" t="s">
        <v>1719</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1745</v>
      </c>
      <c r="B42" s="192" t="str">
        <f>_xlfn.CONCAT('Agreement 3'!B33," and ",'Agreement 3'!B38)</f>
        <v>Miss Lake, Nathalie and Miss Land, Barbara</v>
      </c>
    </row>
    <row r="43" spans="1:3" s="124" customFormat="1">
      <c r="A43" s="124" t="s">
        <v>1718</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1746</v>
      </c>
      <c r="B45" s="192" t="str">
        <f>_xlfn.CONCAT('P1PA-SS'!B92,", ",'P1PA-SS'!B93,", ",'P1PA-SS'!B94,", ",'P1PA-SS'!B95,", ",'P1PA-SS'!B96,", ",'P1PA-SS'!B97,", ",'P1PA-SS'!B98,", ",'P1PA-SS'!B99,", and ",'P1PA-SS'!B100)</f>
        <v>ATM-1, ATM-2, ATM-3, ATM-4, ATM-5, ATM-6, ATM-7, ATM-8, and ATM-9</v>
      </c>
    </row>
    <row r="46" spans="1:3" s="124" customFormat="1">
      <c r="A46" s="124" t="s">
        <v>1718</v>
      </c>
      <c r="B46" s="192" t="str">
        <f>_xlfn.CONCAT("https://cmmiinstitute.com/appraisals-sys/appraisals/",'Agreement 3'!B5,"/confidentiality-agreement")</f>
        <v>https://cmmiinstitute.com/appraisals-sys/appraisals/53517/confidentiality-agreement</v>
      </c>
    </row>
    <row r="47" spans="1:3" s="124" customFormat="1">
      <c r="A47" s="124" t="s">
        <v>1719</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1712</v>
      </c>
      <c r="B49" s="51" t="s">
        <v>1747</v>
      </c>
      <c r="C49" s="49"/>
    </row>
    <row r="50" spans="1:3" s="124" customFormat="1">
      <c r="A50" s="124" t="s">
        <v>1748</v>
      </c>
      <c r="B50" s="192" t="str">
        <f>'Agreement 3'!B31</f>
        <v>donald.kessler@email.com</v>
      </c>
    </row>
    <row r="51" spans="1:3" s="124" customFormat="1">
      <c r="A51" s="124" t="s">
        <v>1749</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1711</v>
      </c>
      <c r="B52" s="124" t="str">
        <f>_xlfn.CONCAT('Agreement 3'!B16," (CASID",'Agreement 3'!B5,") | Readiness review completed")</f>
        <v>Software for Mars (Pty) Ltd (CASID53517) | Readiness review completed</v>
      </c>
    </row>
    <row r="53" spans="1:3" s="124" customFormat="1">
      <c r="A53" s="124" t="s">
        <v>1713</v>
      </c>
      <c r="B53" s="192" t="str">
        <f>'Agreement 3'!B28</f>
        <v>Prof Kessler, Donald</v>
      </c>
    </row>
    <row r="54" spans="1:3" s="124" customFormat="1">
      <c r="A54" s="124" t="s">
        <v>1714</v>
      </c>
      <c r="B54" s="192" t="str">
        <f>_xlfn.CONCAT("https://cmmiinstitute.com/appraisals-sys/appraisals/",'Agreement 3'!B5,"/roles-responsibilities")</f>
        <v>https://cmmiinstitute.com/appraisals-sys/appraisals/53517/roles-responsibilities</v>
      </c>
    </row>
    <row r="55" spans="1:3" s="124" customFormat="1">
      <c r="A55" s="124" t="s">
        <v>1715</v>
      </c>
      <c r="B55" s="192" t="str">
        <f>_xlfn.CONCAT("https://cmmiinstitute.com/appraisals-sys/appraisals/",'Agreement 3'!B5,"/confidentiality-agreement")</f>
        <v>https://cmmiinstitute.com/appraisals-sys/appraisals/53517/confidentiality-agreement</v>
      </c>
    </row>
    <row r="56" spans="1:3" s="124" customFormat="1">
      <c r="A56" s="124" t="s">
        <v>1716</v>
      </c>
      <c r="B56" s="192" t="str">
        <f>_xlfn.CONCAT("https://cmmiinstitute.com/appraisals-sys/appraisals/",'Agreement 3'!B5,"/appraisal-plan-summary")</f>
        <v>https://cmmiinstitute.com/appraisals-sys/appraisals/53517/appraisal-plan-summary</v>
      </c>
    </row>
    <row r="57" spans="1:3" s="124" customFormat="1">
      <c r="A57" s="124" t="s">
        <v>1755</v>
      </c>
      <c r="B57" s="192" t="str">
        <f>_xlfn.CONCAT("https://cmmiinstitute.com/appraisals-sys/appraisals/",'Agreement 3'!B5,"/appraisal-disclosure-statement")</f>
        <v>https://cmmiinstitute.com/appraisals-sys/appraisals/53517/appraisal-disclosure-statement</v>
      </c>
    </row>
    <row r="58" spans="1:3" s="124" customFormat="1"/>
    <row r="59" spans="1:3" s="50" customFormat="1" ht="15.6">
      <c r="A59" s="51" t="s">
        <v>1731</v>
      </c>
      <c r="B59" s="51" t="s">
        <v>1754</v>
      </c>
      <c r="C59" s="49"/>
    </row>
    <row r="60" spans="1:3" s="124" customFormat="1">
      <c r="A60" s="124" t="s">
        <v>1733</v>
      </c>
      <c r="B60" s="124" t="str">
        <f>_xlfn.CONCAT('P1PA-SS'!V92,"; ",'P1PA-SS'!V93)</f>
        <v>atm1.email@gmail.com; atm2.email@gmail.com</v>
      </c>
    </row>
    <row r="61" spans="1:3" s="124" customFormat="1">
      <c r="A61" s="124" t="s">
        <v>1711</v>
      </c>
      <c r="B61" s="124" t="str">
        <f>_xlfn.CONCAT('Agreement 3'!B16, " (CASID",'Agreement 3'!B5,") | CAS review before submission")</f>
        <v>Software for Mars (Pty) Ltd (CASID53517) | CAS review before submission</v>
      </c>
    </row>
    <row r="62" spans="1:3" s="124" customFormat="1">
      <c r="A62" s="124" t="s">
        <v>1734</v>
      </c>
      <c r="B62" s="124" t="str">
        <f>_xlfn.CONCAT('P1PA-SS'!B92," and ",'P1PA-SS'!B93,", please review the appraisal for me before I submitt it. The SPS file and CAS link is below.")</f>
        <v>ATM-1 and ATM-2, please review the appraisal for me before I submitt it. The SPS file and CAS link is below.</v>
      </c>
    </row>
    <row r="63" spans="1:3" s="124" customFormat="1">
      <c r="A63" s="124" t="s">
        <v>1735</v>
      </c>
      <c r="B63" s="124" t="str">
        <f>Planning!B7</f>
        <v>2021-04-12to04-16 (A5) C53517 SoftMARS</v>
      </c>
    </row>
    <row r="64" spans="1:3" s="124" customFormat="1">
      <c r="A64" s="124" t="s">
        <v>1756</v>
      </c>
      <c r="B64"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1494</v>
      </c>
    </row>
    <row r="3" spans="1:2">
      <c r="A3" s="2" t="s">
        <v>2</v>
      </c>
      <c r="B3" s="323"/>
    </row>
    <row r="4" spans="1:2">
      <c r="A4" s="2" t="s">
        <v>719</v>
      </c>
      <c r="B4" s="3" t="s">
        <v>1495</v>
      </c>
    </row>
    <row r="5" spans="1:2">
      <c r="A5" s="2" t="s">
        <v>1573</v>
      </c>
      <c r="B5" s="4">
        <v>53517</v>
      </c>
    </row>
    <row r="6" spans="1:2">
      <c r="A6" s="5" t="s">
        <v>3</v>
      </c>
      <c r="B6" s="5"/>
    </row>
    <row r="7" spans="1:2">
      <c r="A7" s="2" t="s">
        <v>4</v>
      </c>
      <c r="B7" s="6" t="s">
        <v>1496</v>
      </c>
    </row>
    <row r="8" spans="1:2">
      <c r="A8" s="2" t="s">
        <v>5</v>
      </c>
      <c r="B8" s="6" t="s">
        <v>6</v>
      </c>
    </row>
    <row r="9" spans="1:2">
      <c r="A9" s="2" t="s">
        <v>7</v>
      </c>
      <c r="B9" s="6" t="s">
        <v>1497</v>
      </c>
    </row>
    <row r="10" spans="1:2" ht="55.2">
      <c r="A10" s="2" t="s">
        <v>8</v>
      </c>
      <c r="B10" s="6" t="s">
        <v>1498</v>
      </c>
    </row>
    <row r="11" spans="1:2">
      <c r="A11" s="2" t="s">
        <v>1100</v>
      </c>
      <c r="B11" s="6" t="s">
        <v>1499</v>
      </c>
    </row>
    <row r="12" spans="1:2">
      <c r="A12" s="2" t="s">
        <v>9</v>
      </c>
      <c r="B12" s="6" t="s">
        <v>1500</v>
      </c>
    </row>
    <row r="13" spans="1:2">
      <c r="A13" s="2" t="s">
        <v>10</v>
      </c>
      <c r="B13" s="6" t="s">
        <v>1501</v>
      </c>
    </row>
    <row r="14" spans="1:2">
      <c r="A14" s="2" t="s">
        <v>11</v>
      </c>
      <c r="B14" s="6" t="s">
        <v>1502</v>
      </c>
    </row>
    <row r="15" spans="1:2">
      <c r="A15" s="5" t="s">
        <v>12</v>
      </c>
      <c r="B15" s="5"/>
    </row>
    <row r="16" spans="1:2">
      <c r="A16" s="2" t="s">
        <v>13</v>
      </c>
      <c r="B16" s="82" t="s">
        <v>1556</v>
      </c>
    </row>
    <row r="17" spans="1:2">
      <c r="A17" s="2" t="s">
        <v>14</v>
      </c>
      <c r="B17" s="297" t="s">
        <v>1557</v>
      </c>
    </row>
    <row r="18" spans="1:2">
      <c r="A18" s="2" t="s">
        <v>15</v>
      </c>
      <c r="B18" s="6" t="s">
        <v>1558</v>
      </c>
    </row>
    <row r="19" spans="1:2">
      <c r="A19" s="2" t="s">
        <v>16</v>
      </c>
      <c r="B19" s="6" t="s">
        <v>1559</v>
      </c>
    </row>
    <row r="20" spans="1:2">
      <c r="A20" s="2" t="s">
        <v>17</v>
      </c>
      <c r="B20" s="6" t="s">
        <v>1557</v>
      </c>
    </row>
    <row r="21" spans="1:2">
      <c r="A21" s="5" t="s">
        <v>19</v>
      </c>
      <c r="B21" s="5"/>
    </row>
    <row r="22" spans="1:2">
      <c r="A22" s="2" t="s">
        <v>20</v>
      </c>
      <c r="B22" s="297">
        <v>44174</v>
      </c>
    </row>
    <row r="23" spans="1:2">
      <c r="A23" s="2" t="s">
        <v>21</v>
      </c>
      <c r="B23" s="298" t="s">
        <v>1560</v>
      </c>
    </row>
    <row r="24" spans="1:2">
      <c r="A24" s="2" t="s">
        <v>22</v>
      </c>
      <c r="B24" s="298">
        <v>44302</v>
      </c>
    </row>
    <row r="25" spans="1:2">
      <c r="A25" s="2" t="s">
        <v>23</v>
      </c>
      <c r="B25" s="297">
        <v>44298</v>
      </c>
    </row>
    <row r="26" spans="1:2">
      <c r="A26" s="2" t="s">
        <v>24</v>
      </c>
      <c r="B26" s="298">
        <v>44302</v>
      </c>
    </row>
    <row r="27" spans="1:2">
      <c r="A27" s="5" t="s">
        <v>25</v>
      </c>
      <c r="B27" s="22"/>
    </row>
    <row r="28" spans="1:2">
      <c r="A28" s="2" t="s">
        <v>4</v>
      </c>
      <c r="B28" s="297" t="s">
        <v>1561</v>
      </c>
    </row>
    <row r="29" spans="1:2">
      <c r="A29" s="2" t="s">
        <v>7</v>
      </c>
      <c r="B29" s="297" t="s">
        <v>1562</v>
      </c>
    </row>
    <row r="30" spans="1:2">
      <c r="A30" s="2" t="s">
        <v>9</v>
      </c>
      <c r="B30" s="297" t="s">
        <v>1503</v>
      </c>
    </row>
    <row r="31" spans="1:2">
      <c r="A31" s="2" t="s">
        <v>10</v>
      </c>
      <c r="B31" s="27" t="s">
        <v>1563</v>
      </c>
    </row>
    <row r="32" spans="1:2">
      <c r="A32" s="5" t="s">
        <v>26</v>
      </c>
      <c r="B32" s="5"/>
    </row>
    <row r="33" spans="1:5">
      <c r="A33" s="2" t="s">
        <v>4</v>
      </c>
      <c r="B33" s="324" t="s">
        <v>1564</v>
      </c>
    </row>
    <row r="34" spans="1:5">
      <c r="A34" s="2" t="s">
        <v>5</v>
      </c>
      <c r="B34" s="425" t="str">
        <f>B16</f>
        <v>Software for Mars (Pty) Ltd</v>
      </c>
      <c r="C34" s="116"/>
    </row>
    <row r="35" spans="1:5">
      <c r="A35" s="2" t="s">
        <v>9</v>
      </c>
      <c r="B35" s="325" t="s">
        <v>1504</v>
      </c>
    </row>
    <row r="36" spans="1:5">
      <c r="A36" s="2" t="s">
        <v>10</v>
      </c>
      <c r="B36" s="326" t="s">
        <v>1565</v>
      </c>
    </row>
    <row r="37" spans="1:5">
      <c r="A37" s="5" t="s">
        <v>27</v>
      </c>
      <c r="B37" s="5"/>
    </row>
    <row r="38" spans="1:5">
      <c r="A38" s="2" t="s">
        <v>4</v>
      </c>
      <c r="B38" s="297" t="s">
        <v>1566</v>
      </c>
    </row>
    <row r="39" spans="1:5">
      <c r="A39" s="2" t="s">
        <v>5</v>
      </c>
      <c r="B39" s="297" t="s">
        <v>1328</v>
      </c>
    </row>
    <row r="40" spans="1:5">
      <c r="A40" s="2" t="s">
        <v>7</v>
      </c>
      <c r="B40" s="297" t="s">
        <v>423</v>
      </c>
    </row>
    <row r="41" spans="1:5">
      <c r="A41" s="2" t="s">
        <v>9</v>
      </c>
      <c r="B41" s="298" t="s">
        <v>1505</v>
      </c>
    </row>
    <row r="42" spans="1:5">
      <c r="A42" s="2" t="s">
        <v>10</v>
      </c>
      <c r="B42" s="87" t="s">
        <v>1567</v>
      </c>
    </row>
    <row r="43" spans="1:5">
      <c r="A43" s="7" t="s">
        <v>28</v>
      </c>
      <c r="B43" s="5"/>
    </row>
    <row r="44" spans="1:5">
      <c r="A44" s="2" t="s">
        <v>4</v>
      </c>
      <c r="B44" s="6" t="s">
        <v>1224</v>
      </c>
      <c r="D44" t="s">
        <v>1145</v>
      </c>
      <c r="E44" t="s">
        <v>1118</v>
      </c>
    </row>
    <row r="45" spans="1:5">
      <c r="A45" s="2" t="s">
        <v>5</v>
      </c>
      <c r="B45" s="6" t="s">
        <v>6</v>
      </c>
      <c r="D45" t="s">
        <v>6</v>
      </c>
      <c r="E45" t="s">
        <v>1119</v>
      </c>
    </row>
    <row r="46" spans="1:5">
      <c r="A46" s="2" t="s">
        <v>9</v>
      </c>
      <c r="B46" s="6" t="s">
        <v>1122</v>
      </c>
      <c r="D46" t="s">
        <v>1122</v>
      </c>
      <c r="E46" t="s">
        <v>1120</v>
      </c>
    </row>
    <row r="47" spans="1:5">
      <c r="A47" s="2" t="s">
        <v>10</v>
      </c>
      <c r="B47" s="27" t="s">
        <v>1123</v>
      </c>
      <c r="D47" t="s">
        <v>1123</v>
      </c>
      <c r="E47" t="s">
        <v>1121</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workbookViewId="0">
      <selection activeCell="A54" sqref="A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454" t="s">
        <v>753</v>
      </c>
      <c r="B1" s="455"/>
    </row>
    <row r="2" spans="1:3" s="50" customFormat="1" ht="15.6">
      <c r="A2" s="51" t="s">
        <v>711</v>
      </c>
      <c r="B2" s="51"/>
      <c r="C2" s="49"/>
    </row>
    <row r="3" spans="1:3">
      <c r="A3" s="11" t="s">
        <v>706</v>
      </c>
      <c r="B3" s="89" t="str">
        <f>'Agreement 3'!B16</f>
        <v>Software for Mars (Pty) Ltd</v>
      </c>
      <c r="C3" s="11" t="s">
        <v>990</v>
      </c>
    </row>
    <row r="4" spans="1:3">
      <c r="A4" s="11" t="s">
        <v>705</v>
      </c>
      <c r="B4" s="11" t="s">
        <v>1568</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1581</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1569</v>
      </c>
    </row>
    <row r="16" spans="1:3">
      <c r="A16" s="11" t="s">
        <v>756</v>
      </c>
      <c r="B16" s="91">
        <f>'Agreement 3'!B5</f>
        <v>53517</v>
      </c>
      <c r="C16" s="11" t="s">
        <v>990</v>
      </c>
    </row>
    <row r="18" spans="1:3" s="50" customFormat="1" ht="15.6">
      <c r="A18" s="51" t="s">
        <v>950</v>
      </c>
      <c r="B18" s="51"/>
      <c r="C18" s="49"/>
    </row>
    <row r="19" spans="1:3" s="50" customFormat="1" ht="15.6">
      <c r="A19" s="50" t="s">
        <v>865</v>
      </c>
      <c r="B19" s="412" t="s">
        <v>1329</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1114</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1116</v>
      </c>
      <c r="B35" s="50">
        <v>0</v>
      </c>
    </row>
    <row r="36" spans="1:5" s="116" customFormat="1">
      <c r="A36" s="116" t="s">
        <v>1115</v>
      </c>
      <c r="B36" s="238">
        <f>B35+B32</f>
        <v>44302</v>
      </c>
      <c r="C36" s="116" t="s">
        <v>991</v>
      </c>
    </row>
    <row r="37" spans="1:5" s="116" customFormat="1" ht="15.6">
      <c r="A37" s="116" t="s">
        <v>1330</v>
      </c>
      <c r="B37" s="50">
        <v>21</v>
      </c>
    </row>
    <row r="38" spans="1:5" s="116" customFormat="1">
      <c r="A38" s="116" t="s">
        <v>1117</v>
      </c>
      <c r="B38" s="238">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7" t="s">
        <v>1207</v>
      </c>
      <c r="C43" s="119" t="s">
        <v>875</v>
      </c>
      <c r="D43" s="124" t="s">
        <v>1068</v>
      </c>
    </row>
    <row r="44" spans="1:5" s="119" customFormat="1" ht="43.2">
      <c r="A44" s="119" t="s">
        <v>594</v>
      </c>
      <c r="B44" s="88" t="s">
        <v>1331</v>
      </c>
      <c r="C44" s="119" t="s">
        <v>875</v>
      </c>
      <c r="D44" s="124" t="s">
        <v>1068</v>
      </c>
    </row>
    <row r="45" spans="1:5" s="50" customFormat="1" ht="59.7" customHeight="1">
      <c r="A45" s="50" t="s">
        <v>1065</v>
      </c>
      <c r="B45" s="416"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zoomScale="85" zoomScaleNormal="85" workbookViewId="0">
      <selection activeCell="C20" sqref="C20"/>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1571</v>
      </c>
    </row>
    <row r="6" spans="1:3" s="83" customFormat="1" ht="14.4">
      <c r="A6" s="83" t="s">
        <v>32</v>
      </c>
      <c r="B6" s="116" t="s">
        <v>1570</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1575</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300" t="s">
        <v>1572</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13"/>
    </row>
    <row r="17" spans="1:3">
      <c r="A17" s="51" t="s">
        <v>848</v>
      </c>
      <c r="B17" s="51"/>
    </row>
    <row r="18" spans="1:3">
      <c r="A18" s="50" t="s">
        <v>849</v>
      </c>
      <c r="B18" s="88" t="s">
        <v>1332</v>
      </c>
    </row>
    <row r="19" spans="1:3">
      <c r="A19" s="50" t="s">
        <v>850</v>
      </c>
      <c r="B19" s="88"/>
    </row>
    <row r="20" spans="1:3">
      <c r="A20" s="50" t="s">
        <v>851</v>
      </c>
      <c r="B20" s="88" t="s">
        <v>1506</v>
      </c>
    </row>
    <row r="21" spans="1:3" ht="86.4">
      <c r="A21" s="50" t="s">
        <v>852</v>
      </c>
      <c r="B21" s="410" t="s">
        <v>1574</v>
      </c>
      <c r="C21" s="305"/>
    </row>
    <row r="22" spans="1:3" ht="31.2">
      <c r="A22" s="50" t="s">
        <v>853</v>
      </c>
      <c r="B22" s="54" t="s">
        <v>347</v>
      </c>
      <c r="C22" s="49" t="s">
        <v>384</v>
      </c>
    </row>
    <row r="23" spans="1:3">
      <c r="A23" s="50" t="s">
        <v>854</v>
      </c>
      <c r="B23" s="50">
        <v>2481632</v>
      </c>
    </row>
    <row r="24" spans="1:3" ht="46.8">
      <c r="A24" s="50" t="s">
        <v>966</v>
      </c>
      <c r="B24" s="327" t="s">
        <v>1482</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1069</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1480</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9" t="s">
        <v>1161</v>
      </c>
      <c r="AC1" s="458" t="s">
        <v>1162</v>
      </c>
      <c r="AD1" s="458"/>
      <c r="AE1" s="458"/>
      <c r="AF1" s="458"/>
      <c r="AG1" s="458"/>
      <c r="AH1" s="458"/>
      <c r="AI1" s="458"/>
      <c r="AJ1" s="458"/>
    </row>
    <row r="2" spans="1:36" s="399" customFormat="1" ht="69.599999999999994">
      <c r="A2" s="397" t="s">
        <v>871</v>
      </c>
      <c r="B2" s="397" t="s">
        <v>13</v>
      </c>
      <c r="C2" s="397" t="s">
        <v>382</v>
      </c>
      <c r="D2" s="397" t="s">
        <v>872</v>
      </c>
      <c r="E2" s="397" t="s">
        <v>1132</v>
      </c>
      <c r="F2" s="398" t="s">
        <v>1133</v>
      </c>
      <c r="G2" s="398" t="s">
        <v>1134</v>
      </c>
      <c r="H2" s="397" t="s">
        <v>1478</v>
      </c>
      <c r="I2" s="260" t="s">
        <v>1481</v>
      </c>
      <c r="J2" s="261" t="s">
        <v>873</v>
      </c>
      <c r="K2" s="261" t="s">
        <v>874</v>
      </c>
      <c r="L2" s="261" t="s">
        <v>827</v>
      </c>
      <c r="M2" s="261" t="s">
        <v>875</v>
      </c>
      <c r="N2" s="261" t="s">
        <v>876</v>
      </c>
      <c r="O2" s="261" t="s">
        <v>877</v>
      </c>
      <c r="P2" s="261" t="s">
        <v>878</v>
      </c>
      <c r="Q2" s="261" t="s">
        <v>879</v>
      </c>
      <c r="R2" s="261" t="s">
        <v>880</v>
      </c>
      <c r="S2" s="261" t="s">
        <v>881</v>
      </c>
      <c r="T2" s="261" t="s">
        <v>745</v>
      </c>
      <c r="U2" s="261" t="s">
        <v>882</v>
      </c>
      <c r="V2" s="261" t="s">
        <v>883</v>
      </c>
      <c r="W2" s="261" t="s">
        <v>884</v>
      </c>
      <c r="X2" s="261" t="s">
        <v>885</v>
      </c>
      <c r="Y2" s="261" t="s">
        <v>743</v>
      </c>
      <c r="Z2" s="261" t="s">
        <v>886</v>
      </c>
      <c r="AA2" s="261" t="s">
        <v>887</v>
      </c>
      <c r="AB2" s="260"/>
      <c r="AC2" s="262" t="s">
        <v>1163</v>
      </c>
      <c r="AD2" s="262" t="s">
        <v>1164</v>
      </c>
      <c r="AE2" s="262" t="s">
        <v>1631</v>
      </c>
      <c r="AF2" s="262" t="s">
        <v>1165</v>
      </c>
      <c r="AG2" s="262" t="s">
        <v>1632</v>
      </c>
      <c r="AH2" s="262" t="s">
        <v>1633</v>
      </c>
      <c r="AI2" s="262" t="s">
        <v>1141</v>
      </c>
      <c r="AJ2" s="263" t="s">
        <v>1166</v>
      </c>
    </row>
    <row r="3" spans="1:36" s="264" customFormat="1" ht="13.8">
      <c r="A3" s="265" t="s">
        <v>888</v>
      </c>
      <c r="B3" s="264" t="s">
        <v>1705</v>
      </c>
      <c r="C3" s="265" t="s">
        <v>1507</v>
      </c>
      <c r="D3" s="265" t="s">
        <v>1135</v>
      </c>
      <c r="E3" s="265" t="s">
        <v>1338</v>
      </c>
      <c r="F3" s="266">
        <v>44021</v>
      </c>
      <c r="G3" s="266">
        <v>44260</v>
      </c>
      <c r="H3" s="265" t="s">
        <v>1340</v>
      </c>
      <c r="I3" s="267" t="s">
        <v>1479</v>
      </c>
      <c r="J3" s="268" t="s">
        <v>1086</v>
      </c>
      <c r="K3" s="268" t="s">
        <v>1086</v>
      </c>
      <c r="L3" s="268"/>
      <c r="M3" s="268"/>
      <c r="N3" s="268"/>
      <c r="O3" s="268"/>
      <c r="P3" s="268"/>
      <c r="Q3" s="268"/>
      <c r="R3" s="268"/>
      <c r="S3" s="268"/>
      <c r="T3" s="268"/>
      <c r="U3" s="268"/>
      <c r="V3" s="268"/>
      <c r="W3" s="268"/>
      <c r="X3" s="268"/>
      <c r="Y3" s="268"/>
      <c r="Z3" s="268"/>
      <c r="AA3" s="268"/>
      <c r="AB3" s="267" t="s">
        <v>1709</v>
      </c>
      <c r="AC3" s="269" t="s">
        <v>1290</v>
      </c>
      <c r="AD3" s="269"/>
      <c r="AE3" s="269"/>
      <c r="AF3" s="269"/>
      <c r="AG3" s="269"/>
      <c r="AH3" s="269"/>
      <c r="AI3" s="269"/>
      <c r="AJ3" s="270"/>
    </row>
    <row r="4" spans="1:36" s="264" customFormat="1" ht="13.8">
      <c r="A4" s="265" t="s">
        <v>889</v>
      </c>
      <c r="B4" s="264" t="s">
        <v>1706</v>
      </c>
      <c r="C4" s="265" t="s">
        <v>1510</v>
      </c>
      <c r="D4" s="265" t="s">
        <v>1135</v>
      </c>
      <c r="E4" s="299" t="s">
        <v>1338</v>
      </c>
      <c r="F4" s="271">
        <v>44086</v>
      </c>
      <c r="G4" s="271">
        <v>44258</v>
      </c>
      <c r="H4" s="265" t="s">
        <v>1340</v>
      </c>
      <c r="I4" s="267" t="s">
        <v>1479</v>
      </c>
      <c r="J4" s="268"/>
      <c r="K4" s="268"/>
      <c r="L4" s="268"/>
      <c r="M4" s="268" t="s">
        <v>1086</v>
      </c>
      <c r="N4" s="268" t="s">
        <v>1086</v>
      </c>
      <c r="O4" s="268" t="s">
        <v>1086</v>
      </c>
      <c r="P4" s="268"/>
      <c r="Q4" s="268"/>
      <c r="R4" s="268"/>
      <c r="S4" s="268"/>
      <c r="T4" s="268"/>
      <c r="U4" s="268"/>
      <c r="V4" s="268"/>
      <c r="W4" s="268"/>
      <c r="X4" s="268"/>
      <c r="Y4" s="268"/>
      <c r="Z4" s="268"/>
      <c r="AA4" s="268"/>
      <c r="AB4" s="267" t="s">
        <v>1709</v>
      </c>
      <c r="AC4" s="269" t="s">
        <v>1290</v>
      </c>
      <c r="AD4" s="269"/>
      <c r="AE4" s="269"/>
      <c r="AF4" s="269"/>
      <c r="AG4" s="269"/>
      <c r="AH4" s="269"/>
      <c r="AI4" s="269"/>
      <c r="AJ4" s="270"/>
    </row>
    <row r="5" spans="1:36" s="264" customFormat="1" ht="13.8">
      <c r="A5" s="265" t="s">
        <v>890</v>
      </c>
      <c r="B5" s="264" t="s">
        <v>1707</v>
      </c>
      <c r="C5" s="265" t="s">
        <v>1512</v>
      </c>
      <c r="D5" s="265" t="s">
        <v>1135</v>
      </c>
      <c r="E5" s="299" t="s">
        <v>1338</v>
      </c>
      <c r="F5" s="271">
        <v>44062</v>
      </c>
      <c r="G5" s="271">
        <v>44247</v>
      </c>
      <c r="H5" s="265" t="s">
        <v>1340</v>
      </c>
      <c r="I5" s="267" t="s">
        <v>1479</v>
      </c>
      <c r="J5" s="268"/>
      <c r="K5" s="268"/>
      <c r="L5" s="268"/>
      <c r="M5" s="268"/>
      <c r="N5" s="268"/>
      <c r="O5" s="268"/>
      <c r="P5" s="268"/>
      <c r="Q5" s="268"/>
      <c r="R5" s="268"/>
      <c r="S5" s="268"/>
      <c r="T5" s="268"/>
      <c r="U5" s="268" t="s">
        <v>1086</v>
      </c>
      <c r="V5" s="268" t="s">
        <v>1086</v>
      </c>
      <c r="W5" s="268" t="s">
        <v>1086</v>
      </c>
      <c r="X5" s="268"/>
      <c r="Y5" s="268"/>
      <c r="Z5" s="268"/>
      <c r="AA5" s="268"/>
      <c r="AB5" s="267" t="s">
        <v>1709</v>
      </c>
      <c r="AC5" s="269"/>
      <c r="AD5" s="269" t="s">
        <v>1290</v>
      </c>
      <c r="AE5" s="269"/>
      <c r="AF5" s="269"/>
      <c r="AG5" s="269"/>
      <c r="AH5" s="269"/>
      <c r="AI5" s="269"/>
      <c r="AJ5" s="270"/>
    </row>
    <row r="6" spans="1:36" s="264" customFormat="1" ht="13.8">
      <c r="A6" s="265" t="s">
        <v>891</v>
      </c>
      <c r="B6" s="264" t="s">
        <v>1708</v>
      </c>
      <c r="C6" s="271" t="s">
        <v>1514</v>
      </c>
      <c r="D6" s="265" t="s">
        <v>1135</v>
      </c>
      <c r="E6" s="299" t="s">
        <v>1338</v>
      </c>
      <c r="F6" s="271" t="s">
        <v>1339</v>
      </c>
      <c r="G6" s="271">
        <v>44265</v>
      </c>
      <c r="H6" s="299" t="s">
        <v>1340</v>
      </c>
      <c r="I6" s="267" t="s">
        <v>1479</v>
      </c>
      <c r="J6" s="268"/>
      <c r="K6" s="268"/>
      <c r="L6" s="268"/>
      <c r="M6" s="268"/>
      <c r="N6" s="268"/>
      <c r="O6" s="268"/>
      <c r="P6" s="268"/>
      <c r="Q6" s="268"/>
      <c r="R6" s="268"/>
      <c r="S6" s="268" t="s">
        <v>1086</v>
      </c>
      <c r="T6" s="268"/>
      <c r="U6" s="268"/>
      <c r="V6" s="268"/>
      <c r="W6" s="268"/>
      <c r="X6" s="268"/>
      <c r="Y6" s="268"/>
      <c r="Z6" s="268"/>
      <c r="AA6" s="268"/>
      <c r="AB6" s="267" t="s">
        <v>1709</v>
      </c>
      <c r="AC6" s="269"/>
      <c r="AD6" s="269" t="s">
        <v>410</v>
      </c>
      <c r="AE6" s="269"/>
      <c r="AF6" s="269"/>
      <c r="AG6" s="269"/>
      <c r="AH6" s="269"/>
      <c r="AI6" s="269"/>
      <c r="AJ6" s="270"/>
    </row>
    <row r="7" spans="1:36" s="264" customFormat="1" ht="27.6">
      <c r="A7" s="273" t="s">
        <v>893</v>
      </c>
      <c r="B7" s="273" t="s">
        <v>1701</v>
      </c>
      <c r="C7" s="273" t="s">
        <v>1515</v>
      </c>
      <c r="D7" s="273" t="s">
        <v>1136</v>
      </c>
      <c r="E7" s="274"/>
      <c r="F7" s="275"/>
      <c r="G7" s="275"/>
      <c r="H7" s="299" t="s">
        <v>1340</v>
      </c>
      <c r="I7" s="268" t="s">
        <v>941</v>
      </c>
      <c r="J7" s="268"/>
      <c r="K7" s="268"/>
      <c r="L7" s="268"/>
      <c r="M7" s="268"/>
      <c r="N7" s="268"/>
      <c r="O7" s="268"/>
      <c r="P7" s="268"/>
      <c r="Q7" s="268"/>
      <c r="R7" s="268"/>
      <c r="S7" s="268"/>
      <c r="T7" s="268"/>
      <c r="U7" s="268"/>
      <c r="V7" s="268"/>
      <c r="W7" s="268"/>
      <c r="X7" s="268"/>
      <c r="Y7" s="268" t="s">
        <v>1151</v>
      </c>
      <c r="Z7" s="268"/>
      <c r="AA7" s="268"/>
      <c r="AB7" s="272">
        <v>1</v>
      </c>
      <c r="AC7" s="269"/>
      <c r="AD7" s="269"/>
      <c r="AE7" s="269" t="s">
        <v>410</v>
      </c>
      <c r="AF7" s="269"/>
      <c r="AG7" s="269"/>
      <c r="AH7" s="269"/>
      <c r="AI7" s="269"/>
      <c r="AJ7" s="270"/>
    </row>
    <row r="8" spans="1:36" s="264" customFormat="1" ht="69">
      <c r="A8" s="273" t="s">
        <v>894</v>
      </c>
      <c r="B8" s="273" t="s">
        <v>1702</v>
      </c>
      <c r="C8" s="273" t="s">
        <v>1516</v>
      </c>
      <c r="D8" s="273" t="s">
        <v>1136</v>
      </c>
      <c r="E8" s="274"/>
      <c r="F8" s="275"/>
      <c r="G8" s="275"/>
      <c r="H8" s="299" t="s">
        <v>1340</v>
      </c>
      <c r="I8" s="268" t="s">
        <v>941</v>
      </c>
      <c r="J8" s="268"/>
      <c r="K8" s="268"/>
      <c r="L8" s="268"/>
      <c r="M8" s="268"/>
      <c r="N8" s="268"/>
      <c r="O8" s="268"/>
      <c r="P8" s="268" t="s">
        <v>1151</v>
      </c>
      <c r="Q8" s="268" t="s">
        <v>1151</v>
      </c>
      <c r="R8" s="268" t="s">
        <v>1151</v>
      </c>
      <c r="S8" s="268"/>
      <c r="T8" s="268"/>
      <c r="U8" s="268"/>
      <c r="V8" s="268"/>
      <c r="W8" s="268"/>
      <c r="X8" s="268" t="s">
        <v>1151</v>
      </c>
      <c r="Y8" s="268"/>
      <c r="Z8" s="268" t="s">
        <v>1151</v>
      </c>
      <c r="AA8" s="268"/>
      <c r="AB8" s="272" t="s">
        <v>1709</v>
      </c>
      <c r="AC8" s="269"/>
      <c r="AD8" s="269"/>
      <c r="AE8" s="269"/>
      <c r="AF8" s="269" t="s">
        <v>410</v>
      </c>
      <c r="AG8" s="269" t="s">
        <v>410</v>
      </c>
      <c r="AH8" s="269"/>
      <c r="AI8" s="269"/>
      <c r="AJ8" s="270"/>
    </row>
    <row r="9" spans="1:36" s="264" customFormat="1" ht="41.4">
      <c r="A9" s="273" t="s">
        <v>895</v>
      </c>
      <c r="B9" s="273" t="s">
        <v>1703</v>
      </c>
      <c r="C9" s="273" t="s">
        <v>1517</v>
      </c>
      <c r="D9" s="273" t="s">
        <v>1136</v>
      </c>
      <c r="E9" s="274"/>
      <c r="F9" s="275"/>
      <c r="G9" s="275"/>
      <c r="H9" s="299" t="s">
        <v>1340</v>
      </c>
      <c r="I9" s="268" t="s">
        <v>941</v>
      </c>
      <c r="J9" s="268"/>
      <c r="K9" s="268"/>
      <c r="L9" s="268"/>
      <c r="M9" s="268"/>
      <c r="N9" s="268"/>
      <c r="O9" s="268"/>
      <c r="P9" s="268"/>
      <c r="Q9" s="268"/>
      <c r="R9" s="268"/>
      <c r="S9" s="268"/>
      <c r="T9" s="268" t="s">
        <v>1151</v>
      </c>
      <c r="U9" s="268"/>
      <c r="V9" s="268"/>
      <c r="W9" s="268"/>
      <c r="X9" s="268"/>
      <c r="Y9" s="268"/>
      <c r="Z9" s="268"/>
      <c r="AA9" s="268"/>
      <c r="AB9" s="272">
        <v>1</v>
      </c>
      <c r="AC9" s="269"/>
      <c r="AD9" s="269"/>
      <c r="AE9" s="269"/>
      <c r="AF9" s="269"/>
      <c r="AG9" s="269"/>
      <c r="AH9" s="269" t="s">
        <v>410</v>
      </c>
      <c r="AI9" s="269"/>
      <c r="AJ9" s="270"/>
    </row>
    <row r="10" spans="1:36" s="264" customFormat="1" ht="27.6">
      <c r="A10" s="273" t="s">
        <v>896</v>
      </c>
      <c r="B10" s="273" t="s">
        <v>1704</v>
      </c>
      <c r="C10" s="273" t="s">
        <v>1518</v>
      </c>
      <c r="D10" s="273" t="s">
        <v>1136</v>
      </c>
      <c r="E10" s="274"/>
      <c r="F10" s="275"/>
      <c r="G10" s="275"/>
      <c r="H10" s="299" t="s">
        <v>1340</v>
      </c>
      <c r="I10" s="268" t="s">
        <v>941</v>
      </c>
      <c r="J10" s="268"/>
      <c r="K10" s="268"/>
      <c r="L10" s="268" t="s">
        <v>1151</v>
      </c>
      <c r="M10" s="268"/>
      <c r="N10" s="268"/>
      <c r="O10" s="268"/>
      <c r="P10" s="268"/>
      <c r="Q10" s="268"/>
      <c r="R10" s="268"/>
      <c r="S10" s="268"/>
      <c r="T10" s="268"/>
      <c r="U10" s="268"/>
      <c r="V10" s="268"/>
      <c r="W10" s="268"/>
      <c r="X10" s="268"/>
      <c r="Y10" s="268"/>
      <c r="Z10" s="268"/>
      <c r="AA10" s="268"/>
      <c r="AB10" s="272">
        <v>1</v>
      </c>
      <c r="AC10" s="269"/>
      <c r="AD10" s="269"/>
      <c r="AE10" s="269"/>
      <c r="AF10" s="269"/>
      <c r="AG10" s="269"/>
      <c r="AH10" s="269"/>
      <c r="AI10" s="269" t="s">
        <v>410</v>
      </c>
      <c r="AJ10" s="270"/>
    </row>
    <row r="20" spans="3:3">
      <c r="C20" s="116"/>
    </row>
    <row r="23" spans="3:3">
      <c r="C23" s="417" t="s">
        <v>1626</v>
      </c>
    </row>
    <row r="24" spans="3:3" ht="40.5" customHeight="1">
      <c r="C24" s="116" t="s">
        <v>1585</v>
      </c>
    </row>
    <row r="25" spans="3:3" ht="40.5" customHeight="1">
      <c r="C25" s="116" t="s">
        <v>1584</v>
      </c>
    </row>
    <row r="26" spans="3:3" ht="40.5" customHeight="1">
      <c r="C26" s="116" t="s">
        <v>1583</v>
      </c>
    </row>
    <row r="27" spans="3:3" ht="40.5" customHeight="1">
      <c r="C27" s="116" t="s">
        <v>1586</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E37" sqref="E37"/>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1" t="s">
        <v>1007</v>
      </c>
      <c r="B1" s="302"/>
      <c r="C1" s="303"/>
      <c r="D1" s="304"/>
      <c r="E1" s="312"/>
      <c r="F1" s="259">
        <f t="shared" ref="F1:Y1" si="0">COUNTIF(F3:F1048576,"=x")</f>
        <v>5</v>
      </c>
      <c r="G1" s="259">
        <f t="shared" si="0"/>
        <v>1</v>
      </c>
      <c r="H1" s="259">
        <f t="shared" si="0"/>
        <v>6</v>
      </c>
      <c r="I1" s="259">
        <f t="shared" si="0"/>
        <v>4</v>
      </c>
      <c r="J1" s="259">
        <f t="shared" si="0"/>
        <v>0</v>
      </c>
      <c r="K1" s="259">
        <f t="shared" si="0"/>
        <v>0</v>
      </c>
      <c r="L1" s="259">
        <f t="shared" si="0"/>
        <v>1</v>
      </c>
      <c r="M1" s="259">
        <f t="shared" si="0"/>
        <v>4</v>
      </c>
      <c r="N1" s="259">
        <f t="shared" si="0"/>
        <v>1</v>
      </c>
      <c r="O1" s="259">
        <f t="shared" si="0"/>
        <v>20</v>
      </c>
      <c r="P1" s="259">
        <f t="shared" si="0"/>
        <v>4</v>
      </c>
      <c r="Q1" s="259">
        <f t="shared" si="0"/>
        <v>1</v>
      </c>
      <c r="R1" s="259">
        <f t="shared" si="0"/>
        <v>1</v>
      </c>
      <c r="S1" s="259">
        <f t="shared" si="0"/>
        <v>1</v>
      </c>
      <c r="T1" s="259">
        <f t="shared" si="0"/>
        <v>4</v>
      </c>
      <c r="U1" s="259">
        <f t="shared" si="0"/>
        <v>4</v>
      </c>
      <c r="V1" s="259">
        <f t="shared" si="0"/>
        <v>4</v>
      </c>
      <c r="W1" s="259">
        <f t="shared" si="0"/>
        <v>8</v>
      </c>
      <c r="X1" s="259">
        <f t="shared" si="0"/>
        <v>8</v>
      </c>
      <c r="Y1" s="259">
        <f t="shared" si="0"/>
        <v>0</v>
      </c>
    </row>
    <row r="2" spans="1:26" s="60" customFormat="1">
      <c r="A2" s="289" t="s">
        <v>871</v>
      </c>
      <c r="B2" s="289" t="s">
        <v>897</v>
      </c>
      <c r="C2" s="289" t="s">
        <v>13</v>
      </c>
      <c r="D2" s="289" t="s">
        <v>898</v>
      </c>
      <c r="E2" s="289" t="s">
        <v>899</v>
      </c>
      <c r="F2" s="290" t="s">
        <v>885</v>
      </c>
      <c r="G2" s="290" t="s">
        <v>743</v>
      </c>
      <c r="H2" s="290" t="s">
        <v>886</v>
      </c>
      <c r="I2" s="290" t="s">
        <v>882</v>
      </c>
      <c r="J2" s="290" t="s">
        <v>900</v>
      </c>
      <c r="K2" s="290" t="s">
        <v>901</v>
      </c>
      <c r="L2" s="290" t="s">
        <v>878</v>
      </c>
      <c r="M2" s="290" t="s">
        <v>883</v>
      </c>
      <c r="N2" s="290" t="s">
        <v>745</v>
      </c>
      <c r="O2" s="290" t="s">
        <v>875</v>
      </c>
      <c r="P2" s="290" t="s">
        <v>884</v>
      </c>
      <c r="Q2" s="290" t="s">
        <v>879</v>
      </c>
      <c r="R2" s="290" t="s">
        <v>880</v>
      </c>
      <c r="S2" s="290" t="s">
        <v>827</v>
      </c>
      <c r="T2" s="290" t="s">
        <v>873</v>
      </c>
      <c r="U2" s="290" t="s">
        <v>876</v>
      </c>
      <c r="V2" s="290" t="s">
        <v>881</v>
      </c>
      <c r="W2" s="290" t="s">
        <v>874</v>
      </c>
      <c r="X2" s="290" t="s">
        <v>877</v>
      </c>
      <c r="Y2" s="290" t="s">
        <v>887</v>
      </c>
    </row>
    <row r="3" spans="1:26" s="309" customFormat="1">
      <c r="A3" s="321" t="s">
        <v>888</v>
      </c>
      <c r="B3" s="411" t="str">
        <f t="shared" ref="B3:B27" si="1">VLOOKUP(A3,tbl_projectNames,2,FALSE)</f>
        <v>p1Falcon9</v>
      </c>
      <c r="C3" s="321" t="s">
        <v>1519</v>
      </c>
      <c r="D3" s="320" t="s">
        <v>902</v>
      </c>
      <c r="E3" s="328" t="str">
        <f t="shared" ref="E3:E27" si="2">_xlfn.CONCAT(D3," function in OU")</f>
        <v>Analyst function in OU</v>
      </c>
      <c r="F3" s="291"/>
      <c r="G3" s="291"/>
      <c r="H3" s="291"/>
      <c r="I3" s="291"/>
      <c r="J3" s="291"/>
      <c r="K3" s="291"/>
      <c r="L3" s="291"/>
      <c r="M3" s="291"/>
      <c r="N3" s="291"/>
      <c r="O3" s="291" t="s">
        <v>410</v>
      </c>
      <c r="P3" s="291"/>
      <c r="Q3" s="291"/>
      <c r="R3" s="291"/>
      <c r="S3" s="291"/>
      <c r="T3" s="291"/>
      <c r="U3" s="291" t="s">
        <v>410</v>
      </c>
      <c r="V3" s="291"/>
      <c r="W3" s="291"/>
      <c r="X3" s="291"/>
      <c r="Y3" s="291"/>
      <c r="Z3" s="63"/>
    </row>
    <row r="4" spans="1:26" s="309" customFormat="1">
      <c r="A4" s="321" t="s">
        <v>888</v>
      </c>
      <c r="B4" s="411" t="str">
        <f t="shared" si="1"/>
        <v>p1Falcon9</v>
      </c>
      <c r="C4" s="321" t="s">
        <v>1520</v>
      </c>
      <c r="D4" s="320" t="s">
        <v>903</v>
      </c>
      <c r="E4" s="328" t="str">
        <f t="shared" si="2"/>
        <v>Designer function in OU</v>
      </c>
      <c r="F4" s="291"/>
      <c r="G4" s="291"/>
      <c r="H4" s="291"/>
      <c r="I4" s="291"/>
      <c r="J4" s="291"/>
      <c r="K4" s="291"/>
      <c r="L4" s="291"/>
      <c r="M4" s="291"/>
      <c r="N4" s="291"/>
      <c r="O4" s="291" t="s">
        <v>410</v>
      </c>
      <c r="P4" s="291"/>
      <c r="Q4" s="291"/>
      <c r="R4" s="291"/>
      <c r="S4" s="291"/>
      <c r="T4" s="291"/>
      <c r="U4" s="291"/>
      <c r="V4" s="291"/>
      <c r="W4" s="291" t="s">
        <v>410</v>
      </c>
      <c r="X4" s="291"/>
      <c r="Y4" s="291"/>
      <c r="Z4" s="63"/>
    </row>
    <row r="5" spans="1:26" s="309" customFormat="1">
      <c r="A5" s="321" t="s">
        <v>888</v>
      </c>
      <c r="B5" s="411" t="str">
        <f t="shared" si="1"/>
        <v>p1Falcon9</v>
      </c>
      <c r="C5" s="321" t="s">
        <v>1521</v>
      </c>
      <c r="D5" s="320" t="s">
        <v>1140</v>
      </c>
      <c r="E5" s="328" t="str">
        <f t="shared" si="2"/>
        <v>Developer function in OU</v>
      </c>
      <c r="F5" s="291"/>
      <c r="G5" s="291"/>
      <c r="H5" s="291"/>
      <c r="I5" s="291"/>
      <c r="J5" s="291"/>
      <c r="K5" s="291"/>
      <c r="L5" s="291"/>
      <c r="M5" s="291"/>
      <c r="N5" s="291"/>
      <c r="O5" s="291" t="s">
        <v>410</v>
      </c>
      <c r="P5" s="291"/>
      <c r="Q5" s="291"/>
      <c r="R5" s="291"/>
      <c r="S5" s="291"/>
      <c r="T5" s="291" t="s">
        <v>410</v>
      </c>
      <c r="U5" s="291"/>
      <c r="V5" s="291"/>
      <c r="W5" s="291" t="s">
        <v>410</v>
      </c>
      <c r="X5" s="291" t="s">
        <v>410</v>
      </c>
      <c r="Y5" s="291"/>
      <c r="Z5" s="63"/>
    </row>
    <row r="6" spans="1:26" s="309" customFormat="1">
      <c r="A6" s="321" t="s">
        <v>888</v>
      </c>
      <c r="B6" s="411" t="str">
        <f t="shared" si="1"/>
        <v>p1Falcon9</v>
      </c>
      <c r="C6" s="321" t="s">
        <v>1522</v>
      </c>
      <c r="D6" s="320" t="s">
        <v>1275</v>
      </c>
      <c r="E6" s="328" t="str">
        <f t="shared" si="2"/>
        <v>Tester function in OU</v>
      </c>
      <c r="F6" s="291"/>
      <c r="G6" s="291"/>
      <c r="H6" s="291"/>
      <c r="I6" s="291"/>
      <c r="J6" s="291"/>
      <c r="K6" s="291"/>
      <c r="L6" s="291"/>
      <c r="M6" s="291"/>
      <c r="N6" s="291"/>
      <c r="O6" s="291" t="s">
        <v>410</v>
      </c>
      <c r="P6" s="291"/>
      <c r="Q6" s="291"/>
      <c r="R6" s="291"/>
      <c r="S6" s="291"/>
      <c r="T6" s="291"/>
      <c r="U6" s="291"/>
      <c r="V6" s="291"/>
      <c r="W6" s="291"/>
      <c r="X6" s="291" t="s">
        <v>410</v>
      </c>
      <c r="Y6" s="291"/>
      <c r="Z6" s="63"/>
    </row>
    <row r="7" spans="1:26" s="309" customFormat="1">
      <c r="A7" s="321" t="s">
        <v>888</v>
      </c>
      <c r="B7" s="411" t="str">
        <f t="shared" si="1"/>
        <v>p1Falcon9</v>
      </c>
      <c r="C7" s="321" t="s">
        <v>1523</v>
      </c>
      <c r="D7" s="321" t="s">
        <v>1343</v>
      </c>
      <c r="E7" s="328" t="str">
        <f t="shared" si="2"/>
        <v>Project Manager function in OU</v>
      </c>
      <c r="F7" s="291" t="s">
        <v>410</v>
      </c>
      <c r="G7" s="291"/>
      <c r="H7" s="291" t="s">
        <v>410</v>
      </c>
      <c r="I7" s="291" t="s">
        <v>410</v>
      </c>
      <c r="J7" s="291"/>
      <c r="K7" s="291"/>
      <c r="L7" s="291"/>
      <c r="M7" s="291" t="s">
        <v>410</v>
      </c>
      <c r="N7" s="291"/>
      <c r="O7" s="291" t="s">
        <v>410</v>
      </c>
      <c r="P7" s="291" t="s">
        <v>410</v>
      </c>
      <c r="Q7" s="291"/>
      <c r="R7" s="291"/>
      <c r="S7" s="291"/>
      <c r="T7" s="291"/>
      <c r="U7" s="291"/>
      <c r="V7" s="291" t="s">
        <v>410</v>
      </c>
      <c r="W7" s="291"/>
      <c r="X7" s="291"/>
      <c r="Y7" s="291"/>
      <c r="Z7" s="63"/>
    </row>
    <row r="8" spans="1:26" s="309" customFormat="1">
      <c r="A8" s="321" t="s">
        <v>889</v>
      </c>
      <c r="B8" s="411" t="str">
        <f t="shared" si="1"/>
        <v>p2Raptor</v>
      </c>
      <c r="C8" s="321" t="s">
        <v>1524</v>
      </c>
      <c r="D8" s="321" t="s">
        <v>902</v>
      </c>
      <c r="E8" s="328" t="str">
        <f t="shared" si="2"/>
        <v>Analyst function in OU</v>
      </c>
      <c r="F8" s="291"/>
      <c r="G8" s="291"/>
      <c r="H8" s="291"/>
      <c r="I8" s="291"/>
      <c r="J8" s="291"/>
      <c r="K8" s="291"/>
      <c r="L8" s="291"/>
      <c r="M8" s="291"/>
      <c r="N8" s="291"/>
      <c r="O8" s="291" t="s">
        <v>410</v>
      </c>
      <c r="P8" s="291"/>
      <c r="Q8" s="291"/>
      <c r="R8" s="291"/>
      <c r="S8" s="291"/>
      <c r="T8" s="291"/>
      <c r="U8" s="291" t="s">
        <v>410</v>
      </c>
      <c r="V8" s="291"/>
      <c r="W8" s="291"/>
      <c r="X8" s="291"/>
      <c r="Y8" s="291"/>
      <c r="Z8" s="63"/>
    </row>
    <row r="9" spans="1:26" s="309" customFormat="1">
      <c r="A9" s="321" t="s">
        <v>889</v>
      </c>
      <c r="B9" s="411" t="str">
        <f t="shared" si="1"/>
        <v>p2Raptor</v>
      </c>
      <c r="C9" s="321" t="s">
        <v>1525</v>
      </c>
      <c r="D9" s="321" t="s">
        <v>903</v>
      </c>
      <c r="E9" s="328" t="str">
        <f t="shared" si="2"/>
        <v>Designer function in OU</v>
      </c>
      <c r="F9" s="291"/>
      <c r="G9" s="291"/>
      <c r="H9" s="291"/>
      <c r="I9" s="291"/>
      <c r="J9" s="291"/>
      <c r="K9" s="291"/>
      <c r="L9" s="291"/>
      <c r="M9" s="291"/>
      <c r="N9" s="291"/>
      <c r="O9" s="291" t="s">
        <v>410</v>
      </c>
      <c r="P9" s="291"/>
      <c r="Q9" s="291"/>
      <c r="R9" s="291"/>
      <c r="S9" s="291"/>
      <c r="T9" s="291"/>
      <c r="U9" s="291"/>
      <c r="V9" s="291"/>
      <c r="W9" s="291" t="s">
        <v>410</v>
      </c>
      <c r="X9" s="291"/>
      <c r="Y9" s="291"/>
      <c r="Z9" s="63"/>
    </row>
    <row r="10" spans="1:26" s="309" customFormat="1">
      <c r="A10" s="319" t="s">
        <v>889</v>
      </c>
      <c r="B10" s="411" t="str">
        <f t="shared" si="1"/>
        <v>p2Raptor</v>
      </c>
      <c r="C10" s="321" t="s">
        <v>1526</v>
      </c>
      <c r="D10" s="319" t="s">
        <v>1140</v>
      </c>
      <c r="E10" s="328" t="str">
        <f t="shared" si="2"/>
        <v>Developer function in OU</v>
      </c>
      <c r="F10" s="291"/>
      <c r="G10" s="291"/>
      <c r="H10" s="291"/>
      <c r="I10" s="291"/>
      <c r="J10" s="291"/>
      <c r="K10" s="291"/>
      <c r="L10" s="291"/>
      <c r="M10" s="291"/>
      <c r="N10" s="291"/>
      <c r="O10" s="291" t="s">
        <v>410</v>
      </c>
      <c r="P10" s="291"/>
      <c r="Q10" s="291"/>
      <c r="R10" s="291"/>
      <c r="S10" s="291"/>
      <c r="T10" s="291" t="s">
        <v>410</v>
      </c>
      <c r="U10" s="291"/>
      <c r="V10" s="291"/>
      <c r="W10" s="291" t="s">
        <v>410</v>
      </c>
      <c r="X10" s="291" t="s">
        <v>410</v>
      </c>
      <c r="Y10" s="291"/>
      <c r="Z10" s="63"/>
    </row>
    <row r="11" spans="1:26" s="309" customFormat="1">
      <c r="A11" s="321" t="s">
        <v>889</v>
      </c>
      <c r="B11" s="411" t="str">
        <f t="shared" si="1"/>
        <v>p2Raptor</v>
      </c>
      <c r="C11" s="321" t="s">
        <v>1527</v>
      </c>
      <c r="D11" s="321" t="s">
        <v>1275</v>
      </c>
      <c r="E11" s="328" t="str">
        <f t="shared" si="2"/>
        <v>Tester function in OU</v>
      </c>
      <c r="F11" s="291"/>
      <c r="G11" s="291"/>
      <c r="H11" s="291"/>
      <c r="I11" s="291"/>
      <c r="J11" s="291"/>
      <c r="K11" s="291"/>
      <c r="L11" s="291"/>
      <c r="M11" s="291"/>
      <c r="N11" s="291"/>
      <c r="O11" s="291" t="s">
        <v>410</v>
      </c>
      <c r="P11" s="291"/>
      <c r="Q11" s="291"/>
      <c r="R11" s="291"/>
      <c r="S11" s="291"/>
      <c r="T11" s="291"/>
      <c r="U11" s="291"/>
      <c r="V11" s="291"/>
      <c r="W11" s="291"/>
      <c r="X11" s="291" t="s">
        <v>410</v>
      </c>
      <c r="Y11" s="291"/>
      <c r="Z11" s="63"/>
    </row>
    <row r="12" spans="1:26" s="309" customFormat="1">
      <c r="A12" s="321" t="s">
        <v>889</v>
      </c>
      <c r="B12" s="411" t="str">
        <f t="shared" si="1"/>
        <v>p2Raptor</v>
      </c>
      <c r="C12" s="321" t="s">
        <v>1528</v>
      </c>
      <c r="D12" s="321" t="s">
        <v>1343</v>
      </c>
      <c r="E12" s="328" t="str">
        <f t="shared" si="2"/>
        <v>Project Manager function in OU</v>
      </c>
      <c r="F12" s="291" t="s">
        <v>410</v>
      </c>
      <c r="G12" s="291"/>
      <c r="H12" s="291" t="s">
        <v>410</v>
      </c>
      <c r="I12" s="291" t="s">
        <v>410</v>
      </c>
      <c r="J12" s="291"/>
      <c r="K12" s="291"/>
      <c r="L12" s="291"/>
      <c r="M12" s="291" t="s">
        <v>410</v>
      </c>
      <c r="N12" s="291"/>
      <c r="O12" s="291" t="s">
        <v>410</v>
      </c>
      <c r="P12" s="291" t="s">
        <v>410</v>
      </c>
      <c r="Q12" s="291"/>
      <c r="R12" s="291"/>
      <c r="S12" s="291"/>
      <c r="T12" s="291"/>
      <c r="U12" s="291"/>
      <c r="V12" s="291" t="s">
        <v>410</v>
      </c>
      <c r="W12" s="291"/>
      <c r="X12" s="291"/>
      <c r="Y12" s="291"/>
      <c r="Z12" s="63"/>
    </row>
    <row r="13" spans="1:26" s="309" customFormat="1">
      <c r="A13" s="321" t="s">
        <v>890</v>
      </c>
      <c r="B13" s="411" t="str">
        <f t="shared" si="1"/>
        <v>p3Starship</v>
      </c>
      <c r="C13" s="321" t="s">
        <v>1529</v>
      </c>
      <c r="D13" s="321" t="s">
        <v>902</v>
      </c>
      <c r="E13" s="328" t="str">
        <f t="shared" si="2"/>
        <v>Analyst function in OU</v>
      </c>
      <c r="F13" s="291"/>
      <c r="G13" s="291"/>
      <c r="H13" s="291"/>
      <c r="I13" s="291"/>
      <c r="J13" s="291"/>
      <c r="K13" s="291"/>
      <c r="L13" s="291"/>
      <c r="M13" s="291"/>
      <c r="N13" s="291"/>
      <c r="O13" s="291" t="s">
        <v>410</v>
      </c>
      <c r="P13" s="291"/>
      <c r="Q13" s="291"/>
      <c r="R13" s="291"/>
      <c r="S13" s="291"/>
      <c r="T13" s="291"/>
      <c r="U13" s="291" t="s">
        <v>410</v>
      </c>
      <c r="V13" s="291"/>
      <c r="W13" s="291"/>
      <c r="X13" s="291"/>
      <c r="Y13" s="291"/>
      <c r="Z13" s="63"/>
    </row>
    <row r="14" spans="1:26" s="309" customFormat="1">
      <c r="A14" s="321" t="s">
        <v>890</v>
      </c>
      <c r="B14" s="411" t="str">
        <f t="shared" si="1"/>
        <v>p3Starship</v>
      </c>
      <c r="C14" s="321" t="s">
        <v>1530</v>
      </c>
      <c r="D14" s="321" t="s">
        <v>903</v>
      </c>
      <c r="E14" s="328" t="str">
        <f t="shared" si="2"/>
        <v>Designer function in OU</v>
      </c>
      <c r="F14" s="291"/>
      <c r="G14" s="291"/>
      <c r="H14" s="291"/>
      <c r="I14" s="291"/>
      <c r="J14" s="291"/>
      <c r="K14" s="291"/>
      <c r="L14" s="291"/>
      <c r="M14" s="291"/>
      <c r="N14" s="291"/>
      <c r="O14" s="291" t="s">
        <v>410</v>
      </c>
      <c r="P14" s="291"/>
      <c r="Q14" s="291"/>
      <c r="R14" s="291"/>
      <c r="S14" s="291"/>
      <c r="T14" s="291"/>
      <c r="U14" s="291"/>
      <c r="V14" s="291"/>
      <c r="W14" s="291" t="s">
        <v>410</v>
      </c>
      <c r="X14" s="291"/>
      <c r="Y14" s="291"/>
      <c r="Z14" s="63"/>
    </row>
    <row r="15" spans="1:26" s="309" customFormat="1">
      <c r="A15" s="321" t="s">
        <v>890</v>
      </c>
      <c r="B15" s="411" t="str">
        <f t="shared" si="1"/>
        <v>p3Starship</v>
      </c>
      <c r="C15" s="321" t="s">
        <v>1531</v>
      </c>
      <c r="D15" s="321" t="s">
        <v>1140</v>
      </c>
      <c r="E15" s="328" t="str">
        <f t="shared" si="2"/>
        <v>Developer function in OU</v>
      </c>
      <c r="F15" s="291"/>
      <c r="G15" s="291"/>
      <c r="H15" s="291"/>
      <c r="I15" s="291"/>
      <c r="J15" s="291"/>
      <c r="K15" s="291"/>
      <c r="L15" s="291"/>
      <c r="M15" s="291"/>
      <c r="N15" s="291"/>
      <c r="O15" s="291" t="s">
        <v>410</v>
      </c>
      <c r="P15" s="291"/>
      <c r="Q15" s="291"/>
      <c r="R15" s="291"/>
      <c r="S15" s="291"/>
      <c r="T15" s="291" t="s">
        <v>410</v>
      </c>
      <c r="U15" s="291"/>
      <c r="V15" s="291"/>
      <c r="W15" s="291" t="s">
        <v>410</v>
      </c>
      <c r="X15" s="291" t="s">
        <v>410</v>
      </c>
      <c r="Y15" s="291"/>
      <c r="Z15" s="63"/>
    </row>
    <row r="16" spans="1:26" s="309" customFormat="1">
      <c r="A16" s="321" t="s">
        <v>890</v>
      </c>
      <c r="B16" s="411" t="str">
        <f t="shared" si="1"/>
        <v>p3Starship</v>
      </c>
      <c r="C16" s="321" t="s">
        <v>1532</v>
      </c>
      <c r="D16" s="321" t="s">
        <v>1275</v>
      </c>
      <c r="E16" s="328" t="str">
        <f t="shared" si="2"/>
        <v>Tester function in OU</v>
      </c>
      <c r="F16" s="291"/>
      <c r="G16" s="291"/>
      <c r="H16" s="291"/>
      <c r="I16" s="291"/>
      <c r="J16" s="291"/>
      <c r="K16" s="291"/>
      <c r="L16" s="291"/>
      <c r="M16" s="291"/>
      <c r="N16" s="291"/>
      <c r="O16" s="291" t="s">
        <v>410</v>
      </c>
      <c r="P16" s="291"/>
      <c r="Q16" s="291"/>
      <c r="R16" s="291"/>
      <c r="S16" s="291"/>
      <c r="T16" s="291"/>
      <c r="U16" s="291"/>
      <c r="V16" s="291"/>
      <c r="W16" s="291"/>
      <c r="X16" s="291" t="s">
        <v>410</v>
      </c>
      <c r="Y16" s="291"/>
      <c r="Z16" s="63"/>
    </row>
    <row r="17" spans="1:26" s="309" customFormat="1">
      <c r="A17" s="321" t="s">
        <v>890</v>
      </c>
      <c r="B17" s="411" t="str">
        <f t="shared" si="1"/>
        <v>p3Starship</v>
      </c>
      <c r="C17" s="321" t="s">
        <v>1533</v>
      </c>
      <c r="D17" s="321" t="s">
        <v>1343</v>
      </c>
      <c r="E17" s="328" t="str">
        <f t="shared" si="2"/>
        <v>Project Manager function in OU</v>
      </c>
      <c r="F17" s="291" t="s">
        <v>410</v>
      </c>
      <c r="G17" s="291"/>
      <c r="H17" s="291" t="s">
        <v>410</v>
      </c>
      <c r="I17" s="291" t="s">
        <v>410</v>
      </c>
      <c r="J17" s="291"/>
      <c r="K17" s="291"/>
      <c r="L17" s="291"/>
      <c r="M17" s="291" t="s">
        <v>410</v>
      </c>
      <c r="N17" s="291"/>
      <c r="O17" s="291" t="s">
        <v>410</v>
      </c>
      <c r="P17" s="291" t="s">
        <v>410</v>
      </c>
      <c r="Q17" s="291"/>
      <c r="R17" s="291"/>
      <c r="S17" s="291"/>
      <c r="T17" s="291"/>
      <c r="U17" s="291"/>
      <c r="V17" s="291" t="s">
        <v>410</v>
      </c>
      <c r="W17" s="291"/>
      <c r="X17" s="291"/>
      <c r="Y17" s="291"/>
      <c r="Z17" s="63"/>
    </row>
    <row r="18" spans="1:26" s="309" customFormat="1">
      <c r="A18" s="319" t="s">
        <v>1333</v>
      </c>
      <c r="B18" s="411" t="str">
        <f t="shared" si="1"/>
        <v>p4SupperHeavy</v>
      </c>
      <c r="C18" s="321" t="s">
        <v>1534</v>
      </c>
      <c r="D18" s="319" t="s">
        <v>902</v>
      </c>
      <c r="E18" s="328" t="str">
        <f t="shared" si="2"/>
        <v>Analyst function in OU</v>
      </c>
      <c r="F18" s="291"/>
      <c r="G18" s="291"/>
      <c r="H18" s="291"/>
      <c r="I18" s="291"/>
      <c r="J18" s="291"/>
      <c r="K18" s="291"/>
      <c r="L18" s="291"/>
      <c r="M18" s="291"/>
      <c r="N18" s="291"/>
      <c r="O18" s="291" t="s">
        <v>410</v>
      </c>
      <c r="P18" s="291"/>
      <c r="Q18" s="291"/>
      <c r="R18" s="291"/>
      <c r="S18" s="291"/>
      <c r="T18" s="291"/>
      <c r="U18" s="291" t="s">
        <v>410</v>
      </c>
      <c r="V18" s="291"/>
      <c r="W18" s="291"/>
      <c r="X18" s="291"/>
      <c r="Y18" s="291"/>
      <c r="Z18" s="63"/>
    </row>
    <row r="19" spans="1:26" s="309" customFormat="1">
      <c r="A19" s="319" t="s">
        <v>1333</v>
      </c>
      <c r="B19" s="411" t="str">
        <f t="shared" si="1"/>
        <v>p4SupperHeavy</v>
      </c>
      <c r="C19" s="321" t="s">
        <v>1535</v>
      </c>
      <c r="D19" s="319" t="s">
        <v>903</v>
      </c>
      <c r="E19" s="328" t="str">
        <f t="shared" si="2"/>
        <v>Designer function in OU</v>
      </c>
      <c r="F19" s="291"/>
      <c r="G19" s="291"/>
      <c r="H19" s="291"/>
      <c r="I19" s="291"/>
      <c r="J19" s="291"/>
      <c r="K19" s="291"/>
      <c r="L19" s="291"/>
      <c r="M19" s="291"/>
      <c r="N19" s="291"/>
      <c r="O19" s="291" t="s">
        <v>410</v>
      </c>
      <c r="P19" s="291"/>
      <c r="Q19" s="291"/>
      <c r="R19" s="291"/>
      <c r="S19" s="291"/>
      <c r="T19" s="291"/>
      <c r="U19" s="291"/>
      <c r="V19" s="291"/>
      <c r="W19" s="291" t="s">
        <v>410</v>
      </c>
      <c r="X19" s="291"/>
      <c r="Y19" s="291"/>
      <c r="Z19" s="63"/>
    </row>
    <row r="20" spans="1:26" s="309" customFormat="1">
      <c r="A20" s="319" t="s">
        <v>1333</v>
      </c>
      <c r="B20" s="411" t="str">
        <f t="shared" si="1"/>
        <v>p4SupperHeavy</v>
      </c>
      <c r="C20" s="321" t="s">
        <v>1536</v>
      </c>
      <c r="D20" s="319" t="s">
        <v>1140</v>
      </c>
      <c r="E20" s="328" t="str">
        <f t="shared" si="2"/>
        <v>Developer function in OU</v>
      </c>
      <c r="F20" s="291"/>
      <c r="G20" s="291"/>
      <c r="H20" s="291"/>
      <c r="I20" s="291"/>
      <c r="J20" s="291"/>
      <c r="K20" s="291"/>
      <c r="L20" s="291"/>
      <c r="M20" s="291"/>
      <c r="N20" s="291"/>
      <c r="O20" s="291" t="s">
        <v>410</v>
      </c>
      <c r="P20" s="291"/>
      <c r="Q20" s="291"/>
      <c r="R20" s="291"/>
      <c r="S20" s="291"/>
      <c r="T20" s="291" t="s">
        <v>410</v>
      </c>
      <c r="U20" s="291"/>
      <c r="V20" s="291"/>
      <c r="W20" s="291" t="s">
        <v>410</v>
      </c>
      <c r="X20" s="291" t="s">
        <v>410</v>
      </c>
      <c r="Y20" s="291"/>
      <c r="Z20" s="63"/>
    </row>
    <row r="21" spans="1:26" s="309" customFormat="1">
      <c r="A21" s="319" t="s">
        <v>1333</v>
      </c>
      <c r="B21" s="411" t="str">
        <f t="shared" si="1"/>
        <v>p4SupperHeavy</v>
      </c>
      <c r="C21" s="321" t="s">
        <v>1537</v>
      </c>
      <c r="D21" s="319" t="s">
        <v>1275</v>
      </c>
      <c r="E21" s="328" t="str">
        <f t="shared" si="2"/>
        <v>Tester function in OU</v>
      </c>
      <c r="F21" s="291"/>
      <c r="G21" s="291"/>
      <c r="H21" s="291"/>
      <c r="I21" s="291"/>
      <c r="J21" s="291"/>
      <c r="K21" s="291"/>
      <c r="L21" s="291"/>
      <c r="M21" s="291"/>
      <c r="N21" s="291"/>
      <c r="O21" s="291" t="s">
        <v>410</v>
      </c>
      <c r="P21" s="291"/>
      <c r="Q21" s="291"/>
      <c r="R21" s="291"/>
      <c r="S21" s="291"/>
      <c r="T21" s="291"/>
      <c r="U21" s="291"/>
      <c r="V21" s="291"/>
      <c r="W21" s="291"/>
      <c r="X21" s="291" t="s">
        <v>410</v>
      </c>
      <c r="Y21" s="291"/>
      <c r="Z21" s="63"/>
    </row>
    <row r="22" spans="1:26" s="309" customFormat="1">
      <c r="A22" s="321" t="s">
        <v>1333</v>
      </c>
      <c r="B22" s="411" t="str">
        <f t="shared" si="1"/>
        <v>p4SupperHeavy</v>
      </c>
      <c r="C22" s="321" t="s">
        <v>1538</v>
      </c>
      <c r="D22" s="321" t="s">
        <v>1343</v>
      </c>
      <c r="E22" s="328" t="str">
        <f t="shared" si="2"/>
        <v>Project Manager function in OU</v>
      </c>
      <c r="F22" s="291" t="s">
        <v>410</v>
      </c>
      <c r="G22" s="291"/>
      <c r="H22" s="291" t="s">
        <v>410</v>
      </c>
      <c r="I22" s="291" t="s">
        <v>410</v>
      </c>
      <c r="J22" s="291"/>
      <c r="K22" s="291"/>
      <c r="L22" s="291"/>
      <c r="M22" s="291" t="s">
        <v>410</v>
      </c>
      <c r="N22" s="291"/>
      <c r="O22" s="291" t="s">
        <v>410</v>
      </c>
      <c r="P22" s="291" t="s">
        <v>410</v>
      </c>
      <c r="Q22" s="291"/>
      <c r="R22" s="291"/>
      <c r="S22" s="291"/>
      <c r="T22" s="291"/>
      <c r="U22" s="291"/>
      <c r="V22" s="291" t="s">
        <v>410</v>
      </c>
      <c r="W22" s="291"/>
      <c r="X22" s="291"/>
      <c r="Y22" s="291"/>
      <c r="Z22" s="63"/>
    </row>
    <row r="23" spans="1:26" s="309" customFormat="1">
      <c r="A23" s="321" t="s">
        <v>893</v>
      </c>
      <c r="B23" s="411" t="str">
        <f t="shared" si="1"/>
        <v>s1CM</v>
      </c>
      <c r="C23" s="321" t="s">
        <v>1539</v>
      </c>
      <c r="D23" s="321" t="s">
        <v>1342</v>
      </c>
      <c r="E23" s="328" t="str">
        <f t="shared" si="2"/>
        <v>Configuration Manager function in OU</v>
      </c>
      <c r="F23" s="291"/>
      <c r="G23" s="291" t="s">
        <v>410</v>
      </c>
      <c r="H23" s="291"/>
      <c r="I23" s="291"/>
      <c r="J23" s="291"/>
      <c r="K23" s="291"/>
      <c r="L23" s="291"/>
      <c r="M23" s="291"/>
      <c r="N23" s="291"/>
      <c r="O23" s="291"/>
      <c r="P23" s="291"/>
      <c r="Q23" s="291"/>
      <c r="R23" s="291"/>
      <c r="S23" s="291"/>
      <c r="T23" s="291"/>
      <c r="U23" s="291"/>
      <c r="V23" s="291"/>
      <c r="W23" s="291"/>
      <c r="X23" s="291"/>
      <c r="Y23" s="291"/>
      <c r="Z23" s="63"/>
    </row>
    <row r="24" spans="1:26" s="309" customFormat="1">
      <c r="A24" s="321" t="s">
        <v>894</v>
      </c>
      <c r="B24" s="411" t="str">
        <f t="shared" si="1"/>
        <v>s2EPG-MA</v>
      </c>
      <c r="C24" s="321" t="s">
        <v>1540</v>
      </c>
      <c r="D24" s="319" t="s">
        <v>1344</v>
      </c>
      <c r="E24" s="328"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9" customFormat="1">
      <c r="A25" s="321" t="s">
        <v>894</v>
      </c>
      <c r="B25" s="411" t="str">
        <f t="shared" ref="B25" si="3">VLOOKUP(A25,tbl_projectNames,2,FALSE)</f>
        <v>s2EPG-MA</v>
      </c>
      <c r="C25" s="321" t="s">
        <v>1630</v>
      </c>
      <c r="D25" s="319" t="s">
        <v>1629</v>
      </c>
      <c r="E25" s="328"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9" customFormat="1">
      <c r="A26" s="321" t="s">
        <v>895</v>
      </c>
      <c r="B26" s="411" t="str">
        <f t="shared" si="1"/>
        <v>s3HR</v>
      </c>
      <c r="C26" s="321" t="s">
        <v>1541</v>
      </c>
      <c r="D26" s="321" t="s">
        <v>1341</v>
      </c>
      <c r="E26" s="328" t="str">
        <f t="shared" si="2"/>
        <v>Training Manager function in OU</v>
      </c>
      <c r="F26" s="291"/>
      <c r="G26" s="291"/>
      <c r="H26" s="291"/>
      <c r="I26" s="291"/>
      <c r="J26" s="291"/>
      <c r="K26" s="291"/>
      <c r="L26" s="291"/>
      <c r="M26" s="291"/>
      <c r="N26" s="291" t="s">
        <v>410</v>
      </c>
      <c r="O26" s="291"/>
      <c r="P26" s="291"/>
      <c r="Q26" s="291"/>
      <c r="R26" s="291"/>
      <c r="S26" s="291"/>
      <c r="T26" s="291"/>
      <c r="U26" s="291"/>
      <c r="V26" s="291"/>
      <c r="W26" s="291"/>
      <c r="X26" s="291"/>
      <c r="Y26" s="291"/>
      <c r="Z26" s="63"/>
    </row>
    <row r="27" spans="1:26" s="309" customFormat="1" ht="31.2">
      <c r="A27" s="321" t="s">
        <v>896</v>
      </c>
      <c r="B27" s="411" t="str">
        <f t="shared" si="1"/>
        <v>s4PPQA</v>
      </c>
      <c r="C27" s="321" t="s">
        <v>1542</v>
      </c>
      <c r="D27" s="321" t="s">
        <v>1225</v>
      </c>
      <c r="E27" s="328" t="str">
        <f t="shared" si="2"/>
        <v>Process Assurance Manager function in OU</v>
      </c>
      <c r="F27" s="291"/>
      <c r="G27" s="291"/>
      <c r="H27" s="291"/>
      <c r="I27" s="291"/>
      <c r="J27" s="291"/>
      <c r="K27" s="291"/>
      <c r="L27" s="291"/>
      <c r="M27" s="291"/>
      <c r="N27" s="291"/>
      <c r="O27" s="291"/>
      <c r="P27" s="291"/>
      <c r="Q27" s="291"/>
      <c r="R27" s="291"/>
      <c r="S27" s="291" t="s">
        <v>410</v>
      </c>
      <c r="T27" s="291"/>
      <c r="U27" s="291"/>
      <c r="V27" s="291"/>
      <c r="W27" s="291"/>
      <c r="X27" s="291"/>
      <c r="Y27" s="291"/>
      <c r="Z27" s="63"/>
    </row>
    <row r="28" spans="1:26" s="309" customFormat="1">
      <c r="A28" s="321"/>
      <c r="B28" s="321"/>
      <c r="C28" s="321"/>
      <c r="D28" s="321"/>
      <c r="E28" s="320"/>
      <c r="F28" s="291"/>
      <c r="G28" s="291"/>
      <c r="H28" s="291"/>
      <c r="I28" s="291"/>
      <c r="J28" s="291"/>
      <c r="K28" s="291"/>
      <c r="L28" s="291"/>
      <c r="M28" s="291"/>
      <c r="N28" s="291"/>
      <c r="O28" s="291"/>
      <c r="P28" s="291"/>
      <c r="Q28" s="291"/>
      <c r="R28" s="291"/>
      <c r="S28" s="291"/>
      <c r="T28" s="291"/>
      <c r="U28" s="291"/>
      <c r="V28" s="291"/>
      <c r="W28" s="291"/>
      <c r="X28" s="291"/>
      <c r="Y28" s="291"/>
      <c r="Z28" s="63"/>
    </row>
    <row r="29" spans="1:26">
      <c r="E29" s="306"/>
      <c r="Z29" s="309"/>
    </row>
    <row r="30" spans="1:26">
      <c r="A30" s="309"/>
      <c r="B30" s="309"/>
      <c r="C30" s="309"/>
      <c r="D30" s="309"/>
      <c r="E30" s="306"/>
      <c r="Z30" s="309"/>
    </row>
    <row r="31" spans="1:26">
      <c r="E31" s="321"/>
    </row>
    <row r="32" spans="1:26">
      <c r="E32" s="321"/>
    </row>
    <row r="33" spans="5:5">
      <c r="E33" s="321"/>
    </row>
    <row r="34" spans="5:5">
      <c r="E34" s="321"/>
    </row>
    <row r="35" spans="5:5">
      <c r="E35" s="321"/>
    </row>
    <row r="36" spans="5:5">
      <c r="E36" s="321"/>
    </row>
    <row r="37" spans="5:5">
      <c r="E37" s="321"/>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election activeCell="W3" sqref="W3:W13"/>
    </sheetView>
  </sheetViews>
  <sheetFormatPr defaultColWidth="10.6640625" defaultRowHeight="15.6"/>
  <cols>
    <col min="1" max="1" width="32.44140625" style="62" customWidth="1"/>
    <col min="2" max="2" width="29.6640625" style="62" customWidth="1"/>
    <col min="3" max="22" width="6.44140625" style="63" customWidth="1"/>
    <col min="23" max="23" width="31" style="62" customWidth="1"/>
    <col min="24" max="16384" width="10.6640625" style="62"/>
  </cols>
  <sheetData>
    <row r="1" spans="1:23" s="50" customFormat="1" ht="18">
      <c r="A1" s="112" t="s">
        <v>1169</v>
      </c>
      <c r="B1" s="114"/>
      <c r="C1" s="114"/>
      <c r="D1" s="114"/>
      <c r="E1" s="114"/>
      <c r="F1" s="114"/>
      <c r="G1" s="114"/>
      <c r="H1" s="114"/>
      <c r="I1" s="114"/>
      <c r="J1" s="114"/>
      <c r="K1" s="114"/>
      <c r="L1" s="114"/>
      <c r="M1" s="114"/>
      <c r="N1" s="114"/>
      <c r="O1" s="114"/>
      <c r="P1" s="114"/>
      <c r="Q1" s="114"/>
      <c r="R1" s="114"/>
      <c r="S1" s="114"/>
      <c r="T1" s="114"/>
      <c r="U1" s="114"/>
      <c r="V1" s="114"/>
    </row>
    <row r="2" spans="1:23" s="60" customFormat="1">
      <c r="A2" s="58" t="s">
        <v>898</v>
      </c>
      <c r="B2" s="58" t="s">
        <v>1288</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62" t="s">
        <v>902</v>
      </c>
    </row>
    <row r="4" spans="1:23">
      <c r="A4" s="62" t="s">
        <v>1138</v>
      </c>
      <c r="B4" s="111" t="s">
        <v>980</v>
      </c>
      <c r="C4" s="61"/>
      <c r="D4" s="61" t="s">
        <v>410</v>
      </c>
      <c r="E4" s="61"/>
      <c r="F4" s="61"/>
      <c r="G4" s="61"/>
      <c r="H4" s="61"/>
      <c r="I4" s="61"/>
      <c r="J4" s="61"/>
      <c r="K4" s="61"/>
      <c r="L4" s="61"/>
      <c r="M4" s="61"/>
      <c r="N4" s="61"/>
      <c r="O4" s="61"/>
      <c r="P4" s="61"/>
      <c r="Q4" s="61"/>
      <c r="R4" s="61"/>
      <c r="S4" s="61"/>
      <c r="T4" s="61"/>
      <c r="U4" s="61"/>
      <c r="V4" s="61"/>
      <c r="W4" s="319" t="s">
        <v>1138</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319" t="s">
        <v>903</v>
      </c>
    </row>
    <row r="6" spans="1:23">
      <c r="A6" s="62" t="s">
        <v>1140</v>
      </c>
      <c r="B6" s="111" t="s">
        <v>979</v>
      </c>
      <c r="C6" s="61"/>
      <c r="D6" s="61"/>
      <c r="E6" s="61"/>
      <c r="F6" s="61"/>
      <c r="G6" s="61"/>
      <c r="H6" s="61"/>
      <c r="I6" s="61"/>
      <c r="J6" s="61"/>
      <c r="K6" s="61"/>
      <c r="L6" s="61" t="s">
        <v>410</v>
      </c>
      <c r="M6" s="61"/>
      <c r="N6" s="61"/>
      <c r="O6" s="61"/>
      <c r="P6" s="61"/>
      <c r="Q6" s="61" t="s">
        <v>410</v>
      </c>
      <c r="R6" s="61"/>
      <c r="S6" s="61"/>
      <c r="T6" s="61"/>
      <c r="U6" s="61"/>
      <c r="V6" s="61"/>
      <c r="W6" s="319" t="s">
        <v>1140</v>
      </c>
    </row>
    <row r="7" spans="1:23">
      <c r="A7" s="62" t="s">
        <v>1137</v>
      </c>
      <c r="B7" s="62" t="s">
        <v>984</v>
      </c>
      <c r="C7" s="61"/>
      <c r="D7" s="61"/>
      <c r="E7" s="61"/>
      <c r="F7" s="61"/>
      <c r="G7" s="61" t="s">
        <v>410</v>
      </c>
      <c r="H7" s="61" t="s">
        <v>410</v>
      </c>
      <c r="I7" s="61"/>
      <c r="J7" s="61"/>
      <c r="K7" s="61"/>
      <c r="L7" s="61"/>
      <c r="M7" s="61"/>
      <c r="N7" s="61"/>
      <c r="O7" s="61"/>
      <c r="P7" s="61"/>
      <c r="Q7" s="61"/>
      <c r="R7" s="61"/>
      <c r="S7" s="61"/>
      <c r="T7" s="61"/>
      <c r="U7" s="61"/>
      <c r="V7" s="61"/>
      <c r="W7" s="319" t="s">
        <v>1137</v>
      </c>
    </row>
    <row r="8" spans="1:23">
      <c r="A8" s="62" t="s">
        <v>1629</v>
      </c>
      <c r="B8" s="111" t="s">
        <v>981</v>
      </c>
      <c r="C8" s="61" t="s">
        <v>410</v>
      </c>
      <c r="D8" s="61"/>
      <c r="E8" s="61" t="s">
        <v>410</v>
      </c>
      <c r="F8" s="61"/>
      <c r="G8" s="61"/>
      <c r="H8" s="61"/>
      <c r="I8" s="61" t="s">
        <v>410</v>
      </c>
      <c r="J8" s="61"/>
      <c r="K8" s="61"/>
      <c r="L8" s="61"/>
      <c r="M8" s="61"/>
      <c r="N8" s="61"/>
      <c r="O8" s="61"/>
      <c r="P8" s="61"/>
      <c r="Q8" s="61"/>
      <c r="R8" s="61"/>
      <c r="S8" s="61"/>
      <c r="T8" s="61"/>
      <c r="U8" s="61"/>
      <c r="V8" s="61"/>
      <c r="W8" s="319" t="s">
        <v>1629</v>
      </c>
    </row>
    <row r="9" spans="1:23" s="319" customFormat="1">
      <c r="A9" s="319" t="s">
        <v>1225</v>
      </c>
      <c r="B9" s="111" t="s">
        <v>987</v>
      </c>
      <c r="C9" s="61"/>
      <c r="D9" s="61"/>
      <c r="E9" s="61"/>
      <c r="F9" s="61"/>
      <c r="G9" s="61"/>
      <c r="H9" s="61"/>
      <c r="I9" s="61"/>
      <c r="J9" s="61"/>
      <c r="K9" s="61"/>
      <c r="L9" s="61"/>
      <c r="M9" s="61"/>
      <c r="N9" s="61"/>
      <c r="O9" s="61"/>
      <c r="P9" s="61" t="s">
        <v>410</v>
      </c>
      <c r="Q9" s="61"/>
      <c r="R9" s="61"/>
      <c r="S9" s="61"/>
      <c r="T9" s="61"/>
      <c r="U9" s="61"/>
      <c r="V9" s="61"/>
      <c r="W9" s="319" t="s">
        <v>1225</v>
      </c>
    </row>
    <row r="10" spans="1:23">
      <c r="A10" s="62" t="s">
        <v>1344</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319" t="s">
        <v>1344</v>
      </c>
    </row>
    <row r="11" spans="1:23">
      <c r="A11" s="62" t="s">
        <v>1139</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319" t="s">
        <v>1139</v>
      </c>
    </row>
    <row r="12" spans="1:23">
      <c r="A12" s="62" t="s">
        <v>1275</v>
      </c>
      <c r="B12" s="111" t="s">
        <v>979</v>
      </c>
      <c r="C12" s="61"/>
      <c r="D12" s="61"/>
      <c r="E12" s="61"/>
      <c r="F12" s="61"/>
      <c r="G12" s="61"/>
      <c r="H12" s="61"/>
      <c r="I12" s="61"/>
      <c r="J12" s="61"/>
      <c r="K12" s="61"/>
      <c r="L12" s="61" t="s">
        <v>410</v>
      </c>
      <c r="M12" s="61"/>
      <c r="N12" s="61"/>
      <c r="O12" s="61"/>
      <c r="P12" s="61"/>
      <c r="Q12" s="61"/>
      <c r="R12" s="61"/>
      <c r="S12" s="61"/>
      <c r="T12" s="61"/>
      <c r="U12" s="61" t="s">
        <v>410</v>
      </c>
      <c r="V12" s="61"/>
      <c r="W12" s="319" t="s">
        <v>1275</v>
      </c>
    </row>
    <row r="13" spans="1:23">
      <c r="A13" s="62" t="s">
        <v>1274</v>
      </c>
      <c r="B13" s="111" t="s">
        <v>982</v>
      </c>
      <c r="C13" s="61"/>
      <c r="D13" s="61"/>
      <c r="E13" s="61"/>
      <c r="F13" s="61"/>
      <c r="G13" s="61"/>
      <c r="H13" s="61"/>
      <c r="I13" s="61"/>
      <c r="J13" s="61"/>
      <c r="K13" s="61" t="s">
        <v>410</v>
      </c>
      <c r="L13" s="61"/>
      <c r="M13" s="61"/>
      <c r="N13" s="61"/>
      <c r="O13" s="61"/>
      <c r="P13" s="61"/>
      <c r="Q13" s="61"/>
      <c r="R13" s="61"/>
      <c r="S13" s="61"/>
      <c r="T13" s="61"/>
      <c r="U13" s="61"/>
      <c r="V13" s="61"/>
      <c r="W13" s="319" t="s">
        <v>1274</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0" t="s">
        <v>935</v>
      </c>
      <c r="B3" s="310" t="s">
        <v>906</v>
      </c>
    </row>
    <row r="4" spans="1:11">
      <c r="A4" s="310" t="s">
        <v>907</v>
      </c>
      <c r="B4" s="318" t="s">
        <v>888</v>
      </c>
      <c r="C4" s="318" t="s">
        <v>889</v>
      </c>
      <c r="D4" s="318" t="s">
        <v>890</v>
      </c>
      <c r="E4" s="318" t="s">
        <v>1333</v>
      </c>
      <c r="F4" s="318" t="s">
        <v>893</v>
      </c>
      <c r="G4" s="318" t="s">
        <v>894</v>
      </c>
      <c r="H4" s="318" t="s">
        <v>895</v>
      </c>
      <c r="I4" s="318" t="s">
        <v>896</v>
      </c>
      <c r="J4" s="318" t="s">
        <v>908</v>
      </c>
      <c r="K4" s="318" t="s">
        <v>909</v>
      </c>
    </row>
    <row r="5" spans="1:11">
      <c r="A5" s="308" t="s">
        <v>908</v>
      </c>
      <c r="B5" s="311"/>
      <c r="C5" s="311"/>
      <c r="D5" s="311"/>
      <c r="E5" s="311"/>
      <c r="F5" s="311"/>
      <c r="G5" s="311"/>
      <c r="H5" s="311"/>
      <c r="I5" s="311"/>
      <c r="J5" s="311"/>
      <c r="K5" s="311"/>
    </row>
    <row r="6" spans="1:11">
      <c r="A6" s="308" t="s">
        <v>1334</v>
      </c>
      <c r="B6" s="311"/>
      <c r="C6" s="311"/>
      <c r="D6" s="311"/>
      <c r="E6" s="311"/>
      <c r="F6" s="311">
        <v>1</v>
      </c>
      <c r="G6" s="311"/>
      <c r="H6" s="311"/>
      <c r="I6" s="311"/>
      <c r="J6" s="311"/>
      <c r="K6" s="311">
        <v>1</v>
      </c>
    </row>
    <row r="7" spans="1:11">
      <c r="A7" s="308" t="s">
        <v>1335</v>
      </c>
      <c r="B7" s="311"/>
      <c r="C7" s="311"/>
      <c r="D7" s="311"/>
      <c r="E7" s="311"/>
      <c r="F7" s="311"/>
      <c r="G7" s="311">
        <v>2</v>
      </c>
      <c r="H7" s="311"/>
      <c r="I7" s="311"/>
      <c r="J7" s="311"/>
      <c r="K7" s="311">
        <v>2</v>
      </c>
    </row>
    <row r="8" spans="1:11">
      <c r="A8" s="308" t="s">
        <v>1336</v>
      </c>
      <c r="B8" s="311"/>
      <c r="C8" s="311"/>
      <c r="D8" s="311"/>
      <c r="E8" s="311"/>
      <c r="F8" s="311"/>
      <c r="G8" s="311"/>
      <c r="H8" s="311">
        <v>1</v>
      </c>
      <c r="I8" s="311"/>
      <c r="J8" s="311"/>
      <c r="K8" s="311">
        <v>1</v>
      </c>
    </row>
    <row r="9" spans="1:11">
      <c r="A9" s="308" t="s">
        <v>1337</v>
      </c>
      <c r="B9" s="311"/>
      <c r="C9" s="311"/>
      <c r="D9" s="311"/>
      <c r="E9" s="311"/>
      <c r="F9" s="311"/>
      <c r="G9" s="311"/>
      <c r="H9" s="311"/>
      <c r="I9" s="311">
        <v>1</v>
      </c>
      <c r="J9" s="311"/>
      <c r="K9" s="311">
        <v>1</v>
      </c>
    </row>
    <row r="10" spans="1:11">
      <c r="A10" s="308" t="s">
        <v>1508</v>
      </c>
      <c r="B10" s="311">
        <v>5</v>
      </c>
      <c r="C10" s="311"/>
      <c r="D10" s="311"/>
      <c r="E10" s="311"/>
      <c r="F10" s="311"/>
      <c r="G10" s="311"/>
      <c r="H10" s="311"/>
      <c r="I10" s="311"/>
      <c r="J10" s="311"/>
      <c r="K10" s="311">
        <v>5</v>
      </c>
    </row>
    <row r="11" spans="1:11">
      <c r="A11" s="308" t="s">
        <v>1509</v>
      </c>
      <c r="B11" s="311"/>
      <c r="C11" s="311">
        <v>5</v>
      </c>
      <c r="D11" s="311"/>
      <c r="E11" s="311"/>
      <c r="F11" s="311"/>
      <c r="G11" s="311"/>
      <c r="H11" s="311"/>
      <c r="I11" s="311"/>
      <c r="J11" s="311"/>
      <c r="K11" s="311">
        <v>5</v>
      </c>
    </row>
    <row r="12" spans="1:11">
      <c r="A12" s="308" t="s">
        <v>1511</v>
      </c>
      <c r="B12" s="311"/>
      <c r="C12" s="311"/>
      <c r="D12" s="311">
        <v>5</v>
      </c>
      <c r="E12" s="311"/>
      <c r="F12" s="311"/>
      <c r="G12" s="311"/>
      <c r="H12" s="311"/>
      <c r="I12" s="311"/>
      <c r="J12" s="311"/>
      <c r="K12" s="311">
        <v>5</v>
      </c>
    </row>
    <row r="13" spans="1:11">
      <c r="A13" s="308" t="s">
        <v>1513</v>
      </c>
      <c r="B13" s="311"/>
      <c r="C13" s="311"/>
      <c r="D13" s="311"/>
      <c r="E13" s="311">
        <v>5</v>
      </c>
      <c r="F13" s="311"/>
      <c r="G13" s="311"/>
      <c r="H13" s="311"/>
      <c r="I13" s="311"/>
      <c r="J13" s="311"/>
      <c r="K13" s="311">
        <v>5</v>
      </c>
    </row>
    <row r="14" spans="1:11">
      <c r="A14" s="308" t="s">
        <v>909</v>
      </c>
      <c r="B14" s="311">
        <v>5</v>
      </c>
      <c r="C14" s="311">
        <v>5</v>
      </c>
      <c r="D14" s="311">
        <v>5</v>
      </c>
      <c r="E14" s="311">
        <v>5</v>
      </c>
      <c r="F14" s="311">
        <v>1</v>
      </c>
      <c r="G14" s="311">
        <v>2</v>
      </c>
      <c r="H14" s="311">
        <v>1</v>
      </c>
      <c r="I14" s="311">
        <v>1</v>
      </c>
      <c r="J14" s="311"/>
      <c r="K14" s="311">
        <v>25</v>
      </c>
    </row>
  </sheetData>
  <phoneticPr fontId="5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10" t="s">
        <v>907</v>
      </c>
      <c r="B3" t="s">
        <v>905</v>
      </c>
    </row>
    <row r="4" spans="1:14" hidden="1">
      <c r="A4" s="308" t="s">
        <v>908</v>
      </c>
      <c r="B4" s="311"/>
    </row>
    <row r="5" spans="1:14">
      <c r="A5" s="308" t="s">
        <v>1519</v>
      </c>
      <c r="B5" s="311">
        <v>1</v>
      </c>
    </row>
    <row r="6" spans="1:14">
      <c r="A6" s="308" t="s">
        <v>1520</v>
      </c>
      <c r="B6" s="311">
        <v>1</v>
      </c>
    </row>
    <row r="7" spans="1:14">
      <c r="A7" s="308" t="s">
        <v>1521</v>
      </c>
      <c r="B7" s="311">
        <v>1</v>
      </c>
    </row>
    <row r="8" spans="1:14">
      <c r="A8" s="308" t="s">
        <v>1522</v>
      </c>
      <c r="B8" s="311">
        <v>1</v>
      </c>
    </row>
    <row r="9" spans="1:14">
      <c r="A9" s="308" t="s">
        <v>1523</v>
      </c>
      <c r="B9" s="311">
        <v>1</v>
      </c>
    </row>
    <row r="10" spans="1:14">
      <c r="A10" s="308" t="s">
        <v>1524</v>
      </c>
      <c r="B10" s="311">
        <v>1</v>
      </c>
    </row>
    <row r="11" spans="1:14">
      <c r="A11" s="308" t="s">
        <v>1525</v>
      </c>
      <c r="B11" s="311">
        <v>1</v>
      </c>
    </row>
    <row r="12" spans="1:14">
      <c r="A12" s="308" t="s">
        <v>1526</v>
      </c>
      <c r="B12" s="311">
        <v>1</v>
      </c>
    </row>
    <row r="13" spans="1:14">
      <c r="A13" s="308" t="s">
        <v>1527</v>
      </c>
      <c r="B13" s="311">
        <v>1</v>
      </c>
    </row>
    <row r="14" spans="1:14">
      <c r="A14" s="308" t="s">
        <v>1528</v>
      </c>
      <c r="B14" s="311">
        <v>1</v>
      </c>
    </row>
    <row r="15" spans="1:14">
      <c r="A15" s="308" t="s">
        <v>1529</v>
      </c>
      <c r="B15" s="311">
        <v>1</v>
      </c>
    </row>
    <row r="16" spans="1:14">
      <c r="A16" s="308" t="s">
        <v>1530</v>
      </c>
      <c r="B16" s="311">
        <v>1</v>
      </c>
    </row>
    <row r="17" spans="1:2">
      <c r="A17" s="308" t="s">
        <v>1531</v>
      </c>
      <c r="B17" s="311">
        <v>1</v>
      </c>
    </row>
    <row r="18" spans="1:2">
      <c r="A18" s="308" t="s">
        <v>1532</v>
      </c>
      <c r="B18" s="311">
        <v>1</v>
      </c>
    </row>
    <row r="19" spans="1:2">
      <c r="A19" s="308" t="s">
        <v>1533</v>
      </c>
      <c r="B19" s="311">
        <v>1</v>
      </c>
    </row>
    <row r="20" spans="1:2">
      <c r="A20" s="308" t="s">
        <v>1534</v>
      </c>
      <c r="B20" s="311">
        <v>1</v>
      </c>
    </row>
    <row r="21" spans="1:2">
      <c r="A21" s="308" t="s">
        <v>1535</v>
      </c>
      <c r="B21" s="311">
        <v>1</v>
      </c>
    </row>
    <row r="22" spans="1:2">
      <c r="A22" s="308" t="s">
        <v>1536</v>
      </c>
      <c r="B22" s="311">
        <v>1</v>
      </c>
    </row>
    <row r="23" spans="1:2">
      <c r="A23" s="308" t="s">
        <v>1537</v>
      </c>
      <c r="B23" s="311">
        <v>1</v>
      </c>
    </row>
    <row r="24" spans="1:2">
      <c r="A24" s="308" t="s">
        <v>1538</v>
      </c>
      <c r="B24" s="311">
        <v>1</v>
      </c>
    </row>
    <row r="25" spans="1:2">
      <c r="A25" s="308" t="s">
        <v>1539</v>
      </c>
      <c r="B25" s="311">
        <v>1</v>
      </c>
    </row>
    <row r="26" spans="1:2">
      <c r="A26" s="308" t="s">
        <v>1540</v>
      </c>
      <c r="B26" s="311">
        <v>1</v>
      </c>
    </row>
    <row r="27" spans="1:2">
      <c r="A27" s="308" t="s">
        <v>1630</v>
      </c>
      <c r="B27" s="311">
        <v>1</v>
      </c>
    </row>
    <row r="28" spans="1:2">
      <c r="A28" s="308" t="s">
        <v>1541</v>
      </c>
      <c r="B28" s="311">
        <v>1</v>
      </c>
    </row>
    <row r="29" spans="1:2">
      <c r="A29" s="308" t="s">
        <v>1542</v>
      </c>
      <c r="B29" s="311">
        <v>1</v>
      </c>
    </row>
    <row r="30" spans="1:2">
      <c r="A30" s="308" t="s">
        <v>909</v>
      </c>
      <c r="B30" s="311">
        <v>25</v>
      </c>
    </row>
  </sheetData>
  <phoneticPr fontId="54" type="noConversion"/>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0" t="s">
        <v>907</v>
      </c>
      <c r="B3" t="s">
        <v>915</v>
      </c>
    </row>
    <row r="4" spans="1:2">
      <c r="A4" s="308" t="s">
        <v>885</v>
      </c>
      <c r="B4" s="311">
        <v>1</v>
      </c>
    </row>
    <row r="5" spans="1:2">
      <c r="A5" s="308" t="s">
        <v>743</v>
      </c>
      <c r="B5" s="311">
        <v>1</v>
      </c>
    </row>
    <row r="6" spans="1:2">
      <c r="A6" s="308" t="s">
        <v>886</v>
      </c>
      <c r="B6" s="311">
        <v>1</v>
      </c>
    </row>
    <row r="7" spans="1:2">
      <c r="A7" s="308" t="s">
        <v>882</v>
      </c>
      <c r="B7" s="311">
        <v>1</v>
      </c>
    </row>
    <row r="8" spans="1:2">
      <c r="A8" s="308" t="s">
        <v>883</v>
      </c>
      <c r="B8" s="311">
        <v>1</v>
      </c>
    </row>
    <row r="9" spans="1:2">
      <c r="A9" s="308" t="s">
        <v>878</v>
      </c>
      <c r="B9" s="311">
        <v>1</v>
      </c>
    </row>
    <row r="10" spans="1:2">
      <c r="A10" s="308" t="s">
        <v>745</v>
      </c>
      <c r="B10" s="311">
        <v>1</v>
      </c>
    </row>
    <row r="11" spans="1:2">
      <c r="A11" s="308" t="s">
        <v>879</v>
      </c>
      <c r="B11" s="311">
        <v>1</v>
      </c>
    </row>
    <row r="12" spans="1:2">
      <c r="A12" s="308" t="s">
        <v>880</v>
      </c>
      <c r="B12" s="311">
        <v>1</v>
      </c>
    </row>
    <row r="13" spans="1:2">
      <c r="A13" s="308" t="s">
        <v>873</v>
      </c>
      <c r="B13" s="311">
        <v>1</v>
      </c>
    </row>
    <row r="14" spans="1:2">
      <c r="A14" s="308" t="s">
        <v>884</v>
      </c>
      <c r="B14" s="311">
        <v>1</v>
      </c>
    </row>
    <row r="15" spans="1:2">
      <c r="A15" s="308" t="s">
        <v>827</v>
      </c>
      <c r="B15" s="311">
        <v>1</v>
      </c>
    </row>
    <row r="16" spans="1:2">
      <c r="A16" s="308" t="s">
        <v>875</v>
      </c>
      <c r="B16" s="311">
        <v>1</v>
      </c>
    </row>
    <row r="17" spans="1:2">
      <c r="A17" s="308" t="s">
        <v>876</v>
      </c>
      <c r="B17" s="311">
        <v>1</v>
      </c>
    </row>
    <row r="18" spans="1:2">
      <c r="A18" s="308" t="s">
        <v>881</v>
      </c>
      <c r="B18" s="311">
        <v>1</v>
      </c>
    </row>
    <row r="19" spans="1:2">
      <c r="A19" s="308" t="s">
        <v>874</v>
      </c>
      <c r="B19" s="311">
        <v>1</v>
      </c>
    </row>
    <row r="20" spans="1:2">
      <c r="A20" s="308" t="s">
        <v>877</v>
      </c>
      <c r="B20" s="311">
        <v>1</v>
      </c>
    </row>
    <row r="21" spans="1:2">
      <c r="A21" s="308" t="s">
        <v>908</v>
      </c>
      <c r="B21" s="311"/>
    </row>
    <row r="22" spans="1:2">
      <c r="A22" s="308" t="s">
        <v>909</v>
      </c>
      <c r="B22" s="311">
        <v>17</v>
      </c>
    </row>
    <row r="26" spans="1:2">
      <c r="A26" t="s">
        <v>1041</v>
      </c>
    </row>
    <row r="27" spans="1:2">
      <c r="A27" t="s">
        <v>901</v>
      </c>
    </row>
    <row r="28" spans="1:2">
      <c r="A28" t="s">
        <v>900</v>
      </c>
    </row>
    <row r="29" spans="1:2">
      <c r="A29" t="s">
        <v>1040</v>
      </c>
    </row>
  </sheetData>
  <phoneticPr fontId="5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G76" workbookViewId="0">
      <selection activeCell="U95" sqref="U95"/>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c r="C10" s="249" t="s">
        <v>1582</v>
      </c>
    </row>
    <row r="11" spans="1:3">
      <c r="A11" s="11" t="s">
        <v>814</v>
      </c>
    </row>
    <row r="12" spans="1:3" ht="28.8">
      <c r="A12" s="11" t="s">
        <v>812</v>
      </c>
      <c r="B12" s="11" t="s">
        <v>1168</v>
      </c>
      <c r="C12" s="249" t="s">
        <v>1620</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249"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f>StartupInfo!B23</f>
        <v>2481632</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1045</v>
      </c>
      <c r="B84" s="191" t="s">
        <v>419</v>
      </c>
      <c r="C84" s="191" t="s">
        <v>1061</v>
      </c>
      <c r="D84" s="191" t="s">
        <v>1001</v>
      </c>
      <c r="E84" s="191" t="s">
        <v>1002</v>
      </c>
      <c r="F84" s="191" t="s">
        <v>1046</v>
      </c>
      <c r="G84" s="191" t="s">
        <v>1047</v>
      </c>
      <c r="H84" s="191" t="s">
        <v>1048</v>
      </c>
      <c r="I84" s="191" t="s">
        <v>1049</v>
      </c>
      <c r="J84" s="191" t="s">
        <v>1050</v>
      </c>
      <c r="K84" s="191" t="s">
        <v>1051</v>
      </c>
      <c r="L84" s="191" t="s">
        <v>1052</v>
      </c>
      <c r="M84" s="191" t="s">
        <v>1053</v>
      </c>
      <c r="N84" s="191"/>
      <c r="O84" s="191" t="s">
        <v>1054</v>
      </c>
      <c r="P84" s="191" t="s">
        <v>1055</v>
      </c>
      <c r="Q84" s="191" t="s">
        <v>1056</v>
      </c>
      <c r="R84" s="191" t="s">
        <v>1057</v>
      </c>
      <c r="S84" s="191" t="s">
        <v>1058</v>
      </c>
      <c r="T84" s="191" t="s">
        <v>1059</v>
      </c>
      <c r="U84" s="191" t="s">
        <v>1060</v>
      </c>
      <c r="V84" s="191" t="s">
        <v>10</v>
      </c>
      <c r="W84" s="190"/>
      <c r="X84" s="247" t="s">
        <v>1144</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1143</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1576</v>
      </c>
      <c r="Y85" s="248"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1181</v>
      </c>
      <c r="I87" s="96" t="str">
        <f>StartupInfo!B54</f>
        <v>+000 1111 44444</v>
      </c>
      <c r="J87" s="96"/>
      <c r="K87" s="96"/>
      <c r="L87" s="96"/>
      <c r="M87" s="96"/>
      <c r="N87" s="96"/>
      <c r="O87" s="96"/>
      <c r="P87" s="96"/>
      <c r="Q87" s="96"/>
      <c r="R87" s="96"/>
      <c r="S87" s="96"/>
      <c r="T87" s="96"/>
      <c r="U87" s="96"/>
      <c r="V87" s="95" t="str">
        <f>'Agreement 3'!B42</f>
        <v>barbara.land@email.com</v>
      </c>
      <c r="W87" s="11"/>
      <c r="X87" s="459"/>
      <c r="Y87" s="459"/>
      <c r="Z87" s="459"/>
      <c r="AA87" s="459"/>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1042</v>
      </c>
      <c r="K88" s="124"/>
      <c r="L88" s="124">
        <v>8</v>
      </c>
      <c r="M88" s="192">
        <v>44137</v>
      </c>
      <c r="N88" s="124"/>
      <c r="O88" s="124">
        <v>35</v>
      </c>
      <c r="P88" s="124" t="s">
        <v>425</v>
      </c>
      <c r="Q88" s="124" t="s">
        <v>1043</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1045</v>
      </c>
      <c r="B91" s="191" t="s">
        <v>419</v>
      </c>
      <c r="C91" s="191" t="s">
        <v>1061</v>
      </c>
      <c r="D91" s="191" t="s">
        <v>1001</v>
      </c>
      <c r="E91" s="191" t="s">
        <v>1002</v>
      </c>
      <c r="F91" s="191" t="s">
        <v>1046</v>
      </c>
      <c r="G91" s="191" t="s">
        <v>1047</v>
      </c>
      <c r="H91" s="191" t="s">
        <v>1048</v>
      </c>
      <c r="I91" s="191" t="s">
        <v>1049</v>
      </c>
      <c r="J91" s="191" t="s">
        <v>1050</v>
      </c>
      <c r="K91" s="191" t="s">
        <v>1051</v>
      </c>
      <c r="L91" s="191" t="s">
        <v>1052</v>
      </c>
      <c r="M91" s="191" t="s">
        <v>1053</v>
      </c>
      <c r="N91" s="191"/>
      <c r="O91" s="191" t="s">
        <v>1054</v>
      </c>
      <c r="P91" s="191" t="s">
        <v>1055</v>
      </c>
      <c r="Q91" s="191" t="s">
        <v>1056</v>
      </c>
      <c r="R91" s="191" t="s">
        <v>1057</v>
      </c>
      <c r="S91" s="191" t="s">
        <v>1058</v>
      </c>
      <c r="T91" s="191" t="s">
        <v>1059</v>
      </c>
      <c r="U91" s="191" t="s">
        <v>1060</v>
      </c>
      <c r="V91" s="191" t="s">
        <v>10</v>
      </c>
      <c r="W91" s="190"/>
      <c r="X91" s="132"/>
      <c r="Y91" s="132"/>
      <c r="Z91" s="132"/>
      <c r="AA91" s="187"/>
    </row>
    <row r="92" spans="1:36" s="116" customFormat="1">
      <c r="A92" s="116" t="s">
        <v>1096</v>
      </c>
      <c r="B92" s="241" t="s">
        <v>1543</v>
      </c>
      <c r="C92" s="124" t="s">
        <v>1142</v>
      </c>
      <c r="D92" s="124" t="s">
        <v>6</v>
      </c>
      <c r="E92" s="124" t="s">
        <v>1000</v>
      </c>
      <c r="F92" s="124" t="s">
        <v>1128</v>
      </c>
      <c r="G92" s="124"/>
      <c r="H92" s="124" t="s">
        <v>960</v>
      </c>
      <c r="I92" s="124" t="s">
        <v>1547</v>
      </c>
      <c r="J92" s="124" t="s">
        <v>1062</v>
      </c>
      <c r="K92" s="124"/>
      <c r="L92" s="124">
        <v>8</v>
      </c>
      <c r="M92" s="192">
        <v>44186</v>
      </c>
      <c r="N92" s="124"/>
      <c r="O92" s="124">
        <v>7</v>
      </c>
      <c r="P92" s="124" t="s">
        <v>425</v>
      </c>
      <c r="Q92" s="124" t="s">
        <v>1043</v>
      </c>
      <c r="R92" s="124">
        <v>3</v>
      </c>
      <c r="S92" s="124">
        <v>0</v>
      </c>
      <c r="T92" s="124" t="s">
        <v>1044</v>
      </c>
      <c r="U92" s="124" t="s">
        <v>1753</v>
      </c>
      <c r="V92" s="30" t="s">
        <v>1551</v>
      </c>
      <c r="W92" s="124"/>
      <c r="AA92" s="292"/>
    </row>
    <row r="93" spans="1:36" s="116" customFormat="1">
      <c r="A93" s="116" t="s">
        <v>1096</v>
      </c>
      <c r="B93" s="241" t="s">
        <v>1544</v>
      </c>
      <c r="C93" s="124" t="s">
        <v>1142</v>
      </c>
      <c r="D93" s="124" t="s">
        <v>6</v>
      </c>
      <c r="E93" s="124" t="s">
        <v>1000</v>
      </c>
      <c r="F93" s="124" t="s">
        <v>1128</v>
      </c>
      <c r="G93" s="124"/>
      <c r="H93" s="124" t="s">
        <v>960</v>
      </c>
      <c r="I93" s="124" t="s">
        <v>1548</v>
      </c>
      <c r="J93" s="124" t="s">
        <v>1062</v>
      </c>
      <c r="K93" s="124"/>
      <c r="L93" s="124">
        <v>8</v>
      </c>
      <c r="M93" s="192">
        <v>44186</v>
      </c>
      <c r="N93" s="124"/>
      <c r="O93" s="124">
        <v>18</v>
      </c>
      <c r="P93" s="124" t="s">
        <v>425</v>
      </c>
      <c r="Q93" s="124" t="s">
        <v>1043</v>
      </c>
      <c r="R93" s="124">
        <v>14</v>
      </c>
      <c r="S93" s="124">
        <v>0</v>
      </c>
      <c r="T93" s="124" t="s">
        <v>1044</v>
      </c>
      <c r="U93" s="124" t="s">
        <v>1753</v>
      </c>
      <c r="V93" s="30" t="s">
        <v>1552</v>
      </c>
      <c r="W93" s="124"/>
      <c r="AA93" s="292"/>
    </row>
    <row r="94" spans="1:36" s="116" customFormat="1">
      <c r="A94" s="116" t="s">
        <v>1096</v>
      </c>
      <c r="B94" s="241" t="s">
        <v>1545</v>
      </c>
      <c r="C94" s="124" t="s">
        <v>1142</v>
      </c>
      <c r="D94" s="124" t="s">
        <v>6</v>
      </c>
      <c r="E94" s="124" t="s">
        <v>1000</v>
      </c>
      <c r="F94" s="124" t="s">
        <v>1128</v>
      </c>
      <c r="G94" s="124"/>
      <c r="H94" s="124" t="s">
        <v>960</v>
      </c>
      <c r="I94" s="124" t="s">
        <v>1549</v>
      </c>
      <c r="J94" s="124" t="s">
        <v>1042</v>
      </c>
      <c r="K94" s="124"/>
      <c r="L94" s="124">
        <v>8</v>
      </c>
      <c r="M94" s="192">
        <v>44186</v>
      </c>
      <c r="N94" s="124"/>
      <c r="O94" s="124">
        <v>20</v>
      </c>
      <c r="P94" s="124" t="s">
        <v>425</v>
      </c>
      <c r="Q94" s="124" t="s">
        <v>1043</v>
      </c>
      <c r="R94" s="124">
        <v>30</v>
      </c>
      <c r="S94" s="124">
        <v>5</v>
      </c>
      <c r="T94" s="124" t="s">
        <v>1044</v>
      </c>
      <c r="U94" s="124" t="s">
        <v>1753</v>
      </c>
      <c r="V94" s="30" t="s">
        <v>1553</v>
      </c>
      <c r="W94" s="124"/>
      <c r="AA94" s="292"/>
    </row>
    <row r="95" spans="1:36" s="116" customFormat="1">
      <c r="A95" s="116" t="s">
        <v>1096</v>
      </c>
      <c r="B95" s="241" t="s">
        <v>1546</v>
      </c>
      <c r="C95" s="124" t="s">
        <v>1142</v>
      </c>
      <c r="D95" s="124" t="s">
        <v>6</v>
      </c>
      <c r="E95" s="124" t="s">
        <v>1000</v>
      </c>
      <c r="F95" s="124" t="s">
        <v>1128</v>
      </c>
      <c r="G95" s="124"/>
      <c r="H95" s="124" t="s">
        <v>960</v>
      </c>
      <c r="I95" s="124" t="s">
        <v>1550</v>
      </c>
      <c r="J95" s="124" t="s">
        <v>1062</v>
      </c>
      <c r="K95" s="124"/>
      <c r="L95" s="124">
        <v>8</v>
      </c>
      <c r="M95" s="192">
        <v>44186</v>
      </c>
      <c r="N95" s="124"/>
      <c r="O95" s="124">
        <v>12</v>
      </c>
      <c r="P95" s="124" t="s">
        <v>425</v>
      </c>
      <c r="Q95" s="124" t="s">
        <v>1043</v>
      </c>
      <c r="R95" s="124">
        <v>10</v>
      </c>
      <c r="S95" s="124">
        <v>9</v>
      </c>
      <c r="T95" s="124" t="s">
        <v>1044</v>
      </c>
      <c r="U95" s="124" t="s">
        <v>1753</v>
      </c>
      <c r="V95" s="30" t="s">
        <v>1554</v>
      </c>
      <c r="W95" s="124"/>
      <c r="AA95" s="292"/>
    </row>
    <row r="96" spans="1:36" s="116" customFormat="1">
      <c r="A96" s="116" t="s">
        <v>1096</v>
      </c>
      <c r="B96" s="241" t="s">
        <v>1226</v>
      </c>
      <c r="C96" s="124" t="s">
        <v>1142</v>
      </c>
      <c r="D96" s="124" t="s">
        <v>6</v>
      </c>
      <c r="E96" s="124" t="s">
        <v>1000</v>
      </c>
      <c r="F96" s="124" t="s">
        <v>1128</v>
      </c>
      <c r="G96" s="124"/>
      <c r="H96" s="124" t="s">
        <v>960</v>
      </c>
      <c r="I96" s="124" t="s">
        <v>1227</v>
      </c>
      <c r="J96" s="124" t="s">
        <v>1062</v>
      </c>
      <c r="K96" s="124" t="s">
        <v>1063</v>
      </c>
      <c r="L96" s="124">
        <v>8</v>
      </c>
      <c r="M96" s="192">
        <v>44137</v>
      </c>
      <c r="N96" s="124"/>
      <c r="O96" s="124">
        <v>16</v>
      </c>
      <c r="P96" s="124" t="s">
        <v>425</v>
      </c>
      <c r="Q96" s="124" t="s">
        <v>1043</v>
      </c>
      <c r="R96" s="124">
        <v>17</v>
      </c>
      <c r="S96" s="124">
        <v>2</v>
      </c>
      <c r="T96" s="124" t="s">
        <v>1044</v>
      </c>
      <c r="U96" s="124" t="s">
        <v>1753</v>
      </c>
      <c r="V96" s="30" t="s">
        <v>1228</v>
      </c>
      <c r="W96" s="124"/>
      <c r="AA96" s="292"/>
    </row>
    <row r="97" spans="1:27" s="116" customFormat="1">
      <c r="A97" s="116" t="s">
        <v>1096</v>
      </c>
      <c r="B97" s="241" t="s">
        <v>1229</v>
      </c>
      <c r="C97" s="124" t="s">
        <v>1142</v>
      </c>
      <c r="D97" s="124" t="s">
        <v>6</v>
      </c>
      <c r="E97" s="124" t="s">
        <v>1000</v>
      </c>
      <c r="F97" s="124" t="s">
        <v>1128</v>
      </c>
      <c r="G97" s="124"/>
      <c r="H97" s="124" t="s">
        <v>960</v>
      </c>
      <c r="I97" s="124" t="s">
        <v>1230</v>
      </c>
      <c r="J97" s="124" t="s">
        <v>1062</v>
      </c>
      <c r="K97" s="124"/>
      <c r="L97" s="124">
        <v>8</v>
      </c>
      <c r="M97" s="192">
        <v>44202</v>
      </c>
      <c r="N97" s="124"/>
      <c r="O97" s="124">
        <v>18</v>
      </c>
      <c r="P97" s="124" t="s">
        <v>425</v>
      </c>
      <c r="Q97" s="124" t="s">
        <v>1043</v>
      </c>
      <c r="R97" s="124">
        <v>15</v>
      </c>
      <c r="S97" s="124">
        <v>1</v>
      </c>
      <c r="T97" s="124" t="s">
        <v>1044</v>
      </c>
      <c r="U97" s="124" t="s">
        <v>1753</v>
      </c>
      <c r="V97" s="30" t="s">
        <v>1231</v>
      </c>
      <c r="W97" s="124"/>
      <c r="AA97" s="292"/>
    </row>
    <row r="98" spans="1:27" s="116" customFormat="1">
      <c r="A98" s="116" t="s">
        <v>1096</v>
      </c>
      <c r="B98" s="241" t="s">
        <v>1232</v>
      </c>
      <c r="C98" s="124" t="s">
        <v>1142</v>
      </c>
      <c r="D98" s="124" t="s">
        <v>6</v>
      </c>
      <c r="E98" s="124" t="s">
        <v>727</v>
      </c>
      <c r="F98" s="124" t="s">
        <v>722</v>
      </c>
      <c r="G98" s="124"/>
      <c r="H98" s="124" t="s">
        <v>1223</v>
      </c>
      <c r="I98" s="124" t="s">
        <v>1233</v>
      </c>
      <c r="J98" s="124" t="s">
        <v>1042</v>
      </c>
      <c r="K98" s="124" t="s">
        <v>1063</v>
      </c>
      <c r="L98" s="124">
        <v>8</v>
      </c>
      <c r="M98" s="192">
        <v>44144</v>
      </c>
      <c r="N98" s="124"/>
      <c r="O98" s="124">
        <v>20</v>
      </c>
      <c r="P98" s="124" t="s">
        <v>425</v>
      </c>
      <c r="Q98" s="124" t="s">
        <v>1043</v>
      </c>
      <c r="R98" s="124">
        <v>14</v>
      </c>
      <c r="S98" s="124">
        <v>2</v>
      </c>
      <c r="T98" s="124" t="s">
        <v>1044</v>
      </c>
      <c r="U98" s="124" t="s">
        <v>1753</v>
      </c>
      <c r="V98" s="30" t="s">
        <v>1234</v>
      </c>
      <c r="W98" s="124"/>
      <c r="AA98" s="292"/>
    </row>
    <row r="99" spans="1:27" s="116" customFormat="1">
      <c r="A99" s="116" t="s">
        <v>1096</v>
      </c>
      <c r="B99" s="241" t="s">
        <v>1235</v>
      </c>
      <c r="C99" s="124" t="s">
        <v>1142</v>
      </c>
      <c r="D99" s="124" t="s">
        <v>6</v>
      </c>
      <c r="E99" s="124" t="s">
        <v>727</v>
      </c>
      <c r="F99" s="124" t="s">
        <v>722</v>
      </c>
      <c r="G99" s="124"/>
      <c r="H99" s="124" t="s">
        <v>1223</v>
      </c>
      <c r="I99" s="124" t="s">
        <v>1236</v>
      </c>
      <c r="J99" s="124" t="s">
        <v>1062</v>
      </c>
      <c r="K99" s="124" t="s">
        <v>1063</v>
      </c>
      <c r="L99" s="124">
        <v>8</v>
      </c>
      <c r="M99" s="192">
        <v>44144</v>
      </c>
      <c r="N99" s="124"/>
      <c r="O99" s="124">
        <v>5</v>
      </c>
      <c r="P99" s="124" t="s">
        <v>425</v>
      </c>
      <c r="Q99" s="124" t="s">
        <v>1043</v>
      </c>
      <c r="R99" s="124">
        <v>14</v>
      </c>
      <c r="S99" s="124">
        <v>3</v>
      </c>
      <c r="T99" s="124" t="s">
        <v>1044</v>
      </c>
      <c r="U99" s="124" t="s">
        <v>1753</v>
      </c>
      <c r="V99" s="30" t="s">
        <v>1237</v>
      </c>
      <c r="W99" s="124"/>
      <c r="AA99" s="292"/>
    </row>
    <row r="100" spans="1:27" s="116" customFormat="1">
      <c r="A100" s="116" t="s">
        <v>1096</v>
      </c>
      <c r="B100" s="241" t="s">
        <v>1238</v>
      </c>
      <c r="C100" s="124" t="s">
        <v>1142</v>
      </c>
      <c r="D100" s="124" t="s">
        <v>6</v>
      </c>
      <c r="E100" s="124" t="s">
        <v>1000</v>
      </c>
      <c r="F100" s="124" t="s">
        <v>1128</v>
      </c>
      <c r="G100" s="124"/>
      <c r="H100" s="124" t="s">
        <v>960</v>
      </c>
      <c r="I100" s="124" t="s">
        <v>1239</v>
      </c>
      <c r="J100" s="124" t="s">
        <v>1062</v>
      </c>
      <c r="K100" s="124" t="s">
        <v>1063</v>
      </c>
      <c r="L100" s="124">
        <v>8</v>
      </c>
      <c r="M100" s="192">
        <v>44202</v>
      </c>
      <c r="N100" s="124"/>
      <c r="O100" s="124">
        <v>17</v>
      </c>
      <c r="P100" s="124" t="s">
        <v>425</v>
      </c>
      <c r="Q100" s="124" t="s">
        <v>1043</v>
      </c>
      <c r="R100" s="124">
        <v>17</v>
      </c>
      <c r="S100" s="124">
        <v>1</v>
      </c>
      <c r="T100" s="124" t="s">
        <v>1044</v>
      </c>
      <c r="U100" s="124" t="s">
        <v>1753</v>
      </c>
      <c r="V100" s="30" t="s">
        <v>1240</v>
      </c>
      <c r="W100" s="124"/>
      <c r="AA100" s="292"/>
    </row>
    <row r="101" spans="1:27" s="116" customFormat="1">
      <c r="B101" s="241"/>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92"/>
    </row>
    <row r="102" spans="1:27" s="116" customFormat="1">
      <c r="A102" s="241" t="s">
        <v>961</v>
      </c>
      <c r="B102" s="241" t="s">
        <v>1578</v>
      </c>
      <c r="C102" s="124" t="s">
        <v>1142</v>
      </c>
      <c r="D102" s="124"/>
      <c r="E102" s="124"/>
      <c r="F102" s="124"/>
      <c r="G102" s="124"/>
      <c r="H102" s="124"/>
      <c r="I102" s="124"/>
      <c r="J102" s="124"/>
      <c r="K102" s="124"/>
      <c r="L102" s="124"/>
      <c r="M102" s="124"/>
      <c r="N102" s="124"/>
      <c r="O102" s="124"/>
      <c r="P102" s="124"/>
      <c r="Q102" s="124"/>
      <c r="R102" s="124"/>
      <c r="S102" s="124"/>
      <c r="T102" s="124"/>
      <c r="U102" s="124"/>
      <c r="V102" s="30" t="s">
        <v>1577</v>
      </c>
      <c r="W102" s="124"/>
      <c r="AA102" s="292"/>
    </row>
    <row r="103" spans="1:27" s="116" customFormat="1">
      <c r="A103" s="116" t="s">
        <v>960</v>
      </c>
      <c r="B103" s="241"/>
      <c r="C103" s="124" t="s">
        <v>1142</v>
      </c>
      <c r="D103" s="124"/>
      <c r="E103" s="124"/>
      <c r="F103" s="124"/>
      <c r="G103" s="124"/>
      <c r="H103" s="124"/>
      <c r="I103" s="124"/>
      <c r="J103" s="124"/>
      <c r="K103" s="124"/>
      <c r="L103" s="124"/>
      <c r="M103" s="124"/>
      <c r="N103" s="124"/>
      <c r="O103" s="124"/>
      <c r="P103" s="124"/>
      <c r="Q103" s="124"/>
      <c r="R103" s="124"/>
      <c r="S103" s="124"/>
      <c r="T103" s="124"/>
      <c r="U103" s="124"/>
      <c r="V103" s="30"/>
      <c r="W103" s="124"/>
      <c r="AA103" s="292"/>
    </row>
    <row r="104" spans="1:27" s="116" customFormat="1">
      <c r="A104" s="116" t="s">
        <v>1096</v>
      </c>
      <c r="B104" s="241" t="s">
        <v>1543</v>
      </c>
      <c r="C104" s="124" t="s">
        <v>1142</v>
      </c>
      <c r="D104" s="124" t="s">
        <v>6</v>
      </c>
      <c r="E104" s="124" t="s">
        <v>1000</v>
      </c>
      <c r="F104" s="124" t="s">
        <v>1128</v>
      </c>
      <c r="G104" s="124"/>
      <c r="H104" s="124" t="s">
        <v>960</v>
      </c>
      <c r="I104" s="124" t="s">
        <v>1547</v>
      </c>
      <c r="J104" s="124" t="s">
        <v>1062</v>
      </c>
      <c r="K104" s="124"/>
      <c r="L104" s="124">
        <v>8</v>
      </c>
      <c r="M104" s="192">
        <v>44186</v>
      </c>
      <c r="N104" s="124"/>
      <c r="O104" s="124">
        <v>7</v>
      </c>
      <c r="P104" s="124" t="s">
        <v>425</v>
      </c>
      <c r="Q104" s="124" t="s">
        <v>1043</v>
      </c>
      <c r="R104" s="124">
        <v>3</v>
      </c>
      <c r="S104" s="124">
        <v>0</v>
      </c>
      <c r="T104" s="124" t="s">
        <v>1044</v>
      </c>
      <c r="U104" s="124" t="s">
        <v>1753</v>
      </c>
      <c r="V104" s="30" t="s">
        <v>1551</v>
      </c>
      <c r="W104" s="124"/>
      <c r="AA104" s="292"/>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1176</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1345</v>
      </c>
      <c r="B116" s="115"/>
      <c r="C116" s="193" t="s">
        <v>1067</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1346</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1347</v>
      </c>
      <c r="B123" s="115"/>
      <c r="C123" s="193" t="s">
        <v>1066</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0" t="s">
        <v>1348</v>
      </c>
      <c r="B126" s="460"/>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1" t="s">
        <v>823</v>
      </c>
      <c r="B144" s="461"/>
    </row>
    <row r="146" spans="1:3">
      <c r="A146" s="250" t="s">
        <v>779</v>
      </c>
      <c r="B146" s="251"/>
      <c r="C146" s="252"/>
    </row>
    <row r="147" spans="1:3">
      <c r="A147" s="462" t="s">
        <v>780</v>
      </c>
      <c r="B147" s="464"/>
      <c r="C147" s="253" t="s">
        <v>1146</v>
      </c>
    </row>
    <row r="148" spans="1:3" ht="15" thickBot="1">
      <c r="A148" s="463"/>
      <c r="B148" s="465"/>
      <c r="C148" s="253" t="s">
        <v>1750</v>
      </c>
    </row>
    <row r="149" spans="1:3">
      <c r="A149" s="254" t="s">
        <v>743</v>
      </c>
      <c r="B149" s="254" t="s">
        <v>1147</v>
      </c>
      <c r="C149" s="252"/>
    </row>
    <row r="150" spans="1:3" ht="15" thickBot="1">
      <c r="A150" s="255" t="s">
        <v>824</v>
      </c>
      <c r="B150" s="255" t="s">
        <v>825</v>
      </c>
      <c r="C150" s="252"/>
    </row>
    <row r="151" spans="1:3">
      <c r="A151" s="256" t="s">
        <v>742</v>
      </c>
      <c r="B151" s="256" t="s">
        <v>1751</v>
      </c>
      <c r="C151" s="252"/>
    </row>
    <row r="152" spans="1:3" ht="15" thickBot="1">
      <c r="A152" s="255" t="s">
        <v>824</v>
      </c>
      <c r="B152" s="255" t="s">
        <v>825</v>
      </c>
      <c r="C152" s="252"/>
    </row>
    <row r="153" spans="1:3">
      <c r="A153" s="256" t="s">
        <v>826</v>
      </c>
      <c r="B153" s="256" t="s">
        <v>1752</v>
      </c>
      <c r="C153" s="252"/>
    </row>
    <row r="154" spans="1:3" ht="15" thickBot="1">
      <c r="A154" s="255" t="s">
        <v>824</v>
      </c>
      <c r="B154" s="255" t="s">
        <v>825</v>
      </c>
      <c r="C154" s="252"/>
    </row>
    <row r="155" spans="1:3">
      <c r="A155" s="256" t="s">
        <v>744</v>
      </c>
      <c r="B155" s="256" t="s">
        <v>1148</v>
      </c>
      <c r="C155" s="257" t="s">
        <v>1350</v>
      </c>
    </row>
    <row r="157" spans="1:3">
      <c r="A157" s="28" t="s">
        <v>781</v>
      </c>
      <c r="B157" s="29"/>
      <c r="C157" s="30"/>
    </row>
    <row r="158" spans="1:3" ht="28.8">
      <c r="A158" s="11" t="s">
        <v>828</v>
      </c>
      <c r="B158" s="11" t="s">
        <v>1349</v>
      </c>
      <c r="C158" s="257" t="s">
        <v>1350</v>
      </c>
    </row>
    <row r="159" spans="1:3">
      <c r="A159" s="42" t="s">
        <v>824</v>
      </c>
      <c r="B159" s="42" t="s">
        <v>825</v>
      </c>
    </row>
    <row r="161" spans="1:3">
      <c r="A161" s="28" t="s">
        <v>782</v>
      </c>
      <c r="B161" s="29"/>
      <c r="C161" s="30"/>
    </row>
    <row r="162" spans="1:3">
      <c r="A162" s="11" t="s">
        <v>829</v>
      </c>
      <c r="B162" s="11" t="s">
        <v>1150</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1351</v>
      </c>
    </row>
    <row r="4" spans="1:3" s="116" customFormat="1"/>
    <row r="5" spans="1:3" s="116" customFormat="1">
      <c r="A5" s="29" t="s">
        <v>831</v>
      </c>
      <c r="B5" s="29"/>
      <c r="C5" s="53"/>
    </row>
    <row r="6" spans="1:3" s="116" customFormat="1">
      <c r="A6" s="116" t="s">
        <v>1351</v>
      </c>
    </row>
    <row r="7" spans="1:3" s="116" customFormat="1"/>
    <row r="8" spans="1:3" s="116" customFormat="1" ht="28.8">
      <c r="A8" s="29" t="s">
        <v>832</v>
      </c>
      <c r="B8" s="29"/>
      <c r="C8" s="53"/>
    </row>
    <row r="9" spans="1:3" s="116" customFormat="1">
      <c r="A9" s="116" t="s">
        <v>1351</v>
      </c>
      <c r="B9" s="116" t="s">
        <v>1353</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1351</v>
      </c>
      <c r="B15" s="116" t="s">
        <v>1352</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B241" sqref="B24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1354</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1355</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1356</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1357</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94"/>
    </row>
    <row r="24" spans="1:3" s="124" customFormat="1" ht="28.8">
      <c r="A24" s="124" t="s">
        <v>587</v>
      </c>
      <c r="B24" s="116" t="s">
        <v>1358</v>
      </c>
      <c r="C24" s="249"/>
    </row>
    <row r="25" spans="1:3" s="124" customFormat="1">
      <c r="B25" s="116"/>
      <c r="C25" s="249"/>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1694</v>
      </c>
    </row>
    <row r="35" spans="1:3" s="124" customFormat="1" ht="28.8">
      <c r="A35" s="124" t="s">
        <v>587</v>
      </c>
      <c r="B35" s="116" t="s">
        <v>1695</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1696</v>
      </c>
    </row>
    <row r="41" spans="1:3" s="124" customFormat="1" ht="28.8">
      <c r="A41" s="124" t="s">
        <v>587</v>
      </c>
      <c r="B41" s="116" t="s">
        <v>1697</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1177</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1359</v>
      </c>
    </row>
    <row r="94" spans="1:3" ht="43.2">
      <c r="A94" s="116" t="s">
        <v>737</v>
      </c>
      <c r="B94" s="116" t="s">
        <v>1360</v>
      </c>
    </row>
    <row r="95" spans="1:3">
      <c r="A95" s="116" t="s">
        <v>738</v>
      </c>
      <c r="B95" s="116" t="s">
        <v>1361</v>
      </c>
    </row>
    <row r="96" spans="1:3">
      <c r="A96" s="116" t="s">
        <v>739</v>
      </c>
      <c r="B96" s="116" t="s">
        <v>1362</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1359</v>
      </c>
    </row>
    <row r="104" spans="1:3" ht="57.6">
      <c r="A104" s="116" t="s">
        <v>737</v>
      </c>
      <c r="B104" s="118" t="s">
        <v>959</v>
      </c>
    </row>
    <row r="105" spans="1:3">
      <c r="A105" s="116" t="s">
        <v>738</v>
      </c>
      <c r="B105" s="116" t="s">
        <v>1361</v>
      </c>
    </row>
    <row r="106" spans="1:3" ht="86.4">
      <c r="A106" s="116" t="s">
        <v>739</v>
      </c>
      <c r="B106" s="116" t="s">
        <v>1129</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0" t="s">
        <v>1406</v>
      </c>
      <c r="B114" s="460"/>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1407</v>
      </c>
    </row>
    <row r="144" spans="1:3" ht="100.8">
      <c r="A144" s="116" t="s">
        <v>647</v>
      </c>
      <c r="B144" s="116" t="s">
        <v>1408</v>
      </c>
    </row>
    <row r="145" spans="1:3">
      <c r="A145" s="116" t="s">
        <v>648</v>
      </c>
      <c r="B145" s="116" t="s">
        <v>1409</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1410</v>
      </c>
      <c r="B157" s="14" t="s">
        <v>1587</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1411</v>
      </c>
      <c r="B165" s="14" t="s">
        <v>1588</v>
      </c>
    </row>
    <row r="166" spans="1:3">
      <c r="A166" s="116" t="s">
        <v>661</v>
      </c>
      <c r="B166" s="120" t="s">
        <v>433</v>
      </c>
      <c r="C166" s="116" t="s">
        <v>384</v>
      </c>
    </row>
    <row r="167" spans="1:3">
      <c r="A167" s="116" t="s">
        <v>667</v>
      </c>
      <c r="B167" s="116" t="s">
        <v>1589</v>
      </c>
    </row>
    <row r="168" spans="1:3" ht="28.8">
      <c r="A168" s="116" t="s">
        <v>668</v>
      </c>
      <c r="B168" s="116" t="s">
        <v>1590</v>
      </c>
    </row>
    <row r="169" spans="1:3">
      <c r="A169" s="116" t="s">
        <v>669</v>
      </c>
      <c r="B169" s="120" t="s">
        <v>676</v>
      </c>
      <c r="C169" s="116" t="s">
        <v>384</v>
      </c>
    </row>
    <row r="170" spans="1:3" ht="100.8">
      <c r="A170" s="116" t="s">
        <v>670</v>
      </c>
      <c r="B170" s="116" t="s">
        <v>1591</v>
      </c>
    </row>
    <row r="171" spans="1:3">
      <c r="A171" s="116" t="s">
        <v>671</v>
      </c>
      <c r="B171" s="120" t="s">
        <v>675</v>
      </c>
      <c r="C171" s="116" t="s">
        <v>384</v>
      </c>
    </row>
    <row r="173" spans="1:3">
      <c r="A173" s="14" t="s">
        <v>1412</v>
      </c>
      <c r="B173" s="14" t="s">
        <v>1592</v>
      </c>
    </row>
    <row r="174" spans="1:3">
      <c r="A174" s="116" t="s">
        <v>661</v>
      </c>
      <c r="B174" s="120" t="s">
        <v>433</v>
      </c>
      <c r="C174" s="116" t="s">
        <v>384</v>
      </c>
    </row>
    <row r="175" spans="1:3">
      <c r="A175" s="116" t="s">
        <v>667</v>
      </c>
      <c r="B175" s="116" t="s">
        <v>1413</v>
      </c>
    </row>
    <row r="176" spans="1:3" ht="43.2">
      <c r="A176" s="116" t="s">
        <v>668</v>
      </c>
      <c r="B176" s="116" t="s">
        <v>1414</v>
      </c>
    </row>
    <row r="177" spans="1:3">
      <c r="A177" s="116" t="s">
        <v>669</v>
      </c>
      <c r="B177" s="120" t="s">
        <v>676</v>
      </c>
      <c r="C177" s="116" t="s">
        <v>384</v>
      </c>
    </row>
    <row r="178" spans="1:3" ht="115.2">
      <c r="A178" s="116" t="s">
        <v>670</v>
      </c>
      <c r="B178" s="116" t="s">
        <v>1621</v>
      </c>
    </row>
    <row r="179" spans="1:3">
      <c r="A179" s="116" t="s">
        <v>671</v>
      </c>
      <c r="B179" s="120" t="s">
        <v>1415</v>
      </c>
      <c r="C179" s="116" t="s">
        <v>384</v>
      </c>
    </row>
    <row r="181" spans="1:3">
      <c r="A181" s="14" t="s">
        <v>1416</v>
      </c>
      <c r="B181" s="14" t="s">
        <v>1593</v>
      </c>
    </row>
    <row r="182" spans="1:3">
      <c r="A182" s="116" t="s">
        <v>661</v>
      </c>
      <c r="B182" s="120" t="s">
        <v>433</v>
      </c>
      <c r="C182" s="116" t="s">
        <v>384</v>
      </c>
    </row>
    <row r="183" spans="1:3">
      <c r="A183" s="116" t="s">
        <v>667</v>
      </c>
      <c r="B183" s="116" t="s">
        <v>1413</v>
      </c>
    </row>
    <row r="184" spans="1:3" ht="28.8">
      <c r="A184" s="116" t="s">
        <v>668</v>
      </c>
      <c r="B184" s="116" t="s">
        <v>1417</v>
      </c>
    </row>
    <row r="185" spans="1:3">
      <c r="A185" s="116" t="s">
        <v>669</v>
      </c>
      <c r="B185" s="120" t="s">
        <v>1418</v>
      </c>
      <c r="C185" s="116" t="s">
        <v>384</v>
      </c>
    </row>
    <row r="186" spans="1:3" ht="135.6" customHeight="1">
      <c r="A186" s="116" t="s">
        <v>670</v>
      </c>
      <c r="B186" s="116" t="s">
        <v>1622</v>
      </c>
    </row>
    <row r="187" spans="1:3">
      <c r="A187" s="116" t="s">
        <v>671</v>
      </c>
      <c r="B187" s="120" t="s">
        <v>1415</v>
      </c>
      <c r="C187" s="116" t="s">
        <v>384</v>
      </c>
    </row>
    <row r="189" spans="1:3">
      <c r="A189" s="14" t="s">
        <v>1419</v>
      </c>
      <c r="B189" s="14" t="s">
        <v>1594</v>
      </c>
    </row>
    <row r="190" spans="1:3">
      <c r="A190" s="116" t="s">
        <v>661</v>
      </c>
      <c r="B190" s="120" t="s">
        <v>664</v>
      </c>
      <c r="C190" s="116" t="s">
        <v>384</v>
      </c>
    </row>
    <row r="191" spans="1:3">
      <c r="A191" s="116" t="s">
        <v>667</v>
      </c>
    </row>
    <row r="192" spans="1:3" ht="43.2">
      <c r="A192" s="116" t="s">
        <v>668</v>
      </c>
      <c r="B192" s="116" t="s">
        <v>1420</v>
      </c>
    </row>
    <row r="193" spans="1:3">
      <c r="A193" s="116" t="s">
        <v>669</v>
      </c>
      <c r="B193" s="120" t="s">
        <v>1418</v>
      </c>
      <c r="C193" s="116" t="s">
        <v>384</v>
      </c>
    </row>
    <row r="194" spans="1:3" ht="144">
      <c r="A194" s="116" t="s">
        <v>670</v>
      </c>
      <c r="B194" s="116" t="s">
        <v>1623</v>
      </c>
    </row>
    <row r="195" spans="1:3">
      <c r="A195" s="116" t="s">
        <v>671</v>
      </c>
      <c r="B195" s="120" t="s">
        <v>1415</v>
      </c>
      <c r="C195" s="116" t="s">
        <v>384</v>
      </c>
    </row>
    <row r="197" spans="1:3" ht="28.8">
      <c r="A197" s="14" t="s">
        <v>1595</v>
      </c>
      <c r="B197" s="14" t="s">
        <v>1596</v>
      </c>
    </row>
    <row r="198" spans="1:3">
      <c r="A198" s="116" t="s">
        <v>661</v>
      </c>
      <c r="B198" s="120" t="s">
        <v>433</v>
      </c>
      <c r="C198" s="116" t="s">
        <v>384</v>
      </c>
    </row>
    <row r="199" spans="1:3">
      <c r="A199" s="116" t="s">
        <v>667</v>
      </c>
      <c r="B199" s="116" t="s">
        <v>1589</v>
      </c>
    </row>
    <row r="200" spans="1:3" ht="43.2">
      <c r="A200" s="116" t="s">
        <v>668</v>
      </c>
      <c r="B200" s="116" t="s">
        <v>1597</v>
      </c>
    </row>
    <row r="201" spans="1:3">
      <c r="A201" s="116" t="s">
        <v>669</v>
      </c>
      <c r="B201" s="120" t="s">
        <v>676</v>
      </c>
      <c r="C201" s="116" t="s">
        <v>384</v>
      </c>
    </row>
    <row r="202" spans="1:3" ht="115.2">
      <c r="A202" s="116" t="s">
        <v>670</v>
      </c>
      <c r="B202" s="116" t="s">
        <v>1598</v>
      </c>
    </row>
    <row r="203" spans="1:3">
      <c r="A203" s="116" t="s">
        <v>671</v>
      </c>
      <c r="B203" s="120" t="s">
        <v>1415</v>
      </c>
      <c r="C203" s="116" t="s">
        <v>384</v>
      </c>
    </row>
    <row r="206" spans="1:3">
      <c r="A206" s="14" t="s">
        <v>1599</v>
      </c>
      <c r="B206" s="14" t="s">
        <v>1600</v>
      </c>
    </row>
    <row r="207" spans="1:3">
      <c r="A207" s="116" t="s">
        <v>661</v>
      </c>
      <c r="B207" s="120" t="s">
        <v>433</v>
      </c>
      <c r="C207" s="116" t="s">
        <v>384</v>
      </c>
    </row>
    <row r="208" spans="1:3">
      <c r="A208" s="116" t="s">
        <v>667</v>
      </c>
      <c r="B208" s="116" t="s">
        <v>1589</v>
      </c>
    </row>
    <row r="209" spans="1:3" ht="28.8">
      <c r="A209" s="116" t="s">
        <v>668</v>
      </c>
      <c r="B209" s="116" t="s">
        <v>1601</v>
      </c>
    </row>
    <row r="210" spans="1:3">
      <c r="A210" s="116" t="s">
        <v>669</v>
      </c>
      <c r="B210" s="120" t="s">
        <v>1418</v>
      </c>
      <c r="C210" s="116" t="s">
        <v>384</v>
      </c>
    </row>
    <row r="211" spans="1:3" ht="43.2">
      <c r="A211" s="116" t="s">
        <v>670</v>
      </c>
      <c r="B211" s="116" t="s">
        <v>1602</v>
      </c>
    </row>
    <row r="212" spans="1:3">
      <c r="A212" s="116" t="s">
        <v>671</v>
      </c>
      <c r="B212" s="120" t="s">
        <v>1415</v>
      </c>
      <c r="C212" s="116" t="s">
        <v>384</v>
      </c>
    </row>
    <row r="214" spans="1:3">
      <c r="A214" s="14" t="s">
        <v>1603</v>
      </c>
      <c r="B214" s="14" t="s">
        <v>1604</v>
      </c>
    </row>
    <row r="215" spans="1:3">
      <c r="A215" s="116" t="s">
        <v>661</v>
      </c>
      <c r="B215" s="120" t="s">
        <v>433</v>
      </c>
      <c r="C215" s="116" t="s">
        <v>384</v>
      </c>
    </row>
    <row r="216" spans="1:3">
      <c r="A216" s="116" t="s">
        <v>667</v>
      </c>
      <c r="B216" s="116" t="s">
        <v>1589</v>
      </c>
    </row>
    <row r="217" spans="1:3" ht="28.8">
      <c r="A217" s="116" t="s">
        <v>668</v>
      </c>
      <c r="B217" s="116" t="s">
        <v>1605</v>
      </c>
    </row>
    <row r="218" spans="1:3">
      <c r="A218" s="116" t="s">
        <v>669</v>
      </c>
      <c r="B218" s="120" t="s">
        <v>676</v>
      </c>
      <c r="C218" s="116" t="s">
        <v>384</v>
      </c>
    </row>
    <row r="219" spans="1:3" ht="43.2">
      <c r="A219" s="116" t="s">
        <v>670</v>
      </c>
      <c r="B219" s="116" t="s">
        <v>1606</v>
      </c>
    </row>
    <row r="220" spans="1:3">
      <c r="A220" s="116" t="s">
        <v>671</v>
      </c>
      <c r="B220" s="120" t="s">
        <v>1415</v>
      </c>
      <c r="C220" s="116" t="s">
        <v>384</v>
      </c>
    </row>
    <row r="222" spans="1:3">
      <c r="A222" s="14" t="s">
        <v>1607</v>
      </c>
      <c r="B222" s="14" t="s">
        <v>1698</v>
      </c>
    </row>
    <row r="223" spans="1:3">
      <c r="A223" s="116" t="s">
        <v>661</v>
      </c>
      <c r="B223" s="120" t="s">
        <v>433</v>
      </c>
      <c r="C223" s="116" t="s">
        <v>384</v>
      </c>
    </row>
    <row r="224" spans="1:3">
      <c r="A224" s="116" t="s">
        <v>667</v>
      </c>
      <c r="B224" s="116" t="s">
        <v>1589</v>
      </c>
    </row>
    <row r="225" spans="1:3" ht="28.8">
      <c r="A225" s="116" t="s">
        <v>668</v>
      </c>
      <c r="B225" s="116" t="s">
        <v>1608</v>
      </c>
    </row>
    <row r="226" spans="1:3">
      <c r="A226" s="116" t="s">
        <v>669</v>
      </c>
      <c r="B226" s="120" t="s">
        <v>676</v>
      </c>
      <c r="C226" s="116" t="s">
        <v>384</v>
      </c>
    </row>
    <row r="227" spans="1:3" ht="129.6">
      <c r="A227" s="116" t="s">
        <v>670</v>
      </c>
      <c r="B227" s="116" t="s">
        <v>1609</v>
      </c>
    </row>
    <row r="228" spans="1:3">
      <c r="A228" s="116" t="s">
        <v>671</v>
      </c>
      <c r="B228" s="120" t="s">
        <v>1415</v>
      </c>
      <c r="C228" s="116" t="s">
        <v>384</v>
      </c>
    </row>
    <row r="230" spans="1:3">
      <c r="A230" s="14" t="s">
        <v>1610</v>
      </c>
      <c r="B230" s="14" t="s">
        <v>1699</v>
      </c>
    </row>
    <row r="231" spans="1:3">
      <c r="A231" s="116" t="s">
        <v>661</v>
      </c>
      <c r="B231" s="120" t="s">
        <v>433</v>
      </c>
      <c r="C231" s="116" t="s">
        <v>384</v>
      </c>
    </row>
    <row r="232" spans="1:3">
      <c r="A232" s="116" t="s">
        <v>667</v>
      </c>
      <c r="B232" s="116" t="s">
        <v>1589</v>
      </c>
    </row>
    <row r="233" spans="1:3">
      <c r="A233" s="116" t="s">
        <v>668</v>
      </c>
      <c r="B233" s="116" t="s">
        <v>1611</v>
      </c>
    </row>
    <row r="234" spans="1:3">
      <c r="A234" s="116" t="s">
        <v>669</v>
      </c>
      <c r="B234" s="120" t="s">
        <v>676</v>
      </c>
      <c r="C234" s="116" t="s">
        <v>384</v>
      </c>
    </row>
    <row r="235" spans="1:3" ht="43.2">
      <c r="A235" s="116" t="s">
        <v>670</v>
      </c>
      <c r="B235" s="116" t="s">
        <v>1612</v>
      </c>
    </row>
    <row r="236" spans="1:3">
      <c r="A236" s="116" t="s">
        <v>671</v>
      </c>
      <c r="B236" s="120" t="s">
        <v>675</v>
      </c>
      <c r="C236" s="116" t="s">
        <v>384</v>
      </c>
    </row>
    <row r="238" spans="1:3">
      <c r="A238" s="14" t="s">
        <v>1613</v>
      </c>
      <c r="B238" s="14" t="s">
        <v>1700</v>
      </c>
    </row>
    <row r="239" spans="1:3">
      <c r="A239" s="116" t="s">
        <v>661</v>
      </c>
      <c r="B239" s="120" t="s">
        <v>433</v>
      </c>
      <c r="C239" s="116" t="s">
        <v>384</v>
      </c>
    </row>
    <row r="240" spans="1:3">
      <c r="A240" s="116" t="s">
        <v>667</v>
      </c>
      <c r="B240" s="116" t="s">
        <v>1589</v>
      </c>
    </row>
    <row r="241" spans="1:3">
      <c r="A241" s="116" t="s">
        <v>668</v>
      </c>
      <c r="B241" s="116" t="s">
        <v>1614</v>
      </c>
    </row>
    <row r="242" spans="1:3">
      <c r="A242" s="116" t="s">
        <v>669</v>
      </c>
      <c r="B242" s="120" t="s">
        <v>676</v>
      </c>
      <c r="C242" s="116" t="s">
        <v>384</v>
      </c>
    </row>
    <row r="243" spans="1:3" ht="100.8">
      <c r="A243" s="116" t="s">
        <v>670</v>
      </c>
      <c r="B243" s="116" t="s">
        <v>1615</v>
      </c>
    </row>
    <row r="244" spans="1:3">
      <c r="A244" s="116" t="s">
        <v>671</v>
      </c>
      <c r="B244" s="120" t="s">
        <v>1415</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1130</v>
      </c>
    </row>
    <row r="252" spans="1:3">
      <c r="A252" s="116" t="s">
        <v>694</v>
      </c>
      <c r="B252" s="120" t="s">
        <v>673</v>
      </c>
      <c r="C252" s="116" t="s">
        <v>384</v>
      </c>
    </row>
    <row r="253" spans="1:3">
      <c r="A253" s="116" t="s">
        <v>695</v>
      </c>
      <c r="B253" s="116" t="s">
        <v>1131</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8" t="s">
        <v>1158</v>
      </c>
      <c r="B266" s="120" t="s">
        <v>1157</v>
      </c>
      <c r="C266" s="116" t="s">
        <v>384</v>
      </c>
    </row>
    <row r="268" spans="1:3">
      <c r="A268" s="99" t="s">
        <v>809</v>
      </c>
      <c r="B268" s="99"/>
    </row>
    <row r="269" spans="1:3">
      <c r="A269" s="28" t="s">
        <v>810</v>
      </c>
      <c r="B269" s="29"/>
      <c r="C269" s="30"/>
    </row>
    <row r="270" spans="1:3" ht="72">
      <c r="A270" s="258" t="s">
        <v>1178</v>
      </c>
      <c r="B270" s="120" t="s">
        <v>1157</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1208</v>
      </c>
      <c r="B1" s="99"/>
    </row>
    <row r="2" spans="1:3">
      <c r="A2" s="28" t="s">
        <v>1209</v>
      </c>
      <c r="B2" s="29"/>
      <c r="C2" s="30"/>
    </row>
    <row r="3" spans="1:3" s="124" customFormat="1">
      <c r="A3" s="123" t="s">
        <v>1211</v>
      </c>
      <c r="B3" s="116"/>
    </row>
    <row r="4" spans="1:3" s="124" customFormat="1">
      <c r="B4" s="116"/>
    </row>
    <row r="5" spans="1:3">
      <c r="A5" s="28" t="s">
        <v>1210</v>
      </c>
      <c r="B5" s="29"/>
      <c r="C5" s="30"/>
    </row>
    <row r="6" spans="1:3" s="124" customFormat="1">
      <c r="A6" s="123" t="s">
        <v>1212</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1154</v>
      </c>
      <c r="B1" s="99"/>
    </row>
    <row r="2" spans="1:3">
      <c r="A2" s="28" t="s">
        <v>1155</v>
      </c>
      <c r="B2" s="29"/>
      <c r="C2" s="30"/>
    </row>
    <row r="3" spans="1:3" s="124" customFormat="1">
      <c r="A3" s="123" t="s">
        <v>1156</v>
      </c>
      <c r="B3" s="116"/>
    </row>
    <row r="4" spans="1:3" s="124" customFormat="1">
      <c r="B4" s="116"/>
    </row>
    <row r="5" spans="1:3">
      <c r="A5" s="28" t="s">
        <v>1152</v>
      </c>
      <c r="B5" s="29"/>
      <c r="C5" s="30"/>
    </row>
    <row r="6" spans="1:3">
      <c r="A6" s="116" t="s">
        <v>1636</v>
      </c>
    </row>
  </sheetData>
  <phoneticPr fontId="54" type="noConversion"/>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1508</v>
      </c>
      <c r="C2" t="s">
        <v>873</v>
      </c>
      <c r="D2" t="s">
        <v>1521</v>
      </c>
      <c r="E2" t="s">
        <v>1140</v>
      </c>
      <c r="F2" t="s">
        <v>888</v>
      </c>
      <c r="G2" t="s">
        <v>410</v>
      </c>
    </row>
    <row r="3" spans="1:7">
      <c r="A3" t="s">
        <v>888</v>
      </c>
      <c r="B3" t="s">
        <v>1508</v>
      </c>
      <c r="C3" t="s">
        <v>874</v>
      </c>
      <c r="D3" t="s">
        <v>1520</v>
      </c>
      <c r="E3" t="s">
        <v>903</v>
      </c>
      <c r="F3" t="s">
        <v>888</v>
      </c>
      <c r="G3" t="s">
        <v>410</v>
      </c>
    </row>
    <row r="4" spans="1:7">
      <c r="A4" t="s">
        <v>889</v>
      </c>
      <c r="B4" t="s">
        <v>1509</v>
      </c>
      <c r="C4" t="s">
        <v>875</v>
      </c>
      <c r="D4" t="s">
        <v>1524</v>
      </c>
      <c r="E4" t="s">
        <v>902</v>
      </c>
      <c r="F4" t="s">
        <v>889</v>
      </c>
      <c r="G4" t="s">
        <v>410</v>
      </c>
    </row>
    <row r="5" spans="1:7">
      <c r="A5" t="s">
        <v>889</v>
      </c>
      <c r="B5" t="s">
        <v>1509</v>
      </c>
      <c r="C5" t="s">
        <v>876</v>
      </c>
      <c r="D5" t="s">
        <v>1524</v>
      </c>
      <c r="E5" t="s">
        <v>902</v>
      </c>
      <c r="F5" t="s">
        <v>889</v>
      </c>
      <c r="G5" t="s">
        <v>410</v>
      </c>
    </row>
    <row r="6" spans="1:7">
      <c r="A6" t="s">
        <v>889</v>
      </c>
      <c r="B6" t="s">
        <v>1509</v>
      </c>
      <c r="C6" t="s">
        <v>877</v>
      </c>
      <c r="D6" t="s">
        <v>1526</v>
      </c>
      <c r="E6" t="s">
        <v>1140</v>
      </c>
      <c r="F6" t="s">
        <v>889</v>
      </c>
      <c r="G6" t="s">
        <v>410</v>
      </c>
    </row>
    <row r="7" spans="1:7">
      <c r="A7" t="s">
        <v>890</v>
      </c>
      <c r="B7" t="s">
        <v>1511</v>
      </c>
      <c r="C7" t="s">
        <v>882</v>
      </c>
      <c r="D7" t="s">
        <v>1533</v>
      </c>
      <c r="E7" t="s">
        <v>1343</v>
      </c>
      <c r="F7" t="s">
        <v>890</v>
      </c>
      <c r="G7" t="s">
        <v>410</v>
      </c>
    </row>
    <row r="8" spans="1:7">
      <c r="A8" t="s">
        <v>890</v>
      </c>
      <c r="B8" t="s">
        <v>1511</v>
      </c>
      <c r="C8" t="s">
        <v>883</v>
      </c>
      <c r="D8" t="s">
        <v>1533</v>
      </c>
      <c r="E8" t="s">
        <v>1343</v>
      </c>
      <c r="F8" t="s">
        <v>890</v>
      </c>
      <c r="G8" t="s">
        <v>410</v>
      </c>
    </row>
    <row r="9" spans="1:7">
      <c r="A9" t="s">
        <v>890</v>
      </c>
      <c r="B9" t="s">
        <v>1511</v>
      </c>
      <c r="C9" t="s">
        <v>884</v>
      </c>
      <c r="D9" t="s">
        <v>1533</v>
      </c>
      <c r="E9" t="s">
        <v>1343</v>
      </c>
      <c r="F9" t="s">
        <v>890</v>
      </c>
      <c r="G9" t="s">
        <v>410</v>
      </c>
    </row>
    <row r="10" spans="1:7">
      <c r="A10" t="s">
        <v>891</v>
      </c>
      <c r="B10" t="s">
        <v>1513</v>
      </c>
      <c r="C10" t="s">
        <v>881</v>
      </c>
      <c r="D10" t="s">
        <v>1538</v>
      </c>
      <c r="E10" t="s">
        <v>1343</v>
      </c>
      <c r="F10" t="s">
        <v>891</v>
      </c>
      <c r="G10" t="s">
        <v>410</v>
      </c>
    </row>
    <row r="11" spans="1:7">
      <c r="A11" t="s">
        <v>893</v>
      </c>
      <c r="B11" t="s">
        <v>1334</v>
      </c>
      <c r="C11" t="s">
        <v>743</v>
      </c>
      <c r="D11" t="s">
        <v>1539</v>
      </c>
      <c r="E11" t="s">
        <v>1342</v>
      </c>
      <c r="F11" t="s">
        <v>893</v>
      </c>
      <c r="G11" t="s">
        <v>410</v>
      </c>
    </row>
    <row r="12" spans="1:7">
      <c r="A12" t="s">
        <v>894</v>
      </c>
      <c r="B12" t="s">
        <v>1335</v>
      </c>
      <c r="C12" t="s">
        <v>885</v>
      </c>
      <c r="D12" t="s">
        <v>1630</v>
      </c>
      <c r="E12" t="s">
        <v>1629</v>
      </c>
      <c r="F12" t="s">
        <v>894</v>
      </c>
      <c r="G12" t="s">
        <v>410</v>
      </c>
    </row>
    <row r="13" spans="1:7">
      <c r="A13" t="s">
        <v>894</v>
      </c>
      <c r="B13" t="s">
        <v>1335</v>
      </c>
      <c r="C13" t="s">
        <v>886</v>
      </c>
      <c r="D13" t="s">
        <v>1540</v>
      </c>
      <c r="E13" t="s">
        <v>1344</v>
      </c>
      <c r="F13" t="s">
        <v>894</v>
      </c>
      <c r="G13" t="s">
        <v>410</v>
      </c>
    </row>
    <row r="14" spans="1:7">
      <c r="A14" t="s">
        <v>894</v>
      </c>
      <c r="B14" t="s">
        <v>1335</v>
      </c>
      <c r="C14" t="s">
        <v>878</v>
      </c>
      <c r="D14" t="s">
        <v>1630</v>
      </c>
      <c r="E14" t="s">
        <v>1629</v>
      </c>
      <c r="F14" t="s">
        <v>894</v>
      </c>
      <c r="G14" t="s">
        <v>410</v>
      </c>
    </row>
    <row r="15" spans="1:7">
      <c r="A15" t="s">
        <v>894</v>
      </c>
      <c r="B15" t="s">
        <v>1335</v>
      </c>
      <c r="C15" t="s">
        <v>879</v>
      </c>
      <c r="D15" t="s">
        <v>1540</v>
      </c>
      <c r="E15" t="s">
        <v>1344</v>
      </c>
      <c r="F15" t="s">
        <v>894</v>
      </c>
      <c r="G15" t="s">
        <v>410</v>
      </c>
    </row>
    <row r="16" spans="1:7">
      <c r="A16" t="s">
        <v>894</v>
      </c>
      <c r="B16" t="s">
        <v>1335</v>
      </c>
      <c r="C16" t="s">
        <v>880</v>
      </c>
      <c r="D16" t="s">
        <v>1540</v>
      </c>
      <c r="E16" t="s">
        <v>1344</v>
      </c>
      <c r="F16" t="s">
        <v>894</v>
      </c>
      <c r="G16" t="s">
        <v>410</v>
      </c>
    </row>
    <row r="17" spans="1:7">
      <c r="A17" t="s">
        <v>895</v>
      </c>
      <c r="B17" t="s">
        <v>1336</v>
      </c>
      <c r="C17" t="s">
        <v>745</v>
      </c>
      <c r="D17" t="s">
        <v>1541</v>
      </c>
      <c r="E17" t="s">
        <v>1341</v>
      </c>
      <c r="F17" t="s">
        <v>895</v>
      </c>
      <c r="G17" t="s">
        <v>410</v>
      </c>
    </row>
    <row r="18" spans="1:7">
      <c r="A18" t="s">
        <v>896</v>
      </c>
      <c r="B18" t="s">
        <v>1337</v>
      </c>
      <c r="C18" t="s">
        <v>827</v>
      </c>
      <c r="D18" t="s">
        <v>1542</v>
      </c>
      <c r="E18" t="s">
        <v>1225</v>
      </c>
      <c r="F18" t="s">
        <v>896</v>
      </c>
      <c r="G18" t="s">
        <v>410</v>
      </c>
    </row>
    <row r="19" spans="1:7">
      <c r="A19" t="s">
        <v>888</v>
      </c>
      <c r="B19" t="s">
        <v>1508</v>
      </c>
      <c r="C19" t="s">
        <v>874</v>
      </c>
      <c r="D19" t="s">
        <v>1521</v>
      </c>
      <c r="E19" t="s">
        <v>1140</v>
      </c>
      <c r="F19" t="s">
        <v>888</v>
      </c>
    </row>
    <row r="20" spans="1:7">
      <c r="A20" t="s">
        <v>889</v>
      </c>
      <c r="B20" t="s">
        <v>1509</v>
      </c>
      <c r="C20" t="s">
        <v>875</v>
      </c>
      <c r="D20" t="s">
        <v>1525</v>
      </c>
      <c r="E20" t="s">
        <v>903</v>
      </c>
      <c r="F20" t="s">
        <v>889</v>
      </c>
    </row>
    <row r="21" spans="1:7">
      <c r="A21" t="s">
        <v>889</v>
      </c>
      <c r="B21" t="s">
        <v>1509</v>
      </c>
      <c r="C21" t="s">
        <v>875</v>
      </c>
      <c r="D21" t="s">
        <v>1526</v>
      </c>
      <c r="E21" t="s">
        <v>1140</v>
      </c>
      <c r="F21" t="s">
        <v>889</v>
      </c>
    </row>
    <row r="22" spans="1:7">
      <c r="A22" t="s">
        <v>889</v>
      </c>
      <c r="B22" t="s">
        <v>1509</v>
      </c>
      <c r="C22" t="s">
        <v>875</v>
      </c>
      <c r="D22" t="s">
        <v>1528</v>
      </c>
      <c r="E22" t="s">
        <v>1343</v>
      </c>
      <c r="F22" t="s">
        <v>889</v>
      </c>
    </row>
    <row r="23" spans="1:7">
      <c r="A23" t="s">
        <v>889</v>
      </c>
      <c r="B23" t="s">
        <v>1509</v>
      </c>
      <c r="C23" t="s">
        <v>875</v>
      </c>
      <c r="D23" t="s">
        <v>1527</v>
      </c>
      <c r="E23" t="s">
        <v>1275</v>
      </c>
      <c r="F23" t="s">
        <v>889</v>
      </c>
    </row>
    <row r="24" spans="1:7">
      <c r="A24" t="s">
        <v>889</v>
      </c>
      <c r="B24" t="s">
        <v>1509</v>
      </c>
      <c r="C24" t="s">
        <v>877</v>
      </c>
      <c r="D24" t="s">
        <v>1527</v>
      </c>
      <c r="E24" t="s">
        <v>1275</v>
      </c>
      <c r="F24" t="s">
        <v>889</v>
      </c>
    </row>
    <row r="25" spans="1:7">
      <c r="A25" t="s">
        <v>894</v>
      </c>
      <c r="B25" t="s">
        <v>1335</v>
      </c>
      <c r="C25" t="s">
        <v>886</v>
      </c>
      <c r="D25" t="s">
        <v>1630</v>
      </c>
      <c r="E25" t="s">
        <v>1629</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0" t="s">
        <v>905</v>
      </c>
      <c r="B3" s="310" t="s">
        <v>906</v>
      </c>
    </row>
    <row r="4" spans="1:13">
      <c r="A4" s="310" t="s">
        <v>907</v>
      </c>
      <c r="B4" s="318" t="s">
        <v>888</v>
      </c>
      <c r="C4" s="318" t="s">
        <v>889</v>
      </c>
      <c r="D4" s="318" t="s">
        <v>891</v>
      </c>
      <c r="E4" s="318" t="s">
        <v>893</v>
      </c>
      <c r="F4" s="318" t="s">
        <v>894</v>
      </c>
      <c r="G4" s="318" t="s">
        <v>908</v>
      </c>
      <c r="H4" s="318" t="s">
        <v>890</v>
      </c>
      <c r="I4" s="318" t="s">
        <v>895</v>
      </c>
      <c r="J4" s="318" t="s">
        <v>896</v>
      </c>
      <c r="K4" s="318" t="s">
        <v>909</v>
      </c>
    </row>
    <row r="5" spans="1:13">
      <c r="A5" s="308" t="s">
        <v>885</v>
      </c>
      <c r="B5" s="311"/>
      <c r="C5" s="311"/>
      <c r="D5" s="311"/>
      <c r="E5" s="311"/>
      <c r="F5" s="311">
        <v>1</v>
      </c>
      <c r="G5" s="311"/>
      <c r="H5" s="311"/>
      <c r="I5" s="311"/>
      <c r="J5" s="311"/>
      <c r="K5" s="311">
        <v>1</v>
      </c>
      <c r="M5" t="s">
        <v>885</v>
      </c>
    </row>
    <row r="6" spans="1:13">
      <c r="A6" s="308" t="s">
        <v>743</v>
      </c>
      <c r="B6" s="311"/>
      <c r="C6" s="311"/>
      <c r="D6" s="311"/>
      <c r="E6" s="311">
        <v>1</v>
      </c>
      <c r="F6" s="311"/>
      <c r="G6" s="311"/>
      <c r="H6" s="311"/>
      <c r="I6" s="311"/>
      <c r="J6" s="311"/>
      <c r="K6" s="311">
        <v>1</v>
      </c>
      <c r="M6" t="s">
        <v>743</v>
      </c>
    </row>
    <row r="7" spans="1:13">
      <c r="A7" s="308" t="s">
        <v>882</v>
      </c>
      <c r="B7" s="311"/>
      <c r="C7" s="311"/>
      <c r="D7" s="311"/>
      <c r="E7" s="311"/>
      <c r="F7" s="311"/>
      <c r="G7" s="311"/>
      <c r="H7" s="311">
        <v>1</v>
      </c>
      <c r="I7" s="311"/>
      <c r="J7" s="311"/>
      <c r="K7" s="311">
        <v>1</v>
      </c>
      <c r="M7" t="s">
        <v>882</v>
      </c>
    </row>
    <row r="8" spans="1:13">
      <c r="A8" s="308" t="s">
        <v>883</v>
      </c>
      <c r="B8" s="311"/>
      <c r="C8" s="311"/>
      <c r="D8" s="311"/>
      <c r="E8" s="311"/>
      <c r="F8" s="311"/>
      <c r="G8" s="311"/>
      <c r="H8" s="311">
        <v>1</v>
      </c>
      <c r="I8" s="311"/>
      <c r="J8" s="311"/>
      <c r="K8" s="311">
        <v>1</v>
      </c>
      <c r="M8" t="s">
        <v>883</v>
      </c>
    </row>
    <row r="9" spans="1:13">
      <c r="A9" s="308" t="s">
        <v>873</v>
      </c>
      <c r="B9" s="311">
        <v>1</v>
      </c>
      <c r="C9" s="311"/>
      <c r="D9" s="311"/>
      <c r="E9" s="311"/>
      <c r="F9" s="311"/>
      <c r="G9" s="311"/>
      <c r="H9" s="311"/>
      <c r="I9" s="311"/>
      <c r="J9" s="311"/>
      <c r="K9" s="311">
        <v>1</v>
      </c>
      <c r="M9" t="s">
        <v>873</v>
      </c>
    </row>
    <row r="10" spans="1:13">
      <c r="A10" s="308" t="s">
        <v>884</v>
      </c>
      <c r="B10" s="311"/>
      <c r="C10" s="311"/>
      <c r="D10" s="311"/>
      <c r="E10" s="311"/>
      <c r="F10" s="311"/>
      <c r="G10" s="311"/>
      <c r="H10" s="311">
        <v>1</v>
      </c>
      <c r="I10" s="311"/>
      <c r="J10" s="311"/>
      <c r="K10" s="311">
        <v>1</v>
      </c>
      <c r="M10" t="s">
        <v>884</v>
      </c>
    </row>
    <row r="11" spans="1:13">
      <c r="A11" s="308" t="s">
        <v>875</v>
      </c>
      <c r="B11" s="311"/>
      <c r="C11" s="311">
        <v>5</v>
      </c>
      <c r="D11" s="311"/>
      <c r="E11" s="311"/>
      <c r="F11" s="311"/>
      <c r="G11" s="311"/>
      <c r="H11" s="311"/>
      <c r="I11" s="311"/>
      <c r="J11" s="311"/>
      <c r="K11" s="311">
        <v>5</v>
      </c>
      <c r="M11" t="s">
        <v>875</v>
      </c>
    </row>
    <row r="12" spans="1:13">
      <c r="A12" s="308" t="s">
        <v>876</v>
      </c>
      <c r="B12" s="311"/>
      <c r="C12" s="311">
        <v>1</v>
      </c>
      <c r="D12" s="311"/>
      <c r="E12" s="311"/>
      <c r="F12" s="311"/>
      <c r="G12" s="311"/>
      <c r="H12" s="311"/>
      <c r="I12" s="311"/>
      <c r="J12" s="311"/>
      <c r="K12" s="311">
        <v>1</v>
      </c>
      <c r="M12" t="s">
        <v>876</v>
      </c>
    </row>
    <row r="13" spans="1:13">
      <c r="A13" s="308" t="s">
        <v>881</v>
      </c>
      <c r="B13" s="311"/>
      <c r="C13" s="311"/>
      <c r="D13" s="311">
        <v>1</v>
      </c>
      <c r="E13" s="311"/>
      <c r="F13" s="311"/>
      <c r="G13" s="311"/>
      <c r="H13" s="311"/>
      <c r="I13" s="311"/>
      <c r="J13" s="311"/>
      <c r="K13" s="311">
        <v>1</v>
      </c>
      <c r="M13" t="s">
        <v>881</v>
      </c>
    </row>
    <row r="14" spans="1:13">
      <c r="A14" s="308" t="s">
        <v>874</v>
      </c>
      <c r="B14" s="311">
        <v>2</v>
      </c>
      <c r="C14" s="311"/>
      <c r="D14" s="311"/>
      <c r="E14" s="311"/>
      <c r="F14" s="311"/>
      <c r="G14" s="311"/>
      <c r="H14" s="311"/>
      <c r="I14" s="311"/>
      <c r="J14" s="311"/>
      <c r="K14" s="311">
        <v>2</v>
      </c>
      <c r="M14" t="s">
        <v>874</v>
      </c>
    </row>
    <row r="15" spans="1:13">
      <c r="A15" s="308" t="s">
        <v>877</v>
      </c>
      <c r="B15" s="311"/>
      <c r="C15" s="311">
        <v>2</v>
      </c>
      <c r="D15" s="311"/>
      <c r="E15" s="311"/>
      <c r="F15" s="311"/>
      <c r="G15" s="311"/>
      <c r="H15" s="311"/>
      <c r="I15" s="311"/>
      <c r="J15" s="311"/>
      <c r="K15" s="311">
        <v>2</v>
      </c>
      <c r="M15" t="s">
        <v>877</v>
      </c>
    </row>
    <row r="16" spans="1:13">
      <c r="A16" s="308" t="s">
        <v>908</v>
      </c>
      <c r="B16" s="311"/>
      <c r="C16" s="311"/>
      <c r="D16" s="311"/>
      <c r="E16" s="311"/>
      <c r="F16" s="311"/>
      <c r="G16" s="311"/>
      <c r="H16" s="311"/>
      <c r="I16" s="311"/>
      <c r="J16" s="311"/>
      <c r="K16" s="311"/>
    </row>
    <row r="17" spans="1:13">
      <c r="A17" s="308" t="s">
        <v>878</v>
      </c>
      <c r="B17" s="311"/>
      <c r="C17" s="311"/>
      <c r="D17" s="311"/>
      <c r="E17" s="311"/>
      <c r="F17" s="311">
        <v>1</v>
      </c>
      <c r="G17" s="311"/>
      <c r="H17" s="311"/>
      <c r="I17" s="311"/>
      <c r="J17" s="311"/>
      <c r="K17" s="311">
        <v>1</v>
      </c>
      <c r="M17" t="s">
        <v>878</v>
      </c>
    </row>
    <row r="18" spans="1:13">
      <c r="A18" s="308" t="s">
        <v>879</v>
      </c>
      <c r="B18" s="311"/>
      <c r="C18" s="311"/>
      <c r="D18" s="311"/>
      <c r="E18" s="311"/>
      <c r="F18" s="311">
        <v>1</v>
      </c>
      <c r="G18" s="311"/>
      <c r="H18" s="311"/>
      <c r="I18" s="311"/>
      <c r="J18" s="311"/>
      <c r="K18" s="311">
        <v>1</v>
      </c>
      <c r="M18" t="s">
        <v>879</v>
      </c>
    </row>
    <row r="19" spans="1:13">
      <c r="A19" s="308" t="s">
        <v>880</v>
      </c>
      <c r="B19" s="311"/>
      <c r="C19" s="311"/>
      <c r="D19" s="311"/>
      <c r="E19" s="311"/>
      <c r="F19" s="311">
        <v>1</v>
      </c>
      <c r="G19" s="311"/>
      <c r="H19" s="311"/>
      <c r="I19" s="311"/>
      <c r="J19" s="311"/>
      <c r="K19" s="311">
        <v>1</v>
      </c>
      <c r="M19" t="s">
        <v>880</v>
      </c>
    </row>
    <row r="20" spans="1:13">
      <c r="A20" s="308" t="s">
        <v>745</v>
      </c>
      <c r="B20" s="311"/>
      <c r="C20" s="311"/>
      <c r="D20" s="311"/>
      <c r="E20" s="311"/>
      <c r="F20" s="311"/>
      <c r="G20" s="311"/>
      <c r="H20" s="311"/>
      <c r="I20" s="311">
        <v>1</v>
      </c>
      <c r="J20" s="311"/>
      <c r="K20" s="311">
        <v>1</v>
      </c>
      <c r="M20" t="s">
        <v>745</v>
      </c>
    </row>
    <row r="21" spans="1:13">
      <c r="A21" s="308" t="s">
        <v>827</v>
      </c>
      <c r="B21" s="311"/>
      <c r="C21" s="311"/>
      <c r="D21" s="311"/>
      <c r="E21" s="311"/>
      <c r="F21" s="311"/>
      <c r="G21" s="311"/>
      <c r="H21" s="311"/>
      <c r="I21" s="311"/>
      <c r="J21" s="311">
        <v>1</v>
      </c>
      <c r="K21" s="311">
        <v>1</v>
      </c>
      <c r="M21" t="s">
        <v>827</v>
      </c>
    </row>
    <row r="22" spans="1:13">
      <c r="A22" s="308" t="s">
        <v>886</v>
      </c>
      <c r="B22" s="311"/>
      <c r="C22" s="311"/>
      <c r="D22" s="311"/>
      <c r="E22" s="311"/>
      <c r="F22" s="311">
        <v>2</v>
      </c>
      <c r="G22" s="311"/>
      <c r="H22" s="311"/>
      <c r="I22" s="311"/>
      <c r="J22" s="311"/>
      <c r="K22" s="311">
        <v>2</v>
      </c>
      <c r="M22" t="s">
        <v>886</v>
      </c>
    </row>
    <row r="23" spans="1:13">
      <c r="A23" s="308" t="s">
        <v>909</v>
      </c>
      <c r="B23" s="311">
        <v>3</v>
      </c>
      <c r="C23" s="311">
        <v>8</v>
      </c>
      <c r="D23" s="311">
        <v>1</v>
      </c>
      <c r="E23" s="311">
        <v>1</v>
      </c>
      <c r="F23" s="311">
        <v>6</v>
      </c>
      <c r="G23" s="311"/>
      <c r="H23" s="311">
        <v>3</v>
      </c>
      <c r="I23" s="311">
        <v>1</v>
      </c>
      <c r="J23" s="311">
        <v>1</v>
      </c>
      <c r="K23" s="311">
        <v>24</v>
      </c>
      <c r="M23" t="s">
        <v>887</v>
      </c>
    </row>
  </sheetData>
  <phoneticPr fontId="5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5" t="s">
        <v>1280</v>
      </c>
      <c r="L1" s="315">
        <f>VALUE(RIGHT(Planning!B10,1))</f>
        <v>5</v>
      </c>
      <c r="M1" s="124" t="s">
        <v>1281</v>
      </c>
    </row>
    <row r="2" spans="1:13">
      <c r="A2" s="318" t="s">
        <v>888</v>
      </c>
      <c r="B2" s="318" t="s">
        <v>1508</v>
      </c>
      <c r="C2" s="318" t="s">
        <v>873</v>
      </c>
      <c r="D2" s="318" t="s">
        <v>1521</v>
      </c>
      <c r="E2" s="318" t="s">
        <v>1140</v>
      </c>
      <c r="F2" s="318" t="s">
        <v>888</v>
      </c>
      <c r="G2" s="318" t="s">
        <v>410</v>
      </c>
      <c r="H2" s="316" t="str">
        <f t="shared" ref="H2" si="0">VLOOKUP(E2,tbl_RolePAlookup,2,FALSE)</f>
        <v>[4] Engineering</v>
      </c>
      <c r="I2" s="426">
        <f t="shared" ref="I2" si="1">VLOOKUP(C2,tbl_PAcount,L$1+1,FALSE)</f>
        <v>10</v>
      </c>
    </row>
    <row r="3" spans="1:13">
      <c r="A3" s="318" t="s">
        <v>888</v>
      </c>
      <c r="B3" s="318" t="s">
        <v>1508</v>
      </c>
      <c r="C3" s="318" t="s">
        <v>874</v>
      </c>
      <c r="D3" s="318" t="s">
        <v>1520</v>
      </c>
      <c r="E3" s="318" t="s">
        <v>903</v>
      </c>
      <c r="F3" s="318" t="s">
        <v>888</v>
      </c>
      <c r="G3" s="318" t="s">
        <v>410</v>
      </c>
      <c r="H3" s="316" t="str">
        <f t="shared" ref="H3:H18" si="2">VLOOKUP(E3,tbl_RolePAlookup,2,FALSE)</f>
        <v>[4] Engineering</v>
      </c>
      <c r="I3" s="426">
        <f t="shared" ref="I3:I18" si="3">VLOOKUP(C3,tbl_PAcount,L$1+1,FALSE)</f>
        <v>10</v>
      </c>
    </row>
    <row r="4" spans="1:13">
      <c r="A4" s="318" t="s">
        <v>889</v>
      </c>
      <c r="B4" s="318" t="s">
        <v>1509</v>
      </c>
      <c r="C4" s="318" t="s">
        <v>875</v>
      </c>
      <c r="D4" s="318" t="s">
        <v>1524</v>
      </c>
      <c r="E4" s="318" t="s">
        <v>902</v>
      </c>
      <c r="F4" s="318" t="s">
        <v>889</v>
      </c>
      <c r="G4" s="318" t="s">
        <v>410</v>
      </c>
      <c r="H4" s="316" t="str">
        <f t="shared" si="2"/>
        <v>[4] Engineering</v>
      </c>
      <c r="I4" s="426">
        <f t="shared" si="3"/>
        <v>6</v>
      </c>
    </row>
    <row r="5" spans="1:13">
      <c r="A5" s="318" t="s">
        <v>889</v>
      </c>
      <c r="B5" s="318" t="s">
        <v>1509</v>
      </c>
      <c r="C5" s="318" t="s">
        <v>876</v>
      </c>
      <c r="D5" s="318" t="s">
        <v>1524</v>
      </c>
      <c r="E5" s="318" t="s">
        <v>902</v>
      </c>
      <c r="F5" s="318" t="s">
        <v>889</v>
      </c>
      <c r="G5" s="318" t="s">
        <v>410</v>
      </c>
      <c r="H5" s="316" t="str">
        <f t="shared" si="2"/>
        <v>[4] Engineering</v>
      </c>
      <c r="I5" s="426">
        <f t="shared" si="3"/>
        <v>14</v>
      </c>
    </row>
    <row r="6" spans="1:13">
      <c r="A6" s="318" t="s">
        <v>889</v>
      </c>
      <c r="B6" s="318" t="s">
        <v>1509</v>
      </c>
      <c r="C6" s="318" t="s">
        <v>877</v>
      </c>
      <c r="D6" s="318" t="s">
        <v>1526</v>
      </c>
      <c r="E6" s="318" t="s">
        <v>1140</v>
      </c>
      <c r="F6" s="318" t="s">
        <v>889</v>
      </c>
      <c r="G6" s="318" t="s">
        <v>410</v>
      </c>
      <c r="H6" s="316" t="str">
        <f t="shared" si="2"/>
        <v>[4] Engineering</v>
      </c>
      <c r="I6" s="426">
        <f t="shared" si="3"/>
        <v>7</v>
      </c>
    </row>
    <row r="7" spans="1:13">
      <c r="A7" s="318" t="s">
        <v>890</v>
      </c>
      <c r="B7" s="318" t="s">
        <v>1511</v>
      </c>
      <c r="C7" s="318" t="s">
        <v>882</v>
      </c>
      <c r="D7" s="318" t="s">
        <v>1533</v>
      </c>
      <c r="E7" s="318" t="s">
        <v>1343</v>
      </c>
      <c r="F7" s="318" t="s">
        <v>890</v>
      </c>
      <c r="G7" s="318" t="s">
        <v>410</v>
      </c>
      <c r="H7" s="316" t="str">
        <f t="shared" si="2"/>
        <v>[3] Project Management</v>
      </c>
      <c r="I7" s="426">
        <f t="shared" si="3"/>
        <v>6</v>
      </c>
    </row>
    <row r="8" spans="1:13">
      <c r="A8" s="318" t="s">
        <v>890</v>
      </c>
      <c r="B8" s="318" t="s">
        <v>1511</v>
      </c>
      <c r="C8" s="318" t="s">
        <v>883</v>
      </c>
      <c r="D8" s="318" t="s">
        <v>1533</v>
      </c>
      <c r="E8" s="318" t="s">
        <v>1343</v>
      </c>
      <c r="F8" s="318" t="s">
        <v>890</v>
      </c>
      <c r="G8" s="318" t="s">
        <v>410</v>
      </c>
      <c r="H8" s="316" t="str">
        <f t="shared" si="2"/>
        <v>[3] Project Management</v>
      </c>
      <c r="I8" s="426">
        <f t="shared" si="3"/>
        <v>10</v>
      </c>
    </row>
    <row r="9" spans="1:13">
      <c r="A9" s="318" t="s">
        <v>890</v>
      </c>
      <c r="B9" s="318" t="s">
        <v>1511</v>
      </c>
      <c r="C9" s="318" t="s">
        <v>884</v>
      </c>
      <c r="D9" s="318" t="s">
        <v>1533</v>
      </c>
      <c r="E9" s="318" t="s">
        <v>1343</v>
      </c>
      <c r="F9" s="318" t="s">
        <v>890</v>
      </c>
      <c r="G9" s="318" t="s">
        <v>410</v>
      </c>
      <c r="H9" s="316" t="str">
        <f t="shared" si="2"/>
        <v>[3] Project Management</v>
      </c>
      <c r="I9" s="426">
        <f t="shared" si="3"/>
        <v>15</v>
      </c>
    </row>
    <row r="10" spans="1:13">
      <c r="A10" s="318" t="s">
        <v>891</v>
      </c>
      <c r="B10" s="318" t="s">
        <v>1513</v>
      </c>
      <c r="C10" s="318" t="s">
        <v>881</v>
      </c>
      <c r="D10" s="318" t="s">
        <v>1538</v>
      </c>
      <c r="E10" s="318" t="s">
        <v>1343</v>
      </c>
      <c r="F10" s="318" t="s">
        <v>891</v>
      </c>
      <c r="G10" s="318" t="s">
        <v>410</v>
      </c>
      <c r="H10" s="316" t="str">
        <f t="shared" si="2"/>
        <v>[3] Project Management</v>
      </c>
      <c r="I10" s="426">
        <f t="shared" si="3"/>
        <v>8</v>
      </c>
    </row>
    <row r="11" spans="1:13">
      <c r="A11" s="318" t="s">
        <v>893</v>
      </c>
      <c r="B11" s="318" t="s">
        <v>1334</v>
      </c>
      <c r="C11" s="318" t="s">
        <v>743</v>
      </c>
      <c r="D11" s="318" t="s">
        <v>1539</v>
      </c>
      <c r="E11" s="318" t="s">
        <v>1342</v>
      </c>
      <c r="F11" s="318" t="s">
        <v>893</v>
      </c>
      <c r="G11" s="318" t="s">
        <v>410</v>
      </c>
      <c r="H11" s="316" t="str">
        <f t="shared" si="2"/>
        <v>[5] Configuration Management</v>
      </c>
      <c r="I11" s="426">
        <f t="shared" si="3"/>
        <v>7</v>
      </c>
    </row>
    <row r="12" spans="1:13">
      <c r="A12" s="318" t="s">
        <v>894</v>
      </c>
      <c r="B12" s="318" t="s">
        <v>1335</v>
      </c>
      <c r="C12" s="318" t="s">
        <v>885</v>
      </c>
      <c r="D12" s="318" t="s">
        <v>1630</v>
      </c>
      <c r="E12" s="318" t="s">
        <v>1629</v>
      </c>
      <c r="F12" s="318" t="s">
        <v>894</v>
      </c>
      <c r="G12" s="318" t="s">
        <v>410</v>
      </c>
      <c r="H12" s="316" t="str">
        <f t="shared" si="2"/>
        <v>[6] Process Management</v>
      </c>
      <c r="I12" s="426">
        <f t="shared" si="3"/>
        <v>11</v>
      </c>
    </row>
    <row r="13" spans="1:13">
      <c r="A13" s="318" t="s">
        <v>894</v>
      </c>
      <c r="B13" s="318" t="s">
        <v>1335</v>
      </c>
      <c r="C13" s="318" t="s">
        <v>886</v>
      </c>
      <c r="D13" s="318" t="s">
        <v>1540</v>
      </c>
      <c r="E13" s="318" t="s">
        <v>1344</v>
      </c>
      <c r="F13" s="318" t="s">
        <v>894</v>
      </c>
      <c r="G13" s="318" t="s">
        <v>410</v>
      </c>
      <c r="H13" s="316" t="str">
        <f t="shared" si="2"/>
        <v>[6] Process Management</v>
      </c>
      <c r="I13" s="426">
        <f t="shared" si="3"/>
        <v>8</v>
      </c>
    </row>
    <row r="14" spans="1:13">
      <c r="A14" s="318" t="s">
        <v>894</v>
      </c>
      <c r="B14" s="318" t="s">
        <v>1335</v>
      </c>
      <c r="C14" s="318" t="s">
        <v>878</v>
      </c>
      <c r="D14" s="318" t="s">
        <v>1630</v>
      </c>
      <c r="E14" s="318" t="s">
        <v>1629</v>
      </c>
      <c r="F14" s="318" t="s">
        <v>894</v>
      </c>
      <c r="G14" s="318" t="s">
        <v>410</v>
      </c>
      <c r="H14" s="316" t="str">
        <f t="shared" si="2"/>
        <v>[6] Process Management</v>
      </c>
      <c r="I14" s="426">
        <f t="shared" si="3"/>
        <v>22</v>
      </c>
    </row>
    <row r="15" spans="1:13">
      <c r="A15" s="318" t="s">
        <v>894</v>
      </c>
      <c r="B15" s="318" t="s">
        <v>1335</v>
      </c>
      <c r="C15" s="318" t="s">
        <v>879</v>
      </c>
      <c r="D15" s="318" t="s">
        <v>1540</v>
      </c>
      <c r="E15" s="318" t="s">
        <v>1344</v>
      </c>
      <c r="F15" s="318" t="s">
        <v>894</v>
      </c>
      <c r="G15" s="318" t="s">
        <v>410</v>
      </c>
      <c r="H15" s="316" t="str">
        <f t="shared" si="2"/>
        <v>[6] Process Management</v>
      </c>
      <c r="I15" s="426">
        <f t="shared" si="3"/>
        <v>11</v>
      </c>
    </row>
    <row r="16" spans="1:13">
      <c r="A16" s="318" t="s">
        <v>894</v>
      </c>
      <c r="B16" s="318" t="s">
        <v>1335</v>
      </c>
      <c r="C16" s="318" t="s">
        <v>880</v>
      </c>
      <c r="D16" s="318" t="s">
        <v>1540</v>
      </c>
      <c r="E16" s="318" t="s">
        <v>1344</v>
      </c>
      <c r="F16" s="318" t="s">
        <v>894</v>
      </c>
      <c r="G16" s="318" t="s">
        <v>410</v>
      </c>
      <c r="H16" s="316" t="str">
        <f t="shared" si="2"/>
        <v>[6] Process Management</v>
      </c>
      <c r="I16" s="426">
        <f t="shared" si="3"/>
        <v>11</v>
      </c>
    </row>
    <row r="17" spans="1:9">
      <c r="A17" s="318" t="s">
        <v>895</v>
      </c>
      <c r="B17" s="318" t="s">
        <v>1336</v>
      </c>
      <c r="C17" s="318" t="s">
        <v>745</v>
      </c>
      <c r="D17" s="318" t="s">
        <v>1541</v>
      </c>
      <c r="E17" s="318" t="s">
        <v>1341</v>
      </c>
      <c r="F17" s="318" t="s">
        <v>895</v>
      </c>
      <c r="G17" s="318" t="s">
        <v>410</v>
      </c>
      <c r="H17" s="316" t="str">
        <f t="shared" si="2"/>
        <v>[7] Organisational Training</v>
      </c>
      <c r="I17" s="426">
        <f t="shared" si="3"/>
        <v>9</v>
      </c>
    </row>
    <row r="18" spans="1:9">
      <c r="A18" s="318" t="s">
        <v>896</v>
      </c>
      <c r="B18" s="318" t="s">
        <v>1337</v>
      </c>
      <c r="C18" s="318" t="s">
        <v>827</v>
      </c>
      <c r="D18" s="318" t="s">
        <v>1542</v>
      </c>
      <c r="E18" s="318" t="s">
        <v>1225</v>
      </c>
      <c r="F18" s="318" t="s">
        <v>896</v>
      </c>
      <c r="G18" s="318" t="s">
        <v>410</v>
      </c>
      <c r="H18" s="316" t="str">
        <f t="shared" si="2"/>
        <v>[8] Process Quality Assurance</v>
      </c>
      <c r="I18" s="426">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5" t="s">
        <v>1280</v>
      </c>
      <c r="E1" s="315">
        <f>VALUE(RIGHT(Planning!B10,1))</f>
        <v>5</v>
      </c>
      <c r="F1" s="124" t="s">
        <v>1281</v>
      </c>
    </row>
    <row r="3" spans="1:10" ht="28.8">
      <c r="A3" s="310" t="s">
        <v>907</v>
      </c>
      <c r="B3" t="s">
        <v>1279</v>
      </c>
      <c r="D3" s="414" t="s">
        <v>1289</v>
      </c>
      <c r="E3" s="414" t="s">
        <v>916</v>
      </c>
      <c r="F3" s="415" t="s">
        <v>901</v>
      </c>
      <c r="G3" s="414" t="s">
        <v>1282</v>
      </c>
      <c r="H3" s="414" t="s">
        <v>1283</v>
      </c>
      <c r="I3" s="414" t="s">
        <v>1284</v>
      </c>
      <c r="J3" s="414" t="s">
        <v>1285</v>
      </c>
    </row>
    <row r="4" spans="1:10">
      <c r="A4" s="308" t="s">
        <v>978</v>
      </c>
      <c r="B4" s="311">
        <v>39</v>
      </c>
      <c r="D4" t="s">
        <v>978</v>
      </c>
      <c r="E4" s="311">
        <v>45</v>
      </c>
      <c r="F4">
        <f t="shared" ref="F4:F9" si="0">VLOOKUP($F$3,tbl_PAcount,$E$1+1,FALSE)</f>
        <v>6</v>
      </c>
      <c r="G4" s="317">
        <f>F4+E4</f>
        <v>51</v>
      </c>
      <c r="H4">
        <v>3</v>
      </c>
      <c r="I4" s="317">
        <f>H4*G4</f>
        <v>153</v>
      </c>
      <c r="J4" s="317">
        <f>I4/60</f>
        <v>2.5499999999999998</v>
      </c>
    </row>
    <row r="5" spans="1:10">
      <c r="A5" s="308" t="s">
        <v>979</v>
      </c>
      <c r="B5" s="311">
        <v>47</v>
      </c>
      <c r="D5" t="s">
        <v>979</v>
      </c>
      <c r="E5" s="311">
        <v>41</v>
      </c>
      <c r="F5" s="307">
        <f t="shared" si="0"/>
        <v>6</v>
      </c>
      <c r="G5" s="317">
        <f t="shared" ref="G5:G9" si="1">F5+E5</f>
        <v>47</v>
      </c>
      <c r="H5" s="307">
        <v>3</v>
      </c>
      <c r="I5" s="317">
        <f t="shared" ref="I5:I9" si="2">H5*G5</f>
        <v>141</v>
      </c>
      <c r="J5" s="317">
        <f t="shared" ref="J5:J9" si="3">I5/60</f>
        <v>2.35</v>
      </c>
    </row>
    <row r="6" spans="1:10">
      <c r="A6" s="308" t="s">
        <v>980</v>
      </c>
      <c r="B6" s="311">
        <v>7</v>
      </c>
      <c r="D6" t="s">
        <v>980</v>
      </c>
      <c r="E6" s="311">
        <v>7</v>
      </c>
      <c r="F6" s="307">
        <f t="shared" si="0"/>
        <v>6</v>
      </c>
      <c r="G6" s="317">
        <f t="shared" si="1"/>
        <v>13</v>
      </c>
      <c r="H6" s="307">
        <v>3</v>
      </c>
      <c r="I6" s="317">
        <f t="shared" si="2"/>
        <v>39</v>
      </c>
      <c r="J6" s="317">
        <f t="shared" si="3"/>
        <v>0.65</v>
      </c>
    </row>
    <row r="7" spans="1:10">
      <c r="A7" s="308" t="s">
        <v>981</v>
      </c>
      <c r="B7" s="311">
        <v>63</v>
      </c>
      <c r="D7" t="s">
        <v>981</v>
      </c>
      <c r="E7" s="311">
        <v>63</v>
      </c>
      <c r="F7" s="307">
        <f t="shared" si="0"/>
        <v>6</v>
      </c>
      <c r="G7" s="317">
        <f t="shared" si="1"/>
        <v>69</v>
      </c>
      <c r="H7" s="307">
        <v>3</v>
      </c>
      <c r="I7" s="317">
        <f t="shared" si="2"/>
        <v>207</v>
      </c>
      <c r="J7" s="317">
        <f t="shared" si="3"/>
        <v>3.45</v>
      </c>
    </row>
    <row r="8" spans="1:10">
      <c r="A8" s="308" t="s">
        <v>982</v>
      </c>
      <c r="B8" s="311">
        <v>9</v>
      </c>
      <c r="D8" t="s">
        <v>982</v>
      </c>
      <c r="E8" s="311">
        <v>9</v>
      </c>
      <c r="F8" s="307">
        <f t="shared" si="0"/>
        <v>6</v>
      </c>
      <c r="G8" s="317">
        <f t="shared" si="1"/>
        <v>15</v>
      </c>
      <c r="H8" s="307">
        <v>3</v>
      </c>
      <c r="I8" s="317">
        <f t="shared" si="2"/>
        <v>45</v>
      </c>
      <c r="J8" s="317">
        <f t="shared" si="3"/>
        <v>0.75</v>
      </c>
    </row>
    <row r="9" spans="1:10">
      <c r="A9" s="308" t="s">
        <v>987</v>
      </c>
      <c r="B9" s="311">
        <v>6</v>
      </c>
      <c r="D9" t="s">
        <v>987</v>
      </c>
      <c r="E9" s="311">
        <v>6</v>
      </c>
      <c r="F9" s="307">
        <f t="shared" si="0"/>
        <v>6</v>
      </c>
      <c r="G9" s="317">
        <f t="shared" si="1"/>
        <v>12</v>
      </c>
      <c r="H9" s="307">
        <v>3</v>
      </c>
      <c r="I9" s="317">
        <f t="shared" si="2"/>
        <v>36</v>
      </c>
      <c r="J9" s="317">
        <f t="shared" si="3"/>
        <v>0.6</v>
      </c>
    </row>
    <row r="10" spans="1:10">
      <c r="A10" s="308" t="s">
        <v>908</v>
      </c>
      <c r="B10" s="311"/>
    </row>
    <row r="11" spans="1:10">
      <c r="A11" s="308" t="s">
        <v>909</v>
      </c>
      <c r="B11" s="311">
        <v>171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opLeftCell="A10" workbookViewId="0">
      <selection activeCell="P35" sqref="P35"/>
    </sheetView>
  </sheetViews>
  <sheetFormatPr defaultRowHeight="16.05" customHeight="1"/>
  <cols>
    <col min="1" max="6" width="10.77734375" style="432" customWidth="1"/>
    <col min="7" max="16" width="16.77734375" style="432" customWidth="1"/>
    <col min="17" max="18" width="10.77734375" style="432" customWidth="1"/>
    <col min="19" max="19" width="14.77734375" style="432" customWidth="1"/>
    <col min="20" max="20" width="30.21875" style="432" customWidth="1"/>
    <col min="21" max="16384" width="8.88671875" style="432"/>
  </cols>
  <sheetData>
    <row r="1" spans="1:20" ht="16.05" customHeight="1">
      <c r="A1" s="431" t="str">
        <f>_xlfn.CONCAT(StartupInfo!B3," planned and actual onsite schedule")</f>
        <v>Software for Mars (Pty) Ltd planned and actual onsite schedule</v>
      </c>
      <c r="Q1" s="431"/>
    </row>
    <row r="3" spans="1:20" ht="19.95" customHeight="1">
      <c r="A3" s="466" t="str">
        <f>_xlfn.CONCAT("Week ",T8)</f>
        <v>Week 15</v>
      </c>
      <c r="B3" s="467"/>
      <c r="C3" s="433" t="s">
        <v>1654</v>
      </c>
      <c r="D3" s="434" t="s">
        <v>1655</v>
      </c>
      <c r="E3" s="433" t="s">
        <v>1654</v>
      </c>
      <c r="F3" s="434" t="s">
        <v>1655</v>
      </c>
      <c r="G3" s="433" t="s">
        <v>1654</v>
      </c>
      <c r="H3" s="434" t="s">
        <v>1655</v>
      </c>
      <c r="I3" s="433" t="s">
        <v>1654</v>
      </c>
      <c r="J3" s="434" t="s">
        <v>1655</v>
      </c>
      <c r="K3" s="433" t="s">
        <v>1654</v>
      </c>
      <c r="L3" s="434" t="s">
        <v>1655</v>
      </c>
      <c r="M3" s="433" t="s">
        <v>1654</v>
      </c>
      <c r="N3" s="434" t="s">
        <v>1655</v>
      </c>
      <c r="O3" s="433" t="s">
        <v>1654</v>
      </c>
      <c r="P3" s="434" t="s">
        <v>1655</v>
      </c>
      <c r="Q3" s="466" t="str">
        <f>_xlfn.CONCAT("Week ",AJ8)</f>
        <v xml:space="preserve">Week </v>
      </c>
      <c r="R3" s="467"/>
    </row>
    <row r="4" spans="1:20" ht="19.95" customHeight="1">
      <c r="A4" s="468"/>
      <c r="B4" s="469"/>
      <c r="C4" s="435">
        <f>C5</f>
        <v>44296</v>
      </c>
      <c r="D4" s="436">
        <f t="shared" ref="D4:P4" si="0">D5</f>
        <v>44296</v>
      </c>
      <c r="E4" s="435">
        <f t="shared" si="0"/>
        <v>44297</v>
      </c>
      <c r="F4" s="436">
        <f t="shared" si="0"/>
        <v>44297</v>
      </c>
      <c r="G4" s="435">
        <f t="shared" si="0"/>
        <v>44298</v>
      </c>
      <c r="H4" s="436">
        <f t="shared" si="0"/>
        <v>44298</v>
      </c>
      <c r="I4" s="435">
        <f t="shared" si="0"/>
        <v>44299</v>
      </c>
      <c r="J4" s="436">
        <f t="shared" si="0"/>
        <v>44299</v>
      </c>
      <c r="K4" s="435">
        <f t="shared" si="0"/>
        <v>44300</v>
      </c>
      <c r="L4" s="436">
        <f t="shared" si="0"/>
        <v>44300</v>
      </c>
      <c r="M4" s="435">
        <f t="shared" si="0"/>
        <v>44301</v>
      </c>
      <c r="N4" s="436">
        <f t="shared" si="0"/>
        <v>44301</v>
      </c>
      <c r="O4" s="435">
        <f t="shared" si="0"/>
        <v>44302</v>
      </c>
      <c r="P4" s="436">
        <f t="shared" si="0"/>
        <v>44302</v>
      </c>
      <c r="Q4" s="468"/>
      <c r="R4" s="469"/>
      <c r="T4" s="432">
        <f>C5</f>
        <v>44296</v>
      </c>
    </row>
    <row r="5" spans="1:20" ht="19.95" customHeight="1">
      <c r="A5" s="437" t="s">
        <v>1656</v>
      </c>
      <c r="B5" s="437" t="s">
        <v>1657</v>
      </c>
      <c r="C5" s="438">
        <f>Planning!B27</f>
        <v>44296</v>
      </c>
      <c r="D5" s="439">
        <f>C5</f>
        <v>44296</v>
      </c>
      <c r="E5" s="438">
        <f>C5+1</f>
        <v>44297</v>
      </c>
      <c r="F5" s="439">
        <f>D5+1</f>
        <v>44297</v>
      </c>
      <c r="G5" s="438">
        <f t="shared" ref="G5:P5" si="1">E5+1</f>
        <v>44298</v>
      </c>
      <c r="H5" s="439">
        <f t="shared" si="1"/>
        <v>44298</v>
      </c>
      <c r="I5" s="438">
        <f t="shared" si="1"/>
        <v>44299</v>
      </c>
      <c r="J5" s="439">
        <f t="shared" si="1"/>
        <v>44299</v>
      </c>
      <c r="K5" s="438">
        <f t="shared" si="1"/>
        <v>44300</v>
      </c>
      <c r="L5" s="439">
        <f t="shared" si="1"/>
        <v>44300</v>
      </c>
      <c r="M5" s="438">
        <f t="shared" si="1"/>
        <v>44301</v>
      </c>
      <c r="N5" s="439">
        <f t="shared" si="1"/>
        <v>44301</v>
      </c>
      <c r="O5" s="438">
        <f t="shared" si="1"/>
        <v>44302</v>
      </c>
      <c r="P5" s="439">
        <f t="shared" si="1"/>
        <v>44302</v>
      </c>
      <c r="Q5" s="437" t="s">
        <v>1656</v>
      </c>
      <c r="R5" s="437" t="s">
        <v>1657</v>
      </c>
      <c r="T5" s="432">
        <f>YEAR(T4)-1</f>
        <v>2020</v>
      </c>
    </row>
    <row r="6" spans="1:20" ht="19.95" customHeight="1">
      <c r="A6" s="440">
        <v>0.41666666666666669</v>
      </c>
      <c r="B6" s="440">
        <v>0.16666666666666666</v>
      </c>
      <c r="C6" s="470"/>
      <c r="D6" s="451"/>
      <c r="E6" s="470"/>
      <c r="F6" s="451"/>
      <c r="G6" s="441" t="s">
        <v>1658</v>
      </c>
      <c r="H6" s="451"/>
      <c r="I6" s="441" t="s">
        <v>1658</v>
      </c>
      <c r="J6" s="451"/>
      <c r="K6" s="441" t="s">
        <v>1658</v>
      </c>
      <c r="L6" s="451"/>
      <c r="M6" s="441" t="s">
        <v>1658</v>
      </c>
      <c r="N6" s="451"/>
      <c r="O6" s="441" t="s">
        <v>1658</v>
      </c>
      <c r="P6" s="451"/>
      <c r="Q6" s="440">
        <v>0.41666666666666669</v>
      </c>
      <c r="R6" s="440">
        <v>0.16666666666666666</v>
      </c>
      <c r="T6" s="432">
        <f>DATE(T5,12,31)</f>
        <v>44196</v>
      </c>
    </row>
    <row r="7" spans="1:20" ht="19.95" customHeight="1">
      <c r="A7" s="440">
        <v>0.4375</v>
      </c>
      <c r="B7" s="440">
        <v>0.1875</v>
      </c>
      <c r="C7" s="470"/>
      <c r="D7" s="452"/>
      <c r="E7" s="470"/>
      <c r="F7" s="452"/>
      <c r="G7" s="442" t="s">
        <v>1425</v>
      </c>
      <c r="H7" s="452"/>
      <c r="I7" s="471" t="s">
        <v>979</v>
      </c>
      <c r="J7" s="452"/>
      <c r="K7" s="482" t="s">
        <v>1659</v>
      </c>
      <c r="L7" s="452"/>
      <c r="M7" s="482" t="s">
        <v>983</v>
      </c>
      <c r="N7" s="452"/>
      <c r="O7" s="479" t="s">
        <v>1660</v>
      </c>
      <c r="P7" s="452"/>
      <c r="Q7" s="440">
        <v>0.4375</v>
      </c>
      <c r="R7" s="440">
        <v>0.1875</v>
      </c>
      <c r="T7" s="432">
        <f>T4-T6</f>
        <v>100</v>
      </c>
    </row>
    <row r="8" spans="1:20" ht="19.95" customHeight="1">
      <c r="A8" s="440">
        <v>0.45833333333333331</v>
      </c>
      <c r="B8" s="440">
        <v>0.20833333333333334</v>
      </c>
      <c r="C8" s="474" t="s">
        <v>1676</v>
      </c>
      <c r="D8" s="452"/>
      <c r="E8" s="474" t="s">
        <v>1676</v>
      </c>
      <c r="F8" s="452"/>
      <c r="G8" s="479" t="s">
        <v>1661</v>
      </c>
      <c r="H8" s="452"/>
      <c r="I8" s="471"/>
      <c r="J8" s="452"/>
      <c r="K8" s="482"/>
      <c r="L8" s="452"/>
      <c r="M8" s="482"/>
      <c r="N8" s="452"/>
      <c r="O8" s="479"/>
      <c r="P8" s="452"/>
      <c r="Q8" s="440">
        <v>0.45833333333333331</v>
      </c>
      <c r="R8" s="440">
        <v>0.20833333333333334</v>
      </c>
      <c r="T8" s="432">
        <f>ROUNDUP(T7/7,0)</f>
        <v>15</v>
      </c>
    </row>
    <row r="9" spans="1:20" ht="19.95" customHeight="1">
      <c r="A9" s="440">
        <v>0.47916666666666663</v>
      </c>
      <c r="B9" s="440">
        <v>0.22916666666666669</v>
      </c>
      <c r="C9" s="475"/>
      <c r="D9" s="452"/>
      <c r="E9" s="475"/>
      <c r="F9" s="452"/>
      <c r="G9" s="479"/>
      <c r="H9" s="452"/>
      <c r="I9" s="471"/>
      <c r="J9" s="452"/>
      <c r="K9" s="482"/>
      <c r="L9" s="452"/>
      <c r="M9" s="441" t="s">
        <v>601</v>
      </c>
      <c r="N9" s="452"/>
      <c r="O9" s="481" t="s">
        <v>1662</v>
      </c>
      <c r="P9" s="452"/>
      <c r="Q9" s="440">
        <v>0.47916666666666663</v>
      </c>
      <c r="R9" s="440">
        <v>0.22916666666666669</v>
      </c>
    </row>
    <row r="10" spans="1:20" ht="19.95" customHeight="1">
      <c r="A10" s="440">
        <v>0.49999999999999994</v>
      </c>
      <c r="B10" s="440">
        <v>0.25</v>
      </c>
      <c r="C10" s="475"/>
      <c r="D10" s="452"/>
      <c r="E10" s="475"/>
      <c r="F10" s="452"/>
      <c r="G10" s="477" t="s">
        <v>928</v>
      </c>
      <c r="H10" s="452"/>
      <c r="I10" s="480" t="s">
        <v>928</v>
      </c>
      <c r="J10" s="452"/>
      <c r="K10" s="480" t="s">
        <v>928</v>
      </c>
      <c r="L10" s="452"/>
      <c r="M10" s="480" t="s">
        <v>928</v>
      </c>
      <c r="N10" s="452"/>
      <c r="O10" s="481"/>
      <c r="P10" s="452"/>
      <c r="Q10" s="440">
        <v>0.49999999999999994</v>
      </c>
      <c r="R10" s="440">
        <v>0.25</v>
      </c>
    </row>
    <row r="11" spans="1:20" ht="19.95" customHeight="1">
      <c r="A11" s="440">
        <v>0.52083333333333326</v>
      </c>
      <c r="B11" s="440">
        <v>0.27083333333333331</v>
      </c>
      <c r="C11" s="475"/>
      <c r="D11" s="452"/>
      <c r="E11" s="475"/>
      <c r="F11" s="452"/>
      <c r="G11" s="478"/>
      <c r="H11" s="452"/>
      <c r="I11" s="480"/>
      <c r="J11" s="452"/>
      <c r="K11" s="480"/>
      <c r="L11" s="452"/>
      <c r="M11" s="480"/>
      <c r="N11" s="452"/>
      <c r="O11" s="480" t="s">
        <v>928</v>
      </c>
      <c r="P11" s="452"/>
      <c r="Q11" s="440">
        <v>0.52083333333333326</v>
      </c>
      <c r="R11" s="440">
        <v>0.27083333333333331</v>
      </c>
    </row>
    <row r="12" spans="1:20" ht="19.95" customHeight="1">
      <c r="A12" s="440">
        <v>0.54166666666666663</v>
      </c>
      <c r="B12" s="440">
        <v>0.29166666666666663</v>
      </c>
      <c r="C12" s="475"/>
      <c r="D12" s="452"/>
      <c r="E12" s="475"/>
      <c r="F12" s="452"/>
      <c r="G12" s="474" t="s">
        <v>1664</v>
      </c>
      <c r="H12" s="452"/>
      <c r="I12" s="482" t="s">
        <v>979</v>
      </c>
      <c r="J12" s="452"/>
      <c r="K12" s="482" t="s">
        <v>1659</v>
      </c>
      <c r="L12" s="452"/>
      <c r="M12" s="483" t="s">
        <v>1681</v>
      </c>
      <c r="N12" s="452"/>
      <c r="O12" s="480"/>
      <c r="P12" s="452"/>
      <c r="Q12" s="440">
        <v>0.54166666666666663</v>
      </c>
      <c r="R12" s="440">
        <v>0.29166666666666663</v>
      </c>
    </row>
    <row r="13" spans="1:20" ht="19.95" customHeight="1">
      <c r="A13" s="440">
        <v>0.5625</v>
      </c>
      <c r="B13" s="440">
        <v>0.31249999999999994</v>
      </c>
      <c r="C13" s="475"/>
      <c r="D13" s="452"/>
      <c r="E13" s="475"/>
      <c r="F13" s="452"/>
      <c r="G13" s="475"/>
      <c r="H13" s="452"/>
      <c r="I13" s="482"/>
      <c r="J13" s="452"/>
      <c r="K13" s="482"/>
      <c r="L13" s="452"/>
      <c r="M13" s="483"/>
      <c r="N13" s="452"/>
      <c r="O13" s="483" t="s">
        <v>1663</v>
      </c>
      <c r="P13" s="452"/>
      <c r="Q13" s="440">
        <v>0.5625</v>
      </c>
      <c r="R13" s="440">
        <v>0.31249999999999994</v>
      </c>
    </row>
    <row r="14" spans="1:20" ht="19.95" customHeight="1">
      <c r="A14" s="440">
        <v>0.58333333333333337</v>
      </c>
      <c r="B14" s="440">
        <v>0.33333333333333326</v>
      </c>
      <c r="C14" s="475"/>
      <c r="D14" s="452"/>
      <c r="E14" s="475"/>
      <c r="F14" s="452"/>
      <c r="G14" s="475"/>
      <c r="H14" s="452"/>
      <c r="I14" s="482"/>
      <c r="J14" s="452"/>
      <c r="K14" s="482"/>
      <c r="L14" s="452"/>
      <c r="M14" s="483"/>
      <c r="N14" s="452"/>
      <c r="O14" s="483"/>
      <c r="P14" s="452"/>
      <c r="Q14" s="440">
        <v>0.58333333333333337</v>
      </c>
      <c r="R14" s="440">
        <v>0.33333333333333326</v>
      </c>
    </row>
    <row r="15" spans="1:20" ht="19.95" customHeight="1">
      <c r="A15" s="440">
        <v>0.60416666666666674</v>
      </c>
      <c r="B15" s="440">
        <v>0.35416666666666657</v>
      </c>
      <c r="C15" s="475"/>
      <c r="D15" s="452"/>
      <c r="E15" s="475"/>
      <c r="F15" s="452"/>
      <c r="G15" s="475"/>
      <c r="H15" s="452"/>
      <c r="I15" s="482"/>
      <c r="J15" s="452"/>
      <c r="K15" s="482"/>
      <c r="L15" s="452"/>
      <c r="M15" s="483"/>
      <c r="N15" s="452"/>
      <c r="O15" s="483"/>
      <c r="P15" s="452"/>
      <c r="Q15" s="440">
        <v>0.60416666666666674</v>
      </c>
      <c r="R15" s="440">
        <v>0.35416666666666657</v>
      </c>
    </row>
    <row r="16" spans="1:20" ht="19.95" customHeight="1">
      <c r="A16" s="440">
        <v>0.62500000000000011</v>
      </c>
      <c r="B16" s="440">
        <v>0.37499999999999989</v>
      </c>
      <c r="C16" s="475"/>
      <c r="D16" s="452"/>
      <c r="E16" s="475"/>
      <c r="F16" s="452"/>
      <c r="G16" s="476"/>
      <c r="H16" s="452"/>
      <c r="I16" s="482"/>
      <c r="J16" s="452"/>
      <c r="K16" s="482"/>
      <c r="L16" s="452"/>
      <c r="M16" s="482" t="s">
        <v>1665</v>
      </c>
      <c r="N16" s="452"/>
      <c r="O16" s="481" t="s">
        <v>1684</v>
      </c>
      <c r="P16" s="452"/>
      <c r="Q16" s="440">
        <v>0.62500000000000011</v>
      </c>
      <c r="R16" s="440">
        <v>0.37499999999999989</v>
      </c>
    </row>
    <row r="17" spans="1:18" ht="19.95" customHeight="1">
      <c r="A17" s="440">
        <v>0.64583333333333348</v>
      </c>
      <c r="B17" s="440">
        <v>0.3958333333333332</v>
      </c>
      <c r="C17" s="475"/>
      <c r="D17" s="452"/>
      <c r="E17" s="475"/>
      <c r="F17" s="452"/>
      <c r="G17" s="441" t="s">
        <v>601</v>
      </c>
      <c r="H17" s="452"/>
      <c r="I17" s="483" t="s">
        <v>601</v>
      </c>
      <c r="J17" s="452"/>
      <c r="K17" s="482"/>
      <c r="L17" s="452"/>
      <c r="M17" s="482"/>
      <c r="N17" s="452"/>
      <c r="O17" s="481"/>
      <c r="P17" s="452"/>
      <c r="Q17" s="440">
        <v>0.64583333333333348</v>
      </c>
      <c r="R17" s="440">
        <v>0.3958333333333332</v>
      </c>
    </row>
    <row r="18" spans="1:18" ht="19.95" customHeight="1">
      <c r="A18" s="440">
        <v>0.66666666666666685</v>
      </c>
      <c r="B18" s="440">
        <v>0.41666666666666652</v>
      </c>
      <c r="C18" s="475"/>
      <c r="D18" s="452"/>
      <c r="E18" s="475"/>
      <c r="F18" s="452"/>
      <c r="G18" s="482" t="s">
        <v>1664</v>
      </c>
      <c r="H18" s="452"/>
      <c r="I18" s="483"/>
      <c r="J18" s="452"/>
      <c r="K18" s="441" t="s">
        <v>601</v>
      </c>
      <c r="L18" s="452"/>
      <c r="M18" s="483" t="s">
        <v>1683</v>
      </c>
      <c r="N18" s="452"/>
      <c r="O18" s="494" t="s">
        <v>1667</v>
      </c>
      <c r="P18" s="452"/>
      <c r="Q18" s="440">
        <v>0.66666666666666685</v>
      </c>
      <c r="R18" s="440">
        <v>0.41666666666666652</v>
      </c>
    </row>
    <row r="19" spans="1:18" ht="19.95" customHeight="1">
      <c r="A19" s="440">
        <v>0.68750000000000022</v>
      </c>
      <c r="B19" s="440">
        <v>0.43749999999999983</v>
      </c>
      <c r="C19" s="475"/>
      <c r="D19" s="452"/>
      <c r="E19" s="475"/>
      <c r="F19" s="452"/>
      <c r="G19" s="482"/>
      <c r="H19" s="452"/>
      <c r="I19" s="482" t="s">
        <v>1666</v>
      </c>
      <c r="J19" s="452"/>
      <c r="K19" s="482" t="s">
        <v>982</v>
      </c>
      <c r="L19" s="452"/>
      <c r="M19" s="483"/>
      <c r="N19" s="452"/>
      <c r="O19" s="494"/>
      <c r="P19" s="452"/>
      <c r="Q19" s="440">
        <v>0.68750000000000022</v>
      </c>
      <c r="R19" s="440">
        <v>0.43749999999999983</v>
      </c>
    </row>
    <row r="20" spans="1:18" ht="19.95" customHeight="1">
      <c r="A20" s="440">
        <v>0.70833333333333359</v>
      </c>
      <c r="B20" s="440">
        <v>0.45833333333333315</v>
      </c>
      <c r="C20" s="475"/>
      <c r="D20" s="452"/>
      <c r="E20" s="475"/>
      <c r="F20" s="452"/>
      <c r="G20" s="482"/>
      <c r="H20" s="452"/>
      <c r="I20" s="482"/>
      <c r="J20" s="452"/>
      <c r="K20" s="482"/>
      <c r="L20" s="452"/>
      <c r="M20" s="483"/>
      <c r="N20" s="452"/>
      <c r="O20" s="494"/>
      <c r="P20" s="452"/>
      <c r="Q20" s="440">
        <v>0.70833333333333359</v>
      </c>
      <c r="R20" s="440">
        <v>0.45833333333333315</v>
      </c>
    </row>
    <row r="21" spans="1:18" ht="19.95" customHeight="1">
      <c r="A21" s="440">
        <v>0.72916666666666696</v>
      </c>
      <c r="B21" s="440">
        <v>0.47916666666666646</v>
      </c>
      <c r="C21" s="476"/>
      <c r="D21" s="452"/>
      <c r="E21" s="476"/>
      <c r="F21" s="452"/>
      <c r="G21" s="472" t="s">
        <v>1679</v>
      </c>
      <c r="H21" s="452"/>
      <c r="I21" s="483" t="s">
        <v>1679</v>
      </c>
      <c r="J21" s="452"/>
      <c r="K21" s="483" t="s">
        <v>1679</v>
      </c>
      <c r="L21" s="452"/>
      <c r="M21" s="483"/>
      <c r="N21" s="452"/>
      <c r="O21" s="494"/>
      <c r="P21" s="452"/>
      <c r="Q21" s="440">
        <v>0.72916666666666696</v>
      </c>
      <c r="R21" s="440">
        <v>0.47916666666666646</v>
      </c>
    </row>
    <row r="22" spans="1:18" ht="19.95" customHeight="1">
      <c r="A22" s="440">
        <v>0.75000000000000033</v>
      </c>
      <c r="B22" s="440">
        <v>0.49999999999999978</v>
      </c>
      <c r="C22" s="472" t="s">
        <v>1682</v>
      </c>
      <c r="D22" s="452"/>
      <c r="E22" s="472" t="s">
        <v>1682</v>
      </c>
      <c r="F22" s="452"/>
      <c r="G22" s="473"/>
      <c r="H22" s="452"/>
      <c r="I22" s="483"/>
      <c r="J22" s="452"/>
      <c r="K22" s="483"/>
      <c r="L22" s="452"/>
      <c r="M22" s="483"/>
      <c r="N22" s="452"/>
      <c r="O22" s="484" t="s">
        <v>1680</v>
      </c>
      <c r="P22" s="452"/>
      <c r="Q22" s="440">
        <v>0.75000000000000033</v>
      </c>
      <c r="R22" s="440">
        <v>0.49999999999999978</v>
      </c>
    </row>
    <row r="23" spans="1:18" ht="19.95" customHeight="1">
      <c r="A23" s="440">
        <v>0.7708333333333337</v>
      </c>
      <c r="B23" s="440">
        <v>0.52083333333333315</v>
      </c>
      <c r="C23" s="473"/>
      <c r="D23" s="452"/>
      <c r="E23" s="473"/>
      <c r="F23" s="452"/>
      <c r="G23" s="491" t="s">
        <v>1680</v>
      </c>
      <c r="H23" s="452"/>
      <c r="I23" s="470" t="s">
        <v>1680</v>
      </c>
      <c r="J23" s="452"/>
      <c r="K23" s="470" t="s">
        <v>1680</v>
      </c>
      <c r="L23" s="452"/>
      <c r="M23" s="470" t="s">
        <v>1680</v>
      </c>
      <c r="N23" s="452"/>
      <c r="O23" s="484"/>
      <c r="P23" s="452"/>
      <c r="Q23" s="440">
        <v>0.7708333333333337</v>
      </c>
      <c r="R23" s="440">
        <v>0.52083333333333315</v>
      </c>
    </row>
    <row r="24" spans="1:18" ht="19.95" customHeight="1">
      <c r="A24" s="443">
        <v>0.79166666666666707</v>
      </c>
      <c r="B24" s="443">
        <v>0.54166666666666652</v>
      </c>
      <c r="C24" s="484" t="s">
        <v>1680</v>
      </c>
      <c r="D24" s="452"/>
      <c r="E24" s="484" t="s">
        <v>1680</v>
      </c>
      <c r="F24" s="452"/>
      <c r="G24" s="492"/>
      <c r="H24" s="452"/>
      <c r="I24" s="470"/>
      <c r="J24" s="452"/>
      <c r="K24" s="470"/>
      <c r="L24" s="452"/>
      <c r="M24" s="470"/>
      <c r="N24" s="452"/>
      <c r="O24" s="484"/>
      <c r="P24" s="452"/>
      <c r="Q24" s="443">
        <v>0.79166666666666707</v>
      </c>
      <c r="R24" s="443">
        <v>0.54166666666666652</v>
      </c>
    </row>
    <row r="25" spans="1:18" ht="19.95" customHeight="1">
      <c r="A25" s="443">
        <v>0.81250000000000044</v>
      </c>
      <c r="B25" s="443">
        <v>0.56249999999999989</v>
      </c>
      <c r="C25" s="484"/>
      <c r="D25" s="453"/>
      <c r="E25" s="484"/>
      <c r="F25" s="453"/>
      <c r="G25" s="493"/>
      <c r="H25" s="453"/>
      <c r="I25" s="470"/>
      <c r="J25" s="453"/>
      <c r="K25" s="470"/>
      <c r="L25" s="453"/>
      <c r="M25" s="470"/>
      <c r="N25" s="453"/>
      <c r="O25" s="484"/>
      <c r="P25" s="453"/>
      <c r="Q25" s="443">
        <v>0.81250000000000044</v>
      </c>
      <c r="R25" s="443">
        <v>0.56249999999999989</v>
      </c>
    </row>
    <row r="33" spans="2:15" ht="16.05" customHeight="1">
      <c r="B33" s="444" t="s">
        <v>838</v>
      </c>
      <c r="C33" s="444" t="s">
        <v>839</v>
      </c>
      <c r="D33" s="485" t="s">
        <v>1668</v>
      </c>
      <c r="E33" s="486"/>
      <c r="F33" s="486"/>
      <c r="G33" s="487"/>
      <c r="H33" s="444" t="s">
        <v>1669</v>
      </c>
      <c r="L33" s="488" t="s">
        <v>1678</v>
      </c>
      <c r="M33" s="489"/>
      <c r="N33" s="489"/>
      <c r="O33" s="490"/>
    </row>
    <row r="34" spans="2:15" ht="16.05" customHeight="1">
      <c r="B34" s="445">
        <v>1</v>
      </c>
      <c r="C34" s="446">
        <f>Planning!B24</f>
        <v>44282</v>
      </c>
      <c r="D34" s="495" t="s">
        <v>1670</v>
      </c>
      <c r="E34" s="495"/>
      <c r="F34" s="495"/>
      <c r="G34" s="495"/>
      <c r="H34" s="447" t="s">
        <v>592</v>
      </c>
      <c r="L34" s="499" t="s">
        <v>1677</v>
      </c>
      <c r="M34" s="500"/>
      <c r="N34" s="500"/>
      <c r="O34" s="501"/>
    </row>
    <row r="35" spans="2:15" ht="16.05" customHeight="1">
      <c r="B35" s="445" t="s">
        <v>1671</v>
      </c>
      <c r="C35" s="446">
        <f>G5</f>
        <v>44298</v>
      </c>
      <c r="D35" s="495" t="s">
        <v>1672</v>
      </c>
      <c r="E35" s="495"/>
      <c r="F35" s="495"/>
      <c r="G35" s="495"/>
      <c r="H35" s="447" t="s">
        <v>617</v>
      </c>
      <c r="L35" s="502" t="s">
        <v>1673</v>
      </c>
      <c r="M35" s="503"/>
      <c r="N35" s="503"/>
      <c r="O35" s="504"/>
    </row>
    <row r="36" spans="2:15" ht="16.05" customHeight="1">
      <c r="B36" s="445"/>
      <c r="C36" s="446"/>
      <c r="D36" s="495"/>
      <c r="E36" s="495"/>
      <c r="F36" s="495"/>
      <c r="G36" s="495"/>
      <c r="H36" s="447"/>
      <c r="L36" s="505" t="s">
        <v>1674</v>
      </c>
      <c r="M36" s="506"/>
      <c r="N36" s="506"/>
      <c r="O36" s="507"/>
    </row>
    <row r="37" spans="2:15" ht="16.05" customHeight="1">
      <c r="B37" s="445"/>
      <c r="C37" s="446"/>
      <c r="D37" s="495"/>
      <c r="E37" s="495"/>
      <c r="F37" s="495"/>
      <c r="G37" s="495"/>
      <c r="H37" s="447"/>
      <c r="L37" s="496" t="s">
        <v>1675</v>
      </c>
      <c r="M37" s="497"/>
      <c r="N37" s="497"/>
      <c r="O37" s="498"/>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5" t="s">
        <v>1182</v>
      </c>
      <c r="B1" s="535"/>
      <c r="C1" s="535"/>
      <c r="D1" s="535"/>
      <c r="E1" s="535"/>
      <c r="F1" s="535"/>
      <c r="G1" s="535"/>
      <c r="H1" s="65"/>
      <c r="I1" s="139" t="s">
        <v>917</v>
      </c>
      <c r="J1" s="140" t="s">
        <v>918</v>
      </c>
      <c r="K1" s="134" t="s">
        <v>919</v>
      </c>
      <c r="L1" s="134" t="s">
        <v>920</v>
      </c>
      <c r="M1" s="135"/>
      <c r="N1" s="67"/>
      <c r="O1" s="67"/>
      <c r="P1" s="67"/>
    </row>
    <row r="2" spans="1:16" ht="14.7" customHeight="1">
      <c r="A2" s="536" t="str">
        <f>CONCATENATE(TEXT(Planning!B26,"[$-x-sysdate]dddd, mmmm dd, yyyy")," (Technology test)")</f>
        <v>Thursday, 08 April 2021 (Technology test)</v>
      </c>
      <c r="B2" s="536"/>
      <c r="C2" s="536"/>
      <c r="D2" s="536"/>
      <c r="E2" s="536"/>
      <c r="F2" s="536"/>
      <c r="G2" s="536"/>
      <c r="H2" s="65"/>
      <c r="I2" s="134"/>
      <c r="J2" s="134"/>
      <c r="K2" s="134"/>
      <c r="L2" s="135"/>
      <c r="M2" s="135"/>
      <c r="N2" s="67"/>
      <c r="O2" s="67"/>
      <c r="P2" s="67"/>
    </row>
    <row r="3" spans="1:16">
      <c r="A3" s="525" t="str">
        <f>J3</f>
        <v>Day 1-2</v>
      </c>
      <c r="B3" s="525"/>
      <c r="C3" s="528" t="str">
        <f>CONCATENATE(TEXT(I3,"[$-x-sysdate]dddd, mmmm dd, yyyy")," to ",TEXT(K3,"[$-x-sysdate]dddd, mmmm dd, yyyy"))</f>
        <v>Saturday, 10 April 2021 to Sunday, 11 April 2021</v>
      </c>
      <c r="D3" s="528"/>
      <c r="E3" s="528"/>
      <c r="F3" s="525" t="str">
        <f>A3</f>
        <v>Day 1-2</v>
      </c>
      <c r="G3" s="525"/>
      <c r="H3" s="65"/>
      <c r="I3" s="141">
        <f>Planning!B27</f>
        <v>44296</v>
      </c>
      <c r="J3" s="142" t="str">
        <f>_xlfn.CONCAT("Day 1-",L3)</f>
        <v>Day 1-2</v>
      </c>
      <c r="K3" s="143">
        <f>Planning!B27+Planning!B29-1</f>
        <v>44297</v>
      </c>
      <c r="L3" s="134">
        <f>K3-I3+1</f>
        <v>2</v>
      </c>
      <c r="M3" s="135"/>
      <c r="N3" s="67"/>
      <c r="O3" s="67"/>
      <c r="P3" s="67"/>
    </row>
    <row r="4" spans="1:16" ht="28.8">
      <c r="A4" s="525" t="s">
        <v>921</v>
      </c>
      <c r="B4" s="525"/>
      <c r="C4" s="68" t="str">
        <f>J11</f>
        <v>Mini team 1:ATM-5 / ATM-6 / ATM-7</v>
      </c>
      <c r="D4" s="68" t="str">
        <f>M11</f>
        <v>Full team: ATM-1 / ATM-2 / ATM-3 / ATM-4 /ATM-5 / ATM-6 / ATM-7 / ATM-8</v>
      </c>
      <c r="E4" s="68" t="str">
        <f>CONCATENATE("LA team: ",'Agreement 3'!B7," and ATMs if applicable")</f>
        <v>LA team: van Zyl, Pieter and ATMs if applicable</v>
      </c>
      <c r="F4" s="525" t="s">
        <v>922</v>
      </c>
      <c r="G4" s="525"/>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4" t="s">
        <v>923</v>
      </c>
      <c r="D5" s="514" t="s">
        <v>923</v>
      </c>
      <c r="E5" s="514"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4"/>
      <c r="D6" s="514"/>
      <c r="E6" s="514"/>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4"/>
      <c r="D7" s="514"/>
      <c r="E7" s="514"/>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4"/>
      <c r="D8" s="514"/>
      <c r="E8" s="514"/>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4"/>
      <c r="D9" s="514"/>
      <c r="E9" s="514"/>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4"/>
      <c r="D10" s="514"/>
      <c r="E10" s="514"/>
      <c r="F10" s="70">
        <v>0.375</v>
      </c>
      <c r="G10" s="70">
        <v>0.41666666666666669</v>
      </c>
      <c r="H10" s="65"/>
      <c r="I10" s="143"/>
      <c r="J10" s="135"/>
      <c r="K10" s="135"/>
      <c r="L10" s="135"/>
      <c r="M10" s="135"/>
      <c r="N10" s="67"/>
      <c r="O10" s="67"/>
      <c r="P10" s="67"/>
    </row>
    <row r="11" spans="1:16" ht="18" customHeight="1">
      <c r="A11" s="70">
        <v>0.66666666666666696</v>
      </c>
      <c r="B11" s="70">
        <v>0.70833333333333337</v>
      </c>
      <c r="C11" s="514"/>
      <c r="D11" s="514"/>
      <c r="E11" s="514"/>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4"/>
      <c r="D12" s="514"/>
      <c r="E12" s="514"/>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4"/>
      <c r="D13" s="514"/>
      <c r="E13" s="514"/>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31" t="str">
        <f>CONCATENATE("Schedule above includes ",Planning!B28," non-working day(s).")</f>
        <v>Schedule above includes 0 non-working day(s).</v>
      </c>
      <c r="B15" s="531"/>
      <c r="C15" s="531"/>
      <c r="D15" s="531"/>
      <c r="E15" s="531"/>
      <c r="F15" s="531"/>
      <c r="G15" s="531"/>
      <c r="H15" s="65"/>
      <c r="I15" s="134"/>
      <c r="K15" s="138"/>
      <c r="L15" s="134" t="str">
        <f>'P1PA-SS'!B96</f>
        <v>ATM-5</v>
      </c>
      <c r="M15" s="135"/>
      <c r="N15" s="67"/>
      <c r="O15" s="67"/>
      <c r="P15" s="67"/>
    </row>
    <row r="16" spans="1:16">
      <c r="A16" s="529" t="str">
        <f>J4</f>
        <v>Day 3</v>
      </c>
      <c r="B16" s="529"/>
      <c r="C16" s="530">
        <f>I4</f>
        <v>44298</v>
      </c>
      <c r="D16" s="530"/>
      <c r="E16" s="530"/>
      <c r="F16" s="529" t="str">
        <f>A16</f>
        <v>Day 3</v>
      </c>
      <c r="G16" s="529"/>
      <c r="H16" s="65"/>
      <c r="I16" s="134"/>
      <c r="K16" s="138"/>
      <c r="L16" s="134" t="str">
        <f>'P1PA-SS'!B97</f>
        <v>ATM-6</v>
      </c>
      <c r="M16" s="135"/>
      <c r="N16" s="67"/>
      <c r="O16" s="67"/>
      <c r="P16" s="67"/>
    </row>
    <row r="17" spans="1:18" ht="28.8">
      <c r="A17" s="529" t="s">
        <v>921</v>
      </c>
      <c r="B17" s="529"/>
      <c r="C17" s="71" t="str">
        <f>C4</f>
        <v>Mini team 1:ATM-5 / ATM-6 / ATM-7</v>
      </c>
      <c r="D17" s="71" t="str">
        <f>D4</f>
        <v>Full team: ATM-1 / ATM-2 / ATM-3 / ATM-4 /ATM-5 / ATM-6 / ATM-7 / ATM-8</v>
      </c>
      <c r="E17" s="71" t="str">
        <f>E4</f>
        <v>LA team: van Zyl, Pieter and ATMs if applicable</v>
      </c>
      <c r="F17" s="529" t="s">
        <v>922</v>
      </c>
      <c r="G17" s="529"/>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32" t="s">
        <v>976</v>
      </c>
      <c r="D19" s="533"/>
      <c r="E19" s="534"/>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4" t="s">
        <v>977</v>
      </c>
      <c r="D20" s="524"/>
      <c r="E20" s="524"/>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4"/>
      <c r="D21" s="524"/>
      <c r="E21" s="524"/>
      <c r="F21" s="70">
        <v>0.22916666666666666</v>
      </c>
      <c r="G21" s="70">
        <v>0.25</v>
      </c>
      <c r="H21" s="65"/>
      <c r="I21" s="135"/>
      <c r="J21" s="135"/>
      <c r="K21" s="135"/>
      <c r="L21" s="135"/>
      <c r="M21" s="135"/>
      <c r="N21" s="67"/>
      <c r="O21" s="67"/>
      <c r="P21" s="67"/>
    </row>
    <row r="22" spans="1:18" ht="18.600000000000001" customHeight="1">
      <c r="A22" s="70">
        <v>0.5</v>
      </c>
      <c r="B22" s="70">
        <v>0.52083333333333337</v>
      </c>
      <c r="C22" s="514" t="s">
        <v>928</v>
      </c>
      <c r="D22" s="514"/>
      <c r="E22" s="514"/>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4"/>
      <c r="D23" s="514"/>
      <c r="E23" s="514"/>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6" t="s">
        <v>978</v>
      </c>
      <c r="D24" s="526"/>
      <c r="E24" s="526"/>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6"/>
      <c r="D25" s="526"/>
      <c r="E25" s="526"/>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6"/>
      <c r="D26" s="526"/>
      <c r="E26" s="526"/>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6"/>
      <c r="D27" s="526"/>
      <c r="E27" s="526"/>
      <c r="F27" s="70">
        <v>0.35416666666666669</v>
      </c>
      <c r="G27" s="70">
        <v>0.375</v>
      </c>
      <c r="H27" s="65"/>
      <c r="I27" s="135"/>
      <c r="J27" s="135"/>
      <c r="K27" s="135"/>
      <c r="L27" s="135"/>
      <c r="M27" s="135"/>
      <c r="N27" s="67"/>
      <c r="O27" s="67"/>
      <c r="P27" s="67"/>
    </row>
    <row r="28" spans="1:18" ht="18.600000000000001" customHeight="1">
      <c r="A28" s="70">
        <v>0.625</v>
      </c>
      <c r="B28" s="70">
        <v>0.64583333333333337</v>
      </c>
      <c r="C28" s="514" t="s">
        <v>929</v>
      </c>
      <c r="D28" s="514"/>
      <c r="E28" s="514"/>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6" t="s">
        <v>1638</v>
      </c>
      <c r="D29" s="526"/>
      <c r="E29" s="526"/>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6"/>
      <c r="D30" s="526"/>
      <c r="E30" s="526"/>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6"/>
      <c r="D31" s="526"/>
      <c r="E31" s="526"/>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6"/>
      <c r="D32" s="526"/>
      <c r="E32" s="526"/>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4" t="s">
        <v>929</v>
      </c>
      <c r="D33" s="514"/>
      <c r="E33" s="514"/>
      <c r="F33" s="70">
        <v>0.47916666666666669</v>
      </c>
      <c r="G33" s="70">
        <v>0.5</v>
      </c>
      <c r="H33" s="65"/>
      <c r="I33" s="135"/>
      <c r="J33" s="135"/>
      <c r="K33" s="135"/>
      <c r="L33" s="135"/>
      <c r="M33" s="135"/>
      <c r="N33" s="67"/>
      <c r="O33" s="67"/>
      <c r="P33" s="67"/>
    </row>
    <row r="34" spans="1:16" ht="18.600000000000001" customHeight="1">
      <c r="A34" s="70">
        <v>0.75</v>
      </c>
      <c r="B34" s="70">
        <v>0.83333333333333337</v>
      </c>
      <c r="C34" s="514" t="s">
        <v>930</v>
      </c>
      <c r="D34" s="514"/>
      <c r="E34" s="514"/>
      <c r="F34" s="70">
        <v>0.5</v>
      </c>
      <c r="G34" s="70">
        <v>0.58333333333333337</v>
      </c>
      <c r="H34" s="65"/>
      <c r="I34" s="135"/>
      <c r="J34" s="135"/>
      <c r="K34" s="135"/>
      <c r="L34" s="135"/>
      <c r="M34" s="135"/>
      <c r="N34" s="67"/>
      <c r="O34" s="67"/>
      <c r="P34" s="67"/>
    </row>
    <row r="35" spans="1:16">
      <c r="A35" s="529" t="str">
        <f>J5</f>
        <v>Day 4</v>
      </c>
      <c r="B35" s="529"/>
      <c r="C35" s="530">
        <f>I5</f>
        <v>44299</v>
      </c>
      <c r="D35" s="530"/>
      <c r="E35" s="530"/>
      <c r="F35" s="529" t="str">
        <f>A35</f>
        <v>Day 4</v>
      </c>
      <c r="G35" s="529"/>
      <c r="H35" s="74"/>
    </row>
    <row r="36" spans="1:16" ht="28.8">
      <c r="A36" s="529" t="s">
        <v>921</v>
      </c>
      <c r="B36" s="529"/>
      <c r="C36" s="71" t="str">
        <f>C17</f>
        <v>Mini team 1:ATM-5 / ATM-6 / ATM-7</v>
      </c>
      <c r="D36" s="71" t="str">
        <f>D17</f>
        <v>Full team: ATM-1 / ATM-2 / ATM-3 / ATM-4 /ATM-5 / ATM-6 / ATM-7 / ATM-8</v>
      </c>
      <c r="E36" s="71" t="str">
        <f>E17</f>
        <v>LA team: van Zyl, Pieter and ATMs if applicable</v>
      </c>
      <c r="F36" s="529" t="s">
        <v>922</v>
      </c>
      <c r="G36" s="529"/>
      <c r="H36" s="74"/>
    </row>
    <row r="37" spans="1:16" ht="18" customHeight="1">
      <c r="A37" s="70">
        <v>0.41666666666666669</v>
      </c>
      <c r="B37" s="70">
        <v>0.4375</v>
      </c>
      <c r="C37" s="514" t="s">
        <v>929</v>
      </c>
      <c r="D37" s="514"/>
      <c r="E37" s="72" t="s">
        <v>927</v>
      </c>
      <c r="F37" s="70">
        <v>0.16666666666666666</v>
      </c>
      <c r="G37" s="70">
        <v>0.1875</v>
      </c>
      <c r="H37" s="74"/>
    </row>
    <row r="38" spans="1:16" ht="18" customHeight="1">
      <c r="A38" s="70">
        <v>0.4375</v>
      </c>
      <c r="B38" s="70">
        <v>0.45833333333333331</v>
      </c>
      <c r="C38" s="526" t="s">
        <v>979</v>
      </c>
      <c r="D38" s="526"/>
      <c r="E38" s="526"/>
      <c r="F38" s="70">
        <v>0.1875</v>
      </c>
      <c r="G38" s="70">
        <v>0.20833333333333334</v>
      </c>
      <c r="H38" s="74"/>
    </row>
    <row r="39" spans="1:16" ht="18" customHeight="1">
      <c r="A39" s="70">
        <v>0.45833333333333331</v>
      </c>
      <c r="B39" s="70">
        <v>0.47916666666666669</v>
      </c>
      <c r="C39" s="526"/>
      <c r="D39" s="526"/>
      <c r="E39" s="526"/>
      <c r="F39" s="70">
        <v>0.20833333333333334</v>
      </c>
      <c r="G39" s="70">
        <v>0.22916666666666666</v>
      </c>
      <c r="H39" s="74"/>
    </row>
    <row r="40" spans="1:16" ht="18" customHeight="1">
      <c r="A40" s="70">
        <v>0.47916666666666669</v>
      </c>
      <c r="B40" s="70">
        <v>0.5</v>
      </c>
      <c r="C40" s="526"/>
      <c r="D40" s="526"/>
      <c r="E40" s="526"/>
      <c r="F40" s="70">
        <v>0.22916666666666666</v>
      </c>
      <c r="G40" s="70">
        <v>0.25</v>
      </c>
      <c r="H40" s="74"/>
    </row>
    <row r="41" spans="1:16" ht="18" customHeight="1">
      <c r="A41" s="70">
        <v>0.5</v>
      </c>
      <c r="B41" s="70">
        <v>0.52083333333333337</v>
      </c>
      <c r="C41" s="514" t="s">
        <v>928</v>
      </c>
      <c r="D41" s="514"/>
      <c r="E41" s="514"/>
      <c r="F41" s="70">
        <v>0.25</v>
      </c>
      <c r="G41" s="70">
        <v>0.27083333333333331</v>
      </c>
      <c r="H41" s="74"/>
    </row>
    <row r="42" spans="1:16" ht="18" customHeight="1">
      <c r="A42" s="70">
        <v>0.52083333333333337</v>
      </c>
      <c r="B42" s="70">
        <v>0.54166666666666663</v>
      </c>
      <c r="C42" s="514"/>
      <c r="D42" s="514"/>
      <c r="E42" s="514"/>
      <c r="F42" s="70">
        <v>0.27083333333333331</v>
      </c>
      <c r="G42" s="70">
        <v>0.29166666666666669</v>
      </c>
      <c r="H42" s="74"/>
    </row>
    <row r="43" spans="1:16" ht="18" customHeight="1">
      <c r="A43" s="70">
        <v>0.54166666666666663</v>
      </c>
      <c r="B43" s="70">
        <v>0.5625</v>
      </c>
      <c r="C43" s="526" t="s">
        <v>1639</v>
      </c>
      <c r="D43" s="526"/>
      <c r="E43" s="526"/>
      <c r="F43" s="70">
        <v>0.29166666666666669</v>
      </c>
      <c r="G43" s="70">
        <v>0.3125</v>
      </c>
      <c r="H43" s="74"/>
    </row>
    <row r="44" spans="1:16" ht="18" customHeight="1">
      <c r="A44" s="70">
        <v>0.5625</v>
      </c>
      <c r="B44" s="70">
        <v>0.58333333333333337</v>
      </c>
      <c r="C44" s="526"/>
      <c r="D44" s="526"/>
      <c r="E44" s="526"/>
      <c r="F44" s="70">
        <v>0.3125</v>
      </c>
      <c r="G44" s="70">
        <v>0.33333333333333331</v>
      </c>
      <c r="H44" s="74"/>
    </row>
    <row r="45" spans="1:16" ht="18" customHeight="1">
      <c r="A45" s="70">
        <v>0.58333333333333337</v>
      </c>
      <c r="B45" s="70">
        <v>0.60416666666666663</v>
      </c>
      <c r="C45" s="526"/>
      <c r="D45" s="526"/>
      <c r="E45" s="526"/>
      <c r="F45" s="70">
        <v>0.33333333333333331</v>
      </c>
      <c r="G45" s="70">
        <v>0.35416666666666669</v>
      </c>
      <c r="H45" s="74"/>
    </row>
    <row r="46" spans="1:16" ht="18" customHeight="1">
      <c r="A46" s="70">
        <v>0.60416666666666663</v>
      </c>
      <c r="B46" s="70">
        <v>0.625</v>
      </c>
      <c r="C46" s="526"/>
      <c r="D46" s="526"/>
      <c r="E46" s="526"/>
      <c r="F46" s="70">
        <v>0.35416666666666669</v>
      </c>
      <c r="G46" s="70">
        <v>0.375</v>
      </c>
      <c r="H46" s="74"/>
    </row>
    <row r="47" spans="1:16" ht="18" customHeight="1">
      <c r="A47" s="70">
        <v>0.625</v>
      </c>
      <c r="B47" s="70">
        <v>0.64583333333333337</v>
      </c>
      <c r="C47" s="526"/>
      <c r="D47" s="526"/>
      <c r="E47" s="526"/>
      <c r="F47" s="70">
        <v>0.375</v>
      </c>
      <c r="G47" s="70">
        <v>0.39583333333333331</v>
      </c>
      <c r="H47" s="74"/>
    </row>
    <row r="48" spans="1:16" ht="18" customHeight="1">
      <c r="A48" s="70">
        <v>0.64583333333333337</v>
      </c>
      <c r="B48" s="70">
        <v>0.66666666666666663</v>
      </c>
      <c r="C48" s="514" t="s">
        <v>929</v>
      </c>
      <c r="D48" s="514"/>
      <c r="E48" s="514" t="s">
        <v>927</v>
      </c>
      <c r="F48" s="70">
        <v>0.39583333333333331</v>
      </c>
      <c r="G48" s="70">
        <v>0.41666666666666669</v>
      </c>
      <c r="H48" s="74"/>
    </row>
    <row r="49" spans="1:8" ht="18" customHeight="1">
      <c r="A49" s="70">
        <v>0.66666666666666663</v>
      </c>
      <c r="B49" s="70">
        <v>0.6875</v>
      </c>
      <c r="C49" s="514"/>
      <c r="D49" s="514"/>
      <c r="E49" s="514"/>
      <c r="F49" s="70">
        <v>0.41666666666666669</v>
      </c>
      <c r="G49" s="70">
        <v>0.4375</v>
      </c>
      <c r="H49" s="74"/>
    </row>
    <row r="50" spans="1:8" ht="18" customHeight="1">
      <c r="A50" s="70">
        <v>0.6875</v>
      </c>
      <c r="B50" s="70">
        <v>0.70833333333333337</v>
      </c>
      <c r="C50" s="526" t="s">
        <v>980</v>
      </c>
      <c r="D50" s="526"/>
      <c r="E50" s="526"/>
      <c r="F50" s="70">
        <v>0.4375</v>
      </c>
      <c r="G50" s="70">
        <v>0.45833333333333331</v>
      </c>
      <c r="H50" s="74"/>
    </row>
    <row r="51" spans="1:8" ht="18" customHeight="1">
      <c r="A51" s="70">
        <v>0.70833333333333337</v>
      </c>
      <c r="B51" s="70">
        <v>0.72916666666666663</v>
      </c>
      <c r="C51" s="526"/>
      <c r="D51" s="526"/>
      <c r="E51" s="526"/>
      <c r="F51" s="70">
        <v>0.45833333333333331</v>
      </c>
      <c r="G51" s="70">
        <v>0.47916666666666669</v>
      </c>
      <c r="H51" s="74"/>
    </row>
    <row r="52" spans="1:8" ht="18" customHeight="1">
      <c r="A52" s="70">
        <v>0.72916666666666663</v>
      </c>
      <c r="B52" s="70">
        <v>0.75</v>
      </c>
      <c r="C52" s="514" t="s">
        <v>929</v>
      </c>
      <c r="D52" s="514"/>
      <c r="E52" s="514"/>
      <c r="F52" s="70">
        <v>0.47916666666666669</v>
      </c>
      <c r="G52" s="70">
        <v>0.5</v>
      </c>
      <c r="H52" s="74"/>
    </row>
    <row r="53" spans="1:8" ht="18" customHeight="1">
      <c r="A53" s="70">
        <v>0.75</v>
      </c>
      <c r="B53" s="70">
        <v>0.83333333333333337</v>
      </c>
      <c r="C53" s="514" t="s">
        <v>930</v>
      </c>
      <c r="D53" s="514"/>
      <c r="E53" s="514"/>
      <c r="F53" s="70">
        <v>0.5</v>
      </c>
      <c r="G53" s="70">
        <v>0.58333333333333337</v>
      </c>
      <c r="H53" s="74"/>
    </row>
    <row r="54" spans="1:8">
      <c r="A54" s="525" t="str">
        <f>J6</f>
        <v>Day 5</v>
      </c>
      <c r="B54" s="525"/>
      <c r="C54" s="528">
        <f>I6</f>
        <v>44300</v>
      </c>
      <c r="D54" s="528"/>
      <c r="E54" s="528"/>
      <c r="F54" s="525" t="str">
        <f>A54</f>
        <v>Day 5</v>
      </c>
      <c r="G54" s="525"/>
      <c r="H54" s="74"/>
    </row>
    <row r="55" spans="1:8" ht="28.8">
      <c r="A55" s="525" t="s">
        <v>921</v>
      </c>
      <c r="B55" s="525"/>
      <c r="C55" s="68" t="str">
        <f>C36</f>
        <v>Mini team 1:ATM-5 / ATM-6 / ATM-7</v>
      </c>
      <c r="D55" s="68" t="str">
        <f>D36</f>
        <v>Full team: ATM-1 / ATM-2 / ATM-3 / ATM-4 /ATM-5 / ATM-6 / ATM-7 / ATM-8</v>
      </c>
      <c r="E55" s="68" t="str">
        <f>E36</f>
        <v>LA team: van Zyl, Pieter and ATMs if applicable</v>
      </c>
      <c r="F55" s="525" t="s">
        <v>922</v>
      </c>
      <c r="G55" s="525"/>
      <c r="H55" s="74"/>
    </row>
    <row r="56" spans="1:8" ht="18" customHeight="1">
      <c r="A56" s="70">
        <v>0.41666666666666669</v>
      </c>
      <c r="B56" s="70">
        <v>0.4375</v>
      </c>
      <c r="C56" s="514" t="s">
        <v>931</v>
      </c>
      <c r="D56" s="514"/>
      <c r="E56" s="72" t="s">
        <v>927</v>
      </c>
      <c r="F56" s="70">
        <v>0.16666666666666666</v>
      </c>
      <c r="G56" s="70">
        <v>0.1875</v>
      </c>
      <c r="H56" s="74"/>
    </row>
    <row r="57" spans="1:8" ht="18" customHeight="1">
      <c r="A57" s="70">
        <v>0.4375</v>
      </c>
      <c r="B57" s="70">
        <v>0.45833333333333331</v>
      </c>
      <c r="C57" s="526" t="s">
        <v>981</v>
      </c>
      <c r="D57" s="526"/>
      <c r="E57" s="526"/>
      <c r="F57" s="70">
        <v>0.1875</v>
      </c>
      <c r="G57" s="70">
        <v>0.20833333333333334</v>
      </c>
      <c r="H57" s="74"/>
    </row>
    <row r="58" spans="1:8" ht="18" customHeight="1">
      <c r="A58" s="70">
        <v>0.45833333333333331</v>
      </c>
      <c r="B58" s="70">
        <v>0.47916666666666669</v>
      </c>
      <c r="C58" s="526"/>
      <c r="D58" s="526"/>
      <c r="E58" s="526"/>
      <c r="F58" s="70">
        <v>0.20833333333333334</v>
      </c>
      <c r="G58" s="70">
        <v>0.22916666666666666</v>
      </c>
      <c r="H58" s="74"/>
    </row>
    <row r="59" spans="1:8" ht="18" customHeight="1">
      <c r="A59" s="70">
        <v>0.47916666666666669</v>
      </c>
      <c r="B59" s="70">
        <v>0.5</v>
      </c>
      <c r="C59" s="526"/>
      <c r="D59" s="526"/>
      <c r="E59" s="526"/>
      <c r="F59" s="70">
        <v>0.22916666666666666</v>
      </c>
      <c r="G59" s="70">
        <v>0.25</v>
      </c>
      <c r="H59" s="74"/>
    </row>
    <row r="60" spans="1:8" ht="18" customHeight="1">
      <c r="A60" s="70">
        <v>0.5</v>
      </c>
      <c r="B60" s="70">
        <v>0.52083333333333337</v>
      </c>
      <c r="C60" s="514" t="s">
        <v>928</v>
      </c>
      <c r="D60" s="514"/>
      <c r="E60" s="514"/>
      <c r="F60" s="70">
        <v>0.25</v>
      </c>
      <c r="G60" s="70">
        <v>0.27083333333333331</v>
      </c>
      <c r="H60" s="74"/>
    </row>
    <row r="61" spans="1:8" ht="18" customHeight="1">
      <c r="A61" s="70">
        <v>0.52083333333333337</v>
      </c>
      <c r="B61" s="70">
        <v>0.54166666666666663</v>
      </c>
      <c r="C61" s="514"/>
      <c r="D61" s="514"/>
      <c r="E61" s="514"/>
      <c r="F61" s="70">
        <v>0.27083333333333331</v>
      </c>
      <c r="G61" s="70">
        <v>0.29166666666666669</v>
      </c>
      <c r="H61" s="74"/>
    </row>
    <row r="62" spans="1:8" ht="18" customHeight="1">
      <c r="A62" s="70">
        <v>0.54166666666666663</v>
      </c>
      <c r="B62" s="70">
        <v>0.5625</v>
      </c>
      <c r="C62" s="526" t="s">
        <v>1640</v>
      </c>
      <c r="D62" s="526"/>
      <c r="E62" s="526"/>
      <c r="F62" s="70">
        <v>0.29166666666666669</v>
      </c>
      <c r="G62" s="70">
        <v>0.3125</v>
      </c>
      <c r="H62" s="74"/>
    </row>
    <row r="63" spans="1:8" ht="18" customHeight="1">
      <c r="A63" s="70">
        <v>0.5625</v>
      </c>
      <c r="B63" s="70">
        <v>0.58333333333333337</v>
      </c>
      <c r="C63" s="526"/>
      <c r="D63" s="526"/>
      <c r="E63" s="526"/>
      <c r="F63" s="70">
        <v>0.3125</v>
      </c>
      <c r="G63" s="70">
        <v>0.33333333333333331</v>
      </c>
      <c r="H63" s="74"/>
    </row>
    <row r="64" spans="1:8" ht="18" customHeight="1">
      <c r="A64" s="70">
        <v>0.58333333333333337</v>
      </c>
      <c r="B64" s="70">
        <v>0.60416666666666663</v>
      </c>
      <c r="C64" s="526"/>
      <c r="D64" s="526"/>
      <c r="E64" s="526"/>
      <c r="F64" s="70">
        <v>0.33333333333333331</v>
      </c>
      <c r="G64" s="70">
        <v>0.35416666666666669</v>
      </c>
      <c r="H64" s="74"/>
    </row>
    <row r="65" spans="1:8" ht="18" customHeight="1">
      <c r="A65" s="70">
        <v>0.60416666666666663</v>
      </c>
      <c r="B65" s="70">
        <v>0.625</v>
      </c>
      <c r="C65" s="526"/>
      <c r="D65" s="526"/>
      <c r="E65" s="526"/>
      <c r="F65" s="70">
        <v>0.35416666666666669</v>
      </c>
      <c r="G65" s="70">
        <v>0.375</v>
      </c>
      <c r="H65" s="74"/>
    </row>
    <row r="66" spans="1:8" ht="18" customHeight="1">
      <c r="A66" s="70">
        <v>0.625</v>
      </c>
      <c r="B66" s="70">
        <v>0.64583333333333337</v>
      </c>
      <c r="C66" s="526"/>
      <c r="D66" s="526"/>
      <c r="E66" s="526"/>
      <c r="F66" s="70">
        <v>0.375</v>
      </c>
      <c r="G66" s="70">
        <v>0.39583333333333331</v>
      </c>
      <c r="H66" s="74"/>
    </row>
    <row r="67" spans="1:8" ht="18" customHeight="1">
      <c r="A67" s="70">
        <v>0.64583333333333337</v>
      </c>
      <c r="B67" s="70">
        <v>0.66666666666666663</v>
      </c>
      <c r="C67" s="526"/>
      <c r="D67" s="526"/>
      <c r="E67" s="526"/>
      <c r="F67" s="70">
        <v>0.39583333333333331</v>
      </c>
      <c r="G67" s="70">
        <v>0.41666666666666669</v>
      </c>
      <c r="H67" s="74"/>
    </row>
    <row r="68" spans="1:8" ht="18" customHeight="1">
      <c r="A68" s="70">
        <v>0.66666666666666663</v>
      </c>
      <c r="B68" s="70">
        <v>0.6875</v>
      </c>
      <c r="C68" s="514" t="s">
        <v>929</v>
      </c>
      <c r="D68" s="514"/>
      <c r="E68" s="514"/>
      <c r="F68" s="70">
        <v>0.41666666666666669</v>
      </c>
      <c r="G68" s="70">
        <v>0.4375</v>
      </c>
      <c r="H68" s="74"/>
    </row>
    <row r="69" spans="1:8" ht="18" customHeight="1">
      <c r="A69" s="70">
        <v>0.6875</v>
      </c>
      <c r="B69" s="70">
        <v>0.70833333333333337</v>
      </c>
      <c r="C69" s="526" t="s">
        <v>982</v>
      </c>
      <c r="D69" s="526"/>
      <c r="E69" s="526"/>
      <c r="F69" s="70">
        <v>0.4375</v>
      </c>
      <c r="G69" s="70">
        <v>0.45833333333333331</v>
      </c>
      <c r="H69" s="74"/>
    </row>
    <row r="70" spans="1:8" ht="18" customHeight="1">
      <c r="A70" s="70">
        <v>0.70833333333333337</v>
      </c>
      <c r="B70" s="70">
        <v>0.72916666666666663</v>
      </c>
      <c r="C70" s="526"/>
      <c r="D70" s="526"/>
      <c r="E70" s="526"/>
      <c r="F70" s="70">
        <v>0.45833333333333331</v>
      </c>
      <c r="G70" s="70">
        <v>0.47916666666666669</v>
      </c>
      <c r="H70" s="74"/>
    </row>
    <row r="71" spans="1:8" ht="18" customHeight="1">
      <c r="A71" s="70">
        <v>0.72916666666666663</v>
      </c>
      <c r="B71" s="70">
        <v>0.75</v>
      </c>
      <c r="C71" s="514" t="s">
        <v>929</v>
      </c>
      <c r="D71" s="514"/>
      <c r="E71" s="514"/>
      <c r="F71" s="70">
        <v>0.47916666666666669</v>
      </c>
      <c r="G71" s="70">
        <v>0.5</v>
      </c>
      <c r="H71" s="74"/>
    </row>
    <row r="72" spans="1:8" ht="18" customHeight="1">
      <c r="A72" s="70">
        <v>0.75</v>
      </c>
      <c r="B72" s="70">
        <v>0.83333333333333337</v>
      </c>
      <c r="C72" s="514" t="s">
        <v>930</v>
      </c>
      <c r="D72" s="514"/>
      <c r="E72" s="514"/>
      <c r="F72" s="70">
        <v>0.5</v>
      </c>
      <c r="G72" s="70">
        <v>0.58333333333333337</v>
      </c>
      <c r="H72" s="74"/>
    </row>
    <row r="73" spans="1:8">
      <c r="A73" s="525" t="str">
        <f>J7</f>
        <v>Day 6</v>
      </c>
      <c r="B73" s="525"/>
      <c r="C73" s="528">
        <f>I7</f>
        <v>44301</v>
      </c>
      <c r="D73" s="528"/>
      <c r="E73" s="528"/>
      <c r="F73" s="525" t="str">
        <f>A73</f>
        <v>Day 6</v>
      </c>
      <c r="G73" s="525"/>
      <c r="H73" s="74"/>
    </row>
    <row r="74" spans="1:8" ht="28.8">
      <c r="A74" s="525" t="s">
        <v>921</v>
      </c>
      <c r="B74" s="525"/>
      <c r="C74" s="68" t="str">
        <f>C55</f>
        <v>Mini team 1:ATM-5 / ATM-6 / ATM-7</v>
      </c>
      <c r="D74" s="68" t="str">
        <f>D55</f>
        <v>Full team: ATM-1 / ATM-2 / ATM-3 / ATM-4 /ATM-5 / ATM-6 / ATM-7 / ATM-8</v>
      </c>
      <c r="E74" s="68" t="str">
        <f>E55</f>
        <v>LA team: van Zyl, Pieter and ATMs if applicable</v>
      </c>
      <c r="F74" s="525" t="s">
        <v>922</v>
      </c>
      <c r="G74" s="525"/>
      <c r="H74" s="74"/>
    </row>
    <row r="75" spans="1:8" ht="18" customHeight="1">
      <c r="A75" s="70">
        <v>0.41666666666666669</v>
      </c>
      <c r="B75" s="70">
        <v>0.4375</v>
      </c>
      <c r="C75" s="514" t="s">
        <v>929</v>
      </c>
      <c r="D75" s="514"/>
      <c r="E75" s="514"/>
      <c r="F75" s="70">
        <v>0.16666666666666666</v>
      </c>
      <c r="G75" s="70">
        <v>0.1875</v>
      </c>
      <c r="H75" s="74"/>
    </row>
    <row r="76" spans="1:8" ht="18" customHeight="1">
      <c r="A76" s="70">
        <v>0.4375</v>
      </c>
      <c r="B76" s="70">
        <v>0.45833333333333331</v>
      </c>
      <c r="C76" s="526" t="s">
        <v>983</v>
      </c>
      <c r="D76" s="526"/>
      <c r="E76" s="526"/>
      <c r="F76" s="70">
        <v>0.1875</v>
      </c>
      <c r="G76" s="70">
        <v>0.20833333333333334</v>
      </c>
      <c r="H76" s="74"/>
    </row>
    <row r="77" spans="1:8" ht="18" customHeight="1">
      <c r="A77" s="70">
        <v>0.45833333333333331</v>
      </c>
      <c r="B77" s="70">
        <v>0.47916666666666669</v>
      </c>
      <c r="C77" s="526"/>
      <c r="D77" s="526"/>
      <c r="E77" s="526"/>
      <c r="F77" s="70">
        <v>0.20833333333333334</v>
      </c>
      <c r="G77" s="70">
        <v>0.22916666666666666</v>
      </c>
      <c r="H77" s="74"/>
    </row>
    <row r="78" spans="1:8" ht="18" customHeight="1">
      <c r="A78" s="70">
        <v>0.47916666666666669</v>
      </c>
      <c r="B78" s="70">
        <v>0.5</v>
      </c>
      <c r="C78" s="514" t="s">
        <v>929</v>
      </c>
      <c r="D78" s="514"/>
      <c r="E78" s="514"/>
      <c r="F78" s="70">
        <v>0.22916666666666666</v>
      </c>
      <c r="G78" s="70">
        <v>0.25</v>
      </c>
      <c r="H78" s="74"/>
    </row>
    <row r="79" spans="1:8" ht="18" customHeight="1">
      <c r="A79" s="70">
        <v>0.5</v>
      </c>
      <c r="B79" s="70">
        <v>0.52083333333333337</v>
      </c>
      <c r="C79" s="514" t="s">
        <v>928</v>
      </c>
      <c r="D79" s="514"/>
      <c r="E79" s="514"/>
      <c r="F79" s="70">
        <v>0.25</v>
      </c>
      <c r="G79" s="70">
        <v>0.27083333333333331</v>
      </c>
      <c r="H79" s="74"/>
    </row>
    <row r="80" spans="1:8" ht="18" customHeight="1">
      <c r="A80" s="70">
        <v>0.52083333333333337</v>
      </c>
      <c r="B80" s="70">
        <v>0.54166666666666663</v>
      </c>
      <c r="C80" s="514"/>
      <c r="D80" s="514"/>
      <c r="E80" s="514"/>
      <c r="F80" s="70">
        <v>0.27083333333333331</v>
      </c>
      <c r="G80" s="70">
        <v>0.29166666666666669</v>
      </c>
      <c r="H80" s="74"/>
    </row>
    <row r="81" spans="1:8" ht="18" customHeight="1">
      <c r="A81" s="70">
        <v>0.54166666666666663</v>
      </c>
      <c r="B81" s="70">
        <v>0.5625</v>
      </c>
      <c r="C81" s="527" t="s">
        <v>932</v>
      </c>
      <c r="D81" s="527"/>
      <c r="E81" s="527"/>
      <c r="F81" s="70">
        <v>0.29166666666666669</v>
      </c>
      <c r="G81" s="70">
        <v>0.3125</v>
      </c>
      <c r="H81" s="74"/>
    </row>
    <row r="82" spans="1:8" ht="18" customHeight="1">
      <c r="A82" s="70">
        <v>0.5625</v>
      </c>
      <c r="B82" s="70">
        <v>0.58333333333333337</v>
      </c>
      <c r="C82" s="527"/>
      <c r="D82" s="527"/>
      <c r="E82" s="527"/>
      <c r="F82" s="70">
        <v>0.3125</v>
      </c>
      <c r="G82" s="70">
        <v>0.33333333333333331</v>
      </c>
      <c r="H82" s="74"/>
    </row>
    <row r="83" spans="1:8" ht="18" customHeight="1">
      <c r="A83" s="70">
        <v>0.58333333333333337</v>
      </c>
      <c r="B83" s="70">
        <v>0.60416666666666663</v>
      </c>
      <c r="C83" s="527"/>
      <c r="D83" s="527"/>
      <c r="E83" s="527"/>
      <c r="F83" s="70">
        <v>0.33333333333333331</v>
      </c>
      <c r="G83" s="70">
        <v>0.35416666666666669</v>
      </c>
      <c r="H83" s="74"/>
    </row>
    <row r="84" spans="1:8" ht="18" customHeight="1">
      <c r="A84" s="70">
        <v>0.60416666666666663</v>
      </c>
      <c r="B84" s="70">
        <v>0.625</v>
      </c>
      <c r="C84" s="527"/>
      <c r="D84" s="527"/>
      <c r="E84" s="527"/>
      <c r="F84" s="70">
        <v>0.35416666666666669</v>
      </c>
      <c r="G84" s="70">
        <v>0.375</v>
      </c>
      <c r="H84" s="74"/>
    </row>
    <row r="85" spans="1:8" ht="18" customHeight="1">
      <c r="A85" s="70">
        <v>0.625</v>
      </c>
      <c r="B85" s="70">
        <v>0.64583333333333337</v>
      </c>
      <c r="C85" s="526" t="s">
        <v>984</v>
      </c>
      <c r="D85" s="526"/>
      <c r="E85" s="526"/>
      <c r="F85" s="70">
        <v>0.375</v>
      </c>
      <c r="G85" s="70">
        <v>0.39583333333333331</v>
      </c>
      <c r="H85" s="74"/>
    </row>
    <row r="86" spans="1:8" ht="18" customHeight="1">
      <c r="A86" s="70">
        <v>0.64583333333333337</v>
      </c>
      <c r="B86" s="70">
        <v>0.66666666666666663</v>
      </c>
      <c r="C86" s="526"/>
      <c r="D86" s="526"/>
      <c r="E86" s="526"/>
      <c r="F86" s="70">
        <v>0.39583333333333331</v>
      </c>
      <c r="G86" s="70">
        <v>0.41666666666666669</v>
      </c>
      <c r="H86" s="74"/>
    </row>
    <row r="87" spans="1:8" ht="18" customHeight="1">
      <c r="A87" s="70">
        <v>0.66666666666666663</v>
      </c>
      <c r="B87" s="70">
        <v>0.6875</v>
      </c>
      <c r="C87" s="514" t="s">
        <v>929</v>
      </c>
      <c r="D87" s="514"/>
      <c r="E87" s="514"/>
      <c r="F87" s="70">
        <v>0.41666666666666669</v>
      </c>
      <c r="G87" s="70">
        <v>0.4375</v>
      </c>
      <c r="H87" s="74"/>
    </row>
    <row r="88" spans="1:8" ht="18" customHeight="1">
      <c r="A88" s="70">
        <v>0.6875</v>
      </c>
      <c r="B88" s="70">
        <v>0.70833333333333337</v>
      </c>
      <c r="C88" s="514"/>
      <c r="D88" s="514"/>
      <c r="E88" s="514"/>
      <c r="F88" s="70">
        <v>0.4375</v>
      </c>
      <c r="G88" s="70">
        <v>0.45833333333333331</v>
      </c>
      <c r="H88" s="74"/>
    </row>
    <row r="89" spans="1:8" ht="18" customHeight="1">
      <c r="A89" s="70">
        <v>0.70833333333333337</v>
      </c>
      <c r="B89" s="70">
        <v>0.72916666666666663</v>
      </c>
      <c r="C89" s="514"/>
      <c r="D89" s="514"/>
      <c r="E89" s="514"/>
      <c r="F89" s="70">
        <v>0.45833333333333331</v>
      </c>
      <c r="G89" s="70">
        <v>0.47916666666666669</v>
      </c>
      <c r="H89" s="74"/>
    </row>
    <row r="90" spans="1:8" ht="18" customHeight="1">
      <c r="A90" s="70">
        <v>0.72916666666666663</v>
      </c>
      <c r="B90" s="70">
        <v>0.75</v>
      </c>
      <c r="C90" s="514"/>
      <c r="D90" s="514"/>
      <c r="E90" s="514"/>
      <c r="F90" s="70">
        <v>0.47916666666666669</v>
      </c>
      <c r="G90" s="70">
        <v>0.5</v>
      </c>
      <c r="H90" s="74"/>
    </row>
    <row r="91" spans="1:8" ht="18" customHeight="1">
      <c r="A91" s="70">
        <v>0.75</v>
      </c>
      <c r="B91" s="70">
        <v>0.83333333333333337</v>
      </c>
      <c r="C91" s="514" t="s">
        <v>930</v>
      </c>
      <c r="D91" s="514"/>
      <c r="E91" s="514"/>
      <c r="F91" s="70">
        <v>0.5</v>
      </c>
      <c r="G91" s="70">
        <v>0.58333333333333337</v>
      </c>
      <c r="H91" s="74"/>
    </row>
    <row r="92" spans="1:8">
      <c r="A92" s="525" t="str">
        <f>J8</f>
        <v>Day 7</v>
      </c>
      <c r="B92" s="525"/>
      <c r="C92" s="528">
        <f>I8</f>
        <v>44302</v>
      </c>
      <c r="D92" s="528"/>
      <c r="E92" s="528"/>
      <c r="F92" s="525" t="str">
        <f>A92</f>
        <v>Day 7</v>
      </c>
      <c r="G92" s="525"/>
      <c r="H92" s="74"/>
    </row>
    <row r="93" spans="1:8" ht="28.8">
      <c r="A93" s="525" t="s">
        <v>921</v>
      </c>
      <c r="B93" s="525"/>
      <c r="C93" s="68" t="str">
        <f>C74</f>
        <v>Mini team 1:ATM-5 / ATM-6 / ATM-7</v>
      </c>
      <c r="D93" s="68" t="str">
        <f>D74</f>
        <v>Full team: ATM-1 / ATM-2 / ATM-3 / ATM-4 /ATM-5 / ATM-6 / ATM-7 / ATM-8</v>
      </c>
      <c r="E93" s="68" t="str">
        <f>E74</f>
        <v>LA team: van Zyl, Pieter and ATMs if applicable</v>
      </c>
      <c r="F93" s="525" t="s">
        <v>922</v>
      </c>
      <c r="G93" s="525"/>
      <c r="H93" s="74"/>
    </row>
    <row r="94" spans="1:8" ht="18" customHeight="1">
      <c r="A94" s="70">
        <v>0.41666666666666669</v>
      </c>
      <c r="B94" s="70">
        <v>0.4375</v>
      </c>
      <c r="C94" s="514" t="s">
        <v>929</v>
      </c>
      <c r="D94" s="514"/>
      <c r="E94" s="514"/>
      <c r="F94" s="70">
        <v>0.16666666666666666</v>
      </c>
      <c r="G94" s="70">
        <v>0.1875</v>
      </c>
      <c r="H94" s="74"/>
    </row>
    <row r="95" spans="1:8" ht="18" customHeight="1">
      <c r="A95" s="70">
        <v>0.4375</v>
      </c>
      <c r="B95" s="70">
        <v>0.45833333333333331</v>
      </c>
      <c r="C95" s="508" t="s">
        <v>985</v>
      </c>
      <c r="D95" s="509"/>
      <c r="E95" s="510"/>
      <c r="F95" s="70">
        <v>0.1875</v>
      </c>
      <c r="G95" s="70">
        <v>0.20833333333333334</v>
      </c>
      <c r="H95" s="74"/>
    </row>
    <row r="96" spans="1:8" ht="18" customHeight="1">
      <c r="A96" s="70">
        <v>0.45833333333333331</v>
      </c>
      <c r="B96" s="70">
        <v>0.47916666666666669</v>
      </c>
      <c r="C96" s="511"/>
      <c r="D96" s="512"/>
      <c r="E96" s="513"/>
      <c r="F96" s="70">
        <v>0.20833333333333334</v>
      </c>
      <c r="G96" s="70">
        <v>0.22916666666666666</v>
      </c>
      <c r="H96" s="74"/>
    </row>
    <row r="97" spans="1:8" ht="18" customHeight="1">
      <c r="A97" s="70">
        <v>0.47916666666666669</v>
      </c>
      <c r="B97" s="70">
        <v>0.5</v>
      </c>
      <c r="C97" s="508" t="s">
        <v>986</v>
      </c>
      <c r="D97" s="509"/>
      <c r="E97" s="510"/>
      <c r="F97" s="70">
        <v>0.22916666666666666</v>
      </c>
      <c r="G97" s="70">
        <v>0.25</v>
      </c>
      <c r="H97" s="74"/>
    </row>
    <row r="98" spans="1:8" ht="18" customHeight="1">
      <c r="A98" s="70">
        <v>0.5</v>
      </c>
      <c r="B98" s="70">
        <v>0.52083333333333337</v>
      </c>
      <c r="C98" s="511"/>
      <c r="D98" s="512"/>
      <c r="E98" s="513"/>
      <c r="F98" s="70">
        <v>0.25</v>
      </c>
      <c r="G98" s="70">
        <v>0.27083333333333331</v>
      </c>
      <c r="H98" s="74"/>
    </row>
    <row r="99" spans="1:8" ht="18" customHeight="1">
      <c r="A99" s="70">
        <v>0.52083333333333337</v>
      </c>
      <c r="B99" s="70">
        <v>0.54166666666666663</v>
      </c>
      <c r="C99" s="515" t="s">
        <v>928</v>
      </c>
      <c r="D99" s="516"/>
      <c r="E99" s="517"/>
      <c r="F99" s="70">
        <v>0.27083333333333331</v>
      </c>
      <c r="G99" s="70">
        <v>0.29166666666666669</v>
      </c>
      <c r="H99" s="74"/>
    </row>
    <row r="100" spans="1:8" ht="18" customHeight="1">
      <c r="A100" s="70">
        <v>0.54166666666666663</v>
      </c>
      <c r="B100" s="70">
        <v>0.5625</v>
      </c>
      <c r="C100" s="521"/>
      <c r="D100" s="522"/>
      <c r="E100" s="523"/>
      <c r="F100" s="70">
        <v>0.29166666666666669</v>
      </c>
      <c r="G100" s="70">
        <v>0.3125</v>
      </c>
      <c r="H100" s="74"/>
    </row>
    <row r="101" spans="1:8" ht="18" customHeight="1">
      <c r="A101" s="70">
        <v>0.5625</v>
      </c>
      <c r="B101" s="70">
        <v>0.58333333333333337</v>
      </c>
      <c r="C101" s="515" t="s">
        <v>1647</v>
      </c>
      <c r="D101" s="516"/>
      <c r="E101" s="517"/>
      <c r="F101" s="70">
        <v>0.3125</v>
      </c>
      <c r="G101" s="70">
        <v>0.33333333333333331</v>
      </c>
      <c r="H101" s="74"/>
    </row>
    <row r="102" spans="1:8" ht="18" customHeight="1">
      <c r="A102" s="70">
        <v>0.58333333333333337</v>
      </c>
      <c r="B102" s="70">
        <v>0.60416666666666663</v>
      </c>
      <c r="C102" s="518"/>
      <c r="D102" s="519"/>
      <c r="E102" s="520"/>
      <c r="F102" s="70">
        <v>0.33333333333333331</v>
      </c>
      <c r="G102" s="70">
        <v>0.35416666666666669</v>
      </c>
      <c r="H102" s="74"/>
    </row>
    <row r="103" spans="1:8" ht="18" customHeight="1">
      <c r="A103" s="70">
        <v>0.60416666666666663</v>
      </c>
      <c r="B103" s="70">
        <v>0.625</v>
      </c>
      <c r="C103" s="521"/>
      <c r="D103" s="522"/>
      <c r="E103" s="523"/>
      <c r="F103" s="70">
        <v>0.35416666666666669</v>
      </c>
      <c r="G103" s="70">
        <v>0.375</v>
      </c>
      <c r="H103" s="74"/>
    </row>
    <row r="104" spans="1:8" ht="18" customHeight="1">
      <c r="A104" s="70">
        <v>0.625</v>
      </c>
      <c r="B104" s="70">
        <v>0.64583333333333337</v>
      </c>
      <c r="C104" s="524" t="s">
        <v>1646</v>
      </c>
      <c r="D104" s="524"/>
      <c r="E104" s="524"/>
      <c r="F104" s="70">
        <v>0.375</v>
      </c>
      <c r="G104" s="70">
        <v>0.39583333333333331</v>
      </c>
      <c r="H104" s="74"/>
    </row>
    <row r="105" spans="1:8" ht="18" customHeight="1">
      <c r="A105" s="70">
        <v>0.64583333333333337</v>
      </c>
      <c r="B105" s="70">
        <v>0.66666666666666663</v>
      </c>
      <c r="C105" s="524"/>
      <c r="D105" s="524"/>
      <c r="E105" s="524"/>
      <c r="F105" s="70">
        <v>0.39583333333333331</v>
      </c>
      <c r="G105" s="70">
        <v>0.41666666666666669</v>
      </c>
      <c r="H105" s="74"/>
    </row>
    <row r="106" spans="1:8" ht="18" customHeight="1">
      <c r="A106" s="70">
        <v>0.66666666666666663</v>
      </c>
      <c r="B106" s="70">
        <v>0.6875</v>
      </c>
      <c r="C106" s="514" t="s">
        <v>933</v>
      </c>
      <c r="D106" s="514"/>
      <c r="E106" s="514"/>
      <c r="F106" s="70">
        <v>0.41666666666666669</v>
      </c>
      <c r="G106" s="70">
        <v>0.4375</v>
      </c>
      <c r="H106" s="74"/>
    </row>
    <row r="107" spans="1:8" ht="18" customHeight="1">
      <c r="A107" s="70">
        <v>0.6875</v>
      </c>
      <c r="B107" s="70">
        <v>0.70833333333333337</v>
      </c>
      <c r="C107" s="514"/>
      <c r="D107" s="514"/>
      <c r="E107" s="514"/>
      <c r="F107" s="70">
        <v>0.4375</v>
      </c>
      <c r="G107" s="70">
        <v>0.45833333333333331</v>
      </c>
      <c r="H107" s="74"/>
    </row>
    <row r="108" spans="1:8" ht="18" customHeight="1">
      <c r="A108" s="70">
        <v>0.70833333333333337</v>
      </c>
      <c r="B108" s="70">
        <v>0.72916666666666663</v>
      </c>
      <c r="C108" s="514" t="s">
        <v>934</v>
      </c>
      <c r="D108" s="514"/>
      <c r="E108" s="514"/>
      <c r="F108" s="70">
        <v>0.45833333333333331</v>
      </c>
      <c r="G108" s="70">
        <v>0.47916666666666669</v>
      </c>
      <c r="H108" s="74"/>
    </row>
    <row r="109" spans="1:8" ht="18" customHeight="1">
      <c r="A109" s="70">
        <v>0.72916666666666663</v>
      </c>
      <c r="B109" s="70">
        <v>0.75</v>
      </c>
      <c r="C109" s="514"/>
      <c r="D109" s="514"/>
      <c r="E109" s="514"/>
      <c r="F109" s="70">
        <v>0.47916666666666669</v>
      </c>
      <c r="G109" s="70">
        <v>0.5</v>
      </c>
      <c r="H109" s="74"/>
    </row>
    <row r="110" spans="1:8" ht="18" customHeight="1">
      <c r="A110" s="70">
        <v>0.75</v>
      </c>
      <c r="B110" s="70">
        <v>0.83333333333333337</v>
      </c>
      <c r="C110" s="514"/>
      <c r="D110" s="514"/>
      <c r="E110" s="514"/>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5" t="s">
        <v>1183</v>
      </c>
      <c r="B1" s="535"/>
      <c r="C1" s="535"/>
      <c r="D1" s="535"/>
      <c r="E1" s="535"/>
      <c r="F1" s="535"/>
      <c r="G1" s="535"/>
      <c r="H1" s="65"/>
      <c r="I1" s="139" t="s">
        <v>917</v>
      </c>
      <c r="J1" s="140" t="s">
        <v>918</v>
      </c>
      <c r="K1" s="134" t="s">
        <v>919</v>
      </c>
      <c r="L1" s="134" t="s">
        <v>920</v>
      </c>
      <c r="M1" s="135"/>
      <c r="N1" s="67"/>
      <c r="O1" s="67"/>
      <c r="P1" s="67"/>
    </row>
    <row r="2" spans="1:16" ht="14.7" customHeight="1">
      <c r="A2" s="536" t="str">
        <f>CONCATENATE(TEXT(Planning!B26,"[$-x-sysdate]dddd, mmmm dd, yyyy")," (Technology test)")</f>
        <v>Thursday, 08 April 2021 (Technology test)</v>
      </c>
      <c r="B2" s="536"/>
      <c r="C2" s="536"/>
      <c r="D2" s="536"/>
      <c r="E2" s="536"/>
      <c r="F2" s="536"/>
      <c r="G2" s="536"/>
      <c r="H2" s="65"/>
      <c r="I2" s="134"/>
      <c r="J2" s="134"/>
      <c r="K2" s="134"/>
      <c r="L2" s="135"/>
      <c r="M2" s="135"/>
      <c r="N2" s="67"/>
      <c r="O2" s="67"/>
      <c r="P2" s="67"/>
    </row>
    <row r="3" spans="1:16">
      <c r="A3" s="525" t="str">
        <f>J3</f>
        <v>Day 1-2</v>
      </c>
      <c r="B3" s="525"/>
      <c r="C3" s="528" t="str">
        <f>CONCATENATE(TEXT(I3,"[$-x-sysdate]dddd, mmmm dd, yyyy")," to ",TEXT(K3,"[$-x-sysdate]dddd, mmmm dd, yyyy"))</f>
        <v>Saturday, 10 April 2021 to Sunday, 11 April 2021</v>
      </c>
      <c r="D3" s="528"/>
      <c r="E3" s="528"/>
      <c r="F3" s="525" t="str">
        <f>A3</f>
        <v>Day 1-2</v>
      </c>
      <c r="G3" s="525"/>
      <c r="H3" s="65"/>
      <c r="I3" s="141">
        <f>Planning!B27</f>
        <v>44296</v>
      </c>
      <c r="J3" s="142" t="str">
        <f>_xlfn.CONCAT("Day 1-",L3)</f>
        <v>Day 1-2</v>
      </c>
      <c r="K3" s="143">
        <f>Planning!B27+Planning!B29-1</f>
        <v>44297</v>
      </c>
      <c r="L3" s="134">
        <f>K3-I3+1</f>
        <v>2</v>
      </c>
      <c r="M3" s="135"/>
      <c r="N3" s="67"/>
      <c r="O3" s="67"/>
      <c r="P3" s="67"/>
    </row>
    <row r="4" spans="1:16" ht="49.5" customHeight="1">
      <c r="A4" s="525" t="s">
        <v>921</v>
      </c>
      <c r="B4" s="525"/>
      <c r="C4" s="230" t="str">
        <f>'Schedule4-1P'!C4</f>
        <v>Mini team 1:ATM-5 / ATM-6 / ATM-7</v>
      </c>
      <c r="D4" s="230" t="str">
        <f>'Schedule4-1P'!D4</f>
        <v>Full team: ATM-1 / ATM-2 / ATM-3 / ATM-4 /ATM-5 / ATM-6 / ATM-7 / ATM-8</v>
      </c>
      <c r="E4" s="230" t="str">
        <f>'Schedule4-1P'!E4</f>
        <v>LA team: van Zyl, Pieter and ATMs if applicable</v>
      </c>
      <c r="F4" s="525" t="s">
        <v>922</v>
      </c>
      <c r="G4" s="525"/>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4" t="s">
        <v>923</v>
      </c>
      <c r="D5" s="514" t="s">
        <v>923</v>
      </c>
      <c r="E5" s="514"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4"/>
      <c r="D6" s="514"/>
      <c r="E6" s="514"/>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4"/>
      <c r="D7" s="514"/>
      <c r="E7" s="514"/>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4"/>
      <c r="D8" s="514"/>
      <c r="E8" s="514"/>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4"/>
      <c r="D9" s="514"/>
      <c r="E9" s="514"/>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4"/>
      <c r="D10" s="514"/>
      <c r="E10" s="514"/>
      <c r="F10" s="70">
        <v>0.375</v>
      </c>
      <c r="G10" s="70">
        <v>0.41666666666666669</v>
      </c>
      <c r="H10" s="65"/>
      <c r="I10" s="143"/>
      <c r="J10" s="135"/>
      <c r="K10" s="135"/>
      <c r="L10" s="135"/>
      <c r="M10" s="135"/>
      <c r="N10" s="67"/>
      <c r="O10" s="67"/>
      <c r="P10" s="67"/>
    </row>
    <row r="11" spans="1:16" ht="18" customHeight="1">
      <c r="A11" s="70">
        <v>0.66666666666666696</v>
      </c>
      <c r="B11" s="70">
        <v>0.70833333333333337</v>
      </c>
      <c r="C11" s="514"/>
      <c r="D11" s="514"/>
      <c r="E11" s="514"/>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4"/>
      <c r="D12" s="514"/>
      <c r="E12" s="514"/>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4"/>
      <c r="D13" s="514"/>
      <c r="E13" s="514"/>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31" t="str">
        <f>CONCATENATE("Schedule above includes ",Planning!B28," non-working day(s).")</f>
        <v>Schedule above includes 0 non-working day(s).</v>
      </c>
      <c r="B15" s="531"/>
      <c r="C15" s="531"/>
      <c r="D15" s="531"/>
      <c r="E15" s="531"/>
      <c r="F15" s="531"/>
      <c r="G15" s="531"/>
      <c r="H15" s="65"/>
      <c r="K15" s="138"/>
      <c r="L15" s="134" t="str">
        <f>'P1PA-SS'!B96</f>
        <v>ATM-5</v>
      </c>
      <c r="M15" s="135"/>
      <c r="N15" s="67"/>
      <c r="O15" s="67"/>
      <c r="P15" s="67"/>
    </row>
    <row r="16" spans="1:16">
      <c r="A16" s="529" t="str">
        <f>J4</f>
        <v>Day 3</v>
      </c>
      <c r="B16" s="529"/>
      <c r="C16" s="530">
        <f>I4</f>
        <v>44298</v>
      </c>
      <c r="D16" s="530"/>
      <c r="E16" s="530"/>
      <c r="F16" s="529" t="str">
        <f>A16</f>
        <v>Day 3</v>
      </c>
      <c r="G16" s="529"/>
      <c r="H16" s="65"/>
      <c r="K16" s="138"/>
      <c r="L16" s="134" t="str">
        <f>'P1PA-SS'!B97</f>
        <v>ATM-6</v>
      </c>
      <c r="M16" s="135"/>
      <c r="N16" s="67"/>
      <c r="O16" s="67"/>
      <c r="P16" s="67"/>
    </row>
    <row r="17" spans="1:18" ht="28.8">
      <c r="A17" s="529" t="s">
        <v>921</v>
      </c>
      <c r="B17" s="529"/>
      <c r="C17" s="232" t="str">
        <f>C4</f>
        <v>Mini team 1:ATM-5 / ATM-6 / ATM-7</v>
      </c>
      <c r="D17" s="232" t="str">
        <f>D4</f>
        <v>Full team: ATM-1 / ATM-2 / ATM-3 / ATM-4 /ATM-5 / ATM-6 / ATM-7 / ATM-8</v>
      </c>
      <c r="E17" s="232" t="str">
        <f>E4</f>
        <v>LA team: van Zyl, Pieter and ATMs if applicable</v>
      </c>
      <c r="F17" s="529" t="s">
        <v>922</v>
      </c>
      <c r="G17" s="529"/>
      <c r="H17" s="65"/>
      <c r="K17" s="138"/>
      <c r="L17" s="134" t="str">
        <f>'P1PA-SS'!B98</f>
        <v>ATM-7</v>
      </c>
      <c r="M17" s="134"/>
      <c r="N17" s="67"/>
      <c r="O17" s="66"/>
      <c r="P17" s="67"/>
    </row>
    <row r="18" spans="1:18" ht="18.600000000000001" customHeight="1">
      <c r="A18" s="70">
        <v>0.41666666666666669</v>
      </c>
      <c r="B18" s="70">
        <v>0.4375</v>
      </c>
      <c r="C18" s="231" t="s">
        <v>926</v>
      </c>
      <c r="D18" s="231" t="s">
        <v>926</v>
      </c>
      <c r="E18" s="231"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6" t="s">
        <v>976</v>
      </c>
      <c r="D19" s="526"/>
      <c r="E19" s="526"/>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4" t="s">
        <v>977</v>
      </c>
      <c r="D20" s="524"/>
      <c r="E20" s="524"/>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4"/>
      <c r="D21" s="524"/>
      <c r="E21" s="524"/>
      <c r="F21" s="70">
        <v>0.22916666666666666</v>
      </c>
      <c r="G21" s="70">
        <v>0.25</v>
      </c>
      <c r="H21" s="65"/>
      <c r="I21" s="135"/>
      <c r="J21" s="135"/>
      <c r="K21" s="135"/>
      <c r="L21" s="135"/>
      <c r="M21" s="135"/>
      <c r="N21" s="67"/>
      <c r="O21" s="67"/>
      <c r="P21" s="67"/>
    </row>
    <row r="22" spans="1:18" ht="18.600000000000001" customHeight="1">
      <c r="A22" s="70">
        <v>0.5</v>
      </c>
      <c r="B22" s="70">
        <v>0.52083333333333337</v>
      </c>
      <c r="C22" s="514" t="s">
        <v>928</v>
      </c>
      <c r="D22" s="514"/>
      <c r="E22" s="514"/>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4"/>
      <c r="D23" s="514"/>
      <c r="E23" s="514"/>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6" t="s">
        <v>978</v>
      </c>
      <c r="D24" s="526"/>
      <c r="E24" s="526"/>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6"/>
      <c r="D25" s="526"/>
      <c r="E25" s="526"/>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6"/>
      <c r="D26" s="526"/>
      <c r="E26" s="526"/>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6"/>
      <c r="D27" s="526"/>
      <c r="E27" s="526"/>
      <c r="F27" s="70">
        <v>0.35416666666666669</v>
      </c>
      <c r="G27" s="70">
        <v>0.375</v>
      </c>
      <c r="H27" s="65"/>
      <c r="I27" s="135"/>
      <c r="J27" s="135"/>
      <c r="K27" s="135"/>
      <c r="L27" s="135"/>
      <c r="M27" s="135"/>
      <c r="N27" s="67"/>
      <c r="O27" s="67"/>
      <c r="P27" s="67"/>
    </row>
    <row r="28" spans="1:18" ht="18.600000000000001" customHeight="1">
      <c r="A28" s="70">
        <v>0.625</v>
      </c>
      <c r="B28" s="70">
        <v>0.64583333333333337</v>
      </c>
      <c r="C28" s="514" t="s">
        <v>929</v>
      </c>
      <c r="D28" s="514"/>
      <c r="E28" s="514"/>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6" t="s">
        <v>978</v>
      </c>
      <c r="D29" s="526"/>
      <c r="E29" s="526"/>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6"/>
      <c r="D30" s="526"/>
      <c r="E30" s="526"/>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6"/>
      <c r="D31" s="526"/>
      <c r="E31" s="526"/>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6"/>
      <c r="D32" s="526"/>
      <c r="E32" s="526"/>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4" t="s">
        <v>1113</v>
      </c>
      <c r="D33" s="514"/>
      <c r="E33" s="514"/>
      <c r="F33" s="70">
        <v>0.47916666666666669</v>
      </c>
      <c r="G33" s="70">
        <v>0.5</v>
      </c>
      <c r="H33" s="65"/>
      <c r="I33" s="135"/>
      <c r="J33" s="135"/>
      <c r="K33" s="135"/>
      <c r="L33" s="135"/>
      <c r="M33" s="135"/>
      <c r="N33" s="67"/>
      <c r="O33" s="67"/>
      <c r="P33" s="67"/>
    </row>
    <row r="34" spans="1:16" ht="18.600000000000001" customHeight="1">
      <c r="A34" s="70">
        <v>0.75</v>
      </c>
      <c r="B34" s="70">
        <v>0.83333333333333337</v>
      </c>
      <c r="C34" s="514" t="s">
        <v>930</v>
      </c>
      <c r="D34" s="514"/>
      <c r="E34" s="514"/>
      <c r="F34" s="70">
        <v>0.5</v>
      </c>
      <c r="G34" s="70">
        <v>0.58333333333333337</v>
      </c>
      <c r="H34" s="65"/>
      <c r="I34" s="135"/>
      <c r="J34" s="135"/>
      <c r="K34" s="135"/>
      <c r="L34" s="135"/>
      <c r="M34" s="135"/>
      <c r="N34" s="67"/>
      <c r="O34" s="67"/>
      <c r="P34" s="67"/>
    </row>
    <row r="35" spans="1:16">
      <c r="A35" s="529" t="str">
        <f>J5</f>
        <v>Day 4</v>
      </c>
      <c r="B35" s="529"/>
      <c r="C35" s="530">
        <f>I5</f>
        <v>44299</v>
      </c>
      <c r="D35" s="530"/>
      <c r="E35" s="530"/>
      <c r="F35" s="529" t="str">
        <f>A35</f>
        <v>Day 4</v>
      </c>
      <c r="G35" s="529"/>
      <c r="H35" s="74"/>
    </row>
    <row r="36" spans="1:16" ht="28.8">
      <c r="A36" s="529" t="s">
        <v>921</v>
      </c>
      <c r="B36" s="529"/>
      <c r="C36" s="232" t="str">
        <f>C17</f>
        <v>Mini team 1:ATM-5 / ATM-6 / ATM-7</v>
      </c>
      <c r="D36" s="232" t="str">
        <f>D17</f>
        <v>Full team: ATM-1 / ATM-2 / ATM-3 / ATM-4 /ATM-5 / ATM-6 / ATM-7 / ATM-8</v>
      </c>
      <c r="E36" s="232" t="str">
        <f>E17</f>
        <v>LA team: van Zyl, Pieter and ATMs if applicable</v>
      </c>
      <c r="F36" s="529" t="s">
        <v>922</v>
      </c>
      <c r="G36" s="529"/>
      <c r="H36" s="74"/>
    </row>
    <row r="37" spans="1:16" ht="18" customHeight="1">
      <c r="A37" s="70">
        <v>0.41666666666666669</v>
      </c>
      <c r="B37" s="70">
        <v>0.4375</v>
      </c>
      <c r="C37" s="514" t="s">
        <v>929</v>
      </c>
      <c r="D37" s="514"/>
      <c r="E37" s="231" t="s">
        <v>927</v>
      </c>
      <c r="F37" s="70">
        <v>0.16666666666666666</v>
      </c>
      <c r="G37" s="70">
        <v>0.1875</v>
      </c>
      <c r="H37" s="74"/>
    </row>
    <row r="38" spans="1:16" ht="18" customHeight="1">
      <c r="A38" s="70">
        <v>0.4375</v>
      </c>
      <c r="B38" s="70">
        <v>0.45833333333333331</v>
      </c>
      <c r="C38" s="526" t="s">
        <v>979</v>
      </c>
      <c r="D38" s="526"/>
      <c r="E38" s="526"/>
      <c r="F38" s="70">
        <v>0.1875</v>
      </c>
      <c r="G38" s="70">
        <v>0.20833333333333334</v>
      </c>
      <c r="H38" s="74"/>
    </row>
    <row r="39" spans="1:16" ht="18" customHeight="1">
      <c r="A39" s="70">
        <v>0.45833333333333331</v>
      </c>
      <c r="B39" s="70">
        <v>0.47916666666666669</v>
      </c>
      <c r="C39" s="526"/>
      <c r="D39" s="526"/>
      <c r="E39" s="526"/>
      <c r="F39" s="70">
        <v>0.20833333333333334</v>
      </c>
      <c r="G39" s="70">
        <v>0.22916666666666666</v>
      </c>
      <c r="H39" s="74"/>
    </row>
    <row r="40" spans="1:16" ht="18" customHeight="1">
      <c r="A40" s="70">
        <v>0.47916666666666669</v>
      </c>
      <c r="B40" s="70">
        <v>0.5</v>
      </c>
      <c r="C40" s="526"/>
      <c r="D40" s="526"/>
      <c r="E40" s="526"/>
      <c r="F40" s="70">
        <v>0.22916666666666666</v>
      </c>
      <c r="G40" s="70">
        <v>0.25</v>
      </c>
      <c r="H40" s="74"/>
    </row>
    <row r="41" spans="1:16" ht="18" customHeight="1">
      <c r="A41" s="70">
        <v>0.5</v>
      </c>
      <c r="B41" s="70">
        <v>0.52083333333333337</v>
      </c>
      <c r="C41" s="514" t="s">
        <v>928</v>
      </c>
      <c r="D41" s="514"/>
      <c r="E41" s="514"/>
      <c r="F41" s="70">
        <v>0.25</v>
      </c>
      <c r="G41" s="70">
        <v>0.27083333333333331</v>
      </c>
      <c r="H41" s="74"/>
    </row>
    <row r="42" spans="1:16" ht="18" customHeight="1">
      <c r="A42" s="70">
        <v>0.52083333333333337</v>
      </c>
      <c r="B42" s="70">
        <v>0.54166666666666663</v>
      </c>
      <c r="C42" s="514"/>
      <c r="D42" s="514"/>
      <c r="E42" s="514"/>
      <c r="F42" s="70">
        <v>0.27083333333333331</v>
      </c>
      <c r="G42" s="70">
        <v>0.29166666666666669</v>
      </c>
      <c r="H42" s="74"/>
    </row>
    <row r="43" spans="1:16" ht="18" customHeight="1">
      <c r="A43" s="70">
        <v>0.54166666666666663</v>
      </c>
      <c r="B43" s="70">
        <v>0.5625</v>
      </c>
      <c r="C43" s="526" t="s">
        <v>979</v>
      </c>
      <c r="D43" s="526"/>
      <c r="E43" s="526"/>
      <c r="F43" s="70">
        <v>0.29166666666666669</v>
      </c>
      <c r="G43" s="70">
        <v>0.3125</v>
      </c>
      <c r="H43" s="74"/>
    </row>
    <row r="44" spans="1:16" ht="18" customHeight="1">
      <c r="A44" s="70">
        <v>0.5625</v>
      </c>
      <c r="B44" s="70">
        <v>0.58333333333333337</v>
      </c>
      <c r="C44" s="526"/>
      <c r="D44" s="526"/>
      <c r="E44" s="526"/>
      <c r="F44" s="70">
        <v>0.3125</v>
      </c>
      <c r="G44" s="70">
        <v>0.33333333333333331</v>
      </c>
      <c r="H44" s="74"/>
    </row>
    <row r="45" spans="1:16" ht="18" customHeight="1">
      <c r="A45" s="70">
        <v>0.58333333333333337</v>
      </c>
      <c r="B45" s="70">
        <v>0.60416666666666663</v>
      </c>
      <c r="C45" s="526"/>
      <c r="D45" s="526"/>
      <c r="E45" s="526"/>
      <c r="F45" s="70">
        <v>0.33333333333333331</v>
      </c>
      <c r="G45" s="70">
        <v>0.35416666666666669</v>
      </c>
      <c r="H45" s="74"/>
    </row>
    <row r="46" spans="1:16" ht="18" customHeight="1">
      <c r="A46" s="70">
        <v>0.60416666666666663</v>
      </c>
      <c r="B46" s="70">
        <v>0.625</v>
      </c>
      <c r="C46" s="526"/>
      <c r="D46" s="526"/>
      <c r="E46" s="526"/>
      <c r="F46" s="70">
        <v>0.35416666666666669</v>
      </c>
      <c r="G46" s="70">
        <v>0.375</v>
      </c>
      <c r="H46" s="74"/>
    </row>
    <row r="47" spans="1:16" ht="18" customHeight="1">
      <c r="A47" s="70">
        <v>0.625</v>
      </c>
      <c r="B47" s="70">
        <v>0.64583333333333337</v>
      </c>
      <c r="C47" s="526"/>
      <c r="D47" s="526"/>
      <c r="E47" s="526"/>
      <c r="F47" s="70">
        <v>0.375</v>
      </c>
      <c r="G47" s="70">
        <v>0.39583333333333331</v>
      </c>
      <c r="H47" s="74"/>
    </row>
    <row r="48" spans="1:16" ht="18" customHeight="1">
      <c r="A48" s="70">
        <v>0.64583333333333337</v>
      </c>
      <c r="B48" s="70">
        <v>0.66666666666666663</v>
      </c>
      <c r="C48" s="514" t="s">
        <v>929</v>
      </c>
      <c r="D48" s="514"/>
      <c r="E48" s="514" t="s">
        <v>927</v>
      </c>
      <c r="F48" s="70">
        <v>0.39583333333333331</v>
      </c>
      <c r="G48" s="70">
        <v>0.41666666666666669</v>
      </c>
      <c r="H48" s="74"/>
    </row>
    <row r="49" spans="1:8" ht="18" customHeight="1">
      <c r="A49" s="70">
        <v>0.66666666666666663</v>
      </c>
      <c r="B49" s="70">
        <v>0.6875</v>
      </c>
      <c r="C49" s="514"/>
      <c r="D49" s="514"/>
      <c r="E49" s="514"/>
      <c r="F49" s="70">
        <v>0.41666666666666669</v>
      </c>
      <c r="G49" s="70">
        <v>0.4375</v>
      </c>
      <c r="H49" s="74"/>
    </row>
    <row r="50" spans="1:8" ht="18" customHeight="1">
      <c r="A50" s="70">
        <v>0.6875</v>
      </c>
      <c r="B50" s="70">
        <v>0.70833333333333337</v>
      </c>
      <c r="C50" s="526" t="s">
        <v>980</v>
      </c>
      <c r="D50" s="526"/>
      <c r="E50" s="526"/>
      <c r="F50" s="70">
        <v>0.4375</v>
      </c>
      <c r="G50" s="70">
        <v>0.45833333333333331</v>
      </c>
      <c r="H50" s="74"/>
    </row>
    <row r="51" spans="1:8" ht="18" customHeight="1">
      <c r="A51" s="70">
        <v>0.70833333333333337</v>
      </c>
      <c r="B51" s="70">
        <v>0.72916666666666663</v>
      </c>
      <c r="C51" s="526"/>
      <c r="D51" s="526"/>
      <c r="E51" s="526"/>
      <c r="F51" s="70">
        <v>0.45833333333333331</v>
      </c>
      <c r="G51" s="70">
        <v>0.47916666666666669</v>
      </c>
      <c r="H51" s="74"/>
    </row>
    <row r="52" spans="1:8" ht="18" customHeight="1">
      <c r="A52" s="70">
        <v>0.72916666666666663</v>
      </c>
      <c r="B52" s="70">
        <v>0.75</v>
      </c>
      <c r="C52" s="514" t="s">
        <v>1113</v>
      </c>
      <c r="D52" s="514"/>
      <c r="E52" s="514"/>
      <c r="F52" s="70">
        <v>0.47916666666666669</v>
      </c>
      <c r="G52" s="70">
        <v>0.5</v>
      </c>
      <c r="H52" s="74"/>
    </row>
    <row r="53" spans="1:8" ht="18" customHeight="1">
      <c r="A53" s="70">
        <v>0.75</v>
      </c>
      <c r="B53" s="70">
        <v>0.83333333333333337</v>
      </c>
      <c r="C53" s="514" t="s">
        <v>930</v>
      </c>
      <c r="D53" s="514"/>
      <c r="E53" s="514"/>
      <c r="F53" s="70">
        <v>0.5</v>
      </c>
      <c r="G53" s="70">
        <v>0.58333333333333337</v>
      </c>
      <c r="H53" s="74"/>
    </row>
    <row r="54" spans="1:8">
      <c r="A54" s="525" t="str">
        <f>J6</f>
        <v>Day 5</v>
      </c>
      <c r="B54" s="525"/>
      <c r="C54" s="528">
        <f>I6</f>
        <v>44300</v>
      </c>
      <c r="D54" s="528"/>
      <c r="E54" s="528"/>
      <c r="F54" s="525" t="str">
        <f>A54</f>
        <v>Day 5</v>
      </c>
      <c r="G54" s="525"/>
      <c r="H54" s="74"/>
    </row>
    <row r="55" spans="1:8" ht="28.8">
      <c r="A55" s="525" t="s">
        <v>921</v>
      </c>
      <c r="B55" s="525"/>
      <c r="C55" s="230" t="str">
        <f>C36</f>
        <v>Mini team 1:ATM-5 / ATM-6 / ATM-7</v>
      </c>
      <c r="D55" s="230" t="str">
        <f>D36</f>
        <v>Full team: ATM-1 / ATM-2 / ATM-3 / ATM-4 /ATM-5 / ATM-6 / ATM-7 / ATM-8</v>
      </c>
      <c r="E55" s="230" t="str">
        <f>E36</f>
        <v>LA team: van Zyl, Pieter and ATMs if applicable</v>
      </c>
      <c r="F55" s="525" t="s">
        <v>922</v>
      </c>
      <c r="G55" s="525"/>
      <c r="H55" s="74"/>
    </row>
    <row r="56" spans="1:8" ht="18" customHeight="1">
      <c r="A56" s="70">
        <v>0.41666666666666669</v>
      </c>
      <c r="B56" s="70">
        <v>0.4375</v>
      </c>
      <c r="C56" s="514" t="s">
        <v>931</v>
      </c>
      <c r="D56" s="514"/>
      <c r="E56" s="231" t="s">
        <v>927</v>
      </c>
      <c r="F56" s="70">
        <v>0.16666666666666666</v>
      </c>
      <c r="G56" s="70">
        <v>0.1875</v>
      </c>
      <c r="H56" s="74"/>
    </row>
    <row r="57" spans="1:8" ht="18" customHeight="1">
      <c r="A57" s="70">
        <v>0.4375</v>
      </c>
      <c r="B57" s="70">
        <v>0.45833333333333331</v>
      </c>
      <c r="C57" s="526" t="s">
        <v>981</v>
      </c>
      <c r="D57" s="526"/>
      <c r="E57" s="526"/>
      <c r="F57" s="70">
        <v>0.1875</v>
      </c>
      <c r="G57" s="70">
        <v>0.20833333333333334</v>
      </c>
      <c r="H57" s="74"/>
    </row>
    <row r="58" spans="1:8" ht="18" customHeight="1">
      <c r="A58" s="70">
        <v>0.45833333333333331</v>
      </c>
      <c r="B58" s="70">
        <v>0.47916666666666669</v>
      </c>
      <c r="C58" s="526"/>
      <c r="D58" s="526"/>
      <c r="E58" s="526"/>
      <c r="F58" s="70">
        <v>0.20833333333333334</v>
      </c>
      <c r="G58" s="70">
        <v>0.22916666666666666</v>
      </c>
      <c r="H58" s="74"/>
    </row>
    <row r="59" spans="1:8" ht="18" customHeight="1">
      <c r="A59" s="70">
        <v>0.47916666666666669</v>
      </c>
      <c r="B59" s="70">
        <v>0.5</v>
      </c>
      <c r="C59" s="526"/>
      <c r="D59" s="526"/>
      <c r="E59" s="526"/>
      <c r="F59" s="70">
        <v>0.22916666666666666</v>
      </c>
      <c r="G59" s="70">
        <v>0.25</v>
      </c>
      <c r="H59" s="74"/>
    </row>
    <row r="60" spans="1:8" ht="18" customHeight="1">
      <c r="A60" s="70">
        <v>0.5</v>
      </c>
      <c r="B60" s="70">
        <v>0.52083333333333337</v>
      </c>
      <c r="C60" s="514" t="s">
        <v>928</v>
      </c>
      <c r="D60" s="514"/>
      <c r="E60" s="514"/>
      <c r="F60" s="70">
        <v>0.25</v>
      </c>
      <c r="G60" s="70">
        <v>0.27083333333333331</v>
      </c>
      <c r="H60" s="74"/>
    </row>
    <row r="61" spans="1:8" ht="18" customHeight="1">
      <c r="A61" s="70">
        <v>0.52083333333333337</v>
      </c>
      <c r="B61" s="70">
        <v>0.54166666666666663</v>
      </c>
      <c r="C61" s="514"/>
      <c r="D61" s="514"/>
      <c r="E61" s="514"/>
      <c r="F61" s="70">
        <v>0.27083333333333331</v>
      </c>
      <c r="G61" s="70">
        <v>0.29166666666666669</v>
      </c>
      <c r="H61" s="74"/>
    </row>
    <row r="62" spans="1:8" ht="18" customHeight="1">
      <c r="A62" s="70">
        <v>0.54166666666666663</v>
      </c>
      <c r="B62" s="70">
        <v>0.5625</v>
      </c>
      <c r="C62" s="526" t="s">
        <v>981</v>
      </c>
      <c r="D62" s="526"/>
      <c r="E62" s="526"/>
      <c r="F62" s="70">
        <v>0.29166666666666669</v>
      </c>
      <c r="G62" s="70">
        <v>0.3125</v>
      </c>
      <c r="H62" s="74"/>
    </row>
    <row r="63" spans="1:8" ht="18" customHeight="1">
      <c r="A63" s="70">
        <v>0.5625</v>
      </c>
      <c r="B63" s="70">
        <v>0.58333333333333337</v>
      </c>
      <c r="C63" s="526"/>
      <c r="D63" s="526"/>
      <c r="E63" s="526"/>
      <c r="F63" s="70">
        <v>0.3125</v>
      </c>
      <c r="G63" s="70">
        <v>0.33333333333333331</v>
      </c>
      <c r="H63" s="74"/>
    </row>
    <row r="64" spans="1:8" ht="18" customHeight="1">
      <c r="A64" s="70">
        <v>0.58333333333333337</v>
      </c>
      <c r="B64" s="70">
        <v>0.60416666666666663</v>
      </c>
      <c r="C64" s="526"/>
      <c r="D64" s="526"/>
      <c r="E64" s="526"/>
      <c r="F64" s="70">
        <v>0.33333333333333331</v>
      </c>
      <c r="G64" s="70">
        <v>0.35416666666666669</v>
      </c>
      <c r="H64" s="74"/>
    </row>
    <row r="65" spans="1:8" ht="18" customHeight="1">
      <c r="A65" s="70">
        <v>0.60416666666666663</v>
      </c>
      <c r="B65" s="70">
        <v>0.625</v>
      </c>
      <c r="C65" s="526"/>
      <c r="D65" s="526"/>
      <c r="E65" s="526"/>
      <c r="F65" s="70">
        <v>0.35416666666666669</v>
      </c>
      <c r="G65" s="70">
        <v>0.375</v>
      </c>
      <c r="H65" s="74"/>
    </row>
    <row r="66" spans="1:8" ht="18" customHeight="1">
      <c r="A66" s="70">
        <v>0.625</v>
      </c>
      <c r="B66" s="70">
        <v>0.64583333333333337</v>
      </c>
      <c r="C66" s="526"/>
      <c r="D66" s="526"/>
      <c r="E66" s="526"/>
      <c r="F66" s="70">
        <v>0.375</v>
      </c>
      <c r="G66" s="70">
        <v>0.39583333333333331</v>
      </c>
      <c r="H66" s="74"/>
    </row>
    <row r="67" spans="1:8" ht="18" customHeight="1">
      <c r="A67" s="70">
        <v>0.64583333333333337</v>
      </c>
      <c r="B67" s="70">
        <v>0.66666666666666663</v>
      </c>
      <c r="C67" s="526"/>
      <c r="D67" s="526"/>
      <c r="E67" s="526"/>
      <c r="F67" s="70">
        <v>0.39583333333333331</v>
      </c>
      <c r="G67" s="70">
        <v>0.41666666666666669</v>
      </c>
      <c r="H67" s="74"/>
    </row>
    <row r="68" spans="1:8" ht="18" customHeight="1">
      <c r="A68" s="70">
        <v>0.66666666666666663</v>
      </c>
      <c r="B68" s="70">
        <v>0.6875</v>
      </c>
      <c r="C68" s="514" t="s">
        <v>929</v>
      </c>
      <c r="D68" s="514"/>
      <c r="E68" s="514"/>
      <c r="F68" s="70">
        <v>0.41666666666666669</v>
      </c>
      <c r="G68" s="70">
        <v>0.4375</v>
      </c>
      <c r="H68" s="74"/>
    </row>
    <row r="69" spans="1:8" ht="18" customHeight="1">
      <c r="A69" s="70">
        <v>0.6875</v>
      </c>
      <c r="B69" s="70">
        <v>0.70833333333333337</v>
      </c>
      <c r="C69" s="526" t="s">
        <v>982</v>
      </c>
      <c r="D69" s="526"/>
      <c r="E69" s="526"/>
      <c r="F69" s="70">
        <v>0.4375</v>
      </c>
      <c r="G69" s="70">
        <v>0.45833333333333331</v>
      </c>
      <c r="H69" s="74"/>
    </row>
    <row r="70" spans="1:8" ht="18" customHeight="1">
      <c r="A70" s="70">
        <v>0.70833333333333337</v>
      </c>
      <c r="B70" s="70">
        <v>0.72916666666666663</v>
      </c>
      <c r="C70" s="526"/>
      <c r="D70" s="526"/>
      <c r="E70" s="526"/>
      <c r="F70" s="70">
        <v>0.45833333333333331</v>
      </c>
      <c r="G70" s="70">
        <v>0.47916666666666669</v>
      </c>
      <c r="H70" s="74"/>
    </row>
    <row r="71" spans="1:8" ht="18" customHeight="1">
      <c r="A71" s="70">
        <v>0.72916666666666663</v>
      </c>
      <c r="B71" s="70">
        <v>0.75</v>
      </c>
      <c r="C71" s="537" t="s">
        <v>1112</v>
      </c>
      <c r="D71" s="538"/>
      <c r="E71" s="539"/>
      <c r="F71" s="70">
        <v>0.47916666666666669</v>
      </c>
      <c r="G71" s="70">
        <v>0.5</v>
      </c>
      <c r="H71" s="74"/>
    </row>
    <row r="72" spans="1:8" ht="18" customHeight="1">
      <c r="A72" s="70">
        <v>0.75</v>
      </c>
      <c r="B72" s="70">
        <v>0.83333333333333337</v>
      </c>
      <c r="C72" s="540"/>
      <c r="D72" s="541"/>
      <c r="E72" s="542"/>
      <c r="F72" s="70">
        <v>0.5</v>
      </c>
      <c r="G72" s="70">
        <v>0.58333333333333337</v>
      </c>
      <c r="H72" s="74"/>
    </row>
    <row r="73" spans="1:8">
      <c r="A73" s="525" t="str">
        <f>J7</f>
        <v>Day 6</v>
      </c>
      <c r="B73" s="525"/>
      <c r="C73" s="528">
        <f>I7</f>
        <v>44301</v>
      </c>
      <c r="D73" s="528"/>
      <c r="E73" s="528"/>
      <c r="F73" s="525" t="str">
        <f>A73</f>
        <v>Day 6</v>
      </c>
      <c r="G73" s="525"/>
      <c r="H73" s="74"/>
    </row>
    <row r="74" spans="1:8" ht="28.8">
      <c r="A74" s="525" t="s">
        <v>921</v>
      </c>
      <c r="B74" s="525"/>
      <c r="C74" s="230" t="str">
        <f>C55</f>
        <v>Mini team 1:ATM-5 / ATM-6 / ATM-7</v>
      </c>
      <c r="D74" s="230" t="str">
        <f>D55</f>
        <v>Full team: ATM-1 / ATM-2 / ATM-3 / ATM-4 /ATM-5 / ATM-6 / ATM-7 / ATM-8</v>
      </c>
      <c r="E74" s="230" t="str">
        <f>E55</f>
        <v>LA team: van Zyl, Pieter and ATMs if applicable</v>
      </c>
      <c r="F74" s="525" t="s">
        <v>922</v>
      </c>
      <c r="G74" s="525"/>
      <c r="H74" s="74"/>
    </row>
    <row r="75" spans="1:8" ht="18" customHeight="1">
      <c r="A75" s="70">
        <v>0.41666666666666669</v>
      </c>
      <c r="B75" s="70">
        <v>0.4375</v>
      </c>
      <c r="C75" s="514" t="s">
        <v>929</v>
      </c>
      <c r="D75" s="514"/>
      <c r="E75" s="514"/>
      <c r="F75" s="70">
        <v>0.16666666666666666</v>
      </c>
      <c r="G75" s="70">
        <v>0.1875</v>
      </c>
      <c r="H75" s="74"/>
    </row>
    <row r="76" spans="1:8" ht="18" customHeight="1">
      <c r="A76" s="70">
        <v>0.4375</v>
      </c>
      <c r="B76" s="70">
        <v>0.45833333333333331</v>
      </c>
      <c r="C76" s="526" t="s">
        <v>983</v>
      </c>
      <c r="D76" s="526"/>
      <c r="E76" s="526"/>
      <c r="F76" s="70">
        <v>0.1875</v>
      </c>
      <c r="G76" s="70">
        <v>0.20833333333333334</v>
      </c>
      <c r="H76" s="74"/>
    </row>
    <row r="77" spans="1:8" ht="18" customHeight="1">
      <c r="A77" s="70">
        <v>0.45833333333333331</v>
      </c>
      <c r="B77" s="70">
        <v>0.47916666666666669</v>
      </c>
      <c r="C77" s="526"/>
      <c r="D77" s="526"/>
      <c r="E77" s="526"/>
      <c r="F77" s="70">
        <v>0.20833333333333334</v>
      </c>
      <c r="G77" s="70">
        <v>0.22916666666666666</v>
      </c>
      <c r="H77" s="74"/>
    </row>
    <row r="78" spans="1:8" ht="18" customHeight="1">
      <c r="A78" s="70">
        <v>0.47916666666666669</v>
      </c>
      <c r="B78" s="70">
        <v>0.5</v>
      </c>
      <c r="C78" s="514" t="s">
        <v>929</v>
      </c>
      <c r="D78" s="514"/>
      <c r="E78" s="514"/>
      <c r="F78" s="70">
        <v>0.22916666666666666</v>
      </c>
      <c r="G78" s="70">
        <v>0.25</v>
      </c>
      <c r="H78" s="74"/>
    </row>
    <row r="79" spans="1:8" ht="18" customHeight="1">
      <c r="A79" s="70">
        <v>0.5</v>
      </c>
      <c r="B79" s="70">
        <v>0.52083333333333337</v>
      </c>
      <c r="C79" s="514" t="s">
        <v>928</v>
      </c>
      <c r="D79" s="514"/>
      <c r="E79" s="514"/>
      <c r="F79" s="70">
        <v>0.25</v>
      </c>
      <c r="G79" s="70">
        <v>0.27083333333333331</v>
      </c>
      <c r="H79" s="74"/>
    </row>
    <row r="80" spans="1:8" ht="18" customHeight="1">
      <c r="A80" s="70">
        <v>0.52083333333333337</v>
      </c>
      <c r="B80" s="70">
        <v>0.54166666666666663</v>
      </c>
      <c r="C80" s="514"/>
      <c r="D80" s="514"/>
      <c r="E80" s="514"/>
      <c r="F80" s="70">
        <v>0.27083333333333331</v>
      </c>
      <c r="G80" s="70">
        <v>0.29166666666666669</v>
      </c>
      <c r="H80" s="74"/>
    </row>
    <row r="81" spans="1:8" ht="18" customHeight="1">
      <c r="A81" s="70">
        <v>0.54166666666666663</v>
      </c>
      <c r="B81" s="70">
        <v>0.5625</v>
      </c>
      <c r="C81" s="537" t="s">
        <v>1112</v>
      </c>
      <c r="D81" s="538"/>
      <c r="E81" s="539"/>
      <c r="F81" s="70">
        <v>0.29166666666666669</v>
      </c>
      <c r="G81" s="70">
        <v>0.3125</v>
      </c>
      <c r="H81" s="74"/>
    </row>
    <row r="82" spans="1:8" ht="18" customHeight="1">
      <c r="A82" s="70">
        <v>0.5625</v>
      </c>
      <c r="B82" s="70">
        <v>0.58333333333333337</v>
      </c>
      <c r="C82" s="540"/>
      <c r="D82" s="541"/>
      <c r="E82" s="542"/>
      <c r="F82" s="70">
        <v>0.3125</v>
      </c>
      <c r="G82" s="70">
        <v>0.33333333333333331</v>
      </c>
      <c r="H82" s="74"/>
    </row>
    <row r="83" spans="1:8" ht="18" customHeight="1">
      <c r="A83" s="70">
        <v>0.58333333333333337</v>
      </c>
      <c r="B83" s="70">
        <v>0.60416666666666663</v>
      </c>
      <c r="C83" s="543" t="s">
        <v>932</v>
      </c>
      <c r="D83" s="544"/>
      <c r="E83" s="545"/>
      <c r="F83" s="70">
        <v>0.33333333333333331</v>
      </c>
      <c r="G83" s="70">
        <v>0.35416666666666669</v>
      </c>
      <c r="H83" s="74"/>
    </row>
    <row r="84" spans="1:8" ht="18" customHeight="1">
      <c r="A84" s="70">
        <v>0.60416666666666663</v>
      </c>
      <c r="B84" s="70">
        <v>0.625</v>
      </c>
      <c r="C84" s="546"/>
      <c r="D84" s="547"/>
      <c r="E84" s="548"/>
      <c r="F84" s="70">
        <v>0.35416666666666669</v>
      </c>
      <c r="G84" s="70">
        <v>0.375</v>
      </c>
      <c r="H84" s="74"/>
    </row>
    <row r="85" spans="1:8" ht="18" customHeight="1">
      <c r="A85" s="70">
        <v>0.625</v>
      </c>
      <c r="B85" s="70">
        <v>0.64583333333333337</v>
      </c>
      <c r="C85" s="526" t="s">
        <v>984</v>
      </c>
      <c r="D85" s="526"/>
      <c r="E85" s="526"/>
      <c r="F85" s="70">
        <v>0.375</v>
      </c>
      <c r="G85" s="70">
        <v>0.39583333333333331</v>
      </c>
      <c r="H85" s="74"/>
    </row>
    <row r="86" spans="1:8" ht="18" customHeight="1">
      <c r="A86" s="70">
        <v>0.64583333333333337</v>
      </c>
      <c r="B86" s="70">
        <v>0.66666666666666663</v>
      </c>
      <c r="C86" s="526"/>
      <c r="D86" s="526"/>
      <c r="E86" s="526"/>
      <c r="F86" s="70">
        <v>0.39583333333333331</v>
      </c>
      <c r="G86" s="70">
        <v>0.41666666666666669</v>
      </c>
      <c r="H86" s="74"/>
    </row>
    <row r="87" spans="1:8" ht="18" customHeight="1">
      <c r="A87" s="70">
        <v>0.66666666666666663</v>
      </c>
      <c r="B87" s="70">
        <v>0.6875</v>
      </c>
      <c r="C87" s="514" t="s">
        <v>929</v>
      </c>
      <c r="D87" s="514"/>
      <c r="E87" s="514"/>
      <c r="F87" s="70">
        <v>0.41666666666666669</v>
      </c>
      <c r="G87" s="70">
        <v>0.4375</v>
      </c>
      <c r="H87" s="74"/>
    </row>
    <row r="88" spans="1:8" ht="18" customHeight="1">
      <c r="A88" s="70">
        <v>0.6875</v>
      </c>
      <c r="B88" s="70">
        <v>0.70833333333333337</v>
      </c>
      <c r="C88" s="514"/>
      <c r="D88" s="514"/>
      <c r="E88" s="514"/>
      <c r="F88" s="70">
        <v>0.4375</v>
      </c>
      <c r="G88" s="70">
        <v>0.45833333333333331</v>
      </c>
      <c r="H88" s="74"/>
    </row>
    <row r="89" spans="1:8" ht="18" customHeight="1">
      <c r="A89" s="70">
        <v>0.70833333333333337</v>
      </c>
      <c r="B89" s="70">
        <v>0.72916666666666663</v>
      </c>
      <c r="C89" s="514"/>
      <c r="D89" s="514"/>
      <c r="E89" s="514"/>
      <c r="F89" s="70">
        <v>0.45833333333333331</v>
      </c>
      <c r="G89" s="70">
        <v>0.47916666666666669</v>
      </c>
      <c r="H89" s="74"/>
    </row>
    <row r="90" spans="1:8" ht="18" customHeight="1">
      <c r="A90" s="70">
        <v>0.72916666666666663</v>
      </c>
      <c r="B90" s="70">
        <v>0.75</v>
      </c>
      <c r="C90" s="514"/>
      <c r="D90" s="514"/>
      <c r="E90" s="514"/>
      <c r="F90" s="70">
        <v>0.47916666666666669</v>
      </c>
      <c r="G90" s="70">
        <v>0.5</v>
      </c>
      <c r="H90" s="74"/>
    </row>
    <row r="91" spans="1:8" ht="18" customHeight="1">
      <c r="A91" s="70">
        <v>0.75</v>
      </c>
      <c r="B91" s="70">
        <v>0.83333333333333337</v>
      </c>
      <c r="C91" s="514" t="s">
        <v>930</v>
      </c>
      <c r="D91" s="514"/>
      <c r="E91" s="514"/>
      <c r="F91" s="70">
        <v>0.5</v>
      </c>
      <c r="G91" s="70">
        <v>0.58333333333333337</v>
      </c>
      <c r="H91" s="74"/>
    </row>
    <row r="92" spans="1:8">
      <c r="A92" s="525" t="str">
        <f>J8</f>
        <v>Day 7</v>
      </c>
      <c r="B92" s="525"/>
      <c r="C92" s="528">
        <f>I8</f>
        <v>44302</v>
      </c>
      <c r="D92" s="528"/>
      <c r="E92" s="528"/>
      <c r="F92" s="525" t="str">
        <f>A92</f>
        <v>Day 7</v>
      </c>
      <c r="G92" s="525"/>
      <c r="H92" s="74"/>
    </row>
    <row r="93" spans="1:8" ht="28.8">
      <c r="A93" s="525" t="s">
        <v>921</v>
      </c>
      <c r="B93" s="525"/>
      <c r="C93" s="230" t="str">
        <f>C74</f>
        <v>Mini team 1:ATM-5 / ATM-6 / ATM-7</v>
      </c>
      <c r="D93" s="230" t="str">
        <f>D74</f>
        <v>Full team: ATM-1 / ATM-2 / ATM-3 / ATM-4 /ATM-5 / ATM-6 / ATM-7 / ATM-8</v>
      </c>
      <c r="E93" s="230" t="str">
        <f>E74</f>
        <v>LA team: van Zyl, Pieter and ATMs if applicable</v>
      </c>
      <c r="F93" s="525" t="s">
        <v>922</v>
      </c>
      <c r="G93" s="525"/>
      <c r="H93" s="74"/>
    </row>
    <row r="94" spans="1:8" ht="18" customHeight="1">
      <c r="A94" s="70">
        <v>0.41666666666666669</v>
      </c>
      <c r="B94" s="70">
        <v>0.4375</v>
      </c>
      <c r="C94" s="514" t="s">
        <v>929</v>
      </c>
      <c r="D94" s="514"/>
      <c r="E94" s="514"/>
      <c r="F94" s="70">
        <v>0.16666666666666666</v>
      </c>
      <c r="G94" s="70">
        <v>0.1875</v>
      </c>
      <c r="H94" s="74"/>
    </row>
    <row r="95" spans="1:8" ht="18" customHeight="1">
      <c r="A95" s="70">
        <v>0.4375</v>
      </c>
      <c r="B95" s="70">
        <v>0.45833333333333331</v>
      </c>
      <c r="C95" s="508" t="s">
        <v>985</v>
      </c>
      <c r="D95" s="509"/>
      <c r="E95" s="510"/>
      <c r="F95" s="70">
        <v>0.1875</v>
      </c>
      <c r="G95" s="70">
        <v>0.20833333333333334</v>
      </c>
      <c r="H95" s="74"/>
    </row>
    <row r="96" spans="1:8" ht="18" customHeight="1">
      <c r="A96" s="70">
        <v>0.45833333333333331</v>
      </c>
      <c r="B96" s="70">
        <v>0.47916666666666669</v>
      </c>
      <c r="C96" s="511"/>
      <c r="D96" s="512"/>
      <c r="E96" s="513"/>
      <c r="F96" s="70">
        <v>0.20833333333333334</v>
      </c>
      <c r="G96" s="70">
        <v>0.22916666666666666</v>
      </c>
      <c r="H96" s="74"/>
    </row>
    <row r="97" spans="1:8" ht="18" customHeight="1">
      <c r="A97" s="70">
        <v>0.47916666666666669</v>
      </c>
      <c r="B97" s="70">
        <v>0.5</v>
      </c>
      <c r="C97" s="508" t="s">
        <v>986</v>
      </c>
      <c r="D97" s="509"/>
      <c r="E97" s="510"/>
      <c r="F97" s="70">
        <v>0.22916666666666666</v>
      </c>
      <c r="G97" s="70">
        <v>0.25</v>
      </c>
      <c r="H97" s="74"/>
    </row>
    <row r="98" spans="1:8" ht="18" customHeight="1">
      <c r="A98" s="70">
        <v>0.5</v>
      </c>
      <c r="B98" s="70">
        <v>0.52083333333333337</v>
      </c>
      <c r="C98" s="511"/>
      <c r="D98" s="512"/>
      <c r="E98" s="513"/>
      <c r="F98" s="70">
        <v>0.25</v>
      </c>
      <c r="G98" s="70">
        <v>0.27083333333333331</v>
      </c>
      <c r="H98" s="74"/>
    </row>
    <row r="99" spans="1:8" ht="18" customHeight="1">
      <c r="A99" s="70">
        <v>0.52083333333333337</v>
      </c>
      <c r="B99" s="70">
        <v>0.54166666666666663</v>
      </c>
      <c r="C99" s="515" t="s">
        <v>928</v>
      </c>
      <c r="D99" s="516"/>
      <c r="E99" s="517"/>
      <c r="F99" s="70">
        <v>0.27083333333333331</v>
      </c>
      <c r="G99" s="70">
        <v>0.29166666666666669</v>
      </c>
      <c r="H99" s="74"/>
    </row>
    <row r="100" spans="1:8" ht="18" customHeight="1">
      <c r="A100" s="70">
        <v>0.54166666666666663</v>
      </c>
      <c r="B100" s="70">
        <v>0.5625</v>
      </c>
      <c r="C100" s="521"/>
      <c r="D100" s="522"/>
      <c r="E100" s="523"/>
      <c r="F100" s="70">
        <v>0.29166666666666669</v>
      </c>
      <c r="G100" s="70">
        <v>0.3125</v>
      </c>
      <c r="H100" s="74"/>
    </row>
    <row r="101" spans="1:8" ht="18" customHeight="1">
      <c r="A101" s="70">
        <v>0.5625</v>
      </c>
      <c r="B101" s="70">
        <v>0.58333333333333337</v>
      </c>
      <c r="C101" s="515" t="s">
        <v>1647</v>
      </c>
      <c r="D101" s="516"/>
      <c r="E101" s="517"/>
      <c r="F101" s="70">
        <v>0.3125</v>
      </c>
      <c r="G101" s="70">
        <v>0.33333333333333331</v>
      </c>
      <c r="H101" s="74"/>
    </row>
    <row r="102" spans="1:8" ht="18" customHeight="1">
      <c r="A102" s="70">
        <v>0.58333333333333337</v>
      </c>
      <c r="B102" s="70">
        <v>0.60416666666666663</v>
      </c>
      <c r="C102" s="518"/>
      <c r="D102" s="519"/>
      <c r="E102" s="520"/>
      <c r="F102" s="70">
        <v>0.33333333333333331</v>
      </c>
      <c r="G102" s="70">
        <v>0.35416666666666669</v>
      </c>
      <c r="H102" s="74"/>
    </row>
    <row r="103" spans="1:8" ht="18" customHeight="1">
      <c r="A103" s="70">
        <v>0.60416666666666663</v>
      </c>
      <c r="B103" s="70">
        <v>0.625</v>
      </c>
      <c r="C103" s="521"/>
      <c r="D103" s="522"/>
      <c r="E103" s="523"/>
      <c r="F103" s="70">
        <v>0.35416666666666669</v>
      </c>
      <c r="G103" s="70">
        <v>0.375</v>
      </c>
      <c r="H103" s="74"/>
    </row>
    <row r="104" spans="1:8" ht="18" customHeight="1">
      <c r="A104" s="70">
        <v>0.625</v>
      </c>
      <c r="B104" s="70">
        <v>0.64583333333333337</v>
      </c>
      <c r="C104" s="524" t="s">
        <v>1646</v>
      </c>
      <c r="D104" s="524"/>
      <c r="E104" s="524"/>
      <c r="F104" s="70">
        <v>0.375</v>
      </c>
      <c r="G104" s="70">
        <v>0.39583333333333331</v>
      </c>
      <c r="H104" s="74"/>
    </row>
    <row r="105" spans="1:8" ht="18" customHeight="1">
      <c r="A105" s="70">
        <v>0.64583333333333337</v>
      </c>
      <c r="B105" s="70">
        <v>0.66666666666666663</v>
      </c>
      <c r="C105" s="524"/>
      <c r="D105" s="524"/>
      <c r="E105" s="524"/>
      <c r="F105" s="70">
        <v>0.39583333333333331</v>
      </c>
      <c r="G105" s="70">
        <v>0.41666666666666669</v>
      </c>
      <c r="H105" s="74"/>
    </row>
    <row r="106" spans="1:8" ht="18" customHeight="1">
      <c r="A106" s="70">
        <v>0.66666666666666663</v>
      </c>
      <c r="B106" s="70">
        <v>0.6875</v>
      </c>
      <c r="C106" s="514" t="s">
        <v>933</v>
      </c>
      <c r="D106" s="514"/>
      <c r="E106" s="514"/>
      <c r="F106" s="70">
        <v>0.41666666666666669</v>
      </c>
      <c r="G106" s="70">
        <v>0.4375</v>
      </c>
      <c r="H106" s="74"/>
    </row>
    <row r="107" spans="1:8" ht="18" customHeight="1">
      <c r="A107" s="70">
        <v>0.6875</v>
      </c>
      <c r="B107" s="70">
        <v>0.70833333333333337</v>
      </c>
      <c r="C107" s="514"/>
      <c r="D107" s="514"/>
      <c r="E107" s="514"/>
      <c r="F107" s="70">
        <v>0.4375</v>
      </c>
      <c r="G107" s="70">
        <v>0.45833333333333331</v>
      </c>
      <c r="H107" s="74"/>
    </row>
    <row r="108" spans="1:8" ht="18" customHeight="1">
      <c r="A108" s="70">
        <v>0.70833333333333337</v>
      </c>
      <c r="B108" s="70">
        <v>0.72916666666666663</v>
      </c>
      <c r="C108" s="514" t="s">
        <v>934</v>
      </c>
      <c r="D108" s="514"/>
      <c r="E108" s="514"/>
      <c r="F108" s="70">
        <v>0.45833333333333331</v>
      </c>
      <c r="G108" s="70">
        <v>0.47916666666666669</v>
      </c>
      <c r="H108" s="74"/>
    </row>
    <row r="109" spans="1:8" ht="18" customHeight="1">
      <c r="A109" s="70">
        <v>0.72916666666666663</v>
      </c>
      <c r="B109" s="70">
        <v>0.75</v>
      </c>
      <c r="C109" s="514"/>
      <c r="D109" s="514"/>
      <c r="E109" s="514"/>
      <c r="F109" s="70">
        <v>0.47916666666666669</v>
      </c>
      <c r="G109" s="70">
        <v>0.5</v>
      </c>
      <c r="H109" s="74"/>
    </row>
    <row r="110" spans="1:8" ht="18" customHeight="1">
      <c r="A110" s="70">
        <v>0.75</v>
      </c>
      <c r="B110" s="70">
        <v>0.83333333333333337</v>
      </c>
      <c r="C110" s="514"/>
      <c r="D110" s="514"/>
      <c r="E110" s="514"/>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1421</v>
      </c>
    </row>
    <row r="2" spans="1:8">
      <c r="A2" s="331" t="s">
        <v>1422</v>
      </c>
      <c r="B2" s="332">
        <f>Planning!B27</f>
        <v>44296</v>
      </c>
      <c r="C2" s="333">
        <f>B2+1</f>
        <v>44297</v>
      </c>
      <c r="D2" s="333">
        <f t="shared" ref="D2:G2" si="0">C2+1</f>
        <v>44298</v>
      </c>
      <c r="E2" s="333">
        <f t="shared" si="0"/>
        <v>44299</v>
      </c>
      <c r="F2" s="333">
        <f t="shared" si="0"/>
        <v>44300</v>
      </c>
      <c r="G2" s="333">
        <f t="shared" si="0"/>
        <v>44301</v>
      </c>
      <c r="H2" s="334" t="s">
        <v>1423</v>
      </c>
    </row>
    <row r="3" spans="1:8" ht="28.8">
      <c r="A3" s="335">
        <v>0.41666666666666702</v>
      </c>
      <c r="B3" s="562" t="s">
        <v>1424</v>
      </c>
      <c r="C3" s="336" t="s">
        <v>1425</v>
      </c>
      <c r="D3" s="337" t="s">
        <v>1426</v>
      </c>
      <c r="E3" s="337" t="s">
        <v>1426</v>
      </c>
      <c r="F3" s="549" t="s">
        <v>1427</v>
      </c>
      <c r="G3" s="549" t="s">
        <v>1428</v>
      </c>
      <c r="H3" s="338">
        <f t="shared" ref="H3:H19" si="1">+A3-0.25</f>
        <v>0.16666666666666702</v>
      </c>
    </row>
    <row r="4" spans="1:8">
      <c r="A4" s="335">
        <v>0.4375</v>
      </c>
      <c r="B4" s="562"/>
      <c r="C4" s="339" t="s">
        <v>1429</v>
      </c>
      <c r="D4" s="550" t="s">
        <v>1430</v>
      </c>
      <c r="E4" s="550" t="s">
        <v>1431</v>
      </c>
      <c r="F4" s="549"/>
      <c r="G4" s="549"/>
      <c r="H4" s="338">
        <f t="shared" si="1"/>
        <v>0.1875</v>
      </c>
    </row>
    <row r="5" spans="1:8">
      <c r="A5" s="335">
        <v>0.45833333333333398</v>
      </c>
      <c r="B5" s="563" t="s">
        <v>1432</v>
      </c>
      <c r="C5" s="561" t="s">
        <v>1433</v>
      </c>
      <c r="D5" s="550"/>
      <c r="E5" s="550"/>
      <c r="F5" s="549"/>
      <c r="G5" s="549"/>
      <c r="H5" s="338">
        <f t="shared" si="1"/>
        <v>0.20833333333333398</v>
      </c>
    </row>
    <row r="6" spans="1:8">
      <c r="A6" s="335">
        <v>0.47916666666666702</v>
      </c>
      <c r="B6" s="563"/>
      <c r="C6" s="561"/>
      <c r="D6" s="550"/>
      <c r="E6" s="550"/>
      <c r="F6" s="549"/>
      <c r="G6" s="336" t="s">
        <v>1429</v>
      </c>
      <c r="H6" s="338">
        <f t="shared" si="1"/>
        <v>0.22916666666666702</v>
      </c>
    </row>
    <row r="7" spans="1:8">
      <c r="A7" s="335">
        <v>0.5</v>
      </c>
      <c r="B7" s="563"/>
      <c r="C7" s="550" t="s">
        <v>1434</v>
      </c>
      <c r="D7" s="550"/>
      <c r="E7" s="550"/>
      <c r="F7" s="557" t="s">
        <v>928</v>
      </c>
      <c r="G7" s="557" t="s">
        <v>928</v>
      </c>
      <c r="H7" s="338">
        <f t="shared" si="1"/>
        <v>0.25</v>
      </c>
    </row>
    <row r="8" spans="1:8" ht="28.8">
      <c r="A8" s="335">
        <v>0.52083333333333404</v>
      </c>
      <c r="B8" s="340" t="s">
        <v>1424</v>
      </c>
      <c r="C8" s="550"/>
      <c r="D8" s="550"/>
      <c r="E8" s="550"/>
      <c r="F8" s="557"/>
      <c r="G8" s="557"/>
      <c r="H8" s="338">
        <f t="shared" si="1"/>
        <v>0.27083333333333404</v>
      </c>
    </row>
    <row r="9" spans="1:8">
      <c r="A9" s="335">
        <v>0.54166666666666696</v>
      </c>
      <c r="B9" s="556" t="s">
        <v>928</v>
      </c>
      <c r="C9" s="557" t="s">
        <v>928</v>
      </c>
      <c r="D9" s="557" t="s">
        <v>928</v>
      </c>
      <c r="E9" s="557" t="s">
        <v>928</v>
      </c>
      <c r="F9" s="336" t="s">
        <v>1429</v>
      </c>
      <c r="G9" s="561" t="s">
        <v>786</v>
      </c>
      <c r="H9" s="338">
        <f t="shared" si="1"/>
        <v>0.29166666666666696</v>
      </c>
    </row>
    <row r="10" spans="1:8">
      <c r="A10" s="335">
        <v>0.5625</v>
      </c>
      <c r="B10" s="556"/>
      <c r="C10" s="557"/>
      <c r="D10" s="557"/>
      <c r="E10" s="557"/>
      <c r="F10" s="561" t="s">
        <v>1435</v>
      </c>
      <c r="G10" s="561"/>
      <c r="H10" s="338">
        <f t="shared" si="1"/>
        <v>0.3125</v>
      </c>
    </row>
    <row r="11" spans="1:8">
      <c r="A11" s="335">
        <v>0.58333333333333304</v>
      </c>
      <c r="B11" s="562" t="s">
        <v>1436</v>
      </c>
      <c r="C11" s="550" t="s">
        <v>1437</v>
      </c>
      <c r="D11" s="550" t="s">
        <v>1438</v>
      </c>
      <c r="E11" s="550" t="s">
        <v>1439</v>
      </c>
      <c r="F11" s="561"/>
      <c r="G11" s="549" t="s">
        <v>1440</v>
      </c>
      <c r="H11" s="338">
        <f t="shared" si="1"/>
        <v>0.33333333333333304</v>
      </c>
    </row>
    <row r="12" spans="1:8">
      <c r="A12" s="335">
        <v>0.60416666666666696</v>
      </c>
      <c r="B12" s="562"/>
      <c r="C12" s="550"/>
      <c r="D12" s="550"/>
      <c r="E12" s="550"/>
      <c r="F12" s="561" t="s">
        <v>1441</v>
      </c>
      <c r="G12" s="549"/>
      <c r="H12" s="338">
        <f t="shared" si="1"/>
        <v>0.35416666666666696</v>
      </c>
    </row>
    <row r="13" spans="1:8">
      <c r="A13" s="335">
        <v>0.625</v>
      </c>
      <c r="B13" s="562"/>
      <c r="C13" s="550"/>
      <c r="D13" s="550" t="s">
        <v>1442</v>
      </c>
      <c r="E13" s="550"/>
      <c r="F13" s="561"/>
      <c r="G13" s="549"/>
      <c r="H13" s="338">
        <f t="shared" si="1"/>
        <v>0.375</v>
      </c>
    </row>
    <row r="14" spans="1:8">
      <c r="A14" s="335">
        <v>0.64583333333333304</v>
      </c>
      <c r="B14" s="562"/>
      <c r="C14" s="550"/>
      <c r="D14" s="550"/>
      <c r="E14" s="550"/>
      <c r="F14" s="549" t="s">
        <v>1428</v>
      </c>
      <c r="G14" s="564" t="s">
        <v>1443</v>
      </c>
      <c r="H14" s="338">
        <f t="shared" si="1"/>
        <v>0.39583333333333304</v>
      </c>
    </row>
    <row r="15" spans="1:8">
      <c r="A15" s="335">
        <v>0.66666666666666696</v>
      </c>
      <c r="B15" s="562"/>
      <c r="C15" s="339" t="s">
        <v>1429</v>
      </c>
      <c r="D15" s="550"/>
      <c r="E15" s="549" t="s">
        <v>1427</v>
      </c>
      <c r="F15" s="549"/>
      <c r="G15" s="564"/>
      <c r="H15" s="338">
        <f t="shared" si="1"/>
        <v>0.41666666666666696</v>
      </c>
    </row>
    <row r="16" spans="1:8">
      <c r="A16" s="335">
        <v>0.6875</v>
      </c>
      <c r="B16" s="562"/>
      <c r="C16" s="550" t="s">
        <v>1444</v>
      </c>
      <c r="D16" s="550" t="s">
        <v>1445</v>
      </c>
      <c r="E16" s="549"/>
      <c r="F16" s="549"/>
      <c r="G16" s="564"/>
      <c r="H16" s="338">
        <f t="shared" si="1"/>
        <v>0.4375</v>
      </c>
    </row>
    <row r="17" spans="1:8">
      <c r="A17" s="335">
        <v>0.70833333333333304</v>
      </c>
      <c r="B17" s="341" t="s">
        <v>1446</v>
      </c>
      <c r="C17" s="550"/>
      <c r="D17" s="550"/>
      <c r="E17" s="549"/>
      <c r="F17" s="549"/>
      <c r="G17" s="564"/>
      <c r="H17" s="338">
        <f t="shared" si="1"/>
        <v>0.45833333333333304</v>
      </c>
    </row>
    <row r="18" spans="1:8">
      <c r="A18" s="335">
        <v>0.72916666666666663</v>
      </c>
      <c r="B18" s="342" t="s">
        <v>1426</v>
      </c>
      <c r="C18" s="337" t="s">
        <v>1426</v>
      </c>
      <c r="D18" s="337" t="s">
        <v>1426</v>
      </c>
      <c r="E18" s="337" t="s">
        <v>1426</v>
      </c>
      <c r="F18" s="337" t="s">
        <v>1426</v>
      </c>
      <c r="G18" s="564"/>
      <c r="H18" s="338">
        <f t="shared" si="1"/>
        <v>0.47916666666666663</v>
      </c>
    </row>
    <row r="19" spans="1:8" ht="15" thickBot="1">
      <c r="A19" s="343">
        <v>0.75</v>
      </c>
      <c r="B19" s="558" t="s">
        <v>930</v>
      </c>
      <c r="C19" s="559"/>
      <c r="D19" s="559"/>
      <c r="E19" s="559"/>
      <c r="F19" s="559"/>
      <c r="G19" s="559"/>
      <c r="H19" s="344">
        <f t="shared" si="1"/>
        <v>0.5</v>
      </c>
    </row>
    <row r="21" spans="1:8" ht="15" thickBot="1">
      <c r="A21" s="8" t="s">
        <v>1447</v>
      </c>
    </row>
    <row r="22" spans="1:8">
      <c r="A22" s="331" t="s">
        <v>1422</v>
      </c>
      <c r="B22" s="332">
        <f>Planning!B27</f>
        <v>44296</v>
      </c>
      <c r="C22" s="332">
        <f>B22+1</f>
        <v>44297</v>
      </c>
      <c r="D22" s="332">
        <f t="shared" ref="D22:F22" si="2">C22+1</f>
        <v>44298</v>
      </c>
      <c r="E22" s="332">
        <f t="shared" si="2"/>
        <v>44299</v>
      </c>
      <c r="F22" s="332">
        <f t="shared" si="2"/>
        <v>44300</v>
      </c>
      <c r="G22" s="332">
        <f>F22+1</f>
        <v>44301</v>
      </c>
      <c r="H22" s="334" t="s">
        <v>1423</v>
      </c>
    </row>
    <row r="23" spans="1:8" ht="28.8">
      <c r="A23" s="335">
        <v>0.41666666666666702</v>
      </c>
      <c r="B23" s="562" t="s">
        <v>1424</v>
      </c>
      <c r="C23" s="336" t="s">
        <v>1425</v>
      </c>
      <c r="D23" s="337" t="s">
        <v>1426</v>
      </c>
      <c r="E23" s="337" t="s">
        <v>1426</v>
      </c>
      <c r="F23" s="551" t="s">
        <v>1427</v>
      </c>
      <c r="G23" s="551" t="s">
        <v>1428</v>
      </c>
      <c r="H23" s="338">
        <f t="shared" ref="H23:H39" si="3">+A23-0.25</f>
        <v>0.16666666666666702</v>
      </c>
    </row>
    <row r="24" spans="1:8">
      <c r="A24" s="335">
        <v>0.4375</v>
      </c>
      <c r="B24" s="562"/>
      <c r="C24" s="339" t="s">
        <v>1429</v>
      </c>
      <c r="D24" s="550" t="s">
        <v>1430</v>
      </c>
      <c r="E24" s="550" t="s">
        <v>1431</v>
      </c>
      <c r="F24" s="560"/>
      <c r="G24" s="560"/>
      <c r="H24" s="338">
        <f t="shared" si="3"/>
        <v>0.1875</v>
      </c>
    </row>
    <row r="25" spans="1:8">
      <c r="A25" s="335">
        <v>0.45833333333333398</v>
      </c>
      <c r="B25" s="563" t="s">
        <v>1432</v>
      </c>
      <c r="C25" s="561" t="s">
        <v>1433</v>
      </c>
      <c r="D25" s="550"/>
      <c r="E25" s="550"/>
      <c r="F25" s="560"/>
      <c r="G25" s="560"/>
      <c r="H25" s="338">
        <f t="shared" si="3"/>
        <v>0.20833333333333398</v>
      </c>
    </row>
    <row r="26" spans="1:8">
      <c r="A26" s="335">
        <v>0.47916666666666702</v>
      </c>
      <c r="B26" s="563"/>
      <c r="C26" s="561"/>
      <c r="D26" s="550"/>
      <c r="E26" s="550"/>
      <c r="F26" s="560"/>
      <c r="G26" s="560"/>
      <c r="H26" s="338">
        <f t="shared" si="3"/>
        <v>0.22916666666666702</v>
      </c>
    </row>
    <row r="27" spans="1:8">
      <c r="A27" s="335">
        <v>0.5</v>
      </c>
      <c r="B27" s="563"/>
      <c r="C27" s="550" t="s">
        <v>1434</v>
      </c>
      <c r="D27" s="550"/>
      <c r="E27" s="550"/>
      <c r="F27" s="560"/>
      <c r="G27" s="560"/>
      <c r="H27" s="338">
        <f t="shared" si="3"/>
        <v>0.25</v>
      </c>
    </row>
    <row r="28" spans="1:8" ht="28.8">
      <c r="A28" s="335">
        <v>0.52083333333333404</v>
      </c>
      <c r="B28" s="340" t="s">
        <v>1424</v>
      </c>
      <c r="C28" s="550"/>
      <c r="D28" s="550"/>
      <c r="E28" s="550"/>
      <c r="F28" s="552"/>
      <c r="G28" s="552"/>
      <c r="H28" s="338">
        <f t="shared" si="3"/>
        <v>0.27083333333333404</v>
      </c>
    </row>
    <row r="29" spans="1:8">
      <c r="A29" s="335">
        <v>0.54166666666666696</v>
      </c>
      <c r="B29" s="556" t="s">
        <v>928</v>
      </c>
      <c r="C29" s="557" t="s">
        <v>928</v>
      </c>
      <c r="D29" s="557" t="s">
        <v>928</v>
      </c>
      <c r="E29" s="557" t="s">
        <v>928</v>
      </c>
      <c r="F29" s="557" t="s">
        <v>928</v>
      </c>
      <c r="G29" s="557" t="s">
        <v>928</v>
      </c>
      <c r="H29" s="338">
        <f t="shared" si="3"/>
        <v>0.29166666666666696</v>
      </c>
    </row>
    <row r="30" spans="1:8">
      <c r="A30" s="335">
        <v>0.5625</v>
      </c>
      <c r="B30" s="556"/>
      <c r="C30" s="557"/>
      <c r="D30" s="557"/>
      <c r="E30" s="557"/>
      <c r="F30" s="557"/>
      <c r="G30" s="557"/>
      <c r="H30" s="338">
        <f t="shared" si="3"/>
        <v>0.3125</v>
      </c>
    </row>
    <row r="31" spans="1:8">
      <c r="A31" s="335">
        <v>0.58333333333333304</v>
      </c>
      <c r="B31" s="551" t="s">
        <v>1436</v>
      </c>
      <c r="C31" s="550" t="s">
        <v>1437</v>
      </c>
      <c r="D31" s="550" t="s">
        <v>1438</v>
      </c>
      <c r="E31" s="550" t="s">
        <v>1439</v>
      </c>
      <c r="F31" s="337" t="s">
        <v>1429</v>
      </c>
      <c r="G31" s="337" t="s">
        <v>1429</v>
      </c>
      <c r="H31" s="338">
        <f t="shared" si="3"/>
        <v>0.33333333333333304</v>
      </c>
    </row>
    <row r="32" spans="1:8">
      <c r="A32" s="335">
        <v>0.60416666666666696</v>
      </c>
      <c r="B32" s="560"/>
      <c r="C32" s="550"/>
      <c r="D32" s="550"/>
      <c r="E32" s="550"/>
      <c r="F32" s="561" t="s">
        <v>1435</v>
      </c>
      <c r="G32" s="561" t="s">
        <v>1645</v>
      </c>
      <c r="H32" s="338">
        <f t="shared" si="3"/>
        <v>0.35416666666666696</v>
      </c>
    </row>
    <row r="33" spans="1:8">
      <c r="A33" s="335">
        <v>0.625</v>
      </c>
      <c r="B33" s="560"/>
      <c r="C33" s="550"/>
      <c r="D33" s="550" t="s">
        <v>1442</v>
      </c>
      <c r="E33" s="550"/>
      <c r="F33" s="561"/>
      <c r="G33" s="561"/>
      <c r="H33" s="338">
        <f t="shared" si="3"/>
        <v>0.375</v>
      </c>
    </row>
    <row r="34" spans="1:8">
      <c r="A34" s="335">
        <v>0.64583333333333304</v>
      </c>
      <c r="B34" s="560"/>
      <c r="C34" s="550"/>
      <c r="D34" s="550"/>
      <c r="E34" s="550"/>
      <c r="F34" s="561" t="s">
        <v>1441</v>
      </c>
      <c r="G34" s="553" t="s">
        <v>1448</v>
      </c>
      <c r="H34" s="338">
        <f t="shared" si="3"/>
        <v>0.39583333333333304</v>
      </c>
    </row>
    <row r="35" spans="1:8">
      <c r="A35" s="335">
        <v>0.66666666666666696</v>
      </c>
      <c r="B35" s="552"/>
      <c r="C35" s="339" t="s">
        <v>1429</v>
      </c>
      <c r="D35" s="550"/>
      <c r="E35" s="549" t="s">
        <v>1427</v>
      </c>
      <c r="F35" s="561"/>
      <c r="G35" s="554"/>
      <c r="H35" s="338">
        <f t="shared" si="3"/>
        <v>0.41666666666666696</v>
      </c>
    </row>
    <row r="36" spans="1:8">
      <c r="A36" s="335">
        <v>0.6875</v>
      </c>
      <c r="B36" s="345" t="s">
        <v>1449</v>
      </c>
      <c r="C36" s="550" t="s">
        <v>1444</v>
      </c>
      <c r="D36" s="550" t="s">
        <v>1445</v>
      </c>
      <c r="E36" s="549"/>
      <c r="F36" s="551" t="s">
        <v>1428</v>
      </c>
      <c r="G36" s="553" t="s">
        <v>1450</v>
      </c>
      <c r="H36" s="338">
        <f t="shared" si="3"/>
        <v>0.4375</v>
      </c>
    </row>
    <row r="37" spans="1:8">
      <c r="A37" s="335">
        <v>0.70833333333333304</v>
      </c>
      <c r="B37" s="341" t="s">
        <v>1446</v>
      </c>
      <c r="C37" s="550"/>
      <c r="D37" s="550"/>
      <c r="E37" s="549"/>
      <c r="F37" s="552"/>
      <c r="G37" s="554"/>
      <c r="H37" s="338">
        <f t="shared" si="3"/>
        <v>0.45833333333333304</v>
      </c>
    </row>
    <row r="38" spans="1:8">
      <c r="A38" s="335">
        <v>0.72916666666666663</v>
      </c>
      <c r="B38" s="342" t="s">
        <v>1426</v>
      </c>
      <c r="C38" s="337" t="s">
        <v>1426</v>
      </c>
      <c r="D38" s="337" t="s">
        <v>1426</v>
      </c>
      <c r="E38" s="337" t="s">
        <v>1426</v>
      </c>
      <c r="F38" s="337" t="s">
        <v>1426</v>
      </c>
      <c r="G38" s="555"/>
      <c r="H38" s="338">
        <f t="shared" si="3"/>
        <v>0.47916666666666663</v>
      </c>
    </row>
    <row r="39" spans="1:8" ht="15" thickBot="1">
      <c r="A39" s="343">
        <v>0.75</v>
      </c>
      <c r="B39" s="558" t="s">
        <v>930</v>
      </c>
      <c r="C39" s="559"/>
      <c r="D39" s="559"/>
      <c r="E39" s="559"/>
      <c r="F39" s="559"/>
      <c r="G39" s="559"/>
      <c r="H39" s="344">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8" customFormat="1">
      <c r="A2" s="318"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8" customFormat="1">
      <c r="A6" s="318"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8"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8" customFormat="1">
      <c r="A15" s="318" t="str">
        <f>'P1PA-SS'!A99</f>
        <v>Appraisal team member</v>
      </c>
      <c r="B15" s="130" t="str">
        <f>'P1PA-SS'!B99</f>
        <v>ATM-8</v>
      </c>
      <c r="C15" s="318"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8" customFormat="1">
      <c r="A16" s="318" t="str">
        <f>'P1PA-SS'!A100</f>
        <v>Appraisal team member</v>
      </c>
      <c r="B16" s="130" t="str">
        <f>'P1PA-SS'!B100</f>
        <v>ATM-9</v>
      </c>
      <c r="C16" s="318"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81" t="s">
        <v>1616</v>
      </c>
    </row>
    <row r="25" spans="1:24">
      <c r="C25" s="418" t="s">
        <v>1617</v>
      </c>
    </row>
    <row r="26" spans="1:24">
      <c r="C26" s="148" t="s">
        <v>1618</v>
      </c>
    </row>
    <row r="27" spans="1:24">
      <c r="C27" s="283" t="s">
        <v>1619</v>
      </c>
    </row>
  </sheetData>
  <phoneticPr fontId="54" type="noConversion"/>
  <pageMargins left="0.7" right="0.7" top="0.75" bottom="0.75" header="0.3" footer="0.3"/>
  <pageSetup scale="74"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1404</v>
      </c>
      <c r="B1" s="117"/>
      <c r="C1" s="117"/>
      <c r="D1" s="117"/>
    </row>
    <row r="2" spans="1:22" s="116" customFormat="1">
      <c r="A2" s="28" t="s">
        <v>1393</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1394</v>
      </c>
      <c r="C3" s="329" t="s">
        <v>1395</v>
      </c>
    </row>
    <row r="4" spans="1:22">
      <c r="A4" s="124" t="s">
        <v>617</v>
      </c>
      <c r="B4" s="64">
        <v>1</v>
      </c>
      <c r="C4" s="329" t="str">
        <f t="shared" ref="C4:C20" si="0">_xlfn.CONCAT(A4, " (",B4,")")</f>
        <v>ATL (1)</v>
      </c>
    </row>
    <row r="5" spans="1:22">
      <c r="A5" s="124" t="s">
        <v>1008</v>
      </c>
      <c r="B5" s="64">
        <v>4</v>
      </c>
      <c r="C5" s="329" t="str">
        <f t="shared" si="0"/>
        <v>ATM (4)</v>
      </c>
    </row>
    <row r="6" spans="1:22">
      <c r="A6" s="124" t="s">
        <v>743</v>
      </c>
      <c r="B6" s="64">
        <v>1</v>
      </c>
      <c r="C6" s="329" t="str">
        <f t="shared" si="0"/>
        <v>CM (1)</v>
      </c>
    </row>
    <row r="7" spans="1:22">
      <c r="A7" s="124" t="s">
        <v>1373</v>
      </c>
      <c r="B7" s="64">
        <v>6</v>
      </c>
      <c r="C7" s="329" t="str">
        <f t="shared" si="0"/>
        <v>Engineers (6)</v>
      </c>
    </row>
    <row r="8" spans="1:22">
      <c r="A8" s="124" t="s">
        <v>1392</v>
      </c>
      <c r="B8" s="64">
        <v>1</v>
      </c>
      <c r="C8" s="329" t="str">
        <f t="shared" si="0"/>
        <v>EPG (1)</v>
      </c>
    </row>
    <row r="9" spans="1:22">
      <c r="A9" s="124" t="s">
        <v>745</v>
      </c>
      <c r="B9" s="64">
        <v>1</v>
      </c>
      <c r="C9" s="329" t="str">
        <f t="shared" si="0"/>
        <v>OT (1)</v>
      </c>
    </row>
    <row r="10" spans="1:22">
      <c r="A10" s="124" t="s">
        <v>1397</v>
      </c>
      <c r="B10" s="64">
        <v>1</v>
      </c>
      <c r="C10" s="329" t="str">
        <f t="shared" si="0"/>
        <v>OUC (1)</v>
      </c>
    </row>
    <row r="11" spans="1:22">
      <c r="A11" s="124" t="s">
        <v>1380</v>
      </c>
      <c r="B11" s="64">
        <v>2</v>
      </c>
      <c r="C11" s="329" t="str">
        <f t="shared" si="0"/>
        <v>PMs (2)</v>
      </c>
    </row>
    <row r="12" spans="1:22">
      <c r="A12" s="124" t="s">
        <v>744</v>
      </c>
      <c r="B12" s="64">
        <v>1</v>
      </c>
      <c r="C12" s="329" t="str">
        <f t="shared" si="0"/>
        <v>PPQA (1)</v>
      </c>
    </row>
    <row r="13" spans="1:22">
      <c r="A13" s="124" t="s">
        <v>1396</v>
      </c>
      <c r="B13" s="64">
        <v>2</v>
      </c>
      <c r="C13" s="329" t="str">
        <f t="shared" si="0"/>
        <v>SM (2)</v>
      </c>
    </row>
    <row r="14" spans="1:22">
      <c r="A14" s="124" t="s">
        <v>592</v>
      </c>
      <c r="B14" s="64">
        <v>1</v>
      </c>
      <c r="C14" s="329" t="str">
        <f t="shared" si="0"/>
        <v>Sponsor (1)</v>
      </c>
    </row>
    <row r="15" spans="1:22">
      <c r="A15" s="124" t="s">
        <v>1398</v>
      </c>
      <c r="B15" s="64">
        <v>1</v>
      </c>
      <c r="C15" s="329" t="str">
        <f t="shared" si="0"/>
        <v>RI (1)</v>
      </c>
    </row>
    <row r="16" spans="1:22">
      <c r="A16" s="124" t="s">
        <v>1399</v>
      </c>
      <c r="B16" s="329">
        <f>B7+B6</f>
        <v>7</v>
      </c>
      <c r="C16" s="329" t="str">
        <f t="shared" si="0"/>
        <v>ParticipantsPrelim1 (7)</v>
      </c>
    </row>
    <row r="17" spans="1:22">
      <c r="A17" s="124" t="s">
        <v>1400</v>
      </c>
      <c r="B17" s="329">
        <f>B8+B9+B11+B12</f>
        <v>5</v>
      </c>
      <c r="C17" s="329" t="str">
        <f t="shared" si="0"/>
        <v>ParticipantsPrelim2 (5)</v>
      </c>
    </row>
    <row r="18" spans="1:22">
      <c r="A18" s="124" t="s">
        <v>1403</v>
      </c>
      <c r="B18" s="64">
        <v>5</v>
      </c>
      <c r="C18" s="329" t="str">
        <f t="shared" si="0"/>
        <v>ParticipantsTechTest (5)</v>
      </c>
    </row>
    <row r="19" spans="1:22">
      <c r="A19" s="124" t="s">
        <v>1401</v>
      </c>
      <c r="B19" s="329">
        <f>B13+B12+B11+B10+B9+B7+B6+B5</f>
        <v>18</v>
      </c>
      <c r="C19" s="329" t="str">
        <f t="shared" si="0"/>
        <v>ParticipantsOpen (18)</v>
      </c>
    </row>
    <row r="20" spans="1:22">
      <c r="A20" s="124" t="s">
        <v>1402</v>
      </c>
      <c r="B20" s="329">
        <f>B14+B13+B12+B11+B10+B8+B7+B6</f>
        <v>15</v>
      </c>
      <c r="C20" s="329" t="str">
        <f t="shared" si="0"/>
        <v>ParticipantsFinal (15)</v>
      </c>
    </row>
    <row r="21" spans="1:22" s="237" customFormat="1">
      <c r="B21" s="330"/>
      <c r="C21" s="330"/>
    </row>
    <row r="22" spans="1:22" s="116" customFormat="1">
      <c r="A22" s="28" t="s">
        <v>1405</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1363</v>
      </c>
      <c r="B23" s="14" t="s">
        <v>1364</v>
      </c>
      <c r="C23" s="14" t="s">
        <v>1365</v>
      </c>
      <c r="D23" s="14" t="s">
        <v>1366</v>
      </c>
    </row>
    <row r="24" spans="1:22">
      <c r="A24" s="124" t="s">
        <v>1367</v>
      </c>
      <c r="B24" s="86" t="str">
        <f>C4</f>
        <v>ATL (1)</v>
      </c>
      <c r="C24" s="124" t="s">
        <v>1368</v>
      </c>
      <c r="D24" s="124">
        <v>120</v>
      </c>
    </row>
    <row r="25" spans="1:22">
      <c r="A25" s="124" t="s">
        <v>1367</v>
      </c>
      <c r="B25" s="86" t="str">
        <f>C5</f>
        <v>ATM (4)</v>
      </c>
      <c r="C25" s="124" t="s">
        <v>1368</v>
      </c>
      <c r="D25" s="124">
        <v>8</v>
      </c>
    </row>
    <row r="26" spans="1:22">
      <c r="A26" s="124" t="s">
        <v>1369</v>
      </c>
      <c r="B26" s="86" t="str">
        <f>_xlfn.CONCAT(C4,", ",C5,", ",C15)</f>
        <v>ATL (1), ATM (4), RI (1)</v>
      </c>
      <c r="C26" s="124" t="s">
        <v>1370</v>
      </c>
      <c r="D26" s="124">
        <v>8</v>
      </c>
    </row>
    <row r="27" spans="1:22">
      <c r="A27" s="124" t="s">
        <v>743</v>
      </c>
      <c r="B27" s="86" t="str">
        <f>_xlfn.CONCAT(B26,", ",C6)</f>
        <v>ATL (1), ATM (4), RI (1), CM (1)</v>
      </c>
      <c r="C27" s="124" t="s">
        <v>607</v>
      </c>
      <c r="D27" s="124">
        <v>1</v>
      </c>
    </row>
    <row r="28" spans="1:22">
      <c r="A28" s="124" t="s">
        <v>1371</v>
      </c>
      <c r="B28" s="86" t="str">
        <f>B26</f>
        <v>ATL (1), ATM (4), RI (1)</v>
      </c>
      <c r="C28" s="124" t="s">
        <v>1372</v>
      </c>
      <c r="D28" s="124">
        <v>12</v>
      </c>
    </row>
    <row r="29" spans="1:22">
      <c r="A29" s="124" t="s">
        <v>1373</v>
      </c>
      <c r="B29" s="86" t="str">
        <f>_xlfn.CONCAT(B26,", ",C7)</f>
        <v>ATL (1), ATM (4), RI (1), Engineers (6)</v>
      </c>
      <c r="C29" s="124" t="s">
        <v>607</v>
      </c>
      <c r="D29" s="124">
        <v>3</v>
      </c>
    </row>
    <row r="30" spans="1:22">
      <c r="A30" s="124" t="s">
        <v>742</v>
      </c>
      <c r="B30" s="86" t="str">
        <f>_xlfn.CONCAT(B26,", ",C8)</f>
        <v>ATL (1), ATM (4), RI (1), EPG (1)</v>
      </c>
      <c r="C30" s="124" t="s">
        <v>607</v>
      </c>
      <c r="D30" s="124">
        <v>3</v>
      </c>
    </row>
    <row r="31" spans="1:22">
      <c r="A31" s="124" t="s">
        <v>748</v>
      </c>
      <c r="B31" s="86" t="str">
        <f>_xlfn.CONCAT(C20,", ",B25)</f>
        <v>ParticipantsFinal (15), ATM (4)</v>
      </c>
      <c r="C31" s="124" t="s">
        <v>748</v>
      </c>
      <c r="D31" s="124">
        <v>1</v>
      </c>
    </row>
    <row r="32" spans="1:22">
      <c r="A32" s="124" t="s">
        <v>1374</v>
      </c>
      <c r="B32" s="86" t="str">
        <f>B26</f>
        <v>ATL (1), ATM (4), RI (1)</v>
      </c>
      <c r="C32" s="124" t="s">
        <v>1375</v>
      </c>
      <c r="D32" s="124">
        <v>24</v>
      </c>
    </row>
    <row r="33" spans="1:4">
      <c r="A33" s="124" t="s">
        <v>1376</v>
      </c>
      <c r="B33" s="86" t="str">
        <f>_xlfn.CONCAT(C4,", ",C15,", ",C10,", ",C8)</f>
        <v>ATL (1), RI (1), OUC (1), EPG (1)</v>
      </c>
      <c r="C33" s="124" t="s">
        <v>1377</v>
      </c>
      <c r="D33" s="124">
        <v>40</v>
      </c>
    </row>
    <row r="34" spans="1:4">
      <c r="A34" s="124" t="s">
        <v>1378</v>
      </c>
      <c r="B34" s="86" t="str">
        <f>_xlfn.CONCAT(C4,", ",C15,", ",C10,", ",C8)</f>
        <v>ATL (1), RI (1), OUC (1), EPG (1)</v>
      </c>
      <c r="C34" s="124" t="s">
        <v>1377</v>
      </c>
      <c r="D34" s="124">
        <v>120</v>
      </c>
    </row>
    <row r="35" spans="1:4">
      <c r="A35" s="124" t="s">
        <v>626</v>
      </c>
      <c r="B35" s="86" t="str">
        <f>_xlfn.CONCAT(B26,", ",C19,", ",C14)</f>
        <v>ATL (1), ATM (4), RI (1), ParticipantsOpen (18), Sponsor (1)</v>
      </c>
      <c r="C35" s="124" t="s">
        <v>1379</v>
      </c>
      <c r="D35" s="124">
        <v>1</v>
      </c>
    </row>
    <row r="36" spans="1:4">
      <c r="A36" s="124" t="s">
        <v>745</v>
      </c>
      <c r="B36" s="86" t="str">
        <f>_xlfn.CONCAT(B26,", ",C9)</f>
        <v>ATL (1), ATM (4), RI (1), OT (1)</v>
      </c>
      <c r="C36" s="124" t="s">
        <v>607</v>
      </c>
      <c r="D36" s="124">
        <v>1</v>
      </c>
    </row>
    <row r="37" spans="1:4">
      <c r="A37" s="124" t="s">
        <v>1380</v>
      </c>
      <c r="B37" s="86" t="str">
        <f>_xlfn.CONCAT(B26,", ",C11)</f>
        <v>ATL (1), ATM (4), RI (1), PMs (2)</v>
      </c>
      <c r="C37" s="124" t="s">
        <v>607</v>
      </c>
      <c r="D37" s="124">
        <v>3</v>
      </c>
    </row>
    <row r="38" spans="1:4">
      <c r="A38" s="124" t="s">
        <v>744</v>
      </c>
      <c r="B38" s="86" t="str">
        <f>_xlfn.CONCAT(B26,", ",C12)</f>
        <v>ATL (1), ATM (4), RI (1), PPQA (1)</v>
      </c>
      <c r="C38" s="124" t="s">
        <v>607</v>
      </c>
      <c r="D38" s="124">
        <v>1</v>
      </c>
    </row>
    <row r="39" spans="1:4">
      <c r="A39" s="124" t="s">
        <v>1381</v>
      </c>
      <c r="B39" s="86" t="str">
        <f>_xlfn.CONCAT(B26,", ",C16)</f>
        <v>ATL (1), ATM (4), RI (1), ParticipantsPrelim1 (7)</v>
      </c>
      <c r="C39" s="124" t="s">
        <v>747</v>
      </c>
      <c r="D39" s="124">
        <v>1</v>
      </c>
    </row>
    <row r="40" spans="1:4">
      <c r="A40" s="124" t="s">
        <v>1382</v>
      </c>
      <c r="B40" s="86" t="str">
        <f>_xlfn.CONCAT(B26,", ",C17)</f>
        <v>ATL (1), ATM (4), RI (1), ParticipantsPrelim2 (5)</v>
      </c>
      <c r="C40" s="124" t="s">
        <v>747</v>
      </c>
      <c r="D40" s="124">
        <v>1</v>
      </c>
    </row>
    <row r="41" spans="1:4">
      <c r="A41" s="124" t="s">
        <v>1383</v>
      </c>
      <c r="B41" s="86" t="str">
        <f>B26</f>
        <v>ATL (1), ATM (4), RI (1)</v>
      </c>
      <c r="C41" s="124" t="s">
        <v>1384</v>
      </c>
      <c r="D41" s="124">
        <v>4</v>
      </c>
    </row>
    <row r="42" spans="1:4">
      <c r="A42" s="124" t="s">
        <v>1385</v>
      </c>
      <c r="B42" s="86" t="str">
        <f>B26</f>
        <v>ATL (1), ATM (4), RI (1)</v>
      </c>
      <c r="C42" s="124" t="s">
        <v>1384</v>
      </c>
      <c r="D42" s="124">
        <v>8</v>
      </c>
    </row>
    <row r="43" spans="1:4">
      <c r="A43" s="124" t="s">
        <v>1386</v>
      </c>
      <c r="B43" s="86" t="str">
        <f>_xlfn.CONCAT(B26,", ",C20,", ",C14)</f>
        <v>ATL (1), ATM (4), RI (1), ParticipantsFinal (15), Sponsor (1)</v>
      </c>
      <c r="C43" s="124" t="s">
        <v>1387</v>
      </c>
      <c r="D43" s="124">
        <v>4</v>
      </c>
    </row>
    <row r="44" spans="1:4">
      <c r="A44" s="124" t="s">
        <v>923</v>
      </c>
      <c r="B44" s="86" t="str">
        <f>B26</f>
        <v>ATL (1), ATM (4), RI (1)</v>
      </c>
      <c r="C44" s="124" t="s">
        <v>1388</v>
      </c>
      <c r="D44" s="124">
        <v>18</v>
      </c>
    </row>
    <row r="45" spans="1:4">
      <c r="A45" s="124" t="s">
        <v>1389</v>
      </c>
      <c r="B45" s="86" t="str">
        <f>_xlfn.CONCAT(B26,", ",C13)</f>
        <v>ATL (1), ATM (4), RI (1), SM (2)</v>
      </c>
      <c r="C45" s="124" t="s">
        <v>607</v>
      </c>
      <c r="D45" s="124">
        <v>1</v>
      </c>
    </row>
    <row r="46" spans="1:4">
      <c r="A46" s="124" t="s">
        <v>1390</v>
      </c>
      <c r="B46" s="86" t="str">
        <f>_xlfn.CONCAT(B26,", ",C14)</f>
        <v>ATL (1), ATM (4), RI (1), Sponsor (1)</v>
      </c>
      <c r="C46" s="124" t="s">
        <v>1368</v>
      </c>
      <c r="D46" s="124">
        <v>5</v>
      </c>
    </row>
    <row r="47" spans="1:4">
      <c r="A47" s="124" t="s">
        <v>1391</v>
      </c>
      <c r="B47" s="86" t="str">
        <f>_xlfn.CONCAT(B26,", ",C18)</f>
        <v>ATL (1), ATM (4), RI (1), ParticipantsTechTest (5)</v>
      </c>
      <c r="C47" s="124" t="s">
        <v>1391</v>
      </c>
      <c r="D47" s="124">
        <v>1</v>
      </c>
    </row>
  </sheetData>
  <sortState xmlns:xlrd2="http://schemas.microsoft.com/office/spreadsheetml/2017/richdata2" ref="A4:D15">
    <sortCondition ref="A4:A1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1311</v>
      </c>
      <c r="B1" t="s">
        <v>1294</v>
      </c>
      <c r="C1" s="282" t="s">
        <v>1295</v>
      </c>
      <c r="D1" t="s">
        <v>1312</v>
      </c>
      <c r="E1" t="s">
        <v>1313</v>
      </c>
      <c r="F1" s="282" t="s">
        <v>1298</v>
      </c>
      <c r="G1" s="282" t="s">
        <v>1299</v>
      </c>
      <c r="H1" t="s">
        <v>1314</v>
      </c>
      <c r="I1" t="s">
        <v>1315</v>
      </c>
      <c r="J1" t="s">
        <v>1316</v>
      </c>
      <c r="K1" t="s">
        <v>31</v>
      </c>
      <c r="L1" t="s">
        <v>32</v>
      </c>
      <c r="M1" t="s">
        <v>33</v>
      </c>
      <c r="N1" t="s">
        <v>34</v>
      </c>
      <c r="O1" t="s">
        <v>35</v>
      </c>
      <c r="P1" t="s">
        <v>17</v>
      </c>
    </row>
    <row r="2" spans="1:16">
      <c r="A2" t="s">
        <v>1334</v>
      </c>
      <c r="B2" t="s">
        <v>1318</v>
      </c>
      <c r="C2">
        <v>1</v>
      </c>
      <c r="D2" t="s">
        <v>1515</v>
      </c>
      <c r="E2" t="s">
        <v>388</v>
      </c>
      <c r="H2" t="s">
        <v>1332</v>
      </c>
      <c r="I2" t="s">
        <v>388</v>
      </c>
      <c r="J2" t="s">
        <v>1539</v>
      </c>
      <c r="K2" t="s">
        <v>1571</v>
      </c>
      <c r="L2" t="s">
        <v>1570</v>
      </c>
      <c r="M2" t="s">
        <v>1558</v>
      </c>
      <c r="N2" t="s">
        <v>1559</v>
      </c>
      <c r="O2" t="s">
        <v>1575</v>
      </c>
      <c r="P2" t="s">
        <v>18</v>
      </c>
    </row>
    <row r="3" spans="1:16">
      <c r="A3" t="s">
        <v>1335</v>
      </c>
      <c r="B3" t="s">
        <v>1318</v>
      </c>
      <c r="C3">
        <v>2</v>
      </c>
      <c r="D3" t="s">
        <v>1516</v>
      </c>
      <c r="E3" t="s">
        <v>388</v>
      </c>
      <c r="H3" t="s">
        <v>1332</v>
      </c>
      <c r="I3" t="s">
        <v>388</v>
      </c>
      <c r="J3" t="s">
        <v>1540</v>
      </c>
      <c r="K3" t="s">
        <v>1571</v>
      </c>
      <c r="L3" t="s">
        <v>1570</v>
      </c>
      <c r="M3" t="s">
        <v>1558</v>
      </c>
      <c r="N3" t="s">
        <v>1559</v>
      </c>
      <c r="O3" t="s">
        <v>1575</v>
      </c>
      <c r="P3" t="s">
        <v>18</v>
      </c>
    </row>
    <row r="4" spans="1:16">
      <c r="A4" t="s">
        <v>1336</v>
      </c>
      <c r="B4" t="s">
        <v>1318</v>
      </c>
      <c r="C4">
        <v>1</v>
      </c>
      <c r="D4" t="s">
        <v>1517</v>
      </c>
      <c r="E4" t="s">
        <v>388</v>
      </c>
      <c r="H4" t="s">
        <v>1332</v>
      </c>
      <c r="I4" t="s">
        <v>388</v>
      </c>
      <c r="J4" t="s">
        <v>1541</v>
      </c>
      <c r="K4" t="s">
        <v>1571</v>
      </c>
      <c r="L4" t="s">
        <v>1570</v>
      </c>
      <c r="M4" t="s">
        <v>1558</v>
      </c>
      <c r="N4" t="s">
        <v>1559</v>
      </c>
      <c r="O4" t="s">
        <v>1575</v>
      </c>
      <c r="P4" t="s">
        <v>18</v>
      </c>
    </row>
    <row r="5" spans="1:16">
      <c r="A5" t="s">
        <v>1337</v>
      </c>
      <c r="B5" t="s">
        <v>1318</v>
      </c>
      <c r="C5">
        <v>1</v>
      </c>
      <c r="D5" t="s">
        <v>1518</v>
      </c>
      <c r="E5" t="s">
        <v>388</v>
      </c>
      <c r="H5" t="s">
        <v>1332</v>
      </c>
      <c r="I5" t="s">
        <v>388</v>
      </c>
      <c r="J5" t="s">
        <v>1542</v>
      </c>
      <c r="K5" t="s">
        <v>1571</v>
      </c>
      <c r="L5" t="s">
        <v>1570</v>
      </c>
      <c r="M5" t="s">
        <v>1558</v>
      </c>
      <c r="N5" t="s">
        <v>1559</v>
      </c>
      <c r="O5" t="s">
        <v>1575</v>
      </c>
      <c r="P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1293</v>
      </c>
      <c r="B1" t="s">
        <v>1294</v>
      </c>
      <c r="C1" s="282" t="s">
        <v>1295</v>
      </c>
      <c r="D1" t="s">
        <v>1296</v>
      </c>
      <c r="E1" t="s">
        <v>1297</v>
      </c>
      <c r="F1" s="282" t="s">
        <v>1298</v>
      </c>
      <c r="G1" s="282" t="s">
        <v>1299</v>
      </c>
      <c r="H1" t="s">
        <v>1300</v>
      </c>
      <c r="I1" s="282" t="s">
        <v>1301</v>
      </c>
      <c r="J1" s="282" t="s">
        <v>1302</v>
      </c>
      <c r="K1" s="282" t="s">
        <v>1303</v>
      </c>
      <c r="L1" s="282" t="s">
        <v>1304</v>
      </c>
      <c r="M1" t="s">
        <v>1305</v>
      </c>
      <c r="N1" s="282" t="s">
        <v>1306</v>
      </c>
      <c r="O1" t="s">
        <v>1307</v>
      </c>
      <c r="P1" t="s">
        <v>32</v>
      </c>
      <c r="Q1" t="s">
        <v>1308</v>
      </c>
      <c r="R1" t="s">
        <v>34</v>
      </c>
      <c r="S1" t="s">
        <v>35</v>
      </c>
      <c r="T1" t="s">
        <v>1309</v>
      </c>
    </row>
    <row r="2" spans="1:20" ht="24" customHeight="1">
      <c r="A2" t="s">
        <v>1508</v>
      </c>
      <c r="C2">
        <v>5</v>
      </c>
      <c r="D2" t="s">
        <v>1507</v>
      </c>
      <c r="E2" t="s">
        <v>388</v>
      </c>
      <c r="H2" t="s">
        <v>1332</v>
      </c>
      <c r="I2" t="s">
        <v>1321</v>
      </c>
      <c r="J2" t="s">
        <v>1135</v>
      </c>
      <c r="K2" s="322">
        <v>44021</v>
      </c>
      <c r="L2" s="322">
        <v>44260</v>
      </c>
      <c r="M2" t="s">
        <v>388</v>
      </c>
      <c r="N2" t="s">
        <v>1523</v>
      </c>
      <c r="O2" t="s">
        <v>1571</v>
      </c>
      <c r="P2" t="s">
        <v>1570</v>
      </c>
      <c r="Q2" t="s">
        <v>1558</v>
      </c>
      <c r="R2" t="s">
        <v>1559</v>
      </c>
      <c r="S2" t="s">
        <v>1575</v>
      </c>
      <c r="T2" t="s">
        <v>18</v>
      </c>
    </row>
    <row r="3" spans="1:20" ht="24" customHeight="1">
      <c r="A3" t="s">
        <v>1509</v>
      </c>
      <c r="C3">
        <v>5</v>
      </c>
      <c r="D3" t="s">
        <v>1510</v>
      </c>
      <c r="E3" t="s">
        <v>388</v>
      </c>
      <c r="H3" t="s">
        <v>1332</v>
      </c>
      <c r="I3" t="s">
        <v>1321</v>
      </c>
      <c r="J3" t="s">
        <v>1135</v>
      </c>
      <c r="K3" s="322">
        <v>44086</v>
      </c>
      <c r="L3" s="322">
        <v>44258</v>
      </c>
      <c r="M3" t="s">
        <v>388</v>
      </c>
      <c r="N3" t="s">
        <v>1528</v>
      </c>
      <c r="O3" t="s">
        <v>1571</v>
      </c>
      <c r="P3" t="s">
        <v>1570</v>
      </c>
      <c r="Q3" t="s">
        <v>1558</v>
      </c>
      <c r="R3" t="s">
        <v>1559</v>
      </c>
      <c r="S3" t="s">
        <v>1575</v>
      </c>
      <c r="T3" t="s">
        <v>18</v>
      </c>
    </row>
    <row r="4" spans="1:20" ht="24" customHeight="1">
      <c r="A4" t="s">
        <v>1511</v>
      </c>
      <c r="C4">
        <v>5</v>
      </c>
      <c r="D4" t="s">
        <v>1512</v>
      </c>
      <c r="E4" t="s">
        <v>388</v>
      </c>
      <c r="H4" t="s">
        <v>1332</v>
      </c>
      <c r="I4" t="s">
        <v>1321</v>
      </c>
      <c r="J4" t="s">
        <v>1135</v>
      </c>
      <c r="K4" s="322">
        <v>44062</v>
      </c>
      <c r="L4" s="322">
        <v>44247</v>
      </c>
      <c r="M4" t="s">
        <v>388</v>
      </c>
      <c r="N4" t="s">
        <v>1533</v>
      </c>
      <c r="O4" t="s">
        <v>1571</v>
      </c>
      <c r="P4" t="s">
        <v>1570</v>
      </c>
      <c r="Q4" t="s">
        <v>1558</v>
      </c>
      <c r="R4" t="s">
        <v>1559</v>
      </c>
      <c r="S4" t="s">
        <v>1575</v>
      </c>
      <c r="T4" t="s">
        <v>18</v>
      </c>
    </row>
    <row r="5" spans="1:20" ht="24" customHeight="1">
      <c r="A5" t="s">
        <v>1513</v>
      </c>
      <c r="C5">
        <v>5</v>
      </c>
      <c r="D5" t="s">
        <v>1514</v>
      </c>
      <c r="E5" t="s">
        <v>388</v>
      </c>
      <c r="H5" t="s">
        <v>1332</v>
      </c>
      <c r="I5" t="s">
        <v>1321</v>
      </c>
      <c r="J5" t="s">
        <v>1135</v>
      </c>
      <c r="K5" s="322">
        <v>44116</v>
      </c>
      <c r="L5" s="322">
        <v>44265</v>
      </c>
      <c r="M5" t="s">
        <v>388</v>
      </c>
      <c r="N5" t="s">
        <v>1538</v>
      </c>
      <c r="O5" t="s">
        <v>1571</v>
      </c>
      <c r="P5" t="s">
        <v>1570</v>
      </c>
      <c r="Q5" t="s">
        <v>1558</v>
      </c>
      <c r="R5" t="s">
        <v>1559</v>
      </c>
      <c r="S5" t="s">
        <v>1575</v>
      </c>
      <c r="T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1271</v>
      </c>
      <c r="B1" t="s">
        <v>1272</v>
      </c>
      <c r="C1" t="s">
        <v>1273</v>
      </c>
    </row>
    <row r="2" spans="1:3">
      <c r="A2" t="s">
        <v>1521</v>
      </c>
      <c r="B2" t="s">
        <v>1140</v>
      </c>
      <c r="C2" t="s">
        <v>1332</v>
      </c>
    </row>
    <row r="3" spans="1:3">
      <c r="A3" t="s">
        <v>1520</v>
      </c>
      <c r="B3" t="s">
        <v>903</v>
      </c>
      <c r="C3" t="s">
        <v>1332</v>
      </c>
    </row>
    <row r="4" spans="1:3">
      <c r="A4" t="s">
        <v>1524</v>
      </c>
      <c r="B4" t="s">
        <v>902</v>
      </c>
      <c r="C4" t="s">
        <v>1332</v>
      </c>
    </row>
    <row r="5" spans="1:3">
      <c r="A5" t="s">
        <v>1526</v>
      </c>
      <c r="B5" t="s">
        <v>1140</v>
      </c>
      <c r="C5" t="s">
        <v>1332</v>
      </c>
    </row>
    <row r="6" spans="1:3">
      <c r="A6" t="s">
        <v>1533</v>
      </c>
      <c r="B6" t="s">
        <v>1343</v>
      </c>
      <c r="C6" t="s">
        <v>1332</v>
      </c>
    </row>
    <row r="7" spans="1:3">
      <c r="A7" t="s">
        <v>1538</v>
      </c>
      <c r="B7" t="s">
        <v>1343</v>
      </c>
      <c r="C7" t="s">
        <v>1332</v>
      </c>
    </row>
    <row r="8" spans="1:3">
      <c r="A8" t="s">
        <v>1539</v>
      </c>
      <c r="B8" t="s">
        <v>1342</v>
      </c>
      <c r="C8" t="s">
        <v>1332</v>
      </c>
    </row>
    <row r="9" spans="1:3">
      <c r="A9" t="s">
        <v>1540</v>
      </c>
      <c r="B9" t="s">
        <v>1344</v>
      </c>
      <c r="C9" t="s">
        <v>1332</v>
      </c>
    </row>
    <row r="10" spans="1:3">
      <c r="A10" t="s">
        <v>1541</v>
      </c>
      <c r="B10" t="s">
        <v>1341</v>
      </c>
      <c r="C10" t="s">
        <v>1332</v>
      </c>
    </row>
    <row r="11" spans="1:3">
      <c r="A11" t="s">
        <v>1542</v>
      </c>
      <c r="B11" t="s">
        <v>1225</v>
      </c>
      <c r="C11" t="s">
        <v>1332</v>
      </c>
    </row>
  </sheetData>
  <sortState xmlns:xlrd2="http://schemas.microsoft.com/office/spreadsheetml/2017/richdata2" ref="A2:C12">
    <sortCondition ref="A2:A12"/>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1508</v>
      </c>
      <c r="C1" t="s">
        <v>1509</v>
      </c>
      <c r="D1" t="s">
        <v>1511</v>
      </c>
      <c r="E1" t="s">
        <v>1513</v>
      </c>
      <c r="F1" t="s">
        <v>1334</v>
      </c>
      <c r="G1" t="s">
        <v>1335</v>
      </c>
      <c r="H1" t="s">
        <v>1336</v>
      </c>
      <c r="I1" t="s">
        <v>1337</v>
      </c>
    </row>
    <row r="2" spans="1:9">
      <c r="A2" t="s">
        <v>1521</v>
      </c>
      <c r="B2" t="s">
        <v>1290</v>
      </c>
    </row>
    <row r="3" spans="1:9">
      <c r="A3" t="s">
        <v>1520</v>
      </c>
      <c r="B3" t="s">
        <v>1290</v>
      </c>
    </row>
    <row r="4" spans="1:9">
      <c r="A4" t="s">
        <v>1524</v>
      </c>
      <c r="C4" t="s">
        <v>1290</v>
      </c>
    </row>
    <row r="5" spans="1:9">
      <c r="A5" t="s">
        <v>1526</v>
      </c>
      <c r="C5" t="s">
        <v>1290</v>
      </c>
    </row>
    <row r="6" spans="1:9">
      <c r="A6" t="s">
        <v>1533</v>
      </c>
      <c r="D6" t="s">
        <v>1290</v>
      </c>
    </row>
    <row r="7" spans="1:9">
      <c r="A7" t="s">
        <v>1538</v>
      </c>
      <c r="E7" t="s">
        <v>1290</v>
      </c>
    </row>
    <row r="8" spans="1:9">
      <c r="A8" t="s">
        <v>1539</v>
      </c>
      <c r="F8" t="s">
        <v>1290</v>
      </c>
    </row>
    <row r="9" spans="1:9">
      <c r="A9" t="s">
        <v>1540</v>
      </c>
      <c r="G9" t="s">
        <v>1290</v>
      </c>
    </row>
    <row r="10" spans="1:9">
      <c r="A10" t="s">
        <v>1541</v>
      </c>
      <c r="H10" t="s">
        <v>1290</v>
      </c>
    </row>
    <row r="11" spans="1:9">
      <c r="A11" t="s">
        <v>1542</v>
      </c>
      <c r="I11" t="s">
        <v>1290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1521</v>
      </c>
      <c r="D2" t="s">
        <v>1290</v>
      </c>
      <c r="E2" t="s">
        <v>1290</v>
      </c>
      <c r="F2" t="s">
        <v>1290</v>
      </c>
      <c r="G2" t="s">
        <v>1290</v>
      </c>
    </row>
    <row r="3" spans="1:20">
      <c r="A3" t="s">
        <v>1520</v>
      </c>
      <c r="E3" t="s">
        <v>1290</v>
      </c>
      <c r="F3" t="s">
        <v>1290</v>
      </c>
    </row>
    <row r="4" spans="1:20">
      <c r="A4" t="s">
        <v>1524</v>
      </c>
      <c r="B4" t="s">
        <v>1290</v>
      </c>
      <c r="E4" t="s">
        <v>1290</v>
      </c>
    </row>
    <row r="5" spans="1:20">
      <c r="A5" t="s">
        <v>1526</v>
      </c>
      <c r="D5" t="s">
        <v>1290</v>
      </c>
      <c r="E5" t="s">
        <v>1290</v>
      </c>
      <c r="F5" t="s">
        <v>1290</v>
      </c>
      <c r="G5" t="s">
        <v>1290</v>
      </c>
    </row>
    <row r="6" spans="1:20">
      <c r="A6" t="s">
        <v>1533</v>
      </c>
      <c r="E6" t="s">
        <v>1290</v>
      </c>
      <c r="H6" t="s">
        <v>1290</v>
      </c>
      <c r="I6" t="s">
        <v>1290</v>
      </c>
      <c r="J6" t="s">
        <v>1290</v>
      </c>
      <c r="K6" t="s">
        <v>1290</v>
      </c>
      <c r="M6" t="s">
        <v>1290</v>
      </c>
      <c r="N6" t="s">
        <v>1290</v>
      </c>
    </row>
    <row r="7" spans="1:20">
      <c r="A7" t="s">
        <v>1538</v>
      </c>
      <c r="E7" t="s">
        <v>1290</v>
      </c>
      <c r="H7" t="s">
        <v>1290</v>
      </c>
      <c r="I7" t="s">
        <v>1290</v>
      </c>
      <c r="J7" t="s">
        <v>1290</v>
      </c>
      <c r="K7" t="s">
        <v>1290</v>
      </c>
      <c r="M7" t="s">
        <v>1290</v>
      </c>
      <c r="N7" t="s">
        <v>1290</v>
      </c>
    </row>
    <row r="8" spans="1:20">
      <c r="A8" t="s">
        <v>1539</v>
      </c>
      <c r="O8" t="s">
        <v>1290</v>
      </c>
    </row>
    <row r="9" spans="1:20">
      <c r="A9" t="s">
        <v>1540</v>
      </c>
      <c r="M9" t="s">
        <v>1290</v>
      </c>
      <c r="N9" t="s">
        <v>1290</v>
      </c>
      <c r="P9" t="s">
        <v>1290</v>
      </c>
      <c r="Q9" t="s">
        <v>1290</v>
      </c>
      <c r="R9" t="s">
        <v>1290</v>
      </c>
    </row>
    <row r="10" spans="1:20">
      <c r="A10" t="s">
        <v>1541</v>
      </c>
      <c r="L10" t="s">
        <v>1290</v>
      </c>
    </row>
    <row r="11" spans="1:20">
      <c r="A11" t="s">
        <v>1542</v>
      </c>
      <c r="C11" t="s">
        <v>1290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5"/>
    <col min="23" max="23" width="8.6640625" style="195" hidden="1" customWidth="1"/>
    <col min="24" max="26" width="8.6640625" style="195"/>
    <col min="27" max="27" width="11.77734375" style="195" customWidth="1"/>
    <col min="28" max="28" width="8.6640625" style="195" customWidth="1"/>
    <col min="29" max="16384" width="8.6640625" style="195"/>
  </cols>
  <sheetData>
    <row r="2" spans="2:28" ht="93.6">
      <c r="B2" s="574" t="s">
        <v>1071</v>
      </c>
      <c r="C2" s="574" t="s">
        <v>1072</v>
      </c>
      <c r="D2" s="565" t="s">
        <v>1073</v>
      </c>
      <c r="E2" s="567"/>
      <c r="F2" s="568" t="s">
        <v>1074</v>
      </c>
      <c r="G2" s="570"/>
      <c r="H2" s="565" t="s">
        <v>1075</v>
      </c>
      <c r="I2" s="566"/>
      <c r="J2" s="566"/>
      <c r="K2" s="567"/>
      <c r="L2" s="568" t="s">
        <v>1076</v>
      </c>
      <c r="M2" s="569"/>
      <c r="N2" s="570"/>
      <c r="O2" s="209" t="s">
        <v>1077</v>
      </c>
      <c r="P2" s="210" t="s">
        <v>1078</v>
      </c>
      <c r="Q2" s="565" t="s">
        <v>1079</v>
      </c>
      <c r="R2" s="566"/>
      <c r="S2" s="567"/>
      <c r="T2" s="568" t="s">
        <v>1080</v>
      </c>
      <c r="U2" s="569"/>
      <c r="V2" s="570"/>
      <c r="W2" s="206" t="s">
        <v>1081</v>
      </c>
    </row>
    <row r="3" spans="2:28" ht="15.6">
      <c r="B3" s="575"/>
      <c r="C3" s="575"/>
      <c r="D3" s="284" t="s">
        <v>900</v>
      </c>
      <c r="E3" s="284" t="s">
        <v>901</v>
      </c>
      <c r="F3" s="285" t="s">
        <v>874</v>
      </c>
      <c r="G3" s="285" t="s">
        <v>873</v>
      </c>
      <c r="H3" s="284" t="s">
        <v>875</v>
      </c>
      <c r="I3" s="284" t="s">
        <v>877</v>
      </c>
      <c r="J3" s="284" t="s">
        <v>827</v>
      </c>
      <c r="K3" s="284" t="s">
        <v>876</v>
      </c>
      <c r="L3" s="285" t="s">
        <v>880</v>
      </c>
      <c r="M3" s="285" t="s">
        <v>879</v>
      </c>
      <c r="N3" s="285" t="s">
        <v>878</v>
      </c>
      <c r="O3" s="284" t="s">
        <v>881</v>
      </c>
      <c r="P3" s="285" t="s">
        <v>745</v>
      </c>
      <c r="Q3" s="284" t="s">
        <v>883</v>
      </c>
      <c r="R3" s="284" t="s">
        <v>884</v>
      </c>
      <c r="S3" s="284" t="s">
        <v>882</v>
      </c>
      <c r="T3" s="285" t="s">
        <v>885</v>
      </c>
      <c r="U3" s="285" t="s">
        <v>886</v>
      </c>
      <c r="V3" s="285" t="s">
        <v>743</v>
      </c>
      <c r="W3" s="206" t="s">
        <v>887</v>
      </c>
    </row>
    <row r="4" spans="2:28" ht="12" customHeight="1">
      <c r="B4" s="202"/>
      <c r="C4" s="202"/>
      <c r="D4" s="202"/>
      <c r="E4" s="202"/>
      <c r="F4" s="202"/>
      <c r="G4" s="202"/>
      <c r="H4" s="202"/>
      <c r="I4" s="202"/>
      <c r="J4" s="202"/>
      <c r="K4" s="202"/>
      <c r="L4" s="202"/>
      <c r="M4" s="202"/>
      <c r="N4" s="202"/>
      <c r="O4" s="202"/>
      <c r="P4" s="202"/>
      <c r="Q4" s="202"/>
      <c r="R4" s="202"/>
      <c r="S4" s="202"/>
      <c r="T4" s="202"/>
      <c r="U4" s="202"/>
      <c r="V4" s="202"/>
      <c r="W4" s="196"/>
    </row>
    <row r="5" spans="2:28" ht="15" customHeight="1">
      <c r="B5" s="571" t="s">
        <v>1082</v>
      </c>
      <c r="C5" s="213"/>
      <c r="D5" s="287"/>
      <c r="E5" s="287"/>
      <c r="F5" s="287"/>
      <c r="G5" s="287"/>
      <c r="H5" s="287"/>
      <c r="I5" s="287"/>
      <c r="J5" s="287"/>
      <c r="K5" s="287"/>
      <c r="L5" s="287"/>
      <c r="M5" s="287"/>
      <c r="N5" s="287"/>
      <c r="O5" s="287"/>
      <c r="P5" s="287"/>
      <c r="Q5" s="287"/>
      <c r="R5" s="287"/>
      <c r="S5" s="287"/>
      <c r="T5" s="287"/>
      <c r="U5" s="287"/>
      <c r="V5" s="287"/>
      <c r="W5" s="196" t="s">
        <v>1087</v>
      </c>
      <c r="Z5" s="450" t="s">
        <v>1687</v>
      </c>
    </row>
    <row r="6" spans="2:28" ht="15" customHeight="1">
      <c r="B6" s="572"/>
      <c r="C6" s="285">
        <v>1.1000000000000001</v>
      </c>
      <c r="D6" s="288"/>
      <c r="E6" s="288"/>
      <c r="F6" s="288"/>
      <c r="G6" s="288"/>
      <c r="H6" s="288"/>
      <c r="I6" s="288"/>
      <c r="J6" s="288"/>
      <c r="K6" s="288"/>
      <c r="L6" s="288"/>
      <c r="M6" s="288"/>
      <c r="N6" s="288"/>
      <c r="O6" s="288"/>
      <c r="P6" s="288"/>
      <c r="Q6" s="288"/>
      <c r="R6" s="288"/>
      <c r="S6" s="288"/>
      <c r="T6" s="288"/>
      <c r="U6" s="288"/>
      <c r="V6" s="288"/>
      <c r="W6" s="196" t="s">
        <v>1085</v>
      </c>
    </row>
    <row r="7" spans="2:28" ht="15" customHeight="1">
      <c r="B7" s="572"/>
      <c r="C7" s="285">
        <v>1.2</v>
      </c>
      <c r="D7" s="288"/>
      <c r="E7" s="288"/>
      <c r="F7" s="288"/>
      <c r="G7" s="288"/>
      <c r="H7" s="288"/>
      <c r="I7" s="288"/>
      <c r="J7" s="288"/>
      <c r="K7" s="288"/>
      <c r="L7" s="288"/>
      <c r="M7" s="288"/>
      <c r="N7" s="288"/>
      <c r="O7" s="288"/>
      <c r="P7" s="288"/>
      <c r="Q7" s="288"/>
      <c r="R7" s="288"/>
      <c r="S7" s="288"/>
      <c r="T7" s="288"/>
      <c r="U7" s="288"/>
      <c r="V7" s="288"/>
      <c r="W7" s="196" t="s">
        <v>904</v>
      </c>
      <c r="Z7" s="195" t="s">
        <v>1685</v>
      </c>
      <c r="AB7" s="449" t="s">
        <v>1086</v>
      </c>
    </row>
    <row r="8" spans="2:28" ht="15" customHeight="1">
      <c r="B8" s="573"/>
      <c r="C8" s="285">
        <v>1.3</v>
      </c>
      <c r="D8" s="288"/>
      <c r="E8" s="288"/>
      <c r="F8" s="288"/>
      <c r="G8" s="288"/>
      <c r="H8" s="288"/>
      <c r="I8" s="288"/>
      <c r="J8" s="288"/>
      <c r="K8" s="288"/>
      <c r="L8" s="288"/>
      <c r="M8" s="288"/>
      <c r="N8" s="288"/>
      <c r="O8" s="288"/>
      <c r="P8" s="288"/>
      <c r="Q8" s="288"/>
      <c r="R8" s="288"/>
      <c r="S8" s="288"/>
      <c r="T8" s="288"/>
      <c r="U8" s="288"/>
      <c r="V8" s="288"/>
      <c r="W8" s="196" t="s">
        <v>1084</v>
      </c>
      <c r="Z8" s="195" t="s">
        <v>1686</v>
      </c>
      <c r="AB8" s="449" t="s">
        <v>1087</v>
      </c>
    </row>
    <row r="9" spans="2:28" ht="15" customHeight="1">
      <c r="B9" s="202"/>
      <c r="C9" s="202"/>
      <c r="D9" s="202"/>
      <c r="E9" s="202"/>
      <c r="F9" s="202"/>
      <c r="G9" s="202"/>
      <c r="H9" s="202"/>
      <c r="I9" s="202"/>
      <c r="J9" s="202"/>
      <c r="K9" s="202"/>
      <c r="L9" s="202"/>
      <c r="M9" s="202"/>
      <c r="N9" s="202"/>
      <c r="O9" s="202"/>
      <c r="P9" s="202"/>
      <c r="Q9" s="202"/>
      <c r="R9" s="202"/>
      <c r="S9" s="202"/>
      <c r="T9" s="202"/>
      <c r="U9" s="202"/>
      <c r="V9" s="202"/>
      <c r="W9" s="196" t="s">
        <v>1084</v>
      </c>
    </row>
    <row r="10" spans="2:28" ht="15" customHeight="1">
      <c r="B10" s="571" t="s">
        <v>1088</v>
      </c>
      <c r="C10" s="213"/>
      <c r="D10" s="286"/>
      <c r="E10" s="286"/>
      <c r="F10" s="286"/>
      <c r="G10" s="286"/>
      <c r="H10" s="286"/>
      <c r="I10" s="286"/>
      <c r="J10" s="286"/>
      <c r="K10" s="286"/>
      <c r="L10" s="286"/>
      <c r="M10" s="286"/>
      <c r="N10" s="286"/>
      <c r="O10" s="286"/>
      <c r="P10" s="286"/>
      <c r="Q10" s="286"/>
      <c r="R10" s="286"/>
      <c r="S10" s="286"/>
      <c r="T10" s="286"/>
      <c r="U10" s="286"/>
      <c r="V10" s="286"/>
      <c r="W10" s="207"/>
      <c r="Z10" s="450" t="s">
        <v>1693</v>
      </c>
    </row>
    <row r="11" spans="2:28" ht="15" customHeight="1">
      <c r="B11" s="572"/>
      <c r="C11" s="285">
        <v>2.1</v>
      </c>
      <c r="D11" s="213"/>
      <c r="E11" s="213"/>
      <c r="F11" s="213"/>
      <c r="G11" s="213"/>
      <c r="H11" s="213"/>
      <c r="I11" s="424" t="s">
        <v>1624</v>
      </c>
      <c r="J11" s="213"/>
      <c r="K11" s="213"/>
      <c r="L11" s="213"/>
      <c r="M11" s="213"/>
      <c r="N11" s="213"/>
      <c r="O11" s="213"/>
      <c r="P11" s="213"/>
      <c r="Q11" s="213"/>
      <c r="R11" s="213"/>
      <c r="S11" s="213"/>
      <c r="T11" s="213"/>
      <c r="U11" s="213"/>
      <c r="V11" s="213"/>
      <c r="W11" s="196"/>
    </row>
    <row r="12" spans="2:28" ht="15" customHeight="1">
      <c r="B12" s="572"/>
      <c r="C12" s="285">
        <v>2.2000000000000002</v>
      </c>
      <c r="D12" s="213"/>
      <c r="E12" s="213"/>
      <c r="F12" s="213"/>
      <c r="G12" s="213"/>
      <c r="H12" s="213"/>
      <c r="I12" s="213"/>
      <c r="J12" s="213"/>
      <c r="K12" s="213"/>
      <c r="L12" s="213"/>
      <c r="M12" s="213"/>
      <c r="N12" s="213"/>
      <c r="O12" s="213"/>
      <c r="P12" s="213"/>
      <c r="Q12" s="213"/>
      <c r="R12" s="213"/>
      <c r="S12" s="213"/>
      <c r="T12" s="213"/>
      <c r="U12" s="213"/>
      <c r="V12" s="213"/>
      <c r="W12" s="196" t="s">
        <v>1085</v>
      </c>
      <c r="Z12" s="195" t="s">
        <v>1688</v>
      </c>
      <c r="AB12" s="448" t="s">
        <v>1083</v>
      </c>
    </row>
    <row r="13" spans="2:28" ht="15" customHeight="1">
      <c r="B13" s="572"/>
      <c r="C13" s="285">
        <v>2.2999999999999998</v>
      </c>
      <c r="D13" s="213"/>
      <c r="E13" s="213"/>
      <c r="F13" s="213"/>
      <c r="G13" s="213"/>
      <c r="H13" s="213"/>
      <c r="I13" s="213"/>
      <c r="J13" s="213"/>
      <c r="K13" s="213"/>
      <c r="L13" s="213"/>
      <c r="M13" s="213"/>
      <c r="N13" s="213"/>
      <c r="O13" s="213"/>
      <c r="P13" s="213"/>
      <c r="Q13" s="213"/>
      <c r="R13" s="213"/>
      <c r="S13" s="213"/>
      <c r="T13" s="213"/>
      <c r="U13" s="213"/>
      <c r="V13" s="213"/>
      <c r="W13" s="196" t="s">
        <v>1085</v>
      </c>
      <c r="Z13" s="195" t="s">
        <v>1689</v>
      </c>
      <c r="AB13" s="448" t="s">
        <v>1084</v>
      </c>
    </row>
    <row r="14" spans="2:28" ht="15" customHeight="1">
      <c r="B14" s="572"/>
      <c r="C14" s="285">
        <v>2.4</v>
      </c>
      <c r="D14" s="213"/>
      <c r="E14" s="213"/>
      <c r="F14" s="213"/>
      <c r="G14" s="213"/>
      <c r="H14" s="213"/>
      <c r="I14" s="213"/>
      <c r="J14" s="213"/>
      <c r="K14" s="213"/>
      <c r="L14" s="213"/>
      <c r="M14" s="213"/>
      <c r="N14" s="213"/>
      <c r="O14" s="213"/>
      <c r="P14" s="213"/>
      <c r="Q14" s="213"/>
      <c r="R14" s="213"/>
      <c r="S14" s="213"/>
      <c r="T14" s="213"/>
      <c r="U14" s="213"/>
      <c r="V14" s="213"/>
      <c r="W14" s="196" t="s">
        <v>1083</v>
      </c>
      <c r="Z14" s="195" t="s">
        <v>1690</v>
      </c>
      <c r="AB14" s="448" t="s">
        <v>904</v>
      </c>
    </row>
    <row r="15" spans="2:28" ht="15" customHeight="1">
      <c r="B15" s="572"/>
      <c r="C15" s="285">
        <v>2.5</v>
      </c>
      <c r="D15" s="213"/>
      <c r="E15" s="213"/>
      <c r="F15" s="213"/>
      <c r="G15" s="213"/>
      <c r="H15" s="213"/>
      <c r="I15" s="213"/>
      <c r="J15" s="213"/>
      <c r="K15" s="213"/>
      <c r="L15" s="213"/>
      <c r="M15" s="213"/>
      <c r="N15" s="213"/>
      <c r="O15" s="213"/>
      <c r="P15" s="213"/>
      <c r="Q15" s="213"/>
      <c r="R15" s="213"/>
      <c r="S15" s="213"/>
      <c r="T15" s="213"/>
      <c r="U15" s="213"/>
      <c r="V15" s="213"/>
      <c r="W15" s="196" t="s">
        <v>1084</v>
      </c>
      <c r="Z15" s="195" t="s">
        <v>1691</v>
      </c>
      <c r="AB15" s="448" t="s">
        <v>1085</v>
      </c>
    </row>
    <row r="16" spans="2:28" ht="15" customHeight="1">
      <c r="B16" s="572"/>
      <c r="C16" s="285">
        <v>2.6</v>
      </c>
      <c r="D16" s="213"/>
      <c r="E16" s="213"/>
      <c r="F16" s="213"/>
      <c r="G16" s="213"/>
      <c r="H16" s="213"/>
      <c r="I16" s="213"/>
      <c r="J16" s="213"/>
      <c r="K16" s="213"/>
      <c r="L16" s="213"/>
      <c r="M16" s="213"/>
      <c r="N16" s="213"/>
      <c r="O16" s="213"/>
      <c r="P16" s="213"/>
      <c r="Q16" s="213"/>
      <c r="R16" s="213"/>
      <c r="S16" s="213"/>
      <c r="T16" s="213"/>
      <c r="U16" s="213"/>
      <c r="V16" s="213"/>
      <c r="W16" s="196"/>
      <c r="Z16" s="195" t="s">
        <v>1692</v>
      </c>
      <c r="AB16" s="448" t="s">
        <v>1089</v>
      </c>
    </row>
    <row r="17" spans="2:23" ht="15" customHeight="1">
      <c r="B17" s="572"/>
      <c r="C17" s="285">
        <v>2.7</v>
      </c>
      <c r="D17" s="213"/>
      <c r="E17" s="213"/>
      <c r="F17" s="213"/>
      <c r="G17" s="213"/>
      <c r="H17" s="213"/>
      <c r="I17" s="213"/>
      <c r="J17" s="213"/>
      <c r="K17" s="213"/>
      <c r="L17" s="213"/>
      <c r="M17" s="213"/>
      <c r="N17" s="213"/>
      <c r="O17" s="213"/>
      <c r="P17" s="213"/>
      <c r="Q17" s="213"/>
      <c r="R17" s="213"/>
      <c r="S17" s="213"/>
      <c r="T17" s="213"/>
      <c r="U17" s="213"/>
      <c r="V17" s="213"/>
      <c r="W17" s="196"/>
    </row>
    <row r="18" spans="2:23" ht="15" customHeight="1">
      <c r="B18" s="573"/>
      <c r="C18" s="285">
        <v>2.8</v>
      </c>
      <c r="D18" s="213"/>
      <c r="E18" s="213"/>
      <c r="F18" s="213"/>
      <c r="G18" s="213"/>
      <c r="H18" s="213"/>
      <c r="I18" s="213"/>
      <c r="J18" s="213"/>
      <c r="K18" s="213"/>
      <c r="L18" s="213"/>
      <c r="M18" s="213"/>
      <c r="N18" s="213"/>
      <c r="O18" s="213"/>
      <c r="P18" s="213"/>
      <c r="Q18" s="213"/>
      <c r="R18" s="213"/>
      <c r="S18" s="213"/>
      <c r="T18" s="213"/>
      <c r="U18" s="213"/>
      <c r="V18" s="213"/>
      <c r="W18" s="196"/>
    </row>
    <row r="19" spans="2:23" ht="15" customHeight="1">
      <c r="B19" s="202"/>
      <c r="C19" s="202"/>
      <c r="D19" s="202"/>
      <c r="E19" s="202"/>
      <c r="F19" s="202"/>
      <c r="G19" s="202"/>
      <c r="H19" s="202"/>
      <c r="I19" s="202"/>
      <c r="J19" s="202"/>
      <c r="K19" s="202"/>
      <c r="L19" s="202"/>
      <c r="M19" s="202"/>
      <c r="N19" s="202"/>
      <c r="O19" s="202"/>
      <c r="P19" s="202"/>
      <c r="Q19" s="202"/>
      <c r="R19" s="202"/>
      <c r="S19" s="202"/>
      <c r="T19" s="202"/>
      <c r="U19" s="202"/>
      <c r="V19" s="202"/>
      <c r="W19" s="196"/>
    </row>
    <row r="20" spans="2:23" ht="12" customHeight="1">
      <c r="B20" s="571" t="s">
        <v>1090</v>
      </c>
      <c r="C20" s="213"/>
      <c r="D20" s="286"/>
      <c r="E20" s="286"/>
      <c r="F20" s="286"/>
      <c r="G20" s="286"/>
      <c r="H20" s="286"/>
      <c r="I20" s="286"/>
      <c r="J20" s="286"/>
      <c r="K20" s="286"/>
      <c r="L20" s="286"/>
      <c r="M20" s="286"/>
      <c r="N20" s="286"/>
      <c r="O20" s="286"/>
      <c r="P20" s="286"/>
      <c r="Q20" s="286"/>
      <c r="R20" s="286"/>
      <c r="S20" s="286"/>
      <c r="T20" s="286"/>
      <c r="U20" s="286"/>
      <c r="V20" s="213"/>
      <c r="W20" s="207"/>
    </row>
    <row r="21" spans="2:23" ht="15.6">
      <c r="B21" s="572"/>
      <c r="C21" s="285">
        <v>3.1</v>
      </c>
      <c r="D21" s="213"/>
      <c r="E21" s="213"/>
      <c r="F21" s="213"/>
      <c r="G21" s="213"/>
      <c r="H21" s="213"/>
      <c r="I21" s="213"/>
      <c r="J21" s="213"/>
      <c r="K21" s="213"/>
      <c r="L21" s="213"/>
      <c r="M21" s="213"/>
      <c r="N21" s="213"/>
      <c r="O21" s="213"/>
      <c r="P21" s="213"/>
      <c r="Q21" s="213"/>
      <c r="R21" s="213"/>
      <c r="S21" s="213"/>
      <c r="T21" s="213"/>
      <c r="U21" s="213"/>
      <c r="V21" s="213"/>
      <c r="W21" s="196"/>
    </row>
    <row r="22" spans="2:23" ht="15.6">
      <c r="B22" s="572"/>
      <c r="C22" s="285">
        <v>3.2</v>
      </c>
      <c r="D22" s="213"/>
      <c r="E22" s="213"/>
      <c r="F22" s="213"/>
      <c r="G22" s="213"/>
      <c r="H22" s="213"/>
      <c r="I22" s="213"/>
      <c r="J22" s="213"/>
      <c r="K22" s="213"/>
      <c r="L22" s="213"/>
      <c r="M22" s="213"/>
      <c r="N22" s="213"/>
      <c r="O22" s="213"/>
      <c r="P22" s="213"/>
      <c r="Q22" s="213"/>
      <c r="R22" s="213"/>
      <c r="S22" s="213"/>
      <c r="T22" s="213"/>
      <c r="U22" s="213"/>
      <c r="V22" s="213"/>
      <c r="W22" s="196" t="s">
        <v>1085</v>
      </c>
    </row>
    <row r="23" spans="2:23" ht="15.6">
      <c r="B23" s="572"/>
      <c r="C23" s="285">
        <v>3.3</v>
      </c>
      <c r="D23" s="213"/>
      <c r="E23" s="213"/>
      <c r="F23" s="213"/>
      <c r="G23" s="213"/>
      <c r="H23" s="213"/>
      <c r="I23" s="213"/>
      <c r="J23" s="213"/>
      <c r="K23" s="213"/>
      <c r="L23" s="213"/>
      <c r="M23" s="213"/>
      <c r="N23" s="213"/>
      <c r="O23" s="213"/>
      <c r="P23" s="213"/>
      <c r="Q23" s="213"/>
      <c r="R23" s="213"/>
      <c r="S23" s="213"/>
      <c r="T23" s="213"/>
      <c r="U23" s="213"/>
      <c r="V23" s="213"/>
      <c r="W23" s="196" t="s">
        <v>1085</v>
      </c>
    </row>
    <row r="24" spans="2:23" ht="15.6">
      <c r="B24" s="572"/>
      <c r="C24" s="285">
        <v>3.4</v>
      </c>
      <c r="D24" s="213"/>
      <c r="E24" s="213"/>
      <c r="F24" s="213"/>
      <c r="G24" s="213"/>
      <c r="H24" s="213"/>
      <c r="I24" s="213"/>
      <c r="J24" s="213"/>
      <c r="K24" s="213"/>
      <c r="L24" s="213"/>
      <c r="M24" s="213"/>
      <c r="N24" s="213"/>
      <c r="O24" s="213"/>
      <c r="P24" s="213"/>
      <c r="Q24" s="213"/>
      <c r="R24" s="213"/>
      <c r="S24" s="213"/>
      <c r="T24" s="213"/>
      <c r="U24" s="213"/>
      <c r="V24" s="213"/>
      <c r="W24" s="196"/>
    </row>
    <row r="25" spans="2:23" ht="15.6">
      <c r="B25" s="572"/>
      <c r="C25" s="285">
        <v>3.5</v>
      </c>
      <c r="D25" s="213"/>
      <c r="E25" s="213"/>
      <c r="F25" s="213"/>
      <c r="G25" s="213"/>
      <c r="H25" s="213"/>
      <c r="I25" s="213"/>
      <c r="J25" s="213"/>
      <c r="K25" s="213"/>
      <c r="L25" s="213"/>
      <c r="M25" s="213"/>
      <c r="N25" s="213"/>
      <c r="O25" s="213"/>
      <c r="P25" s="213"/>
      <c r="Q25" s="213"/>
      <c r="R25" s="213"/>
      <c r="S25" s="213"/>
      <c r="T25" s="213"/>
      <c r="U25" s="213"/>
      <c r="V25" s="213"/>
      <c r="W25" s="196"/>
    </row>
    <row r="26" spans="2:23" ht="15.6">
      <c r="B26" s="572"/>
      <c r="C26" s="285">
        <v>3.6</v>
      </c>
      <c r="D26" s="213"/>
      <c r="E26" s="213"/>
      <c r="F26" s="213"/>
      <c r="G26" s="213"/>
      <c r="H26" s="213"/>
      <c r="I26" s="213"/>
      <c r="J26" s="213"/>
      <c r="K26" s="213"/>
      <c r="L26" s="213"/>
      <c r="M26" s="213"/>
      <c r="N26" s="213"/>
      <c r="O26" s="213"/>
      <c r="P26" s="213"/>
      <c r="Q26" s="213"/>
      <c r="R26" s="213"/>
      <c r="S26" s="213"/>
      <c r="T26" s="213"/>
      <c r="U26" s="213"/>
      <c r="V26" s="213"/>
      <c r="W26" s="196"/>
    </row>
    <row r="27" spans="2:23" ht="15.6">
      <c r="B27" s="573"/>
      <c r="C27" s="285">
        <v>3.7</v>
      </c>
      <c r="D27" s="213"/>
      <c r="E27" s="213"/>
      <c r="F27" s="213"/>
      <c r="G27" s="213"/>
      <c r="H27" s="213"/>
      <c r="I27" s="213"/>
      <c r="J27" s="213"/>
      <c r="K27" s="213"/>
      <c r="L27" s="213"/>
      <c r="M27" s="213"/>
      <c r="N27" s="213"/>
      <c r="O27" s="213"/>
      <c r="P27" s="213"/>
      <c r="Q27" s="213"/>
      <c r="R27" s="213"/>
      <c r="S27" s="213"/>
      <c r="T27" s="213"/>
      <c r="U27" s="213"/>
      <c r="V27" s="213"/>
      <c r="W27" s="196"/>
    </row>
    <row r="28" spans="2:23" ht="21">
      <c r="B28" s="202"/>
      <c r="C28" s="202"/>
      <c r="D28" s="202"/>
      <c r="E28" s="202"/>
      <c r="F28" s="202"/>
      <c r="G28" s="202"/>
      <c r="H28" s="202"/>
      <c r="I28" s="202"/>
      <c r="J28" s="202"/>
      <c r="K28" s="202"/>
      <c r="L28" s="202"/>
      <c r="M28" s="202"/>
      <c r="N28" s="202"/>
      <c r="O28" s="202"/>
      <c r="P28" s="202"/>
      <c r="Q28" s="202"/>
      <c r="R28" s="202"/>
      <c r="S28" s="202"/>
      <c r="T28" s="202"/>
      <c r="U28" s="202"/>
      <c r="V28" s="202"/>
      <c r="W28" s="196"/>
    </row>
    <row r="29" spans="2:23" ht="12" customHeight="1">
      <c r="B29" s="571" t="s">
        <v>1091</v>
      </c>
      <c r="C29" s="213"/>
      <c r="D29" s="286"/>
      <c r="E29" s="213"/>
      <c r="F29" s="213"/>
      <c r="G29" s="213"/>
      <c r="H29" s="213"/>
      <c r="I29" s="213"/>
      <c r="J29" s="213"/>
      <c r="K29" s="213"/>
      <c r="L29" s="286"/>
      <c r="M29" s="213"/>
      <c r="N29" s="286"/>
      <c r="O29" s="213"/>
      <c r="P29" s="213"/>
      <c r="Q29" s="213"/>
      <c r="R29" s="286"/>
      <c r="S29" s="213"/>
      <c r="T29" s="286"/>
      <c r="U29" s="213"/>
      <c r="V29" s="213"/>
      <c r="W29" s="207"/>
    </row>
    <row r="30" spans="2:23" ht="15.6">
      <c r="B30" s="572"/>
      <c r="C30" s="285">
        <v>4.0999999999999996</v>
      </c>
      <c r="D30" s="213"/>
      <c r="E30" s="213"/>
      <c r="F30" s="213"/>
      <c r="G30" s="213"/>
      <c r="H30" s="213"/>
      <c r="I30" s="213"/>
      <c r="J30" s="213"/>
      <c r="K30" s="213"/>
      <c r="L30" s="213"/>
      <c r="M30" s="213"/>
      <c r="N30" s="213"/>
      <c r="O30" s="213"/>
      <c r="P30" s="213"/>
      <c r="Q30" s="213"/>
      <c r="R30" s="213"/>
      <c r="S30" s="213"/>
      <c r="T30" s="213"/>
      <c r="U30" s="213"/>
      <c r="V30" s="213"/>
      <c r="W30" s="196"/>
    </row>
    <row r="31" spans="2:23" ht="15.6">
      <c r="B31" s="572"/>
      <c r="C31" s="285">
        <v>4.2</v>
      </c>
      <c r="D31" s="213"/>
      <c r="E31" s="213"/>
      <c r="F31" s="213"/>
      <c r="G31" s="213"/>
      <c r="H31" s="213"/>
      <c r="I31" s="213"/>
      <c r="J31" s="213"/>
      <c r="K31" s="213"/>
      <c r="L31" s="213"/>
      <c r="M31" s="213"/>
      <c r="N31" s="213"/>
      <c r="O31" s="213"/>
      <c r="P31" s="213"/>
      <c r="Q31" s="213"/>
      <c r="R31" s="213"/>
      <c r="S31" s="213"/>
      <c r="T31" s="213"/>
      <c r="U31" s="213"/>
      <c r="V31" s="213"/>
      <c r="W31" s="196" t="s">
        <v>1085</v>
      </c>
    </row>
    <row r="32" spans="2:23" ht="15.6">
      <c r="B32" s="572"/>
      <c r="C32" s="285">
        <v>4.3</v>
      </c>
      <c r="D32" s="213"/>
      <c r="E32" s="213"/>
      <c r="F32" s="213"/>
      <c r="G32" s="213"/>
      <c r="H32" s="213"/>
      <c r="I32" s="213"/>
      <c r="J32" s="213"/>
      <c r="K32" s="213"/>
      <c r="L32" s="213"/>
      <c r="M32" s="213"/>
      <c r="N32" s="213"/>
      <c r="O32" s="213"/>
      <c r="P32" s="213"/>
      <c r="Q32" s="213"/>
      <c r="R32" s="213"/>
      <c r="S32" s="213"/>
      <c r="T32" s="213"/>
      <c r="U32" s="213"/>
      <c r="V32" s="213"/>
      <c r="W32" s="196"/>
    </row>
    <row r="33" spans="2:23" ht="15.6">
      <c r="B33" s="572"/>
      <c r="C33" s="285">
        <v>4.4000000000000004</v>
      </c>
      <c r="D33" s="213"/>
      <c r="E33" s="213"/>
      <c r="F33" s="213"/>
      <c r="G33" s="213"/>
      <c r="H33" s="213"/>
      <c r="I33" s="213"/>
      <c r="J33" s="213"/>
      <c r="K33" s="213"/>
      <c r="L33" s="213"/>
      <c r="M33" s="213"/>
      <c r="N33" s="213"/>
      <c r="O33" s="213"/>
      <c r="P33" s="213"/>
      <c r="Q33" s="213"/>
      <c r="R33" s="213"/>
      <c r="S33" s="213"/>
      <c r="T33" s="213"/>
      <c r="U33" s="213"/>
      <c r="V33" s="213"/>
      <c r="W33" s="196"/>
    </row>
    <row r="34" spans="2:23" ht="15.6">
      <c r="B34" s="573"/>
      <c r="C34" s="285">
        <v>4.5</v>
      </c>
      <c r="D34" s="213"/>
      <c r="E34" s="213"/>
      <c r="F34" s="213"/>
      <c r="G34" s="213"/>
      <c r="H34" s="213"/>
      <c r="I34" s="213"/>
      <c r="J34" s="213"/>
      <c r="K34" s="213"/>
      <c r="L34" s="213"/>
      <c r="M34" s="213"/>
      <c r="N34" s="213"/>
      <c r="O34" s="213"/>
      <c r="P34" s="213"/>
      <c r="Q34" s="213"/>
      <c r="R34" s="213"/>
      <c r="S34" s="213"/>
      <c r="T34" s="213"/>
      <c r="U34" s="213"/>
      <c r="V34" s="213"/>
      <c r="W34" s="196"/>
    </row>
    <row r="35" spans="2:23" ht="21">
      <c r="B35" s="202"/>
      <c r="C35" s="202"/>
      <c r="D35" s="202"/>
      <c r="E35" s="202"/>
      <c r="F35" s="202"/>
      <c r="G35" s="202"/>
      <c r="H35" s="202"/>
      <c r="I35" s="202"/>
      <c r="J35" s="202"/>
      <c r="K35" s="202"/>
      <c r="L35" s="202"/>
      <c r="M35" s="202"/>
      <c r="N35" s="202"/>
      <c r="O35" s="202"/>
      <c r="P35" s="202"/>
      <c r="Q35" s="202"/>
      <c r="R35" s="202"/>
      <c r="S35" s="202"/>
      <c r="T35" s="202"/>
      <c r="U35" s="202"/>
      <c r="V35" s="202"/>
      <c r="W35" s="196"/>
    </row>
    <row r="36" spans="2:23" ht="12" customHeight="1">
      <c r="B36" s="576" t="s">
        <v>1092</v>
      </c>
      <c r="C36" s="213"/>
      <c r="D36" s="213"/>
      <c r="E36" s="213"/>
      <c r="F36" s="213"/>
      <c r="G36" s="213"/>
      <c r="H36" s="213"/>
      <c r="I36" s="213"/>
      <c r="J36" s="213"/>
      <c r="K36" s="213"/>
      <c r="L36" s="213"/>
      <c r="M36" s="213"/>
      <c r="N36" s="286"/>
      <c r="O36" s="213"/>
      <c r="P36" s="213"/>
      <c r="Q36" s="213"/>
      <c r="R36" s="213"/>
      <c r="S36" s="213"/>
      <c r="T36" s="286"/>
      <c r="U36" s="213"/>
      <c r="V36" s="213"/>
      <c r="W36" s="207"/>
    </row>
    <row r="37" spans="2:23" ht="15.6">
      <c r="B37" s="576"/>
      <c r="C37" s="212">
        <v>5.0999999999999996</v>
      </c>
      <c r="D37" s="213"/>
      <c r="E37" s="213"/>
      <c r="F37" s="213"/>
      <c r="G37" s="213"/>
      <c r="H37" s="213"/>
      <c r="I37" s="213"/>
      <c r="J37" s="213"/>
      <c r="K37" s="213"/>
      <c r="L37" s="213"/>
      <c r="M37" s="213"/>
      <c r="N37" s="213"/>
      <c r="O37" s="213"/>
      <c r="P37" s="213"/>
      <c r="Q37" s="213"/>
      <c r="R37" s="213"/>
      <c r="S37" s="213"/>
      <c r="T37" s="213"/>
      <c r="U37" s="213"/>
      <c r="V37" s="213"/>
      <c r="W37" s="196"/>
    </row>
    <row r="38" spans="2:23" ht="15.6">
      <c r="B38" s="576"/>
      <c r="C38" s="212">
        <v>5.2</v>
      </c>
      <c r="D38" s="213"/>
      <c r="E38" s="213"/>
      <c r="F38" s="213"/>
      <c r="G38" s="213"/>
      <c r="H38" s="213"/>
      <c r="I38" s="213"/>
      <c r="J38" s="213"/>
      <c r="K38" s="213"/>
      <c r="L38" s="213"/>
      <c r="M38" s="213"/>
      <c r="N38" s="213"/>
      <c r="O38" s="213"/>
      <c r="P38" s="213"/>
      <c r="Q38" s="213"/>
      <c r="R38" s="213"/>
      <c r="S38" s="213"/>
      <c r="T38" s="213"/>
      <c r="U38" s="213"/>
      <c r="V38" s="213"/>
      <c r="W38" s="196"/>
    </row>
    <row r="39" spans="2:23" ht="15.6">
      <c r="B39" s="576"/>
      <c r="C39" s="212">
        <v>5.3</v>
      </c>
      <c r="D39" s="213"/>
      <c r="E39" s="213"/>
      <c r="F39" s="213"/>
      <c r="G39" s="213"/>
      <c r="H39" s="213"/>
      <c r="I39" s="213"/>
      <c r="J39" s="213"/>
      <c r="K39" s="213"/>
      <c r="L39" s="213"/>
      <c r="M39" s="213"/>
      <c r="N39" s="213"/>
      <c r="O39" s="213"/>
      <c r="P39" s="213"/>
      <c r="Q39" s="213"/>
      <c r="R39" s="213"/>
      <c r="S39" s="213"/>
      <c r="T39" s="213"/>
      <c r="U39" s="213"/>
      <c r="V39" s="213"/>
      <c r="W39" s="196"/>
    </row>
    <row r="40" spans="2:23" ht="21">
      <c r="B40" s="202"/>
      <c r="C40" s="202"/>
      <c r="D40" s="202"/>
      <c r="E40" s="202"/>
      <c r="F40" s="202"/>
      <c r="G40" s="202"/>
      <c r="H40" s="202"/>
      <c r="I40" s="202"/>
      <c r="J40" s="202"/>
      <c r="K40" s="202"/>
      <c r="L40" s="202"/>
      <c r="M40" s="202"/>
      <c r="N40" s="202"/>
      <c r="O40" s="202"/>
      <c r="P40" s="202"/>
      <c r="Q40" s="202"/>
      <c r="R40" s="202"/>
      <c r="S40" s="202"/>
      <c r="T40" s="202"/>
      <c r="U40" s="202"/>
      <c r="V40" s="202"/>
      <c r="W40" s="196"/>
    </row>
    <row r="41" spans="2:23" ht="12" customHeight="1">
      <c r="W41" s="208"/>
    </row>
    <row r="47" spans="2:23">
      <c r="B47" s="195" t="s">
        <v>1098</v>
      </c>
      <c r="C47" s="195" t="s">
        <v>1098</v>
      </c>
      <c r="D47" s="195" t="s">
        <v>1098</v>
      </c>
      <c r="E47" s="195" t="s">
        <v>1098</v>
      </c>
      <c r="F47" s="195" t="s">
        <v>1098</v>
      </c>
      <c r="G47" s="195" t="s">
        <v>1098</v>
      </c>
      <c r="H47" s="195" t="s">
        <v>1098</v>
      </c>
      <c r="I47" s="195" t="s">
        <v>1098</v>
      </c>
      <c r="J47" s="195" t="s">
        <v>1098</v>
      </c>
      <c r="K47" s="195" t="s">
        <v>1098</v>
      </c>
      <c r="L47" s="195" t="s">
        <v>1098</v>
      </c>
      <c r="M47" s="195" t="s">
        <v>1098</v>
      </c>
      <c r="N47" s="195" t="s">
        <v>1098</v>
      </c>
      <c r="O47" s="195" t="s">
        <v>1098</v>
      </c>
      <c r="P47" s="195" t="s">
        <v>1098</v>
      </c>
      <c r="Q47" s="195" t="s">
        <v>1098</v>
      </c>
      <c r="R47" s="195" t="s">
        <v>1098</v>
      </c>
      <c r="S47" s="195" t="s">
        <v>1098</v>
      </c>
      <c r="T47" s="195" t="s">
        <v>1098</v>
      </c>
      <c r="U47" s="195" t="s">
        <v>1098</v>
      </c>
      <c r="V47" s="195" t="s">
        <v>1098</v>
      </c>
    </row>
    <row r="48" spans="2:23">
      <c r="W48" s="195" t="s">
        <v>1098</v>
      </c>
    </row>
    <row r="49" spans="2:28" ht="49.8">
      <c r="B49" s="577" t="s">
        <v>1071</v>
      </c>
      <c r="C49" s="577" t="s">
        <v>1072</v>
      </c>
      <c r="D49" s="578" t="s">
        <v>1073</v>
      </c>
      <c r="E49" s="578"/>
      <c r="F49" s="579" t="s">
        <v>1074</v>
      </c>
      <c r="G49" s="579"/>
      <c r="H49" s="578" t="s">
        <v>1075</v>
      </c>
      <c r="I49" s="578"/>
      <c r="J49" s="578"/>
      <c r="K49" s="578"/>
      <c r="L49" s="579" t="s">
        <v>1076</v>
      </c>
      <c r="M49" s="579"/>
      <c r="N49" s="579"/>
      <c r="O49" s="209" t="s">
        <v>1077</v>
      </c>
      <c r="P49" s="210" t="s">
        <v>1078</v>
      </c>
      <c r="Q49" s="578" t="s">
        <v>1079</v>
      </c>
      <c r="R49" s="578"/>
      <c r="S49" s="578"/>
      <c r="T49" s="579" t="s">
        <v>1080</v>
      </c>
      <c r="U49" s="579"/>
      <c r="V49" s="579"/>
    </row>
    <row r="50" spans="2:28" ht="93.6">
      <c r="B50" s="577"/>
      <c r="C50" s="577"/>
      <c r="D50" s="211" t="s">
        <v>900</v>
      </c>
      <c r="E50" s="211" t="s">
        <v>901</v>
      </c>
      <c r="F50" s="212" t="s">
        <v>874</v>
      </c>
      <c r="G50" s="212" t="s">
        <v>873</v>
      </c>
      <c r="H50" s="211" t="s">
        <v>875</v>
      </c>
      <c r="I50" s="211" t="s">
        <v>877</v>
      </c>
      <c r="J50" s="211" t="s">
        <v>827</v>
      </c>
      <c r="K50" s="211" t="s">
        <v>876</v>
      </c>
      <c r="L50" s="212" t="s">
        <v>880</v>
      </c>
      <c r="M50" s="212" t="s">
        <v>879</v>
      </c>
      <c r="N50" s="212" t="s">
        <v>878</v>
      </c>
      <c r="O50" s="211" t="s">
        <v>881</v>
      </c>
      <c r="P50" s="212" t="s">
        <v>745</v>
      </c>
      <c r="Q50" s="211" t="s">
        <v>883</v>
      </c>
      <c r="R50" s="211" t="s">
        <v>884</v>
      </c>
      <c r="S50" s="211" t="s">
        <v>882</v>
      </c>
      <c r="T50" s="212" t="s">
        <v>885</v>
      </c>
      <c r="U50" s="212" t="s">
        <v>886</v>
      </c>
      <c r="V50" s="212" t="s">
        <v>743</v>
      </c>
      <c r="W50" s="206" t="s">
        <v>1081</v>
      </c>
    </row>
    <row r="51" spans="2:28" ht="21">
      <c r="B51" s="202"/>
      <c r="C51" s="202"/>
      <c r="D51" s="202"/>
      <c r="E51" s="202"/>
      <c r="F51" s="202"/>
      <c r="G51" s="202"/>
      <c r="H51" s="202"/>
      <c r="I51" s="202"/>
      <c r="J51" s="202"/>
      <c r="K51" s="202"/>
      <c r="L51" s="202"/>
      <c r="M51" s="202"/>
      <c r="N51" s="202"/>
      <c r="O51" s="202"/>
      <c r="P51" s="202"/>
      <c r="Q51" s="202"/>
      <c r="R51" s="202"/>
      <c r="S51" s="202"/>
      <c r="T51" s="202"/>
      <c r="U51" s="202"/>
      <c r="V51" s="202"/>
      <c r="W51" s="206" t="s">
        <v>887</v>
      </c>
    </row>
    <row r="52" spans="2:28" ht="12" customHeight="1">
      <c r="B52" s="571" t="s">
        <v>1082</v>
      </c>
      <c r="C52" s="213"/>
      <c r="D52" s="213" t="s">
        <v>1086</v>
      </c>
      <c r="E52" s="213" t="s">
        <v>1086</v>
      </c>
      <c r="F52" s="213" t="s">
        <v>1086</v>
      </c>
      <c r="G52" s="213" t="s">
        <v>1086</v>
      </c>
      <c r="H52" s="213" t="s">
        <v>1086</v>
      </c>
      <c r="I52" s="213" t="s">
        <v>1086</v>
      </c>
      <c r="J52" s="213" t="s">
        <v>1086</v>
      </c>
      <c r="K52" s="213" t="s">
        <v>1086</v>
      </c>
      <c r="L52" s="213" t="s">
        <v>1086</v>
      </c>
      <c r="M52" s="213" t="s">
        <v>1086</v>
      </c>
      <c r="N52" s="213" t="s">
        <v>1086</v>
      </c>
      <c r="O52" s="213" t="s">
        <v>1086</v>
      </c>
      <c r="P52" s="213" t="s">
        <v>1086</v>
      </c>
      <c r="Q52" s="213" t="s">
        <v>1086</v>
      </c>
      <c r="R52" s="213" t="s">
        <v>1086</v>
      </c>
      <c r="S52" s="213" t="s">
        <v>1086</v>
      </c>
      <c r="T52" s="213" t="s">
        <v>1086</v>
      </c>
      <c r="U52" s="213" t="s">
        <v>1086</v>
      </c>
      <c r="V52" s="213" t="s">
        <v>1086</v>
      </c>
      <c r="W52" s="196"/>
    </row>
    <row r="53" spans="2:28" ht="15.6">
      <c r="B53" s="572"/>
      <c r="C53" s="212">
        <v>1.1000000000000001</v>
      </c>
      <c r="D53" s="213" t="s">
        <v>1083</v>
      </c>
      <c r="E53" s="213" t="s">
        <v>1083</v>
      </c>
      <c r="F53" s="213" t="s">
        <v>1083</v>
      </c>
      <c r="G53" s="213" t="s">
        <v>1083</v>
      </c>
      <c r="H53" s="213" t="s">
        <v>1083</v>
      </c>
      <c r="I53" s="213" t="s">
        <v>1083</v>
      </c>
      <c r="J53" s="213" t="s">
        <v>1083</v>
      </c>
      <c r="K53" s="213" t="s">
        <v>1083</v>
      </c>
      <c r="L53" s="213" t="s">
        <v>1083</v>
      </c>
      <c r="M53" s="213" t="s">
        <v>1083</v>
      </c>
      <c r="N53" s="213" t="s">
        <v>1083</v>
      </c>
      <c r="O53" s="213" t="s">
        <v>1083</v>
      </c>
      <c r="P53" s="213" t="s">
        <v>1083</v>
      </c>
      <c r="Q53" s="213" t="s">
        <v>1083</v>
      </c>
      <c r="R53" s="213" t="s">
        <v>1083</v>
      </c>
      <c r="S53" s="213" t="s">
        <v>1083</v>
      </c>
      <c r="T53" s="213" t="s">
        <v>1083</v>
      </c>
      <c r="U53" s="213" t="s">
        <v>1083</v>
      </c>
      <c r="V53" s="213" t="s">
        <v>1083</v>
      </c>
      <c r="W53" s="196" t="s">
        <v>1087</v>
      </c>
    </row>
    <row r="54" spans="2:28" ht="15.6">
      <c r="B54" s="572"/>
      <c r="C54" s="212">
        <v>1.2</v>
      </c>
      <c r="D54" s="213"/>
      <c r="E54" s="213"/>
      <c r="F54" s="213"/>
      <c r="G54" s="213"/>
      <c r="H54" s="213"/>
      <c r="I54" s="213" t="s">
        <v>1083</v>
      </c>
      <c r="J54" s="213"/>
      <c r="K54" s="213"/>
      <c r="L54" s="213" t="s">
        <v>1083</v>
      </c>
      <c r="M54" s="213"/>
      <c r="N54" s="213" t="s">
        <v>1083</v>
      </c>
      <c r="O54" s="213"/>
      <c r="P54" s="213"/>
      <c r="Q54" s="213" t="s">
        <v>1083</v>
      </c>
      <c r="R54" s="213" t="s">
        <v>1083</v>
      </c>
      <c r="S54" s="213"/>
      <c r="T54" s="213"/>
      <c r="U54" s="213" t="s">
        <v>1083</v>
      </c>
      <c r="V54" s="213"/>
      <c r="W54" s="196" t="s">
        <v>1085</v>
      </c>
      <c r="Z54" s="195" t="s">
        <v>1083</v>
      </c>
      <c r="AB54" s="195" t="s">
        <v>1086</v>
      </c>
    </row>
    <row r="55" spans="2:28" ht="15.6">
      <c r="B55" s="573"/>
      <c r="C55" s="212">
        <v>1.3</v>
      </c>
      <c r="D55" s="213"/>
      <c r="E55" s="213"/>
      <c r="F55" s="213"/>
      <c r="G55" s="213"/>
      <c r="H55" s="213"/>
      <c r="I55" s="213"/>
      <c r="J55" s="213"/>
      <c r="K55" s="213"/>
      <c r="L55" s="213" t="s">
        <v>1083</v>
      </c>
      <c r="M55" s="213"/>
      <c r="N55" s="213"/>
      <c r="O55" s="213"/>
      <c r="P55" s="213"/>
      <c r="Q55" s="213"/>
      <c r="R55" s="213"/>
      <c r="S55" s="213"/>
      <c r="T55" s="213"/>
      <c r="U55" s="213"/>
      <c r="V55" s="213"/>
      <c r="W55" s="196" t="s">
        <v>904</v>
      </c>
      <c r="Z55" s="195" t="s">
        <v>1084</v>
      </c>
      <c r="AB55" s="195" t="s">
        <v>1087</v>
      </c>
    </row>
    <row r="56" spans="2:28" ht="21">
      <c r="B56" s="202"/>
      <c r="C56" s="202"/>
      <c r="D56" s="202"/>
      <c r="E56" s="202"/>
      <c r="F56" s="202"/>
      <c r="G56" s="202"/>
      <c r="H56" s="202"/>
      <c r="I56" s="202"/>
      <c r="J56" s="202"/>
      <c r="K56" s="202"/>
      <c r="L56" s="202"/>
      <c r="M56" s="202"/>
      <c r="N56" s="202"/>
      <c r="O56" s="202"/>
      <c r="P56" s="202"/>
      <c r="Q56" s="202"/>
      <c r="R56" s="202"/>
      <c r="S56" s="202"/>
      <c r="T56" s="202"/>
      <c r="U56" s="202"/>
      <c r="V56" s="202"/>
      <c r="W56" s="196" t="s">
        <v>1084</v>
      </c>
      <c r="Z56" s="195" t="s">
        <v>904</v>
      </c>
    </row>
    <row r="57" spans="2:28" ht="15.6">
      <c r="B57" s="576" t="s">
        <v>1088</v>
      </c>
      <c r="C57" s="213"/>
      <c r="D57" s="213" t="s">
        <v>1086</v>
      </c>
      <c r="E57" s="213" t="s">
        <v>1086</v>
      </c>
      <c r="F57" s="213" t="s">
        <v>1086</v>
      </c>
      <c r="G57" s="213" t="s">
        <v>1086</v>
      </c>
      <c r="H57" s="213" t="s">
        <v>1086</v>
      </c>
      <c r="I57" s="213" t="s">
        <v>1086</v>
      </c>
      <c r="J57" s="213" t="s">
        <v>1086</v>
      </c>
      <c r="K57" s="213" t="s">
        <v>1086</v>
      </c>
      <c r="L57" s="213" t="s">
        <v>1086</v>
      </c>
      <c r="M57" s="213" t="s">
        <v>1086</v>
      </c>
      <c r="N57" s="213" t="s">
        <v>1086</v>
      </c>
      <c r="O57" s="213" t="s">
        <v>1086</v>
      </c>
      <c r="P57" s="213" t="s">
        <v>1086</v>
      </c>
      <c r="Q57" s="213" t="s">
        <v>1086</v>
      </c>
      <c r="R57" s="213" t="s">
        <v>1086</v>
      </c>
      <c r="S57" s="213" t="s">
        <v>1086</v>
      </c>
      <c r="T57" s="213" t="s">
        <v>1086</v>
      </c>
      <c r="U57" s="213" t="s">
        <v>1086</v>
      </c>
      <c r="V57" s="213" t="s">
        <v>1086</v>
      </c>
      <c r="W57" s="196" t="s">
        <v>1084</v>
      </c>
      <c r="Z57" s="195" t="s">
        <v>904</v>
      </c>
    </row>
    <row r="58" spans="2:28" ht="12" customHeight="1">
      <c r="B58" s="576"/>
      <c r="C58" s="212">
        <v>2.1</v>
      </c>
      <c r="D58" s="213" t="s">
        <v>1083</v>
      </c>
      <c r="E58" s="213" t="s">
        <v>1084</v>
      </c>
      <c r="F58" s="213" t="s">
        <v>1083</v>
      </c>
      <c r="G58" s="213" t="s">
        <v>1083</v>
      </c>
      <c r="H58" s="213" t="s">
        <v>1083</v>
      </c>
      <c r="I58" s="213" t="s">
        <v>1083</v>
      </c>
      <c r="J58" s="213" t="s">
        <v>1083</v>
      </c>
      <c r="K58" s="213" t="s">
        <v>1083</v>
      </c>
      <c r="L58" s="213" t="s">
        <v>1083</v>
      </c>
      <c r="M58" s="213" t="s">
        <v>1083</v>
      </c>
      <c r="N58" s="213" t="s">
        <v>1083</v>
      </c>
      <c r="O58" s="213" t="s">
        <v>1084</v>
      </c>
      <c r="P58" s="213" t="s">
        <v>1083</v>
      </c>
      <c r="Q58" s="213" t="s">
        <v>1083</v>
      </c>
      <c r="R58" s="213" t="s">
        <v>1083</v>
      </c>
      <c r="S58" s="213" t="s">
        <v>1083</v>
      </c>
      <c r="T58" s="213" t="s">
        <v>1083</v>
      </c>
      <c r="U58" s="213" t="s">
        <v>1083</v>
      </c>
      <c r="V58" s="213" t="s">
        <v>1083</v>
      </c>
      <c r="W58" s="207"/>
      <c r="Z58" s="195" t="s">
        <v>1085</v>
      </c>
    </row>
    <row r="59" spans="2:28" ht="15.6">
      <c r="B59" s="576"/>
      <c r="C59" s="212">
        <v>2.2000000000000002</v>
      </c>
      <c r="D59" s="213" t="s">
        <v>1083</v>
      </c>
      <c r="E59" s="213" t="s">
        <v>1083</v>
      </c>
      <c r="F59" s="213" t="s">
        <v>1083</v>
      </c>
      <c r="G59" s="213" t="s">
        <v>1083</v>
      </c>
      <c r="H59" s="213" t="s">
        <v>1083</v>
      </c>
      <c r="I59" s="213" t="s">
        <v>1083</v>
      </c>
      <c r="J59" s="213" t="s">
        <v>1083</v>
      </c>
      <c r="K59" s="213" t="s">
        <v>1083</v>
      </c>
      <c r="L59" s="213" t="s">
        <v>1083</v>
      </c>
      <c r="M59" s="213" t="s">
        <v>1083</v>
      </c>
      <c r="N59" s="213" t="s">
        <v>1083</v>
      </c>
      <c r="O59" s="213" t="s">
        <v>1083</v>
      </c>
      <c r="P59" s="213" t="s">
        <v>1083</v>
      </c>
      <c r="Q59" s="213" t="s">
        <v>1083</v>
      </c>
      <c r="R59" s="213" t="s">
        <v>1083</v>
      </c>
      <c r="S59" s="213" t="s">
        <v>1083</v>
      </c>
      <c r="T59" s="213" t="s">
        <v>1083</v>
      </c>
      <c r="U59" s="213" t="s">
        <v>1083</v>
      </c>
      <c r="V59" s="213" t="s">
        <v>1083</v>
      </c>
      <c r="W59" s="196"/>
      <c r="Z59" s="195" t="s">
        <v>1089</v>
      </c>
    </row>
    <row r="60" spans="2:28" ht="15.6">
      <c r="B60" s="576"/>
      <c r="C60" s="212">
        <v>2.2999999999999998</v>
      </c>
      <c r="D60" s="213" t="s">
        <v>1083</v>
      </c>
      <c r="E60" s="213"/>
      <c r="F60" s="213" t="s">
        <v>1083</v>
      </c>
      <c r="G60" s="213" t="s">
        <v>1083</v>
      </c>
      <c r="H60" s="213" t="s">
        <v>1083</v>
      </c>
      <c r="I60" s="213" t="s">
        <v>1083</v>
      </c>
      <c r="J60" s="213" t="s">
        <v>1083</v>
      </c>
      <c r="K60" s="213" t="s">
        <v>1083</v>
      </c>
      <c r="L60" s="213"/>
      <c r="M60" s="213" t="s">
        <v>1083</v>
      </c>
      <c r="N60" s="213" t="s">
        <v>1083</v>
      </c>
      <c r="O60" s="213"/>
      <c r="P60" s="213"/>
      <c r="Q60" s="213" t="s">
        <v>1083</v>
      </c>
      <c r="R60" s="213" t="s">
        <v>1083</v>
      </c>
      <c r="S60" s="213" t="s">
        <v>1083</v>
      </c>
      <c r="T60" s="213"/>
      <c r="U60" s="213" t="s">
        <v>1083</v>
      </c>
      <c r="V60" s="213" t="s">
        <v>1083</v>
      </c>
      <c r="W60" s="196" t="s">
        <v>1085</v>
      </c>
    </row>
    <row r="61" spans="2:28" ht="15.6">
      <c r="B61" s="576"/>
      <c r="C61" s="212">
        <v>2.4</v>
      </c>
      <c r="D61" s="213" t="s">
        <v>1083</v>
      </c>
      <c r="E61" s="213"/>
      <c r="F61" s="213"/>
      <c r="G61" s="213" t="s">
        <v>1083</v>
      </c>
      <c r="H61" s="213" t="s">
        <v>1083</v>
      </c>
      <c r="I61" s="213"/>
      <c r="J61" s="213" t="s">
        <v>1083</v>
      </c>
      <c r="K61" s="213" t="s">
        <v>1083</v>
      </c>
      <c r="L61" s="213"/>
      <c r="M61" s="213"/>
      <c r="N61" s="213" t="s">
        <v>1083</v>
      </c>
      <c r="O61" s="213"/>
      <c r="P61" s="213"/>
      <c r="Q61" s="213" t="s">
        <v>1083</v>
      </c>
      <c r="R61" s="213" t="s">
        <v>1083</v>
      </c>
      <c r="S61" s="213" t="s">
        <v>1083</v>
      </c>
      <c r="T61" s="213"/>
      <c r="U61" s="213" t="s">
        <v>1083</v>
      </c>
      <c r="V61" s="213" t="s">
        <v>1083</v>
      </c>
      <c r="W61" s="196" t="s">
        <v>1085</v>
      </c>
    </row>
    <row r="62" spans="2:28" ht="15.6">
      <c r="B62" s="576"/>
      <c r="C62" s="212">
        <v>2.5</v>
      </c>
      <c r="D62" s="213"/>
      <c r="E62" s="213"/>
      <c r="F62" s="213"/>
      <c r="G62" s="213" t="s">
        <v>1083</v>
      </c>
      <c r="H62" s="213"/>
      <c r="I62" s="213"/>
      <c r="J62" s="213"/>
      <c r="K62" s="213" t="s">
        <v>1083</v>
      </c>
      <c r="L62" s="213"/>
      <c r="M62" s="213"/>
      <c r="N62" s="213" t="s">
        <v>1083</v>
      </c>
      <c r="O62" s="213"/>
      <c r="P62" s="213"/>
      <c r="Q62" s="213"/>
      <c r="R62" s="213" t="s">
        <v>1083</v>
      </c>
      <c r="S62" s="213"/>
      <c r="T62" s="213"/>
      <c r="U62" s="213" t="s">
        <v>1083</v>
      </c>
      <c r="V62" s="213" t="s">
        <v>1083</v>
      </c>
      <c r="W62" s="196" t="s">
        <v>1083</v>
      </c>
    </row>
    <row r="63" spans="2:28" ht="15.6">
      <c r="B63" s="576"/>
      <c r="C63" s="212">
        <v>2.6</v>
      </c>
      <c r="D63" s="213"/>
      <c r="E63" s="213"/>
      <c r="F63" s="213"/>
      <c r="G63" s="213" t="s">
        <v>1083</v>
      </c>
      <c r="H63" s="213"/>
      <c r="I63" s="213"/>
      <c r="J63" s="213"/>
      <c r="K63" s="213" t="s">
        <v>1083</v>
      </c>
      <c r="L63" s="213"/>
      <c r="M63" s="213"/>
      <c r="N63" s="213" t="s">
        <v>1083</v>
      </c>
      <c r="O63" s="213"/>
      <c r="P63" s="213"/>
      <c r="Q63" s="213"/>
      <c r="R63" s="213" t="s">
        <v>1083</v>
      </c>
      <c r="S63" s="213"/>
      <c r="T63" s="213"/>
      <c r="U63" s="213"/>
      <c r="V63" s="213"/>
      <c r="W63" s="196" t="s">
        <v>1084</v>
      </c>
    </row>
    <row r="64" spans="2:28" ht="15.6">
      <c r="B64" s="576"/>
      <c r="C64" s="212">
        <v>2.7</v>
      </c>
      <c r="D64" s="213"/>
      <c r="E64" s="213"/>
      <c r="F64" s="213"/>
      <c r="G64" s="213"/>
      <c r="H64" s="213"/>
      <c r="I64" s="213"/>
      <c r="J64" s="213"/>
      <c r="K64" s="213"/>
      <c r="L64" s="213"/>
      <c r="M64" s="213"/>
      <c r="N64" s="213"/>
      <c r="O64" s="213"/>
      <c r="P64" s="213"/>
      <c r="Q64" s="213"/>
      <c r="R64" s="213" t="s">
        <v>1083</v>
      </c>
      <c r="S64" s="213"/>
      <c r="T64" s="213"/>
      <c r="U64" s="213"/>
      <c r="V64" s="213"/>
      <c r="W64" s="196"/>
    </row>
    <row r="65" spans="2:23" ht="15.6">
      <c r="B65" s="576"/>
      <c r="C65" s="212">
        <v>2.8</v>
      </c>
      <c r="D65" s="213"/>
      <c r="E65" s="213"/>
      <c r="F65" s="213"/>
      <c r="G65" s="213"/>
      <c r="H65" s="213"/>
      <c r="I65" s="213"/>
      <c r="J65" s="213"/>
      <c r="K65" s="213"/>
      <c r="L65" s="213"/>
      <c r="M65" s="213"/>
      <c r="N65" s="213"/>
      <c r="O65" s="213"/>
      <c r="P65" s="213"/>
      <c r="Q65" s="213"/>
      <c r="R65" s="213" t="s">
        <v>1083</v>
      </c>
      <c r="S65" s="213"/>
      <c r="T65" s="213"/>
      <c r="U65" s="213"/>
      <c r="V65" s="213"/>
      <c r="W65" s="196"/>
    </row>
    <row r="66" spans="2:23" ht="21">
      <c r="B66" s="202"/>
      <c r="C66" s="202"/>
      <c r="D66" s="202"/>
      <c r="E66" s="202"/>
      <c r="F66" s="202"/>
      <c r="G66" s="202"/>
      <c r="H66" s="202"/>
      <c r="I66" s="202"/>
      <c r="J66" s="202"/>
      <c r="K66" s="202"/>
      <c r="L66" s="202"/>
      <c r="M66" s="202"/>
      <c r="N66" s="202"/>
      <c r="O66" s="202"/>
      <c r="P66" s="202"/>
      <c r="Q66" s="202"/>
      <c r="R66" s="202"/>
      <c r="S66" s="202"/>
      <c r="T66" s="202"/>
      <c r="U66" s="202"/>
      <c r="V66" s="202"/>
      <c r="W66" s="196"/>
    </row>
    <row r="67" spans="2:23" ht="15.6">
      <c r="B67" s="576" t="s">
        <v>1090</v>
      </c>
      <c r="C67" s="213"/>
      <c r="D67" s="213" t="s">
        <v>1087</v>
      </c>
      <c r="E67" s="213" t="s">
        <v>1086</v>
      </c>
      <c r="F67" s="213" t="s">
        <v>1086</v>
      </c>
      <c r="G67" s="213" t="s">
        <v>1086</v>
      </c>
      <c r="H67" s="213" t="s">
        <v>1086</v>
      </c>
      <c r="I67" s="213" t="s">
        <v>1086</v>
      </c>
      <c r="J67" s="213" t="s">
        <v>1087</v>
      </c>
      <c r="K67" s="213" t="s">
        <v>1086</v>
      </c>
      <c r="L67" s="213" t="s">
        <v>1086</v>
      </c>
      <c r="M67" s="213" t="s">
        <v>1086</v>
      </c>
      <c r="N67" s="213" t="s">
        <v>1086</v>
      </c>
      <c r="O67" s="213" t="s">
        <v>1086</v>
      </c>
      <c r="P67" s="213" t="s">
        <v>1086</v>
      </c>
      <c r="Q67" s="213" t="s">
        <v>1086</v>
      </c>
      <c r="R67" s="213" t="s">
        <v>1086</v>
      </c>
      <c r="S67" s="213" t="s">
        <v>1086</v>
      </c>
      <c r="T67" s="213" t="s">
        <v>1086</v>
      </c>
      <c r="U67" s="213" t="s">
        <v>1086</v>
      </c>
      <c r="V67" s="213"/>
      <c r="W67" s="196"/>
    </row>
    <row r="68" spans="2:23" ht="12" customHeight="1">
      <c r="B68" s="576"/>
      <c r="C68" s="212">
        <v>3.1</v>
      </c>
      <c r="D68" s="213" t="s">
        <v>1083</v>
      </c>
      <c r="E68" s="213" t="s">
        <v>1083</v>
      </c>
      <c r="F68" s="213" t="s">
        <v>1083</v>
      </c>
      <c r="G68" s="213" t="s">
        <v>1083</v>
      </c>
      <c r="H68" s="213" t="s">
        <v>1083</v>
      </c>
      <c r="I68" s="213" t="s">
        <v>1083</v>
      </c>
      <c r="J68" s="213" t="s">
        <v>904</v>
      </c>
      <c r="K68" s="213" t="s">
        <v>1083</v>
      </c>
      <c r="L68" s="213" t="s">
        <v>1083</v>
      </c>
      <c r="M68" s="213" t="s">
        <v>1083</v>
      </c>
      <c r="N68" s="213" t="s">
        <v>1083</v>
      </c>
      <c r="O68" s="213" t="s">
        <v>1083</v>
      </c>
      <c r="P68" s="213" t="s">
        <v>1083</v>
      </c>
      <c r="Q68" s="213" t="s">
        <v>1083</v>
      </c>
      <c r="R68" s="213" t="s">
        <v>1083</v>
      </c>
      <c r="S68" s="213" t="s">
        <v>1084</v>
      </c>
      <c r="T68" s="213" t="s">
        <v>1083</v>
      </c>
      <c r="U68" s="213" t="s">
        <v>1083</v>
      </c>
      <c r="V68" s="213"/>
      <c r="W68" s="207"/>
    </row>
    <row r="69" spans="2:23" ht="15.6">
      <c r="B69" s="576"/>
      <c r="C69" s="212">
        <v>3.2</v>
      </c>
      <c r="D69" s="213" t="s">
        <v>904</v>
      </c>
      <c r="E69" s="213" t="s">
        <v>1083</v>
      </c>
      <c r="F69" s="213" t="s">
        <v>1083</v>
      </c>
      <c r="G69" s="213" t="s">
        <v>1083</v>
      </c>
      <c r="H69" s="213"/>
      <c r="I69" s="213" t="s">
        <v>1083</v>
      </c>
      <c r="J69" s="213"/>
      <c r="K69" s="213" t="s">
        <v>1083</v>
      </c>
      <c r="L69" s="213" t="s">
        <v>1083</v>
      </c>
      <c r="M69" s="213" t="s">
        <v>1083</v>
      </c>
      <c r="N69" s="213" t="s">
        <v>1083</v>
      </c>
      <c r="O69" s="213" t="s">
        <v>1083</v>
      </c>
      <c r="P69" s="213" t="s">
        <v>1083</v>
      </c>
      <c r="Q69" s="213" t="s">
        <v>1083</v>
      </c>
      <c r="R69" s="213" t="s">
        <v>1083</v>
      </c>
      <c r="S69" s="213" t="s">
        <v>1083</v>
      </c>
      <c r="T69" s="213" t="s">
        <v>1083</v>
      </c>
      <c r="U69" s="213"/>
      <c r="V69" s="213"/>
      <c r="W69" s="196"/>
    </row>
    <row r="70" spans="2:23" ht="15.6">
      <c r="B70" s="576"/>
      <c r="C70" s="212">
        <v>3.3</v>
      </c>
      <c r="D70" s="213"/>
      <c r="E70" s="213" t="s">
        <v>1083</v>
      </c>
      <c r="F70" s="213" t="s">
        <v>1083</v>
      </c>
      <c r="G70" s="213" t="s">
        <v>1083</v>
      </c>
      <c r="H70" s="213"/>
      <c r="I70" s="213"/>
      <c r="J70" s="213"/>
      <c r="K70" s="213" t="s">
        <v>1083</v>
      </c>
      <c r="L70" s="213" t="s">
        <v>1083</v>
      </c>
      <c r="M70" s="213" t="s">
        <v>1083</v>
      </c>
      <c r="N70" s="213" t="s">
        <v>1083</v>
      </c>
      <c r="O70" s="213" t="s">
        <v>1083</v>
      </c>
      <c r="P70" s="213" t="s">
        <v>1083</v>
      </c>
      <c r="Q70" s="213" t="s">
        <v>1083</v>
      </c>
      <c r="R70" s="213" t="s">
        <v>1083</v>
      </c>
      <c r="S70" s="213"/>
      <c r="T70" s="213" t="s">
        <v>1083</v>
      </c>
      <c r="U70" s="213"/>
      <c r="V70" s="213"/>
      <c r="W70" s="196" t="s">
        <v>1085</v>
      </c>
    </row>
    <row r="71" spans="2:23" ht="15.6">
      <c r="B71" s="576"/>
      <c r="C71" s="212">
        <v>3.4</v>
      </c>
      <c r="D71" s="213"/>
      <c r="E71" s="213"/>
      <c r="F71" s="213" t="s">
        <v>1083</v>
      </c>
      <c r="G71" s="213"/>
      <c r="H71" s="213"/>
      <c r="I71" s="213"/>
      <c r="J71" s="213"/>
      <c r="K71" s="213" t="s">
        <v>1083</v>
      </c>
      <c r="L71" s="213" t="s">
        <v>1083</v>
      </c>
      <c r="M71" s="213" t="s">
        <v>1083</v>
      </c>
      <c r="N71" s="213" t="s">
        <v>1083</v>
      </c>
      <c r="O71" s="213" t="s">
        <v>1083</v>
      </c>
      <c r="P71" s="213" t="s">
        <v>1083</v>
      </c>
      <c r="Q71" s="213" t="s">
        <v>1083</v>
      </c>
      <c r="R71" s="213" t="s">
        <v>1084</v>
      </c>
      <c r="S71" s="213"/>
      <c r="T71" s="213" t="s">
        <v>1083</v>
      </c>
      <c r="U71" s="213"/>
      <c r="V71" s="213"/>
      <c r="W71" s="196" t="s">
        <v>1085</v>
      </c>
    </row>
    <row r="72" spans="2:23" ht="15.6">
      <c r="B72" s="576"/>
      <c r="C72" s="212">
        <v>3.5</v>
      </c>
      <c r="D72" s="213"/>
      <c r="E72" s="213"/>
      <c r="F72" s="213" t="s">
        <v>1083</v>
      </c>
      <c r="G72" s="213"/>
      <c r="H72" s="213"/>
      <c r="I72" s="213"/>
      <c r="J72" s="213"/>
      <c r="K72" s="213" t="s">
        <v>1083</v>
      </c>
      <c r="L72" s="213" t="s">
        <v>1083</v>
      </c>
      <c r="M72" s="213" t="s">
        <v>1083</v>
      </c>
      <c r="N72" s="213" t="s">
        <v>1083</v>
      </c>
      <c r="O72" s="213" t="s">
        <v>1083</v>
      </c>
      <c r="P72" s="213" t="s">
        <v>1083</v>
      </c>
      <c r="Q72" s="213"/>
      <c r="R72" s="213"/>
      <c r="S72" s="213"/>
      <c r="T72" s="213" t="s">
        <v>1083</v>
      </c>
      <c r="U72" s="213"/>
      <c r="V72" s="213"/>
      <c r="W72" s="196"/>
    </row>
    <row r="73" spans="2:23" ht="15.6">
      <c r="B73" s="576"/>
      <c r="C73" s="212">
        <v>3.6</v>
      </c>
      <c r="D73" s="213"/>
      <c r="E73" s="213"/>
      <c r="F73" s="213" t="s">
        <v>1083</v>
      </c>
      <c r="G73" s="213"/>
      <c r="H73" s="213"/>
      <c r="I73" s="213"/>
      <c r="J73" s="213"/>
      <c r="K73" s="213" t="s">
        <v>1083</v>
      </c>
      <c r="L73" s="213" t="s">
        <v>1083</v>
      </c>
      <c r="M73" s="213" t="s">
        <v>1084</v>
      </c>
      <c r="N73" s="213" t="s">
        <v>1083</v>
      </c>
      <c r="O73" s="213"/>
      <c r="P73" s="213" t="s">
        <v>1083</v>
      </c>
      <c r="Q73" s="213"/>
      <c r="R73" s="213"/>
      <c r="S73" s="213"/>
      <c r="T73" s="213"/>
      <c r="U73" s="213"/>
      <c r="V73" s="213"/>
      <c r="W73" s="196"/>
    </row>
    <row r="74" spans="2:23" ht="15.6">
      <c r="B74" s="576"/>
      <c r="C74" s="212">
        <v>3.7</v>
      </c>
      <c r="D74" s="213"/>
      <c r="E74" s="213"/>
      <c r="F74" s="213"/>
      <c r="G74" s="213"/>
      <c r="H74" s="213"/>
      <c r="I74" s="213"/>
      <c r="J74" s="213"/>
      <c r="K74" s="213" t="s">
        <v>1083</v>
      </c>
      <c r="L74" s="213"/>
      <c r="M74" s="213" t="s">
        <v>1083</v>
      </c>
      <c r="N74" s="213"/>
      <c r="O74" s="213"/>
      <c r="P74" s="213" t="s">
        <v>1083</v>
      </c>
      <c r="Q74" s="213"/>
      <c r="R74" s="213"/>
      <c r="S74" s="213"/>
      <c r="T74" s="213"/>
      <c r="U74" s="213"/>
      <c r="V74" s="213"/>
      <c r="W74" s="196"/>
    </row>
    <row r="75" spans="2:23" ht="21">
      <c r="B75" s="202"/>
      <c r="C75" s="202"/>
      <c r="D75" s="202"/>
      <c r="E75" s="202"/>
      <c r="F75" s="202"/>
      <c r="G75" s="202"/>
      <c r="H75" s="202"/>
      <c r="I75" s="202"/>
      <c r="J75" s="202"/>
      <c r="K75" s="202"/>
      <c r="L75" s="202"/>
      <c r="M75" s="202"/>
      <c r="N75" s="202"/>
      <c r="O75" s="202"/>
      <c r="P75" s="202"/>
      <c r="Q75" s="202"/>
      <c r="R75" s="202"/>
      <c r="S75" s="202"/>
      <c r="T75" s="202"/>
      <c r="U75" s="202"/>
      <c r="V75" s="202"/>
      <c r="W75" s="196"/>
    </row>
    <row r="76" spans="2:23" ht="15.6">
      <c r="B76" s="576" t="s">
        <v>1091</v>
      </c>
      <c r="C76" s="213"/>
      <c r="D76" s="213" t="s">
        <v>1087</v>
      </c>
      <c r="E76" s="213"/>
      <c r="F76" s="213"/>
      <c r="G76" s="213"/>
      <c r="H76" s="213"/>
      <c r="I76" s="213"/>
      <c r="J76" s="213"/>
      <c r="K76" s="213"/>
      <c r="L76" s="213" t="s">
        <v>1086</v>
      </c>
      <c r="M76" s="213"/>
      <c r="N76" s="213" t="s">
        <v>1086</v>
      </c>
      <c r="O76" s="213"/>
      <c r="P76" s="213"/>
      <c r="Q76" s="213"/>
      <c r="R76" s="213" t="s">
        <v>1086</v>
      </c>
      <c r="S76" s="213"/>
      <c r="T76" s="213" t="s">
        <v>1086</v>
      </c>
      <c r="U76" s="213"/>
      <c r="V76" s="213"/>
      <c r="W76" s="196"/>
    </row>
    <row r="77" spans="2:23" ht="12" customHeight="1">
      <c r="B77" s="576"/>
      <c r="C77" s="212">
        <v>4.0999999999999996</v>
      </c>
      <c r="D77" s="213" t="s">
        <v>1083</v>
      </c>
      <c r="E77" s="213"/>
      <c r="F77" s="213"/>
      <c r="G77" s="213"/>
      <c r="H77" s="213"/>
      <c r="I77" s="213"/>
      <c r="J77" s="213"/>
      <c r="K77" s="213"/>
      <c r="L77" s="213" t="s">
        <v>1083</v>
      </c>
      <c r="M77" s="213"/>
      <c r="N77" s="213" t="s">
        <v>1083</v>
      </c>
      <c r="O77" s="213"/>
      <c r="P77" s="213"/>
      <c r="Q77" s="213"/>
      <c r="R77" s="213" t="s">
        <v>1083</v>
      </c>
      <c r="S77" s="213"/>
      <c r="T77" s="213" t="s">
        <v>1083</v>
      </c>
      <c r="U77" s="213"/>
      <c r="V77" s="213"/>
      <c r="W77" s="207"/>
    </row>
    <row r="78" spans="2:23" ht="15.6">
      <c r="B78" s="576"/>
      <c r="C78" s="212">
        <v>4.2</v>
      </c>
      <c r="D78" s="213"/>
      <c r="E78" s="213"/>
      <c r="F78" s="213"/>
      <c r="G78" s="213"/>
      <c r="H78" s="213"/>
      <c r="I78" s="213"/>
      <c r="J78" s="213"/>
      <c r="K78" s="213"/>
      <c r="L78" s="213"/>
      <c r="M78" s="213"/>
      <c r="N78" s="213" t="s">
        <v>1083</v>
      </c>
      <c r="O78" s="213"/>
      <c r="P78" s="213"/>
      <c r="Q78" s="213"/>
      <c r="R78" s="213"/>
      <c r="S78" s="213"/>
      <c r="T78" s="213" t="s">
        <v>1083</v>
      </c>
      <c r="U78" s="213"/>
      <c r="V78" s="213"/>
      <c r="W78" s="196"/>
    </row>
    <row r="79" spans="2:23" ht="15.6">
      <c r="B79" s="576"/>
      <c r="C79" s="212">
        <v>4.3</v>
      </c>
      <c r="D79" s="213"/>
      <c r="E79" s="213"/>
      <c r="F79" s="213"/>
      <c r="G79" s="213"/>
      <c r="H79" s="213"/>
      <c r="I79" s="213"/>
      <c r="J79" s="213"/>
      <c r="K79" s="213"/>
      <c r="L79" s="213"/>
      <c r="M79" s="213"/>
      <c r="N79" s="213" t="s">
        <v>1083</v>
      </c>
      <c r="O79" s="213"/>
      <c r="P79" s="213"/>
      <c r="Q79" s="213"/>
      <c r="R79" s="213"/>
      <c r="S79" s="213"/>
      <c r="T79" s="213"/>
      <c r="U79" s="213"/>
      <c r="V79" s="213"/>
      <c r="W79" s="196" t="s">
        <v>1085</v>
      </c>
    </row>
    <row r="80" spans="2:23" ht="15.6">
      <c r="B80" s="576"/>
      <c r="C80" s="212">
        <v>4.4000000000000004</v>
      </c>
      <c r="D80" s="213"/>
      <c r="E80" s="213"/>
      <c r="F80" s="213"/>
      <c r="G80" s="213"/>
      <c r="H80" s="213"/>
      <c r="I80" s="213"/>
      <c r="J80" s="213"/>
      <c r="K80" s="213"/>
      <c r="L80" s="213"/>
      <c r="M80" s="213"/>
      <c r="N80" s="213" t="s">
        <v>1083</v>
      </c>
      <c r="O80" s="213"/>
      <c r="P80" s="213"/>
      <c r="Q80" s="213"/>
      <c r="R80" s="213"/>
      <c r="S80" s="213"/>
      <c r="T80" s="213"/>
      <c r="U80" s="213"/>
      <c r="V80" s="213"/>
      <c r="W80" s="196"/>
    </row>
    <row r="81" spans="2:23" ht="15.6">
      <c r="B81" s="576"/>
      <c r="C81" s="212">
        <v>4.5</v>
      </c>
      <c r="D81" s="213"/>
      <c r="E81" s="213"/>
      <c r="F81" s="213"/>
      <c r="G81" s="213"/>
      <c r="H81" s="213"/>
      <c r="I81" s="213"/>
      <c r="J81" s="213"/>
      <c r="K81" s="213"/>
      <c r="L81" s="213"/>
      <c r="M81" s="213"/>
      <c r="N81" s="213" t="s">
        <v>1083</v>
      </c>
      <c r="O81" s="213"/>
      <c r="P81" s="213"/>
      <c r="Q81" s="213"/>
      <c r="R81" s="213"/>
      <c r="S81" s="213"/>
      <c r="T81" s="213"/>
      <c r="U81" s="213"/>
      <c r="V81" s="213"/>
      <c r="W81" s="196"/>
    </row>
    <row r="82" spans="2:23" ht="21">
      <c r="B82" s="202"/>
      <c r="C82" s="202"/>
      <c r="D82" s="202"/>
      <c r="E82" s="202"/>
      <c r="F82" s="202"/>
      <c r="G82" s="202"/>
      <c r="H82" s="202"/>
      <c r="I82" s="202"/>
      <c r="J82" s="202"/>
      <c r="K82" s="202"/>
      <c r="L82" s="202"/>
      <c r="M82" s="202"/>
      <c r="N82" s="202"/>
      <c r="O82" s="202"/>
      <c r="P82" s="202"/>
      <c r="Q82" s="202"/>
      <c r="R82" s="202"/>
      <c r="S82" s="202"/>
      <c r="T82" s="202"/>
      <c r="U82" s="202"/>
      <c r="V82" s="202"/>
      <c r="W82" s="196"/>
    </row>
    <row r="83" spans="2:23" ht="15.6">
      <c r="B83" s="576" t="s">
        <v>1092</v>
      </c>
      <c r="C83" s="213"/>
      <c r="D83" s="213"/>
      <c r="E83" s="213"/>
      <c r="F83" s="213"/>
      <c r="G83" s="213"/>
      <c r="H83" s="213"/>
      <c r="I83" s="213"/>
      <c r="J83" s="213"/>
      <c r="K83" s="213"/>
      <c r="L83" s="213"/>
      <c r="M83" s="213"/>
      <c r="N83" s="213" t="s">
        <v>1086</v>
      </c>
      <c r="O83" s="213"/>
      <c r="P83" s="213"/>
      <c r="Q83" s="213"/>
      <c r="R83" s="213"/>
      <c r="S83" s="213"/>
      <c r="T83" s="213" t="s">
        <v>1086</v>
      </c>
      <c r="U83" s="213"/>
      <c r="V83" s="213"/>
      <c r="W83" s="196"/>
    </row>
    <row r="84" spans="2:23" ht="12" customHeight="1">
      <c r="B84" s="576"/>
      <c r="C84" s="212">
        <v>5.0999999999999996</v>
      </c>
      <c r="D84" s="213"/>
      <c r="E84" s="213"/>
      <c r="F84" s="213"/>
      <c r="G84" s="213"/>
      <c r="H84" s="213"/>
      <c r="I84" s="213"/>
      <c r="J84" s="213"/>
      <c r="K84" s="213"/>
      <c r="L84" s="213"/>
      <c r="M84" s="213"/>
      <c r="N84" s="213" t="s">
        <v>1083</v>
      </c>
      <c r="O84" s="213"/>
      <c r="P84" s="213"/>
      <c r="Q84" s="213"/>
      <c r="R84" s="213"/>
      <c r="S84" s="213"/>
      <c r="T84" s="213" t="s">
        <v>1083</v>
      </c>
      <c r="U84" s="213"/>
      <c r="V84" s="213"/>
      <c r="W84" s="207"/>
    </row>
    <row r="85" spans="2:23" ht="15.6">
      <c r="B85" s="576"/>
      <c r="C85" s="212">
        <v>5.2</v>
      </c>
      <c r="D85" s="213"/>
      <c r="E85" s="213"/>
      <c r="F85" s="213"/>
      <c r="G85" s="213"/>
      <c r="H85" s="213"/>
      <c r="I85" s="213"/>
      <c r="J85" s="213"/>
      <c r="K85" s="213"/>
      <c r="L85" s="213"/>
      <c r="M85" s="213"/>
      <c r="N85" s="213" t="s">
        <v>1083</v>
      </c>
      <c r="O85" s="213"/>
      <c r="P85" s="213"/>
      <c r="Q85" s="213"/>
      <c r="R85" s="213"/>
      <c r="S85" s="213"/>
      <c r="T85" s="213"/>
      <c r="U85" s="213"/>
      <c r="V85" s="213"/>
      <c r="W85" s="196"/>
    </row>
    <row r="86" spans="2:23" ht="15.6">
      <c r="B86" s="576"/>
      <c r="C86" s="212">
        <v>5.3</v>
      </c>
      <c r="D86" s="213"/>
      <c r="E86" s="213"/>
      <c r="F86" s="213"/>
      <c r="G86" s="213"/>
      <c r="H86" s="213"/>
      <c r="I86" s="213"/>
      <c r="J86" s="213"/>
      <c r="K86" s="213"/>
      <c r="L86" s="213"/>
      <c r="M86" s="213"/>
      <c r="N86" s="213" t="s">
        <v>1083</v>
      </c>
      <c r="O86" s="213"/>
      <c r="P86" s="213"/>
      <c r="Q86" s="213"/>
      <c r="R86" s="213"/>
      <c r="S86" s="213"/>
      <c r="T86" s="213"/>
      <c r="U86" s="213"/>
      <c r="V86" s="213"/>
      <c r="W86" s="196"/>
    </row>
    <row r="87" spans="2:23" ht="21">
      <c r="B87" s="202"/>
      <c r="C87" s="202"/>
      <c r="D87" s="202"/>
      <c r="E87" s="202"/>
      <c r="F87" s="202"/>
      <c r="G87" s="202"/>
      <c r="H87" s="202"/>
      <c r="I87" s="202"/>
      <c r="J87" s="202"/>
      <c r="K87" s="202"/>
      <c r="L87" s="202"/>
      <c r="M87" s="202"/>
      <c r="N87" s="202"/>
      <c r="O87" s="202"/>
      <c r="P87" s="202"/>
      <c r="Q87" s="202"/>
      <c r="R87" s="202"/>
      <c r="S87" s="202"/>
      <c r="T87" s="202"/>
      <c r="U87" s="202"/>
      <c r="V87" s="202"/>
      <c r="W87" s="196"/>
    </row>
    <row r="88" spans="2:23" ht="15.6">
      <c r="W88" s="196"/>
    </row>
    <row r="89" spans="2:23" ht="12" customHeight="1">
      <c r="W89" s="20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0" t="s">
        <v>907</v>
      </c>
      <c r="B3" t="s">
        <v>905</v>
      </c>
    </row>
    <row r="4" spans="1:2">
      <c r="A4" s="308" t="s">
        <v>410</v>
      </c>
      <c r="B4" s="311">
        <v>17</v>
      </c>
    </row>
    <row r="5" spans="1:2">
      <c r="A5" s="125" t="s">
        <v>902</v>
      </c>
      <c r="B5" s="311">
        <v>2</v>
      </c>
    </row>
    <row r="6" spans="1:2">
      <c r="A6" s="280" t="s">
        <v>1524</v>
      </c>
      <c r="B6" s="311">
        <v>2</v>
      </c>
    </row>
    <row r="7" spans="1:2">
      <c r="A7" s="125" t="s">
        <v>1342</v>
      </c>
      <c r="B7" s="311">
        <v>1</v>
      </c>
    </row>
    <row r="8" spans="1:2">
      <c r="A8" s="280" t="s">
        <v>1539</v>
      </c>
      <c r="B8" s="311">
        <v>1</v>
      </c>
    </row>
    <row r="9" spans="1:2">
      <c r="A9" s="125" t="s">
        <v>903</v>
      </c>
      <c r="B9" s="311">
        <v>1</v>
      </c>
    </row>
    <row r="10" spans="1:2">
      <c r="A10" s="280" t="s">
        <v>1520</v>
      </c>
      <c r="B10" s="311">
        <v>1</v>
      </c>
    </row>
    <row r="11" spans="1:2">
      <c r="A11" s="125" t="s">
        <v>1140</v>
      </c>
      <c r="B11" s="311">
        <v>2</v>
      </c>
    </row>
    <row r="12" spans="1:2">
      <c r="A12" s="280" t="s">
        <v>1521</v>
      </c>
      <c r="B12" s="311">
        <v>1</v>
      </c>
    </row>
    <row r="13" spans="1:2">
      <c r="A13" s="280" t="s">
        <v>1526</v>
      </c>
      <c r="B13" s="311">
        <v>1</v>
      </c>
    </row>
    <row r="14" spans="1:2">
      <c r="A14" s="125" t="s">
        <v>1343</v>
      </c>
      <c r="B14" s="311">
        <v>4</v>
      </c>
    </row>
    <row r="15" spans="1:2">
      <c r="A15" s="280" t="s">
        <v>1533</v>
      </c>
      <c r="B15" s="311">
        <v>3</v>
      </c>
    </row>
    <row r="16" spans="1:2">
      <c r="A16" s="280" t="s">
        <v>1538</v>
      </c>
      <c r="B16" s="311">
        <v>1</v>
      </c>
    </row>
    <row r="17" spans="1:2">
      <c r="A17" s="125" t="s">
        <v>1225</v>
      </c>
      <c r="B17" s="311">
        <v>1</v>
      </c>
    </row>
    <row r="18" spans="1:2">
      <c r="A18" s="280" t="s">
        <v>1542</v>
      </c>
      <c r="B18" s="311">
        <v>1</v>
      </c>
    </row>
    <row r="19" spans="1:2">
      <c r="A19" s="125" t="s">
        <v>1341</v>
      </c>
      <c r="B19" s="311">
        <v>1</v>
      </c>
    </row>
    <row r="20" spans="1:2">
      <c r="A20" s="280" t="s">
        <v>1541</v>
      </c>
      <c r="B20" s="311">
        <v>1</v>
      </c>
    </row>
    <row r="21" spans="1:2">
      <c r="A21" s="125" t="s">
        <v>1344</v>
      </c>
      <c r="B21" s="311">
        <v>5</v>
      </c>
    </row>
    <row r="22" spans="1:2">
      <c r="A22" s="280" t="s">
        <v>1540</v>
      </c>
      <c r="B22" s="311">
        <v>5</v>
      </c>
    </row>
    <row r="23" spans="1:2">
      <c r="A23" s="308" t="s">
        <v>908</v>
      </c>
      <c r="B23" s="311"/>
    </row>
    <row r="24" spans="1:2">
      <c r="A24" s="125" t="s">
        <v>908</v>
      </c>
      <c r="B24" s="311"/>
    </row>
    <row r="25" spans="1:2">
      <c r="A25" s="280" t="s">
        <v>908</v>
      </c>
      <c r="B25" s="311"/>
    </row>
    <row r="26" spans="1:2">
      <c r="A26" s="308" t="s">
        <v>909</v>
      </c>
      <c r="B26" s="311">
        <v>17</v>
      </c>
    </row>
  </sheetData>
  <phoneticPr fontId="54"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10" t="s">
        <v>907</v>
      </c>
    </row>
    <row r="4" spans="1:6">
      <c r="A4" s="308" t="s">
        <v>1524</v>
      </c>
    </row>
    <row r="5" spans="1:6">
      <c r="A5" s="125" t="s">
        <v>875</v>
      </c>
    </row>
    <row r="6" spans="1:6">
      <c r="A6" s="125" t="s">
        <v>876</v>
      </c>
    </row>
    <row r="7" spans="1:6">
      <c r="A7" s="308" t="s">
        <v>1539</v>
      </c>
    </row>
    <row r="8" spans="1:6">
      <c r="A8" s="125" t="s">
        <v>743</v>
      </c>
    </row>
    <row r="9" spans="1:6">
      <c r="A9" s="308" t="s">
        <v>1520</v>
      </c>
    </row>
    <row r="10" spans="1:6">
      <c r="A10" s="125" t="s">
        <v>874</v>
      </c>
    </row>
    <row r="11" spans="1:6">
      <c r="A11" s="308" t="s">
        <v>1521</v>
      </c>
    </row>
    <row r="12" spans="1:6">
      <c r="A12" s="125" t="s">
        <v>873</v>
      </c>
    </row>
    <row r="13" spans="1:6">
      <c r="A13" s="308" t="s">
        <v>1526</v>
      </c>
    </row>
    <row r="14" spans="1:6">
      <c r="A14" s="125" t="s">
        <v>877</v>
      </c>
    </row>
    <row r="15" spans="1:6">
      <c r="A15" s="308" t="s">
        <v>1542</v>
      </c>
    </row>
    <row r="16" spans="1:6">
      <c r="A16" s="125" t="s">
        <v>827</v>
      </c>
    </row>
    <row r="17" spans="1:1">
      <c r="A17" s="308" t="s">
        <v>1540</v>
      </c>
    </row>
    <row r="18" spans="1:1">
      <c r="A18" s="125" t="s">
        <v>885</v>
      </c>
    </row>
    <row r="19" spans="1:1">
      <c r="A19" s="125" t="s">
        <v>886</v>
      </c>
    </row>
    <row r="20" spans="1:1">
      <c r="A20" s="125" t="s">
        <v>878</v>
      </c>
    </row>
    <row r="21" spans="1:1">
      <c r="A21" s="125" t="s">
        <v>879</v>
      </c>
    </row>
    <row r="22" spans="1:1">
      <c r="A22" s="125" t="s">
        <v>880</v>
      </c>
    </row>
    <row r="23" spans="1:1">
      <c r="A23" s="308" t="s">
        <v>1533</v>
      </c>
    </row>
    <row r="24" spans="1:1">
      <c r="A24" s="125" t="s">
        <v>882</v>
      </c>
    </row>
    <row r="25" spans="1:1">
      <c r="A25" s="125" t="s">
        <v>883</v>
      </c>
    </row>
    <row r="26" spans="1:1">
      <c r="A26" s="125" t="s">
        <v>884</v>
      </c>
    </row>
    <row r="27" spans="1:1">
      <c r="A27" s="308" t="s">
        <v>1538</v>
      </c>
    </row>
    <row r="28" spans="1:1">
      <c r="A28" s="125" t="s">
        <v>881</v>
      </c>
    </row>
    <row r="29" spans="1:1">
      <c r="A29" s="308" t="s">
        <v>1541</v>
      </c>
    </row>
    <row r="30" spans="1:1">
      <c r="A30" s="125" t="s">
        <v>745</v>
      </c>
    </row>
    <row r="31" spans="1:1">
      <c r="A31" s="308" t="s">
        <v>908</v>
      </c>
    </row>
    <row r="32" spans="1:1">
      <c r="A32" s="125" t="s">
        <v>908</v>
      </c>
    </row>
    <row r="33" spans="1:1">
      <c r="A33" s="308" t="s">
        <v>909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10" t="s">
        <v>907</v>
      </c>
    </row>
    <row r="4" spans="1:6">
      <c r="A4" s="308" t="s">
        <v>908</v>
      </c>
    </row>
    <row r="5" spans="1:6">
      <c r="A5" s="125" t="s">
        <v>908</v>
      </c>
    </row>
    <row r="6" spans="1:6">
      <c r="A6" s="308" t="s">
        <v>1508</v>
      </c>
    </row>
    <row r="7" spans="1:6">
      <c r="A7" s="125" t="s">
        <v>1521</v>
      </c>
    </row>
    <row r="8" spans="1:6">
      <c r="A8" s="125" t="s">
        <v>1520</v>
      </c>
    </row>
    <row r="9" spans="1:6">
      <c r="A9" s="308" t="s">
        <v>1509</v>
      </c>
    </row>
    <row r="10" spans="1:6">
      <c r="A10" s="125" t="s">
        <v>1524</v>
      </c>
    </row>
    <row r="11" spans="1:6">
      <c r="A11" s="125" t="s">
        <v>1526</v>
      </c>
    </row>
    <row r="12" spans="1:6">
      <c r="A12" s="308" t="s">
        <v>1511</v>
      </c>
    </row>
    <row r="13" spans="1:6">
      <c r="A13" s="125" t="s">
        <v>1533</v>
      </c>
    </row>
    <row r="14" spans="1:6">
      <c r="A14" s="308" t="s">
        <v>1513</v>
      </c>
    </row>
    <row r="15" spans="1:6">
      <c r="A15" s="125" t="s">
        <v>1538</v>
      </c>
    </row>
    <row r="16" spans="1:6">
      <c r="A16" s="308" t="s">
        <v>1334</v>
      </c>
    </row>
    <row r="17" spans="1:1">
      <c r="A17" s="125" t="s">
        <v>1539</v>
      </c>
    </row>
    <row r="18" spans="1:1">
      <c r="A18" s="308" t="s">
        <v>1335</v>
      </c>
    </row>
    <row r="19" spans="1:1">
      <c r="A19" s="125" t="s">
        <v>1540</v>
      </c>
    </row>
    <row r="20" spans="1:1">
      <c r="A20" s="308" t="s">
        <v>1336</v>
      </c>
    </row>
    <row r="21" spans="1:1">
      <c r="A21" s="125" t="s">
        <v>1541</v>
      </c>
    </row>
    <row r="22" spans="1:1">
      <c r="A22" s="308" t="s">
        <v>1337</v>
      </c>
    </row>
    <row r="23" spans="1:1">
      <c r="A23" s="125" t="s">
        <v>1542</v>
      </c>
    </row>
    <row r="24" spans="1:1">
      <c r="A24" s="308"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0" t="s">
        <v>907</v>
      </c>
    </row>
    <row r="4" spans="1:1">
      <c r="A4" s="308" t="s">
        <v>908</v>
      </c>
    </row>
    <row r="5" spans="1:1">
      <c r="A5" s="125" t="s">
        <v>908</v>
      </c>
    </row>
    <row r="6" spans="1:1">
      <c r="A6" s="308" t="s">
        <v>978</v>
      </c>
    </row>
    <row r="7" spans="1:1">
      <c r="A7" s="125" t="s">
        <v>1533</v>
      </c>
    </row>
    <row r="8" spans="1:1">
      <c r="A8" s="125" t="s">
        <v>1538</v>
      </c>
    </row>
    <row r="9" spans="1:1">
      <c r="A9" s="308" t="s">
        <v>979</v>
      </c>
    </row>
    <row r="10" spans="1:1">
      <c r="A10" s="125" t="s">
        <v>1521</v>
      </c>
    </row>
    <row r="11" spans="1:1">
      <c r="A11" s="125" t="s">
        <v>1520</v>
      </c>
    </row>
    <row r="12" spans="1:1">
      <c r="A12" s="125" t="s">
        <v>1524</v>
      </c>
    </row>
    <row r="13" spans="1:1">
      <c r="A13" s="125" t="s">
        <v>1526</v>
      </c>
    </row>
    <row r="14" spans="1:1">
      <c r="A14" s="308" t="s">
        <v>980</v>
      </c>
    </row>
    <row r="15" spans="1:1">
      <c r="A15" s="125" t="s">
        <v>1539</v>
      </c>
    </row>
    <row r="16" spans="1:1">
      <c r="A16" s="308" t="s">
        <v>981</v>
      </c>
    </row>
    <row r="17" spans="1:1">
      <c r="A17" s="125" t="s">
        <v>1540</v>
      </c>
    </row>
    <row r="18" spans="1:1">
      <c r="A18" s="308" t="s">
        <v>982</v>
      </c>
    </row>
    <row r="19" spans="1:1">
      <c r="A19" s="125" t="s">
        <v>1541</v>
      </c>
    </row>
    <row r="20" spans="1:1">
      <c r="A20" s="308" t="s">
        <v>987</v>
      </c>
    </row>
    <row r="21" spans="1:1">
      <c r="A21" s="125" t="s">
        <v>1542</v>
      </c>
    </row>
    <row r="22" spans="1:1">
      <c r="A22" s="308"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4"/>
    <col min="6" max="6" width="8.33203125" style="234" customWidth="1"/>
    <col min="7" max="9" width="18.33203125" style="234" customWidth="1"/>
    <col min="10" max="16384" width="9" style="234"/>
  </cols>
  <sheetData>
    <row r="1" spans="1:11" ht="23.25" customHeight="1">
      <c r="B1" s="419"/>
      <c r="C1" s="419"/>
      <c r="D1" s="419"/>
      <c r="E1" s="419"/>
      <c r="F1" s="419"/>
      <c r="G1" s="419"/>
      <c r="H1" s="419"/>
      <c r="I1" s="419"/>
      <c r="J1" s="419"/>
      <c r="K1" s="419"/>
    </row>
    <row r="2" spans="1:11" ht="23.7" customHeight="1">
      <c r="A2" s="419"/>
      <c r="B2" s="581" t="str">
        <f>StartupInfo!B3</f>
        <v>Software for Mars (Pty) Ltd</v>
      </c>
      <c r="C2" s="581"/>
      <c r="D2" s="581"/>
      <c r="E2" s="581"/>
      <c r="F2" s="581"/>
      <c r="G2" s="581"/>
      <c r="H2" s="581"/>
      <c r="I2" s="581"/>
      <c r="J2" s="419"/>
      <c r="K2" s="419"/>
    </row>
    <row r="3" spans="1:11" ht="19.5" customHeight="1">
      <c r="B3" s="581" t="str">
        <f>StartupInfo!B4</f>
        <v>Mars</v>
      </c>
      <c r="C3" s="581"/>
      <c r="D3" s="581"/>
      <c r="E3" s="581"/>
      <c r="F3" s="581"/>
      <c r="G3" s="581"/>
      <c r="H3" s="581"/>
      <c r="I3" s="581"/>
      <c r="J3" s="420"/>
      <c r="K3" s="235"/>
    </row>
    <row r="4" spans="1:11" ht="24" customHeight="1">
      <c r="A4" s="236"/>
      <c r="B4" s="582" t="str">
        <f>IF(StartupInfo!B18="","",StartupInfo!B18)</f>
        <v>R&amp;D Department</v>
      </c>
      <c r="C4" s="582"/>
      <c r="D4" s="582"/>
      <c r="E4" s="582"/>
      <c r="F4" s="582"/>
      <c r="G4" s="582"/>
      <c r="H4" s="582"/>
      <c r="I4" s="582"/>
    </row>
    <row r="5" spans="1:11">
      <c r="A5" s="236"/>
      <c r="B5" s="583" t="str">
        <f>IF(StartupInfo!B19="","",StartupInfo!B19)</f>
        <v/>
      </c>
      <c r="C5" s="583"/>
      <c r="D5" s="583"/>
      <c r="E5" s="583"/>
      <c r="F5" s="583"/>
      <c r="G5" s="583"/>
      <c r="H5" s="583"/>
      <c r="I5" s="583"/>
      <c r="J5" s="236"/>
      <c r="K5" s="236"/>
    </row>
    <row r="6" spans="1:11">
      <c r="A6" s="235"/>
      <c r="B6" s="420"/>
      <c r="C6" s="420"/>
      <c r="D6" s="420"/>
      <c r="E6" s="420"/>
      <c r="F6" s="420"/>
      <c r="G6" s="420"/>
      <c r="H6" s="420"/>
      <c r="I6" s="420"/>
      <c r="J6" s="420"/>
      <c r="K6" s="235"/>
    </row>
    <row r="7" spans="1:11" s="423" customFormat="1">
      <c r="A7" s="421"/>
      <c r="B7" s="584" t="str">
        <f>CONCATENATE("was rated on ",TEXT(Planning!B33,"dd mmmm yyyy")," at ",Planning!B10)</f>
        <v>was rated on 16 April 2021 at Maturity Level 5</v>
      </c>
      <c r="C7" s="584"/>
      <c r="D7" s="584"/>
      <c r="E7" s="584"/>
      <c r="F7" s="584"/>
      <c r="G7" s="584"/>
      <c r="H7" s="584"/>
      <c r="I7" s="584"/>
      <c r="J7" s="422"/>
      <c r="K7" s="421"/>
    </row>
    <row r="8" spans="1:11">
      <c r="A8" s="236"/>
      <c r="B8" s="236"/>
      <c r="C8" s="236"/>
      <c r="E8" s="585"/>
      <c r="F8" s="585"/>
      <c r="G8" s="585"/>
      <c r="H8" s="236"/>
      <c r="I8" s="236"/>
      <c r="J8" s="236"/>
      <c r="K8" s="236"/>
    </row>
    <row r="9" spans="1:11">
      <c r="A9" s="236"/>
      <c r="B9" s="236"/>
      <c r="C9" s="236"/>
      <c r="D9" s="236"/>
      <c r="E9" s="585"/>
      <c r="F9" s="585"/>
      <c r="G9" s="585"/>
      <c r="H9" s="236"/>
      <c r="I9" s="236"/>
      <c r="J9" s="236"/>
      <c r="K9" s="236"/>
    </row>
    <row r="10" spans="1:11">
      <c r="A10" s="236"/>
      <c r="B10" s="236"/>
      <c r="C10" s="236"/>
      <c r="D10" s="236"/>
      <c r="E10" s="236"/>
      <c r="F10" s="236"/>
      <c r="G10" s="236"/>
      <c r="H10" s="236"/>
      <c r="I10" s="236"/>
      <c r="J10" s="236"/>
      <c r="K10" s="236"/>
    </row>
    <row r="11" spans="1:11" ht="19.2" customHeight="1">
      <c r="A11" s="236"/>
      <c r="B11" s="236"/>
      <c r="C11" s="236"/>
      <c r="D11" s="236"/>
      <c r="E11" s="236"/>
      <c r="F11" s="586" t="str">
        <f>_xlfn.CONCAT("CAS ID",'Agreement 3'!B5)</f>
        <v>CAS ID53517</v>
      </c>
      <c r="G11" s="586"/>
      <c r="H11" s="586"/>
      <c r="I11" s="236"/>
      <c r="J11" s="236"/>
      <c r="K11" s="236"/>
    </row>
    <row r="12" spans="1:11" ht="19.2" customHeight="1">
      <c r="A12" s="236"/>
      <c r="B12" s="236"/>
      <c r="C12" s="236"/>
      <c r="D12" s="236"/>
      <c r="E12" s="236"/>
      <c r="F12" s="236"/>
      <c r="G12" s="236"/>
      <c r="H12" s="236"/>
      <c r="I12" s="236"/>
      <c r="J12" s="236"/>
      <c r="K12" s="236"/>
    </row>
    <row r="13" spans="1:11" ht="19.2" customHeight="1">
      <c r="A13" s="236"/>
      <c r="B13" s="236"/>
      <c r="C13" s="236"/>
      <c r="D13" s="236"/>
      <c r="E13" s="236"/>
      <c r="F13" s="236"/>
      <c r="G13" s="580" t="str">
        <f>'Agreement 3'!B7</f>
        <v>van Zyl, Pieter</v>
      </c>
      <c r="H13" s="580"/>
      <c r="I13" s="580"/>
      <c r="J13" s="236"/>
      <c r="K13" s="236"/>
    </row>
    <row r="14" spans="1:11">
      <c r="A14" s="236"/>
      <c r="B14" s="236"/>
      <c r="C14" s="236"/>
      <c r="D14" s="236"/>
      <c r="E14" s="236"/>
      <c r="F14" s="236"/>
      <c r="G14" s="580" t="str">
        <f>'Agreement 3'!B9</f>
        <v>CMMI V2.0 High Maturity Lead Appraiser</v>
      </c>
      <c r="H14" s="580"/>
      <c r="I14" s="580"/>
      <c r="J14" s="236"/>
      <c r="K14" s="236"/>
    </row>
    <row r="15" spans="1:11">
      <c r="A15" s="236"/>
      <c r="B15" s="236"/>
      <c r="C15" s="236"/>
      <c r="D15" s="236"/>
      <c r="E15" s="236"/>
      <c r="F15" s="236"/>
      <c r="G15" s="580" t="str">
        <f>'Agreement 3'!B11</f>
        <v>0500535-01</v>
      </c>
      <c r="H15" s="580"/>
      <c r="I15" s="580"/>
      <c r="J15" s="236"/>
      <c r="K15" s="236"/>
    </row>
    <row r="16" spans="1:11">
      <c r="A16" s="236"/>
      <c r="B16" s="236"/>
      <c r="C16" s="236"/>
      <c r="D16" s="236"/>
      <c r="E16" s="236"/>
      <c r="F16" s="236"/>
      <c r="G16" s="236"/>
      <c r="H16" s="236"/>
      <c r="I16" s="236"/>
      <c r="J16" s="236"/>
      <c r="K16" s="236"/>
    </row>
    <row r="19" spans="1:11">
      <c r="A19" s="236"/>
      <c r="B19" s="236"/>
      <c r="C19" s="236"/>
      <c r="D19" s="236"/>
      <c r="E19" s="236"/>
      <c r="F19" s="236"/>
      <c r="G19" s="236"/>
      <c r="H19" s="236"/>
      <c r="I19" s="236"/>
      <c r="J19" s="236"/>
      <c r="K19" s="236"/>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1099</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9" t="str">
        <f>_xlfn.CONCAT("Expiry benchmark", CHAR(13),CHAR(10),"appraisal",CHAR(13),CHAR(10),G24)</f>
        <v>Expiry benchmark_x000D_
appraisal_x000D_
16 Apr 2024</v>
      </c>
      <c r="H23" s="219"/>
      <c r="I23" s="218"/>
    </row>
    <row r="24" spans="1:9" s="8" customFormat="1" ht="23.4">
      <c r="A24" s="158" t="s">
        <v>866</v>
      </c>
      <c r="B24" s="276">
        <f>Planning!B26</f>
        <v>44294</v>
      </c>
      <c r="C24" s="159"/>
      <c r="E24" s="160"/>
      <c r="G24" s="240" t="str">
        <f>TEXT(DATE(YEAR(B22)+3,MONTH(B22),DAY(B22)),"dd mmm yyyy")</f>
        <v>16 Apr 2024</v>
      </c>
      <c r="H24" s="220"/>
      <c r="I24" s="218"/>
    </row>
    <row r="25" spans="1:9" s="8" customFormat="1" ht="23.4">
      <c r="A25" s="158"/>
      <c r="B25" s="276"/>
      <c r="C25" s="159"/>
      <c r="E25" s="160"/>
      <c r="G25" s="240"/>
      <c r="H25" s="220"/>
      <c r="I25" s="218"/>
    </row>
    <row r="26" spans="1:9" s="8" customFormat="1" ht="15.6">
      <c r="A26" s="170" t="s">
        <v>1027</v>
      </c>
      <c r="B26" s="279" t="s">
        <v>1028</v>
      </c>
      <c r="C26" s="277" t="s">
        <v>1029</v>
      </c>
      <c r="D26" s="171" t="s">
        <v>839</v>
      </c>
      <c r="E26" s="160"/>
      <c r="G26" s="172"/>
    </row>
    <row r="27" spans="1:9" s="8" customFormat="1" ht="15.6">
      <c r="A27" s="158"/>
      <c r="B27" s="278" t="s">
        <v>1652</v>
      </c>
      <c r="C27" s="173" t="s">
        <v>1030</v>
      </c>
      <c r="D27" s="174">
        <f>'P1PA-SS'!B70</f>
        <v>44322</v>
      </c>
      <c r="E27" s="160"/>
      <c r="G27" s="175" t="str">
        <f>G24</f>
        <v>16 Apr 2024</v>
      </c>
      <c r="H27" s="169" t="s">
        <v>1031</v>
      </c>
    </row>
    <row r="28" spans="1:9" s="8" customFormat="1" ht="15.6">
      <c r="A28" s="158"/>
      <c r="B28" s="173" t="s">
        <v>1032</v>
      </c>
      <c r="C28" s="173" t="s">
        <v>1033</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7" t="s">
        <v>1651</v>
      </c>
      <c r="C31" s="587"/>
      <c r="D31" s="587"/>
      <c r="E31" s="160"/>
      <c r="G31" s="178" t="s">
        <v>1392</v>
      </c>
    </row>
    <row r="32" spans="1:9" s="8" customFormat="1" ht="18">
      <c r="A32" s="158"/>
      <c r="B32" s="167"/>
      <c r="C32" s="159"/>
      <c r="E32" s="160"/>
      <c r="G32" s="8" t="str">
        <f>Schedule2!C15</f>
        <v>PAD</v>
      </c>
    </row>
    <row r="33" spans="1:8" s="8" customFormat="1" ht="15.6">
      <c r="A33" s="158"/>
      <c r="B33" s="177" t="str">
        <f>B13</f>
        <v>Sponsor: Prof Kessler, Donald</v>
      </c>
      <c r="C33" s="430" t="str">
        <f>_xlfn.CONCAT(G31,": ",G33)</f>
        <v>EPG: Surname, Process manager2</v>
      </c>
      <c r="E33" s="160"/>
      <c r="G33" s="8" t="str">
        <f>VLOOKUP(G32,Schedule2!C2:D18,2,FALSE)</f>
        <v>Surname, Process manager2</v>
      </c>
      <c r="H33" s="169" t="s">
        <v>1653</v>
      </c>
    </row>
    <row r="34" spans="1:8" s="8" customFormat="1" ht="18">
      <c r="A34" s="158"/>
      <c r="B34" s="167"/>
      <c r="C34" s="159"/>
      <c r="E34" s="160"/>
      <c r="G34" s="429"/>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8" customWidth="1"/>
    <col min="2" max="2" width="83.44140625" style="388" customWidth="1"/>
    <col min="3" max="3" width="6.6640625" style="388" customWidth="1"/>
    <col min="4" max="4" width="48.44140625" style="388" customWidth="1"/>
    <col min="5" max="20" width="6.6640625" style="388" customWidth="1"/>
    <col min="21" max="21" width="5.6640625" style="388" customWidth="1"/>
    <col min="22" max="16384" width="8.6640625" style="388"/>
  </cols>
  <sheetData>
    <row r="1" spans="1:10">
      <c r="A1" s="384" t="s">
        <v>389</v>
      </c>
      <c r="B1" s="385" t="str">
        <f>IF(StartupInfo!B3="","",StartupInfo!B3)</f>
        <v>Software for Mars (Pty) Ltd</v>
      </c>
      <c r="D1" s="391"/>
      <c r="J1" s="392"/>
    </row>
    <row r="2" spans="1:10">
      <c r="A2" s="393" t="str">
        <f>IF(StartupInfo!A4="","",StartupInfo!A4)</f>
        <v>Indigenous name</v>
      </c>
      <c r="B2" s="385" t="str">
        <f>IF(StartupInfo!B4="","",StartupInfo!B4)</f>
        <v>Mars</v>
      </c>
      <c r="D2" s="391"/>
      <c r="J2" s="392"/>
    </row>
    <row r="3" spans="1:10">
      <c r="A3" s="393" t="str">
        <f>StartupInfo!A10</f>
        <v>Country</v>
      </c>
      <c r="B3" s="386" t="str">
        <f>IF(StartupInfo!B10="","",StartupInfo!B10)</f>
        <v>China</v>
      </c>
      <c r="D3" s="391"/>
      <c r="J3" s="392"/>
    </row>
    <row r="4" spans="1:10" ht="29.7" customHeight="1">
      <c r="A4" s="393" t="str">
        <f>StartupInfo!A11</f>
        <v>Organization main address including City, ZIP/Postal Code, and Country</v>
      </c>
      <c r="B4" s="387" t="str">
        <f>StartupInfo!B11</f>
        <v>Room 1, Dome 1, No. 1 First Street, Base Alpha City, Tharsis, Planet04, China</v>
      </c>
    </row>
    <row r="6" spans="1:10">
      <c r="A6" s="384" t="s">
        <v>964</v>
      </c>
      <c r="B6" s="385" t="str">
        <f>StartupInfo!B18</f>
        <v>R&amp;D Department</v>
      </c>
    </row>
    <row r="7" spans="1:10">
      <c r="A7" s="393" t="s">
        <v>965</v>
      </c>
      <c r="B7" s="386" t="str">
        <f>StartupInfo!B20</f>
        <v>The company provides space exploration services…</v>
      </c>
      <c r="D7" s="400" t="str">
        <f>StartupInfo!B24</f>
        <v xml:space="preserve">If address is different from the organisation, manually enter the address in StartupInfo/below, and unhide the new address in pptxLink1, so it displays in the pptx	  </v>
      </c>
    </row>
    <row r="8" spans="1:10" hidden="1">
      <c r="A8" s="393" t="s">
        <v>428</v>
      </c>
      <c r="B8" s="387" t="str">
        <f>IF(StartupInfo!B31="","",StartupInfo!B31)</f>
        <v>Room 1, Dome 1, No. 1 First Street, Base Alpha City, Tharsis, Planet04, China</v>
      </c>
    </row>
    <row r="9" spans="1:10">
      <c r="D9" s="427" t="str">
        <f>StartupInfo!B18</f>
        <v>R&amp;D Department</v>
      </c>
      <c r="E9" s="428" t="s">
        <v>1642</v>
      </c>
    </row>
    <row r="10" spans="1:10">
      <c r="A10" s="384" t="s">
        <v>967</v>
      </c>
      <c r="B10" s="385" t="str">
        <f>'Agreement 3'!B28</f>
        <v>Prof Kessler, Donald</v>
      </c>
    </row>
    <row r="11" spans="1:10">
      <c r="A11" s="393" t="s">
        <v>856</v>
      </c>
      <c r="B11" s="386" t="str">
        <f>'Agreement 3'!B29</f>
        <v>The Boss</v>
      </c>
    </row>
    <row r="12" spans="1:10">
      <c r="A12" s="393" t="s">
        <v>962</v>
      </c>
      <c r="B12" s="387" t="str">
        <f>StartupInfo!B37</f>
        <v>Internal</v>
      </c>
    </row>
    <row r="14" spans="1:10">
      <c r="A14" s="384" t="s">
        <v>963</v>
      </c>
      <c r="B14" s="385" t="str">
        <f>'Agreement 3'!B7</f>
        <v>van Zyl, Pieter</v>
      </c>
    </row>
    <row r="15" spans="1:10">
      <c r="A15" s="393" t="s">
        <v>968</v>
      </c>
      <c r="B15" s="386" t="str">
        <f>'Agreement 3'!B11</f>
        <v>0500535-01</v>
      </c>
    </row>
    <row r="16" spans="1:10">
      <c r="A16" s="393" t="s">
        <v>969</v>
      </c>
      <c r="B16" s="386" t="str">
        <f>'Agreement 3'!B8</f>
        <v>Demix (Pty) Ltd</v>
      </c>
    </row>
    <row r="17" spans="1:2">
      <c r="A17" s="393" t="s">
        <v>970</v>
      </c>
      <c r="B17" s="386" t="str">
        <f>'Agreement 3'!B45</f>
        <v>Demix (Pty) Ltd</v>
      </c>
    </row>
    <row r="18" spans="1:2">
      <c r="A18" s="393" t="s">
        <v>10</v>
      </c>
      <c r="B18" s="386" t="str">
        <f>'Agreement 3'!B13</f>
        <v>pieter.vanzyl@demix.org</v>
      </c>
    </row>
    <row r="20" spans="1:2">
      <c r="A20" s="384" t="s">
        <v>971</v>
      </c>
      <c r="B20" s="385" t="str">
        <f>_xlfn.CONCAT('Agreement 3'!B7," - ",'Agreement 3'!B8)</f>
        <v>van Zyl, Pieter - Demix (Pty) Ltd</v>
      </c>
    </row>
    <row r="21" spans="1:2">
      <c r="A21" s="393" t="s">
        <v>972</v>
      </c>
      <c r="B21" s="386" t="str">
        <f>_xlfn.CONCAT('P1PA-SS'!B92," - ",'P1PA-SS'!D92)</f>
        <v>ATM-1 - Demix (Pty) Ltd</v>
      </c>
    </row>
    <row r="22" spans="1:2">
      <c r="A22" s="393" t="s">
        <v>972</v>
      </c>
      <c r="B22" s="386" t="str">
        <f>_xlfn.CONCAT('P1PA-SS'!B93," - ",'P1PA-SS'!D93)</f>
        <v>ATM-2 - Demix (Pty) Ltd</v>
      </c>
    </row>
    <row r="23" spans="1:2">
      <c r="A23" s="393" t="s">
        <v>972</v>
      </c>
      <c r="B23" s="386" t="str">
        <f>_xlfn.CONCAT('P1PA-SS'!B94," - ",'P1PA-SS'!D94)</f>
        <v>ATM-3 - Demix (Pty) Ltd</v>
      </c>
    </row>
    <row r="24" spans="1:2">
      <c r="A24" s="393" t="s">
        <v>972</v>
      </c>
      <c r="B24" s="386" t="str">
        <f>_xlfn.CONCAT('P1PA-SS'!B95," - ",'P1PA-SS'!D95)</f>
        <v>ATM-4 - Demix (Pty) Ltd</v>
      </c>
    </row>
    <row r="25" spans="1:2">
      <c r="A25" s="393" t="s">
        <v>972</v>
      </c>
      <c r="B25" s="386" t="str">
        <f>_xlfn.CONCAT('P1PA-SS'!B96," - ",'P1PA-SS'!D96)</f>
        <v>ATM-5 - Demix (Pty) Ltd</v>
      </c>
    </row>
    <row r="26" spans="1:2">
      <c r="A26" s="393" t="s">
        <v>972</v>
      </c>
      <c r="B26" s="386" t="str">
        <f>_xlfn.CONCAT('P1PA-SS'!B97," - ",'P1PA-SS'!D97)</f>
        <v>ATM-6 - Demix (Pty) Ltd</v>
      </c>
    </row>
    <row r="27" spans="1:2">
      <c r="A27" s="393" t="s">
        <v>972</v>
      </c>
      <c r="B27" s="386" t="str">
        <f>_xlfn.CONCAT('P1PA-SS'!B98," - ",'P1PA-SS'!D98)</f>
        <v>ATM-7 - Demix (Pty) Ltd</v>
      </c>
    </row>
    <row r="28" spans="1:2">
      <c r="A28" s="393" t="s">
        <v>972</v>
      </c>
      <c r="B28" s="386" t="str">
        <f>_xlfn.CONCAT('P1PA-SS'!B99," - ",'P1PA-SS'!D99)</f>
        <v>ATM-8 - Demix (Pty) Ltd</v>
      </c>
    </row>
    <row r="29" spans="1:2">
      <c r="A29" s="393" t="s">
        <v>972</v>
      </c>
      <c r="B29" s="386" t="str">
        <f>_xlfn.CONCAT('P1PA-SS'!B100," - ",'P1PA-SS'!D100)</f>
        <v>ATM-9 - Demix (Pty) Ltd</v>
      </c>
    </row>
    <row r="30" spans="1:2">
      <c r="A30" s="393" t="s">
        <v>973</v>
      </c>
      <c r="B30" s="386" t="str">
        <f>_xlfn.CONCAT('Agreement 3'!B33," - ",'Agreement 3'!B34)</f>
        <v>Miss Lake, Nathalie - Software for Mars (Pty) Ltd</v>
      </c>
    </row>
    <row r="31" spans="1:2">
      <c r="A31" s="393" t="s">
        <v>27</v>
      </c>
      <c r="B31" s="386" t="str">
        <f>_xlfn.CONCAT('P1PA-SS'!B87," - ",'P1PA-SS'!D87)</f>
        <v>Miss Land, Barbara - Freelance</v>
      </c>
    </row>
    <row r="33" spans="1:2">
      <c r="A33" s="384" t="s">
        <v>1470</v>
      </c>
      <c r="B33" s="384" t="s">
        <v>382</v>
      </c>
    </row>
    <row r="34" spans="1:2" ht="31.95" customHeight="1">
      <c r="A34" s="393" t="s">
        <v>786</v>
      </c>
      <c r="B34" s="389" t="s">
        <v>1471</v>
      </c>
    </row>
    <row r="35" spans="1:2" ht="31.95" customHeight="1">
      <c r="A35" s="393" t="s">
        <v>1472</v>
      </c>
      <c r="B35" s="390" t="s">
        <v>1358</v>
      </c>
    </row>
    <row r="36" spans="1:2" ht="31.95" customHeight="1">
      <c r="A36" s="393" t="s">
        <v>787</v>
      </c>
      <c r="B36" s="390" t="s">
        <v>1355</v>
      </c>
    </row>
    <row r="37" spans="1:2" ht="31.95" customHeight="1">
      <c r="A37" s="393" t="s">
        <v>1473</v>
      </c>
      <c r="B37" s="390" t="s">
        <v>1356</v>
      </c>
    </row>
    <row r="38" spans="1:2" ht="31.95" customHeight="1">
      <c r="A38" s="393" t="s">
        <v>664</v>
      </c>
      <c r="B38" s="390" t="s">
        <v>1474</v>
      </c>
    </row>
    <row r="39" spans="1:2">
      <c r="A39" s="384" t="s">
        <v>1475</v>
      </c>
      <c r="B39" s="384" t="s">
        <v>382</v>
      </c>
    </row>
    <row r="40" spans="1:2" ht="34.950000000000003" customHeight="1">
      <c r="A40" s="393" t="s">
        <v>1476</v>
      </c>
      <c r="B40" s="390" t="s">
        <v>1477</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6" customWidth="1"/>
    <col min="2" max="19" width="6.6640625" style="382" customWidth="1"/>
    <col min="20" max="20" width="5.6640625" style="382" customWidth="1"/>
    <col min="21" max="16384" width="8.6640625" style="383"/>
  </cols>
  <sheetData>
    <row r="1" spans="1:1">
      <c r="A1" s="394" t="str">
        <f>Planning!A42</f>
        <v>Business objectives</v>
      </c>
    </row>
    <row r="2" spans="1:1" ht="46.8">
      <c r="A2" s="395" t="str">
        <f>Planning!B42</f>
        <v>[BO-1] Improve production efficiency to improve productivity 
[BO-2] Improve delivery capacity
[BO-3] Reduce Code Acceptance Defects</v>
      </c>
    </row>
    <row r="3" spans="1:1">
      <c r="A3" s="394" t="str">
        <f>Planning!A45</f>
        <v>Appraisal objectives</v>
      </c>
    </row>
    <row r="4" spans="1:1" ht="31.2">
      <c r="A4" s="395" t="str">
        <f>Planning!B45</f>
        <v>[A1]: In support of the business objectives, understand the current strength and weaknesses of the CMMI Maturity Level 5 practices within the organisation [BO-1, BO-2 &amp; BO-3].</v>
      </c>
    </row>
    <row r="6" spans="1:1">
      <c r="A6" s="381" t="str">
        <f>'P1PA-R'!A3</f>
        <v>Final Findings</v>
      </c>
    </row>
    <row r="7" spans="1:1" ht="31.2">
      <c r="A7" s="396" t="str">
        <f>'P1PA-R'!B4</f>
        <v>The Final Findings will be presented as a PowerPoint presentation on the last on-site day, highlighting the strengths and weaknesses identified.</v>
      </c>
    </row>
    <row r="9" spans="1:1">
      <c r="A9" s="381" t="str">
        <f>'P1PA-R'!A8</f>
        <v>Sampled Project and OSF-level Practice Characterization Worksheets</v>
      </c>
    </row>
    <row r="10" spans="1:1">
      <c r="A10" s="396" t="str">
        <f>'P1PA-R'!B9</f>
        <v>OSF-level Practice Characterization Worksheets and Matrix included in the Final Findings presentation.</v>
      </c>
    </row>
    <row r="12" spans="1:1">
      <c r="A12" s="381" t="str">
        <f>'P1PA-R'!A13</f>
        <v>Sampled Project and OSF-level Ratings Worksheets</v>
      </c>
    </row>
    <row r="13" spans="1:1">
      <c r="A13" s="396" t="str">
        <f>'P1PA-R'!B14</f>
        <v>OSF-level Practice Ratings Worksheets and Matrix included in the Final Findings presentation.</v>
      </c>
    </row>
    <row r="15" spans="1:1">
      <c r="A15" s="381" t="str">
        <f>'P1PA-R'!A23</f>
        <v>Performance Report Output</v>
      </c>
    </row>
    <row r="16" spans="1:1" ht="31.2">
      <c r="A16" s="396" t="str">
        <f>'P1PA-R'!B24</f>
        <v>The Performance Report records the Appraisal Team's consolidated judgment as to how performance is managed and improved in the OU.</v>
      </c>
    </row>
    <row r="18" spans="1:1">
      <c r="A18" s="381" t="str">
        <f>'P1PA-R'!A28</f>
        <v>Other Optional Output</v>
      </c>
    </row>
    <row r="19" spans="1:1">
      <c r="A19" s="396" t="str">
        <f>'P1PA-R'!B29</f>
        <v>Immediately follow-up actions after the final findings are presented.</v>
      </c>
    </row>
    <row r="30" spans="1:1">
      <c r="A30" s="381" t="str">
        <f>StartupInfo!B18</f>
        <v>R&amp;D Department</v>
      </c>
    </row>
    <row r="31" spans="1:1">
      <c r="A31" s="396" t="str">
        <f>StartupInfo!B20</f>
        <v>The company provides space exploration services…</v>
      </c>
    </row>
    <row r="33" spans="1:1">
      <c r="A33" s="381" t="str">
        <f>'P1PA-SS'!A128</f>
        <v>Sampling Factors</v>
      </c>
    </row>
    <row r="34" spans="1:1">
      <c r="A34" s="401" t="str">
        <f>'P1PA-SS'!B129</f>
        <v>Type of Work</v>
      </c>
    </row>
    <row r="35" spans="1:1">
      <c r="A35" s="402" t="str">
        <f>'P1PA-SS'!B131</f>
        <v>All development projects</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7" customWidth="1"/>
    <col min="2" max="2" width="52.33203125" style="357" customWidth="1"/>
    <col min="3" max="3" width="10.6640625" style="357" customWidth="1"/>
    <col min="4" max="4" width="49.44140625" style="357" hidden="1" customWidth="1"/>
    <col min="5" max="10" width="8.6640625" style="357"/>
    <col min="11" max="11" width="2.44140625" style="357" customWidth="1"/>
    <col min="12" max="16384" width="8.6640625" style="357"/>
  </cols>
  <sheetData>
    <row r="2" spans="1:16" ht="13.2" customHeight="1">
      <c r="A2" s="588" t="str">
        <f>'P1PA-SS'!B76</f>
        <v>CMMI Development V2.0 (CMMI-DEV) without SAM</v>
      </c>
      <c r="B2" s="589"/>
      <c r="C2" s="589"/>
      <c r="D2" s="588"/>
      <c r="E2" s="589"/>
      <c r="F2" s="589"/>
      <c r="G2" s="589"/>
      <c r="H2" s="589"/>
      <c r="I2" s="589"/>
      <c r="L2" s="359" t="s">
        <v>1280</v>
      </c>
      <c r="M2" s="359">
        <f>VALUE(RIGHT(Planning!B10,1))</f>
        <v>5</v>
      </c>
      <c r="N2" s="347" t="s">
        <v>1281</v>
      </c>
    </row>
    <row r="3" spans="1:16" s="346" customFormat="1">
      <c r="A3" s="590" t="str">
        <f>'P1PA-SS'!B75</f>
        <v>Maturity Level 5</v>
      </c>
      <c r="B3" s="591"/>
      <c r="C3" s="591"/>
      <c r="D3" s="590"/>
      <c r="E3" s="591"/>
      <c r="F3" s="591"/>
      <c r="G3" s="591"/>
      <c r="H3" s="591"/>
      <c r="I3" s="591"/>
      <c r="J3" s="362"/>
      <c r="K3" s="357"/>
      <c r="L3" s="357"/>
      <c r="M3" s="357"/>
      <c r="N3" s="362"/>
      <c r="O3" s="362"/>
      <c r="P3" s="362"/>
    </row>
    <row r="4" spans="1:16">
      <c r="A4" s="363" t="s">
        <v>1451</v>
      </c>
      <c r="B4" s="363" t="s">
        <v>910</v>
      </c>
      <c r="C4" s="364" t="s">
        <v>1452</v>
      </c>
      <c r="D4" s="377" t="s">
        <v>910</v>
      </c>
      <c r="E4" s="378">
        <v>1</v>
      </c>
      <c r="F4" s="378">
        <v>2</v>
      </c>
      <c r="G4" s="378">
        <v>3</v>
      </c>
      <c r="H4" s="378">
        <v>4</v>
      </c>
      <c r="I4" s="378">
        <v>5</v>
      </c>
      <c r="M4" s="357" t="s">
        <v>1467</v>
      </c>
    </row>
    <row r="5" spans="1:16" ht="20.7" customHeight="1">
      <c r="A5" s="597" t="s">
        <v>1456</v>
      </c>
      <c r="B5" s="365" t="s">
        <v>1021</v>
      </c>
      <c r="C5" s="358">
        <f t="shared" ref="C5:C24" si="0">IF(M5&gt;=$M$2,$M$2,M5)</f>
        <v>3</v>
      </c>
      <c r="D5" s="379" t="s">
        <v>1021</v>
      </c>
      <c r="E5" s="380" t="str">
        <f>IF($C5&gt;=E$4,"x","")</f>
        <v>x</v>
      </c>
      <c r="F5" s="380" t="str">
        <f t="shared" ref="F5:I20" si="1">IF($C5&gt;=F$4,"x","")</f>
        <v>x</v>
      </c>
      <c r="G5" s="380" t="str">
        <f t="shared" si="1"/>
        <v>x</v>
      </c>
      <c r="H5" s="380" t="str">
        <f t="shared" si="1"/>
        <v/>
      </c>
      <c r="I5" s="380" t="str">
        <f t="shared" si="1"/>
        <v/>
      </c>
      <c r="M5" s="357">
        <v>3</v>
      </c>
    </row>
    <row r="6" spans="1:16" ht="20.7" customHeight="1">
      <c r="A6" s="597"/>
      <c r="B6" s="365" t="s">
        <v>1034</v>
      </c>
      <c r="C6" s="358">
        <f t="shared" si="0"/>
        <v>3</v>
      </c>
      <c r="D6" s="379" t="s">
        <v>1034</v>
      </c>
      <c r="E6" s="380" t="str">
        <f t="shared" ref="E6:I24" si="2">IF($C6&gt;=E$4,"x","")</f>
        <v>x</v>
      </c>
      <c r="F6" s="380" t="str">
        <f t="shared" si="1"/>
        <v>x</v>
      </c>
      <c r="G6" s="380" t="str">
        <f t="shared" si="1"/>
        <v>x</v>
      </c>
      <c r="H6" s="380" t="str">
        <f t="shared" si="1"/>
        <v/>
      </c>
      <c r="I6" s="380" t="str">
        <f t="shared" si="1"/>
        <v/>
      </c>
      <c r="M6" s="357">
        <v>3</v>
      </c>
    </row>
    <row r="7" spans="1:16" ht="20.7" customHeight="1">
      <c r="A7" s="597"/>
      <c r="B7" s="365" t="s">
        <v>1015</v>
      </c>
      <c r="C7" s="358">
        <f t="shared" si="0"/>
        <v>3</v>
      </c>
      <c r="D7" s="379" t="s">
        <v>1015</v>
      </c>
      <c r="E7" s="380" t="str">
        <f t="shared" si="2"/>
        <v>x</v>
      </c>
      <c r="F7" s="380" t="str">
        <f t="shared" si="1"/>
        <v>x</v>
      </c>
      <c r="G7" s="380" t="str">
        <f t="shared" si="1"/>
        <v>x</v>
      </c>
      <c r="H7" s="380" t="str">
        <f t="shared" si="1"/>
        <v/>
      </c>
      <c r="I7" s="380" t="str">
        <f t="shared" si="1"/>
        <v/>
      </c>
      <c r="M7" s="357">
        <v>3</v>
      </c>
    </row>
    <row r="8" spans="1:16" ht="20.7" customHeight="1">
      <c r="A8" s="597"/>
      <c r="B8" s="365" t="s">
        <v>1457</v>
      </c>
      <c r="C8" s="358">
        <f t="shared" si="0"/>
        <v>3</v>
      </c>
      <c r="D8" s="379" t="s">
        <v>1457</v>
      </c>
      <c r="E8" s="380" t="str">
        <f t="shared" si="2"/>
        <v>x</v>
      </c>
      <c r="F8" s="380" t="str">
        <f t="shared" si="1"/>
        <v>x</v>
      </c>
      <c r="G8" s="380" t="str">
        <f t="shared" si="1"/>
        <v>x</v>
      </c>
      <c r="H8" s="380" t="str">
        <f t="shared" si="1"/>
        <v/>
      </c>
      <c r="I8" s="380" t="str">
        <f t="shared" si="1"/>
        <v/>
      </c>
      <c r="M8" s="357">
        <v>3</v>
      </c>
    </row>
    <row r="9" spans="1:16" ht="20.7" customHeight="1">
      <c r="A9" s="592" t="s">
        <v>1459</v>
      </c>
      <c r="B9" s="366" t="s">
        <v>1022</v>
      </c>
      <c r="C9" s="358">
        <f t="shared" si="0"/>
        <v>3</v>
      </c>
      <c r="D9" s="379" t="s">
        <v>1022</v>
      </c>
      <c r="E9" s="380" t="str">
        <f t="shared" si="2"/>
        <v>x</v>
      </c>
      <c r="F9" s="380" t="str">
        <f t="shared" si="1"/>
        <v>x</v>
      </c>
      <c r="G9" s="380" t="str">
        <f t="shared" si="1"/>
        <v>x</v>
      </c>
      <c r="H9" s="380" t="str">
        <f t="shared" si="1"/>
        <v/>
      </c>
      <c r="I9" s="380" t="str">
        <f t="shared" si="1"/>
        <v/>
      </c>
      <c r="M9" s="357">
        <v>3</v>
      </c>
    </row>
    <row r="10" spans="1:16" ht="20.7" customHeight="1">
      <c r="A10" s="592"/>
      <c r="B10" s="366" t="s">
        <v>1023</v>
      </c>
      <c r="C10" s="358">
        <f t="shared" si="0"/>
        <v>3</v>
      </c>
      <c r="D10" s="379" t="s">
        <v>1023</v>
      </c>
      <c r="E10" s="380" t="str">
        <f t="shared" si="2"/>
        <v>x</v>
      </c>
      <c r="F10" s="380" t="str">
        <f t="shared" si="1"/>
        <v>x</v>
      </c>
      <c r="G10" s="380" t="str">
        <f t="shared" si="1"/>
        <v>x</v>
      </c>
      <c r="H10" s="380" t="str">
        <f t="shared" si="1"/>
        <v/>
      </c>
      <c r="I10" s="380" t="str">
        <f t="shared" si="1"/>
        <v/>
      </c>
      <c r="M10" s="357">
        <v>3</v>
      </c>
    </row>
    <row r="11" spans="1:16" ht="20.7" customHeight="1">
      <c r="A11" s="367" t="s">
        <v>1468</v>
      </c>
      <c r="B11" s="368" t="s">
        <v>1469</v>
      </c>
      <c r="C11" s="358">
        <f t="shared" si="0"/>
        <v>4</v>
      </c>
      <c r="D11" s="379" t="s">
        <v>1469</v>
      </c>
      <c r="E11" s="380" t="str">
        <f t="shared" si="2"/>
        <v>x</v>
      </c>
      <c r="F11" s="380" t="str">
        <f t="shared" si="1"/>
        <v>x</v>
      </c>
      <c r="G11" s="380" t="str">
        <f t="shared" si="1"/>
        <v>x</v>
      </c>
      <c r="H11" s="380" t="str">
        <f t="shared" si="1"/>
        <v>x</v>
      </c>
      <c r="I11" s="380" t="str">
        <f t="shared" si="1"/>
        <v/>
      </c>
      <c r="M11" s="357">
        <v>4</v>
      </c>
    </row>
    <row r="12" spans="1:16" ht="20.7" customHeight="1">
      <c r="A12" s="593" t="s">
        <v>1466</v>
      </c>
      <c r="B12" s="369" t="s">
        <v>1019</v>
      </c>
      <c r="C12" s="358">
        <f t="shared" si="0"/>
        <v>3</v>
      </c>
      <c r="D12" s="379" t="s">
        <v>1019</v>
      </c>
      <c r="E12" s="380" t="str">
        <f t="shared" si="2"/>
        <v>x</v>
      </c>
      <c r="F12" s="380" t="str">
        <f t="shared" si="1"/>
        <v>x</v>
      </c>
      <c r="G12" s="380" t="str">
        <f t="shared" si="1"/>
        <v>x</v>
      </c>
      <c r="H12" s="380" t="str">
        <f t="shared" si="1"/>
        <v/>
      </c>
      <c r="I12" s="380" t="str">
        <f t="shared" si="1"/>
        <v/>
      </c>
      <c r="M12" s="357">
        <v>3</v>
      </c>
    </row>
    <row r="13" spans="1:16" ht="20.7" customHeight="1">
      <c r="A13" s="593"/>
      <c r="B13" s="369" t="s">
        <v>1018</v>
      </c>
      <c r="C13" s="358">
        <f t="shared" si="0"/>
        <v>4</v>
      </c>
      <c r="D13" s="379" t="s">
        <v>1018</v>
      </c>
      <c r="E13" s="380" t="str">
        <f t="shared" si="2"/>
        <v>x</v>
      </c>
      <c r="F13" s="380" t="str">
        <f t="shared" si="1"/>
        <v>x</v>
      </c>
      <c r="G13" s="380" t="str">
        <f t="shared" si="1"/>
        <v>x</v>
      </c>
      <c r="H13" s="380" t="str">
        <f t="shared" si="1"/>
        <v>x</v>
      </c>
      <c r="I13" s="380" t="str">
        <f t="shared" si="1"/>
        <v/>
      </c>
      <c r="M13" s="357">
        <v>4</v>
      </c>
    </row>
    <row r="14" spans="1:16" ht="20.7" customHeight="1">
      <c r="A14" s="593"/>
      <c r="B14" s="369" t="s">
        <v>1460</v>
      </c>
      <c r="C14" s="358">
        <f t="shared" si="0"/>
        <v>3</v>
      </c>
      <c r="D14" s="379" t="s">
        <v>1460</v>
      </c>
      <c r="E14" s="380" t="str">
        <f t="shared" si="2"/>
        <v>x</v>
      </c>
      <c r="F14" s="380" t="str">
        <f t="shared" si="1"/>
        <v>x</v>
      </c>
      <c r="G14" s="380" t="str">
        <f t="shared" si="1"/>
        <v>x</v>
      </c>
      <c r="H14" s="380" t="str">
        <f t="shared" si="1"/>
        <v/>
      </c>
      <c r="I14" s="380" t="str">
        <f t="shared" si="1"/>
        <v/>
      </c>
      <c r="M14" s="357">
        <v>3</v>
      </c>
    </row>
    <row r="15" spans="1:16" ht="20.7" customHeight="1">
      <c r="A15" s="370" t="s">
        <v>1465</v>
      </c>
      <c r="B15" s="371" t="s">
        <v>1020</v>
      </c>
      <c r="C15" s="358">
        <f t="shared" si="0"/>
        <v>3</v>
      </c>
      <c r="D15" s="379" t="s">
        <v>1020</v>
      </c>
      <c r="E15" s="380" t="str">
        <f t="shared" si="2"/>
        <v>x</v>
      </c>
      <c r="F15" s="380" t="str">
        <f t="shared" si="1"/>
        <v>x</v>
      </c>
      <c r="G15" s="380" t="str">
        <f t="shared" si="1"/>
        <v>x</v>
      </c>
      <c r="H15" s="380" t="str">
        <f t="shared" si="1"/>
        <v/>
      </c>
      <c r="I15" s="380" t="str">
        <f t="shared" si="1"/>
        <v/>
      </c>
      <c r="M15" s="357">
        <v>3</v>
      </c>
    </row>
    <row r="16" spans="1:16" ht="20.7" customHeight="1">
      <c r="A16" s="372" t="s">
        <v>1464</v>
      </c>
      <c r="B16" s="373" t="s">
        <v>1012</v>
      </c>
      <c r="C16" s="358">
        <f t="shared" si="0"/>
        <v>3</v>
      </c>
      <c r="D16" s="379" t="s">
        <v>1012</v>
      </c>
      <c r="E16" s="380" t="str">
        <f t="shared" si="2"/>
        <v>x</v>
      </c>
      <c r="F16" s="380" t="str">
        <f t="shared" si="1"/>
        <v>x</v>
      </c>
      <c r="G16" s="380" t="str">
        <f t="shared" si="1"/>
        <v>x</v>
      </c>
      <c r="H16" s="380" t="str">
        <f t="shared" si="1"/>
        <v/>
      </c>
      <c r="I16" s="380" t="str">
        <f t="shared" si="1"/>
        <v/>
      </c>
      <c r="M16" s="357">
        <v>3</v>
      </c>
    </row>
    <row r="17" spans="1:13" ht="20.7" customHeight="1">
      <c r="A17" s="594" t="s">
        <v>1463</v>
      </c>
      <c r="B17" s="374" t="s">
        <v>1010</v>
      </c>
      <c r="C17" s="358">
        <f t="shared" si="0"/>
        <v>5</v>
      </c>
      <c r="D17" s="379" t="s">
        <v>1010</v>
      </c>
      <c r="E17" s="380" t="str">
        <f t="shared" si="2"/>
        <v>x</v>
      </c>
      <c r="F17" s="380" t="str">
        <f t="shared" si="1"/>
        <v>x</v>
      </c>
      <c r="G17" s="380" t="str">
        <f t="shared" si="1"/>
        <v>x</v>
      </c>
      <c r="H17" s="380" t="str">
        <f t="shared" si="1"/>
        <v>x</v>
      </c>
      <c r="I17" s="380" t="str">
        <f t="shared" si="1"/>
        <v>x</v>
      </c>
      <c r="M17" s="357">
        <v>5</v>
      </c>
    </row>
    <row r="18" spans="1:13" ht="20.7" customHeight="1">
      <c r="A18" s="594"/>
      <c r="B18" s="374" t="s">
        <v>1011</v>
      </c>
      <c r="C18" s="358">
        <f t="shared" si="0"/>
        <v>3</v>
      </c>
      <c r="D18" s="379" t="s">
        <v>1011</v>
      </c>
      <c r="E18" s="380" t="str">
        <f t="shared" si="2"/>
        <v>x</v>
      </c>
      <c r="F18" s="380" t="str">
        <f t="shared" si="1"/>
        <v>x</v>
      </c>
      <c r="G18" s="380" t="str">
        <f t="shared" si="1"/>
        <v>x</v>
      </c>
      <c r="H18" s="380" t="str">
        <f t="shared" si="1"/>
        <v/>
      </c>
      <c r="I18" s="380" t="str">
        <f t="shared" si="1"/>
        <v/>
      </c>
      <c r="M18" s="357">
        <v>3</v>
      </c>
    </row>
    <row r="19" spans="1:13" ht="20.7" customHeight="1">
      <c r="A19" s="594"/>
      <c r="B19" s="374" t="s">
        <v>1017</v>
      </c>
      <c r="C19" s="358">
        <f t="shared" si="0"/>
        <v>2</v>
      </c>
      <c r="D19" s="379" t="s">
        <v>1017</v>
      </c>
      <c r="E19" s="380" t="str">
        <f t="shared" si="2"/>
        <v>x</v>
      </c>
      <c r="F19" s="380" t="str">
        <f t="shared" si="1"/>
        <v>x</v>
      </c>
      <c r="G19" s="380" t="str">
        <f t="shared" si="1"/>
        <v/>
      </c>
      <c r="H19" s="380" t="str">
        <f t="shared" si="1"/>
        <v/>
      </c>
      <c r="I19" s="380" t="str">
        <f t="shared" si="1"/>
        <v/>
      </c>
      <c r="M19" s="357">
        <v>2</v>
      </c>
    </row>
    <row r="20" spans="1:13" ht="20.7" customHeight="1">
      <c r="A20" s="595" t="s">
        <v>1462</v>
      </c>
      <c r="B20" s="375" t="s">
        <v>1643</v>
      </c>
      <c r="C20" s="358">
        <f t="shared" si="0"/>
        <v>4</v>
      </c>
      <c r="D20" s="379" t="s">
        <v>1643</v>
      </c>
      <c r="E20" s="380" t="str">
        <f t="shared" si="2"/>
        <v>x</v>
      </c>
      <c r="F20" s="380" t="str">
        <f t="shared" si="1"/>
        <v>x</v>
      </c>
      <c r="G20" s="380" t="str">
        <f t="shared" si="1"/>
        <v>x</v>
      </c>
      <c r="H20" s="380" t="str">
        <f t="shared" si="1"/>
        <v>x</v>
      </c>
      <c r="I20" s="380" t="str">
        <f t="shared" si="1"/>
        <v/>
      </c>
      <c r="M20" s="357">
        <v>4</v>
      </c>
    </row>
    <row r="21" spans="1:13" ht="20.7" customHeight="1">
      <c r="A21" s="595"/>
      <c r="B21" s="375" t="s">
        <v>1461</v>
      </c>
      <c r="C21" s="358">
        <f t="shared" si="0"/>
        <v>3</v>
      </c>
      <c r="D21" s="379" t="s">
        <v>1461</v>
      </c>
      <c r="E21" s="380" t="str">
        <f t="shared" si="2"/>
        <v>x</v>
      </c>
      <c r="F21" s="380" t="str">
        <f t="shared" si="2"/>
        <v>x</v>
      </c>
      <c r="G21" s="380" t="str">
        <f t="shared" si="2"/>
        <v>x</v>
      </c>
      <c r="H21" s="380" t="str">
        <f t="shared" si="2"/>
        <v/>
      </c>
      <c r="I21" s="380" t="str">
        <f t="shared" si="2"/>
        <v/>
      </c>
      <c r="M21" s="357">
        <v>3</v>
      </c>
    </row>
    <row r="22" spans="1:13" ht="20.7" customHeight="1">
      <c r="A22" s="596" t="s">
        <v>1458</v>
      </c>
      <c r="B22" s="376" t="s">
        <v>1016</v>
      </c>
      <c r="C22" s="358">
        <f t="shared" si="0"/>
        <v>5</v>
      </c>
      <c r="D22" s="379" t="s">
        <v>1016</v>
      </c>
      <c r="E22" s="380" t="str">
        <f t="shared" si="2"/>
        <v>x</v>
      </c>
      <c r="F22" s="380" t="str">
        <f t="shared" si="2"/>
        <v>x</v>
      </c>
      <c r="G22" s="380" t="str">
        <f t="shared" si="2"/>
        <v>x</v>
      </c>
      <c r="H22" s="380" t="str">
        <f t="shared" si="2"/>
        <v>x</v>
      </c>
      <c r="I22" s="380" t="str">
        <f t="shared" si="2"/>
        <v>x</v>
      </c>
      <c r="M22" s="357">
        <v>5</v>
      </c>
    </row>
    <row r="23" spans="1:13" ht="20.7" customHeight="1">
      <c r="A23" s="596"/>
      <c r="B23" s="376" t="s">
        <v>1013</v>
      </c>
      <c r="C23" s="358">
        <f t="shared" si="0"/>
        <v>4</v>
      </c>
      <c r="D23" s="379" t="s">
        <v>1013</v>
      </c>
      <c r="E23" s="380" t="str">
        <f t="shared" si="2"/>
        <v>x</v>
      </c>
      <c r="F23" s="380" t="str">
        <f t="shared" si="2"/>
        <v>x</v>
      </c>
      <c r="G23" s="380" t="str">
        <f t="shared" si="2"/>
        <v>x</v>
      </c>
      <c r="H23" s="380" t="str">
        <f t="shared" si="2"/>
        <v>x</v>
      </c>
      <c r="I23" s="380" t="str">
        <f t="shared" si="2"/>
        <v/>
      </c>
      <c r="M23" s="357">
        <v>4</v>
      </c>
    </row>
    <row r="24" spans="1:13" ht="20.7" customHeight="1">
      <c r="A24" s="596"/>
      <c r="B24" s="376" t="s">
        <v>1014</v>
      </c>
      <c r="C24" s="358">
        <f t="shared" si="0"/>
        <v>3</v>
      </c>
      <c r="D24" s="379" t="s">
        <v>1014</v>
      </c>
      <c r="E24" s="380" t="str">
        <f t="shared" si="2"/>
        <v>x</v>
      </c>
      <c r="F24" s="380" t="str">
        <f t="shared" si="2"/>
        <v>x</v>
      </c>
      <c r="G24" s="380" t="str">
        <f t="shared" si="2"/>
        <v>x</v>
      </c>
      <c r="H24" s="380" t="str">
        <f t="shared" si="2"/>
        <v/>
      </c>
      <c r="I24" s="380" t="str">
        <f t="shared" si="2"/>
        <v/>
      </c>
      <c r="M24" s="357">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2" t="str">
        <f>'P1PA-SS'!A128</f>
        <v>Sampling Factors</v>
      </c>
      <c r="B2" s="242"/>
      <c r="C2" s="242"/>
    </row>
    <row r="3" spans="1:22">
      <c r="A3" s="204" t="str">
        <f>'P1PA-SS'!B129</f>
        <v>Type of Work</v>
      </c>
      <c r="B3" s="242"/>
      <c r="C3" s="242"/>
    </row>
    <row r="4" spans="1:22">
      <c r="A4" s="203" t="str">
        <f>'P1PA-SS'!B131</f>
        <v>All development projects</v>
      </c>
      <c r="B4" s="242"/>
      <c r="C4" s="242"/>
    </row>
    <row r="5" spans="1:22" ht="18">
      <c r="A5" s="242"/>
      <c r="B5" s="242"/>
      <c r="C5" s="242"/>
      <c r="D5" s="243"/>
      <c r="E5" s="243"/>
      <c r="F5" s="243"/>
      <c r="G5" s="243"/>
      <c r="H5" s="243"/>
      <c r="I5" s="243"/>
      <c r="J5" s="243"/>
      <c r="K5" s="243"/>
      <c r="L5" s="243"/>
      <c r="M5" s="243"/>
      <c r="N5" s="243"/>
      <c r="O5" s="243"/>
      <c r="P5" s="243"/>
      <c r="Q5" s="243"/>
      <c r="R5" s="243"/>
      <c r="S5" s="243"/>
      <c r="T5" s="243"/>
      <c r="U5" s="243"/>
    </row>
    <row r="6" spans="1:22" ht="18">
      <c r="A6" s="242"/>
      <c r="B6" s="242"/>
      <c r="C6" s="242"/>
      <c r="D6" s="243"/>
      <c r="E6" s="243"/>
      <c r="F6" s="243"/>
      <c r="G6" s="243"/>
      <c r="H6" s="243"/>
      <c r="I6" s="243"/>
      <c r="J6" s="243"/>
      <c r="K6" s="243"/>
      <c r="L6" s="243"/>
      <c r="M6" s="243"/>
      <c r="N6" s="243"/>
      <c r="O6" s="243"/>
      <c r="P6" s="243"/>
      <c r="Q6" s="243"/>
      <c r="R6" s="243"/>
      <c r="S6" s="243"/>
      <c r="T6" s="243"/>
      <c r="U6" s="243"/>
    </row>
    <row r="7" spans="1:22" ht="18">
      <c r="A7" s="242"/>
      <c r="B7" s="242"/>
      <c r="C7" s="242"/>
      <c r="D7" s="243"/>
      <c r="E7" s="243"/>
      <c r="F7" s="243"/>
      <c r="G7" s="243"/>
      <c r="H7" s="243"/>
      <c r="I7" s="243"/>
      <c r="J7" s="243"/>
      <c r="K7" s="243"/>
      <c r="L7" s="243"/>
      <c r="M7" s="243"/>
      <c r="N7" s="243"/>
      <c r="O7" s="243"/>
      <c r="P7" s="243"/>
      <c r="Q7" s="243"/>
      <c r="R7" s="243"/>
      <c r="S7" s="243"/>
      <c r="T7" s="243"/>
      <c r="U7" s="243"/>
    </row>
    <row r="8" spans="1:22" ht="18">
      <c r="A8" s="242"/>
      <c r="B8" s="242"/>
      <c r="C8" s="242"/>
      <c r="D8" s="243"/>
      <c r="E8" s="243"/>
      <c r="F8" s="243"/>
      <c r="G8" s="243"/>
      <c r="H8" s="243"/>
      <c r="I8" s="243"/>
      <c r="J8" s="243"/>
      <c r="K8" s="243"/>
      <c r="L8" s="243"/>
      <c r="M8" s="243"/>
      <c r="N8" s="243"/>
      <c r="O8" s="243"/>
      <c r="P8" s="243"/>
      <c r="Q8" s="243"/>
      <c r="R8" s="243"/>
      <c r="S8" s="243"/>
      <c r="T8" s="243"/>
      <c r="U8" s="243"/>
    </row>
    <row r="9" spans="1:22" ht="18">
      <c r="A9" s="242"/>
      <c r="B9" s="242"/>
      <c r="C9" s="242"/>
      <c r="D9" s="243"/>
      <c r="E9" s="243"/>
      <c r="F9" s="243"/>
      <c r="G9" s="243"/>
      <c r="H9" s="243"/>
      <c r="I9" s="243"/>
      <c r="J9" s="243"/>
      <c r="K9" s="243"/>
      <c r="L9" s="243"/>
      <c r="M9" s="243"/>
      <c r="N9" s="243"/>
      <c r="O9" s="243"/>
      <c r="P9" s="243"/>
      <c r="Q9" s="243"/>
      <c r="R9" s="243"/>
      <c r="S9" s="243"/>
      <c r="T9" s="243"/>
      <c r="U9" s="243"/>
    </row>
    <row r="10" spans="1:22" s="245" customFormat="1" ht="42">
      <c r="A10" s="202" t="str">
        <f>'Project&amp;Support'!A1</f>
        <v>Project and support function information and sample</v>
      </c>
      <c r="B10" s="202" t="str">
        <f>'Project&amp;Support'!H2</f>
        <v>Sub groups</v>
      </c>
      <c r="C10" s="202" t="str">
        <f>'Project&amp;Support'!I2</f>
        <v>Project/
Support</v>
      </c>
      <c r="D10" s="205" t="str">
        <f>'Project&amp;Support'!J2</f>
        <v>PI</v>
      </c>
      <c r="E10" s="205" t="str">
        <f>'Project&amp;Support'!K2</f>
        <v>TS</v>
      </c>
      <c r="F10" s="205" t="str">
        <f>'Project&amp;Support'!L2</f>
        <v>PQA</v>
      </c>
      <c r="G10" s="205" t="str">
        <f>'Project&amp;Support'!M2</f>
        <v>PR</v>
      </c>
      <c r="H10" s="205" t="str">
        <f>'Project&amp;Support'!N2</f>
        <v>RDM</v>
      </c>
      <c r="I10" s="205" t="str">
        <f>'Project&amp;Support'!O2</f>
        <v>VV</v>
      </c>
      <c r="J10" s="205" t="str">
        <f>'Project&amp;Support'!P2</f>
        <v>MPM</v>
      </c>
      <c r="K10" s="205" t="str">
        <f>'Project&amp;Support'!Q2</f>
        <v>PAD</v>
      </c>
      <c r="L10" s="205" t="str">
        <f>'Project&amp;Support'!R2</f>
        <v>PCM</v>
      </c>
      <c r="M10" s="205" t="str">
        <f>'Project&amp;Support'!S2</f>
        <v>RSK</v>
      </c>
      <c r="N10" s="205" t="str">
        <f>'Project&amp;Support'!T2</f>
        <v>OT</v>
      </c>
      <c r="O10" s="205" t="str">
        <f>'Project&amp;Support'!U2</f>
        <v>EST</v>
      </c>
      <c r="P10" s="205" t="str">
        <f>'Project&amp;Support'!V2</f>
        <v>MC</v>
      </c>
      <c r="Q10" s="205" t="str">
        <f>'Project&amp;Support'!W2</f>
        <v>PLAN</v>
      </c>
      <c r="R10" s="205" t="str">
        <f>'Project&amp;Support'!X2</f>
        <v>CAR</v>
      </c>
      <c r="S10" s="205" t="str">
        <f>'Project&amp;Support'!Y2</f>
        <v>CM</v>
      </c>
      <c r="T10" s="205" t="str">
        <f>'Project&amp;Support'!Z2</f>
        <v>DAR</v>
      </c>
      <c r="U10" s="205" t="str">
        <f>'Project&amp;Support'!AA2</f>
        <v>SAM</v>
      </c>
      <c r="V10" s="244"/>
    </row>
    <row r="11" spans="1:22" s="245" customFormat="1">
      <c r="A11" s="152" t="str">
        <f>'Project&amp;Support'!B3</f>
        <v>p1Falcon9</v>
      </c>
      <c r="B11" s="152" t="str">
        <f>'Project&amp;Support'!H3</f>
        <v>All Projects</v>
      </c>
      <c r="C11" s="152" t="str">
        <f>'Project&amp;Support'!I3</f>
        <v>Project</v>
      </c>
      <c r="D11" s="246" t="str">
        <f>IF('Project&amp;Support'!J3&lt;&gt;"",'Project&amp;Support'!J3,"")</f>
        <v>S</v>
      </c>
      <c r="E11" s="246" t="str">
        <f>IF('Project&amp;Support'!K3&lt;&gt;"",'Project&amp;Support'!K3,"")</f>
        <v>S</v>
      </c>
      <c r="F11" s="246" t="str">
        <f>IF('Project&amp;Support'!L3&lt;&gt;"",'Project&amp;Support'!L3,"")</f>
        <v/>
      </c>
      <c r="G11" s="246" t="str">
        <f>IF('Project&amp;Support'!M3&lt;&gt;"",'Project&amp;Support'!M3,"")</f>
        <v/>
      </c>
      <c r="H11" s="246" t="str">
        <f>IF('Project&amp;Support'!N3&lt;&gt;"",'Project&amp;Support'!N3,"")</f>
        <v/>
      </c>
      <c r="I11" s="246" t="str">
        <f>IF('Project&amp;Support'!O3&lt;&gt;"",'Project&amp;Support'!O3,"")</f>
        <v/>
      </c>
      <c r="J11" s="246" t="str">
        <f>IF('Project&amp;Support'!P3&lt;&gt;"",'Project&amp;Support'!P3,"")</f>
        <v/>
      </c>
      <c r="K11" s="246" t="str">
        <f>IF('Project&amp;Support'!Q3&lt;&gt;"",'Project&amp;Support'!Q3,"")</f>
        <v/>
      </c>
      <c r="L11" s="246" t="str">
        <f>IF('Project&amp;Support'!R3&lt;&gt;"",'Project&amp;Support'!R3,"")</f>
        <v/>
      </c>
      <c r="M11" s="246" t="str">
        <f>IF('Project&amp;Support'!S3&lt;&gt;"",'Project&amp;Support'!S3,"")</f>
        <v/>
      </c>
      <c r="N11" s="246" t="str">
        <f>IF('Project&amp;Support'!T3&lt;&gt;"",'Project&amp;Support'!T3,"")</f>
        <v/>
      </c>
      <c r="O11" s="246" t="str">
        <f>IF('Project&amp;Support'!U3&lt;&gt;"",'Project&amp;Support'!U3,"")</f>
        <v/>
      </c>
      <c r="P11" s="246" t="str">
        <f>IF('Project&amp;Support'!V3&lt;&gt;"",'Project&amp;Support'!V3,"")</f>
        <v/>
      </c>
      <c r="Q11" s="246" t="str">
        <f>IF('Project&amp;Support'!W3&lt;&gt;"",'Project&amp;Support'!W3,"")</f>
        <v/>
      </c>
      <c r="R11" s="246" t="str">
        <f>IF('Project&amp;Support'!X3&lt;&gt;"",'Project&amp;Support'!X3,"")</f>
        <v/>
      </c>
      <c r="S11" s="246" t="str">
        <f>IF('Project&amp;Support'!Y3&lt;&gt;"",'Project&amp;Support'!Y3,"")</f>
        <v/>
      </c>
      <c r="T11" s="246" t="str">
        <f>IF('Project&amp;Support'!Z3&lt;&gt;"",'Project&amp;Support'!Z3,"")</f>
        <v/>
      </c>
      <c r="U11" s="246" t="str">
        <f>IF('Project&amp;Support'!AA3&lt;&gt;"",'Project&amp;Support'!AA3,"")</f>
        <v/>
      </c>
      <c r="V11" s="244"/>
    </row>
    <row r="12" spans="1:22" s="245" customFormat="1">
      <c r="A12" s="152" t="str">
        <f>'Project&amp;Support'!B4</f>
        <v>p2Raptor</v>
      </c>
      <c r="B12" s="152" t="str">
        <f>'Project&amp;Support'!H4</f>
        <v>All Projects</v>
      </c>
      <c r="C12" s="152" t="str">
        <f>'Project&amp;Support'!I4</f>
        <v>Project</v>
      </c>
      <c r="D12" s="246" t="str">
        <f>IF('Project&amp;Support'!J4&lt;&gt;"",'Project&amp;Support'!J4,"")</f>
        <v/>
      </c>
      <c r="E12" s="246" t="str">
        <f>IF('Project&amp;Support'!K4&lt;&gt;"",'Project&amp;Support'!K4,"")</f>
        <v/>
      </c>
      <c r="F12" s="246" t="str">
        <f>IF('Project&amp;Support'!L4&lt;&gt;"",'Project&amp;Support'!L4,"")</f>
        <v/>
      </c>
      <c r="G12" s="246" t="str">
        <f>IF('Project&amp;Support'!M4&lt;&gt;"",'Project&amp;Support'!M4,"")</f>
        <v>S</v>
      </c>
      <c r="H12" s="246" t="str">
        <f>IF('Project&amp;Support'!N4&lt;&gt;"",'Project&amp;Support'!N4,"")</f>
        <v>S</v>
      </c>
      <c r="I12" s="246" t="str">
        <f>IF('Project&amp;Support'!O4&lt;&gt;"",'Project&amp;Support'!O4,"")</f>
        <v>S</v>
      </c>
      <c r="J12" s="246" t="str">
        <f>IF('Project&amp;Support'!P4&lt;&gt;"",'Project&amp;Support'!P4,"")</f>
        <v/>
      </c>
      <c r="K12" s="246" t="str">
        <f>IF('Project&amp;Support'!Q4&lt;&gt;"",'Project&amp;Support'!Q4,"")</f>
        <v/>
      </c>
      <c r="L12" s="246" t="str">
        <f>IF('Project&amp;Support'!R4&lt;&gt;"",'Project&amp;Support'!R4,"")</f>
        <v/>
      </c>
      <c r="M12" s="246" t="str">
        <f>IF('Project&amp;Support'!S4&lt;&gt;"",'Project&amp;Support'!S4,"")</f>
        <v/>
      </c>
      <c r="N12" s="246" t="str">
        <f>IF('Project&amp;Support'!T4&lt;&gt;"",'Project&amp;Support'!T4,"")</f>
        <v/>
      </c>
      <c r="O12" s="246" t="str">
        <f>IF('Project&amp;Support'!U4&lt;&gt;"",'Project&amp;Support'!U4,"")</f>
        <v/>
      </c>
      <c r="P12" s="246" t="str">
        <f>IF('Project&amp;Support'!V4&lt;&gt;"",'Project&amp;Support'!V4,"")</f>
        <v/>
      </c>
      <c r="Q12" s="246" t="str">
        <f>IF('Project&amp;Support'!W4&lt;&gt;"",'Project&amp;Support'!W4,"")</f>
        <v/>
      </c>
      <c r="R12" s="246" t="str">
        <f>IF('Project&amp;Support'!X4&lt;&gt;"",'Project&amp;Support'!X4,"")</f>
        <v/>
      </c>
      <c r="S12" s="246" t="str">
        <f>IF('Project&amp;Support'!Y4&lt;&gt;"",'Project&amp;Support'!Y4,"")</f>
        <v/>
      </c>
      <c r="T12" s="246" t="str">
        <f>IF('Project&amp;Support'!Z4&lt;&gt;"",'Project&amp;Support'!Z4,"")</f>
        <v/>
      </c>
      <c r="U12" s="246" t="str">
        <f>IF('Project&amp;Support'!AA4&lt;&gt;"",'Project&amp;Support'!AA4,"")</f>
        <v/>
      </c>
      <c r="V12" s="244"/>
    </row>
    <row r="13" spans="1:22" s="245" customFormat="1">
      <c r="A13" s="152" t="str">
        <f>'Project&amp;Support'!B5</f>
        <v>p3Starship</v>
      </c>
      <c r="B13" s="152" t="str">
        <f>'Project&amp;Support'!H5</f>
        <v>All Projects</v>
      </c>
      <c r="C13" s="152" t="str">
        <f>'Project&amp;Support'!I5</f>
        <v>Project</v>
      </c>
      <c r="D13" s="246" t="str">
        <f>IF('Project&amp;Support'!J5&lt;&gt;"",'Project&amp;Support'!J5,"")</f>
        <v/>
      </c>
      <c r="E13" s="246" t="str">
        <f>IF('Project&amp;Support'!K5&lt;&gt;"",'Project&amp;Support'!K5,"")</f>
        <v/>
      </c>
      <c r="F13" s="246" t="str">
        <f>IF('Project&amp;Support'!L5&lt;&gt;"",'Project&amp;Support'!L5,"")</f>
        <v/>
      </c>
      <c r="G13" s="246" t="str">
        <f>IF('Project&amp;Support'!M5&lt;&gt;"",'Project&amp;Support'!M5,"")</f>
        <v/>
      </c>
      <c r="H13" s="246" t="str">
        <f>IF('Project&amp;Support'!N5&lt;&gt;"",'Project&amp;Support'!N5,"")</f>
        <v/>
      </c>
      <c r="I13" s="246" t="str">
        <f>IF('Project&amp;Support'!O5&lt;&gt;"",'Project&amp;Support'!O5,"")</f>
        <v/>
      </c>
      <c r="J13" s="246" t="str">
        <f>IF('Project&amp;Support'!P5&lt;&gt;"",'Project&amp;Support'!P5,"")</f>
        <v/>
      </c>
      <c r="K13" s="246" t="str">
        <f>IF('Project&amp;Support'!Q5&lt;&gt;"",'Project&amp;Support'!Q5,"")</f>
        <v/>
      </c>
      <c r="L13" s="246" t="str">
        <f>IF('Project&amp;Support'!R5&lt;&gt;"",'Project&amp;Support'!R5,"")</f>
        <v/>
      </c>
      <c r="M13" s="246" t="str">
        <f>IF('Project&amp;Support'!S5&lt;&gt;"",'Project&amp;Support'!S5,"")</f>
        <v/>
      </c>
      <c r="N13" s="246" t="str">
        <f>IF('Project&amp;Support'!T5&lt;&gt;"",'Project&amp;Support'!T5,"")</f>
        <v/>
      </c>
      <c r="O13" s="246" t="str">
        <f>IF('Project&amp;Support'!U5&lt;&gt;"",'Project&amp;Support'!U5,"")</f>
        <v>S</v>
      </c>
      <c r="P13" s="246" t="str">
        <f>IF('Project&amp;Support'!V5&lt;&gt;"",'Project&amp;Support'!V5,"")</f>
        <v>S</v>
      </c>
      <c r="Q13" s="246" t="str">
        <f>IF('Project&amp;Support'!W5&lt;&gt;"",'Project&amp;Support'!W5,"")</f>
        <v>S</v>
      </c>
      <c r="R13" s="246" t="str">
        <f>IF('Project&amp;Support'!X5&lt;&gt;"",'Project&amp;Support'!X5,"")</f>
        <v/>
      </c>
      <c r="S13" s="246" t="str">
        <f>IF('Project&amp;Support'!Y5&lt;&gt;"",'Project&amp;Support'!Y5,"")</f>
        <v/>
      </c>
      <c r="T13" s="246" t="str">
        <f>IF('Project&amp;Support'!Z5&lt;&gt;"",'Project&amp;Support'!Z5,"")</f>
        <v/>
      </c>
      <c r="U13" s="246" t="str">
        <f>IF('Project&amp;Support'!AA5&lt;&gt;"",'Project&amp;Support'!AA5,"")</f>
        <v/>
      </c>
      <c r="V13" s="244"/>
    </row>
    <row r="14" spans="1:22" s="245" customFormat="1">
      <c r="A14" s="152" t="str">
        <f>'Project&amp;Support'!B6</f>
        <v>p4SupperHeavy</v>
      </c>
      <c r="B14" s="152" t="str">
        <f>'Project&amp;Support'!H6</f>
        <v>All Projects</v>
      </c>
      <c r="C14" s="152" t="str">
        <f>'Project&amp;Support'!I6</f>
        <v>Project</v>
      </c>
      <c r="D14" s="246" t="str">
        <f>IF('Project&amp;Support'!J6&lt;&gt;"",'Project&amp;Support'!J6,"")</f>
        <v/>
      </c>
      <c r="E14" s="246" t="str">
        <f>IF('Project&amp;Support'!K6&lt;&gt;"",'Project&amp;Support'!K6,"")</f>
        <v/>
      </c>
      <c r="F14" s="246" t="str">
        <f>IF('Project&amp;Support'!L6&lt;&gt;"",'Project&amp;Support'!L6,"")</f>
        <v/>
      </c>
      <c r="G14" s="246" t="str">
        <f>IF('Project&amp;Support'!M6&lt;&gt;"",'Project&amp;Support'!M6,"")</f>
        <v/>
      </c>
      <c r="H14" s="246" t="str">
        <f>IF('Project&amp;Support'!N6&lt;&gt;"",'Project&amp;Support'!N6,"")</f>
        <v/>
      </c>
      <c r="I14" s="246" t="str">
        <f>IF('Project&amp;Support'!O6&lt;&gt;"",'Project&amp;Support'!O6,"")</f>
        <v/>
      </c>
      <c r="J14" s="246" t="str">
        <f>IF('Project&amp;Support'!P6&lt;&gt;"",'Project&amp;Support'!P6,"")</f>
        <v/>
      </c>
      <c r="K14" s="246" t="str">
        <f>IF('Project&amp;Support'!Q6&lt;&gt;"",'Project&amp;Support'!Q6,"")</f>
        <v/>
      </c>
      <c r="L14" s="246" t="str">
        <f>IF('Project&amp;Support'!R6&lt;&gt;"",'Project&amp;Support'!R6,"")</f>
        <v/>
      </c>
      <c r="M14" s="246" t="str">
        <f>IF('Project&amp;Support'!S6&lt;&gt;"",'Project&amp;Support'!S6,"")</f>
        <v>S</v>
      </c>
      <c r="N14" s="246" t="str">
        <f>IF('Project&amp;Support'!T6&lt;&gt;"",'Project&amp;Support'!T6,"")</f>
        <v/>
      </c>
      <c r="O14" s="246" t="str">
        <f>IF('Project&amp;Support'!U6&lt;&gt;"",'Project&amp;Support'!U6,"")</f>
        <v/>
      </c>
      <c r="P14" s="246" t="str">
        <f>IF('Project&amp;Support'!V6&lt;&gt;"",'Project&amp;Support'!V6,"")</f>
        <v/>
      </c>
      <c r="Q14" s="246" t="str">
        <f>IF('Project&amp;Support'!W6&lt;&gt;"",'Project&amp;Support'!W6,"")</f>
        <v/>
      </c>
      <c r="R14" s="246" t="str">
        <f>IF('Project&amp;Support'!X6&lt;&gt;"",'Project&amp;Support'!X6,"")</f>
        <v/>
      </c>
      <c r="S14" s="246" t="str">
        <f>IF('Project&amp;Support'!Y6&lt;&gt;"",'Project&amp;Support'!Y6,"")</f>
        <v/>
      </c>
      <c r="T14" s="246" t="str">
        <f>IF('Project&amp;Support'!Z6&lt;&gt;"",'Project&amp;Support'!Z6,"")</f>
        <v/>
      </c>
      <c r="U14" s="246" t="str">
        <f>IF('Project&amp;Support'!AA6&lt;&gt;"",'Project&amp;Support'!AA6,"")</f>
        <v/>
      </c>
      <c r="V14" s="244"/>
    </row>
    <row r="15" spans="1:22" s="245" customFormat="1" hidden="1">
      <c r="A15" s="152"/>
      <c r="B15" s="152"/>
      <c r="C15" s="152"/>
      <c r="D15" s="246"/>
      <c r="E15" s="246"/>
      <c r="F15" s="246"/>
      <c r="G15" s="246"/>
      <c r="H15" s="246"/>
      <c r="I15" s="246"/>
      <c r="J15" s="246"/>
      <c r="K15" s="246"/>
      <c r="L15" s="246"/>
      <c r="M15" s="246"/>
      <c r="N15" s="246"/>
      <c r="O15" s="246"/>
      <c r="P15" s="246"/>
      <c r="Q15" s="246"/>
      <c r="R15" s="246"/>
      <c r="S15" s="246"/>
      <c r="T15" s="246"/>
      <c r="U15" s="246"/>
      <c r="V15" s="244"/>
    </row>
    <row r="16" spans="1:22" s="245" customFormat="1" hidden="1">
      <c r="A16" s="152"/>
      <c r="B16" s="152"/>
      <c r="C16" s="152"/>
      <c r="D16" s="246"/>
      <c r="E16" s="246"/>
      <c r="F16" s="246"/>
      <c r="G16" s="246"/>
      <c r="H16" s="246"/>
      <c r="I16" s="246"/>
      <c r="J16" s="246"/>
      <c r="K16" s="246"/>
      <c r="L16" s="246"/>
      <c r="M16" s="246"/>
      <c r="N16" s="246"/>
      <c r="O16" s="246"/>
      <c r="P16" s="246"/>
      <c r="Q16" s="246"/>
      <c r="R16" s="246"/>
      <c r="S16" s="246"/>
      <c r="T16" s="246"/>
      <c r="U16" s="246"/>
      <c r="V16" s="244"/>
    </row>
    <row r="17" spans="1:22" s="245" customFormat="1" hidden="1">
      <c r="A17" s="152"/>
      <c r="B17" s="152"/>
      <c r="C17" s="152"/>
      <c r="D17" s="246"/>
      <c r="E17" s="246"/>
      <c r="F17" s="246"/>
      <c r="G17" s="246"/>
      <c r="H17" s="246"/>
      <c r="I17" s="246"/>
      <c r="J17" s="246"/>
      <c r="K17" s="246"/>
      <c r="L17" s="246"/>
      <c r="M17" s="246"/>
      <c r="N17" s="246"/>
      <c r="O17" s="246"/>
      <c r="P17" s="246"/>
      <c r="Q17" s="246"/>
      <c r="R17" s="246"/>
      <c r="S17" s="246"/>
      <c r="T17" s="246"/>
      <c r="U17" s="246"/>
      <c r="V17" s="244"/>
    </row>
    <row r="18" spans="1:22" s="245" customFormat="1" hidden="1">
      <c r="A18" s="152"/>
      <c r="B18" s="152"/>
      <c r="C18" s="152"/>
      <c r="D18" s="246"/>
      <c r="E18" s="246"/>
      <c r="F18" s="246"/>
      <c r="G18" s="246"/>
      <c r="H18" s="246"/>
      <c r="I18" s="246"/>
      <c r="J18" s="246"/>
      <c r="K18" s="246"/>
      <c r="L18" s="246"/>
      <c r="M18" s="246"/>
      <c r="N18" s="246"/>
      <c r="O18" s="246"/>
      <c r="P18" s="246"/>
      <c r="Q18" s="246"/>
      <c r="R18" s="246"/>
      <c r="S18" s="246"/>
      <c r="T18" s="246"/>
      <c r="U18" s="246"/>
      <c r="V18" s="244"/>
    </row>
    <row r="19" spans="1:22" s="245" customFormat="1">
      <c r="A19" s="152" t="str">
        <f>'Project&amp;Support'!B7</f>
        <v>s1CM</v>
      </c>
      <c r="B19" s="152" t="str">
        <f>'Project&amp;Support'!H7</f>
        <v>All Projects</v>
      </c>
      <c r="C19" s="152" t="str">
        <f>'Project&amp;Support'!I7</f>
        <v>Support</v>
      </c>
      <c r="D19" s="246" t="str">
        <f>IF('Project&amp;Support'!J7&lt;&gt;"",'Project&amp;Support'!J7,"")</f>
        <v/>
      </c>
      <c r="E19" s="246" t="str">
        <f>IF('Project&amp;Support'!K7&lt;&gt;"",'Project&amp;Support'!K7,"")</f>
        <v/>
      </c>
      <c r="F19" s="246" t="str">
        <f>IF('Project&amp;Support'!L7&lt;&gt;"",'Project&amp;Support'!L7,"")</f>
        <v/>
      </c>
      <c r="G19" s="246" t="str">
        <f>IF('Project&amp;Support'!M7&lt;&gt;"",'Project&amp;Support'!M7,"")</f>
        <v/>
      </c>
      <c r="H19" s="246" t="str">
        <f>IF('Project&amp;Support'!N7&lt;&gt;"",'Project&amp;Support'!N7,"")</f>
        <v/>
      </c>
      <c r="I19" s="246" t="str">
        <f>IF('Project&amp;Support'!O7&lt;&gt;"",'Project&amp;Support'!O7,"")</f>
        <v/>
      </c>
      <c r="J19" s="246" t="str">
        <f>IF('Project&amp;Support'!P7&lt;&gt;"",'Project&amp;Support'!P7,"")</f>
        <v/>
      </c>
      <c r="K19" s="246" t="str">
        <f>IF('Project&amp;Support'!Q7&lt;&gt;"",'Project&amp;Support'!Q7,"")</f>
        <v/>
      </c>
      <c r="L19" s="246" t="str">
        <f>IF('Project&amp;Support'!R7&lt;&gt;"",'Project&amp;Support'!R7,"")</f>
        <v/>
      </c>
      <c r="M19" s="246" t="str">
        <f>IF('Project&amp;Support'!S7&lt;&gt;"",'Project&amp;Support'!S7,"")</f>
        <v/>
      </c>
      <c r="N19" s="246" t="str">
        <f>IF('Project&amp;Support'!T7&lt;&gt;"",'Project&amp;Support'!T7,"")</f>
        <v/>
      </c>
      <c r="O19" s="246" t="str">
        <f>IF('Project&amp;Support'!U7&lt;&gt;"",'Project&amp;Support'!U7,"")</f>
        <v/>
      </c>
      <c r="P19" s="246" t="str">
        <f>IF('Project&amp;Support'!V7&lt;&gt;"",'Project&amp;Support'!V7,"")</f>
        <v/>
      </c>
      <c r="Q19" s="246" t="str">
        <f>IF('Project&amp;Support'!W7&lt;&gt;"",'Project&amp;Support'!W7,"")</f>
        <v/>
      </c>
      <c r="R19" s="246" t="str">
        <f>IF('Project&amp;Support'!X7&lt;&gt;"",'Project&amp;Support'!X7,"")</f>
        <v/>
      </c>
      <c r="S19" s="246" t="str">
        <f>IF('Project&amp;Support'!Y7&lt;&gt;"",'Project&amp;Support'!Y7,"")</f>
        <v>s</v>
      </c>
      <c r="T19" s="246" t="str">
        <f>IF('Project&amp;Support'!Z7&lt;&gt;"",'Project&amp;Support'!Z7,"")</f>
        <v/>
      </c>
      <c r="U19" s="246" t="str">
        <f>IF('Project&amp;Support'!AA7&lt;&gt;"",'Project&amp;Support'!AA7,"")</f>
        <v/>
      </c>
      <c r="V19" s="244"/>
    </row>
    <row r="20" spans="1:22" s="245" customFormat="1">
      <c r="A20" s="152" t="str">
        <f>'Project&amp;Support'!B8</f>
        <v>s2EPG-MA</v>
      </c>
      <c r="B20" s="152" t="str">
        <f>'Project&amp;Support'!H8</f>
        <v>All Projects</v>
      </c>
      <c r="C20" s="152" t="str">
        <f>'Project&amp;Support'!I8</f>
        <v>Support</v>
      </c>
      <c r="D20" s="246" t="str">
        <f>IF('Project&amp;Support'!J8&lt;&gt;"",'Project&amp;Support'!J8,"")</f>
        <v/>
      </c>
      <c r="E20" s="246" t="str">
        <f>IF('Project&amp;Support'!K8&lt;&gt;"",'Project&amp;Support'!K8,"")</f>
        <v/>
      </c>
      <c r="F20" s="246" t="str">
        <f>IF('Project&amp;Support'!L8&lt;&gt;"",'Project&amp;Support'!L8,"")</f>
        <v/>
      </c>
      <c r="G20" s="246" t="str">
        <f>IF('Project&amp;Support'!M8&lt;&gt;"",'Project&amp;Support'!M8,"")</f>
        <v/>
      </c>
      <c r="H20" s="246" t="str">
        <f>IF('Project&amp;Support'!N8&lt;&gt;"",'Project&amp;Support'!N8,"")</f>
        <v/>
      </c>
      <c r="I20" s="246" t="str">
        <f>IF('Project&amp;Support'!O8&lt;&gt;"",'Project&amp;Support'!O8,"")</f>
        <v/>
      </c>
      <c r="J20" s="246" t="str">
        <f>IF('Project&amp;Support'!P8&lt;&gt;"",'Project&amp;Support'!P8,"")</f>
        <v>s</v>
      </c>
      <c r="K20" s="246" t="str">
        <f>IF('Project&amp;Support'!Q8&lt;&gt;"",'Project&amp;Support'!Q8,"")</f>
        <v>s</v>
      </c>
      <c r="L20" s="246" t="str">
        <f>IF('Project&amp;Support'!R8&lt;&gt;"",'Project&amp;Support'!R8,"")</f>
        <v>s</v>
      </c>
      <c r="M20" s="246" t="str">
        <f>IF('Project&amp;Support'!S8&lt;&gt;"",'Project&amp;Support'!S8,"")</f>
        <v/>
      </c>
      <c r="N20" s="246" t="str">
        <f>IF('Project&amp;Support'!T8&lt;&gt;"",'Project&amp;Support'!T8,"")</f>
        <v/>
      </c>
      <c r="O20" s="246" t="str">
        <f>IF('Project&amp;Support'!U8&lt;&gt;"",'Project&amp;Support'!U8,"")</f>
        <v/>
      </c>
      <c r="P20" s="246" t="str">
        <f>IF('Project&amp;Support'!V8&lt;&gt;"",'Project&amp;Support'!V8,"")</f>
        <v/>
      </c>
      <c r="Q20" s="246" t="str">
        <f>IF('Project&amp;Support'!W8&lt;&gt;"",'Project&amp;Support'!W8,"")</f>
        <v/>
      </c>
      <c r="R20" s="246" t="str">
        <f>IF('Project&amp;Support'!X8&lt;&gt;"",'Project&amp;Support'!X8,"")</f>
        <v>s</v>
      </c>
      <c r="S20" s="246" t="str">
        <f>IF('Project&amp;Support'!Y8&lt;&gt;"",'Project&amp;Support'!Y8,"")</f>
        <v/>
      </c>
      <c r="T20" s="246" t="str">
        <f>IF('Project&amp;Support'!Z8&lt;&gt;"",'Project&amp;Support'!Z8,"")</f>
        <v>s</v>
      </c>
      <c r="U20" s="246" t="str">
        <f>IF('Project&amp;Support'!AA8&lt;&gt;"",'Project&amp;Support'!AA8,"")</f>
        <v/>
      </c>
      <c r="V20" s="244"/>
    </row>
    <row r="21" spans="1:22" s="245" customFormat="1">
      <c r="A21" s="152" t="str">
        <f>'Project&amp;Support'!B9</f>
        <v>s3HR</v>
      </c>
      <c r="B21" s="152" t="str">
        <f>'Project&amp;Support'!H9</f>
        <v>All Projects</v>
      </c>
      <c r="C21" s="152" t="str">
        <f>'Project&amp;Support'!I9</f>
        <v>Support</v>
      </c>
      <c r="D21" s="246" t="str">
        <f>IF('Project&amp;Support'!J9&lt;&gt;"",'Project&amp;Support'!J9,"")</f>
        <v/>
      </c>
      <c r="E21" s="246" t="str">
        <f>IF('Project&amp;Support'!K9&lt;&gt;"",'Project&amp;Support'!K9,"")</f>
        <v/>
      </c>
      <c r="F21" s="246" t="str">
        <f>IF('Project&amp;Support'!L9&lt;&gt;"",'Project&amp;Support'!L9,"")</f>
        <v/>
      </c>
      <c r="G21" s="246" t="str">
        <f>IF('Project&amp;Support'!M9&lt;&gt;"",'Project&amp;Support'!M9,"")</f>
        <v/>
      </c>
      <c r="H21" s="246" t="str">
        <f>IF('Project&amp;Support'!N9&lt;&gt;"",'Project&amp;Support'!N9,"")</f>
        <v/>
      </c>
      <c r="I21" s="246" t="str">
        <f>IF('Project&amp;Support'!O9&lt;&gt;"",'Project&amp;Support'!O9,"")</f>
        <v/>
      </c>
      <c r="J21" s="246" t="str">
        <f>IF('Project&amp;Support'!P9&lt;&gt;"",'Project&amp;Support'!P9,"")</f>
        <v/>
      </c>
      <c r="K21" s="246" t="str">
        <f>IF('Project&amp;Support'!Q9&lt;&gt;"",'Project&amp;Support'!Q9,"")</f>
        <v/>
      </c>
      <c r="L21" s="246" t="str">
        <f>IF('Project&amp;Support'!R9&lt;&gt;"",'Project&amp;Support'!R9,"")</f>
        <v/>
      </c>
      <c r="M21" s="246" t="str">
        <f>IF('Project&amp;Support'!S9&lt;&gt;"",'Project&amp;Support'!S9,"")</f>
        <v/>
      </c>
      <c r="N21" s="246" t="str">
        <f>IF('Project&amp;Support'!T9&lt;&gt;"",'Project&amp;Support'!T9,"")</f>
        <v>s</v>
      </c>
      <c r="O21" s="246" t="str">
        <f>IF('Project&amp;Support'!U9&lt;&gt;"",'Project&amp;Support'!U9,"")</f>
        <v/>
      </c>
      <c r="P21" s="246" t="str">
        <f>IF('Project&amp;Support'!V9&lt;&gt;"",'Project&amp;Support'!V9,"")</f>
        <v/>
      </c>
      <c r="Q21" s="246" t="str">
        <f>IF('Project&amp;Support'!W9&lt;&gt;"",'Project&amp;Support'!W9,"")</f>
        <v/>
      </c>
      <c r="R21" s="246" t="str">
        <f>IF('Project&amp;Support'!X9&lt;&gt;"",'Project&amp;Support'!X9,"")</f>
        <v/>
      </c>
      <c r="S21" s="246" t="str">
        <f>IF('Project&amp;Support'!Y9&lt;&gt;"",'Project&amp;Support'!Y9,"")</f>
        <v/>
      </c>
      <c r="T21" s="246" t="str">
        <f>IF('Project&amp;Support'!Z9&lt;&gt;"",'Project&amp;Support'!Z9,"")</f>
        <v/>
      </c>
      <c r="U21" s="246" t="str">
        <f>IF('Project&amp;Support'!AA9&lt;&gt;"",'Project&amp;Support'!AA9,"")</f>
        <v/>
      </c>
      <c r="V21" s="244"/>
    </row>
    <row r="22" spans="1:22" s="245" customFormat="1">
      <c r="A22" s="152" t="str">
        <f>'Project&amp;Support'!B10</f>
        <v>s4PPQA</v>
      </c>
      <c r="B22" s="152" t="str">
        <f>'Project&amp;Support'!H10</f>
        <v>All Projects</v>
      </c>
      <c r="C22" s="152" t="str">
        <f>'Project&amp;Support'!I10</f>
        <v>Support</v>
      </c>
      <c r="D22" s="246" t="str">
        <f>IF('Project&amp;Support'!J10&lt;&gt;"",'Project&amp;Support'!J10,"")</f>
        <v/>
      </c>
      <c r="E22" s="246" t="str">
        <f>IF('Project&amp;Support'!K10&lt;&gt;"",'Project&amp;Support'!K10,"")</f>
        <v/>
      </c>
      <c r="F22" s="246" t="str">
        <f>IF('Project&amp;Support'!L10&lt;&gt;"",'Project&amp;Support'!L10,"")</f>
        <v>s</v>
      </c>
      <c r="G22" s="246" t="str">
        <f>IF('Project&amp;Support'!M10&lt;&gt;"",'Project&amp;Support'!M10,"")</f>
        <v/>
      </c>
      <c r="H22" s="246" t="str">
        <f>IF('Project&amp;Support'!N10&lt;&gt;"",'Project&amp;Support'!N10,"")</f>
        <v/>
      </c>
      <c r="I22" s="246" t="str">
        <f>IF('Project&amp;Support'!O10&lt;&gt;"",'Project&amp;Support'!O10,"")</f>
        <v/>
      </c>
      <c r="J22" s="246" t="str">
        <f>IF('Project&amp;Support'!P10&lt;&gt;"",'Project&amp;Support'!P10,"")</f>
        <v/>
      </c>
      <c r="K22" s="246" t="str">
        <f>IF('Project&amp;Support'!Q10&lt;&gt;"",'Project&amp;Support'!Q10,"")</f>
        <v/>
      </c>
      <c r="L22" s="246" t="str">
        <f>IF('Project&amp;Support'!R10&lt;&gt;"",'Project&amp;Support'!R10,"")</f>
        <v/>
      </c>
      <c r="M22" s="246" t="str">
        <f>IF('Project&amp;Support'!S10&lt;&gt;"",'Project&amp;Support'!S10,"")</f>
        <v/>
      </c>
      <c r="N22" s="246" t="str">
        <f>IF('Project&amp;Support'!T10&lt;&gt;"",'Project&amp;Support'!T10,"")</f>
        <v/>
      </c>
      <c r="O22" s="246" t="str">
        <f>IF('Project&amp;Support'!U10&lt;&gt;"",'Project&amp;Support'!U10,"")</f>
        <v/>
      </c>
      <c r="P22" s="246" t="str">
        <f>IF('Project&amp;Support'!V10&lt;&gt;"",'Project&amp;Support'!V10,"")</f>
        <v/>
      </c>
      <c r="Q22" s="246" t="str">
        <f>IF('Project&amp;Support'!W10&lt;&gt;"",'Project&amp;Support'!W10,"")</f>
        <v/>
      </c>
      <c r="R22" s="246" t="str">
        <f>IF('Project&amp;Support'!X10&lt;&gt;"",'Project&amp;Support'!X10,"")</f>
        <v/>
      </c>
      <c r="S22" s="246" t="str">
        <f>IF('Project&amp;Support'!Y10&lt;&gt;"",'Project&amp;Support'!Y10,"")</f>
        <v/>
      </c>
      <c r="T22" s="246" t="str">
        <f>IF('Project&amp;Support'!Z10&lt;&gt;"",'Project&amp;Support'!Z10,"")</f>
        <v/>
      </c>
      <c r="U22" s="246" t="str">
        <f>IF('Project&amp;Support'!AA10&lt;&gt;"",'Project&amp;Support'!AA10,"")</f>
        <v/>
      </c>
      <c r="V22" s="244"/>
    </row>
    <row r="23" spans="1:22" s="245" customFormat="1">
      <c r="A23" s="151"/>
      <c r="B23" s="151"/>
      <c r="C23" s="151"/>
      <c r="D23" s="244"/>
      <c r="E23" s="244"/>
      <c r="F23" s="244"/>
      <c r="G23" s="244"/>
      <c r="H23" s="244"/>
      <c r="I23" s="244"/>
      <c r="J23" s="244"/>
      <c r="K23" s="244"/>
      <c r="L23" s="244"/>
      <c r="M23" s="244"/>
      <c r="N23" s="244"/>
      <c r="O23" s="244"/>
      <c r="P23" s="244"/>
      <c r="Q23" s="244"/>
      <c r="R23" s="244"/>
      <c r="S23" s="244"/>
      <c r="T23" s="244"/>
      <c r="U23" s="244"/>
      <c r="V23" s="244"/>
    </row>
    <row r="24" spans="1:22">
      <c r="D24" s="246" t="s">
        <v>1151</v>
      </c>
      <c r="E24" s="233" t="s">
        <v>1187</v>
      </c>
      <c r="G24" s="246" t="s">
        <v>1160</v>
      </c>
      <c r="H24" s="149" t="s">
        <v>1188</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2" t="s">
        <v>1106</v>
      </c>
      <c r="B1" s="202" t="s">
        <v>1108</v>
      </c>
      <c r="C1" s="225" t="s">
        <v>1107</v>
      </c>
      <c r="D1" s="202" t="s">
        <v>382</v>
      </c>
      <c r="E1" s="202" t="s">
        <v>1111</v>
      </c>
    </row>
    <row r="2" spans="1:5" ht="63" customHeight="1">
      <c r="A2" s="601" t="str">
        <f>_xlfn.CONCAT('P1PA-SS'!B139,"(",'P1PA-SS'!B140,")")</f>
        <v>All projects(AP)</v>
      </c>
      <c r="B2" s="227" t="str">
        <f>'Project&amp;Support'!B3</f>
        <v>p1Falcon9</v>
      </c>
      <c r="C2" s="228" t="str">
        <f>'Project&amp;Support'!AB3</f>
        <v>xx</v>
      </c>
      <c r="D2" s="227" t="str">
        <f>'Project&amp;Support'!C3</f>
        <v>Falcon project description</v>
      </c>
      <c r="E2" s="601" t="str">
        <f>_xlfn.CONCAT(StartupInfo!B5,", ",StartupInfo!B6,", ",StartupInfo!B7,CHAR(13),CHAR(10),StartupInfo!B8,", ",StartupInfo!B9)</f>
        <v>Room 1, Dome 1, No. 1 First Street, Base Alpha City_x000D_
Tharsis, Planet04</v>
      </c>
    </row>
    <row r="3" spans="1:5" ht="63" customHeight="1">
      <c r="A3" s="601"/>
      <c r="B3" s="227" t="str">
        <f>'Project&amp;Support'!B4</f>
        <v>p2Raptor</v>
      </c>
      <c r="C3" s="228" t="str">
        <f>'Project&amp;Support'!AB4</f>
        <v>xx</v>
      </c>
      <c r="D3" s="227" t="str">
        <f>'Project&amp;Support'!C4</f>
        <v>Raptor project description</v>
      </c>
      <c r="E3" s="601"/>
    </row>
    <row r="4" spans="1:5" ht="63" customHeight="1">
      <c r="A4" s="601"/>
      <c r="B4" s="227" t="str">
        <f>'Project&amp;Support'!B5</f>
        <v>p3Starship</v>
      </c>
      <c r="C4" s="228" t="str">
        <f>'Project&amp;Support'!AB5</f>
        <v>xx</v>
      </c>
      <c r="D4" s="227" t="str">
        <f>'Project&amp;Support'!C5</f>
        <v>Startship project description</v>
      </c>
      <c r="E4" s="601"/>
    </row>
    <row r="5" spans="1:5" ht="63" customHeight="1">
      <c r="A5" s="601"/>
      <c r="B5" s="227" t="str">
        <f>'Project&amp;Support'!B6</f>
        <v>p4SupperHeavy</v>
      </c>
      <c r="C5" s="228" t="str">
        <f>'Project&amp;Support'!AB6</f>
        <v>xx</v>
      </c>
      <c r="D5" s="227" t="str">
        <f>'Project&amp;Support'!C6</f>
        <v>Super Heavy description</v>
      </c>
      <c r="E5" s="601"/>
    </row>
    <row r="6" spans="1:5" ht="42" hidden="1">
      <c r="A6" s="601"/>
      <c r="B6" s="227" t="s">
        <v>1644</v>
      </c>
      <c r="C6" s="228">
        <f>'Project&amp;Support'!AB7</f>
        <v>1</v>
      </c>
      <c r="D6" s="227" t="str">
        <f>'Project&amp;Support'!C7</f>
        <v>The Configuration Management (CM) function, manages baselines for projects and the organisation.</v>
      </c>
      <c r="E6" s="601"/>
    </row>
    <row r="7" spans="1:5" ht="105" hidden="1">
      <c r="A7" s="601"/>
      <c r="B7" s="227" t="str">
        <f>'Project&amp;Support'!B8</f>
        <v>s2EPG-MA</v>
      </c>
      <c r="C7" s="228" t="str">
        <f>'Project&amp;Support'!AB8</f>
        <v>xx</v>
      </c>
      <c r="D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1"/>
    </row>
    <row r="8" spans="1:5" ht="63" hidden="1">
      <c r="A8" s="601"/>
      <c r="B8" s="227" t="str">
        <f>'Project&amp;Support'!B9</f>
        <v>s3HR</v>
      </c>
      <c r="C8" s="228">
        <f>'Project&amp;Support'!AB9</f>
        <v>1</v>
      </c>
      <c r="D8" s="227" t="str">
        <f>'Project&amp;Support'!C9</f>
        <v>The Human Resources (HR) function is responsible for training, skills and knowledge management. It maintains the records of staff training and training evaluation.</v>
      </c>
      <c r="E8" s="601"/>
    </row>
    <row r="9" spans="1:5" ht="42" hidden="1">
      <c r="A9" s="601"/>
      <c r="B9" s="227" t="str">
        <f>'Project&amp;Support'!B10</f>
        <v>s4PPQA</v>
      </c>
      <c r="C9" s="228">
        <f>'Project&amp;Support'!AB10</f>
        <v>1</v>
      </c>
      <c r="D9" s="227" t="str">
        <f>'Project&amp;Support'!C10</f>
        <v xml:space="preserve">The Process and Product Quality Assurance (PPQA) team manage and performs process quality assurance. </v>
      </c>
      <c r="E9" s="601"/>
    </row>
    <row r="10" spans="1:5" ht="21" hidden="1">
      <c r="A10" s="601"/>
      <c r="B10" s="227">
        <f>'Project&amp;Support'!B11</f>
        <v>0</v>
      </c>
      <c r="C10" s="228">
        <f>'Project&amp;Support'!AB11</f>
        <v>0</v>
      </c>
      <c r="D10" s="227">
        <f>'Project&amp;Support'!C11</f>
        <v>0</v>
      </c>
      <c r="E10" s="601"/>
    </row>
    <row r="11" spans="1:5" ht="21" hidden="1">
      <c r="A11" s="601"/>
      <c r="B11" s="227">
        <f>'Project&amp;Support'!B12</f>
        <v>0</v>
      </c>
      <c r="C11" s="228">
        <f>'Project&amp;Support'!AB12</f>
        <v>0</v>
      </c>
      <c r="D11" s="227">
        <f>'Project&amp;Support'!C12</f>
        <v>0</v>
      </c>
      <c r="E11" s="601"/>
    </row>
    <row r="12" spans="1:5">
      <c r="A12" s="222"/>
      <c r="B12" s="222"/>
      <c r="C12" s="221"/>
      <c r="D12" s="222"/>
      <c r="E12" s="222"/>
    </row>
    <row r="13" spans="1:5">
      <c r="A13" s="222"/>
      <c r="B13" s="222"/>
      <c r="C13" s="221"/>
      <c r="D13" s="222"/>
      <c r="E13" s="222"/>
    </row>
    <row r="14" spans="1:5">
      <c r="A14" s="222"/>
      <c r="B14" s="222"/>
      <c r="C14" s="221"/>
      <c r="D14" s="222"/>
      <c r="E14" s="222"/>
    </row>
    <row r="15" spans="1:5" ht="21">
      <c r="A15" s="202" t="s">
        <v>1106</v>
      </c>
      <c r="B15" s="202" t="s">
        <v>1109</v>
      </c>
      <c r="C15" s="225" t="s">
        <v>1107</v>
      </c>
      <c r="D15" s="202" t="s">
        <v>382</v>
      </c>
      <c r="E15" s="202"/>
    </row>
    <row r="16" spans="1:5" ht="42">
      <c r="A16" s="598" t="s">
        <v>1110</v>
      </c>
      <c r="B16" s="227" t="str">
        <f>'Project&amp;Support'!B7</f>
        <v>s1CM</v>
      </c>
      <c r="C16" s="229">
        <f>'Project&amp;Support'!AB7</f>
        <v>1</v>
      </c>
      <c r="D16" s="227" t="str">
        <f>'Project&amp;Support'!C7</f>
        <v>The Configuration Management (CM) function, manages baselines for projects and the organisation.</v>
      </c>
      <c r="E16" s="602" t="str">
        <f>StartupInfo!B11</f>
        <v>Room 1, Dome 1, No. 1 First Street, Base Alpha City, Tharsis, Planet04, China</v>
      </c>
    </row>
    <row r="17" spans="1:5" ht="105">
      <c r="A17" s="599"/>
      <c r="B17" s="227" t="str">
        <f>'Project&amp;Support'!B8</f>
        <v>s2EPG-MA</v>
      </c>
      <c r="C17" s="229" t="str">
        <f>'Project&amp;Support'!AB8</f>
        <v>xx</v>
      </c>
      <c r="D17" s="227"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3"/>
    </row>
    <row r="18" spans="1:5" ht="63">
      <c r="A18" s="599"/>
      <c r="B18" s="227" t="str">
        <f>'Project&amp;Support'!B9</f>
        <v>s3HR</v>
      </c>
      <c r="C18" s="229">
        <f>'Project&amp;Support'!AB9</f>
        <v>1</v>
      </c>
      <c r="D18" s="227" t="str">
        <f>'Project&amp;Support'!C9</f>
        <v>The Human Resources (HR) function is responsible for training, skills and knowledge management. It maintains the records of staff training and training evaluation.</v>
      </c>
      <c r="E18" s="603"/>
    </row>
    <row r="19" spans="1:5" ht="42">
      <c r="A19" s="599"/>
      <c r="B19" s="227" t="str">
        <f>'Project&amp;Support'!B10</f>
        <v>s4PPQA</v>
      </c>
      <c r="C19" s="229">
        <f>'Project&amp;Support'!AB10</f>
        <v>1</v>
      </c>
      <c r="D19" s="227" t="str">
        <f>'Project&amp;Support'!C10</f>
        <v xml:space="preserve">The Process and Product Quality Assurance (PPQA) team manage and performs process quality assurance. </v>
      </c>
      <c r="E19" s="603"/>
    </row>
    <row r="20" spans="1:5" ht="126" hidden="1" customHeight="1">
      <c r="A20" s="599"/>
      <c r="B20" s="227">
        <f>'Project&amp;Support'!B11</f>
        <v>0</v>
      </c>
      <c r="C20" s="229">
        <f>'Project&amp;Support'!AB11</f>
        <v>0</v>
      </c>
      <c r="D20" s="227">
        <f>'Project&amp;Support'!C11</f>
        <v>0</v>
      </c>
      <c r="E20" s="603"/>
    </row>
    <row r="21" spans="1:5" ht="126" hidden="1" customHeight="1">
      <c r="A21" s="600"/>
      <c r="B21" s="227">
        <f>'Project&amp;Support'!B12</f>
        <v>0</v>
      </c>
      <c r="C21" s="229">
        <f>'Project&amp;Support'!AB12</f>
        <v>0</v>
      </c>
      <c r="D21" s="227">
        <f>'Project&amp;Support'!C12</f>
        <v>0</v>
      </c>
      <c r="E21" s="604"/>
    </row>
    <row r="22" spans="1:5">
      <c r="A22" s="224"/>
      <c r="B22" s="223"/>
      <c r="C22" s="226"/>
      <c r="D22" s="223"/>
      <c r="E22" s="223"/>
    </row>
  </sheetData>
  <mergeCells count="4">
    <mergeCell ref="A16:A21"/>
    <mergeCell ref="E2:E11"/>
    <mergeCell ref="A2:A11"/>
    <mergeCell ref="E16:E2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3"/>
    <col min="2" max="2" width="39.6640625" style="383" customWidth="1"/>
    <col min="3" max="3" width="40.33203125" style="383" customWidth="1"/>
    <col min="4" max="4" width="64.33203125" style="383" customWidth="1"/>
    <col min="5" max="5" width="39.6640625" style="383" customWidth="1"/>
    <col min="6" max="16384" width="8.6640625" style="383"/>
  </cols>
  <sheetData>
    <row r="2" spans="2:5">
      <c r="B2" s="381" t="s">
        <v>1093</v>
      </c>
      <c r="C2" s="381" t="s">
        <v>1094</v>
      </c>
      <c r="D2" s="381" t="s">
        <v>1095</v>
      </c>
      <c r="E2" s="381" t="s">
        <v>839</v>
      </c>
    </row>
    <row r="3" spans="2:5" s="217" customFormat="1" ht="30" customHeight="1">
      <c r="B3" s="403" t="s">
        <v>592</v>
      </c>
      <c r="C3" s="403" t="str">
        <f>'Agreement 3'!B28</f>
        <v>Prof Kessler, Donald</v>
      </c>
      <c r="D3" s="403"/>
      <c r="E3" s="404">
        <f>'P1PA-SS'!B69</f>
        <v>44302</v>
      </c>
    </row>
    <row r="4" spans="2:5" s="217" customFormat="1" ht="30" customHeight="1">
      <c r="B4" s="403" t="s">
        <v>1097</v>
      </c>
      <c r="C4" s="403" t="str">
        <f>'Agreement 3'!B7</f>
        <v>van Zyl, Pieter</v>
      </c>
      <c r="D4" s="403"/>
      <c r="E4" s="404">
        <f>E3</f>
        <v>44302</v>
      </c>
    </row>
    <row r="5" spans="2:5" s="217" customFormat="1" ht="30" customHeight="1">
      <c r="B5" s="403" t="s">
        <v>1096</v>
      </c>
      <c r="C5" s="403" t="str">
        <f>'P1PA-SS'!B92</f>
        <v>ATM-1</v>
      </c>
      <c r="D5" s="403"/>
      <c r="E5" s="404">
        <f>E4</f>
        <v>44302</v>
      </c>
    </row>
    <row r="6" spans="2:5" s="217" customFormat="1" ht="30" customHeight="1">
      <c r="B6" s="403" t="s">
        <v>1096</v>
      </c>
      <c r="C6" s="403" t="str">
        <f>'P1PA-SS'!B93</f>
        <v>ATM-2</v>
      </c>
      <c r="D6" s="403"/>
      <c r="E6" s="404">
        <f>E5</f>
        <v>44302</v>
      </c>
    </row>
    <row r="7" spans="2:5" s="217" customFormat="1" ht="30" customHeight="1">
      <c r="B7" s="403" t="s">
        <v>1096</v>
      </c>
      <c r="C7" s="403" t="str">
        <f>'P1PA-SS'!B94</f>
        <v>ATM-3</v>
      </c>
      <c r="D7" s="403"/>
      <c r="E7" s="404">
        <f t="shared" ref="E7:E13" si="0">E6</f>
        <v>44302</v>
      </c>
    </row>
    <row r="8" spans="2:5" s="217" customFormat="1" ht="30" customHeight="1">
      <c r="B8" s="403" t="s">
        <v>1096</v>
      </c>
      <c r="C8" s="403" t="str">
        <f>'P1PA-SS'!B95</f>
        <v>ATM-4</v>
      </c>
      <c r="D8" s="403"/>
      <c r="E8" s="404">
        <f t="shared" si="0"/>
        <v>44302</v>
      </c>
    </row>
    <row r="9" spans="2:5" s="217" customFormat="1" ht="30" customHeight="1">
      <c r="B9" s="403" t="s">
        <v>1096</v>
      </c>
      <c r="C9" s="403" t="str">
        <f>'P1PA-SS'!B96</f>
        <v>ATM-5</v>
      </c>
      <c r="D9" s="403"/>
      <c r="E9" s="404">
        <f t="shared" si="0"/>
        <v>44302</v>
      </c>
    </row>
    <row r="10" spans="2:5" s="217" customFormat="1" ht="30" customHeight="1">
      <c r="B10" s="403" t="s">
        <v>1096</v>
      </c>
      <c r="C10" s="403" t="str">
        <f>'P1PA-SS'!B97</f>
        <v>ATM-6</v>
      </c>
      <c r="D10" s="403"/>
      <c r="E10" s="404">
        <f t="shared" si="0"/>
        <v>44302</v>
      </c>
    </row>
    <row r="11" spans="2:5" s="217" customFormat="1" ht="30" customHeight="1">
      <c r="B11" s="403" t="s">
        <v>1096</v>
      </c>
      <c r="C11" s="403" t="str">
        <f>'P1PA-SS'!B98</f>
        <v>ATM-7</v>
      </c>
      <c r="D11" s="403"/>
      <c r="E11" s="404">
        <f t="shared" si="0"/>
        <v>44302</v>
      </c>
    </row>
    <row r="12" spans="2:5" s="217" customFormat="1" ht="30" customHeight="1">
      <c r="B12" s="403" t="s">
        <v>1096</v>
      </c>
      <c r="C12" s="403" t="str">
        <f>'P1PA-SS'!B99</f>
        <v>ATM-8</v>
      </c>
      <c r="D12" s="403"/>
      <c r="E12" s="404">
        <f t="shared" si="0"/>
        <v>44302</v>
      </c>
    </row>
    <row r="13" spans="2:5" s="217" customFormat="1" ht="30" customHeight="1">
      <c r="B13" s="403" t="s">
        <v>1096</v>
      </c>
      <c r="C13" s="403" t="str">
        <f>'P1PA-SS'!B100</f>
        <v>ATM-9</v>
      </c>
      <c r="D13" s="403"/>
      <c r="E13" s="404">
        <f t="shared" si="0"/>
        <v>44302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3"/>
    <col min="2" max="2" width="9.44140625" style="383" customWidth="1"/>
    <col min="3" max="3" width="54.5546875" style="217" customWidth="1"/>
    <col min="4" max="4" width="61" style="217" customWidth="1"/>
    <col min="5" max="16384" width="8.6640625" style="383"/>
  </cols>
  <sheetData>
    <row r="1" spans="2:13">
      <c r="E1" s="382"/>
      <c r="F1" s="382"/>
      <c r="G1" s="382"/>
      <c r="H1" s="382"/>
      <c r="I1" s="382"/>
      <c r="J1" s="382"/>
      <c r="K1" s="382"/>
      <c r="L1" s="382"/>
      <c r="M1" s="382"/>
    </row>
    <row r="2" spans="2:13">
      <c r="B2" s="605" t="s">
        <v>1103</v>
      </c>
      <c r="C2" s="606"/>
      <c r="D2" s="606"/>
      <c r="E2" s="382"/>
      <c r="F2" s="382"/>
      <c r="G2" s="382"/>
      <c r="H2" s="382"/>
      <c r="I2" s="382"/>
      <c r="J2" s="382"/>
      <c r="K2" s="382"/>
      <c r="L2" s="382"/>
      <c r="M2" s="382"/>
    </row>
    <row r="3" spans="2:13" ht="31.2">
      <c r="B3" s="408">
        <v>1</v>
      </c>
      <c r="C3" s="403" t="s">
        <v>1189</v>
      </c>
      <c r="D3" s="403" t="s">
        <v>1190</v>
      </c>
    </row>
    <row r="4" spans="2:13" ht="31.2">
      <c r="B4" s="408">
        <v>2</v>
      </c>
      <c r="C4" s="403" t="s">
        <v>1191</v>
      </c>
      <c r="D4" s="403" t="s">
        <v>1192</v>
      </c>
    </row>
    <row r="5" spans="2:13" ht="31.2">
      <c r="B5" s="408">
        <v>3</v>
      </c>
      <c r="C5" s="403" t="s">
        <v>1193</v>
      </c>
      <c r="D5" s="403" t="s">
        <v>1194</v>
      </c>
    </row>
    <row r="6" spans="2:13">
      <c r="B6" s="408">
        <v>4</v>
      </c>
      <c r="C6" s="403" t="s">
        <v>1104</v>
      </c>
      <c r="D6" s="403" t="s">
        <v>1105</v>
      </c>
    </row>
    <row r="7" spans="2:13" ht="31.2">
      <c r="B7" s="408">
        <v>5</v>
      </c>
      <c r="C7" s="403" t="s">
        <v>1195</v>
      </c>
      <c r="D7" s="403" t="s">
        <v>1196</v>
      </c>
    </row>
    <row r="8" spans="2:13" hidden="1">
      <c r="B8" s="408">
        <v>6</v>
      </c>
      <c r="C8" s="403"/>
      <c r="D8" s="403"/>
    </row>
    <row r="9" spans="2:13" hidden="1">
      <c r="B9" s="408">
        <v>7</v>
      </c>
      <c r="C9" s="403"/>
      <c r="D9" s="403"/>
    </row>
    <row r="10" spans="2:13" hidden="1">
      <c r="B10" s="408">
        <v>8</v>
      </c>
      <c r="C10" s="403"/>
      <c r="D10" s="403"/>
    </row>
    <row r="11" spans="2:13" hidden="1">
      <c r="B11" s="408">
        <v>9</v>
      </c>
      <c r="C11" s="403"/>
      <c r="D11" s="403"/>
    </row>
    <row r="12" spans="2:13" hidden="1">
      <c r="B12" s="408">
        <v>10</v>
      </c>
      <c r="C12" s="403"/>
      <c r="D12" s="403"/>
    </row>
    <row r="13" spans="2:13" hidden="1">
      <c r="B13" s="408">
        <v>11</v>
      </c>
      <c r="C13" s="403"/>
      <c r="D13" s="403"/>
    </row>
    <row r="14" spans="2:13" hidden="1">
      <c r="B14" s="408">
        <v>12</v>
      </c>
      <c r="C14" s="403"/>
      <c r="D14" s="403"/>
    </row>
    <row r="15" spans="2:13" hidden="1">
      <c r="B15" s="408">
        <v>13</v>
      </c>
      <c r="C15" s="403"/>
      <c r="D15" s="403"/>
    </row>
    <row r="16" spans="2:13" hidden="1">
      <c r="B16" s="408">
        <v>14</v>
      </c>
      <c r="C16" s="403"/>
      <c r="D16" s="403"/>
    </row>
    <row r="17" spans="2:4">
      <c r="B17" s="216"/>
      <c r="D17" s="405"/>
    </row>
    <row r="18" spans="2:4">
      <c r="B18" s="605" t="s">
        <v>1102</v>
      </c>
      <c r="C18" s="606"/>
      <c r="D18" s="606"/>
    </row>
    <row r="19" spans="2:4" ht="31.2">
      <c r="B19" s="408">
        <v>1</v>
      </c>
      <c r="C19" s="403" t="s">
        <v>1197</v>
      </c>
      <c r="D19" s="403" t="s">
        <v>1198</v>
      </c>
    </row>
    <row r="20" spans="2:4" ht="46.8">
      <c r="B20" s="408">
        <v>2</v>
      </c>
      <c r="C20" s="403" t="s">
        <v>1199</v>
      </c>
      <c r="D20" s="403" t="s">
        <v>1200</v>
      </c>
    </row>
    <row r="21" spans="2:4" ht="46.8">
      <c r="B21" s="408">
        <v>3</v>
      </c>
      <c r="C21" s="403" t="s">
        <v>1201</v>
      </c>
      <c r="D21" s="403" t="s">
        <v>1202</v>
      </c>
    </row>
    <row r="22" spans="2:4" ht="46.8">
      <c r="B22" s="408">
        <v>4</v>
      </c>
      <c r="C22" s="403" t="s">
        <v>1203</v>
      </c>
      <c r="D22" s="403" t="s">
        <v>1204</v>
      </c>
    </row>
    <row r="23" spans="2:4" ht="46.8">
      <c r="B23" s="408">
        <v>5</v>
      </c>
      <c r="C23" s="403" t="s">
        <v>1205</v>
      </c>
      <c r="D23" s="403" t="s">
        <v>1206</v>
      </c>
    </row>
    <row r="24" spans="2:4" hidden="1">
      <c r="B24" s="408">
        <v>6</v>
      </c>
      <c r="C24" s="403"/>
      <c r="D24" s="403"/>
    </row>
    <row r="25" spans="2:4" hidden="1">
      <c r="B25" s="408">
        <v>7</v>
      </c>
      <c r="C25" s="403"/>
      <c r="D25" s="403"/>
    </row>
    <row r="26" spans="2:4" hidden="1">
      <c r="B26" s="408">
        <v>8</v>
      </c>
      <c r="C26" s="403"/>
      <c r="D26" s="403"/>
    </row>
    <row r="27" spans="2:4" hidden="1">
      <c r="B27" s="408">
        <v>9</v>
      </c>
      <c r="C27" s="403"/>
      <c r="D27" s="403"/>
    </row>
    <row r="28" spans="2:4" hidden="1">
      <c r="B28" s="408">
        <v>10</v>
      </c>
      <c r="C28" s="403"/>
      <c r="D28" s="403"/>
    </row>
    <row r="29" spans="2:4" hidden="1">
      <c r="B29" s="408">
        <v>11</v>
      </c>
      <c r="C29" s="403"/>
      <c r="D29" s="403"/>
    </row>
    <row r="30" spans="2:4" hidden="1">
      <c r="B30" s="408">
        <v>12</v>
      </c>
      <c r="C30" s="403"/>
      <c r="D30" s="403"/>
    </row>
    <row r="31" spans="2:4" hidden="1">
      <c r="B31" s="408">
        <v>13</v>
      </c>
      <c r="C31" s="403"/>
      <c r="D31" s="403"/>
    </row>
    <row r="32" spans="2:4" hidden="1">
      <c r="B32" s="408">
        <v>14</v>
      </c>
      <c r="C32" s="403"/>
      <c r="D32" s="403"/>
    </row>
    <row r="33" spans="2:4">
      <c r="B33" s="215"/>
      <c r="C33" s="409"/>
      <c r="D33" s="406"/>
    </row>
    <row r="95" spans="2:4" s="407" customFormat="1">
      <c r="B95" s="383"/>
      <c r="C95" s="217"/>
      <c r="D95" s="217"/>
    </row>
    <row r="96" spans="2:4" s="407" customFormat="1">
      <c r="B96" s="383"/>
      <c r="C96" s="217"/>
      <c r="D96" s="217"/>
    </row>
    <row r="107" spans="2:4">
      <c r="B107" s="407"/>
      <c r="C107" s="405"/>
      <c r="D107" s="405"/>
    </row>
    <row r="108" spans="2:4">
      <c r="B108" s="407"/>
      <c r="C108" s="405"/>
      <c r="D108" s="405"/>
    </row>
  </sheetData>
  <mergeCells count="2">
    <mergeCell ref="B2:D2"/>
    <mergeCell ref="B18:D18"/>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1152</v>
      </c>
      <c r="AN4" s="25" t="s">
        <v>1625</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1153</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1291</v>
      </c>
    </row>
    <row r="2" spans="1:3">
      <c r="A2" s="124" t="s">
        <v>1292</v>
      </c>
      <c r="B2" s="124" t="s">
        <v>1319</v>
      </c>
      <c r="C2" s="124" t="s">
        <v>1320</v>
      </c>
    </row>
    <row r="3" spans="1:3">
      <c r="A3" s="124" t="s">
        <v>876</v>
      </c>
      <c r="B3" s="124" t="s">
        <v>1311</v>
      </c>
      <c r="C3" s="124" t="s">
        <v>1293</v>
      </c>
    </row>
    <row r="4" spans="1:3">
      <c r="A4" s="124" t="s">
        <v>827</v>
      </c>
      <c r="B4" s="124" t="s">
        <v>1294</v>
      </c>
      <c r="C4" s="124" t="s">
        <v>1294</v>
      </c>
    </row>
    <row r="5" spans="1:3">
      <c r="A5" s="124" t="s">
        <v>877</v>
      </c>
      <c r="B5" s="124" t="s">
        <v>1295</v>
      </c>
      <c r="C5" s="124" t="s">
        <v>1295</v>
      </c>
    </row>
    <row r="6" spans="1:3">
      <c r="A6" s="124" t="s">
        <v>875</v>
      </c>
      <c r="B6" s="124" t="s">
        <v>1312</v>
      </c>
      <c r="C6" s="124" t="s">
        <v>1296</v>
      </c>
    </row>
    <row r="7" spans="1:3">
      <c r="A7" s="124" t="s">
        <v>874</v>
      </c>
      <c r="B7" s="124" t="s">
        <v>1313</v>
      </c>
      <c r="C7" s="124" t="s">
        <v>1297</v>
      </c>
    </row>
    <row r="8" spans="1:3">
      <c r="A8" s="124" t="s">
        <v>873</v>
      </c>
      <c r="B8" s="124" t="s">
        <v>1298</v>
      </c>
      <c r="C8" s="124" t="s">
        <v>1298</v>
      </c>
    </row>
    <row r="9" spans="1:3">
      <c r="A9" s="124" t="s">
        <v>882</v>
      </c>
      <c r="B9" s="124" t="s">
        <v>1299</v>
      </c>
      <c r="C9" s="124" t="s">
        <v>1299</v>
      </c>
    </row>
    <row r="10" spans="1:3">
      <c r="A10" s="124" t="s">
        <v>884</v>
      </c>
      <c r="B10" s="124" t="s">
        <v>1314</v>
      </c>
      <c r="C10" s="124" t="s">
        <v>1300</v>
      </c>
    </row>
    <row r="11" spans="1:3">
      <c r="A11" s="124" t="s">
        <v>883</v>
      </c>
      <c r="B11" s="124" t="s">
        <v>1315</v>
      </c>
      <c r="C11" s="124" t="s">
        <v>1301</v>
      </c>
    </row>
    <row r="12" spans="1:3">
      <c r="A12" s="124" t="s">
        <v>881</v>
      </c>
      <c r="B12" s="124" t="s">
        <v>1316</v>
      </c>
      <c r="C12" s="124" t="s">
        <v>1302</v>
      </c>
    </row>
    <row r="13" spans="1:3">
      <c r="A13" s="124" t="s">
        <v>745</v>
      </c>
      <c r="B13" s="124" t="s">
        <v>31</v>
      </c>
      <c r="C13" s="124" t="s">
        <v>1303</v>
      </c>
    </row>
    <row r="14" spans="1:3">
      <c r="A14" s="124" t="s">
        <v>885</v>
      </c>
      <c r="B14" s="124" t="s">
        <v>32</v>
      </c>
      <c r="C14" s="124" t="s">
        <v>1304</v>
      </c>
    </row>
    <row r="15" spans="1:3">
      <c r="A15" s="124" t="s">
        <v>886</v>
      </c>
      <c r="B15" s="124" t="s">
        <v>33</v>
      </c>
      <c r="C15" s="124" t="s">
        <v>1305</v>
      </c>
    </row>
    <row r="16" spans="1:3">
      <c r="A16" s="124" t="s">
        <v>743</v>
      </c>
      <c r="B16" s="124" t="s">
        <v>34</v>
      </c>
      <c r="C16" s="124" t="s">
        <v>1306</v>
      </c>
    </row>
    <row r="17" spans="1:3">
      <c r="A17" s="124" t="s">
        <v>880</v>
      </c>
      <c r="B17" s="124" t="s">
        <v>35</v>
      </c>
      <c r="C17" s="124" t="s">
        <v>1307</v>
      </c>
    </row>
    <row r="18" spans="1:3">
      <c r="A18" s="124" t="s">
        <v>879</v>
      </c>
      <c r="B18" s="124" t="s">
        <v>17</v>
      </c>
      <c r="C18" s="124" t="s">
        <v>32</v>
      </c>
    </row>
    <row r="19" spans="1:3">
      <c r="A19" s="124" t="s">
        <v>878</v>
      </c>
      <c r="B19" s="124" t="s">
        <v>1317</v>
      </c>
      <c r="C19" s="124" t="s">
        <v>1308</v>
      </c>
    </row>
    <row r="20" spans="1:3">
      <c r="A20" s="124" t="s">
        <v>900</v>
      </c>
      <c r="C20" s="124" t="s">
        <v>34</v>
      </c>
    </row>
    <row r="21" spans="1:3">
      <c r="A21" s="124" t="s">
        <v>901</v>
      </c>
      <c r="C21" s="124" t="s">
        <v>35</v>
      </c>
    </row>
    <row r="22" spans="1:3">
      <c r="C22" s="124" t="s">
        <v>1309</v>
      </c>
    </row>
    <row r="23" spans="1:3">
      <c r="C23" s="124" t="s">
        <v>1310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34</vt:i4>
      </vt:variant>
    </vt:vector>
  </HeadingPairs>
  <TitlesOfParts>
    <vt:vector size="84" baseType="lpstr">
      <vt:lpstr>Copyright</vt:lpstr>
      <vt:lpstr>Release</vt:lpstr>
      <vt:lpstr>Guide</vt:lpstr>
      <vt:lpstr>Control</vt:lpstr>
      <vt:lpstr>Emails</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2022-05-27T18:01:24Z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