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100896B9-9FFC-4110-B3B1-3730B6329118}" xr6:coauthVersionLast="46" xr6:coauthVersionMax="46" xr10:uidLastSave="{00000000-0000-0000-0000-000000000000}"/>
  <bookViews>
    <workbookView xWindow="-120" yWindow="-16320" windowWidth="29040" windowHeight="15840"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33" r:id="rId51"/>
    <pivotCache cacheId="34" r:id="rId52"/>
    <pivotCache cacheId="35" r:id="rId53"/>
    <pivotCache cacheId="36" r:id="rId54"/>
    <pivotCache cacheId="37" r:id="rId55"/>
    <pivotCache cacheId="38"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46" l="1"/>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<sst xmlns="http://schemas.openxmlformats.org/spreadsheetml/2006/main" count="4234" uniqueCount="1721">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</sst>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3" fillId="15" borderId="21" xfId="0" applyFont="1" applyFill="1" applyBorder="1" applyAlignment="1">
      <alignment horizontal="center" vertical="center"/>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4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1244</v>
      </c>
    </row>
    <row r="3" spans="1:1">
      <c r="A3" s="151" t="s">
        <v>1245</v>
      </c>
    </row>
    <row r="4" spans="1:1">
      <c r="A4" s="151"/>
    </row>
    <row r="5" spans="1:1">
      <c r="A5" s="150" t="s">
        <v>1250</v>
      </c>
    </row>
    <row r="6" spans="1:1" s="150" customFormat="1">
      <c r="A6" s="151" t="s">
        <v>1251</v>
      </c>
    </row>
    <row r="8" spans="1:1">
      <c r="A8" s="150" t="s">
        <v>1253</v>
      </c>
    </row>
    <row r="9" spans="1:1">
      <c r="A9" s="151" t="s">
        <v>1249</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1252</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1376</v>
      </c>
      <c r="D16" s="56" t="s">
        <v>1377</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1539</v>
      </c>
      <c r="D44" s="351" t="s">
        <v>1538</v>
      </c>
      <c r="H44" s="350" t="s">
        <v>1093</v>
      </c>
      <c r="I44" s="350"/>
      <c r="J44" s="350"/>
      <c r="K44" s="350"/>
      <c r="L44" s="350"/>
    </row>
    <row r="63" spans="2:19">
      <c r="B63" s="353" t="s">
        <v>1095</v>
      </c>
      <c r="C63" s="353"/>
      <c r="D63" s="354" t="s">
        <v>1096</v>
      </c>
      <c r="F63" s="355" t="s">
        <v>1098</v>
      </c>
      <c r="G63" s="355"/>
      <c r="H63" s="355"/>
      <c r="I63" s="355"/>
      <c r="K63" s="356" t="s">
        <v>1540</v>
      </c>
      <c r="L63" s="356"/>
      <c r="M63" s="356"/>
      <c r="N63" s="356"/>
      <c r="P63" s="358" t="s">
        <v>1094</v>
      </c>
      <c r="Q63" s="357"/>
      <c r="R63" s="357"/>
      <c r="S63" s="357"/>
    </row>
    <row r="83" spans="6:8">
      <c r="F83" s="363" t="s">
        <v>1554</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1272</v>
      </c>
      <c r="B1" s="294"/>
    </row>
    <row r="2" spans="1:2" ht="43.5">
      <c r="A2" s="117" t="s">
        <v>1273</v>
      </c>
      <c r="B2" s="117" t="s">
        <v>1274</v>
      </c>
    </row>
    <row r="3" spans="1:2">
      <c r="B3" s="295" t="s">
        <v>1275</v>
      </c>
    </row>
    <row r="4" spans="1:2">
      <c r="B4" s="296" t="s">
        <v>1276</v>
      </c>
    </row>
    <row r="5" spans="1:2" ht="29">
      <c r="B5" s="297" t="s">
        <v>1277</v>
      </c>
    </row>
    <row r="7" spans="1:2" ht="72.5">
      <c r="A7" s="117" t="s">
        <v>1278</v>
      </c>
      <c r="B7" s="117" t="s">
        <v>1279</v>
      </c>
    </row>
    <row r="9" spans="1:2" ht="29">
      <c r="A9" s="117" t="s">
        <v>1280</v>
      </c>
      <c r="B9" s="117" t="s">
        <v>1281</v>
      </c>
    </row>
    <row r="11" spans="1:2">
      <c r="A11" s="294" t="s">
        <v>1282</v>
      </c>
      <c r="B11" s="294"/>
    </row>
    <row r="12" spans="1:2">
      <c r="A12" s="117" t="s">
        <v>1246</v>
      </c>
      <c r="B12" s="117" t="s">
        <v>1283</v>
      </c>
    </row>
    <row r="13" spans="1:2" ht="43.5">
      <c r="A13" s="117" t="s">
        <v>1216</v>
      </c>
      <c r="B13" s="117" t="s">
        <v>1284</v>
      </c>
    </row>
    <row r="14" spans="1:2">
      <c r="A14" s="117" t="s">
        <v>1285</v>
      </c>
      <c r="B14" s="117" t="s">
        <v>1286</v>
      </c>
    </row>
    <row r="15" spans="1:2" ht="58">
      <c r="A15" s="117" t="s">
        <v>949</v>
      </c>
      <c r="B15" s="117" t="s">
        <v>1287</v>
      </c>
    </row>
    <row r="16" spans="1:2" ht="43.5">
      <c r="A16" s="125" t="s">
        <v>950</v>
      </c>
      <c r="B16" s="117" t="s">
        <v>1288</v>
      </c>
    </row>
    <row r="17" spans="1:2">
      <c r="A17" s="125" t="s">
        <v>962</v>
      </c>
      <c r="B17" s="117" t="s">
        <v>1289</v>
      </c>
    </row>
    <row r="18" spans="1:2" ht="29">
      <c r="A18" s="125" t="s">
        <v>951</v>
      </c>
      <c r="B18" s="117" t="s">
        <v>1290</v>
      </c>
    </row>
    <row r="19" spans="1:2" ht="43.5">
      <c r="A19" s="125" t="s">
        <v>1197</v>
      </c>
      <c r="B19" s="117" t="s">
        <v>1291</v>
      </c>
    </row>
    <row r="20" spans="1:2">
      <c r="A20" s="125" t="s">
        <v>1007</v>
      </c>
      <c r="B20" s="117" t="s">
        <v>1292</v>
      </c>
    </row>
    <row r="21" spans="1:2">
      <c r="A21" s="125" t="s">
        <v>1293</v>
      </c>
    </row>
    <row r="22" spans="1:2">
      <c r="A22" s="125" t="s">
        <v>1294</v>
      </c>
    </row>
    <row r="23" spans="1:2">
      <c r="A23" s="125" t="s">
        <v>1295</v>
      </c>
    </row>
    <row r="24" spans="1:2">
      <c r="A24" s="125" t="s">
        <v>1296</v>
      </c>
    </row>
    <row r="25" spans="1:2">
      <c r="A25" s="125" t="s">
        <v>955</v>
      </c>
    </row>
    <row r="26" spans="1:2">
      <c r="A26" s="125" t="s">
        <v>956</v>
      </c>
    </row>
    <row r="27" spans="1:2">
      <c r="A27" s="125" t="s">
        <v>957</v>
      </c>
    </row>
    <row r="28" spans="1:2">
      <c r="A28" s="125" t="s">
        <v>1247</v>
      </c>
    </row>
    <row r="29" spans="1:2">
      <c r="A29" s="125" t="s">
        <v>1248</v>
      </c>
    </row>
    <row r="30" spans="1:2">
      <c r="A30" s="125" t="s">
        <v>672</v>
      </c>
    </row>
    <row r="31" spans="1:2">
      <c r="A31" s="125" t="s">
        <v>1297</v>
      </c>
    </row>
    <row r="32" spans="1:2">
      <c r="A32" s="125" t="s">
        <v>953</v>
      </c>
    </row>
    <row r="33" spans="1:1">
      <c r="A33" s="125" t="s">
        <v>1298</v>
      </c>
    </row>
    <row r="34" spans="1:1">
      <c r="A34" s="125" t="s">
        <v>1299</v>
      </c>
    </row>
    <row r="35" spans="1:1">
      <c r="A35" s="125" t="s">
        <v>1300</v>
      </c>
    </row>
    <row r="36" spans="1:1">
      <c r="A36" s="125" t="s">
        <v>1301</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1669</v>
      </c>
      <c r="C2" s="104" t="s">
        <v>1670</v>
      </c>
      <c r="D2" s="104" t="s">
        <v>1325</v>
      </c>
      <c r="E2" s="104" t="s">
        <v>1326</v>
      </c>
      <c r="F2" s="104" t="s">
        <v>1335</v>
      </c>
      <c r="G2" s="104" t="s">
        <v>1327</v>
      </c>
      <c r="H2" s="104" t="s">
        <v>1210</v>
      </c>
      <c r="AD2" s="315"/>
      <c r="AE2" s="315"/>
      <c r="AF2" s="315"/>
    </row>
    <row r="7" spans="1:32" s="77" customFormat="1">
      <c r="A7" t="s">
        <v>1246</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1285</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1645</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1247</v>
      </c>
      <c r="B23" s="132"/>
      <c r="C23" s="132"/>
      <c r="D23" s="132"/>
      <c r="E23" s="132"/>
      <c r="F23" s="132"/>
      <c r="G23" s="132"/>
      <c r="H23" s="132"/>
      <c r="I23" s="128">
        <f t="shared" si="0"/>
        <v>0</v>
      </c>
      <c r="K23" s="129"/>
      <c r="AD23" s="77"/>
      <c r="AE23" s="77"/>
      <c r="AF23" s="77"/>
    </row>
    <row r="24" spans="1:32" s="128" customFormat="1">
      <c r="A24" t="s">
        <v>1248</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1336</v>
      </c>
      <c r="B28" s="132"/>
      <c r="C28" s="132"/>
      <c r="D28" s="132"/>
      <c r="E28" s="132"/>
      <c r="F28" s="132" t="s">
        <v>411</v>
      </c>
      <c r="G28" s="132"/>
      <c r="H28" s="132"/>
      <c r="I28" s="128">
        <f t="shared" si="0"/>
        <v>1</v>
      </c>
      <c r="K28" s="129"/>
      <c r="AD28" s="77"/>
      <c r="AE28" s="77"/>
      <c r="AF28" s="77"/>
    </row>
    <row r="29" spans="1:32" s="128" customFormat="1">
      <c r="A29" t="s">
        <v>1570</v>
      </c>
      <c r="B29" s="132"/>
      <c r="C29" s="132"/>
      <c r="D29" s="132"/>
      <c r="E29" s="132"/>
      <c r="F29" s="132"/>
      <c r="G29" s="132"/>
      <c r="H29" s="132"/>
      <c r="I29" s="128">
        <f t="shared" si="0"/>
        <v>0</v>
      </c>
      <c r="K29" s="129"/>
      <c r="AD29" s="77"/>
      <c r="AE29" s="77"/>
      <c r="AF29" s="77"/>
    </row>
    <row r="30" spans="1:32">
      <c r="A30" t="s">
        <v>1571</v>
      </c>
      <c r="I30" s="128">
        <f t="shared" si="0"/>
        <v>0</v>
      </c>
    </row>
    <row r="31" spans="1:32">
      <c r="A31" t="s">
        <v>1572</v>
      </c>
      <c r="I31" s="128">
        <f t="shared" si="0"/>
        <v>0</v>
      </c>
    </row>
    <row r="32" spans="1:32">
      <c r="A32" t="s">
        <v>1055</v>
      </c>
      <c r="I32" s="128">
        <f t="shared" si="0"/>
        <v>0</v>
      </c>
    </row>
    <row r="33" spans="1:9">
      <c r="A33" t="s">
        <v>1569</v>
      </c>
      <c r="I33" s="128">
        <f t="shared" si="0"/>
        <v>0</v>
      </c>
    </row>
    <row r="34" spans="1:9">
      <c r="A34" t="s">
        <v>1371</v>
      </c>
      <c r="B34" s="132" t="s">
        <v>411</v>
      </c>
      <c r="I34" s="128">
        <f t="shared" si="0"/>
        <v>1</v>
      </c>
    </row>
    <row r="35" spans="1:9">
      <c r="A35" t="s">
        <v>1372</v>
      </c>
      <c r="B35" s="132" t="s">
        <v>411</v>
      </c>
      <c r="I35" s="128">
        <f t="shared" si="0"/>
        <v>1</v>
      </c>
    </row>
    <row r="36" spans="1:9">
      <c r="A36" t="s">
        <v>1373</v>
      </c>
      <c r="C36" s="132" t="s">
        <v>411</v>
      </c>
      <c r="I36" s="128">
        <f t="shared" si="0"/>
        <v>1</v>
      </c>
    </row>
    <row r="37" spans="1:9">
      <c r="A37" t="s">
        <v>1374</v>
      </c>
      <c r="C37" s="132" t="s">
        <v>411</v>
      </c>
      <c r="I37" s="128">
        <f t="shared" si="0"/>
        <v>1</v>
      </c>
    </row>
    <row r="38" spans="1:9">
      <c r="A38" t="s">
        <v>1375</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1573</v>
      </c>
      <c r="I46" s="128">
        <f t="shared" si="0"/>
        <v>0</v>
      </c>
    </row>
    <row r="47" spans="1:9">
      <c r="A47" t="s">
        <v>1574</v>
      </c>
      <c r="I47" s="128">
        <f t="shared" si="0"/>
        <v>0</v>
      </c>
    </row>
    <row r="48" spans="1:9">
      <c r="A48" t="s">
        <v>1575</v>
      </c>
      <c r="I48" s="128">
        <f t="shared" si="0"/>
        <v>0</v>
      </c>
    </row>
    <row r="49" spans="1:9">
      <c r="A49" t="s">
        <v>1576</v>
      </c>
      <c r="I49" s="128">
        <f t="shared" si="0"/>
        <v>0</v>
      </c>
    </row>
    <row r="50" spans="1:9">
      <c r="A50" t="s">
        <v>1577</v>
      </c>
      <c r="I50" s="128">
        <f t="shared" si="0"/>
        <v>0</v>
      </c>
    </row>
    <row r="51" spans="1:9">
      <c r="A51" t="s">
        <v>1578</v>
      </c>
      <c r="I51" s="128">
        <f t="shared" si="0"/>
        <v>0</v>
      </c>
    </row>
    <row r="52" spans="1:9">
      <c r="A52" t="s">
        <v>1579</v>
      </c>
      <c r="I52" s="128">
        <f t="shared" si="0"/>
        <v>0</v>
      </c>
    </row>
    <row r="53" spans="1:9">
      <c r="A53" t="s">
        <v>958</v>
      </c>
      <c r="I53" s="128">
        <f t="shared" si="0"/>
        <v>0</v>
      </c>
    </row>
    <row r="54" spans="1:9">
      <c r="A54" t="s">
        <v>1326</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A30" sqref="A30"/>
    </sheetView>
  </sheetViews>
  <sheetFormatPr defaultRowHeight="14.5"/>
  <cols>
    <col min="1" max="1" width="54.26953125" style="8" customWidth="1"/>
    <col min="2" max="2" width="56" style="8" customWidth="1"/>
  </cols>
  <sheetData>
    <row r="1" spans="1:2">
      <c r="A1" s="1" t="s">
        <v>0</v>
      </c>
      <c r="B1" s="23" t="s">
        <v>720</v>
      </c>
    </row>
    <row r="2" spans="1:2">
      <c r="A2" s="2" t="s">
        <v>1</v>
      </c>
      <c r="B2" s="3" t="s">
        <v>1580</v>
      </c>
    </row>
    <row r="3" spans="1:2">
      <c r="A3" s="2" t="s">
        <v>2</v>
      </c>
      <c r="B3" s="325"/>
    </row>
    <row r="4" spans="1:2">
      <c r="A4" s="2" t="s">
        <v>727</v>
      </c>
      <c r="B4" s="3" t="s">
        <v>1581</v>
      </c>
    </row>
    <row r="5" spans="1:2">
      <c r="A5" s="2" t="s">
        <v>1663</v>
      </c>
      <c r="B5" s="4">
        <v>53517</v>
      </c>
    </row>
    <row r="6" spans="1:2">
      <c r="A6" s="5" t="s">
        <v>3</v>
      </c>
      <c r="B6" s="5"/>
    </row>
    <row r="7" spans="1:2">
      <c r="A7" s="2" t="s">
        <v>4</v>
      </c>
      <c r="B7" s="6" t="s">
        <v>1582</v>
      </c>
    </row>
    <row r="8" spans="1:2">
      <c r="A8" s="2" t="s">
        <v>5</v>
      </c>
      <c r="B8" s="6" t="s">
        <v>6</v>
      </c>
    </row>
    <row r="9" spans="1:2">
      <c r="A9" s="2" t="s">
        <v>7</v>
      </c>
      <c r="B9" s="6" t="s">
        <v>1583</v>
      </c>
    </row>
    <row r="10" spans="1:2" ht="52">
      <c r="A10" s="2" t="s">
        <v>8</v>
      </c>
      <c r="B10" s="6" t="s">
        <v>1584</v>
      </c>
    </row>
    <row r="11" spans="1:2">
      <c r="A11" s="2" t="s">
        <v>1118</v>
      </c>
      <c r="B11" s="6" t="s">
        <v>1585</v>
      </c>
    </row>
    <row r="12" spans="1:2">
      <c r="A12" s="2" t="s">
        <v>9</v>
      </c>
      <c r="B12" s="6" t="s">
        <v>1586</v>
      </c>
    </row>
    <row r="13" spans="1:2">
      <c r="A13" s="2" t="s">
        <v>10</v>
      </c>
      <c r="B13" s="6" t="s">
        <v>1587</v>
      </c>
    </row>
    <row r="14" spans="1:2">
      <c r="A14" s="2" t="s">
        <v>11</v>
      </c>
      <c r="B14" s="6" t="s">
        <v>1588</v>
      </c>
    </row>
    <row r="15" spans="1:2">
      <c r="A15" s="5" t="s">
        <v>12</v>
      </c>
      <c r="B15" s="5"/>
    </row>
    <row r="16" spans="1:2">
      <c r="A16" s="2" t="s">
        <v>13</v>
      </c>
      <c r="B16" s="83" t="s">
        <v>1646</v>
      </c>
    </row>
    <row r="17" spans="1:2">
      <c r="A17" s="2" t="s">
        <v>14</v>
      </c>
      <c r="B17" s="298" t="s">
        <v>1647</v>
      </c>
    </row>
    <row r="18" spans="1:2">
      <c r="A18" s="2" t="s">
        <v>15</v>
      </c>
      <c r="B18" s="6" t="s">
        <v>1648</v>
      </c>
    </row>
    <row r="19" spans="1:2">
      <c r="A19" s="2" t="s">
        <v>16</v>
      </c>
      <c r="B19" s="6" t="s">
        <v>1649</v>
      </c>
    </row>
    <row r="20" spans="1:2">
      <c r="A20" s="2" t="s">
        <v>17</v>
      </c>
      <c r="B20" s="6" t="s">
        <v>1647</v>
      </c>
    </row>
    <row r="21" spans="1:2">
      <c r="A21" s="5" t="s">
        <v>19</v>
      </c>
      <c r="B21" s="5"/>
    </row>
    <row r="22" spans="1:2">
      <c r="A22" s="2" t="s">
        <v>20</v>
      </c>
      <c r="B22" s="298">
        <v>44174</v>
      </c>
    </row>
    <row r="23" spans="1:2">
      <c r="A23" s="2" t="s">
        <v>21</v>
      </c>
      <c r="B23" s="299" t="s">
        <v>1650</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1651</v>
      </c>
    </row>
    <row r="29" spans="1:2">
      <c r="A29" s="2" t="s">
        <v>7</v>
      </c>
      <c r="B29" s="298" t="s">
        <v>1652</v>
      </c>
    </row>
    <row r="30" spans="1:2">
      <c r="A30" s="2" t="s">
        <v>9</v>
      </c>
      <c r="B30" s="298" t="s">
        <v>1589</v>
      </c>
    </row>
    <row r="31" spans="1:2">
      <c r="A31" s="2" t="s">
        <v>10</v>
      </c>
      <c r="B31" s="27" t="s">
        <v>1653</v>
      </c>
    </row>
    <row r="32" spans="1:2">
      <c r="A32" s="5" t="s">
        <v>26</v>
      </c>
      <c r="B32" s="5"/>
    </row>
    <row r="33" spans="1:5">
      <c r="A33" s="2" t="s">
        <v>4</v>
      </c>
      <c r="B33" s="326" t="s">
        <v>1654</v>
      </c>
    </row>
    <row r="34" spans="1:5">
      <c r="A34" s="2" t="s">
        <v>5</v>
      </c>
      <c r="B34" s="413" t="str">
        <f>B16</f>
        <v>Software for Mars (Pty) Ltd</v>
      </c>
      <c r="C34" t="s">
        <v>1006</v>
      </c>
    </row>
    <row r="35" spans="1:5">
      <c r="A35" s="2" t="s">
        <v>9</v>
      </c>
      <c r="B35" s="327" t="s">
        <v>1590</v>
      </c>
    </row>
    <row r="36" spans="1:5">
      <c r="A36" s="2" t="s">
        <v>10</v>
      </c>
      <c r="B36" s="328" t="s">
        <v>1655</v>
      </c>
    </row>
    <row r="37" spans="1:5">
      <c r="A37" s="5" t="s">
        <v>27</v>
      </c>
      <c r="B37" s="5"/>
    </row>
    <row r="38" spans="1:5">
      <c r="A38" s="2" t="s">
        <v>4</v>
      </c>
      <c r="B38" s="413" t="s">
        <v>1656</v>
      </c>
    </row>
    <row r="39" spans="1:5">
      <c r="A39" s="2" t="s">
        <v>5</v>
      </c>
      <c r="B39" s="298" t="s">
        <v>1378</v>
      </c>
    </row>
    <row r="40" spans="1:5">
      <c r="A40" s="2" t="s">
        <v>7</v>
      </c>
      <c r="B40" s="298" t="s">
        <v>424</v>
      </c>
    </row>
    <row r="41" spans="1:5">
      <c r="A41" s="2" t="s">
        <v>9</v>
      </c>
      <c r="B41" s="299" t="s">
        <v>1591</v>
      </c>
    </row>
    <row r="42" spans="1:5">
      <c r="A42" s="2" t="s">
        <v>10</v>
      </c>
      <c r="B42" s="88" t="s">
        <v>1657</v>
      </c>
    </row>
    <row r="43" spans="1:5">
      <c r="A43" s="7" t="s">
        <v>28</v>
      </c>
      <c r="B43" s="5"/>
    </row>
    <row r="44" spans="1:5">
      <c r="A44" s="2" t="s">
        <v>4</v>
      </c>
      <c r="B44" s="6" t="s">
        <v>1255</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1658</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1671</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1659</v>
      </c>
    </row>
    <row r="16" spans="1:3">
      <c r="A16" s="11" t="s">
        <v>765</v>
      </c>
      <c r="B16" s="92">
        <f>'Agreement 3'!B5</f>
        <v>53517</v>
      </c>
      <c r="C16" s="11" t="s">
        <v>1005</v>
      </c>
    </row>
    <row r="18" spans="1:3" s="50" customFormat="1" ht="15.5">
      <c r="A18" s="51" t="s">
        <v>961</v>
      </c>
      <c r="B18" s="51"/>
      <c r="C18" s="49"/>
    </row>
    <row r="19" spans="1:3" s="50" customFormat="1" ht="15.5">
      <c r="A19" s="50" t="s">
        <v>875</v>
      </c>
      <c r="B19" s="416" t="s">
        <v>1379</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1380</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1237</v>
      </c>
      <c r="C43" s="120" t="s">
        <v>885</v>
      </c>
      <c r="D43" s="125" t="s">
        <v>1086</v>
      </c>
    </row>
    <row r="44" spans="1:4" s="120" customFormat="1" ht="43.5">
      <c r="A44" s="120" t="s">
        <v>595</v>
      </c>
      <c r="B44" s="89" t="s">
        <v>1381</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1592</v>
      </c>
      <c r="C47" s="125" t="s">
        <v>885</v>
      </c>
      <c r="D47" s="125" t="s">
        <v>1086</v>
      </c>
    </row>
    <row r="48" spans="1:4" s="125" customFormat="1">
      <c r="A48" s="125" t="s">
        <v>598</v>
      </c>
      <c r="B48" s="89" t="s">
        <v>1593</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1594</v>
      </c>
      <c r="C51" s="125" t="s">
        <v>885</v>
      </c>
    </row>
    <row r="52" spans="1:3" s="125" customFormat="1">
      <c r="A52" s="125" t="s">
        <v>602</v>
      </c>
      <c r="B52" s="89" t="s">
        <v>1595</v>
      </c>
      <c r="C52" s="125" t="s">
        <v>885</v>
      </c>
    </row>
    <row r="53" spans="1:3" s="125" customFormat="1">
      <c r="B53" s="238"/>
    </row>
    <row r="54" spans="1:3" s="50" customFormat="1" ht="46.5">
      <c r="A54" s="50" t="s">
        <v>1083</v>
      </c>
      <c r="B54" s="420" t="s">
        <v>1382</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1661</v>
      </c>
    </row>
    <row r="6" spans="1:3" s="84" customFormat="1" ht="14.5">
      <c r="A6" s="84" t="s">
        <v>32</v>
      </c>
      <c r="B6" s="117" t="s">
        <v>1660</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1665</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1662</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1383</v>
      </c>
    </row>
    <row r="21" spans="1:3">
      <c r="A21" s="50" t="s">
        <v>860</v>
      </c>
      <c r="B21" s="89"/>
    </row>
    <row r="22" spans="1:3">
      <c r="A22" s="50" t="s">
        <v>861</v>
      </c>
      <c r="B22" s="89" t="s">
        <v>1596</v>
      </c>
    </row>
    <row r="23" spans="1:3" ht="87">
      <c r="A23" s="50" t="s">
        <v>862</v>
      </c>
      <c r="B23" s="414" t="s">
        <v>1664</v>
      </c>
      <c r="C23" s="306"/>
    </row>
    <row r="24" spans="1:3" ht="31">
      <c r="A24" s="50" t="s">
        <v>863</v>
      </c>
      <c r="B24" s="54" t="s">
        <v>347</v>
      </c>
      <c r="C24" s="49" t="s">
        <v>384</v>
      </c>
    </row>
    <row r="25" spans="1:3">
      <c r="A25" s="50" t="s">
        <v>864</v>
      </c>
      <c r="B25" s="50">
        <v>2481632</v>
      </c>
    </row>
    <row r="26" spans="1:3" ht="46.5">
      <c r="A26" s="50" t="s">
        <v>980</v>
      </c>
      <c r="B26" s="329" t="s">
        <v>1568</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1566</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1564</v>
      </c>
      <c r="I2" s="261" t="s">
        <v>1567</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1598</v>
      </c>
      <c r="C3" s="266" t="s">
        <v>1597</v>
      </c>
      <c r="D3" s="266" t="s">
        <v>1153</v>
      </c>
      <c r="E3" s="266" t="s">
        <v>1393</v>
      </c>
      <c r="F3" s="267">
        <v>44021</v>
      </c>
      <c r="G3" s="267">
        <v>44260</v>
      </c>
      <c r="H3" s="266" t="s">
        <v>1395</v>
      </c>
      <c r="I3" s="268" t="s">
        <v>1565</v>
      </c>
      <c r="J3" s="269" t="s">
        <v>1104</v>
      </c>
      <c r="K3" s="269" t="s">
        <v>1104</v>
      </c>
      <c r="L3" s="269"/>
      <c r="M3" s="269"/>
      <c r="N3" s="269"/>
      <c r="O3" s="269"/>
      <c r="P3" s="269"/>
      <c r="Q3" s="269"/>
      <c r="R3" s="269"/>
      <c r="S3" s="269"/>
      <c r="T3" s="269"/>
      <c r="U3" s="269"/>
      <c r="V3" s="269"/>
      <c r="W3" s="269"/>
      <c r="X3" s="269"/>
      <c r="Y3" s="269"/>
      <c r="Z3" s="269"/>
      <c r="AA3" s="269"/>
      <c r="AB3" s="268">
        <v>10</v>
      </c>
      <c r="AC3" s="270" t="s">
        <v>1339</v>
      </c>
      <c r="AD3" s="270"/>
      <c r="AE3" s="270"/>
      <c r="AF3" s="270"/>
      <c r="AG3" s="270"/>
      <c r="AH3" s="270"/>
      <c r="AI3" s="271"/>
    </row>
    <row r="4" spans="1:35" s="265" customFormat="1" ht="13">
      <c r="A4" s="266" t="s">
        <v>899</v>
      </c>
      <c r="B4" s="265" t="s">
        <v>1599</v>
      </c>
      <c r="C4" s="266" t="s">
        <v>1600</v>
      </c>
      <c r="D4" s="266" t="s">
        <v>1153</v>
      </c>
      <c r="E4" s="300" t="s">
        <v>1393</v>
      </c>
      <c r="F4" s="272">
        <v>44086</v>
      </c>
      <c r="G4" s="272">
        <v>44258</v>
      </c>
      <c r="H4" s="266" t="s">
        <v>1395</v>
      </c>
      <c r="I4" s="268" t="s">
        <v>1565</v>
      </c>
      <c r="J4" s="269"/>
      <c r="K4" s="269"/>
      <c r="L4" s="269"/>
      <c r="M4" s="269" t="s">
        <v>1104</v>
      </c>
      <c r="N4" s="269" t="s">
        <v>1104</v>
      </c>
      <c r="O4" s="269" t="s">
        <v>1104</v>
      </c>
      <c r="P4" s="269"/>
      <c r="Q4" s="269"/>
      <c r="R4" s="269"/>
      <c r="S4" s="269"/>
      <c r="T4" s="269"/>
      <c r="U4" s="269"/>
      <c r="V4" s="269"/>
      <c r="W4" s="269"/>
      <c r="X4" s="269"/>
      <c r="Y4" s="269"/>
      <c r="Z4" s="269"/>
      <c r="AA4" s="269"/>
      <c r="AB4" s="268">
        <v>11</v>
      </c>
      <c r="AC4" s="270" t="s">
        <v>1339</v>
      </c>
      <c r="AD4" s="270"/>
      <c r="AE4" s="270"/>
      <c r="AF4" s="270"/>
      <c r="AG4" s="270"/>
      <c r="AH4" s="270"/>
      <c r="AI4" s="271"/>
    </row>
    <row r="5" spans="1:35" s="265" customFormat="1" ht="13">
      <c r="A5" s="266" t="s">
        <v>900</v>
      </c>
      <c r="B5" s="265" t="s">
        <v>1601</v>
      </c>
      <c r="C5" s="266" t="s">
        <v>1602</v>
      </c>
      <c r="D5" s="266" t="s">
        <v>1153</v>
      </c>
      <c r="E5" s="300" t="s">
        <v>1393</v>
      </c>
      <c r="F5" s="272">
        <v>44062</v>
      </c>
      <c r="G5" s="272">
        <v>44247</v>
      </c>
      <c r="H5" s="266" t="s">
        <v>1395</v>
      </c>
      <c r="I5" s="268" t="s">
        <v>1565</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1339</v>
      </c>
      <c r="AE5" s="270"/>
      <c r="AF5" s="270"/>
      <c r="AG5" s="270"/>
      <c r="AH5" s="270"/>
      <c r="AI5" s="271"/>
    </row>
    <row r="6" spans="1:35" s="265" customFormat="1" ht="13">
      <c r="A6" s="266" t="s">
        <v>901</v>
      </c>
      <c r="B6" s="265" t="s">
        <v>1603</v>
      </c>
      <c r="C6" s="272" t="s">
        <v>1604</v>
      </c>
      <c r="D6" s="266" t="s">
        <v>1153</v>
      </c>
      <c r="E6" s="300" t="s">
        <v>1393</v>
      </c>
      <c r="F6" s="272" t="s">
        <v>1394</v>
      </c>
      <c r="G6" s="272">
        <v>44265</v>
      </c>
      <c r="H6" s="300" t="s">
        <v>1395</v>
      </c>
      <c r="I6" s="268" t="s">
        <v>1565</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1389</v>
      </c>
      <c r="C7" s="274" t="s">
        <v>1605</v>
      </c>
      <c r="D7" s="274" t="s">
        <v>1154</v>
      </c>
      <c r="E7" s="275"/>
      <c r="F7" s="276"/>
      <c r="G7" s="276"/>
      <c r="H7" s="300" t="s">
        <v>1395</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1390</v>
      </c>
      <c r="C8" s="274" t="s">
        <v>1606</v>
      </c>
      <c r="D8" s="274" t="s">
        <v>1154</v>
      </c>
      <c r="E8" s="275"/>
      <c r="F8" s="276"/>
      <c r="G8" s="276"/>
      <c r="H8" s="300" t="s">
        <v>1395</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1391</v>
      </c>
      <c r="C9" s="274" t="s">
        <v>1607</v>
      </c>
      <c r="D9" s="274" t="s">
        <v>1154</v>
      </c>
      <c r="E9" s="275"/>
      <c r="F9" s="276"/>
      <c r="G9" s="276"/>
      <c r="H9" s="300" t="s">
        <v>1395</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1392</v>
      </c>
      <c r="C10" s="274" t="s">
        <v>1608</v>
      </c>
      <c r="D10" s="274" t="s">
        <v>1154</v>
      </c>
      <c r="E10" s="275"/>
      <c r="F10" s="276"/>
      <c r="G10" s="276"/>
      <c r="H10" s="300" t="s">
        <v>1395</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1677</v>
      </c>
    </row>
    <row r="24" spans="3:3" ht="40.5" customHeight="1">
      <c r="C24" s="117" t="s">
        <v>1675</v>
      </c>
    </row>
    <row r="25" spans="3:3" ht="40.5" customHeight="1">
      <c r="C25" s="117" t="s">
        <v>1674</v>
      </c>
    </row>
    <row r="26" spans="3:3" ht="40.5" customHeight="1">
      <c r="C26" s="117" t="s">
        <v>1673</v>
      </c>
    </row>
    <row r="27" spans="3:3" ht="40.5" customHeight="1">
      <c r="C27" s="117" t="s">
        <v>1676</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1609</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1610</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1611</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1612</v>
      </c>
      <c r="D6" s="322" t="s">
        <v>1311</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1613</v>
      </c>
      <c r="D7" s="323" t="s">
        <v>1423</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1614</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1615</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1616</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1617</v>
      </c>
      <c r="D11" s="323" t="s">
        <v>1311</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1618</v>
      </c>
      <c r="D12" s="323" t="s">
        <v>1423</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1619</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1620</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1621</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1622</v>
      </c>
      <c r="D16" s="323" t="s">
        <v>1311</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1623</v>
      </c>
      <c r="D17" s="323" t="s">
        <v>1423</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1387</v>
      </c>
      <c r="B18" s="415" t="str">
        <f t="shared" si="1"/>
        <v>P4-SupperHeavy</v>
      </c>
      <c r="C18" s="323" t="s">
        <v>1624</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1387</v>
      </c>
      <c r="B19" s="415" t="str">
        <f t="shared" si="1"/>
        <v>P4-SupperHeavy</v>
      </c>
      <c r="C19" s="323" t="s">
        <v>1625</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1387</v>
      </c>
      <c r="B20" s="415" t="str">
        <f t="shared" si="1"/>
        <v>P4-SupperHeavy</v>
      </c>
      <c r="C20" s="323" t="s">
        <v>1626</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1387</v>
      </c>
      <c r="B21" s="415" t="str">
        <f t="shared" si="1"/>
        <v>P4-SupperHeavy</v>
      </c>
      <c r="C21" s="323" t="s">
        <v>1627</v>
      </c>
      <c r="D21" s="321" t="s">
        <v>1311</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1387</v>
      </c>
      <c r="B22" s="415" t="str">
        <f t="shared" si="1"/>
        <v>P4-SupperHeavy</v>
      </c>
      <c r="C22" s="323" t="s">
        <v>1628</v>
      </c>
      <c r="D22" s="323" t="s">
        <v>1423</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1629</v>
      </c>
      <c r="D23" s="323" t="s">
        <v>1422</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1630</v>
      </c>
      <c r="D24" s="321" t="s">
        <v>1424</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1631</v>
      </c>
      <c r="D25" s="323" t="s">
        <v>1421</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1632</v>
      </c>
      <c r="D26" s="323" t="s">
        <v>1256</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S6" sqref="S6"/>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1337</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1424</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1256</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1311</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1309</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1</v>
      </c>
      <c r="U14" s="63">
        <f t="shared" si="0"/>
        <v>1</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1387</v>
      </c>
      <c r="F4" s="320" t="s">
        <v>903</v>
      </c>
      <c r="G4" s="320" t="s">
        <v>904</v>
      </c>
      <c r="H4" s="320" t="s">
        <v>1323</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1324</v>
      </c>
      <c r="B6" s="312"/>
      <c r="C6" s="312"/>
      <c r="D6" s="312"/>
      <c r="E6" s="312"/>
      <c r="F6" s="312"/>
      <c r="G6" s="312"/>
      <c r="H6" s="312">
        <v>1</v>
      </c>
      <c r="I6" s="312"/>
      <c r="J6" s="312"/>
      <c r="K6" s="312"/>
      <c r="L6" s="312">
        <v>1</v>
      </c>
    </row>
    <row r="7" spans="1:12">
      <c r="A7" s="309" t="s">
        <v>1384</v>
      </c>
      <c r="B7" s="312">
        <v>5</v>
      </c>
      <c r="C7" s="312"/>
      <c r="D7" s="312"/>
      <c r="E7" s="312"/>
      <c r="F7" s="312"/>
      <c r="G7" s="312"/>
      <c r="H7" s="312"/>
      <c r="I7" s="312"/>
      <c r="J7" s="312"/>
      <c r="K7" s="312"/>
      <c r="L7" s="312">
        <v>5</v>
      </c>
    </row>
    <row r="8" spans="1:12">
      <c r="A8" s="309" t="s">
        <v>1385</v>
      </c>
      <c r="B8" s="312"/>
      <c r="C8" s="312">
        <v>5</v>
      </c>
      <c r="D8" s="312"/>
      <c r="E8" s="312"/>
      <c r="F8" s="312"/>
      <c r="G8" s="312"/>
      <c r="H8" s="312"/>
      <c r="I8" s="312"/>
      <c r="J8" s="312"/>
      <c r="K8" s="312"/>
      <c r="L8" s="312">
        <v>5</v>
      </c>
    </row>
    <row r="9" spans="1:12">
      <c r="A9" s="309" t="s">
        <v>1386</v>
      </c>
      <c r="B9" s="312"/>
      <c r="C9" s="312"/>
      <c r="D9" s="312">
        <v>5</v>
      </c>
      <c r="E9" s="312"/>
      <c r="F9" s="312"/>
      <c r="G9" s="312"/>
      <c r="H9" s="312"/>
      <c r="I9" s="312"/>
      <c r="J9" s="312"/>
      <c r="K9" s="312"/>
      <c r="L9" s="312">
        <v>5</v>
      </c>
    </row>
    <row r="10" spans="1:12">
      <c r="A10" s="309" t="s">
        <v>1388</v>
      </c>
      <c r="B10" s="312"/>
      <c r="C10" s="312"/>
      <c r="D10" s="312"/>
      <c r="E10" s="312">
        <v>5</v>
      </c>
      <c r="F10" s="312"/>
      <c r="G10" s="312"/>
      <c r="H10" s="312"/>
      <c r="I10" s="312"/>
      <c r="J10" s="312"/>
      <c r="K10" s="312"/>
      <c r="L10" s="312">
        <v>5</v>
      </c>
    </row>
    <row r="11" spans="1:12">
      <c r="A11" s="309" t="s">
        <v>1389</v>
      </c>
      <c r="B11" s="312"/>
      <c r="C11" s="312"/>
      <c r="D11" s="312"/>
      <c r="E11" s="312"/>
      <c r="F11" s="312">
        <v>1</v>
      </c>
      <c r="G11" s="312"/>
      <c r="H11" s="312"/>
      <c r="I11" s="312"/>
      <c r="J11" s="312"/>
      <c r="K11" s="312"/>
      <c r="L11" s="312">
        <v>1</v>
      </c>
    </row>
    <row r="12" spans="1:12">
      <c r="A12" s="309" t="s">
        <v>1390</v>
      </c>
      <c r="B12" s="312"/>
      <c r="C12" s="312"/>
      <c r="D12" s="312"/>
      <c r="E12" s="312"/>
      <c r="F12" s="312"/>
      <c r="G12" s="312">
        <v>1</v>
      </c>
      <c r="H12" s="312"/>
      <c r="I12" s="312"/>
      <c r="J12" s="312"/>
      <c r="K12" s="312"/>
      <c r="L12" s="312">
        <v>1</v>
      </c>
    </row>
    <row r="13" spans="1:12">
      <c r="A13" s="309" t="s">
        <v>1391</v>
      </c>
      <c r="B13" s="312"/>
      <c r="C13" s="312"/>
      <c r="D13" s="312"/>
      <c r="E13" s="312"/>
      <c r="F13" s="312"/>
      <c r="G13" s="312"/>
      <c r="H13" s="312"/>
      <c r="I13" s="312">
        <v>1</v>
      </c>
      <c r="J13" s="312"/>
      <c r="K13" s="312"/>
      <c r="L13" s="312">
        <v>1</v>
      </c>
    </row>
    <row r="14" spans="1:12">
      <c r="A14" s="309" t="s">
        <v>1392</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1396</v>
      </c>
      <c r="B5" s="312">
        <v>1</v>
      </c>
    </row>
    <row r="6" spans="1:14">
      <c r="A6" s="309" t="s">
        <v>1397</v>
      </c>
      <c r="B6" s="312">
        <v>1</v>
      </c>
    </row>
    <row r="7" spans="1:14">
      <c r="A7" s="309" t="s">
        <v>1398</v>
      </c>
      <c r="B7" s="312">
        <v>1</v>
      </c>
    </row>
    <row r="8" spans="1:14">
      <c r="A8" s="309" t="s">
        <v>1399</v>
      </c>
      <c r="B8" s="312">
        <v>1</v>
      </c>
    </row>
    <row r="9" spans="1:14">
      <c r="A9" s="309" t="s">
        <v>1400</v>
      </c>
      <c r="B9" s="312">
        <v>1</v>
      </c>
    </row>
    <row r="10" spans="1:14">
      <c r="A10" s="309" t="s">
        <v>1401</v>
      </c>
      <c r="B10" s="312">
        <v>1</v>
      </c>
    </row>
    <row r="11" spans="1:14">
      <c r="A11" s="309" t="s">
        <v>1402</v>
      </c>
      <c r="B11" s="312">
        <v>1</v>
      </c>
    </row>
    <row r="12" spans="1:14">
      <c r="A12" s="309" t="s">
        <v>1403</v>
      </c>
      <c r="B12" s="312">
        <v>1</v>
      </c>
    </row>
    <row r="13" spans="1:14">
      <c r="A13" s="309" t="s">
        <v>1404</v>
      </c>
      <c r="B13" s="312">
        <v>1</v>
      </c>
    </row>
    <row r="14" spans="1:14">
      <c r="A14" s="309" t="s">
        <v>1405</v>
      </c>
      <c r="B14" s="312">
        <v>1</v>
      </c>
    </row>
    <row r="15" spans="1:14">
      <c r="A15" s="309" t="s">
        <v>1406</v>
      </c>
      <c r="B15" s="312">
        <v>1</v>
      </c>
    </row>
    <row r="16" spans="1:14">
      <c r="A16" s="309" t="s">
        <v>1407</v>
      </c>
      <c r="B16" s="312">
        <v>1</v>
      </c>
    </row>
    <row r="17" spans="1:2">
      <c r="A17" s="309" t="s">
        <v>1408</v>
      </c>
      <c r="B17" s="312">
        <v>1</v>
      </c>
    </row>
    <row r="18" spans="1:2">
      <c r="A18" s="309" t="s">
        <v>1409</v>
      </c>
      <c r="B18" s="312">
        <v>1</v>
      </c>
    </row>
    <row r="19" spans="1:2">
      <c r="A19" s="309" t="s">
        <v>1410</v>
      </c>
      <c r="B19" s="312">
        <v>1</v>
      </c>
    </row>
    <row r="20" spans="1:2">
      <c r="A20" s="309" t="s">
        <v>1411</v>
      </c>
      <c r="B20" s="312">
        <v>1</v>
      </c>
    </row>
    <row r="21" spans="1:2">
      <c r="A21" s="309" t="s">
        <v>1412</v>
      </c>
      <c r="B21" s="312">
        <v>1</v>
      </c>
    </row>
    <row r="22" spans="1:2">
      <c r="A22" s="309" t="s">
        <v>1413</v>
      </c>
      <c r="B22" s="312">
        <v>1</v>
      </c>
    </row>
    <row r="23" spans="1:2">
      <c r="A23" s="309" t="s">
        <v>1414</v>
      </c>
      <c r="B23" s="312">
        <v>1</v>
      </c>
    </row>
    <row r="24" spans="1:2">
      <c r="A24" s="309" t="s">
        <v>1415</v>
      </c>
      <c r="B24" s="312">
        <v>1</v>
      </c>
    </row>
    <row r="25" spans="1:2">
      <c r="A25" s="309" t="s">
        <v>1416</v>
      </c>
      <c r="B25" s="312">
        <v>1</v>
      </c>
    </row>
    <row r="26" spans="1:2">
      <c r="A26" s="309" t="s">
        <v>1417</v>
      </c>
      <c r="B26" s="312">
        <v>1</v>
      </c>
    </row>
    <row r="27" spans="1:2">
      <c r="A27" s="309" t="s">
        <v>1418</v>
      </c>
      <c r="B27" s="312">
        <v>1</v>
      </c>
    </row>
    <row r="28" spans="1:2">
      <c r="A28" s="309" t="s">
        <v>1419</v>
      </c>
      <c r="B28" s="312">
        <v>1</v>
      </c>
    </row>
    <row r="29" spans="1:2">
      <c r="A29" s="309" t="s">
        <v>1420</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26" sqref="D26"/>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1672</v>
      </c>
    </row>
    <row r="11" spans="1:3">
      <c r="A11" s="11" t="s">
        <v>823</v>
      </c>
    </row>
    <row r="12" spans="1:3" ht="43.5">
      <c r="A12" s="11" t="s">
        <v>821</v>
      </c>
      <c r="B12" s="11" t="s">
        <v>1198</v>
      </c>
      <c r="C12" s="250" t="s">
        <v>1716</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1666</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1633</v>
      </c>
      <c r="C91" s="125" t="s">
        <v>1161</v>
      </c>
      <c r="D91" s="125" t="s">
        <v>6</v>
      </c>
      <c r="E91" s="125" t="s">
        <v>1015</v>
      </c>
      <c r="F91" s="125" t="s">
        <v>1146</v>
      </c>
      <c r="G91" s="125"/>
      <c r="H91" s="125" t="s">
        <v>974</v>
      </c>
      <c r="I91" s="125" t="s">
        <v>1637</v>
      </c>
      <c r="J91" s="125" t="s">
        <v>1080</v>
      </c>
      <c r="K91" s="125"/>
      <c r="L91" s="125">
        <v>8</v>
      </c>
      <c r="M91" s="193">
        <v>44186</v>
      </c>
      <c r="N91" s="125"/>
      <c r="O91" s="125">
        <v>7</v>
      </c>
      <c r="P91" s="125" t="s">
        <v>426</v>
      </c>
      <c r="Q91" s="125" t="s">
        <v>1060</v>
      </c>
      <c r="R91" s="125">
        <v>3</v>
      </c>
      <c r="S91" s="125">
        <v>0</v>
      </c>
      <c r="T91" s="125" t="s">
        <v>1061</v>
      </c>
      <c r="U91" s="125" t="s">
        <v>1429</v>
      </c>
      <c r="V91" s="30" t="s">
        <v>1641</v>
      </c>
      <c r="W91" s="125"/>
      <c r="AA91" s="293"/>
    </row>
    <row r="92" spans="1:36" s="117" customFormat="1">
      <c r="A92" s="117" t="s">
        <v>1114</v>
      </c>
      <c r="B92" s="242" t="s">
        <v>1634</v>
      </c>
      <c r="C92" s="125" t="s">
        <v>1161</v>
      </c>
      <c r="D92" s="125" t="s">
        <v>6</v>
      </c>
      <c r="E92" s="125" t="s">
        <v>1015</v>
      </c>
      <c r="F92" s="125" t="s">
        <v>1146</v>
      </c>
      <c r="G92" s="125"/>
      <c r="H92" s="125" t="s">
        <v>974</v>
      </c>
      <c r="I92" s="125" t="s">
        <v>1638</v>
      </c>
      <c r="J92" s="125" t="s">
        <v>1080</v>
      </c>
      <c r="K92" s="125"/>
      <c r="L92" s="125">
        <v>8</v>
      </c>
      <c r="M92" s="193">
        <v>44186</v>
      </c>
      <c r="N92" s="125"/>
      <c r="O92" s="125">
        <v>18</v>
      </c>
      <c r="P92" s="125" t="s">
        <v>426</v>
      </c>
      <c r="Q92" s="125" t="s">
        <v>1060</v>
      </c>
      <c r="R92" s="125">
        <v>14</v>
      </c>
      <c r="S92" s="125">
        <v>0</v>
      </c>
      <c r="T92" s="125" t="s">
        <v>1061</v>
      </c>
      <c r="U92" s="125" t="s">
        <v>1429</v>
      </c>
      <c r="V92" s="30" t="s">
        <v>1642</v>
      </c>
      <c r="W92" s="125"/>
      <c r="AA92" s="293"/>
    </row>
    <row r="93" spans="1:36" s="117" customFormat="1">
      <c r="A93" s="117" t="s">
        <v>1114</v>
      </c>
      <c r="B93" s="242" t="s">
        <v>1635</v>
      </c>
      <c r="C93" s="125" t="s">
        <v>1161</v>
      </c>
      <c r="D93" s="125" t="s">
        <v>6</v>
      </c>
      <c r="E93" s="125" t="s">
        <v>1015</v>
      </c>
      <c r="F93" s="125" t="s">
        <v>1146</v>
      </c>
      <c r="G93" s="125"/>
      <c r="H93" s="125" t="s">
        <v>974</v>
      </c>
      <c r="I93" s="125" t="s">
        <v>1639</v>
      </c>
      <c r="J93" s="125" t="s">
        <v>1059</v>
      </c>
      <c r="K93" s="125"/>
      <c r="L93" s="125">
        <v>8</v>
      </c>
      <c r="M93" s="193">
        <v>44186</v>
      </c>
      <c r="N93" s="125"/>
      <c r="O93" s="125">
        <v>20</v>
      </c>
      <c r="P93" s="125" t="s">
        <v>426</v>
      </c>
      <c r="Q93" s="125" t="s">
        <v>1060</v>
      </c>
      <c r="R93" s="125">
        <v>30</v>
      </c>
      <c r="S93" s="125">
        <v>5</v>
      </c>
      <c r="T93" s="125" t="s">
        <v>1061</v>
      </c>
      <c r="U93" s="125" t="s">
        <v>1430</v>
      </c>
      <c r="V93" s="30" t="s">
        <v>1643</v>
      </c>
      <c r="W93" s="125"/>
      <c r="AA93" s="293"/>
    </row>
    <row r="94" spans="1:36" s="117" customFormat="1">
      <c r="A94" s="117" t="s">
        <v>1114</v>
      </c>
      <c r="B94" s="242" t="s">
        <v>1636</v>
      </c>
      <c r="C94" s="125" t="s">
        <v>1161</v>
      </c>
      <c r="D94" s="125" t="s">
        <v>6</v>
      </c>
      <c r="E94" s="125" t="s">
        <v>1015</v>
      </c>
      <c r="F94" s="125" t="s">
        <v>1146</v>
      </c>
      <c r="G94" s="125"/>
      <c r="H94" s="125" t="s">
        <v>974</v>
      </c>
      <c r="I94" s="125" t="s">
        <v>1640</v>
      </c>
      <c r="J94" s="125" t="s">
        <v>1080</v>
      </c>
      <c r="K94" s="125"/>
      <c r="L94" s="125">
        <v>8</v>
      </c>
      <c r="M94" s="193">
        <v>44186</v>
      </c>
      <c r="N94" s="125"/>
      <c r="O94" s="125">
        <v>12</v>
      </c>
      <c r="P94" s="125" t="s">
        <v>426</v>
      </c>
      <c r="Q94" s="125" t="s">
        <v>1060</v>
      </c>
      <c r="R94" s="125">
        <v>10</v>
      </c>
      <c r="S94" s="125">
        <v>9</v>
      </c>
      <c r="T94" s="125" t="s">
        <v>1061</v>
      </c>
      <c r="U94" s="125" t="s">
        <v>1430</v>
      </c>
      <c r="V94" s="30" t="s">
        <v>1644</v>
      </c>
      <c r="W94" s="125"/>
      <c r="AA94" s="293"/>
    </row>
    <row r="95" spans="1:36" s="117" customFormat="1">
      <c r="A95" s="117" t="s">
        <v>1114</v>
      </c>
      <c r="B95" s="242" t="s">
        <v>1257</v>
      </c>
      <c r="C95" s="125" t="s">
        <v>1161</v>
      </c>
      <c r="D95" s="125" t="s">
        <v>6</v>
      </c>
      <c r="E95" s="125" t="s">
        <v>1015</v>
      </c>
      <c r="F95" s="125" t="s">
        <v>1146</v>
      </c>
      <c r="G95" s="125"/>
      <c r="H95" s="125" t="s">
        <v>974</v>
      </c>
      <c r="I95" s="125" t="s">
        <v>1258</v>
      </c>
      <c r="J95" s="125" t="s">
        <v>1080</v>
      </c>
      <c r="K95" s="125" t="s">
        <v>1081</v>
      </c>
      <c r="L95" s="125">
        <v>8</v>
      </c>
      <c r="M95" s="193">
        <v>44137</v>
      </c>
      <c r="N95" s="125"/>
      <c r="O95" s="125">
        <v>16</v>
      </c>
      <c r="P95" s="125" t="s">
        <v>426</v>
      </c>
      <c r="Q95" s="125" t="s">
        <v>1060</v>
      </c>
      <c r="R95" s="125">
        <v>17</v>
      </c>
      <c r="S95" s="125">
        <v>2</v>
      </c>
      <c r="T95" s="125" t="s">
        <v>1061</v>
      </c>
      <c r="U95" s="125" t="s">
        <v>1062</v>
      </c>
      <c r="V95" s="30" t="s">
        <v>1259</v>
      </c>
      <c r="W95" s="125"/>
      <c r="AA95" s="293"/>
    </row>
    <row r="96" spans="1:36" s="117" customFormat="1">
      <c r="A96" s="117" t="s">
        <v>1114</v>
      </c>
      <c r="B96" s="242" t="s">
        <v>1260</v>
      </c>
      <c r="C96" s="125" t="s">
        <v>1161</v>
      </c>
      <c r="D96" s="125" t="s">
        <v>6</v>
      </c>
      <c r="E96" s="125" t="s">
        <v>1015</v>
      </c>
      <c r="F96" s="125" t="s">
        <v>1146</v>
      </c>
      <c r="G96" s="125"/>
      <c r="H96" s="125" t="s">
        <v>974</v>
      </c>
      <c r="I96" s="125" t="s">
        <v>1261</v>
      </c>
      <c r="J96" s="125" t="s">
        <v>1080</v>
      </c>
      <c r="K96" s="125"/>
      <c r="L96" s="125">
        <v>8</v>
      </c>
      <c r="M96" s="193">
        <v>44202</v>
      </c>
      <c r="N96" s="125"/>
      <c r="O96" s="125">
        <v>18</v>
      </c>
      <c r="P96" s="125" t="s">
        <v>426</v>
      </c>
      <c r="Q96" s="125" t="s">
        <v>1060</v>
      </c>
      <c r="R96" s="125">
        <v>15</v>
      </c>
      <c r="S96" s="125">
        <v>1</v>
      </c>
      <c r="T96" s="125" t="s">
        <v>1061</v>
      </c>
      <c r="U96" s="125" t="s">
        <v>1062</v>
      </c>
      <c r="V96" s="30" t="s">
        <v>1262</v>
      </c>
      <c r="W96" s="125"/>
      <c r="AA96" s="293"/>
    </row>
    <row r="97" spans="1:27" s="117" customFormat="1">
      <c r="A97" s="117" t="s">
        <v>1114</v>
      </c>
      <c r="B97" s="242" t="s">
        <v>1263</v>
      </c>
      <c r="C97" s="125" t="s">
        <v>1161</v>
      </c>
      <c r="D97" s="125" t="s">
        <v>6</v>
      </c>
      <c r="E97" s="125" t="s">
        <v>735</v>
      </c>
      <c r="F97" s="125" t="s">
        <v>730</v>
      </c>
      <c r="G97" s="125"/>
      <c r="H97" s="125" t="s">
        <v>1254</v>
      </c>
      <c r="I97" s="125" t="s">
        <v>1264</v>
      </c>
      <c r="J97" s="125" t="s">
        <v>1059</v>
      </c>
      <c r="K97" s="125" t="s">
        <v>1081</v>
      </c>
      <c r="L97" s="125">
        <v>8</v>
      </c>
      <c r="M97" s="193">
        <v>44144</v>
      </c>
      <c r="N97" s="125"/>
      <c r="O97" s="125">
        <v>20</v>
      </c>
      <c r="P97" s="125" t="s">
        <v>426</v>
      </c>
      <c r="Q97" s="125" t="s">
        <v>1060</v>
      </c>
      <c r="R97" s="125">
        <v>14</v>
      </c>
      <c r="S97" s="125">
        <v>2</v>
      </c>
      <c r="T97" s="125" t="s">
        <v>1061</v>
      </c>
      <c r="U97" s="125" t="s">
        <v>1062</v>
      </c>
      <c r="V97" s="30" t="s">
        <v>1265</v>
      </c>
      <c r="W97" s="125"/>
      <c r="AA97" s="293"/>
    </row>
    <row r="98" spans="1:27" s="117" customFormat="1">
      <c r="A98" s="117" t="s">
        <v>1114</v>
      </c>
      <c r="B98" s="242" t="s">
        <v>1266</v>
      </c>
      <c r="C98" s="125" t="s">
        <v>1161</v>
      </c>
      <c r="D98" s="125" t="s">
        <v>6</v>
      </c>
      <c r="E98" s="125" t="s">
        <v>735</v>
      </c>
      <c r="F98" s="125" t="s">
        <v>730</v>
      </c>
      <c r="G98" s="125"/>
      <c r="H98" s="125" t="s">
        <v>1254</v>
      </c>
      <c r="I98" s="125" t="s">
        <v>1267</v>
      </c>
      <c r="J98" s="125" t="s">
        <v>1080</v>
      </c>
      <c r="K98" s="125" t="s">
        <v>1081</v>
      </c>
      <c r="L98" s="125">
        <v>8</v>
      </c>
      <c r="M98" s="193">
        <v>44144</v>
      </c>
      <c r="N98" s="125"/>
      <c r="O98" s="125">
        <v>5</v>
      </c>
      <c r="P98" s="125" t="s">
        <v>426</v>
      </c>
      <c r="Q98" s="125" t="s">
        <v>1060</v>
      </c>
      <c r="R98" s="125">
        <v>14</v>
      </c>
      <c r="S98" s="125">
        <v>3</v>
      </c>
      <c r="T98" s="125" t="s">
        <v>1061</v>
      </c>
      <c r="U98" s="125" t="s">
        <v>1062</v>
      </c>
      <c r="V98" s="30" t="s">
        <v>1268</v>
      </c>
      <c r="W98" s="125"/>
      <c r="AA98" s="293"/>
    </row>
    <row r="99" spans="1:27" s="117" customFormat="1">
      <c r="A99" s="117" t="s">
        <v>1114</v>
      </c>
      <c r="B99" s="242" t="s">
        <v>1269</v>
      </c>
      <c r="C99" s="125" t="s">
        <v>1161</v>
      </c>
      <c r="D99" s="125" t="s">
        <v>6</v>
      </c>
      <c r="E99" s="125" t="s">
        <v>1015</v>
      </c>
      <c r="F99" s="125" t="s">
        <v>1146</v>
      </c>
      <c r="G99" s="125"/>
      <c r="H99" s="125" t="s">
        <v>974</v>
      </c>
      <c r="I99" s="125" t="s">
        <v>1270</v>
      </c>
      <c r="J99" s="125" t="s">
        <v>1080</v>
      </c>
      <c r="K99" s="125" t="s">
        <v>1081</v>
      </c>
      <c r="L99" s="125">
        <v>8</v>
      </c>
      <c r="M99" s="193">
        <v>44202</v>
      </c>
      <c r="N99" s="125"/>
      <c r="O99" s="125">
        <v>17</v>
      </c>
      <c r="P99" s="125" t="s">
        <v>426</v>
      </c>
      <c r="Q99" s="125" t="s">
        <v>1060</v>
      </c>
      <c r="R99" s="125">
        <v>17</v>
      </c>
      <c r="S99" s="125">
        <v>1</v>
      </c>
      <c r="T99" s="125" t="s">
        <v>1061</v>
      </c>
      <c r="U99" s="125" t="s">
        <v>1062</v>
      </c>
      <c r="V99" s="30" t="s">
        <v>1271</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1668</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1667</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1431</v>
      </c>
      <c r="C103" s="125"/>
      <c r="D103" s="125" t="s">
        <v>6</v>
      </c>
      <c r="E103" s="125" t="s">
        <v>1015</v>
      </c>
      <c r="F103" s="125" t="s">
        <v>1146</v>
      </c>
      <c r="G103" s="125"/>
      <c r="H103" s="125" t="s">
        <v>974</v>
      </c>
      <c r="I103" s="125" t="s">
        <v>1432</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1433</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1425</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1426</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1427</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1428</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1435</v>
      </c>
    </row>
    <row r="156" spans="1:3">
      <c r="A156" s="28" t="s">
        <v>790</v>
      </c>
      <c r="B156" s="29"/>
      <c r="C156" s="30"/>
    </row>
    <row r="157" spans="1:3" ht="29">
      <c r="A157" s="11" t="s">
        <v>837</v>
      </c>
      <c r="B157" s="11" t="s">
        <v>1434</v>
      </c>
      <c r="C157" s="258" t="s">
        <v>1435</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1436</v>
      </c>
    </row>
    <row r="4" spans="1:3" s="117" customFormat="1"/>
    <row r="5" spans="1:3" s="117" customFormat="1">
      <c r="A5" s="29" t="s">
        <v>840</v>
      </c>
      <c r="B5" s="29"/>
      <c r="C5" s="53"/>
    </row>
    <row r="6" spans="1:3" s="117" customFormat="1">
      <c r="A6" s="117" t="s">
        <v>1436</v>
      </c>
    </row>
    <row r="7" spans="1:3" s="117" customFormat="1"/>
    <row r="8" spans="1:3" s="117" customFormat="1" ht="29">
      <c r="A8" s="29" t="s">
        <v>841</v>
      </c>
      <c r="B8" s="29"/>
      <c r="C8" s="53"/>
    </row>
    <row r="9" spans="1:3" s="117" customFormat="1">
      <c r="A9" s="117" t="s">
        <v>1436</v>
      </c>
      <c r="B9" s="117" t="s">
        <v>1438</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1436</v>
      </c>
      <c r="B15" s="117" t="s">
        <v>1437</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1439</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1440</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1441</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1442</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1443</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1444</v>
      </c>
    </row>
    <row r="82" spans="1:3" ht="43.5">
      <c r="A82" s="117" t="s">
        <v>745</v>
      </c>
      <c r="B82" s="117" t="s">
        <v>1445</v>
      </c>
    </row>
    <row r="83" spans="1:3">
      <c r="A83" s="117" t="s">
        <v>746</v>
      </c>
      <c r="B83" s="117" t="s">
        <v>1446</v>
      </c>
    </row>
    <row r="84" spans="1:3">
      <c r="A84" s="117" t="s">
        <v>747</v>
      </c>
      <c r="B84" s="117" t="s">
        <v>1447</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1444</v>
      </c>
    </row>
    <row r="92" spans="1:3" ht="58">
      <c r="A92" s="117" t="s">
        <v>745</v>
      </c>
      <c r="B92" s="119" t="s">
        <v>973</v>
      </c>
    </row>
    <row r="93" spans="1:3">
      <c r="A93" s="117" t="s">
        <v>746</v>
      </c>
      <c r="B93" s="117" t="s">
        <v>1446</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1491</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1492</v>
      </c>
    </row>
    <row r="132" spans="1:3" ht="101.5">
      <c r="A132" s="117" t="s">
        <v>655</v>
      </c>
      <c r="B132" s="117" t="s">
        <v>1493</v>
      </c>
    </row>
    <row r="133" spans="1:3">
      <c r="A133" s="117" t="s">
        <v>656</v>
      </c>
      <c r="B133" s="117" t="s">
        <v>1494</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1495</v>
      </c>
      <c r="B145" s="14" t="s">
        <v>1678</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1496</v>
      </c>
      <c r="B153" s="14" t="s">
        <v>1679</v>
      </c>
    </row>
    <row r="154" spans="1:3">
      <c r="A154" s="117" t="s">
        <v>669</v>
      </c>
      <c r="B154" s="121" t="s">
        <v>434</v>
      </c>
      <c r="C154" s="117" t="s">
        <v>384</v>
      </c>
    </row>
    <row r="155" spans="1:3">
      <c r="A155" s="117" t="s">
        <v>675</v>
      </c>
      <c r="B155" s="117" t="s">
        <v>1680</v>
      </c>
    </row>
    <row r="156" spans="1:3" ht="29">
      <c r="A156" s="117" t="s">
        <v>676</v>
      </c>
      <c r="B156" s="117" t="s">
        <v>1681</v>
      </c>
    </row>
    <row r="157" spans="1:3">
      <c r="A157" s="117" t="s">
        <v>677</v>
      </c>
      <c r="B157" s="121" t="s">
        <v>684</v>
      </c>
      <c r="C157" s="117" t="s">
        <v>384</v>
      </c>
    </row>
    <row r="158" spans="1:3" ht="101.5">
      <c r="A158" s="117" t="s">
        <v>678</v>
      </c>
      <c r="B158" s="117" t="s">
        <v>1682</v>
      </c>
    </row>
    <row r="159" spans="1:3">
      <c r="A159" s="117" t="s">
        <v>679</v>
      </c>
      <c r="B159" s="121" t="s">
        <v>683</v>
      </c>
      <c r="C159" s="117" t="s">
        <v>384</v>
      </c>
    </row>
    <row r="161" spans="1:3">
      <c r="A161" s="14" t="s">
        <v>1497</v>
      </c>
      <c r="B161" s="14" t="s">
        <v>1683</v>
      </c>
    </row>
    <row r="162" spans="1:3">
      <c r="A162" s="117" t="s">
        <v>669</v>
      </c>
      <c r="B162" s="121" t="s">
        <v>434</v>
      </c>
      <c r="C162" s="117" t="s">
        <v>384</v>
      </c>
    </row>
    <row r="163" spans="1:3">
      <c r="A163" s="117" t="s">
        <v>675</v>
      </c>
      <c r="B163" s="117" t="s">
        <v>1498</v>
      </c>
    </row>
    <row r="164" spans="1:3" ht="43.5">
      <c r="A164" s="117" t="s">
        <v>676</v>
      </c>
      <c r="B164" s="117" t="s">
        <v>1499</v>
      </c>
    </row>
    <row r="165" spans="1:3">
      <c r="A165" s="117" t="s">
        <v>677</v>
      </c>
      <c r="B165" s="121" t="s">
        <v>684</v>
      </c>
      <c r="C165" s="117" t="s">
        <v>384</v>
      </c>
    </row>
    <row r="166" spans="1:3" ht="116">
      <c r="A166" s="117" t="s">
        <v>678</v>
      </c>
      <c r="B166" s="117" t="s">
        <v>1717</v>
      </c>
    </row>
    <row r="167" spans="1:3">
      <c r="A167" s="117" t="s">
        <v>679</v>
      </c>
      <c r="B167" s="121" t="s">
        <v>1500</v>
      </c>
      <c r="C167" s="117" t="s">
        <v>384</v>
      </c>
    </row>
    <row r="169" spans="1:3">
      <c r="A169" s="14" t="s">
        <v>1501</v>
      </c>
      <c r="B169" s="14" t="s">
        <v>1684</v>
      </c>
    </row>
    <row r="170" spans="1:3">
      <c r="A170" s="117" t="s">
        <v>669</v>
      </c>
      <c r="B170" s="121" t="s">
        <v>434</v>
      </c>
      <c r="C170" s="117" t="s">
        <v>384</v>
      </c>
    </row>
    <row r="171" spans="1:3">
      <c r="A171" s="117" t="s">
        <v>675</v>
      </c>
      <c r="B171" s="117" t="s">
        <v>1498</v>
      </c>
    </row>
    <row r="172" spans="1:3" ht="29">
      <c r="A172" s="117" t="s">
        <v>676</v>
      </c>
      <c r="B172" s="117" t="s">
        <v>1502</v>
      </c>
    </row>
    <row r="173" spans="1:3">
      <c r="A173" s="117" t="s">
        <v>677</v>
      </c>
      <c r="B173" s="121" t="s">
        <v>1503</v>
      </c>
      <c r="C173" s="117" t="s">
        <v>384</v>
      </c>
    </row>
    <row r="174" spans="1:3" ht="135.65" customHeight="1">
      <c r="A174" s="117" t="s">
        <v>678</v>
      </c>
      <c r="B174" s="117" t="s">
        <v>1718</v>
      </c>
    </row>
    <row r="175" spans="1:3">
      <c r="A175" s="117" t="s">
        <v>679</v>
      </c>
      <c r="B175" s="121" t="s">
        <v>1500</v>
      </c>
      <c r="C175" s="117" t="s">
        <v>384</v>
      </c>
    </row>
    <row r="177" spans="1:3">
      <c r="A177" s="14" t="s">
        <v>1504</v>
      </c>
      <c r="B177" s="14" t="s">
        <v>1685</v>
      </c>
    </row>
    <row r="178" spans="1:3">
      <c r="A178" s="117" t="s">
        <v>669</v>
      </c>
      <c r="B178" s="121" t="s">
        <v>672</v>
      </c>
      <c r="C178" s="117" t="s">
        <v>384</v>
      </c>
    </row>
    <row r="179" spans="1:3">
      <c r="A179" s="117" t="s">
        <v>675</v>
      </c>
    </row>
    <row r="180" spans="1:3" ht="43.5">
      <c r="A180" s="117" t="s">
        <v>676</v>
      </c>
      <c r="B180" s="117" t="s">
        <v>1505</v>
      </c>
    </row>
    <row r="181" spans="1:3">
      <c r="A181" s="117" t="s">
        <v>677</v>
      </c>
      <c r="B181" s="121" t="s">
        <v>1503</v>
      </c>
      <c r="C181" s="117" t="s">
        <v>384</v>
      </c>
    </row>
    <row r="182" spans="1:3" ht="145">
      <c r="A182" s="117" t="s">
        <v>678</v>
      </c>
      <c r="B182" s="117" t="s">
        <v>1719</v>
      </c>
    </row>
    <row r="183" spans="1:3">
      <c r="A183" s="117" t="s">
        <v>679</v>
      </c>
      <c r="B183" s="121" t="s">
        <v>1500</v>
      </c>
      <c r="C183" s="117" t="s">
        <v>384</v>
      </c>
    </row>
    <row r="185" spans="1:3" ht="29">
      <c r="A185" s="14" t="s">
        <v>1686</v>
      </c>
      <c r="B185" s="14" t="s">
        <v>1687</v>
      </c>
    </row>
    <row r="186" spans="1:3">
      <c r="A186" s="117" t="s">
        <v>669</v>
      </c>
      <c r="B186" s="121" t="s">
        <v>434</v>
      </c>
      <c r="C186" s="117" t="s">
        <v>384</v>
      </c>
    </row>
    <row r="187" spans="1:3">
      <c r="A187" s="117" t="s">
        <v>675</v>
      </c>
      <c r="B187" s="117" t="s">
        <v>1680</v>
      </c>
    </row>
    <row r="188" spans="1:3" ht="43.5">
      <c r="A188" s="117" t="s">
        <v>676</v>
      </c>
      <c r="B188" s="117" t="s">
        <v>1688</v>
      </c>
    </row>
    <row r="189" spans="1:3">
      <c r="A189" s="117" t="s">
        <v>677</v>
      </c>
      <c r="B189" s="121" t="s">
        <v>684</v>
      </c>
      <c r="C189" s="117" t="s">
        <v>384</v>
      </c>
    </row>
    <row r="190" spans="1:3" ht="130.5">
      <c r="A190" s="117" t="s">
        <v>678</v>
      </c>
      <c r="B190" s="117" t="s">
        <v>1689</v>
      </c>
    </row>
    <row r="191" spans="1:3">
      <c r="A191" s="117" t="s">
        <v>679</v>
      </c>
      <c r="B191" s="121" t="s">
        <v>1500</v>
      </c>
      <c r="C191" s="117" t="s">
        <v>384</v>
      </c>
    </row>
    <row r="194" spans="1:3">
      <c r="A194" s="14" t="s">
        <v>1690</v>
      </c>
      <c r="B194" s="14" t="s">
        <v>1691</v>
      </c>
    </row>
    <row r="195" spans="1:3">
      <c r="A195" s="117" t="s">
        <v>669</v>
      </c>
      <c r="B195" s="121" t="s">
        <v>434</v>
      </c>
      <c r="C195" s="117" t="s">
        <v>384</v>
      </c>
    </row>
    <row r="196" spans="1:3">
      <c r="A196" s="117" t="s">
        <v>675</v>
      </c>
      <c r="B196" s="117" t="s">
        <v>1680</v>
      </c>
    </row>
    <row r="197" spans="1:3" ht="29">
      <c r="A197" s="117" t="s">
        <v>676</v>
      </c>
      <c r="B197" s="117" t="s">
        <v>1692</v>
      </c>
    </row>
    <row r="198" spans="1:3">
      <c r="A198" s="117" t="s">
        <v>677</v>
      </c>
      <c r="B198" s="121" t="s">
        <v>1503</v>
      </c>
      <c r="C198" s="117" t="s">
        <v>384</v>
      </c>
    </row>
    <row r="199" spans="1:3" ht="43.5">
      <c r="A199" s="117" t="s">
        <v>678</v>
      </c>
      <c r="B199" s="117" t="s">
        <v>1693</v>
      </c>
    </row>
    <row r="200" spans="1:3">
      <c r="A200" s="117" t="s">
        <v>679</v>
      </c>
      <c r="B200" s="121" t="s">
        <v>1500</v>
      </c>
      <c r="C200" s="117" t="s">
        <v>384</v>
      </c>
    </row>
    <row r="202" spans="1:3">
      <c r="A202" s="14" t="s">
        <v>1694</v>
      </c>
      <c r="B202" s="14" t="s">
        <v>1695</v>
      </c>
    </row>
    <row r="203" spans="1:3">
      <c r="A203" s="117" t="s">
        <v>669</v>
      </c>
      <c r="B203" s="121" t="s">
        <v>434</v>
      </c>
      <c r="C203" s="117" t="s">
        <v>384</v>
      </c>
    </row>
    <row r="204" spans="1:3">
      <c r="A204" s="117" t="s">
        <v>675</v>
      </c>
      <c r="B204" s="117" t="s">
        <v>1680</v>
      </c>
    </row>
    <row r="205" spans="1:3" ht="29">
      <c r="A205" s="117" t="s">
        <v>676</v>
      </c>
      <c r="B205" s="117" t="s">
        <v>1696</v>
      </c>
    </row>
    <row r="206" spans="1:3">
      <c r="A206" s="117" t="s">
        <v>677</v>
      </c>
      <c r="B206" s="121" t="s">
        <v>684</v>
      </c>
      <c r="C206" s="117" t="s">
        <v>384</v>
      </c>
    </row>
    <row r="207" spans="1:3" ht="58">
      <c r="A207" s="117" t="s">
        <v>678</v>
      </c>
      <c r="B207" s="117" t="s">
        <v>1697</v>
      </c>
    </row>
    <row r="208" spans="1:3">
      <c r="A208" s="117" t="s">
        <v>679</v>
      </c>
      <c r="B208" s="121" t="s">
        <v>1500</v>
      </c>
      <c r="C208" s="117" t="s">
        <v>384</v>
      </c>
    </row>
    <row r="210" spans="1:3">
      <c r="A210" s="14" t="s">
        <v>1698</v>
      </c>
      <c r="B210" s="14" t="s">
        <v>1699</v>
      </c>
    </row>
    <row r="211" spans="1:3">
      <c r="A211" s="117" t="s">
        <v>669</v>
      </c>
      <c r="B211" s="121" t="s">
        <v>434</v>
      </c>
      <c r="C211" s="117" t="s">
        <v>384</v>
      </c>
    </row>
    <row r="212" spans="1:3">
      <c r="A212" s="117" t="s">
        <v>675</v>
      </c>
      <c r="B212" s="117" t="s">
        <v>1680</v>
      </c>
    </row>
    <row r="213" spans="1:3" ht="29">
      <c r="A213" s="117" t="s">
        <v>676</v>
      </c>
      <c r="B213" s="117" t="s">
        <v>1681</v>
      </c>
    </row>
    <row r="214" spans="1:3">
      <c r="A214" s="117" t="s">
        <v>677</v>
      </c>
      <c r="B214" s="121" t="s">
        <v>684</v>
      </c>
      <c r="C214" s="117" t="s">
        <v>384</v>
      </c>
    </row>
    <row r="215" spans="1:3" ht="101.5">
      <c r="A215" s="117" t="s">
        <v>678</v>
      </c>
      <c r="B215" s="117" t="s">
        <v>1682</v>
      </c>
    </row>
    <row r="216" spans="1:3">
      <c r="A216" s="117" t="s">
        <v>679</v>
      </c>
      <c r="B216" s="121" t="s">
        <v>683</v>
      </c>
      <c r="C216" s="117" t="s">
        <v>384</v>
      </c>
    </row>
    <row r="218" spans="1:3">
      <c r="A218" s="14" t="s">
        <v>1700</v>
      </c>
      <c r="B218" s="14" t="s">
        <v>1701</v>
      </c>
    </row>
    <row r="219" spans="1:3">
      <c r="A219" s="117" t="s">
        <v>669</v>
      </c>
      <c r="B219" s="121" t="s">
        <v>434</v>
      </c>
      <c r="C219" s="117" t="s">
        <v>384</v>
      </c>
    </row>
    <row r="220" spans="1:3">
      <c r="A220" s="117" t="s">
        <v>675</v>
      </c>
      <c r="B220" s="117" t="s">
        <v>1680</v>
      </c>
    </row>
    <row r="221" spans="1:3" ht="29">
      <c r="A221" s="117" t="s">
        <v>676</v>
      </c>
      <c r="B221" s="117" t="s">
        <v>1702</v>
      </c>
    </row>
    <row r="222" spans="1:3">
      <c r="A222" s="117" t="s">
        <v>677</v>
      </c>
      <c r="B222" s="121" t="s">
        <v>684</v>
      </c>
      <c r="C222" s="117" t="s">
        <v>384</v>
      </c>
    </row>
    <row r="223" spans="1:3" ht="130.5">
      <c r="A223" s="117" t="s">
        <v>678</v>
      </c>
      <c r="B223" s="117" t="s">
        <v>1703</v>
      </c>
    </row>
    <row r="224" spans="1:3">
      <c r="A224" s="117" t="s">
        <v>679</v>
      </c>
      <c r="B224" s="121" t="s">
        <v>1500</v>
      </c>
      <c r="C224" s="117" t="s">
        <v>384</v>
      </c>
    </row>
    <row r="226" spans="1:3">
      <c r="A226" s="14" t="s">
        <v>1704</v>
      </c>
      <c r="B226" s="14" t="s">
        <v>1705</v>
      </c>
    </row>
    <row r="227" spans="1:3">
      <c r="A227" s="117" t="s">
        <v>669</v>
      </c>
      <c r="B227" s="121" t="s">
        <v>434</v>
      </c>
      <c r="C227" s="117" t="s">
        <v>384</v>
      </c>
    </row>
    <row r="228" spans="1:3">
      <c r="A228" s="117" t="s">
        <v>675</v>
      </c>
      <c r="B228" s="117" t="s">
        <v>1680</v>
      </c>
    </row>
    <row r="229" spans="1:3">
      <c r="A229" s="117" t="s">
        <v>676</v>
      </c>
      <c r="B229" s="117" t="s">
        <v>1706</v>
      </c>
    </row>
    <row r="230" spans="1:3">
      <c r="A230" s="117" t="s">
        <v>677</v>
      </c>
      <c r="B230" s="121" t="s">
        <v>684</v>
      </c>
      <c r="C230" s="117" t="s">
        <v>384</v>
      </c>
    </row>
    <row r="231" spans="1:3" ht="43.5">
      <c r="A231" s="117" t="s">
        <v>678</v>
      </c>
      <c r="B231" s="117" t="s">
        <v>1707</v>
      </c>
    </row>
    <row r="232" spans="1:3">
      <c r="A232" s="117" t="s">
        <v>679</v>
      </c>
      <c r="B232" s="121" t="s">
        <v>683</v>
      </c>
      <c r="C232" s="117" t="s">
        <v>384</v>
      </c>
    </row>
    <row r="234" spans="1:3">
      <c r="A234" s="14" t="s">
        <v>1708</v>
      </c>
      <c r="B234" s="14" t="s">
        <v>1709</v>
      </c>
    </row>
    <row r="235" spans="1:3">
      <c r="A235" s="117" t="s">
        <v>669</v>
      </c>
      <c r="B235" s="121" t="s">
        <v>434</v>
      </c>
      <c r="C235" s="117" t="s">
        <v>384</v>
      </c>
    </row>
    <row r="236" spans="1:3">
      <c r="A236" s="117" t="s">
        <v>675</v>
      </c>
      <c r="B236" s="117" t="s">
        <v>1680</v>
      </c>
    </row>
    <row r="237" spans="1:3">
      <c r="A237" s="117" t="s">
        <v>676</v>
      </c>
      <c r="B237" s="117" t="s">
        <v>1710</v>
      </c>
    </row>
    <row r="238" spans="1:3">
      <c r="A238" s="117" t="s">
        <v>677</v>
      </c>
      <c r="B238" s="121" t="s">
        <v>684</v>
      </c>
      <c r="C238" s="117" t="s">
        <v>384</v>
      </c>
    </row>
    <row r="239" spans="1:3" ht="101.5">
      <c r="A239" s="117" t="s">
        <v>678</v>
      </c>
      <c r="B239" s="117" t="s">
        <v>1711</v>
      </c>
    </row>
    <row r="240" spans="1:3">
      <c r="A240" s="117" t="s">
        <v>679</v>
      </c>
      <c r="B240" s="121" t="s">
        <v>1500</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1238</v>
      </c>
      <c r="B1" s="100"/>
    </row>
    <row r="2" spans="1:3">
      <c r="A2" s="28" t="s">
        <v>1239</v>
      </c>
      <c r="B2" s="29"/>
      <c r="C2" s="30"/>
    </row>
    <row r="3" spans="1:3" s="125" customFormat="1">
      <c r="A3" s="124" t="s">
        <v>1241</v>
      </c>
      <c r="B3" s="117"/>
    </row>
    <row r="4" spans="1:3" s="125" customFormat="1">
      <c r="B4" s="117"/>
    </row>
    <row r="5" spans="1:3">
      <c r="A5" s="28" t="s">
        <v>1240</v>
      </c>
      <c r="B5" s="29"/>
      <c r="C5" s="30"/>
    </row>
    <row r="6" spans="1:3" s="125" customFormat="1">
      <c r="A6" s="124" t="s">
        <v>1242</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1243</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1598</v>
      </c>
      <c r="C2" t="s">
        <v>883</v>
      </c>
      <c r="D2" t="s">
        <v>1611</v>
      </c>
      <c r="E2" t="s">
        <v>1158</v>
      </c>
      <c r="F2" t="s">
        <v>898</v>
      </c>
      <c r="G2" t="s">
        <v>411</v>
      </c>
    </row>
    <row r="3" spans="1:7">
      <c r="A3" t="s">
        <v>898</v>
      </c>
      <c r="B3" t="s">
        <v>1598</v>
      </c>
      <c r="C3" t="s">
        <v>884</v>
      </c>
      <c r="D3" t="s">
        <v>1610</v>
      </c>
      <c r="E3" t="s">
        <v>913</v>
      </c>
      <c r="F3" t="s">
        <v>898</v>
      </c>
      <c r="G3" t="s">
        <v>411</v>
      </c>
    </row>
    <row r="4" spans="1:7">
      <c r="A4" t="s">
        <v>899</v>
      </c>
      <c r="B4" t="s">
        <v>1599</v>
      </c>
      <c r="C4" t="s">
        <v>885</v>
      </c>
      <c r="D4" t="s">
        <v>1614</v>
      </c>
      <c r="E4" t="s">
        <v>912</v>
      </c>
      <c r="F4" t="s">
        <v>899</v>
      </c>
      <c r="G4" t="s">
        <v>411</v>
      </c>
    </row>
    <row r="5" spans="1:7">
      <c r="A5" t="s">
        <v>899</v>
      </c>
      <c r="B5" t="s">
        <v>1599</v>
      </c>
      <c r="C5" t="s">
        <v>886</v>
      </c>
      <c r="D5" t="s">
        <v>1614</v>
      </c>
      <c r="E5" t="s">
        <v>912</v>
      </c>
      <c r="F5" t="s">
        <v>899</v>
      </c>
      <c r="G5" t="s">
        <v>411</v>
      </c>
    </row>
    <row r="6" spans="1:7">
      <c r="A6" t="s">
        <v>899</v>
      </c>
      <c r="B6" t="s">
        <v>1599</v>
      </c>
      <c r="C6" t="s">
        <v>887</v>
      </c>
      <c r="D6" t="s">
        <v>1616</v>
      </c>
      <c r="E6" t="s">
        <v>1158</v>
      </c>
      <c r="F6" t="s">
        <v>899</v>
      </c>
      <c r="G6" t="s">
        <v>411</v>
      </c>
    </row>
    <row r="7" spans="1:7">
      <c r="A7" t="s">
        <v>900</v>
      </c>
      <c r="B7" t="s">
        <v>1601</v>
      </c>
      <c r="C7" t="s">
        <v>892</v>
      </c>
      <c r="D7" t="s">
        <v>1623</v>
      </c>
      <c r="E7" t="s">
        <v>1423</v>
      </c>
      <c r="F7" t="s">
        <v>900</v>
      </c>
      <c r="G7" t="s">
        <v>411</v>
      </c>
    </row>
    <row r="8" spans="1:7">
      <c r="A8" t="s">
        <v>900</v>
      </c>
      <c r="B8" t="s">
        <v>1601</v>
      </c>
      <c r="C8" t="s">
        <v>893</v>
      </c>
      <c r="D8" t="s">
        <v>1623</v>
      </c>
      <c r="E8" t="s">
        <v>1423</v>
      </c>
      <c r="F8" t="s">
        <v>900</v>
      </c>
      <c r="G8" t="s">
        <v>411</v>
      </c>
    </row>
    <row r="9" spans="1:7">
      <c r="A9" t="s">
        <v>900</v>
      </c>
      <c r="B9" t="s">
        <v>1601</v>
      </c>
      <c r="C9" t="s">
        <v>894</v>
      </c>
      <c r="D9" t="s">
        <v>1623</v>
      </c>
      <c r="E9" t="s">
        <v>1423</v>
      </c>
      <c r="F9" t="s">
        <v>900</v>
      </c>
      <c r="G9" t="s">
        <v>411</v>
      </c>
    </row>
    <row r="10" spans="1:7">
      <c r="A10" t="s">
        <v>901</v>
      </c>
      <c r="B10" t="s">
        <v>1603</v>
      </c>
      <c r="C10" t="s">
        <v>891</v>
      </c>
      <c r="D10" t="s">
        <v>1628</v>
      </c>
      <c r="E10" t="s">
        <v>1423</v>
      </c>
      <c r="F10" t="s">
        <v>901</v>
      </c>
      <c r="G10" t="s">
        <v>411</v>
      </c>
    </row>
    <row r="11" spans="1:7">
      <c r="A11" t="s">
        <v>903</v>
      </c>
      <c r="B11" t="s">
        <v>1389</v>
      </c>
      <c r="C11" t="s">
        <v>751</v>
      </c>
      <c r="D11" t="s">
        <v>1629</v>
      </c>
      <c r="E11" t="s">
        <v>1422</v>
      </c>
      <c r="F11" t="s">
        <v>903</v>
      </c>
      <c r="G11" t="s">
        <v>411</v>
      </c>
    </row>
    <row r="12" spans="1:7">
      <c r="A12" t="s">
        <v>904</v>
      </c>
      <c r="B12" t="s">
        <v>1390</v>
      </c>
      <c r="C12" t="s">
        <v>895</v>
      </c>
      <c r="D12" t="s">
        <v>1630</v>
      </c>
      <c r="E12" t="s">
        <v>1424</v>
      </c>
      <c r="F12" t="s">
        <v>904</v>
      </c>
      <c r="G12" t="s">
        <v>411</v>
      </c>
    </row>
    <row r="13" spans="1:7">
      <c r="A13" t="s">
        <v>904</v>
      </c>
      <c r="B13" t="s">
        <v>1390</v>
      </c>
      <c r="C13" t="s">
        <v>896</v>
      </c>
      <c r="D13" t="s">
        <v>1630</v>
      </c>
      <c r="E13" t="s">
        <v>1424</v>
      </c>
      <c r="F13" t="s">
        <v>904</v>
      </c>
      <c r="G13" t="s">
        <v>411</v>
      </c>
    </row>
    <row r="14" spans="1:7">
      <c r="A14" t="s">
        <v>904</v>
      </c>
      <c r="B14" t="s">
        <v>1390</v>
      </c>
      <c r="C14" t="s">
        <v>888</v>
      </c>
      <c r="D14" t="s">
        <v>1630</v>
      </c>
      <c r="E14" t="s">
        <v>1424</v>
      </c>
      <c r="F14" t="s">
        <v>904</v>
      </c>
      <c r="G14" t="s">
        <v>411</v>
      </c>
    </row>
    <row r="15" spans="1:7">
      <c r="A15" t="s">
        <v>904</v>
      </c>
      <c r="B15" t="s">
        <v>1390</v>
      </c>
      <c r="C15" t="s">
        <v>889</v>
      </c>
      <c r="D15" t="s">
        <v>1630</v>
      </c>
      <c r="E15" t="s">
        <v>1424</v>
      </c>
      <c r="F15" t="s">
        <v>904</v>
      </c>
      <c r="G15" t="s">
        <v>411</v>
      </c>
    </row>
    <row r="16" spans="1:7">
      <c r="A16" t="s">
        <v>904</v>
      </c>
      <c r="B16" t="s">
        <v>1390</v>
      </c>
      <c r="C16" t="s">
        <v>890</v>
      </c>
      <c r="D16" t="s">
        <v>1630</v>
      </c>
      <c r="E16" t="s">
        <v>1424</v>
      </c>
      <c r="F16" t="s">
        <v>904</v>
      </c>
      <c r="G16" t="s">
        <v>411</v>
      </c>
    </row>
    <row r="17" spans="1:7">
      <c r="A17" t="s">
        <v>905</v>
      </c>
      <c r="B17" t="s">
        <v>1391</v>
      </c>
      <c r="C17" t="s">
        <v>753</v>
      </c>
      <c r="D17" t="s">
        <v>1631</v>
      </c>
      <c r="E17" t="s">
        <v>1421</v>
      </c>
      <c r="F17" t="s">
        <v>905</v>
      </c>
      <c r="G17" t="s">
        <v>411</v>
      </c>
    </row>
    <row r="18" spans="1:7">
      <c r="A18" t="s">
        <v>906</v>
      </c>
      <c r="B18" t="s">
        <v>1392</v>
      </c>
      <c r="C18" t="s">
        <v>836</v>
      </c>
      <c r="D18" t="s">
        <v>1632</v>
      </c>
      <c r="E18" t="s">
        <v>1256</v>
      </c>
      <c r="F18" t="s">
        <v>906</v>
      </c>
      <c r="G18" t="s">
        <v>411</v>
      </c>
    </row>
    <row r="19" spans="1:7">
      <c r="A19" t="s">
        <v>898</v>
      </c>
      <c r="B19" t="s">
        <v>1598</v>
      </c>
      <c r="C19" t="s">
        <v>884</v>
      </c>
      <c r="D19" t="s">
        <v>1611</v>
      </c>
      <c r="E19" t="s">
        <v>1158</v>
      </c>
      <c r="F19" t="s">
        <v>898</v>
      </c>
    </row>
    <row r="20" spans="1:7">
      <c r="A20" t="s">
        <v>899</v>
      </c>
      <c r="B20" t="s">
        <v>1599</v>
      </c>
      <c r="C20" t="s">
        <v>885</v>
      </c>
      <c r="D20" t="s">
        <v>1615</v>
      </c>
      <c r="E20" t="s">
        <v>913</v>
      </c>
      <c r="F20" t="s">
        <v>899</v>
      </c>
    </row>
    <row r="21" spans="1:7">
      <c r="A21" t="s">
        <v>899</v>
      </c>
      <c r="B21" t="s">
        <v>1599</v>
      </c>
      <c r="C21" t="s">
        <v>885</v>
      </c>
      <c r="D21" t="s">
        <v>1616</v>
      </c>
      <c r="E21" t="s">
        <v>1158</v>
      </c>
      <c r="F21" t="s">
        <v>899</v>
      </c>
    </row>
    <row r="22" spans="1:7">
      <c r="A22" t="s">
        <v>899</v>
      </c>
      <c r="B22" t="s">
        <v>1599</v>
      </c>
      <c r="C22" t="s">
        <v>885</v>
      </c>
      <c r="D22" t="s">
        <v>1618</v>
      </c>
      <c r="E22" t="s">
        <v>1423</v>
      </c>
      <c r="F22" t="s">
        <v>899</v>
      </c>
    </row>
    <row r="23" spans="1:7">
      <c r="A23" t="s">
        <v>899</v>
      </c>
      <c r="B23" t="s">
        <v>1599</v>
      </c>
      <c r="C23" t="s">
        <v>885</v>
      </c>
      <c r="D23" t="s">
        <v>1617</v>
      </c>
      <c r="E23" t="s">
        <v>1311</v>
      </c>
      <c r="F23" t="s">
        <v>899</v>
      </c>
    </row>
    <row r="24" spans="1:7">
      <c r="A24" t="s">
        <v>899</v>
      </c>
      <c r="B24" t="s">
        <v>1599</v>
      </c>
      <c r="C24" t="s">
        <v>887</v>
      </c>
      <c r="D24" t="s">
        <v>1617</v>
      </c>
      <c r="E24" t="s">
        <v>1311</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1329</v>
      </c>
      <c r="L1" s="316">
        <f>VALUE(RIGHT(Planning!B10,1))</f>
        <v>5</v>
      </c>
      <c r="M1" s="125" t="s">
        <v>1330</v>
      </c>
    </row>
    <row r="2" spans="1:15" s="125" customFormat="1">
      <c r="A2" s="320" t="s">
        <v>898</v>
      </c>
      <c r="B2" s="320" t="s">
        <v>1598</v>
      </c>
      <c r="C2" s="320" t="s">
        <v>883</v>
      </c>
      <c r="D2" s="320" t="s">
        <v>1611</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1598</v>
      </c>
      <c r="C3" s="320" t="s">
        <v>884</v>
      </c>
      <c r="D3" s="320" t="s">
        <v>1610</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1599</v>
      </c>
      <c r="C4" s="320" t="s">
        <v>885</v>
      </c>
      <c r="D4" s="320" t="s">
        <v>1614</v>
      </c>
      <c r="E4" s="320" t="s">
        <v>912</v>
      </c>
      <c r="F4" s="320" t="s">
        <v>899</v>
      </c>
      <c r="G4" s="320" t="s">
        <v>411</v>
      </c>
      <c r="H4" s="125" t="str">
        <f t="shared" si="2"/>
        <v>[4] Engineering</v>
      </c>
      <c r="I4" s="318">
        <f t="shared" si="3"/>
        <v>6</v>
      </c>
      <c r="O4" s="317" t="str">
        <f t="shared" si="1"/>
        <v>[4] Engineering</v>
      </c>
    </row>
    <row r="5" spans="1:15" s="125" customFormat="1">
      <c r="A5" s="320" t="s">
        <v>899</v>
      </c>
      <c r="B5" s="320" t="s">
        <v>1599</v>
      </c>
      <c r="C5" s="320" t="s">
        <v>886</v>
      </c>
      <c r="D5" s="320" t="s">
        <v>1614</v>
      </c>
      <c r="E5" s="320" t="s">
        <v>912</v>
      </c>
      <c r="F5" s="320" t="s">
        <v>899</v>
      </c>
      <c r="G5" s="320" t="s">
        <v>411</v>
      </c>
      <c r="H5" s="125" t="str">
        <f t="shared" si="2"/>
        <v>[4] Engineering</v>
      </c>
      <c r="I5" s="318">
        <f t="shared" si="3"/>
        <v>14</v>
      </c>
      <c r="O5" s="317" t="str">
        <f t="shared" si="1"/>
        <v>[4] Engineering</v>
      </c>
    </row>
    <row r="6" spans="1:15" s="125" customFormat="1">
      <c r="A6" s="320" t="s">
        <v>899</v>
      </c>
      <c r="B6" s="320" t="s">
        <v>1599</v>
      </c>
      <c r="C6" s="320" t="s">
        <v>887</v>
      </c>
      <c r="D6" s="320" t="s">
        <v>1616</v>
      </c>
      <c r="E6" s="320" t="s">
        <v>1158</v>
      </c>
      <c r="F6" s="320" t="s">
        <v>899</v>
      </c>
      <c r="G6" s="320" t="s">
        <v>411</v>
      </c>
      <c r="H6" s="125" t="str">
        <f t="shared" si="2"/>
        <v>[4] Engineering</v>
      </c>
      <c r="I6" s="318">
        <f t="shared" si="3"/>
        <v>7</v>
      </c>
      <c r="O6" s="317" t="str">
        <f t="shared" si="1"/>
        <v>[4] Engineering</v>
      </c>
    </row>
    <row r="7" spans="1:15" s="125" customFormat="1">
      <c r="A7" s="320" t="s">
        <v>900</v>
      </c>
      <c r="B7" s="320" t="s">
        <v>1601</v>
      </c>
      <c r="C7" s="320" t="s">
        <v>892</v>
      </c>
      <c r="D7" s="320" t="s">
        <v>1623</v>
      </c>
      <c r="E7" s="320" t="s">
        <v>1423</v>
      </c>
      <c r="F7" s="320" t="s">
        <v>900</v>
      </c>
      <c r="G7" s="320" t="s">
        <v>411</v>
      </c>
      <c r="H7" s="125" t="str">
        <f t="shared" si="2"/>
        <v>[3] Project Management</v>
      </c>
      <c r="I7" s="318">
        <f t="shared" si="3"/>
        <v>6</v>
      </c>
      <c r="O7" s="317" t="str">
        <f t="shared" si="1"/>
        <v>[3] Project Management</v>
      </c>
    </row>
    <row r="8" spans="1:15" s="125" customFormat="1">
      <c r="A8" s="320" t="s">
        <v>900</v>
      </c>
      <c r="B8" s="320" t="s">
        <v>1601</v>
      </c>
      <c r="C8" s="320" t="s">
        <v>893</v>
      </c>
      <c r="D8" s="320" t="s">
        <v>1623</v>
      </c>
      <c r="E8" s="320" t="s">
        <v>1423</v>
      </c>
      <c r="F8" s="320" t="s">
        <v>900</v>
      </c>
      <c r="G8" s="320" t="s">
        <v>411</v>
      </c>
      <c r="H8" s="125" t="str">
        <f t="shared" si="2"/>
        <v>[3] Project Management</v>
      </c>
      <c r="I8" s="318">
        <f t="shared" si="3"/>
        <v>10</v>
      </c>
      <c r="O8" s="317" t="str">
        <f t="shared" si="1"/>
        <v>[3] Project Management</v>
      </c>
    </row>
    <row r="9" spans="1:15" s="125" customFormat="1">
      <c r="A9" s="320" t="s">
        <v>900</v>
      </c>
      <c r="B9" s="320" t="s">
        <v>1601</v>
      </c>
      <c r="C9" s="320" t="s">
        <v>894</v>
      </c>
      <c r="D9" s="320" t="s">
        <v>1623</v>
      </c>
      <c r="E9" s="320" t="s">
        <v>1423</v>
      </c>
      <c r="F9" s="320" t="s">
        <v>900</v>
      </c>
      <c r="G9" s="320" t="s">
        <v>411</v>
      </c>
      <c r="H9" s="125" t="str">
        <f t="shared" si="2"/>
        <v>[3] Project Management</v>
      </c>
      <c r="I9" s="318">
        <f t="shared" si="3"/>
        <v>15</v>
      </c>
      <c r="O9" s="317" t="str">
        <f t="shared" si="1"/>
        <v>[3] Project Management</v>
      </c>
    </row>
    <row r="10" spans="1:15" s="125" customFormat="1">
      <c r="A10" s="320" t="s">
        <v>901</v>
      </c>
      <c r="B10" s="320" t="s">
        <v>1603</v>
      </c>
      <c r="C10" s="320" t="s">
        <v>891</v>
      </c>
      <c r="D10" s="320" t="s">
        <v>1628</v>
      </c>
      <c r="E10" s="320" t="s">
        <v>1423</v>
      </c>
      <c r="F10" s="320" t="s">
        <v>901</v>
      </c>
      <c r="G10" s="320" t="s">
        <v>411</v>
      </c>
      <c r="H10" s="125" t="str">
        <f t="shared" si="2"/>
        <v>[3] Project Management</v>
      </c>
      <c r="I10" s="318">
        <f t="shared" si="3"/>
        <v>8</v>
      </c>
      <c r="O10" s="317" t="str">
        <f t="shared" si="1"/>
        <v>[3] Project Management</v>
      </c>
    </row>
    <row r="11" spans="1:15" s="125" customFormat="1">
      <c r="A11" s="320" t="s">
        <v>903</v>
      </c>
      <c r="B11" s="320" t="s">
        <v>1389</v>
      </c>
      <c r="C11" s="320" t="s">
        <v>751</v>
      </c>
      <c r="D11" s="320" t="s">
        <v>1629</v>
      </c>
      <c r="E11" s="320" t="s">
        <v>1422</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1390</v>
      </c>
      <c r="C12" s="320" t="s">
        <v>895</v>
      </c>
      <c r="D12" s="320" t="s">
        <v>1630</v>
      </c>
      <c r="E12" s="320" t="s">
        <v>1424</v>
      </c>
      <c r="F12" s="320" t="s">
        <v>904</v>
      </c>
      <c r="G12" s="320" t="s">
        <v>411</v>
      </c>
      <c r="H12" s="125" t="str">
        <f t="shared" si="2"/>
        <v>[6] Process Management</v>
      </c>
      <c r="I12" s="318">
        <f t="shared" si="3"/>
        <v>11</v>
      </c>
      <c r="O12" s="317" t="str">
        <f t="shared" si="1"/>
        <v>[6] Process Management</v>
      </c>
    </row>
    <row r="13" spans="1:15">
      <c r="A13" s="320" t="s">
        <v>904</v>
      </c>
      <c r="B13" s="320" t="s">
        <v>1390</v>
      </c>
      <c r="C13" s="320" t="s">
        <v>896</v>
      </c>
      <c r="D13" s="320" t="s">
        <v>1630</v>
      </c>
      <c r="E13" s="320" t="s">
        <v>1424</v>
      </c>
      <c r="F13" s="320" t="s">
        <v>904</v>
      </c>
      <c r="G13" s="320" t="s">
        <v>411</v>
      </c>
      <c r="H13" s="125" t="str">
        <f t="shared" si="2"/>
        <v>[6] Process Management</v>
      </c>
      <c r="I13" s="318">
        <f t="shared" si="3"/>
        <v>8</v>
      </c>
      <c r="O13" s="317" t="str">
        <f t="shared" si="1"/>
        <v>[6] Process Management</v>
      </c>
    </row>
    <row r="14" spans="1:15">
      <c r="A14" s="320" t="s">
        <v>904</v>
      </c>
      <c r="B14" s="320" t="s">
        <v>1390</v>
      </c>
      <c r="C14" s="320" t="s">
        <v>888</v>
      </c>
      <c r="D14" s="320" t="s">
        <v>1630</v>
      </c>
      <c r="E14" s="320" t="s">
        <v>1424</v>
      </c>
      <c r="F14" s="320" t="s">
        <v>904</v>
      </c>
      <c r="G14" s="320" t="s">
        <v>411</v>
      </c>
      <c r="H14" s="125" t="str">
        <f t="shared" si="2"/>
        <v>[6] Process Management</v>
      </c>
      <c r="I14" s="318">
        <f t="shared" si="3"/>
        <v>22</v>
      </c>
      <c r="O14" s="317" t="str">
        <f t="shared" si="1"/>
        <v>[6] Process Management</v>
      </c>
    </row>
    <row r="15" spans="1:15">
      <c r="A15" s="320" t="s">
        <v>904</v>
      </c>
      <c r="B15" s="320" t="s">
        <v>1390</v>
      </c>
      <c r="C15" s="320" t="s">
        <v>889</v>
      </c>
      <c r="D15" s="320" t="s">
        <v>1630</v>
      </c>
      <c r="E15" s="320" t="s">
        <v>1424</v>
      </c>
      <c r="F15" s="320" t="s">
        <v>904</v>
      </c>
      <c r="G15" s="320" t="s">
        <v>411</v>
      </c>
      <c r="H15" s="125" t="str">
        <f t="shared" si="2"/>
        <v>[6] Process Management</v>
      </c>
      <c r="I15" s="318">
        <f t="shared" si="3"/>
        <v>11</v>
      </c>
      <c r="O15" s="317" t="str">
        <f t="shared" si="1"/>
        <v>[6] Process Management</v>
      </c>
    </row>
    <row r="16" spans="1:15">
      <c r="A16" s="320" t="s">
        <v>904</v>
      </c>
      <c r="B16" s="320" t="s">
        <v>1390</v>
      </c>
      <c r="C16" s="320" t="s">
        <v>890</v>
      </c>
      <c r="D16" s="320" t="s">
        <v>1630</v>
      </c>
      <c r="E16" s="320" t="s">
        <v>1424</v>
      </c>
      <c r="F16" s="320" t="s">
        <v>904</v>
      </c>
      <c r="G16" s="320" t="s">
        <v>411</v>
      </c>
      <c r="H16" s="125" t="str">
        <f t="shared" si="2"/>
        <v>[6] Process Management</v>
      </c>
      <c r="I16" s="318">
        <f t="shared" si="3"/>
        <v>11</v>
      </c>
      <c r="O16" s="317" t="str">
        <f t="shared" si="1"/>
        <v>[6] Process Management</v>
      </c>
    </row>
    <row r="17" spans="1:15">
      <c r="A17" s="320" t="s">
        <v>905</v>
      </c>
      <c r="B17" s="320" t="s">
        <v>1391</v>
      </c>
      <c r="C17" s="320" t="s">
        <v>753</v>
      </c>
      <c r="D17" s="320" t="s">
        <v>1631</v>
      </c>
      <c r="E17" s="320" t="s">
        <v>1421</v>
      </c>
      <c r="F17" s="320" t="s">
        <v>905</v>
      </c>
      <c r="G17" s="320" t="s">
        <v>411</v>
      </c>
      <c r="H17" s="125" t="str">
        <f t="shared" si="2"/>
        <v>[7] Organisational Training</v>
      </c>
      <c r="I17" s="318">
        <f t="shared" si="3"/>
        <v>9</v>
      </c>
      <c r="O17" s="317" t="str">
        <f t="shared" si="1"/>
        <v>[7] Organisational Training</v>
      </c>
    </row>
    <row r="18" spans="1:15">
      <c r="A18" s="320" t="s">
        <v>906</v>
      </c>
      <c r="B18" s="320" t="s">
        <v>1392</v>
      </c>
      <c r="C18" s="320" t="s">
        <v>836</v>
      </c>
      <c r="D18" s="320" t="s">
        <v>1632</v>
      </c>
      <c r="E18" s="320" t="s">
        <v>1256</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1329</v>
      </c>
      <c r="E1" s="316">
        <f>VALUE(RIGHT(Planning!B10,1))</f>
        <v>5</v>
      </c>
      <c r="F1" s="125" t="s">
        <v>1330</v>
      </c>
    </row>
    <row r="3" spans="1:10" ht="29">
      <c r="A3" s="311" t="s">
        <v>917</v>
      </c>
      <c r="B3" t="s">
        <v>1328</v>
      </c>
      <c r="D3" s="418" t="s">
        <v>1338</v>
      </c>
      <c r="E3" s="418" t="s">
        <v>926</v>
      </c>
      <c r="F3" s="419" t="s">
        <v>911</v>
      </c>
      <c r="G3" s="418" t="s">
        <v>1331</v>
      </c>
      <c r="H3" s="418" t="s">
        <v>1332</v>
      </c>
      <c r="I3" s="418" t="s">
        <v>1333</v>
      </c>
      <c r="J3" s="418" t="s">
        <v>1334</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1212</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Mini team 2: ATM-1 / ATM-2 / ATM-3 / ATM-4</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c r="M15" s="136"/>
      <c r="N15" s="67"/>
      <c r="O15" s="67"/>
      <c r="P15" s="67"/>
    </row>
    <row r="16" spans="1:16">
      <c r="A16" s="443" t="str">
        <f>J4</f>
        <v>Day 3</v>
      </c>
      <c r="B16" s="443"/>
      <c r="C16" s="444">
        <f>I4</f>
        <v>44298</v>
      </c>
      <c r="D16" s="444"/>
      <c r="E16" s="444"/>
      <c r="F16" s="443" t="str">
        <f>A16</f>
        <v>Day 3</v>
      </c>
      <c r="G16" s="443"/>
      <c r="H16" s="65"/>
      <c r="I16" s="135"/>
      <c r="K16" s="139"/>
      <c r="L16" s="136"/>
      <c r="M16" s="136"/>
      <c r="N16" s="67"/>
      <c r="O16" s="67"/>
      <c r="P16" s="67"/>
    </row>
    <row r="17" spans="1:18" ht="29">
      <c r="A17" s="443" t="s">
        <v>931</v>
      </c>
      <c r="B17" s="443"/>
      <c r="C17" s="71" t="str">
        <f>C4</f>
        <v>Mini team 1:ATM-5 / ATM-6 / ATM-7</v>
      </c>
      <c r="D17" s="71" t="str">
        <f>D4</f>
        <v>Mini team 2: ATM-1 / ATM-2 / ATM-3 / ATM-4</v>
      </c>
      <c r="E17" s="71"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5" t="s">
        <v>990</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Mini team 2: ATM-1 / ATM-2 / ATM-3 / ATM-4</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Mini team 2: ATM-1 / ATM-2 / ATM-3 / ATM-4</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Mini team 2: ATM-1 / ATM-2 / ATM-3 / ATM-4</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Mini team 2: ATM-1 / ATM-2 / ATM-3 / ATM-4</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1213</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231" t="str">
        <f>'Schedule4-1P'!C4</f>
        <v>Mini team 1:ATM-5 / ATM-6 / ATM-7</v>
      </c>
      <c r="D4" s="231" t="str">
        <f>'Schedule4-1P'!D4</f>
        <v>Mini team 2: ATM-1 / ATM-2 / ATM-3 / ATM-4</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c r="M13" s="139"/>
      <c r="N13" s="67"/>
      <c r="O13" s="67"/>
      <c r="P13" s="67"/>
    </row>
    <row r="14" spans="1:16">
      <c r="I14" s="135"/>
      <c r="K14" s="43"/>
      <c r="L14" s="135"/>
      <c r="M14" s="139"/>
    </row>
    <row r="15" spans="1:16">
      <c r="A15" s="442" t="str">
        <f>CONCATENATE("Schedule above includes ",Planning!B28," non-working day(s).")</f>
        <v>Schedule above includes 0 non-working day(s).</v>
      </c>
      <c r="B15" s="442"/>
      <c r="C15" s="442"/>
      <c r="D15" s="442"/>
      <c r="E15" s="442"/>
      <c r="F15" s="442"/>
      <c r="G15" s="442"/>
      <c r="H15" s="65"/>
      <c r="K15" s="139"/>
      <c r="L15" s="136"/>
      <c r="M15" s="136"/>
      <c r="N15" s="67"/>
      <c r="O15" s="67"/>
      <c r="P15" s="67"/>
    </row>
    <row r="16" spans="1:16">
      <c r="A16" s="443" t="str">
        <f>J4</f>
        <v>Day 3</v>
      </c>
      <c r="B16" s="443"/>
      <c r="C16" s="444">
        <f>I4</f>
        <v>44298</v>
      </c>
      <c r="D16" s="444"/>
      <c r="E16" s="444"/>
      <c r="F16" s="443" t="str">
        <f>A16</f>
        <v>Day 3</v>
      </c>
      <c r="G16" s="443"/>
      <c r="H16" s="65"/>
      <c r="K16" s="139"/>
      <c r="L16" s="136"/>
      <c r="M16" s="136"/>
      <c r="N16" s="67"/>
      <c r="O16" s="67"/>
      <c r="P16" s="67"/>
    </row>
    <row r="17" spans="1:18" ht="29">
      <c r="A17" s="443" t="s">
        <v>931</v>
      </c>
      <c r="B17" s="443"/>
      <c r="C17" s="233" t="str">
        <f>C4</f>
        <v>Mini team 1:ATM-5 / ATM-6 / ATM-7</v>
      </c>
      <c r="D17" s="233" t="str">
        <f>D4</f>
        <v>Mini team 2: ATM-1 / ATM-2 / ATM-3 / ATM-4</v>
      </c>
      <c r="E17" s="233"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990</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1131</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Mini team 2: ATM-1 / ATM-2 / ATM-3 / ATM-4</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1131</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Mini team 2: ATM-1 / ATM-2 / ATM-3 / ATM-4</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1130</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Mini team 2: ATM-1 / ATM-2 / ATM-3 / ATM-4</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1130</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Mini team 2: ATM-1 / ATM-2 / ATM-3 / ATM-4</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1506</v>
      </c>
    </row>
    <row r="2" spans="1:8">
      <c r="A2" s="333" t="s">
        <v>1507</v>
      </c>
      <c r="B2" s="334">
        <f>Planning!B27</f>
        <v>44296</v>
      </c>
      <c r="C2" s="335">
        <f>B2+1</f>
        <v>44297</v>
      </c>
      <c r="D2" s="335">
        <f t="shared" ref="D2:G2" si="0">C2+1</f>
        <v>44298</v>
      </c>
      <c r="E2" s="335">
        <f t="shared" si="0"/>
        <v>44299</v>
      </c>
      <c r="F2" s="335">
        <f t="shared" si="0"/>
        <v>44300</v>
      </c>
      <c r="G2" s="335">
        <f t="shared" si="0"/>
        <v>44301</v>
      </c>
      <c r="H2" s="336" t="s">
        <v>1508</v>
      </c>
    </row>
    <row r="3" spans="1:8" ht="29">
      <c r="A3" s="337">
        <v>0.41666666666666702</v>
      </c>
      <c r="B3" s="477" t="s">
        <v>1509</v>
      </c>
      <c r="C3" s="338" t="s">
        <v>1510</v>
      </c>
      <c r="D3" s="339" t="s">
        <v>1511</v>
      </c>
      <c r="E3" s="339" t="s">
        <v>1511</v>
      </c>
      <c r="F3" s="478" t="s">
        <v>1512</v>
      </c>
      <c r="G3" s="478" t="s">
        <v>1513</v>
      </c>
      <c r="H3" s="340">
        <f t="shared" ref="H3:H19" si="1">+A3-0.25</f>
        <v>0.16666666666666702</v>
      </c>
    </row>
    <row r="4" spans="1:8">
      <c r="A4" s="337">
        <v>0.4375</v>
      </c>
      <c r="B4" s="477"/>
      <c r="C4" s="341" t="s">
        <v>1514</v>
      </c>
      <c r="D4" s="479" t="s">
        <v>1515</v>
      </c>
      <c r="E4" s="479" t="s">
        <v>1516</v>
      </c>
      <c r="F4" s="478"/>
      <c r="G4" s="478"/>
      <c r="H4" s="340">
        <f t="shared" si="1"/>
        <v>0.1875</v>
      </c>
    </row>
    <row r="5" spans="1:8">
      <c r="A5" s="337">
        <v>0.45833333333333398</v>
      </c>
      <c r="B5" s="480" t="s">
        <v>1517</v>
      </c>
      <c r="C5" s="481" t="s">
        <v>1518</v>
      </c>
      <c r="D5" s="479"/>
      <c r="E5" s="479"/>
      <c r="F5" s="478"/>
      <c r="G5" s="478"/>
      <c r="H5" s="340">
        <f t="shared" si="1"/>
        <v>0.20833333333333398</v>
      </c>
    </row>
    <row r="6" spans="1:8">
      <c r="A6" s="337">
        <v>0.47916666666666702</v>
      </c>
      <c r="B6" s="480"/>
      <c r="C6" s="481"/>
      <c r="D6" s="479"/>
      <c r="E6" s="479"/>
      <c r="F6" s="478"/>
      <c r="G6" s="338" t="s">
        <v>1514</v>
      </c>
      <c r="H6" s="340">
        <f t="shared" si="1"/>
        <v>0.22916666666666702</v>
      </c>
    </row>
    <row r="7" spans="1:8">
      <c r="A7" s="337">
        <v>0.5</v>
      </c>
      <c r="B7" s="480"/>
      <c r="C7" s="479" t="s">
        <v>1519</v>
      </c>
      <c r="D7" s="479"/>
      <c r="E7" s="479"/>
      <c r="F7" s="482" t="s">
        <v>938</v>
      </c>
      <c r="G7" s="482" t="s">
        <v>938</v>
      </c>
      <c r="H7" s="340">
        <f t="shared" si="1"/>
        <v>0.25</v>
      </c>
    </row>
    <row r="8" spans="1:8" ht="29">
      <c r="A8" s="337">
        <v>0.52083333333333404</v>
      </c>
      <c r="B8" s="342" t="s">
        <v>1509</v>
      </c>
      <c r="C8" s="479"/>
      <c r="D8" s="479"/>
      <c r="E8" s="479"/>
      <c r="F8" s="482"/>
      <c r="G8" s="482"/>
      <c r="H8" s="340">
        <f t="shared" si="1"/>
        <v>0.27083333333333404</v>
      </c>
    </row>
    <row r="9" spans="1:8">
      <c r="A9" s="337">
        <v>0.54166666666666696</v>
      </c>
      <c r="B9" s="483" t="s">
        <v>938</v>
      </c>
      <c r="C9" s="482" t="s">
        <v>938</v>
      </c>
      <c r="D9" s="482" t="s">
        <v>938</v>
      </c>
      <c r="E9" s="482" t="s">
        <v>938</v>
      </c>
      <c r="F9" s="338" t="s">
        <v>1514</v>
      </c>
      <c r="G9" s="481" t="s">
        <v>795</v>
      </c>
      <c r="H9" s="340">
        <f t="shared" si="1"/>
        <v>0.29166666666666696</v>
      </c>
    </row>
    <row r="10" spans="1:8">
      <c r="A10" s="337">
        <v>0.5625</v>
      </c>
      <c r="B10" s="483"/>
      <c r="C10" s="482"/>
      <c r="D10" s="482"/>
      <c r="E10" s="482"/>
      <c r="F10" s="481" t="s">
        <v>1520</v>
      </c>
      <c r="G10" s="481"/>
      <c r="H10" s="340">
        <f t="shared" si="1"/>
        <v>0.3125</v>
      </c>
    </row>
    <row r="11" spans="1:8">
      <c r="A11" s="337">
        <v>0.58333333333333304</v>
      </c>
      <c r="B11" s="477" t="s">
        <v>1521</v>
      </c>
      <c r="C11" s="479" t="s">
        <v>1522</v>
      </c>
      <c r="D11" s="479" t="s">
        <v>1523</v>
      </c>
      <c r="E11" s="479" t="s">
        <v>1524</v>
      </c>
      <c r="F11" s="481"/>
      <c r="G11" s="478" t="s">
        <v>1525</v>
      </c>
      <c r="H11" s="340">
        <f t="shared" si="1"/>
        <v>0.33333333333333304</v>
      </c>
    </row>
    <row r="12" spans="1:8">
      <c r="A12" s="337">
        <v>0.60416666666666696</v>
      </c>
      <c r="B12" s="477"/>
      <c r="C12" s="479"/>
      <c r="D12" s="479"/>
      <c r="E12" s="479"/>
      <c r="F12" s="481" t="s">
        <v>1526</v>
      </c>
      <c r="G12" s="478"/>
      <c r="H12" s="340">
        <f t="shared" si="1"/>
        <v>0.35416666666666696</v>
      </c>
    </row>
    <row r="13" spans="1:8">
      <c r="A13" s="337">
        <v>0.625</v>
      </c>
      <c r="B13" s="477"/>
      <c r="C13" s="479"/>
      <c r="D13" s="479" t="s">
        <v>1527</v>
      </c>
      <c r="E13" s="479"/>
      <c r="F13" s="481"/>
      <c r="G13" s="478"/>
      <c r="H13" s="340">
        <f t="shared" si="1"/>
        <v>0.375</v>
      </c>
    </row>
    <row r="14" spans="1:8">
      <c r="A14" s="337">
        <v>0.64583333333333304</v>
      </c>
      <c r="B14" s="477"/>
      <c r="C14" s="479"/>
      <c r="D14" s="479"/>
      <c r="E14" s="479"/>
      <c r="F14" s="478" t="s">
        <v>1513</v>
      </c>
      <c r="G14" s="484" t="s">
        <v>1528</v>
      </c>
      <c r="H14" s="340">
        <f t="shared" si="1"/>
        <v>0.39583333333333304</v>
      </c>
    </row>
    <row r="15" spans="1:8">
      <c r="A15" s="337">
        <v>0.66666666666666696</v>
      </c>
      <c r="B15" s="477"/>
      <c r="C15" s="341" t="s">
        <v>1514</v>
      </c>
      <c r="D15" s="479"/>
      <c r="E15" s="478" t="s">
        <v>1512</v>
      </c>
      <c r="F15" s="478"/>
      <c r="G15" s="484"/>
      <c r="H15" s="340">
        <f t="shared" si="1"/>
        <v>0.41666666666666696</v>
      </c>
    </row>
    <row r="16" spans="1:8">
      <c r="A16" s="337">
        <v>0.6875</v>
      </c>
      <c r="B16" s="477"/>
      <c r="C16" s="479" t="s">
        <v>1529</v>
      </c>
      <c r="D16" s="479" t="s">
        <v>1530</v>
      </c>
      <c r="E16" s="478"/>
      <c r="F16" s="478"/>
      <c r="G16" s="484"/>
      <c r="H16" s="340">
        <f t="shared" si="1"/>
        <v>0.4375</v>
      </c>
    </row>
    <row r="17" spans="1:8">
      <c r="A17" s="337">
        <v>0.70833333333333304</v>
      </c>
      <c r="B17" s="343" t="s">
        <v>1531</v>
      </c>
      <c r="C17" s="479"/>
      <c r="D17" s="479"/>
      <c r="E17" s="478"/>
      <c r="F17" s="478"/>
      <c r="G17" s="484"/>
      <c r="H17" s="340">
        <f t="shared" si="1"/>
        <v>0.45833333333333304</v>
      </c>
    </row>
    <row r="18" spans="1:8">
      <c r="A18" s="337">
        <v>0.72916666666666663</v>
      </c>
      <c r="B18" s="344" t="s">
        <v>1511</v>
      </c>
      <c r="C18" s="339" t="s">
        <v>1511</v>
      </c>
      <c r="D18" s="339" t="s">
        <v>1511</v>
      </c>
      <c r="E18" s="339" t="s">
        <v>1511</v>
      </c>
      <c r="F18" s="339" t="s">
        <v>1511</v>
      </c>
      <c r="G18" s="484"/>
      <c r="H18" s="340">
        <f t="shared" si="1"/>
        <v>0.47916666666666663</v>
      </c>
    </row>
    <row r="19" spans="1:8" ht="15" thickBot="1">
      <c r="A19" s="345">
        <v>0.75</v>
      </c>
      <c r="B19" s="485" t="s">
        <v>940</v>
      </c>
      <c r="C19" s="486"/>
      <c r="D19" s="486"/>
      <c r="E19" s="486"/>
      <c r="F19" s="486"/>
      <c r="G19" s="486"/>
      <c r="H19" s="346">
        <f t="shared" si="1"/>
        <v>0.5</v>
      </c>
    </row>
    <row r="21" spans="1:8" ht="15" thickBot="1">
      <c r="A21" s="8" t="s">
        <v>1532</v>
      </c>
    </row>
    <row r="22" spans="1:8">
      <c r="A22" s="333" t="s">
        <v>1507</v>
      </c>
      <c r="B22" s="334">
        <f>Planning!B27</f>
        <v>44296</v>
      </c>
      <c r="C22" s="334">
        <f>B22+1</f>
        <v>44297</v>
      </c>
      <c r="D22" s="334">
        <f t="shared" ref="D22:F22" si="2">C22+1</f>
        <v>44298</v>
      </c>
      <c r="E22" s="334">
        <f t="shared" si="2"/>
        <v>44299</v>
      </c>
      <c r="F22" s="334">
        <f t="shared" si="2"/>
        <v>44300</v>
      </c>
      <c r="G22" s="334">
        <f>F22+1</f>
        <v>44301</v>
      </c>
      <c r="H22" s="336" t="s">
        <v>1508</v>
      </c>
    </row>
    <row r="23" spans="1:8" ht="29">
      <c r="A23" s="337">
        <v>0.41666666666666702</v>
      </c>
      <c r="B23" s="477" t="s">
        <v>1509</v>
      </c>
      <c r="C23" s="338" t="s">
        <v>1510</v>
      </c>
      <c r="D23" s="339" t="s">
        <v>1511</v>
      </c>
      <c r="E23" s="339" t="s">
        <v>1511</v>
      </c>
      <c r="F23" s="487" t="s">
        <v>1512</v>
      </c>
      <c r="G23" s="487" t="s">
        <v>1513</v>
      </c>
      <c r="H23" s="340">
        <f t="shared" ref="H23:H39" si="3">+A23-0.25</f>
        <v>0.16666666666666702</v>
      </c>
    </row>
    <row r="24" spans="1:8">
      <c r="A24" s="337">
        <v>0.4375</v>
      </c>
      <c r="B24" s="477"/>
      <c r="C24" s="341" t="s">
        <v>1514</v>
      </c>
      <c r="D24" s="479" t="s">
        <v>1515</v>
      </c>
      <c r="E24" s="479" t="s">
        <v>1516</v>
      </c>
      <c r="F24" s="488"/>
      <c r="G24" s="488"/>
      <c r="H24" s="340">
        <f t="shared" si="3"/>
        <v>0.1875</v>
      </c>
    </row>
    <row r="25" spans="1:8">
      <c r="A25" s="337">
        <v>0.45833333333333398</v>
      </c>
      <c r="B25" s="480" t="s">
        <v>1517</v>
      </c>
      <c r="C25" s="481" t="s">
        <v>1518</v>
      </c>
      <c r="D25" s="479"/>
      <c r="E25" s="479"/>
      <c r="F25" s="488"/>
      <c r="G25" s="488"/>
      <c r="H25" s="340">
        <f t="shared" si="3"/>
        <v>0.20833333333333398</v>
      </c>
    </row>
    <row r="26" spans="1:8">
      <c r="A26" s="337">
        <v>0.47916666666666702</v>
      </c>
      <c r="B26" s="480"/>
      <c r="C26" s="481"/>
      <c r="D26" s="479"/>
      <c r="E26" s="479"/>
      <c r="F26" s="488"/>
      <c r="G26" s="488"/>
      <c r="H26" s="340">
        <f t="shared" si="3"/>
        <v>0.22916666666666702</v>
      </c>
    </row>
    <row r="27" spans="1:8">
      <c r="A27" s="337">
        <v>0.5</v>
      </c>
      <c r="B27" s="480"/>
      <c r="C27" s="479" t="s">
        <v>1519</v>
      </c>
      <c r="D27" s="479"/>
      <c r="E27" s="479"/>
      <c r="F27" s="488"/>
      <c r="G27" s="488"/>
      <c r="H27" s="340">
        <f t="shared" si="3"/>
        <v>0.25</v>
      </c>
    </row>
    <row r="28" spans="1:8" ht="29">
      <c r="A28" s="337">
        <v>0.52083333333333404</v>
      </c>
      <c r="B28" s="342" t="s">
        <v>1509</v>
      </c>
      <c r="C28" s="479"/>
      <c r="D28" s="479"/>
      <c r="E28" s="479"/>
      <c r="F28" s="489"/>
      <c r="G28" s="489"/>
      <c r="H28" s="340">
        <f t="shared" si="3"/>
        <v>0.27083333333333404</v>
      </c>
    </row>
    <row r="29" spans="1:8">
      <c r="A29" s="337">
        <v>0.54166666666666696</v>
      </c>
      <c r="B29" s="483" t="s">
        <v>938</v>
      </c>
      <c r="C29" s="482" t="s">
        <v>938</v>
      </c>
      <c r="D29" s="482" t="s">
        <v>938</v>
      </c>
      <c r="E29" s="482" t="s">
        <v>938</v>
      </c>
      <c r="F29" s="482" t="s">
        <v>938</v>
      </c>
      <c r="G29" s="482" t="s">
        <v>938</v>
      </c>
      <c r="H29" s="340">
        <f t="shared" si="3"/>
        <v>0.29166666666666696</v>
      </c>
    </row>
    <row r="30" spans="1:8">
      <c r="A30" s="337">
        <v>0.5625</v>
      </c>
      <c r="B30" s="483"/>
      <c r="C30" s="482"/>
      <c r="D30" s="482"/>
      <c r="E30" s="482"/>
      <c r="F30" s="482"/>
      <c r="G30" s="482"/>
      <c r="H30" s="340">
        <f t="shared" si="3"/>
        <v>0.3125</v>
      </c>
    </row>
    <row r="31" spans="1:8">
      <c r="A31" s="337">
        <v>0.58333333333333304</v>
      </c>
      <c r="B31" s="487" t="s">
        <v>1521</v>
      </c>
      <c r="C31" s="479" t="s">
        <v>1522</v>
      </c>
      <c r="D31" s="479" t="s">
        <v>1523</v>
      </c>
      <c r="E31" s="479" t="s">
        <v>1524</v>
      </c>
      <c r="F31" s="339" t="s">
        <v>1514</v>
      </c>
      <c r="G31" s="339" t="s">
        <v>1514</v>
      </c>
      <c r="H31" s="340">
        <f t="shared" si="3"/>
        <v>0.33333333333333304</v>
      </c>
    </row>
    <row r="32" spans="1:8">
      <c r="A32" s="337">
        <v>0.60416666666666696</v>
      </c>
      <c r="B32" s="488"/>
      <c r="C32" s="479"/>
      <c r="D32" s="479"/>
      <c r="E32" s="479"/>
      <c r="F32" s="481" t="s">
        <v>1520</v>
      </c>
      <c r="G32" s="481" t="s">
        <v>795</v>
      </c>
      <c r="H32" s="340">
        <f t="shared" si="3"/>
        <v>0.35416666666666696</v>
      </c>
    </row>
    <row r="33" spans="1:8">
      <c r="A33" s="337">
        <v>0.625</v>
      </c>
      <c r="B33" s="488"/>
      <c r="C33" s="479"/>
      <c r="D33" s="479" t="s">
        <v>1527</v>
      </c>
      <c r="E33" s="479"/>
      <c r="F33" s="481"/>
      <c r="G33" s="481"/>
      <c r="H33" s="340">
        <f t="shared" si="3"/>
        <v>0.375</v>
      </c>
    </row>
    <row r="34" spans="1:8">
      <c r="A34" s="337">
        <v>0.64583333333333304</v>
      </c>
      <c r="B34" s="488"/>
      <c r="C34" s="479"/>
      <c r="D34" s="479"/>
      <c r="E34" s="479"/>
      <c r="F34" s="481" t="s">
        <v>1526</v>
      </c>
      <c r="G34" s="490" t="s">
        <v>1533</v>
      </c>
      <c r="H34" s="340">
        <f t="shared" si="3"/>
        <v>0.39583333333333304</v>
      </c>
    </row>
    <row r="35" spans="1:8">
      <c r="A35" s="337">
        <v>0.66666666666666696</v>
      </c>
      <c r="B35" s="489"/>
      <c r="C35" s="341" t="s">
        <v>1514</v>
      </c>
      <c r="D35" s="479"/>
      <c r="E35" s="478" t="s">
        <v>1512</v>
      </c>
      <c r="F35" s="481"/>
      <c r="G35" s="491"/>
      <c r="H35" s="340">
        <f t="shared" si="3"/>
        <v>0.41666666666666696</v>
      </c>
    </row>
    <row r="36" spans="1:8">
      <c r="A36" s="337">
        <v>0.6875</v>
      </c>
      <c r="B36" s="347" t="s">
        <v>1534</v>
      </c>
      <c r="C36" s="479" t="s">
        <v>1529</v>
      </c>
      <c r="D36" s="479" t="s">
        <v>1530</v>
      </c>
      <c r="E36" s="478"/>
      <c r="F36" s="487" t="s">
        <v>1513</v>
      </c>
      <c r="G36" s="490" t="s">
        <v>1535</v>
      </c>
      <c r="H36" s="340">
        <f t="shared" si="3"/>
        <v>0.4375</v>
      </c>
    </row>
    <row r="37" spans="1:8">
      <c r="A37" s="337">
        <v>0.70833333333333304</v>
      </c>
      <c r="B37" s="343" t="s">
        <v>1531</v>
      </c>
      <c r="C37" s="479"/>
      <c r="D37" s="479"/>
      <c r="E37" s="478"/>
      <c r="F37" s="489"/>
      <c r="G37" s="491"/>
      <c r="H37" s="340">
        <f t="shared" si="3"/>
        <v>0.45833333333333304</v>
      </c>
    </row>
    <row r="38" spans="1:8">
      <c r="A38" s="337">
        <v>0.72916666666666663</v>
      </c>
      <c r="B38" s="344" t="s">
        <v>1511</v>
      </c>
      <c r="C38" s="339" t="s">
        <v>1511</v>
      </c>
      <c r="D38" s="339" t="s">
        <v>1511</v>
      </c>
      <c r="E38" s="339" t="s">
        <v>1511</v>
      </c>
      <c r="F38" s="339" t="s">
        <v>1511</v>
      </c>
      <c r="G38" s="492"/>
      <c r="H38" s="340">
        <f t="shared" si="3"/>
        <v>0.47916666666666663</v>
      </c>
    </row>
    <row r="39" spans="1:8" ht="15" thickBot="1">
      <c r="A39" s="345">
        <v>0.75</v>
      </c>
      <c r="B39" s="485" t="s">
        <v>940</v>
      </c>
      <c r="C39" s="486"/>
      <c r="D39" s="486"/>
      <c r="E39" s="486"/>
      <c r="F39" s="486"/>
      <c r="G39" s="486"/>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1712</v>
      </c>
    </row>
    <row r="22" spans="1:24">
      <c r="C22" s="422" t="s">
        <v>1713</v>
      </c>
    </row>
    <row r="23" spans="1:24">
      <c r="C23" s="149" t="s">
        <v>1714</v>
      </c>
    </row>
    <row r="24" spans="1:24">
      <c r="C24" s="284" t="s">
        <v>1715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1489</v>
      </c>
      <c r="B1" s="118"/>
      <c r="C1" s="118"/>
      <c r="D1" s="118"/>
    </row>
    <row r="2" spans="1:22" s="117" customFormat="1">
      <c r="A2" s="28" t="s">
        <v>1478</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1479</v>
      </c>
      <c r="C3" s="331" t="s">
        <v>1480</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1458</v>
      </c>
      <c r="B7" s="64">
        <v>6</v>
      </c>
      <c r="C7" s="331" t="str">
        <f t="shared" si="0"/>
        <v>Engineers (6)</v>
      </c>
    </row>
    <row r="8" spans="1:22">
      <c r="A8" s="125" t="s">
        <v>1477</v>
      </c>
      <c r="B8" s="64">
        <v>1</v>
      </c>
      <c r="C8" s="331" t="str">
        <f t="shared" si="0"/>
        <v>EPG (1)</v>
      </c>
    </row>
    <row r="9" spans="1:22">
      <c r="A9" s="125" t="s">
        <v>753</v>
      </c>
      <c r="B9" s="64">
        <v>1</v>
      </c>
      <c r="C9" s="331" t="str">
        <f t="shared" si="0"/>
        <v>OT (1)</v>
      </c>
    </row>
    <row r="10" spans="1:22">
      <c r="A10" s="125" t="s">
        <v>1482</v>
      </c>
      <c r="B10" s="64">
        <v>1</v>
      </c>
      <c r="C10" s="331" t="str">
        <f t="shared" si="0"/>
        <v>OUC (1)</v>
      </c>
    </row>
    <row r="11" spans="1:22">
      <c r="A11" s="125" t="s">
        <v>1465</v>
      </c>
      <c r="B11" s="64">
        <v>2</v>
      </c>
      <c r="C11" s="331" t="str">
        <f t="shared" si="0"/>
        <v>PMs (2)</v>
      </c>
    </row>
    <row r="12" spans="1:22">
      <c r="A12" s="125" t="s">
        <v>752</v>
      </c>
      <c r="B12" s="64">
        <v>1</v>
      </c>
      <c r="C12" s="331" t="str">
        <f t="shared" si="0"/>
        <v>PPQA (1)</v>
      </c>
    </row>
    <row r="13" spans="1:22">
      <c r="A13" s="125" t="s">
        <v>1481</v>
      </c>
      <c r="B13" s="64">
        <v>2</v>
      </c>
      <c r="C13" s="331" t="str">
        <f t="shared" si="0"/>
        <v>SM (2)</v>
      </c>
    </row>
    <row r="14" spans="1:22">
      <c r="A14" s="125" t="s">
        <v>593</v>
      </c>
      <c r="B14" s="64">
        <v>1</v>
      </c>
      <c r="C14" s="331" t="str">
        <f t="shared" si="0"/>
        <v>Sponsor (1)</v>
      </c>
    </row>
    <row r="15" spans="1:22">
      <c r="A15" s="125" t="s">
        <v>1483</v>
      </c>
      <c r="B15" s="64">
        <v>1</v>
      </c>
      <c r="C15" s="331" t="str">
        <f t="shared" si="0"/>
        <v>RI (1)</v>
      </c>
    </row>
    <row r="16" spans="1:22">
      <c r="A16" s="125" t="s">
        <v>1484</v>
      </c>
      <c r="B16" s="331">
        <f>B7+B6</f>
        <v>7</v>
      </c>
      <c r="C16" s="331" t="str">
        <f t="shared" si="0"/>
        <v>ParticipantsPrelim1 (7)</v>
      </c>
    </row>
    <row r="17" spans="1:22">
      <c r="A17" s="125" t="s">
        <v>1485</v>
      </c>
      <c r="B17" s="331">
        <f>B8+B9+B11+B12</f>
        <v>5</v>
      </c>
      <c r="C17" s="331" t="str">
        <f t="shared" si="0"/>
        <v>ParticipantsPrelim2 (5)</v>
      </c>
    </row>
    <row r="18" spans="1:22">
      <c r="A18" s="125" t="s">
        <v>1488</v>
      </c>
      <c r="B18" s="64">
        <v>5</v>
      </c>
      <c r="C18" s="331" t="str">
        <f t="shared" si="0"/>
        <v>ParticipantsTechTest (5)</v>
      </c>
    </row>
    <row r="19" spans="1:22">
      <c r="A19" s="125" t="s">
        <v>1486</v>
      </c>
      <c r="B19" s="331">
        <f>B13+B12+B11+B10+B9+B7+B6+B5</f>
        <v>18</v>
      </c>
      <c r="C19" s="331" t="str">
        <f t="shared" si="0"/>
        <v>ParticipantsOpen (18)</v>
      </c>
    </row>
    <row r="20" spans="1:22">
      <c r="A20" s="125" t="s">
        <v>1487</v>
      </c>
      <c r="B20" s="331">
        <f>B14+B13+B12+B11+B10+B8+B7+B6</f>
        <v>15</v>
      </c>
      <c r="C20" s="331" t="str">
        <f t="shared" si="0"/>
        <v>ParticipantsFinal (15)</v>
      </c>
    </row>
    <row r="21" spans="1:22" s="238" customFormat="1">
      <c r="B21" s="332"/>
      <c r="C21" s="332"/>
    </row>
    <row r="22" spans="1:22" s="117" customFormat="1">
      <c r="A22" s="28" t="s">
        <v>1490</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1448</v>
      </c>
      <c r="B23" s="14" t="s">
        <v>1449</v>
      </c>
      <c r="C23" s="14" t="s">
        <v>1450</v>
      </c>
      <c r="D23" s="14" t="s">
        <v>1451</v>
      </c>
    </row>
    <row r="24" spans="1:22">
      <c r="A24" s="125" t="s">
        <v>1452</v>
      </c>
      <c r="B24" s="87" t="str">
        <f>C4</f>
        <v>ATL (1)</v>
      </c>
      <c r="C24" s="125" t="s">
        <v>1453</v>
      </c>
      <c r="D24" s="125">
        <v>120</v>
      </c>
    </row>
    <row r="25" spans="1:22">
      <c r="A25" s="125" t="s">
        <v>1452</v>
      </c>
      <c r="B25" s="87" t="str">
        <f>C5</f>
        <v>ATM (4)</v>
      </c>
      <c r="C25" s="125" t="s">
        <v>1453</v>
      </c>
      <c r="D25" s="125">
        <v>8</v>
      </c>
    </row>
    <row r="26" spans="1:22">
      <c r="A26" s="125" t="s">
        <v>1454</v>
      </c>
      <c r="B26" s="87" t="str">
        <f>_xlfn.CONCAT(C4,", ",C5,", ",C15)</f>
        <v>ATL (1), ATM (4), RI (1)</v>
      </c>
      <c r="C26" s="125" t="s">
        <v>1455</v>
      </c>
      <c r="D26" s="125">
        <v>8</v>
      </c>
    </row>
    <row r="27" spans="1:22">
      <c r="A27" s="125" t="s">
        <v>751</v>
      </c>
      <c r="B27" s="87" t="str">
        <f>_xlfn.CONCAT(B26,", ",C6)</f>
        <v>ATL (1), ATM (4), RI (1), CM (1)</v>
      </c>
      <c r="C27" s="125" t="s">
        <v>615</v>
      </c>
      <c r="D27" s="125">
        <v>1</v>
      </c>
    </row>
    <row r="28" spans="1:22">
      <c r="A28" s="125" t="s">
        <v>1456</v>
      </c>
      <c r="B28" s="87" t="str">
        <f>B26</f>
        <v>ATL (1), ATM (4), RI (1)</v>
      </c>
      <c r="C28" s="125" t="s">
        <v>1457</v>
      </c>
      <c r="D28" s="125">
        <v>12</v>
      </c>
    </row>
    <row r="29" spans="1:22">
      <c r="A29" s="125" t="s">
        <v>1458</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1459</v>
      </c>
      <c r="B32" s="87" t="str">
        <f>B26</f>
        <v>ATL (1), ATM (4), RI (1)</v>
      </c>
      <c r="C32" s="125" t="s">
        <v>1460</v>
      </c>
      <c r="D32" s="125">
        <v>24</v>
      </c>
    </row>
    <row r="33" spans="1:4">
      <c r="A33" s="125" t="s">
        <v>1461</v>
      </c>
      <c r="B33" s="87" t="str">
        <f>_xlfn.CONCAT(C4,", ",C15,", ",C10,", ",C8)</f>
        <v>ATL (1), RI (1), OUC (1), EPG (1)</v>
      </c>
      <c r="C33" s="125" t="s">
        <v>1462</v>
      </c>
      <c r="D33" s="125">
        <v>40</v>
      </c>
    </row>
    <row r="34" spans="1:4">
      <c r="A34" s="125" t="s">
        <v>1463</v>
      </c>
      <c r="B34" s="87" t="str">
        <f>_xlfn.CONCAT(C4,", ",C15,", ",C10,", ",C8)</f>
        <v>ATL (1), RI (1), OUC (1), EPG (1)</v>
      </c>
      <c r="C34" s="125" t="s">
        <v>1462</v>
      </c>
      <c r="D34" s="125">
        <v>120</v>
      </c>
    </row>
    <row r="35" spans="1:4">
      <c r="A35" s="125" t="s">
        <v>634</v>
      </c>
      <c r="B35" s="87" t="str">
        <f>_xlfn.CONCAT(B26,", ",C19,", ",C14)</f>
        <v>ATL (1), ATM (4), RI (1), ParticipantsOpen (18), Sponsor (1)</v>
      </c>
      <c r="C35" s="125" t="s">
        <v>1464</v>
      </c>
      <c r="D35" s="125">
        <v>1</v>
      </c>
    </row>
    <row r="36" spans="1:4">
      <c r="A36" s="125" t="s">
        <v>753</v>
      </c>
      <c r="B36" s="87" t="str">
        <f>_xlfn.CONCAT(B26,", ",C9)</f>
        <v>ATL (1), ATM (4), RI (1), OT (1)</v>
      </c>
      <c r="C36" s="125" t="s">
        <v>615</v>
      </c>
      <c r="D36" s="125">
        <v>1</v>
      </c>
    </row>
    <row r="37" spans="1:4">
      <c r="A37" s="125" t="s">
        <v>1465</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1466</v>
      </c>
      <c r="B39" s="87" t="str">
        <f>_xlfn.CONCAT(B26,", ",C16)</f>
        <v>ATL (1), ATM (4), RI (1), ParticipantsPrelim1 (7)</v>
      </c>
      <c r="C39" s="125" t="s">
        <v>755</v>
      </c>
      <c r="D39" s="125">
        <v>1</v>
      </c>
    </row>
    <row r="40" spans="1:4">
      <c r="A40" s="125" t="s">
        <v>1467</v>
      </c>
      <c r="B40" s="87" t="str">
        <f>_xlfn.CONCAT(B26,", ",C17)</f>
        <v>ATL (1), ATM (4), RI (1), ParticipantsPrelim2 (5)</v>
      </c>
      <c r="C40" s="125" t="s">
        <v>755</v>
      </c>
      <c r="D40" s="125">
        <v>1</v>
      </c>
    </row>
    <row r="41" spans="1:4">
      <c r="A41" s="125" t="s">
        <v>1468</v>
      </c>
      <c r="B41" s="87" t="str">
        <f>B26</f>
        <v>ATL (1), ATM (4), RI (1)</v>
      </c>
      <c r="C41" s="125" t="s">
        <v>1469</v>
      </c>
      <c r="D41" s="125">
        <v>4</v>
      </c>
    </row>
    <row r="42" spans="1:4">
      <c r="A42" s="125" t="s">
        <v>1470</v>
      </c>
      <c r="B42" s="87" t="str">
        <f>B26</f>
        <v>ATL (1), ATM (4), RI (1)</v>
      </c>
      <c r="C42" s="125" t="s">
        <v>1469</v>
      </c>
      <c r="D42" s="125">
        <v>8</v>
      </c>
    </row>
    <row r="43" spans="1:4">
      <c r="A43" s="125" t="s">
        <v>1471</v>
      </c>
      <c r="B43" s="87" t="str">
        <f>_xlfn.CONCAT(B26,", ",C20,", ",C14)</f>
        <v>ATL (1), ATM (4), RI (1), ParticipantsFinal (15), Sponsor (1)</v>
      </c>
      <c r="C43" s="125" t="s">
        <v>1472</v>
      </c>
      <c r="D43" s="125">
        <v>4</v>
      </c>
    </row>
    <row r="44" spans="1:4">
      <c r="A44" s="125" t="s">
        <v>933</v>
      </c>
      <c r="B44" s="87" t="str">
        <f>B26</f>
        <v>ATL (1), ATM (4), RI (1)</v>
      </c>
      <c r="C44" s="125" t="s">
        <v>1473</v>
      </c>
      <c r="D44" s="125">
        <v>18</v>
      </c>
    </row>
    <row r="45" spans="1:4">
      <c r="A45" s="125" t="s">
        <v>1474</v>
      </c>
      <c r="B45" s="87" t="str">
        <f>_xlfn.CONCAT(B26,", ",C13)</f>
        <v>ATL (1), ATM (4), RI (1), SM (2)</v>
      </c>
      <c r="C45" s="125" t="s">
        <v>615</v>
      </c>
      <c r="D45" s="125">
        <v>1</v>
      </c>
    </row>
    <row r="46" spans="1:4">
      <c r="A46" s="125" t="s">
        <v>1475</v>
      </c>
      <c r="B46" s="87" t="str">
        <f>_xlfn.CONCAT(B26,", ",C14)</f>
        <v>ATL (1), ATM (4), RI (1), Sponsor (1)</v>
      </c>
      <c r="C46" s="125" t="s">
        <v>1453</v>
      </c>
      <c r="D46" s="125">
        <v>5</v>
      </c>
    </row>
    <row r="47" spans="1:4">
      <c r="A47" s="125" t="s">
        <v>1476</v>
      </c>
      <c r="B47" s="87" t="str">
        <f>_xlfn.CONCAT(B26,", ",C18)</f>
        <v>ATL (1), ATM (4), RI (1), ParticipantsTechTest (5)</v>
      </c>
      <c r="C47" s="125" t="s">
        <v>1476</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1360</v>
      </c>
      <c r="B1" t="s">
        <v>1343</v>
      </c>
      <c r="C1" s="283" t="s">
        <v>1344</v>
      </c>
      <c r="D1" t="s">
        <v>1361</v>
      </c>
      <c r="E1" t="s">
        <v>1362</v>
      </c>
      <c r="F1" s="283" t="s">
        <v>1347</v>
      </c>
      <c r="G1" s="283" t="s">
        <v>1348</v>
      </c>
      <c r="H1" t="s">
        <v>1363</v>
      </c>
      <c r="I1" t="s">
        <v>1364</v>
      </c>
      <c r="J1" t="s">
        <v>1365</v>
      </c>
      <c r="K1" t="s">
        <v>31</v>
      </c>
      <c r="L1" t="s">
        <v>32</v>
      </c>
      <c r="M1" t="s">
        <v>33</v>
      </c>
      <c r="N1" t="s">
        <v>34</v>
      </c>
      <c r="O1" t="s">
        <v>35</v>
      </c>
      <c r="P1" t="s">
        <v>17</v>
      </c>
    </row>
    <row r="2" spans="1:16">
      <c r="A2" t="s">
        <v>1389</v>
      </c>
      <c r="B2" t="s">
        <v>1367</v>
      </c>
      <c r="C2">
        <v>1</v>
      </c>
      <c r="D2" t="s">
        <v>1605</v>
      </c>
      <c r="E2" t="s">
        <v>388</v>
      </c>
      <c r="H2" t="s">
        <v>1383</v>
      </c>
      <c r="I2" t="s">
        <v>388</v>
      </c>
      <c r="J2" t="s">
        <v>1629</v>
      </c>
      <c r="K2" t="s">
        <v>1661</v>
      </c>
      <c r="L2" t="s">
        <v>1660</v>
      </c>
      <c r="M2" t="s">
        <v>1648</v>
      </c>
      <c r="N2" t="s">
        <v>1649</v>
      </c>
      <c r="O2" t="s">
        <v>1665</v>
      </c>
      <c r="P2" t="s">
        <v>80</v>
      </c>
    </row>
    <row r="3" spans="1:16">
      <c r="A3" t="s">
        <v>1390</v>
      </c>
      <c r="B3" t="s">
        <v>1367</v>
      </c>
      <c r="C3">
        <v>1</v>
      </c>
      <c r="D3" t="s">
        <v>1606</v>
      </c>
      <c r="E3" t="s">
        <v>388</v>
      </c>
      <c r="H3" t="s">
        <v>1383</v>
      </c>
      <c r="I3" t="s">
        <v>388</v>
      </c>
      <c r="J3" t="s">
        <v>1630</v>
      </c>
      <c r="K3" t="s">
        <v>1661</v>
      </c>
      <c r="L3" t="s">
        <v>1660</v>
      </c>
      <c r="M3" t="s">
        <v>1648</v>
      </c>
      <c r="N3" t="s">
        <v>1649</v>
      </c>
      <c r="O3" t="s">
        <v>1665</v>
      </c>
      <c r="P3" t="s">
        <v>80</v>
      </c>
    </row>
    <row r="4" spans="1:16">
      <c r="A4" t="s">
        <v>1391</v>
      </c>
      <c r="B4" t="s">
        <v>1367</v>
      </c>
      <c r="C4">
        <v>1</v>
      </c>
      <c r="D4" t="s">
        <v>1607</v>
      </c>
      <c r="E4" t="s">
        <v>388</v>
      </c>
      <c r="H4" t="s">
        <v>1383</v>
      </c>
      <c r="I4" t="s">
        <v>388</v>
      </c>
      <c r="J4" t="s">
        <v>1631</v>
      </c>
      <c r="K4" t="s">
        <v>1661</v>
      </c>
      <c r="L4" t="s">
        <v>1660</v>
      </c>
      <c r="M4" t="s">
        <v>1648</v>
      </c>
      <c r="N4" t="s">
        <v>1649</v>
      </c>
      <c r="O4" t="s">
        <v>1665</v>
      </c>
      <c r="P4" t="s">
        <v>80</v>
      </c>
    </row>
    <row r="5" spans="1:16">
      <c r="A5" t="s">
        <v>1392</v>
      </c>
      <c r="B5" t="s">
        <v>1367</v>
      </c>
      <c r="C5">
        <v>1</v>
      </c>
      <c r="D5" t="s">
        <v>1608</v>
      </c>
      <c r="E5" t="s">
        <v>388</v>
      </c>
      <c r="H5" t="s">
        <v>1383</v>
      </c>
      <c r="I5" t="s">
        <v>388</v>
      </c>
      <c r="J5" t="s">
        <v>1632</v>
      </c>
      <c r="K5" t="s">
        <v>1661</v>
      </c>
      <c r="L5" t="s">
        <v>1660</v>
      </c>
      <c r="M5" t="s">
        <v>1648</v>
      </c>
      <c r="N5" t="s">
        <v>1649</v>
      </c>
      <c r="O5" t="s">
        <v>1665</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1342</v>
      </c>
      <c r="B1" t="s">
        <v>1343</v>
      </c>
      <c r="C1" s="283" t="s">
        <v>1344</v>
      </c>
      <c r="D1" t="s">
        <v>1345</v>
      </c>
      <c r="E1" t="s">
        <v>1346</v>
      </c>
      <c r="F1" s="283" t="s">
        <v>1347</v>
      </c>
      <c r="G1" s="283" t="s">
        <v>1348</v>
      </c>
      <c r="H1" t="s">
        <v>1349</v>
      </c>
      <c r="I1" s="283" t="s">
        <v>1350</v>
      </c>
      <c r="J1" s="283" t="s">
        <v>1351</v>
      </c>
      <c r="K1" s="283" t="s">
        <v>1352</v>
      </c>
      <c r="L1" s="283" t="s">
        <v>1353</v>
      </c>
      <c r="M1" t="s">
        <v>1354</v>
      </c>
      <c r="N1" s="283" t="s">
        <v>1355</v>
      </c>
      <c r="O1" t="s">
        <v>1356</v>
      </c>
      <c r="P1" t="s">
        <v>32</v>
      </c>
      <c r="Q1" t="s">
        <v>1357</v>
      </c>
      <c r="R1" t="s">
        <v>34</v>
      </c>
      <c r="S1" t="s">
        <v>35</v>
      </c>
      <c r="T1" t="s">
        <v>1358</v>
      </c>
    </row>
    <row r="2" spans="1:20" ht="24" customHeight="1">
      <c r="A2" t="s">
        <v>1598</v>
      </c>
      <c r="C2">
        <v>5</v>
      </c>
      <c r="D2" t="s">
        <v>1597</v>
      </c>
      <c r="E2" t="s">
        <v>388</v>
      </c>
      <c r="H2" t="s">
        <v>1383</v>
      </c>
      <c r="I2" t="s">
        <v>1370</v>
      </c>
      <c r="J2" t="s">
        <v>1153</v>
      </c>
      <c r="K2" s="324">
        <v>44021</v>
      </c>
      <c r="L2" s="324">
        <v>44260</v>
      </c>
      <c r="M2" t="s">
        <v>388</v>
      </c>
      <c r="N2" t="s">
        <v>1613</v>
      </c>
      <c r="O2" t="s">
        <v>1661</v>
      </c>
      <c r="P2" t="s">
        <v>1660</v>
      </c>
      <c r="Q2" t="s">
        <v>1648</v>
      </c>
      <c r="R2" t="s">
        <v>1649</v>
      </c>
      <c r="S2" t="s">
        <v>1665</v>
      </c>
      <c r="T2" t="s">
        <v>80</v>
      </c>
    </row>
    <row r="3" spans="1:20" ht="24" customHeight="1">
      <c r="A3" t="s">
        <v>1599</v>
      </c>
      <c r="C3">
        <v>5</v>
      </c>
      <c r="D3" t="s">
        <v>1600</v>
      </c>
      <c r="E3" t="s">
        <v>388</v>
      </c>
      <c r="H3" t="s">
        <v>1383</v>
      </c>
      <c r="I3" t="s">
        <v>1370</v>
      </c>
      <c r="J3" t="s">
        <v>1153</v>
      </c>
      <c r="K3" s="324">
        <v>44086</v>
      </c>
      <c r="L3" s="324">
        <v>44258</v>
      </c>
      <c r="M3" t="s">
        <v>388</v>
      </c>
      <c r="N3" t="s">
        <v>1618</v>
      </c>
      <c r="O3" t="s">
        <v>1661</v>
      </c>
      <c r="P3" t="s">
        <v>1660</v>
      </c>
      <c r="Q3" t="s">
        <v>1648</v>
      </c>
      <c r="R3" t="s">
        <v>1649</v>
      </c>
      <c r="S3" t="s">
        <v>1665</v>
      </c>
      <c r="T3" t="s">
        <v>80</v>
      </c>
    </row>
    <row r="4" spans="1:20" ht="24" customHeight="1">
      <c r="A4" t="s">
        <v>1601</v>
      </c>
      <c r="C4">
        <v>5</v>
      </c>
      <c r="D4" t="s">
        <v>1602</v>
      </c>
      <c r="E4" t="s">
        <v>388</v>
      </c>
      <c r="H4" t="s">
        <v>1383</v>
      </c>
      <c r="I4" t="s">
        <v>1370</v>
      </c>
      <c r="J4" t="s">
        <v>1153</v>
      </c>
      <c r="K4" s="324">
        <v>44062</v>
      </c>
      <c r="L4" s="324">
        <v>44247</v>
      </c>
      <c r="M4" t="s">
        <v>388</v>
      </c>
      <c r="N4" t="s">
        <v>1623</v>
      </c>
      <c r="O4" t="s">
        <v>1661</v>
      </c>
      <c r="P4" t="s">
        <v>1660</v>
      </c>
      <c r="Q4" t="s">
        <v>1648</v>
      </c>
      <c r="R4" t="s">
        <v>1649</v>
      </c>
      <c r="S4" t="s">
        <v>1665</v>
      </c>
      <c r="T4" t="s">
        <v>80</v>
      </c>
    </row>
    <row r="5" spans="1:20" ht="24" customHeight="1">
      <c r="A5" t="s">
        <v>1603</v>
      </c>
      <c r="C5">
        <v>5</v>
      </c>
      <c r="D5" t="s">
        <v>1604</v>
      </c>
      <c r="E5" t="s">
        <v>388</v>
      </c>
      <c r="H5" t="s">
        <v>1383</v>
      </c>
      <c r="I5" t="s">
        <v>1370</v>
      </c>
      <c r="J5" t="s">
        <v>1153</v>
      </c>
      <c r="K5" s="324">
        <v>44116</v>
      </c>
      <c r="L5" s="324">
        <v>44265</v>
      </c>
      <c r="M5" t="s">
        <v>388</v>
      </c>
      <c r="N5" t="s">
        <v>1628</v>
      </c>
      <c r="O5" t="s">
        <v>1661</v>
      </c>
      <c r="P5" t="s">
        <v>1660</v>
      </c>
      <c r="Q5" t="s">
        <v>1648</v>
      </c>
      <c r="R5" t="s">
        <v>1649</v>
      </c>
      <c r="S5" t="s">
        <v>1665</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1302</v>
      </c>
      <c r="B1" t="s">
        <v>1303</v>
      </c>
      <c r="C1" t="s">
        <v>1304</v>
      </c>
    </row>
    <row r="2" spans="1:3">
      <c r="A2" t="s">
        <v>1611</v>
      </c>
      <c r="B2" t="s">
        <v>1158</v>
      </c>
      <c r="C2" t="s">
        <v>1383</v>
      </c>
    </row>
    <row r="3" spans="1:3">
      <c r="A3" t="s">
        <v>1610</v>
      </c>
      <c r="B3" t="s">
        <v>913</v>
      </c>
      <c r="C3" t="s">
        <v>1383</v>
      </c>
    </row>
    <row r="4" spans="1:3">
      <c r="A4" t="s">
        <v>1614</v>
      </c>
      <c r="B4" t="s">
        <v>912</v>
      </c>
      <c r="C4" t="s">
        <v>1383</v>
      </c>
    </row>
    <row r="5" spans="1:3">
      <c r="A5" t="s">
        <v>1616</v>
      </c>
      <c r="B5" t="s">
        <v>1158</v>
      </c>
      <c r="C5" t="s">
        <v>1383</v>
      </c>
    </row>
    <row r="6" spans="1:3">
      <c r="A6" t="s">
        <v>1623</v>
      </c>
      <c r="B6" t="s">
        <v>1423</v>
      </c>
      <c r="C6" t="s">
        <v>1383</v>
      </c>
    </row>
    <row r="7" spans="1:3">
      <c r="A7" t="s">
        <v>1628</v>
      </c>
      <c r="B7" t="s">
        <v>1423</v>
      </c>
      <c r="C7" t="s">
        <v>1383</v>
      </c>
    </row>
    <row r="8" spans="1:3">
      <c r="A8" t="s">
        <v>1629</v>
      </c>
      <c r="B8" t="s">
        <v>1422</v>
      </c>
      <c r="C8" t="s">
        <v>1383</v>
      </c>
    </row>
    <row r="9" spans="1:3">
      <c r="A9" t="s">
        <v>1630</v>
      </c>
      <c r="B9" t="s">
        <v>1424</v>
      </c>
      <c r="C9" t="s">
        <v>1383</v>
      </c>
    </row>
    <row r="10" spans="1:3">
      <c r="A10" t="s">
        <v>1631</v>
      </c>
      <c r="B10" t="s">
        <v>1421</v>
      </c>
      <c r="C10" t="s">
        <v>1383</v>
      </c>
    </row>
    <row r="11" spans="1:3">
      <c r="A11" t="s">
        <v>1632</v>
      </c>
      <c r="B11" t="s">
        <v>1256</v>
      </c>
      <c r="C11" t="s">
        <v>1383</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1598</v>
      </c>
      <c r="C1" t="s">
        <v>1599</v>
      </c>
      <c r="D1" t="s">
        <v>1601</v>
      </c>
      <c r="E1" t="s">
        <v>1603</v>
      </c>
      <c r="F1" t="s">
        <v>1389</v>
      </c>
      <c r="G1" t="s">
        <v>1390</v>
      </c>
      <c r="H1" t="s">
        <v>1391</v>
      </c>
      <c r="I1" t="s">
        <v>1392</v>
      </c>
    </row>
    <row r="2" spans="1:9">
      <c r="A2" t="s">
        <v>1611</v>
      </c>
      <c r="B2" t="s">
        <v>1339</v>
      </c>
    </row>
    <row r="3" spans="1:9">
      <c r="A3" t="s">
        <v>1610</v>
      </c>
      <c r="B3" t="s">
        <v>1339</v>
      </c>
    </row>
    <row r="4" spans="1:9">
      <c r="A4" t="s">
        <v>1614</v>
      </c>
      <c r="C4" t="s">
        <v>1339</v>
      </c>
    </row>
    <row r="5" spans="1:9">
      <c r="A5" t="s">
        <v>1616</v>
      </c>
      <c r="C5" t="s">
        <v>1339</v>
      </c>
    </row>
    <row r="6" spans="1:9">
      <c r="A6" t="s">
        <v>1623</v>
      </c>
      <c r="D6" t="s">
        <v>1339</v>
      </c>
    </row>
    <row r="7" spans="1:9">
      <c r="A7" t="s">
        <v>1628</v>
      </c>
      <c r="E7" t="s">
        <v>1339</v>
      </c>
    </row>
    <row r="8" spans="1:9">
      <c r="A8" t="s">
        <v>1629</v>
      </c>
      <c r="F8" t="s">
        <v>1339</v>
      </c>
    </row>
    <row r="9" spans="1:9">
      <c r="A9" t="s">
        <v>1630</v>
      </c>
      <c r="G9" t="s">
        <v>1339</v>
      </c>
    </row>
    <row r="10" spans="1:9">
      <c r="A10" t="s">
        <v>1631</v>
      </c>
      <c r="H10" t="s">
        <v>1339</v>
      </c>
    </row>
    <row r="11" spans="1:9">
      <c r="A11" t="s">
        <v>1632</v>
      </c>
      <c r="I11" t="s">
        <v>1339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1611</v>
      </c>
      <c r="D2" t="s">
        <v>1339</v>
      </c>
      <c r="E2" t="s">
        <v>1339</v>
      </c>
      <c r="F2" t="s">
        <v>1339</v>
      </c>
      <c r="G2" t="s">
        <v>1339</v>
      </c>
    </row>
    <row r="3" spans="1:20">
      <c r="A3" t="s">
        <v>1610</v>
      </c>
      <c r="E3" t="s">
        <v>1339</v>
      </c>
      <c r="F3" t="s">
        <v>1339</v>
      </c>
    </row>
    <row r="4" spans="1:20">
      <c r="A4" t="s">
        <v>1614</v>
      </c>
      <c r="B4" t="s">
        <v>1339</v>
      </c>
      <c r="E4" t="s">
        <v>1339</v>
      </c>
    </row>
    <row r="5" spans="1:20">
      <c r="A5" t="s">
        <v>1616</v>
      </c>
      <c r="D5" t="s">
        <v>1339</v>
      </c>
      <c r="E5" t="s">
        <v>1339</v>
      </c>
      <c r="F5" t="s">
        <v>1339</v>
      </c>
      <c r="G5" t="s">
        <v>1339</v>
      </c>
    </row>
    <row r="6" spans="1:20">
      <c r="A6" t="s">
        <v>1623</v>
      </c>
      <c r="E6" t="s">
        <v>1339</v>
      </c>
      <c r="H6" t="s">
        <v>1339</v>
      </c>
      <c r="I6" t="s">
        <v>1339</v>
      </c>
      <c r="J6" t="s">
        <v>1339</v>
      </c>
      <c r="K6" t="s">
        <v>1339</v>
      </c>
      <c r="M6" t="s">
        <v>1339</v>
      </c>
      <c r="N6" t="s">
        <v>1339</v>
      </c>
    </row>
    <row r="7" spans="1:20">
      <c r="A7" t="s">
        <v>1628</v>
      </c>
      <c r="E7" t="s">
        <v>1339</v>
      </c>
      <c r="H7" t="s">
        <v>1339</v>
      </c>
      <c r="I7" t="s">
        <v>1339</v>
      </c>
      <c r="J7" t="s">
        <v>1339</v>
      </c>
      <c r="K7" t="s">
        <v>1339</v>
      </c>
      <c r="M7" t="s">
        <v>1339</v>
      </c>
      <c r="N7" t="s">
        <v>1339</v>
      </c>
    </row>
    <row r="8" spans="1:20">
      <c r="A8" t="s">
        <v>1629</v>
      </c>
      <c r="O8" t="s">
        <v>1339</v>
      </c>
    </row>
    <row r="9" spans="1:20">
      <c r="A9" t="s">
        <v>1630</v>
      </c>
      <c r="M9" t="s">
        <v>1339</v>
      </c>
      <c r="N9" t="s">
        <v>1339</v>
      </c>
      <c r="P9" t="s">
        <v>1339</v>
      </c>
      <c r="Q9" t="s">
        <v>1339</v>
      </c>
      <c r="R9" t="s">
        <v>1339</v>
      </c>
    </row>
    <row r="10" spans="1:20">
      <c r="A10" t="s">
        <v>1631</v>
      </c>
      <c r="L10" t="s">
        <v>1339</v>
      </c>
    </row>
    <row r="11" spans="1:20">
      <c r="A11" t="s">
        <v>1632</v>
      </c>
      <c r="C11" t="s">
        <v>1339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6" t="s">
        <v>1089</v>
      </c>
      <c r="C2" s="506" t="s">
        <v>1090</v>
      </c>
      <c r="D2" s="497" t="s">
        <v>1091</v>
      </c>
      <c r="E2" s="499"/>
      <c r="F2" s="500" t="s">
        <v>1092</v>
      </c>
      <c r="G2" s="502"/>
      <c r="H2" s="497" t="s">
        <v>1093</v>
      </c>
      <c r="I2" s="498"/>
      <c r="J2" s="498"/>
      <c r="K2" s="499"/>
      <c r="L2" s="500" t="s">
        <v>1094</v>
      </c>
      <c r="M2" s="501"/>
      <c r="N2" s="502"/>
      <c r="O2" s="210" t="s">
        <v>1095</v>
      </c>
      <c r="P2" s="211" t="s">
        <v>1096</v>
      </c>
      <c r="Q2" s="497" t="s">
        <v>1097</v>
      </c>
      <c r="R2" s="498"/>
      <c r="S2" s="499"/>
      <c r="T2" s="500" t="s">
        <v>1098</v>
      </c>
      <c r="U2" s="501"/>
      <c r="V2" s="502"/>
      <c r="W2" s="207" t="s">
        <v>1099</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1100</v>
      </c>
      <c r="C5" s="214"/>
      <c r="D5" s="288"/>
      <c r="E5" s="288"/>
      <c r="F5" s="288"/>
      <c r="G5" s="288"/>
      <c r="H5" s="288"/>
      <c r="I5" s="288"/>
      <c r="J5" s="288"/>
      <c r="K5" s="288"/>
      <c r="L5" s="288"/>
      <c r="M5" s="288"/>
      <c r="N5" s="288"/>
      <c r="O5" s="288"/>
      <c r="P5" s="288"/>
      <c r="Q5" s="288"/>
      <c r="R5" s="288"/>
      <c r="S5" s="288"/>
      <c r="T5" s="288"/>
      <c r="U5" s="288"/>
      <c r="V5" s="288"/>
      <c r="W5" s="197" t="s">
        <v>1105</v>
      </c>
    </row>
    <row r="6" spans="2:28" ht="15.5">
      <c r="B6" s="504"/>
      <c r="C6" s="286">
        <v>1.1000000000000001</v>
      </c>
      <c r="D6" s="289"/>
      <c r="E6" s="289"/>
      <c r="F6" s="289"/>
      <c r="G6" s="289"/>
      <c r="H6" s="289"/>
      <c r="I6" s="289"/>
      <c r="J6" s="289"/>
      <c r="K6" s="289"/>
      <c r="L6" s="289"/>
      <c r="M6" s="289"/>
      <c r="N6" s="289"/>
      <c r="O6" s="289"/>
      <c r="P6" s="289"/>
      <c r="Q6" s="289"/>
      <c r="R6" s="289"/>
      <c r="S6" s="289"/>
      <c r="T6" s="289"/>
      <c r="U6" s="289"/>
      <c r="V6" s="289"/>
      <c r="W6" s="197" t="s">
        <v>1103</v>
      </c>
      <c r="Z6" s="196" t="s">
        <v>1101</v>
      </c>
      <c r="AB6" s="196" t="s">
        <v>1104</v>
      </c>
    </row>
    <row r="7" spans="2:28" ht="15.5">
      <c r="B7" s="504"/>
      <c r="C7" s="286">
        <v>1.2</v>
      </c>
      <c r="D7" s="289"/>
      <c r="E7" s="289"/>
      <c r="F7" s="289"/>
      <c r="G7" s="289"/>
      <c r="H7" s="289"/>
      <c r="I7" s="289"/>
      <c r="J7" s="289"/>
      <c r="K7" s="289"/>
      <c r="L7" s="289"/>
      <c r="M7" s="289"/>
      <c r="N7" s="289"/>
      <c r="O7" s="289"/>
      <c r="P7" s="289"/>
      <c r="Q7" s="289"/>
      <c r="R7" s="289"/>
      <c r="S7" s="289"/>
      <c r="T7" s="289"/>
      <c r="U7" s="289"/>
      <c r="V7" s="289"/>
      <c r="W7" s="197" t="s">
        <v>914</v>
      </c>
      <c r="Z7" s="196" t="s">
        <v>1102</v>
      </c>
      <c r="AB7" s="196" t="s">
        <v>1105</v>
      </c>
    </row>
    <row r="8" spans="2:28" ht="15.5">
      <c r="B8" s="504"/>
      <c r="C8" s="286">
        <v>1.3</v>
      </c>
      <c r="D8" s="289"/>
      <c r="E8" s="289"/>
      <c r="F8" s="289"/>
      <c r="G8" s="289"/>
      <c r="H8" s="289"/>
      <c r="I8" s="289"/>
      <c r="J8" s="289"/>
      <c r="K8" s="289"/>
      <c r="L8" s="289"/>
      <c r="M8" s="289"/>
      <c r="N8" s="289"/>
      <c r="O8" s="289"/>
      <c r="P8" s="289"/>
      <c r="Q8" s="289"/>
      <c r="R8" s="289"/>
      <c r="S8" s="289"/>
      <c r="T8" s="289"/>
      <c r="U8" s="289"/>
      <c r="V8" s="289"/>
      <c r="W8" s="197" t="s">
        <v>1102</v>
      </c>
      <c r="Z8" s="196" t="s">
        <v>914</v>
      </c>
    </row>
    <row r="9" spans="2:28" ht="15.5">
      <c r="B9" s="505"/>
      <c r="C9" s="286">
        <v>1.4</v>
      </c>
      <c r="D9" s="289"/>
      <c r="E9" s="289"/>
      <c r="F9" s="289"/>
      <c r="G9" s="289"/>
      <c r="H9" s="289"/>
      <c r="I9" s="289"/>
      <c r="J9" s="289"/>
      <c r="K9" s="289"/>
      <c r="L9" s="289"/>
      <c r="M9" s="289"/>
      <c r="N9" s="289"/>
      <c r="O9" s="289"/>
      <c r="P9" s="289"/>
      <c r="Q9" s="289"/>
      <c r="R9" s="289"/>
      <c r="S9" s="289"/>
      <c r="T9" s="289"/>
      <c r="U9" s="289"/>
      <c r="V9" s="289"/>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3" t="s">
        <v>1106</v>
      </c>
      <c r="C11" s="214"/>
      <c r="D11" s="287"/>
      <c r="E11" s="287"/>
      <c r="F11" s="287"/>
      <c r="G11" s="287"/>
      <c r="H11" s="287"/>
      <c r="I11" s="287"/>
      <c r="J11" s="287"/>
      <c r="K11" s="287"/>
      <c r="L11" s="287"/>
      <c r="M11" s="287"/>
      <c r="N11" s="287"/>
      <c r="O11" s="287"/>
      <c r="P11" s="287"/>
      <c r="Q11" s="287"/>
      <c r="R11" s="287"/>
      <c r="S11" s="287"/>
      <c r="T11" s="287"/>
      <c r="U11" s="287"/>
      <c r="V11" s="287"/>
      <c r="W11" s="197"/>
      <c r="Z11" s="196" t="s">
        <v>1107</v>
      </c>
    </row>
    <row r="12" spans="2:28" ht="15.5">
      <c r="B12" s="504"/>
      <c r="C12" s="286">
        <v>2.1</v>
      </c>
      <c r="D12" s="214"/>
      <c r="E12" s="214"/>
      <c r="F12" s="214"/>
      <c r="G12" s="214"/>
      <c r="H12" s="214"/>
      <c r="I12" s="535" t="s">
        <v>1720</v>
      </c>
      <c r="J12" s="214"/>
      <c r="K12" s="214"/>
      <c r="L12" s="214"/>
      <c r="M12" s="214"/>
      <c r="N12" s="214"/>
      <c r="O12" s="214"/>
      <c r="P12" s="214"/>
      <c r="Q12" s="214"/>
      <c r="R12" s="214"/>
      <c r="S12" s="214"/>
      <c r="T12" s="214"/>
      <c r="U12" s="214"/>
      <c r="V12" s="214"/>
      <c r="W12" s="197" t="s">
        <v>1103</v>
      </c>
    </row>
    <row r="13" spans="2:28" ht="15.5">
      <c r="B13" s="504"/>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1103</v>
      </c>
    </row>
    <row r="14" spans="2:28" ht="15.5" customHeight="1">
      <c r="B14" s="504"/>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1101</v>
      </c>
    </row>
    <row r="15" spans="2:28" ht="15.5">
      <c r="B15" s="504"/>
      <c r="C15" s="286">
        <v>2.4</v>
      </c>
      <c r="D15" s="214"/>
      <c r="E15" s="214"/>
      <c r="F15" s="214"/>
      <c r="G15" s="214"/>
      <c r="H15" s="214"/>
      <c r="I15" s="214"/>
      <c r="J15" s="214"/>
      <c r="K15" s="214"/>
      <c r="L15" s="214"/>
      <c r="M15" s="214"/>
      <c r="N15" s="214"/>
      <c r="O15" s="214"/>
      <c r="P15" s="214"/>
      <c r="Q15" s="214"/>
      <c r="R15" s="214"/>
      <c r="S15" s="214"/>
      <c r="T15" s="214"/>
      <c r="U15" s="214"/>
      <c r="V15" s="214"/>
      <c r="W15" s="197" t="s">
        <v>1102</v>
      </c>
    </row>
    <row r="16" spans="2:28" ht="15.5">
      <c r="B16" s="504"/>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4"/>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4"/>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5"/>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1108</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4"/>
      <c r="C22" s="286">
        <v>3.1</v>
      </c>
      <c r="D22" s="214"/>
      <c r="E22" s="214"/>
      <c r="F22" s="214"/>
      <c r="G22" s="214"/>
      <c r="H22" s="214"/>
      <c r="I22" s="214"/>
      <c r="J22" s="214"/>
      <c r="K22" s="214"/>
      <c r="L22" s="214"/>
      <c r="M22" s="214"/>
      <c r="N22" s="214"/>
      <c r="O22" s="214"/>
      <c r="P22" s="214"/>
      <c r="Q22" s="214"/>
      <c r="R22" s="214"/>
      <c r="S22" s="214"/>
      <c r="T22" s="214"/>
      <c r="U22" s="214"/>
      <c r="V22" s="214"/>
      <c r="W22" s="197" t="s">
        <v>1103</v>
      </c>
    </row>
    <row r="23" spans="2:23" ht="15.5">
      <c r="B23" s="504"/>
      <c r="C23" s="286">
        <v>3.2</v>
      </c>
      <c r="D23" s="214"/>
      <c r="E23" s="214"/>
      <c r="F23" s="214"/>
      <c r="G23" s="214"/>
      <c r="H23" s="214"/>
      <c r="I23" s="214"/>
      <c r="J23" s="214"/>
      <c r="K23" s="214"/>
      <c r="L23" s="214"/>
      <c r="M23" s="214"/>
      <c r="N23" s="214"/>
      <c r="O23" s="214"/>
      <c r="P23" s="214"/>
      <c r="Q23" s="214"/>
      <c r="R23" s="214"/>
      <c r="S23" s="214"/>
      <c r="T23" s="214"/>
      <c r="U23" s="214"/>
      <c r="V23" s="214"/>
      <c r="W23" s="197" t="s">
        <v>1103</v>
      </c>
    </row>
    <row r="24" spans="2:23" ht="15.5">
      <c r="B24" s="504"/>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4"/>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4"/>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4"/>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5"/>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1109</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4"/>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1103</v>
      </c>
    </row>
    <row r="32" spans="2:23" ht="15.5">
      <c r="B32" s="504"/>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4"/>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4"/>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5"/>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1110</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3"/>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3"/>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3"/>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6" t="s">
        <v>1089</v>
      </c>
      <c r="C50" s="496" t="s">
        <v>1090</v>
      </c>
      <c r="D50" s="494" t="s">
        <v>1091</v>
      </c>
      <c r="E50" s="494"/>
      <c r="F50" s="495" t="s">
        <v>1092</v>
      </c>
      <c r="G50" s="495"/>
      <c r="H50" s="494" t="s">
        <v>1093</v>
      </c>
      <c r="I50" s="494"/>
      <c r="J50" s="494"/>
      <c r="K50" s="494"/>
      <c r="L50" s="495" t="s">
        <v>1094</v>
      </c>
      <c r="M50" s="495"/>
      <c r="N50" s="495"/>
      <c r="O50" s="210" t="s">
        <v>1095</v>
      </c>
      <c r="P50" s="211" t="s">
        <v>1096</v>
      </c>
      <c r="Q50" s="494" t="s">
        <v>1097</v>
      </c>
      <c r="R50" s="494"/>
      <c r="S50" s="494"/>
      <c r="T50" s="495" t="s">
        <v>1098</v>
      </c>
      <c r="U50" s="495"/>
      <c r="V50" s="495"/>
      <c r="W50" s="207" t="s">
        <v>1099</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3"/>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3"/>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3"/>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3"/>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3"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3"/>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3"/>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3"/>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3"/>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3"/>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3"/>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3"/>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3"/>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3"/>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3"/>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3"/>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3"/>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3"/>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3"/>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3"/>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3"/>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3"/>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3"/>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1319</v>
      </c>
      <c r="B6" s="312">
        <v>1</v>
      </c>
    </row>
    <row r="7" spans="1:2">
      <c r="A7" s="126" t="s">
        <v>1156</v>
      </c>
      <c r="B7" s="312">
        <v>1</v>
      </c>
    </row>
    <row r="8" spans="1:2">
      <c r="A8" s="281" t="s">
        <v>1313</v>
      </c>
      <c r="B8" s="312">
        <v>1</v>
      </c>
    </row>
    <row r="9" spans="1:2">
      <c r="A9" s="126" t="s">
        <v>913</v>
      </c>
      <c r="B9" s="312">
        <v>1</v>
      </c>
    </row>
    <row r="10" spans="1:2">
      <c r="A10" s="281" t="s">
        <v>1320</v>
      </c>
      <c r="B10" s="312">
        <v>1</v>
      </c>
    </row>
    <row r="11" spans="1:2">
      <c r="A11" s="126" t="s">
        <v>1158</v>
      </c>
      <c r="B11" s="312">
        <v>2</v>
      </c>
    </row>
    <row r="12" spans="1:2">
      <c r="A12" s="281" t="s">
        <v>1321</v>
      </c>
      <c r="B12" s="312">
        <v>1</v>
      </c>
    </row>
    <row r="13" spans="1:2">
      <c r="A13" s="281" t="s">
        <v>1322</v>
      </c>
      <c r="B13" s="312">
        <v>1</v>
      </c>
    </row>
    <row r="14" spans="1:2">
      <c r="A14" s="126" t="s">
        <v>1159</v>
      </c>
      <c r="B14" s="312">
        <v>5</v>
      </c>
    </row>
    <row r="15" spans="1:2">
      <c r="A15" s="281" t="s">
        <v>1312</v>
      </c>
      <c r="B15" s="312">
        <v>5</v>
      </c>
    </row>
    <row r="16" spans="1:2">
      <c r="A16" s="126" t="s">
        <v>1157</v>
      </c>
      <c r="B16" s="312">
        <v>5</v>
      </c>
    </row>
    <row r="17" spans="1:2">
      <c r="A17" s="281" t="s">
        <v>1316</v>
      </c>
      <c r="B17" s="312">
        <v>3</v>
      </c>
    </row>
    <row r="18" spans="1:2">
      <c r="A18" s="281" t="s">
        <v>1317</v>
      </c>
      <c r="B18" s="312">
        <v>1</v>
      </c>
    </row>
    <row r="19" spans="1:2">
      <c r="A19" s="281" t="s">
        <v>1318</v>
      </c>
      <c r="B19" s="312">
        <v>1</v>
      </c>
    </row>
    <row r="20" spans="1:2">
      <c r="A20" s="126" t="s">
        <v>1256</v>
      </c>
      <c r="B20" s="312">
        <v>1</v>
      </c>
    </row>
    <row r="21" spans="1:2">
      <c r="A21" s="281" t="s">
        <v>1314</v>
      </c>
      <c r="B21" s="312">
        <v>1</v>
      </c>
    </row>
    <row r="22" spans="1:2">
      <c r="A22" s="126" t="s">
        <v>1309</v>
      </c>
      <c r="B22" s="312">
        <v>1</v>
      </c>
    </row>
    <row r="23" spans="1:2">
      <c r="A23" s="281" t="s">
        <v>1315</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1318</v>
      </c>
    </row>
    <row r="5" spans="1:6">
      <c r="A5" s="126" t="s">
        <v>891</v>
      </c>
    </row>
    <row r="6" spans="1:6">
      <c r="A6" s="309" t="s">
        <v>1321</v>
      </c>
    </row>
    <row r="7" spans="1:6">
      <c r="A7" s="126" t="s">
        <v>883</v>
      </c>
    </row>
    <row r="8" spans="1:6">
      <c r="A8" s="309" t="s">
        <v>1319</v>
      </c>
    </row>
    <row r="9" spans="1:6">
      <c r="A9" s="126" t="s">
        <v>886</v>
      </c>
    </row>
    <row r="10" spans="1:6">
      <c r="A10" s="309" t="s">
        <v>1312</v>
      </c>
    </row>
    <row r="11" spans="1:6">
      <c r="A11" s="126" t="s">
        <v>895</v>
      </c>
    </row>
    <row r="12" spans="1:6">
      <c r="A12" s="126" t="s">
        <v>896</v>
      </c>
    </row>
    <row r="13" spans="1:6">
      <c r="A13" s="126" t="s">
        <v>888</v>
      </c>
    </row>
    <row r="14" spans="1:6">
      <c r="A14" s="126" t="s">
        <v>889</v>
      </c>
    </row>
    <row r="15" spans="1:6">
      <c r="A15" s="126" t="s">
        <v>890</v>
      </c>
    </row>
    <row r="16" spans="1:6">
      <c r="A16" s="309" t="s">
        <v>1316</v>
      </c>
    </row>
    <row r="17" spans="1:1">
      <c r="A17" s="126" t="s">
        <v>892</v>
      </c>
    </row>
    <row r="18" spans="1:1">
      <c r="A18" s="126" t="s">
        <v>893</v>
      </c>
    </row>
    <row r="19" spans="1:1">
      <c r="A19" s="126" t="s">
        <v>894</v>
      </c>
    </row>
    <row r="20" spans="1:1">
      <c r="A20" s="309" t="s">
        <v>1320</v>
      </c>
    </row>
    <row r="21" spans="1:1">
      <c r="A21" s="126" t="s">
        <v>884</v>
      </c>
    </row>
    <row r="22" spans="1:1">
      <c r="A22" s="309" t="s">
        <v>1317</v>
      </c>
    </row>
    <row r="23" spans="1:1">
      <c r="A23" s="126" t="s">
        <v>885</v>
      </c>
    </row>
    <row r="24" spans="1:1">
      <c r="A24" s="309" t="s">
        <v>1322</v>
      </c>
    </row>
    <row r="25" spans="1:1">
      <c r="A25" s="126" t="s">
        <v>887</v>
      </c>
    </row>
    <row r="26" spans="1:1">
      <c r="A26" s="309" t="s">
        <v>1313</v>
      </c>
    </row>
    <row r="27" spans="1:1">
      <c r="A27" s="126" t="s">
        <v>751</v>
      </c>
    </row>
    <row r="28" spans="1:1">
      <c r="A28" s="309" t="s">
        <v>1315</v>
      </c>
    </row>
    <row r="29" spans="1:1">
      <c r="A29" s="126" t="s">
        <v>753</v>
      </c>
    </row>
    <row r="30" spans="1:1">
      <c r="A30" s="309" t="s">
        <v>1314</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1313</v>
      </c>
    </row>
    <row r="6" spans="1:6">
      <c r="A6" s="309" t="s">
        <v>969</v>
      </c>
    </row>
    <row r="7" spans="1:6">
      <c r="A7" s="126" t="s">
        <v>1312</v>
      </c>
    </row>
    <row r="8" spans="1:6">
      <c r="A8" s="309" t="s">
        <v>970</v>
      </c>
    </row>
    <row r="9" spans="1:6">
      <c r="A9" s="126" t="s">
        <v>1314</v>
      </c>
    </row>
    <row r="10" spans="1:6">
      <c r="A10" s="309" t="s">
        <v>918</v>
      </c>
    </row>
    <row r="11" spans="1:6">
      <c r="A11" s="126" t="s">
        <v>918</v>
      </c>
    </row>
    <row r="12" spans="1:6">
      <c r="A12" s="309" t="s">
        <v>1305</v>
      </c>
    </row>
    <row r="13" spans="1:6">
      <c r="A13" s="126" t="s">
        <v>1316</v>
      </c>
    </row>
    <row r="14" spans="1:6">
      <c r="A14" s="309" t="s">
        <v>1306</v>
      </c>
    </row>
    <row r="15" spans="1:6">
      <c r="A15" s="126" t="s">
        <v>1321</v>
      </c>
    </row>
    <row r="16" spans="1:6">
      <c r="A16" s="126" t="s">
        <v>1320</v>
      </c>
    </row>
    <row r="17" spans="1:1">
      <c r="A17" s="309" t="s">
        <v>1307</v>
      </c>
    </row>
    <row r="18" spans="1:1">
      <c r="A18" s="126" t="s">
        <v>1317</v>
      </c>
    </row>
    <row r="19" spans="1:1">
      <c r="A19" s="126" t="s">
        <v>1319</v>
      </c>
    </row>
    <row r="20" spans="1:1">
      <c r="A20" s="126" t="s">
        <v>1322</v>
      </c>
    </row>
    <row r="21" spans="1:1">
      <c r="A21" s="309" t="s">
        <v>1308</v>
      </c>
    </row>
    <row r="22" spans="1:1">
      <c r="A22" s="126" t="s">
        <v>1318</v>
      </c>
    </row>
    <row r="23" spans="1:1">
      <c r="A23" s="309" t="s">
        <v>1310</v>
      </c>
    </row>
    <row r="24" spans="1:1">
      <c r="A24" s="126" t="s">
        <v>1315</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1316</v>
      </c>
    </row>
    <row r="8" spans="1:1">
      <c r="A8" s="126" t="s">
        <v>1317</v>
      </c>
    </row>
    <row r="9" spans="1:1">
      <c r="A9" s="126" t="s">
        <v>1318</v>
      </c>
    </row>
    <row r="10" spans="1:1">
      <c r="A10" s="309" t="s">
        <v>993</v>
      </c>
    </row>
    <row r="11" spans="1:1">
      <c r="A11" s="126" t="s">
        <v>1321</v>
      </c>
    </row>
    <row r="12" spans="1:1">
      <c r="A12" s="126" t="s">
        <v>1320</v>
      </c>
    </row>
    <row r="13" spans="1:1">
      <c r="A13" s="126" t="s">
        <v>1319</v>
      </c>
    </row>
    <row r="14" spans="1:1">
      <c r="A14" s="126" t="s">
        <v>1322</v>
      </c>
    </row>
    <row r="15" spans="1:1">
      <c r="A15" s="309" t="s">
        <v>994</v>
      </c>
    </row>
    <row r="16" spans="1:1">
      <c r="A16" s="126" t="s">
        <v>1313</v>
      </c>
    </row>
    <row r="17" spans="1:1">
      <c r="A17" s="309" t="s">
        <v>995</v>
      </c>
    </row>
    <row r="18" spans="1:1">
      <c r="A18" s="126" t="s">
        <v>1312</v>
      </c>
    </row>
    <row r="19" spans="1:1">
      <c r="A19" s="309" t="s">
        <v>996</v>
      </c>
    </row>
    <row r="20" spans="1:1">
      <c r="A20" s="126" t="s">
        <v>1315</v>
      </c>
    </row>
    <row r="21" spans="1:1">
      <c r="A21" s="309" t="s">
        <v>1002</v>
      </c>
    </row>
    <row r="22" spans="1:1">
      <c r="A22" s="126" t="s">
        <v>1314</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1556</v>
      </c>
      <c r="B32" s="386" t="s">
        <v>382</v>
      </c>
    </row>
    <row r="33" spans="1:2" ht="32" customHeight="1">
      <c r="A33" s="395" t="s">
        <v>795</v>
      </c>
      <c r="B33" s="391" t="s">
        <v>1557</v>
      </c>
    </row>
    <row r="34" spans="1:2" ht="32" customHeight="1">
      <c r="A34" s="395" t="s">
        <v>1558</v>
      </c>
      <c r="B34" s="392" t="s">
        <v>1443</v>
      </c>
    </row>
    <row r="35" spans="1:2" ht="32" customHeight="1">
      <c r="A35" s="395" t="s">
        <v>796</v>
      </c>
      <c r="B35" s="392" t="s">
        <v>1440</v>
      </c>
    </row>
    <row r="36" spans="1:2" ht="32" customHeight="1">
      <c r="A36" s="395" t="s">
        <v>1559</v>
      </c>
      <c r="B36" s="392" t="s">
        <v>1441</v>
      </c>
    </row>
    <row r="37" spans="1:2" ht="32" customHeight="1">
      <c r="A37" s="395" t="s">
        <v>672</v>
      </c>
      <c r="B37" s="392" t="s">
        <v>1560</v>
      </c>
    </row>
    <row r="38" spans="1:2">
      <c r="A38" s="386" t="s">
        <v>1561</v>
      </c>
      <c r="B38" s="386" t="s">
        <v>382</v>
      </c>
    </row>
    <row r="39" spans="1:2" ht="35" customHeight="1">
      <c r="A39" s="395" t="s">
        <v>1562</v>
      </c>
      <c r="B39" s="392" t="s">
        <v>1563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8" t="str">
        <f>'P1PA-SS'!B76</f>
        <v>CMMI Development V2.0 (CMMI-DEV) without SAM</v>
      </c>
      <c r="B2" s="519"/>
      <c r="C2" s="519"/>
      <c r="E2" s="361" t="s">
        <v>1329</v>
      </c>
      <c r="F2" s="361">
        <f>VALUE(RIGHT(Planning!B10,1))</f>
        <v>5</v>
      </c>
      <c r="G2" s="349" t="s">
        <v>1330</v>
      </c>
      <c r="J2" s="518" t="str">
        <f>'P1PA-SS'!B76</f>
        <v>CMMI Development V2.0 (CMMI-DEV) without SAM</v>
      </c>
      <c r="K2" s="519"/>
      <c r="L2" s="519"/>
      <c r="M2" s="519"/>
      <c r="N2" s="519"/>
      <c r="O2" s="519"/>
    </row>
    <row r="3" spans="1:20" s="348" customFormat="1">
      <c r="A3" s="520" t="str">
        <f>'P1PA-SS'!B75</f>
        <v>Maturity Level 5</v>
      </c>
      <c r="B3" s="521"/>
      <c r="C3" s="521"/>
      <c r="D3" s="359"/>
      <c r="E3" s="359"/>
      <c r="F3" s="359"/>
      <c r="G3" s="364"/>
      <c r="H3" s="364"/>
      <c r="I3" s="364"/>
      <c r="J3" s="520" t="str">
        <f>'P1PA-SS'!B75</f>
        <v>Maturity Level 5</v>
      </c>
      <c r="K3" s="521"/>
      <c r="L3" s="521"/>
      <c r="M3" s="521"/>
      <c r="N3" s="521"/>
      <c r="O3" s="521"/>
      <c r="P3" s="364"/>
      <c r="Q3" s="364"/>
      <c r="R3" s="364"/>
      <c r="S3" s="364"/>
      <c r="T3" s="364"/>
    </row>
    <row r="4" spans="1:20">
      <c r="A4" s="365" t="s">
        <v>1536</v>
      </c>
      <c r="B4" s="365" t="s">
        <v>920</v>
      </c>
      <c r="C4" s="366" t="s">
        <v>1537</v>
      </c>
      <c r="F4" s="359" t="s">
        <v>1553</v>
      </c>
      <c r="J4" s="379" t="s">
        <v>920</v>
      </c>
      <c r="K4" s="380">
        <v>1</v>
      </c>
      <c r="L4" s="380">
        <v>2</v>
      </c>
      <c r="M4" s="380">
        <v>3</v>
      </c>
      <c r="N4" s="380">
        <v>4</v>
      </c>
      <c r="O4" s="380">
        <v>5</v>
      </c>
    </row>
    <row r="5" spans="1:20" ht="20.5" customHeight="1">
      <c r="A5" s="522" t="s">
        <v>1541</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2"/>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2"/>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2"/>
      <c r="B8" s="367" t="s">
        <v>1542</v>
      </c>
      <c r="C8" s="360">
        <f t="shared" si="0"/>
        <v>3</v>
      </c>
      <c r="F8" s="359">
        <v>3</v>
      </c>
      <c r="J8" s="381" t="s">
        <v>1542</v>
      </c>
      <c r="K8" s="382" t="str">
        <f t="shared" si="2"/>
        <v>x</v>
      </c>
      <c r="L8" s="382" t="str">
        <f t="shared" si="1"/>
        <v>x</v>
      </c>
      <c r="M8" s="382" t="str">
        <f t="shared" si="1"/>
        <v>x</v>
      </c>
      <c r="N8" s="382" t="str">
        <f t="shared" si="1"/>
        <v/>
      </c>
      <c r="O8" s="382" t="str">
        <f t="shared" si="1"/>
        <v/>
      </c>
    </row>
    <row r="9" spans="1:20" ht="20.5" customHeight="1">
      <c r="A9" s="523" t="s">
        <v>1544</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3"/>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1554</v>
      </c>
      <c r="B11" s="370" t="s">
        <v>1555</v>
      </c>
      <c r="C11" s="360">
        <f t="shared" si="0"/>
        <v>4</v>
      </c>
      <c r="F11" s="359">
        <v>4</v>
      </c>
      <c r="J11" s="381" t="s">
        <v>1555</v>
      </c>
      <c r="K11" s="382" t="str">
        <f t="shared" si="2"/>
        <v>x</v>
      </c>
      <c r="L11" s="382" t="str">
        <f t="shared" si="1"/>
        <v>x</v>
      </c>
      <c r="M11" s="382" t="str">
        <f t="shared" si="1"/>
        <v>x</v>
      </c>
      <c r="N11" s="382" t="str">
        <f t="shared" si="1"/>
        <v>x</v>
      </c>
      <c r="O11" s="382" t="str">
        <f t="shared" si="1"/>
        <v/>
      </c>
    </row>
    <row r="12" spans="1:20" ht="20.5" customHeight="1">
      <c r="A12" s="524" t="s">
        <v>1552</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4"/>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4"/>
      <c r="B14" s="371" t="s">
        <v>1545</v>
      </c>
      <c r="C14" s="360">
        <f t="shared" si="0"/>
        <v>3</v>
      </c>
      <c r="F14" s="359">
        <v>3</v>
      </c>
      <c r="J14" s="381" t="s">
        <v>1545</v>
      </c>
      <c r="K14" s="382" t="str">
        <f t="shared" si="2"/>
        <v>x</v>
      </c>
      <c r="L14" s="382" t="str">
        <f t="shared" si="1"/>
        <v>x</v>
      </c>
      <c r="M14" s="382" t="str">
        <f t="shared" si="1"/>
        <v>x</v>
      </c>
      <c r="N14" s="382" t="str">
        <f t="shared" si="1"/>
        <v/>
      </c>
      <c r="O14" s="382" t="str">
        <f t="shared" si="1"/>
        <v/>
      </c>
    </row>
    <row r="15" spans="1:20" ht="20.5" customHeight="1">
      <c r="A15" s="372" t="s">
        <v>1551</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1550</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5" t="s">
        <v>1549</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5"/>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5"/>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6" t="s">
        <v>1548</v>
      </c>
      <c r="B20" s="377" t="s">
        <v>1547</v>
      </c>
      <c r="C20" s="360">
        <f t="shared" si="0"/>
        <v>4</v>
      </c>
      <c r="F20" s="359">
        <v>4</v>
      </c>
      <c r="J20" s="381" t="s">
        <v>1547</v>
      </c>
      <c r="K20" s="382" t="str">
        <f t="shared" si="2"/>
        <v>x</v>
      </c>
      <c r="L20" s="382" t="str">
        <f t="shared" si="1"/>
        <v>x</v>
      </c>
      <c r="M20" s="382" t="str">
        <f t="shared" si="1"/>
        <v>x</v>
      </c>
      <c r="N20" s="382" t="str">
        <f t="shared" si="1"/>
        <v>x</v>
      </c>
      <c r="O20" s="382" t="str">
        <f t="shared" si="1"/>
        <v/>
      </c>
    </row>
    <row r="21" spans="1:15" ht="20.5" customHeight="1">
      <c r="A21" s="516"/>
      <c r="B21" s="377" t="s">
        <v>1546</v>
      </c>
      <c r="C21" s="360">
        <f t="shared" si="0"/>
        <v>3</v>
      </c>
      <c r="F21" s="359">
        <v>3</v>
      </c>
      <c r="J21" s="381" t="s">
        <v>1546</v>
      </c>
      <c r="K21" s="382" t="str">
        <f t="shared" si="2"/>
        <v>x</v>
      </c>
      <c r="L21" s="382" t="str">
        <f t="shared" si="2"/>
        <v>x</v>
      </c>
      <c r="M21" s="382" t="str">
        <f t="shared" si="2"/>
        <v>x</v>
      </c>
      <c r="N21" s="382" t="str">
        <f t="shared" si="2"/>
        <v/>
      </c>
      <c r="O21" s="382" t="str">
        <f t="shared" si="2"/>
        <v/>
      </c>
    </row>
    <row r="22" spans="1:15" ht="20.5" customHeight="1">
      <c r="A22" s="517" t="s">
        <v>1543</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7"/>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7"/>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1219</v>
      </c>
      <c r="D3" s="406" t="s">
        <v>1220</v>
      </c>
    </row>
    <row r="4" spans="2:13" ht="31">
      <c r="B4" s="411">
        <v>2</v>
      </c>
      <c r="C4" s="406" t="s">
        <v>1221</v>
      </c>
      <c r="D4" s="406" t="s">
        <v>1222</v>
      </c>
    </row>
    <row r="5" spans="2:13" ht="31">
      <c r="B5" s="411">
        <v>3</v>
      </c>
      <c r="C5" s="406" t="s">
        <v>1223</v>
      </c>
      <c r="D5" s="406" t="s">
        <v>1224</v>
      </c>
    </row>
    <row r="6" spans="2:13">
      <c r="B6" s="411">
        <v>4</v>
      </c>
      <c r="C6" s="406" t="s">
        <v>1122</v>
      </c>
      <c r="D6" s="406" t="s">
        <v>1123</v>
      </c>
    </row>
    <row r="7" spans="2:13" ht="31">
      <c r="B7" s="411">
        <v>5</v>
      </c>
      <c r="C7" s="406" t="s">
        <v>1225</v>
      </c>
      <c r="D7" s="406" t="s">
        <v>1226</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1227</v>
      </c>
      <c r="D19" s="406" t="s">
        <v>1228</v>
      </c>
    </row>
    <row r="20" spans="2:4" ht="46.5">
      <c r="B20" s="411">
        <v>2</v>
      </c>
      <c r="C20" s="406" t="s">
        <v>1229</v>
      </c>
      <c r="D20" s="406" t="s">
        <v>1230</v>
      </c>
    </row>
    <row r="21" spans="2:4" ht="46.5">
      <c r="B21" s="411">
        <v>3</v>
      </c>
      <c r="C21" s="406" t="s">
        <v>1231</v>
      </c>
      <c r="D21" s="406" t="s">
        <v>1232</v>
      </c>
    </row>
    <row r="22" spans="2:4" ht="46.5">
      <c r="B22" s="411">
        <v>4</v>
      </c>
      <c r="C22" s="406" t="s">
        <v>1233</v>
      </c>
      <c r="D22" s="406" t="s">
        <v>1234</v>
      </c>
    </row>
    <row r="23" spans="2:4" ht="46.5">
      <c r="B23" s="411">
        <v>5</v>
      </c>
      <c r="C23" s="406" t="s">
        <v>1235</v>
      </c>
      <c r="D23" s="406" t="s">
        <v>1236</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1340</v>
      </c>
    </row>
    <row r="2" spans="1:3">
      <c r="A2" s="125" t="s">
        <v>1341</v>
      </c>
      <c r="B2" s="125" t="s">
        <v>1368</v>
      </c>
      <c r="C2" s="125" t="s">
        <v>1369</v>
      </c>
    </row>
    <row r="3" spans="1:3">
      <c r="A3" s="125" t="s">
        <v>886</v>
      </c>
      <c r="B3" s="125" t="s">
        <v>1360</v>
      </c>
      <c r="C3" s="125" t="s">
        <v>1342</v>
      </c>
    </row>
    <row r="4" spans="1:3">
      <c r="A4" s="125" t="s">
        <v>836</v>
      </c>
      <c r="B4" s="125" t="s">
        <v>1343</v>
      </c>
      <c r="C4" s="125" t="s">
        <v>1343</v>
      </c>
    </row>
    <row r="5" spans="1:3">
      <c r="A5" s="125" t="s">
        <v>887</v>
      </c>
      <c r="B5" s="125" t="s">
        <v>1344</v>
      </c>
      <c r="C5" s="125" t="s">
        <v>1344</v>
      </c>
    </row>
    <row r="6" spans="1:3">
      <c r="A6" s="125" t="s">
        <v>885</v>
      </c>
      <c r="B6" s="125" t="s">
        <v>1361</v>
      </c>
      <c r="C6" s="125" t="s">
        <v>1345</v>
      </c>
    </row>
    <row r="7" spans="1:3">
      <c r="A7" s="125" t="s">
        <v>884</v>
      </c>
      <c r="B7" s="125" t="s">
        <v>1362</v>
      </c>
      <c r="C7" s="125" t="s">
        <v>1346</v>
      </c>
    </row>
    <row r="8" spans="1:3">
      <c r="A8" s="125" t="s">
        <v>883</v>
      </c>
      <c r="B8" s="125" t="s">
        <v>1347</v>
      </c>
      <c r="C8" s="125" t="s">
        <v>1347</v>
      </c>
    </row>
    <row r="9" spans="1:3">
      <c r="A9" s="125" t="s">
        <v>892</v>
      </c>
      <c r="B9" s="125" t="s">
        <v>1348</v>
      </c>
      <c r="C9" s="125" t="s">
        <v>1348</v>
      </c>
    </row>
    <row r="10" spans="1:3">
      <c r="A10" s="125" t="s">
        <v>894</v>
      </c>
      <c r="B10" s="125" t="s">
        <v>1363</v>
      </c>
      <c r="C10" s="125" t="s">
        <v>1349</v>
      </c>
    </row>
    <row r="11" spans="1:3">
      <c r="A11" s="125" t="s">
        <v>893</v>
      </c>
      <c r="B11" s="125" t="s">
        <v>1364</v>
      </c>
      <c r="C11" s="125" t="s">
        <v>1350</v>
      </c>
    </row>
    <row r="12" spans="1:3">
      <c r="A12" s="125" t="s">
        <v>891</v>
      </c>
      <c r="B12" s="125" t="s">
        <v>1365</v>
      </c>
      <c r="C12" s="125" t="s">
        <v>1351</v>
      </c>
    </row>
    <row r="13" spans="1:3">
      <c r="A13" s="125" t="s">
        <v>753</v>
      </c>
      <c r="B13" s="125" t="s">
        <v>31</v>
      </c>
      <c r="C13" s="125" t="s">
        <v>1352</v>
      </c>
    </row>
    <row r="14" spans="1:3">
      <c r="A14" s="125" t="s">
        <v>895</v>
      </c>
      <c r="B14" s="125" t="s">
        <v>32</v>
      </c>
      <c r="C14" s="125" t="s">
        <v>1353</v>
      </c>
    </row>
    <row r="15" spans="1:3">
      <c r="A15" s="125" t="s">
        <v>896</v>
      </c>
      <c r="B15" s="125" t="s">
        <v>33</v>
      </c>
      <c r="C15" s="125" t="s">
        <v>1354</v>
      </c>
    </row>
    <row r="16" spans="1:3">
      <c r="A16" s="125" t="s">
        <v>751</v>
      </c>
      <c r="B16" s="125" t="s">
        <v>34</v>
      </c>
      <c r="C16" s="125" t="s">
        <v>1355</v>
      </c>
    </row>
    <row r="17" spans="1:3">
      <c r="A17" s="125" t="s">
        <v>890</v>
      </c>
      <c r="B17" s="125" t="s">
        <v>35</v>
      </c>
      <c r="C17" s="125" t="s">
        <v>1356</v>
      </c>
    </row>
    <row r="18" spans="1:3">
      <c r="A18" s="125" t="s">
        <v>889</v>
      </c>
      <c r="B18" s="125" t="s">
        <v>17</v>
      </c>
      <c r="C18" s="125" t="s">
        <v>32</v>
      </c>
    </row>
    <row r="19" spans="1:3">
      <c r="A19" s="125" t="s">
        <v>888</v>
      </c>
      <c r="B19" s="125" t="s">
        <v>1366</v>
      </c>
      <c r="C19" s="125" t="s">
        <v>1357</v>
      </c>
    </row>
    <row r="20" spans="1:3">
      <c r="A20" s="125" t="s">
        <v>910</v>
      </c>
      <c r="C20" s="125" t="s">
        <v>34</v>
      </c>
    </row>
    <row r="21" spans="1:3">
      <c r="A21" s="125" t="s">
        <v>911</v>
      </c>
      <c r="C21" s="125" t="s">
        <v>35</v>
      </c>
    </row>
    <row r="22" spans="1:3">
      <c r="C22" s="125" t="s">
        <v>1358</v>
      </c>
    </row>
    <row r="23" spans="1:3">
      <c r="C23" s="125" t="s">
        <v>1359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2021-04-16T03:14:08Z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