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sheets/sheet48.xml" ContentType="application/vnd.openxmlformats-officedocument.spreadsheetml.worksheet+xml"/>
  <Override PartName="/xl/worksheets/sheet49.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pivotCache/pivotCacheDefinition3.xml" ContentType="application/vnd.openxmlformats-officedocument.spreadsheetml.pivotCacheDefinition+xml"/>
  <Override PartName="/xl/pivotCache/pivotCacheRecords3.xml" ContentType="application/vnd.openxmlformats-officedocument.spreadsheetml.pivotCacheRecords+xml"/>
  <Override PartName="/xl/pivotCache/pivotCacheDefinition4.xml" ContentType="application/vnd.openxmlformats-officedocument.spreadsheetml.pivotCacheDefinition+xml"/>
  <Override PartName="/xl/pivotCache/pivotCacheRecords4.xml" ContentType="application/vnd.openxmlformats-officedocument.spreadsheetml.pivotCacheRecords+xml"/>
  <Override PartName="/xl/pivotCache/pivotCacheDefinition5.xml" ContentType="application/vnd.openxmlformats-officedocument.spreadsheetml.pivotCacheDefinition+xml"/>
  <Override PartName="/xl/pivotCache/pivotCacheRecords5.xml" ContentType="application/vnd.openxmlformats-officedocument.spreadsheetml.pivotCacheRecords+xml"/>
  <Override PartName="/xl/pivotCache/pivotCacheDefinition6.xml" ContentType="application/vnd.openxmlformats-officedocument.spreadsheetml.pivotCacheDefinition+xml"/>
  <Override PartName="/xl/pivotCache/pivotCacheRecords6.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omments1.xml" ContentType="application/vnd.openxmlformats-officedocument.spreadsheetml.comments+xml"/>
  <Override PartName="/xl/drawings/drawing3.xml" ContentType="application/vnd.openxmlformats-officedocument.drawing+xml"/>
  <Override PartName="/xl/comments2.xml" ContentType="application/vnd.openxmlformats-officedocument.spreadsheetml.comments+xml"/>
  <Override PartName="/xl/comments3.xml" ContentType="application/vnd.openxmlformats-officedocument.spreadsheetml.comments+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comments4.xml" ContentType="application/vnd.openxmlformats-officedocument.spreadsheetml.comments+xml"/>
  <Override PartName="/xl/comments5.xml" ContentType="application/vnd.openxmlformats-officedocument.spreadsheetml.comments+xml"/>
  <Override PartName="/xl/comments6.xml" ContentType="application/vnd.openxmlformats-officedocument.spreadsheetml.comments+xml"/>
  <Override PartName="/xl/drawings/drawing4.xml" ContentType="application/vnd.openxmlformats-officedocument.drawing+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pivotTables/pivotTable7.xml" ContentType="application/vnd.openxmlformats-officedocument.spreadsheetml.pivotTable+xml"/>
  <Override PartName="/xl/pivotTables/pivotTable8.xml" ContentType="application/vnd.openxmlformats-officedocument.spreadsheetml.pivotTable+xml"/>
  <Override PartName="/xl/pivotTables/pivotTable9.xml" ContentType="application/vnd.openxmlformats-officedocument.spreadsheetml.pivotTable+xml"/>
  <Override PartName="/xl/drawings/drawing5.xml" ContentType="application/vnd.openxmlformats-officedocument.drawin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729"/>
  <workbookPr defaultThemeVersion="166925"/>
  <mc:AlternateContent xmlns:mc="http://schemas.openxmlformats.org/markup-compatibility/2006">
    <mc:Choice Requires="x15">
      <x15ac:absPath xmlns:x15ac="http://schemas.microsoft.com/office/spreadsheetml/2010/11/ac" url="C:\Users\pwjva\Documents\GitHub\CMMITools\2021-04-12to04-16 (A5) C53517 SoftMARS\"/>
    </mc:Choice>
  </mc:AlternateContent>
  <xr:revisionPtr revIDLastSave="0" documentId="13_ncr:1_{2AB05DAE-A340-4950-BE7D-BE1D92A6C266}" xr6:coauthVersionLast="47" xr6:coauthVersionMax="47" xr10:uidLastSave="{00000000-0000-0000-0000-000000000000}"/>
  <bookViews>
    <workbookView xWindow="-120" yWindow="-16320" windowWidth="29040" windowHeight="15720" tabRatio="859" activeTab="13" xr2:uid="{17A60280-7B31-4962-89EB-A14BB501988E}"/>
  </bookViews>
  <sheets>
    <sheet name="Copyright" sheetId="61" r:id="rId1"/>
    <sheet name="Release" sheetId="22" r:id="rId2"/>
    <sheet name="Guide" sheetId="62" r:id="rId3"/>
    <sheet name="Control" sheetId="38" r:id="rId4"/>
    <sheet name="Agreement 3" sheetId="1" r:id="rId5"/>
    <sheet name="Planning" sheetId="19" r:id="rId6"/>
    <sheet name="StartupInfo" sheetId="24" r:id="rId7"/>
    <sheet name="Project&amp;Support" sheetId="25" r:id="rId8"/>
    <sheet name="Staff" sheetId="27" r:id="rId9"/>
    <sheet name="StaffGuide" sheetId="59" r:id="rId10"/>
    <sheet name="PvtProjectFTEs" sheetId="36" r:id="rId11"/>
    <sheet name="PvtStaffDistinct" sheetId="28" r:id="rId12"/>
    <sheet name="PvtPACheck" sheetId="33" r:id="rId13"/>
    <sheet name="P1PA-SS" sheetId="15" r:id="rId14"/>
    <sheet name="P1PA-RSG" sheetId="16" r:id="rId15"/>
    <sheet name="P1PA-R" sheetId="18" r:id="rId16"/>
    <sheet name="P2CA" sheetId="56" r:id="rId17"/>
    <sheet name="P3RF" sheetId="55" r:id="rId18"/>
    <sheet name="Schedule" sheetId="30" r:id="rId19"/>
    <sheet name="PvtCheck1" sheetId="54" r:id="rId20"/>
    <sheet name="Schedule2" sheetId="32" r:id="rId21"/>
    <sheet name="PvtEffort" sheetId="66" r:id="rId22"/>
    <sheet name="ScheduleISACA" sheetId="82" r:id="rId23"/>
    <sheet name="Schedule4-1P" sheetId="35" r:id="rId24"/>
    <sheet name="Schedule4-1A" sheetId="52" r:id="rId25"/>
    <sheet name="Schedule4-2" sheetId="76" r:id="rId26"/>
    <sheet name="ATM_PA" sheetId="44" r:id="rId27"/>
    <sheet name="C_Resource_Estimates" sheetId="73" r:id="rId28"/>
    <sheet name="C_Support" sheetId="72" r:id="rId29"/>
    <sheet name="C_Projects" sheetId="71" r:id="rId30"/>
    <sheet name="C_OUParticipants" sheetId="67" r:id="rId31"/>
    <sheet name="C_OUProjects" sheetId="68" r:id="rId32"/>
    <sheet name="C_OUPracticeAreas" sheetId="69" r:id="rId33"/>
    <sheet name="OULC" sheetId="49" r:id="rId34"/>
    <sheet name="PvtPartDistinct" sheetId="60" r:id="rId35"/>
    <sheet name="PvtPart_PA" sheetId="42" r:id="rId36"/>
    <sheet name="PvtPart_PrjSup" sheetId="41" r:id="rId37"/>
    <sheet name="PvtPart_Session" sheetId="39" r:id="rId38"/>
    <sheet name="pptxCertificate" sheetId="46" r:id="rId39"/>
    <sheet name="pptxCover" sheetId="47" r:id="rId40"/>
    <sheet name="pptxLink1" sheetId="74" r:id="rId41"/>
    <sheet name="pptxLink2" sheetId="75" r:id="rId42"/>
    <sheet name="pptxLink3" sheetId="77" r:id="rId43"/>
    <sheet name="pptxLink4" sheetId="78" r:id="rId44"/>
    <sheet name="pptxLink5" sheetId="79" r:id="rId45"/>
    <sheet name="pptxLink6" sheetId="80" r:id="rId46"/>
    <sheet name="pptxLink7" sheetId="81" r:id="rId47"/>
    <sheet name="Tables" sheetId="4" r:id="rId48"/>
    <sheet name="BASE" sheetId="70" r:id="rId49"/>
  </sheets>
  <externalReferences>
    <externalReference r:id="rId50"/>
    <externalReference r:id="rId51"/>
    <externalReference r:id="rId52"/>
  </externalReferences>
  <definedNames>
    <definedName name="_xlnm._FilterDatabase" localSheetId="8" hidden="1">Staff!$A$2:$Y$30</definedName>
    <definedName name="_xlnm._FilterDatabase" localSheetId="9" hidden="1">StaffGuide!$A$2:$V$2</definedName>
    <definedName name="_xlnm.Print_Area" localSheetId="26">ATM_PA!$A$1:$X$27</definedName>
    <definedName name="_xlnm.Print_Area" localSheetId="7">'Project&amp;Support'!$A$1:$AJ$20</definedName>
    <definedName name="_xlnm.Print_Area" localSheetId="11">PvtStaffDistinct!$A$2:$A$31</definedName>
    <definedName name="_xlnm.Print_Area" localSheetId="20">Schedule2!$A$1:$I$10</definedName>
    <definedName name="_xlnm.Print_Area" localSheetId="24">'Schedule4-1A'!$A$1:$G$110</definedName>
    <definedName name="_xlnm.Print_Area" localSheetId="23">'Schedule4-1P'!$A$1:$G$110</definedName>
    <definedName name="_xlnm.Print_Area" localSheetId="22">ScheduleISACA!$A$1:$R$26</definedName>
    <definedName name="_xlnm.Print_Area" localSheetId="8">Staff!$A$2:$Y$30</definedName>
    <definedName name="_xlnm.Print_Area" localSheetId="9">StaffGuide!$A$2:$V$2</definedName>
    <definedName name="_xlnm.Print_Area" localSheetId="6">StartupInfo!$A$1:$B$58</definedName>
    <definedName name="_xlnm.Print_Titles" localSheetId="8">Staff!$2:$2</definedName>
    <definedName name="_xlnm.Print_Titles" localSheetId="9">StaffGuide!$2:$2</definedName>
    <definedName name="tbl_Affiliation">Tables!$AN$5:$AN$6</definedName>
    <definedName name="tbl_Application_domain">[1]TablesLookup!$A$2:$A$8</definedName>
    <definedName name="tbl_AppraisalArtifacts" localSheetId="22">[2]Tables!$AL$5:$AL$10</definedName>
    <definedName name="tbl_AppraisalArtifacts">Tables!$AL$5:$AL$10</definedName>
    <definedName name="tbl_appraisalrole">Tables!$J$5:$J$8</definedName>
    <definedName name="tbl_Business_Category">[3]TableLookup!$A$11:$A$15</definedName>
    <definedName name="tbl_CMMI_models">[3]TableLookup!$A$22:$A$25</definedName>
    <definedName name="tbl_COI" localSheetId="22">[2]Tables!$AF$5:$AF$19</definedName>
    <definedName name="tbl_COI">Tables!$AF$5:$AF$19</definedName>
    <definedName name="tbl_CollectionApproach" localSheetId="22">[2]Tables!$R$5:$R$7</definedName>
    <definedName name="tbl_CollectionApproach">Tables!$R$5:$R$7</definedName>
    <definedName name="tbl_collectiontechnique" localSheetId="22">[2]Tables!$T$5:$T$11</definedName>
    <definedName name="tbl_collectiontechnique">Tables!$T$5:$T$11</definedName>
    <definedName name="tbl_constraints" localSheetId="22">[2]Tables!$AB$5:$AB$11</definedName>
    <definedName name="tbl_constraints">Tables!$AB$5:$AB$11</definedName>
    <definedName name="tbl_country" localSheetId="22">[2]Tables!$B$5:$B$258</definedName>
    <definedName name="tbl_country">Tables!$B$5:$B$258</definedName>
    <definedName name="tbl_Day_of_week">[3]TableLookup!$C$2:$D$8</definedName>
    <definedName name="tbl_equipment" localSheetId="22">[2]Tables!$Z$5:$Z$17</definedName>
    <definedName name="tbl_equipment">Tables!$Z$5:$Z$17</definedName>
    <definedName name="tbl_followon" localSheetId="22">[2]Tables!$AH$5:$AH$9</definedName>
    <definedName name="tbl_followon">Tables!$AH$5:$AH$9</definedName>
    <definedName name="tbl_isic" localSheetId="22">[2]Tables!$D$5:$D$92</definedName>
    <definedName name="tbl_isic">Tables!$D$5:$D$92</definedName>
    <definedName name="tbl_logisticalRequirement" localSheetId="22">[2]Tables!$X$5:$X$9</definedName>
    <definedName name="tbl_logisticalRequirement">Tables!$X$5:$X$9</definedName>
    <definedName name="tbl_modelview" localSheetId="22">[2]Tables!$H$5:$H$9</definedName>
    <definedName name="tbl_modelview">Tables!$H$5:$H$9</definedName>
    <definedName name="tbl_PAcount" localSheetId="22">[2]Tables!$U$36:$Z$56</definedName>
    <definedName name="tbl_PAcount">Tables!$U$36:$Z$56</definedName>
    <definedName name="tbl_projectNames" localSheetId="22">'[2]Project&amp;Support'!$A$3:$B$60</definedName>
    <definedName name="tbl_projectNames">'Project&amp;Support'!$A$3:$B$58</definedName>
    <definedName name="tbl_reportingRelationship" localSheetId="22">[2]Tables!$AJ$5:$AJ$10</definedName>
    <definedName name="tbl_reportingRelationship">Tables!$AJ$5:$AJ$10</definedName>
    <definedName name="tbl_responsibleEntity" localSheetId="22">[2]Tables!$V$5:$V$9</definedName>
    <definedName name="tbl_responsibleEntity">Tables!$V$5:$V$9</definedName>
    <definedName name="tbl_riskCategory" localSheetId="22">[2]Tables!$AD$5:$AD$11</definedName>
    <definedName name="tbl_riskCategory">Tables!$AD$5:$AD$11</definedName>
    <definedName name="tbl_RolePAlookup" localSheetId="22">[2]StaffGuide!$A$3:$V$13</definedName>
    <definedName name="tbl_RolePAlookup">StaffGuide!$A$3:$V$13</definedName>
    <definedName name="tbl_sampling" localSheetId="22">[2]Tables!$L$5:$L$10</definedName>
    <definedName name="tbl_sampling">Tables!$L$5:$L$10</definedName>
    <definedName name="tbl_target" localSheetId="22">[2]Tables!$F$5:$F$9</definedName>
    <definedName name="tbl_target">Tables!$F$5:$F$9</definedName>
    <definedName name="tbl_timezone" localSheetId="22">[2]Tables!$N$5:$N$143</definedName>
    <definedName name="tbl_timezone">Tables!$N$5:$N$143</definedName>
  </definedNames>
  <calcPr calcId="191029"/>
  <pivotCaches>
    <pivotCache cacheId="106" r:id="rId53"/>
    <pivotCache cacheId="107" r:id="rId54"/>
    <pivotCache cacheId="108" r:id="rId55"/>
    <pivotCache cacheId="109" r:id="rId56"/>
    <pivotCache cacheId="110" r:id="rId57"/>
    <pivotCache cacheId="111" r:id="rId58"/>
  </pivotCaches>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B24" i="15" l="1"/>
  <c r="B20" i="47"/>
  <c r="C35" i="82"/>
  <c r="C34" i="82"/>
  <c r="C5" i="82"/>
  <c r="Q3" i="82"/>
  <c r="A1" i="82"/>
  <c r="E5" i="82"/>
  <c r="G5" i="82" s="1"/>
  <c r="D5" i="82"/>
  <c r="T4" i="82"/>
  <c r="G33" i="47"/>
  <c r="G32" i="47"/>
  <c r="C33" i="47"/>
  <c r="B29" i="47"/>
  <c r="B11" i="47"/>
  <c r="A12" i="75"/>
  <c r="A2" i="74"/>
  <c r="B2" i="74"/>
  <c r="F5" i="82" l="1"/>
  <c r="D4" i="82"/>
  <c r="I5" i="82"/>
  <c r="G4" i="82"/>
  <c r="E4" i="82"/>
  <c r="T5" i="82"/>
  <c r="T6" i="82" s="1"/>
  <c r="T7" i="82" s="1"/>
  <c r="T8" i="82" s="1"/>
  <c r="A3" i="82" s="1"/>
  <c r="C4" i="82"/>
  <c r="V88" i="15"/>
  <c r="I88" i="15"/>
  <c r="H88" i="15"/>
  <c r="D88" i="15"/>
  <c r="B88" i="15"/>
  <c r="A88" i="15"/>
  <c r="C6" i="44"/>
  <c r="B6" i="44"/>
  <c r="A6" i="44"/>
  <c r="C2" i="44"/>
  <c r="B2" i="44"/>
  <c r="A2" i="44"/>
  <c r="B3" i="74"/>
  <c r="A3" i="74"/>
  <c r="C29" i="47"/>
  <c r="A19" i="78"/>
  <c r="B19" i="78"/>
  <c r="C19" i="78"/>
  <c r="D19" i="78"/>
  <c r="E19" i="78"/>
  <c r="F19" i="78"/>
  <c r="G19" i="78"/>
  <c r="H19" i="78"/>
  <c r="I19" i="78"/>
  <c r="J19" i="78"/>
  <c r="K19" i="78"/>
  <c r="L19" i="78"/>
  <c r="M19" i="78"/>
  <c r="N19" i="78"/>
  <c r="O19" i="78"/>
  <c r="P19" i="78"/>
  <c r="Q19" i="78"/>
  <c r="R19" i="78"/>
  <c r="S19" i="78"/>
  <c r="T19" i="78"/>
  <c r="A20" i="78"/>
  <c r="B20" i="78"/>
  <c r="C20" i="78"/>
  <c r="D20" i="78"/>
  <c r="E20" i="78"/>
  <c r="F20" i="78"/>
  <c r="G20" i="78"/>
  <c r="H20" i="78"/>
  <c r="I20" i="78"/>
  <c r="J20" i="78"/>
  <c r="K20" i="78"/>
  <c r="L20" i="78"/>
  <c r="M20" i="78"/>
  <c r="N20" i="78"/>
  <c r="O20" i="78"/>
  <c r="P20" i="78"/>
  <c r="Q20" i="78"/>
  <c r="R20" i="78"/>
  <c r="S20" i="78"/>
  <c r="T20" i="78"/>
  <c r="A21" i="78"/>
  <c r="B21" i="78"/>
  <c r="C21" i="78"/>
  <c r="D21" i="78"/>
  <c r="E21" i="78"/>
  <c r="F21" i="78"/>
  <c r="G21" i="78"/>
  <c r="H21" i="78"/>
  <c r="I21" i="78"/>
  <c r="J21" i="78"/>
  <c r="K21" i="78"/>
  <c r="L21" i="78"/>
  <c r="M21" i="78"/>
  <c r="N21" i="78"/>
  <c r="O21" i="78"/>
  <c r="P21" i="78"/>
  <c r="Q21" i="78"/>
  <c r="R21" i="78"/>
  <c r="S21" i="78"/>
  <c r="T21" i="78"/>
  <c r="A22" i="78"/>
  <c r="B22" i="78"/>
  <c r="C22" i="78"/>
  <c r="D22" i="78"/>
  <c r="E22" i="78"/>
  <c r="F22" i="78"/>
  <c r="G22" i="78"/>
  <c r="H22" i="78"/>
  <c r="I22" i="78"/>
  <c r="J22" i="78"/>
  <c r="K22" i="78"/>
  <c r="L22" i="78"/>
  <c r="M22" i="78"/>
  <c r="N22" i="78"/>
  <c r="O22" i="78"/>
  <c r="P22" i="78"/>
  <c r="Q22" i="78"/>
  <c r="R22" i="78"/>
  <c r="S22" i="78"/>
  <c r="T22" i="78"/>
  <c r="D9" i="74"/>
  <c r="B54" i="19"/>
  <c r="L1" i="32"/>
  <c r="I18" i="32" s="1"/>
  <c r="B140" i="18"/>
  <c r="H18" i="32"/>
  <c r="H17" i="32"/>
  <c r="H16" i="32"/>
  <c r="H15" i="32"/>
  <c r="H14" i="32"/>
  <c r="H13" i="32"/>
  <c r="H12" i="32"/>
  <c r="H11" i="32"/>
  <c r="H10" i="32"/>
  <c r="H9" i="32"/>
  <c r="H8" i="32"/>
  <c r="H7" i="32"/>
  <c r="H6" i="32"/>
  <c r="H5" i="32"/>
  <c r="H4" i="32"/>
  <c r="H3" i="32"/>
  <c r="H2" i="32"/>
  <c r="L18" i="52"/>
  <c r="L17" i="52"/>
  <c r="L16" i="52"/>
  <c r="L15" i="52"/>
  <c r="L14" i="52"/>
  <c r="M11" i="52" s="1"/>
  <c r="L13" i="52"/>
  <c r="L12" i="52"/>
  <c r="L11" i="52"/>
  <c r="L15" i="35"/>
  <c r="L16" i="35"/>
  <c r="L17" i="35"/>
  <c r="L18" i="35"/>
  <c r="E25" i="27"/>
  <c r="B25" i="27"/>
  <c r="B34" i="1"/>
  <c r="B16" i="15"/>
  <c r="G15" i="46"/>
  <c r="G14" i="46"/>
  <c r="G13" i="46"/>
  <c r="F11" i="46"/>
  <c r="B7" i="46"/>
  <c r="B5" i="46"/>
  <c r="B4" i="46"/>
  <c r="B3" i="46"/>
  <c r="B2" i="46"/>
  <c r="K5" i="82" l="1"/>
  <c r="I4" i="82"/>
  <c r="H5" i="82"/>
  <c r="F4" i="82"/>
  <c r="I3" i="32"/>
  <c r="I7" i="32"/>
  <c r="I11" i="32"/>
  <c r="I15" i="32"/>
  <c r="I4" i="32"/>
  <c r="I8" i="32"/>
  <c r="I12" i="32"/>
  <c r="I16" i="32"/>
  <c r="I5" i="32"/>
  <c r="I9" i="32"/>
  <c r="I13" i="32"/>
  <c r="I17" i="32"/>
  <c r="I2" i="32"/>
  <c r="I6" i="32"/>
  <c r="I10" i="32"/>
  <c r="I14" i="32"/>
  <c r="F17" i="44"/>
  <c r="G17" i="44"/>
  <c r="H17" i="44"/>
  <c r="I17" i="44"/>
  <c r="J17" i="44"/>
  <c r="K17" i="44"/>
  <c r="L17" i="44"/>
  <c r="M17" i="44"/>
  <c r="N17" i="44"/>
  <c r="O17" i="44"/>
  <c r="P17" i="44"/>
  <c r="Q17" i="44"/>
  <c r="R17" i="44"/>
  <c r="S17" i="44"/>
  <c r="T17" i="44"/>
  <c r="U17" i="44"/>
  <c r="V17" i="44"/>
  <c r="W17" i="44"/>
  <c r="X17" i="44"/>
  <c r="E17" i="44"/>
  <c r="D9" i="44"/>
  <c r="D10" i="44"/>
  <c r="D11" i="44"/>
  <c r="D12" i="44"/>
  <c r="D13" i="44"/>
  <c r="D14" i="44"/>
  <c r="D15" i="44"/>
  <c r="D16" i="44"/>
  <c r="D8" i="44"/>
  <c r="A15" i="44"/>
  <c r="B15" i="44"/>
  <c r="C15" i="44"/>
  <c r="A16" i="44"/>
  <c r="B16" i="44"/>
  <c r="C16" i="44"/>
  <c r="B26" i="19"/>
  <c r="A4" i="74"/>
  <c r="B3" i="19"/>
  <c r="B27" i="19"/>
  <c r="B39" i="15"/>
  <c r="I20" i="38"/>
  <c r="I21" i="38"/>
  <c r="I22" i="38"/>
  <c r="I23" i="38"/>
  <c r="I24" i="38"/>
  <c r="I25" i="38"/>
  <c r="I26" i="38"/>
  <c r="I27" i="38"/>
  <c r="I28" i="38"/>
  <c r="I29" i="38"/>
  <c r="I30" i="38"/>
  <c r="I31" i="38"/>
  <c r="I32" i="38"/>
  <c r="I33" i="38"/>
  <c r="I34" i="38"/>
  <c r="I35" i="38"/>
  <c r="I36" i="38"/>
  <c r="I37" i="38"/>
  <c r="I38" i="38"/>
  <c r="I39" i="38"/>
  <c r="I40" i="38"/>
  <c r="I41" i="38"/>
  <c r="I42" i="38"/>
  <c r="I43" i="38"/>
  <c r="I44" i="38"/>
  <c r="I45" i="38"/>
  <c r="I46" i="38"/>
  <c r="I47" i="38"/>
  <c r="I48" i="38"/>
  <c r="I49" i="38"/>
  <c r="I50" i="38"/>
  <c r="I51" i="38"/>
  <c r="I52" i="38"/>
  <c r="I53" i="38"/>
  <c r="I54" i="38"/>
  <c r="B4" i="27"/>
  <c r="B5" i="27"/>
  <c r="B6" i="27"/>
  <c r="B7" i="27"/>
  <c r="B8" i="27"/>
  <c r="B9" i="27"/>
  <c r="B10" i="27"/>
  <c r="B11" i="27"/>
  <c r="B12" i="27"/>
  <c r="B13" i="27"/>
  <c r="B14" i="27"/>
  <c r="B15" i="27"/>
  <c r="B16" i="27"/>
  <c r="B17" i="27"/>
  <c r="B18" i="27"/>
  <c r="B19" i="27"/>
  <c r="B20" i="27"/>
  <c r="B21" i="27"/>
  <c r="B22" i="27"/>
  <c r="B23" i="27"/>
  <c r="B24" i="27"/>
  <c r="B26" i="27"/>
  <c r="B27" i="27"/>
  <c r="B3" i="27"/>
  <c r="E32" i="27" l="1"/>
  <c r="J5" i="82"/>
  <c r="H4" i="82"/>
  <c r="M5" i="82"/>
  <c r="K4" i="82"/>
  <c r="B16" i="24"/>
  <c r="B15" i="24"/>
  <c r="A16" i="24"/>
  <c r="A15" i="24"/>
  <c r="O5" i="82" l="1"/>
  <c r="O4" i="82" s="1"/>
  <c r="M4" i="82"/>
  <c r="J4" i="82"/>
  <c r="L5" i="82"/>
  <c r="F1" i="27"/>
  <c r="C6" i="80"/>
  <c r="C7" i="80"/>
  <c r="C8" i="80"/>
  <c r="C9" i="80"/>
  <c r="C10" i="80"/>
  <c r="C11" i="80"/>
  <c r="C12" i="80"/>
  <c r="C13" i="80"/>
  <c r="C5" i="80"/>
  <c r="C4" i="80"/>
  <c r="C3" i="80"/>
  <c r="A35" i="75"/>
  <c r="A34" i="75"/>
  <c r="A33" i="75"/>
  <c r="A31" i="75"/>
  <c r="A30" i="75"/>
  <c r="D7" i="74"/>
  <c r="B7" i="74"/>
  <c r="B12" i="78"/>
  <c r="C12" i="78"/>
  <c r="B13" i="78"/>
  <c r="C13" i="78"/>
  <c r="B14" i="78"/>
  <c r="C14" i="78"/>
  <c r="C11" i="78"/>
  <c r="C10" i="78"/>
  <c r="B10" i="78"/>
  <c r="B11" i="78"/>
  <c r="A19" i="75"/>
  <c r="A16" i="75"/>
  <c r="A7" i="75"/>
  <c r="A10" i="75"/>
  <c r="A13" i="75"/>
  <c r="A18" i="75"/>
  <c r="A15" i="75"/>
  <c r="A9" i="75"/>
  <c r="A6" i="75"/>
  <c r="B17" i="79"/>
  <c r="C17" i="79"/>
  <c r="D17" i="79"/>
  <c r="B18" i="79"/>
  <c r="C18" i="79"/>
  <c r="D18" i="79"/>
  <c r="B19" i="79"/>
  <c r="C19" i="79"/>
  <c r="D19" i="79"/>
  <c r="B20" i="79"/>
  <c r="C20" i="79"/>
  <c r="D20" i="79"/>
  <c r="B21" i="79"/>
  <c r="C21" i="79"/>
  <c r="D21" i="79"/>
  <c r="D16" i="79"/>
  <c r="C16" i="79"/>
  <c r="B16" i="79"/>
  <c r="B10" i="79"/>
  <c r="C10" i="79"/>
  <c r="D10" i="79"/>
  <c r="B11" i="79"/>
  <c r="C11" i="79"/>
  <c r="D11" i="79"/>
  <c r="B8" i="79"/>
  <c r="C8" i="79"/>
  <c r="D8" i="79"/>
  <c r="B9" i="79"/>
  <c r="C9" i="79"/>
  <c r="D9" i="79"/>
  <c r="B3" i="79"/>
  <c r="C3" i="79"/>
  <c r="D3" i="79"/>
  <c r="B4" i="79"/>
  <c r="C4" i="79"/>
  <c r="D4" i="79"/>
  <c r="B5" i="79"/>
  <c r="C5" i="79"/>
  <c r="D5" i="79"/>
  <c r="C6" i="79"/>
  <c r="D6" i="79"/>
  <c r="B7" i="79"/>
  <c r="C7" i="79"/>
  <c r="D7" i="79"/>
  <c r="D2" i="79"/>
  <c r="C2" i="79"/>
  <c r="B2" i="79"/>
  <c r="A2" i="79"/>
  <c r="A12" i="78"/>
  <c r="D12" i="78"/>
  <c r="E12" i="78"/>
  <c r="F12" i="78"/>
  <c r="G12" i="78"/>
  <c r="H12" i="78"/>
  <c r="I12" i="78"/>
  <c r="J12" i="78"/>
  <c r="K12" i="78"/>
  <c r="L12" i="78"/>
  <c r="M12" i="78"/>
  <c r="N12" i="78"/>
  <c r="O12" i="78"/>
  <c r="P12" i="78"/>
  <c r="Q12" i="78"/>
  <c r="R12" i="78"/>
  <c r="S12" i="78"/>
  <c r="T12" i="78"/>
  <c r="U12" i="78"/>
  <c r="A13" i="78"/>
  <c r="D13" i="78"/>
  <c r="E13" i="78"/>
  <c r="F13" i="78"/>
  <c r="G13" i="78"/>
  <c r="H13" i="78"/>
  <c r="I13" i="78"/>
  <c r="J13" i="78"/>
  <c r="K13" i="78"/>
  <c r="L13" i="78"/>
  <c r="M13" i="78"/>
  <c r="N13" i="78"/>
  <c r="O13" i="78"/>
  <c r="P13" i="78"/>
  <c r="Q13" i="78"/>
  <c r="R13" i="78"/>
  <c r="S13" i="78"/>
  <c r="T13" i="78"/>
  <c r="U13" i="78"/>
  <c r="A14" i="78"/>
  <c r="D14" i="78"/>
  <c r="E14" i="78"/>
  <c r="F14" i="78"/>
  <c r="G14" i="78"/>
  <c r="H14" i="78"/>
  <c r="I14" i="78"/>
  <c r="J14" i="78"/>
  <c r="K14" i="78"/>
  <c r="L14" i="78"/>
  <c r="M14" i="78"/>
  <c r="N14" i="78"/>
  <c r="O14" i="78"/>
  <c r="P14" i="78"/>
  <c r="Q14" i="78"/>
  <c r="R14" i="78"/>
  <c r="S14" i="78"/>
  <c r="T14" i="78"/>
  <c r="U14" i="78"/>
  <c r="U19" i="78"/>
  <c r="U20" i="78"/>
  <c r="U21" i="78"/>
  <c r="U22" i="78"/>
  <c r="U11" i="78"/>
  <c r="T11" i="78"/>
  <c r="S11" i="78"/>
  <c r="R11" i="78"/>
  <c r="Q11" i="78"/>
  <c r="P11" i="78"/>
  <c r="O11" i="78"/>
  <c r="N11" i="78"/>
  <c r="M11" i="78"/>
  <c r="L11" i="78"/>
  <c r="K11" i="78"/>
  <c r="J11" i="78"/>
  <c r="I11" i="78"/>
  <c r="H11" i="78"/>
  <c r="G11" i="78"/>
  <c r="F11" i="78"/>
  <c r="E11" i="78"/>
  <c r="D11" i="78"/>
  <c r="A11" i="78"/>
  <c r="U10" i="78"/>
  <c r="T10" i="78"/>
  <c r="S10" i="78"/>
  <c r="R10" i="78"/>
  <c r="Q10" i="78"/>
  <c r="P10" i="78"/>
  <c r="O10" i="78"/>
  <c r="N10" i="78"/>
  <c r="M10" i="78"/>
  <c r="L10" i="78"/>
  <c r="K10" i="78"/>
  <c r="J10" i="78"/>
  <c r="I10" i="78"/>
  <c r="H10" i="78"/>
  <c r="G10" i="78"/>
  <c r="F10" i="78"/>
  <c r="E10" i="78"/>
  <c r="D10" i="78"/>
  <c r="A10" i="78"/>
  <c r="A4" i="78"/>
  <c r="A3" i="78"/>
  <c r="A2" i="78"/>
  <c r="M2" i="77"/>
  <c r="C6" i="77" s="1"/>
  <c r="G6" i="77" s="1"/>
  <c r="H39" i="76"/>
  <c r="H38" i="76"/>
  <c r="H37" i="76"/>
  <c r="H36" i="76"/>
  <c r="H35" i="76"/>
  <c r="H34" i="76"/>
  <c r="H33" i="76"/>
  <c r="H32" i="76"/>
  <c r="H31" i="76"/>
  <c r="H30" i="76"/>
  <c r="H29" i="76"/>
  <c r="H28" i="76"/>
  <c r="H27" i="76"/>
  <c r="H26" i="76"/>
  <c r="H25" i="76"/>
  <c r="H24" i="76"/>
  <c r="H23" i="76"/>
  <c r="H19" i="76"/>
  <c r="H18" i="76"/>
  <c r="H17" i="76"/>
  <c r="H16" i="76"/>
  <c r="H15" i="76"/>
  <c r="H14" i="76"/>
  <c r="H13" i="76"/>
  <c r="H12" i="76"/>
  <c r="H11" i="76"/>
  <c r="H10" i="76"/>
  <c r="H9" i="76"/>
  <c r="H8" i="76"/>
  <c r="H7" i="76"/>
  <c r="H6" i="76"/>
  <c r="H5" i="76"/>
  <c r="H4" i="76"/>
  <c r="H3" i="76"/>
  <c r="N5" i="82" l="1"/>
  <c r="L4" i="82"/>
  <c r="E6" i="77"/>
  <c r="F6" i="77"/>
  <c r="I6" i="77"/>
  <c r="H6" i="77"/>
  <c r="C11" i="77"/>
  <c r="C15" i="77"/>
  <c r="C14" i="77"/>
  <c r="C18" i="77"/>
  <c r="C16" i="77"/>
  <c r="C24" i="77"/>
  <c r="C9" i="77"/>
  <c r="C17" i="77"/>
  <c r="C5" i="77"/>
  <c r="C23" i="77"/>
  <c r="C7" i="77"/>
  <c r="C22" i="77"/>
  <c r="C13" i="77"/>
  <c r="C21" i="77"/>
  <c r="C20" i="77"/>
  <c r="C12" i="77"/>
  <c r="C19" i="77"/>
  <c r="C10" i="77"/>
  <c r="C8" i="77"/>
  <c r="P5" i="82" l="1"/>
  <c r="P4" i="82" s="1"/>
  <c r="N4" i="82"/>
  <c r="E16" i="77"/>
  <c r="F16" i="77"/>
  <c r="G16" i="77"/>
  <c r="H16" i="77"/>
  <c r="I16" i="77"/>
  <c r="G22" i="77"/>
  <c r="H22" i="77"/>
  <c r="I22" i="77"/>
  <c r="E22" i="77"/>
  <c r="F22" i="77"/>
  <c r="E18" i="77"/>
  <c r="F18" i="77"/>
  <c r="G18" i="77"/>
  <c r="H18" i="77"/>
  <c r="I18" i="77"/>
  <c r="E8" i="77"/>
  <c r="F8" i="77"/>
  <c r="G8" i="77"/>
  <c r="H8" i="77"/>
  <c r="I8" i="77"/>
  <c r="E7" i="77"/>
  <c r="I7" i="77"/>
  <c r="F7" i="77"/>
  <c r="G7" i="77"/>
  <c r="H7" i="77"/>
  <c r="G14" i="77"/>
  <c r="H14" i="77"/>
  <c r="I14" i="77"/>
  <c r="F14" i="77"/>
  <c r="E14" i="77"/>
  <c r="H9" i="77"/>
  <c r="I9" i="77"/>
  <c r="G9" i="77"/>
  <c r="E9" i="77"/>
  <c r="F9" i="77"/>
  <c r="E24" i="77"/>
  <c r="F24" i="77"/>
  <c r="G24" i="77"/>
  <c r="H24" i="77"/>
  <c r="I24" i="77"/>
  <c r="E13" i="77"/>
  <c r="F13" i="77"/>
  <c r="G13" i="77"/>
  <c r="H13" i="77"/>
  <c r="I13" i="77"/>
  <c r="E15" i="77"/>
  <c r="F15" i="77"/>
  <c r="G15" i="77"/>
  <c r="H15" i="77"/>
  <c r="I15" i="77"/>
  <c r="I20" i="77"/>
  <c r="H20" i="77"/>
  <c r="E20" i="77"/>
  <c r="F20" i="77"/>
  <c r="G20" i="77"/>
  <c r="E21" i="77"/>
  <c r="F21" i="77"/>
  <c r="G21" i="77"/>
  <c r="H21" i="77"/>
  <c r="I21" i="77"/>
  <c r="E10" i="77"/>
  <c r="F10" i="77"/>
  <c r="G10" i="77"/>
  <c r="H10" i="77"/>
  <c r="I10" i="77"/>
  <c r="E23" i="77"/>
  <c r="I23" i="77"/>
  <c r="F23" i="77"/>
  <c r="G23" i="77"/>
  <c r="H23" i="77"/>
  <c r="F19" i="77"/>
  <c r="G19" i="77"/>
  <c r="H19" i="77"/>
  <c r="I19" i="77"/>
  <c r="E19" i="77"/>
  <c r="I5" i="77"/>
  <c r="E5" i="77"/>
  <c r="F5" i="77"/>
  <c r="G5" i="77"/>
  <c r="H5" i="77"/>
  <c r="F11" i="77"/>
  <c r="G11" i="77"/>
  <c r="H11" i="77"/>
  <c r="I11" i="77"/>
  <c r="E11" i="77"/>
  <c r="I12" i="77"/>
  <c r="H12" i="77"/>
  <c r="E12" i="77"/>
  <c r="F12" i="77"/>
  <c r="G12" i="77"/>
  <c r="H17" i="77"/>
  <c r="I17" i="77"/>
  <c r="G17" i="77"/>
  <c r="E17" i="77"/>
  <c r="F17" i="77"/>
  <c r="A4" i="75"/>
  <c r="A3" i="75"/>
  <c r="A1" i="75"/>
  <c r="B29" i="74"/>
  <c r="B28" i="74"/>
  <c r="B27" i="74"/>
  <c r="B26" i="74"/>
  <c r="B25" i="74"/>
  <c r="B24" i="74"/>
  <c r="B23" i="74"/>
  <c r="B22" i="74"/>
  <c r="B21" i="74"/>
  <c r="B20" i="74"/>
  <c r="B18" i="74"/>
  <c r="B17" i="74"/>
  <c r="B16" i="74"/>
  <c r="B15" i="74"/>
  <c r="B14" i="74"/>
  <c r="B12" i="74"/>
  <c r="B11" i="74"/>
  <c r="B10" i="74"/>
  <c r="B6" i="74"/>
  <c r="C18" i="73"/>
  <c r="B19" i="73"/>
  <c r="C19" i="73" s="1"/>
  <c r="B17" i="73"/>
  <c r="C17" i="73" s="1"/>
  <c r="B16" i="73"/>
  <c r="C16" i="73"/>
  <c r="C12" i="73"/>
  <c r="C9" i="73"/>
  <c r="B20" i="73"/>
  <c r="C20" i="73" s="1"/>
  <c r="C14" i="73"/>
  <c r="C13" i="73"/>
  <c r="C10" i="73"/>
  <c r="C15" i="73"/>
  <c r="C5" i="73"/>
  <c r="B25" i="73" s="1"/>
  <c r="C6" i="73"/>
  <c r="C7" i="73"/>
  <c r="C8" i="73"/>
  <c r="C11" i="73"/>
  <c r="C4" i="73"/>
  <c r="E3" i="27"/>
  <c r="E4" i="27"/>
  <c r="E5" i="27"/>
  <c r="E6" i="27"/>
  <c r="E7" i="27"/>
  <c r="E8" i="27"/>
  <c r="E9" i="27"/>
  <c r="E10" i="27"/>
  <c r="E11" i="27"/>
  <c r="E12" i="27"/>
  <c r="E13" i="27"/>
  <c r="E14" i="27"/>
  <c r="E15" i="27"/>
  <c r="E16" i="27"/>
  <c r="E17" i="27"/>
  <c r="E18" i="27"/>
  <c r="E19" i="27"/>
  <c r="E20" i="27"/>
  <c r="E21" i="27"/>
  <c r="E22" i="27"/>
  <c r="E23" i="27"/>
  <c r="E24" i="27"/>
  <c r="E26" i="27"/>
  <c r="E27" i="27"/>
  <c r="B32" i="24"/>
  <c r="B31" i="24"/>
  <c r="B28" i="24"/>
  <c r="B27" i="24"/>
  <c r="B14" i="24"/>
  <c r="A14" i="24"/>
  <c r="B13" i="24"/>
  <c r="B30" i="74"/>
  <c r="E1" i="66"/>
  <c r="F8" i="66" s="1"/>
  <c r="G8" i="66" s="1"/>
  <c r="I8" i="66" s="1"/>
  <c r="J8" i="66" s="1"/>
  <c r="L1" i="27"/>
  <c r="R1" i="27"/>
  <c r="B34" i="73" l="1"/>
  <c r="B33" i="73"/>
  <c r="B26" i="73"/>
  <c r="B24" i="73"/>
  <c r="B31" i="73"/>
  <c r="F6" i="66"/>
  <c r="G6" i="66" s="1"/>
  <c r="I6" i="66" s="1"/>
  <c r="J6" i="66" s="1"/>
  <c r="F5" i="66"/>
  <c r="G5" i="66" s="1"/>
  <c r="I5" i="66" s="1"/>
  <c r="J5" i="66" s="1"/>
  <c r="F4" i="66"/>
  <c r="G4" i="66" s="1"/>
  <c r="I4" i="66" s="1"/>
  <c r="J4" i="66" s="1"/>
  <c r="F9" i="66"/>
  <c r="G9" i="66" s="1"/>
  <c r="I9" i="66" s="1"/>
  <c r="J9" i="66" s="1"/>
  <c r="F7" i="66"/>
  <c r="G7" i="66" s="1"/>
  <c r="I7" i="66" s="1"/>
  <c r="J7" i="66" s="1"/>
  <c r="T1" i="27"/>
  <c r="M1" i="27"/>
  <c r="X1" i="27"/>
  <c r="Y1" i="27"/>
  <c r="U1" i="27"/>
  <c r="Q1" i="27"/>
  <c r="P1" i="27"/>
  <c r="J1" i="27"/>
  <c r="K1" i="27"/>
  <c r="H1" i="27"/>
  <c r="S1" i="27"/>
  <c r="W1" i="27"/>
  <c r="O1" i="27"/>
  <c r="G1" i="27"/>
  <c r="I1" i="27"/>
  <c r="V1" i="27"/>
  <c r="N1" i="27"/>
  <c r="B3" i="15"/>
  <c r="B3" i="24"/>
  <c r="B1" i="74" s="1"/>
  <c r="B27" i="73" l="1"/>
  <c r="B35" i="73"/>
  <c r="B43" i="73"/>
  <c r="B47" i="73"/>
  <c r="B41" i="73"/>
  <c r="B44" i="73"/>
  <c r="B42" i="73"/>
  <c r="B45" i="73"/>
  <c r="B32" i="73"/>
  <c r="B39" i="73"/>
  <c r="B46" i="73"/>
  <c r="B40" i="73"/>
  <c r="B29" i="73"/>
  <c r="B30" i="73"/>
  <c r="B28" i="73"/>
  <c r="B38" i="73"/>
  <c r="B37" i="73"/>
  <c r="B36" i="73"/>
  <c r="B30" i="19"/>
  <c r="V15" i="59"/>
  <c r="U15" i="59"/>
  <c r="T15" i="59"/>
  <c r="S15" i="59"/>
  <c r="R15" i="59"/>
  <c r="Q15" i="59"/>
  <c r="P15" i="59"/>
  <c r="O15" i="59"/>
  <c r="N15" i="59"/>
  <c r="M15" i="59"/>
  <c r="L15" i="59"/>
  <c r="K15" i="59"/>
  <c r="J15" i="59"/>
  <c r="I15" i="59"/>
  <c r="H15" i="59"/>
  <c r="G15" i="59"/>
  <c r="F15" i="59"/>
  <c r="E15" i="59"/>
  <c r="D15" i="59"/>
  <c r="C15" i="59"/>
  <c r="I13" i="35"/>
  <c r="I14" i="35"/>
  <c r="I12" i="35"/>
  <c r="L12" i="35"/>
  <c r="L13" i="35"/>
  <c r="L14" i="35"/>
  <c r="A12" i="44"/>
  <c r="B12" i="44"/>
  <c r="C12" i="44"/>
  <c r="A13" i="44"/>
  <c r="B13" i="44"/>
  <c r="C13" i="44"/>
  <c r="A14" i="44"/>
  <c r="B14" i="44"/>
  <c r="C14" i="44"/>
  <c r="A9" i="44"/>
  <c r="B9" i="44"/>
  <c r="C9" i="44"/>
  <c r="A10" i="44"/>
  <c r="B10" i="44"/>
  <c r="C10" i="44"/>
  <c r="A11" i="44"/>
  <c r="B11" i="44"/>
  <c r="C11" i="44"/>
  <c r="B18" i="15"/>
  <c r="B7" i="24"/>
  <c r="B8" i="24"/>
  <c r="B4" i="24"/>
  <c r="I85" i="15"/>
  <c r="B42" i="19"/>
  <c r="A15" i="52"/>
  <c r="I13" i="52"/>
  <c r="I12" i="52"/>
  <c r="J11" i="52" s="1"/>
  <c r="B16" i="47"/>
  <c r="B17" i="47"/>
  <c r="B18" i="47"/>
  <c r="D18" i="44"/>
  <c r="D19" i="44"/>
  <c r="B8" i="44"/>
  <c r="B18" i="44"/>
  <c r="B19" i="44"/>
  <c r="C8" i="44"/>
  <c r="C18" i="44"/>
  <c r="C19" i="44"/>
  <c r="A4" i="44"/>
  <c r="A8" i="44"/>
  <c r="A18" i="44"/>
  <c r="A19" i="44"/>
  <c r="A3" i="44"/>
  <c r="B13" i="47"/>
  <c r="B33" i="47" s="1"/>
  <c r="B12" i="47"/>
  <c r="B10" i="47"/>
  <c r="B7" i="47"/>
  <c r="V87" i="15"/>
  <c r="C22" i="44" s="1"/>
  <c r="G87" i="15"/>
  <c r="F87" i="15"/>
  <c r="E87" i="15"/>
  <c r="B52" i="24"/>
  <c r="D87" i="15" s="1"/>
  <c r="L11" i="35"/>
  <c r="D86" i="15"/>
  <c r="D85" i="15"/>
  <c r="I19" i="38"/>
  <c r="I18" i="38"/>
  <c r="I17" i="38"/>
  <c r="I16" i="38"/>
  <c r="I15" i="38"/>
  <c r="I14" i="38"/>
  <c r="I13" i="38"/>
  <c r="I12" i="38"/>
  <c r="I11" i="38"/>
  <c r="I10" i="38"/>
  <c r="I9" i="38"/>
  <c r="I8" i="38"/>
  <c r="I7" i="38"/>
  <c r="V86" i="15"/>
  <c r="C3" i="44" s="1"/>
  <c r="B86" i="15"/>
  <c r="V85" i="15"/>
  <c r="Y85" i="15" s="1"/>
  <c r="B85" i="15"/>
  <c r="B77" i="15"/>
  <c r="B76" i="15"/>
  <c r="B75" i="15"/>
  <c r="B4" i="15"/>
  <c r="B14" i="19"/>
  <c r="B38" i="15"/>
  <c r="B31" i="15"/>
  <c r="B32" i="15"/>
  <c r="B33" i="15"/>
  <c r="B34" i="15"/>
  <c r="B26" i="15"/>
  <c r="B41" i="19"/>
  <c r="A15" i="35"/>
  <c r="E4" i="35"/>
  <c r="E17" i="35" s="1"/>
  <c r="E36" i="35" s="1"/>
  <c r="E55" i="35" s="1"/>
  <c r="E74" i="35" s="1"/>
  <c r="E93" i="35" s="1"/>
  <c r="B64" i="15"/>
  <c r="B16" i="19"/>
  <c r="C115" i="15" s="1"/>
  <c r="B33" i="19"/>
  <c r="B65" i="15" s="1"/>
  <c r="B23" i="15"/>
  <c r="B19" i="15"/>
  <c r="B22" i="15"/>
  <c r="B57" i="24"/>
  <c r="B56" i="24"/>
  <c r="I87" i="15" s="1"/>
  <c r="B51" i="24"/>
  <c r="B87" i="15" s="1"/>
  <c r="B48" i="24"/>
  <c r="B47" i="24"/>
  <c r="B45" i="24"/>
  <c r="B42" i="24"/>
  <c r="B41" i="24"/>
  <c r="B38" i="24"/>
  <c r="B37" i="24"/>
  <c r="B36" i="24"/>
  <c r="V56" i="4"/>
  <c r="W56" i="4"/>
  <c r="X56" i="4" s="1"/>
  <c r="Y56" i="4" s="1"/>
  <c r="Z56" i="4" s="1"/>
  <c r="V55" i="4"/>
  <c r="W55" i="4"/>
  <c r="X55" i="4" s="1"/>
  <c r="Y55" i="4" s="1"/>
  <c r="Z55" i="4" s="1"/>
  <c r="V54" i="4"/>
  <c r="W54" i="4"/>
  <c r="X54" i="4" s="1"/>
  <c r="Y54" i="4" s="1"/>
  <c r="Z54" i="4" s="1"/>
  <c r="V53" i="4"/>
  <c r="W53" i="4" s="1"/>
  <c r="X53" i="4" s="1"/>
  <c r="Y53" i="4" s="1"/>
  <c r="Z53" i="4" s="1"/>
  <c r="V52" i="4"/>
  <c r="W52" i="4"/>
  <c r="X52" i="4"/>
  <c r="Y52" i="4" s="1"/>
  <c r="Z52" i="4" s="1"/>
  <c r="W51" i="4"/>
  <c r="X51" i="4" s="1"/>
  <c r="Y51" i="4" s="1"/>
  <c r="Z51" i="4" s="1"/>
  <c r="V51" i="4"/>
  <c r="V50" i="4"/>
  <c r="W50" i="4" s="1"/>
  <c r="X50" i="4" s="1"/>
  <c r="Y50" i="4" s="1"/>
  <c r="Z50" i="4" s="1"/>
  <c r="W49" i="4"/>
  <c r="X49" i="4" s="1"/>
  <c r="Y49" i="4" s="1"/>
  <c r="Z49" i="4" s="1"/>
  <c r="V49" i="4"/>
  <c r="V48" i="4"/>
  <c r="W48" i="4"/>
  <c r="X48" i="4" s="1"/>
  <c r="Y48" i="4" s="1"/>
  <c r="Z48" i="4" s="1"/>
  <c r="V47" i="4"/>
  <c r="W47" i="4"/>
  <c r="X47" i="4" s="1"/>
  <c r="Y47" i="4" s="1"/>
  <c r="Z47" i="4" s="1"/>
  <c r="V46" i="4"/>
  <c r="W46" i="4"/>
  <c r="X46" i="4" s="1"/>
  <c r="Y46" i="4" s="1"/>
  <c r="Z46" i="4" s="1"/>
  <c r="V45" i="4"/>
  <c r="W45" i="4" s="1"/>
  <c r="X45" i="4" s="1"/>
  <c r="Y45" i="4" s="1"/>
  <c r="Z45" i="4" s="1"/>
  <c r="V44" i="4"/>
  <c r="W44" i="4"/>
  <c r="X44" i="4"/>
  <c r="Y44" i="4" s="1"/>
  <c r="Z44" i="4" s="1"/>
  <c r="W43" i="4"/>
  <c r="X43" i="4" s="1"/>
  <c r="Y43" i="4" s="1"/>
  <c r="Z43" i="4" s="1"/>
  <c r="V43" i="4"/>
  <c r="V42" i="4"/>
  <c r="W42" i="4" s="1"/>
  <c r="X42" i="4" s="1"/>
  <c r="Y42" i="4" s="1"/>
  <c r="Z42" i="4" s="1"/>
  <c r="W41" i="4"/>
  <c r="X41" i="4" s="1"/>
  <c r="Y41" i="4" s="1"/>
  <c r="Z41" i="4" s="1"/>
  <c r="V41" i="4"/>
  <c r="V40" i="4"/>
  <c r="W40" i="4"/>
  <c r="X40" i="4" s="1"/>
  <c r="Y40" i="4" s="1"/>
  <c r="Z40" i="4" s="1"/>
  <c r="V39" i="4"/>
  <c r="W39" i="4"/>
  <c r="X39" i="4" s="1"/>
  <c r="Y39" i="4" s="1"/>
  <c r="Z39" i="4" s="1"/>
  <c r="V38" i="4"/>
  <c r="W38" i="4"/>
  <c r="X38" i="4" s="1"/>
  <c r="Y38" i="4" s="1"/>
  <c r="Z38" i="4" s="1"/>
  <c r="V37" i="4"/>
  <c r="W37" i="4" s="1"/>
  <c r="X37" i="4" s="1"/>
  <c r="Y37" i="4" s="1"/>
  <c r="Z37" i="4" s="1"/>
  <c r="B134" i="15"/>
  <c r="B47" i="15"/>
  <c r="B88" i="18"/>
  <c r="B78" i="18"/>
  <c r="B5" i="15"/>
  <c r="B31" i="74" l="1"/>
  <c r="J11" i="35"/>
  <c r="C4" i="35" s="1"/>
  <c r="C4" i="52" s="1"/>
  <c r="C17" i="52" s="1"/>
  <c r="C36" i="52" s="1"/>
  <c r="C55" i="52" s="1"/>
  <c r="C74" i="52" s="1"/>
  <c r="C93" i="52" s="1"/>
  <c r="C17" i="35"/>
  <c r="C36" i="35" s="1"/>
  <c r="C55" i="35" s="1"/>
  <c r="C74" i="35" s="1"/>
  <c r="C93" i="35" s="1"/>
  <c r="M11" i="35"/>
  <c r="D4" i="35" s="1"/>
  <c r="D4" i="52" s="1"/>
  <c r="D17" i="52" s="1"/>
  <c r="D36" i="52" s="1"/>
  <c r="D55" i="52" s="1"/>
  <c r="D74" i="52" s="1"/>
  <c r="D93" i="52" s="1"/>
  <c r="B24" i="19"/>
  <c r="B6" i="15"/>
  <c r="A2" i="75"/>
  <c r="C73" i="15"/>
  <c r="A3" i="77"/>
  <c r="B5" i="47"/>
  <c r="A2" i="77"/>
  <c r="B22" i="76"/>
  <c r="C22" i="76" s="1"/>
  <c r="D22" i="76" s="1"/>
  <c r="E22" i="76" s="1"/>
  <c r="F22" i="76" s="1"/>
  <c r="G22" i="76" s="1"/>
  <c r="B2" i="76"/>
  <c r="C2" i="76" s="1"/>
  <c r="D2" i="76" s="1"/>
  <c r="E2" i="76" s="1"/>
  <c r="F2" i="76" s="1"/>
  <c r="G2" i="76" s="1"/>
  <c r="I4" i="35"/>
  <c r="I5" i="35" s="1"/>
  <c r="I6" i="35" s="1"/>
  <c r="B21" i="15"/>
  <c r="B30" i="24"/>
  <c r="E2" i="79"/>
  <c r="B29" i="24"/>
  <c r="B33" i="24" s="1"/>
  <c r="B8" i="74" s="1"/>
  <c r="D17" i="35"/>
  <c r="D36" i="35" s="1"/>
  <c r="D55" i="35" s="1"/>
  <c r="D74" i="35" s="1"/>
  <c r="D93" i="35" s="1"/>
  <c r="B6" i="47"/>
  <c r="B20" i="15"/>
  <c r="C44" i="15"/>
  <c r="C83" i="15"/>
  <c r="C90" i="15"/>
  <c r="C109" i="15"/>
  <c r="C4" i="44"/>
  <c r="B3" i="44"/>
  <c r="I4" i="52"/>
  <c r="C16" i="52" s="1"/>
  <c r="B17" i="15"/>
  <c r="E4" i="52"/>
  <c r="E17" i="52" s="1"/>
  <c r="E36" i="52" s="1"/>
  <c r="E55" i="52" s="1"/>
  <c r="E74" i="52" s="1"/>
  <c r="E93" i="52" s="1"/>
  <c r="B4" i="44"/>
  <c r="A22" i="44"/>
  <c r="B32" i="19"/>
  <c r="C106" i="15"/>
  <c r="B22" i="47"/>
  <c r="G24" i="47" s="1"/>
  <c r="G27" i="47" s="1"/>
  <c r="C2" i="15"/>
  <c r="C15" i="15"/>
  <c r="C112" i="15"/>
  <c r="C118" i="15"/>
  <c r="C30" i="15"/>
  <c r="K3" i="52"/>
  <c r="K3" i="35"/>
  <c r="B63" i="15"/>
  <c r="B48" i="15" s="1"/>
  <c r="B34" i="19"/>
  <c r="B66" i="15" s="1"/>
  <c r="I3" i="52"/>
  <c r="I3" i="35"/>
  <c r="B11" i="24"/>
  <c r="B35" i="15"/>
  <c r="B21" i="19" l="1"/>
  <c r="B20" i="19" s="1"/>
  <c r="B23" i="19"/>
  <c r="B68" i="18" s="1"/>
  <c r="C35" i="35"/>
  <c r="C16" i="35"/>
  <c r="C3" i="52"/>
  <c r="E16" i="79"/>
  <c r="B4" i="74"/>
  <c r="I5" i="52"/>
  <c r="C35" i="52" s="1"/>
  <c r="G23" i="47"/>
  <c r="B21" i="47"/>
  <c r="B36" i="19"/>
  <c r="B38" i="19" s="1"/>
  <c r="L3" i="35"/>
  <c r="L4" i="35" s="1"/>
  <c r="L3" i="52"/>
  <c r="I7" i="35"/>
  <c r="C54" i="35"/>
  <c r="A2" i="52"/>
  <c r="B24" i="47"/>
  <c r="A2" i="35"/>
  <c r="C3" i="35"/>
  <c r="B40" i="24"/>
  <c r="J3" i="35" l="1"/>
  <c r="A3" i="35" s="1"/>
  <c r="F3" i="35" s="1"/>
  <c r="I6" i="52"/>
  <c r="I7" i="52" s="1"/>
  <c r="B69" i="15"/>
  <c r="E3" i="80" s="1"/>
  <c r="E4" i="80" s="1"/>
  <c r="E5" i="80" s="1"/>
  <c r="E6" i="80" s="1"/>
  <c r="E7" i="80" s="1"/>
  <c r="E8" i="80" s="1"/>
  <c r="E9" i="80" s="1"/>
  <c r="E10" i="80" s="1"/>
  <c r="E11" i="80" s="1"/>
  <c r="E12" i="80" s="1"/>
  <c r="E13" i="80" s="1"/>
  <c r="B70" i="15"/>
  <c r="D27" i="47" s="1"/>
  <c r="D28" i="47" s="1"/>
  <c r="D29" i="47" s="1"/>
  <c r="B6" i="19"/>
  <c r="C54" i="52"/>
  <c r="B89" i="18"/>
  <c r="B90" i="18" s="1"/>
  <c r="B56" i="15"/>
  <c r="B57" i="15" s="1"/>
  <c r="B64" i="18"/>
  <c r="L5" i="35"/>
  <c r="J4" i="35"/>
  <c r="A16" i="35" s="1"/>
  <c r="F16" i="35" s="1"/>
  <c r="C73" i="35"/>
  <c r="I8" i="35"/>
  <c r="L4" i="52"/>
  <c r="J3" i="52"/>
  <c r="A3" i="52" s="1"/>
  <c r="F3" i="52" s="1"/>
  <c r="J4" i="52" l="1"/>
  <c r="A16" i="52" s="1"/>
  <c r="F16" i="52" s="1"/>
  <c r="L5" i="52"/>
  <c r="J5" i="35"/>
  <c r="A35" i="35" s="1"/>
  <c r="F35" i="35" s="1"/>
  <c r="L6" i="35"/>
  <c r="I9" i="35"/>
  <c r="C92" i="35"/>
  <c r="C73" i="52"/>
  <c r="I8" i="52"/>
  <c r="B52" i="15"/>
  <c r="B53" i="15" s="1"/>
  <c r="B79" i="18"/>
  <c r="B80" i="18" s="1"/>
  <c r="L6" i="52" l="1"/>
  <c r="J5" i="52"/>
  <c r="A35" i="52" s="1"/>
  <c r="F35" i="52" s="1"/>
  <c r="C92" i="52"/>
  <c r="I9" i="52"/>
  <c r="L7" i="35"/>
  <c r="J6" i="35"/>
  <c r="A54" i="35" s="1"/>
  <c r="F54" i="35" s="1"/>
  <c r="L8" i="35" l="1"/>
  <c r="J7" i="35"/>
  <c r="A73" i="35" s="1"/>
  <c r="F73" i="35" s="1"/>
  <c r="J6" i="52"/>
  <c r="A54" i="52" s="1"/>
  <c r="F54" i="52" s="1"/>
  <c r="L7" i="52"/>
  <c r="J7" i="52" l="1"/>
  <c r="A73" i="52" s="1"/>
  <c r="F73" i="52" s="1"/>
  <c r="L8" i="52"/>
  <c r="J8" i="35"/>
  <c r="A92" i="35" s="1"/>
  <c r="F92" i="35" s="1"/>
  <c r="L9" i="35"/>
  <c r="J9" i="35" s="1"/>
  <c r="J8" i="52" l="1"/>
  <c r="A92" i="52" s="1"/>
  <c r="F92" i="52" s="1"/>
  <c r="L9" i="52"/>
  <c r="J9" i="52"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Pieter van Zyl</author>
  </authors>
  <commentList>
    <comment ref="A9" authorId="0" shapeId="0" xr:uid="{7F624AC1-533C-44CC-83D2-BC7EAF5E5210}">
      <text>
        <r>
          <rPr>
            <b/>
            <sz val="9"/>
            <color indexed="81"/>
            <rFont val="Tahoma"/>
            <family val="2"/>
          </rPr>
          <t>Pieter van Zyl:</t>
        </r>
        <r>
          <rPr>
            <sz val="9"/>
            <color indexed="81"/>
            <rFont val="Tahoma"/>
            <family val="2"/>
          </rPr>
          <t xml:space="preserve">
Time zone of the primary location where the appraisal is being conducted.</t>
        </r>
      </text>
    </comment>
    <comment ref="A10" authorId="0" shapeId="0" xr:uid="{83B235FA-52AA-43D7-91A5-5253BF75C45A}">
      <text>
        <r>
          <rPr>
            <b/>
            <sz val="9"/>
            <color indexed="81"/>
            <rFont val="Tahoma"/>
            <family val="2"/>
          </rPr>
          <t>Pieter van Zyl:</t>
        </r>
        <r>
          <rPr>
            <sz val="9"/>
            <color indexed="81"/>
            <rFont val="Tahoma"/>
            <family val="2"/>
          </rPr>
          <t xml:space="preserve">
Select the target Maturity Level, or select the Capability Level option and define a target level per Practice Area (PA) in the Target Level Detail step. If performing a Capability Level appraisal and the PAs in scope equal or exceed those in a defined Maturity Level, pick the Maturity Level first and then add the additional PAs being appraised.</t>
        </r>
      </text>
    </comment>
    <comment ref="A11" authorId="0" shapeId="0" xr:uid="{2A74D8F7-DC63-450E-B5F8-A5E1DF07E93C}">
      <text>
        <r>
          <rPr>
            <b/>
            <sz val="9"/>
            <color indexed="81"/>
            <rFont val="Tahoma"/>
            <family val="2"/>
          </rPr>
          <t>Pieter van Zyl:</t>
        </r>
        <r>
          <rPr>
            <sz val="9"/>
            <color indexed="81"/>
            <rFont val="Tahoma"/>
            <family val="2"/>
          </rPr>
          <t xml:space="preserve">
Please select the Model View that will be used to measure the selected Maturity Level.</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Pieter van Zyl</author>
  </authors>
  <commentList>
    <comment ref="A5" authorId="0" shapeId="0" xr:uid="{1509055D-53D3-4860-8B83-7DFCA08F137E}">
      <text>
        <r>
          <rPr>
            <b/>
            <sz val="9"/>
            <color indexed="81"/>
            <rFont val="Tahoma"/>
            <family val="2"/>
          </rPr>
          <t>Pieter van Zyl:</t>
        </r>
        <r>
          <rPr>
            <sz val="9"/>
            <color indexed="81"/>
            <rFont val="Tahoma"/>
            <family val="2"/>
          </rPr>
          <t xml:space="preserve">
Street address, P.O. box, company name, c/o</t>
        </r>
      </text>
    </comment>
    <comment ref="A6" authorId="0" shapeId="0" xr:uid="{F3D5F56B-D10E-4B49-A330-2B1DE9C752C2}">
      <text>
        <r>
          <rPr>
            <b/>
            <sz val="9"/>
            <color indexed="81"/>
            <rFont val="Tahoma"/>
            <family val="2"/>
          </rPr>
          <t>Pieter van Zyl:</t>
        </r>
        <r>
          <rPr>
            <sz val="9"/>
            <color indexed="81"/>
            <rFont val="Tahoma"/>
            <family val="2"/>
          </rPr>
          <t xml:space="preserve">
Apartment, suite, unit, building, floor, etc.</t>
        </r>
      </text>
    </comment>
    <comment ref="A27" authorId="0" shapeId="0" xr:uid="{7502286F-A1DA-4F63-82EF-C3193A73272E}">
      <text>
        <r>
          <rPr>
            <b/>
            <sz val="9"/>
            <color indexed="81"/>
            <rFont val="Tahoma"/>
            <family val="2"/>
          </rPr>
          <t>Pieter van Zyl:</t>
        </r>
        <r>
          <rPr>
            <sz val="9"/>
            <color indexed="81"/>
            <rFont val="Tahoma"/>
            <family val="2"/>
          </rPr>
          <t xml:space="preserve">
Street address, P.O. box, company name, c/o</t>
        </r>
      </text>
    </comment>
    <comment ref="A28" authorId="0" shapeId="0" xr:uid="{8F9E6E30-74C0-4ADB-85CB-99F6A146D960}">
      <text>
        <r>
          <rPr>
            <b/>
            <sz val="9"/>
            <color indexed="81"/>
            <rFont val="Tahoma"/>
            <family val="2"/>
          </rPr>
          <t>Pieter van Zyl:</t>
        </r>
        <r>
          <rPr>
            <sz val="9"/>
            <color indexed="81"/>
            <rFont val="Tahoma"/>
            <family val="2"/>
          </rPr>
          <t xml:space="preserve">
Apartment, suite, unit, building, floor, etc.</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Pieter van Zyl</author>
  </authors>
  <commentList>
    <comment ref="AB1" authorId="0" shapeId="0" xr:uid="{34960280-B507-4787-9273-AA05383D0A89}">
      <text>
        <r>
          <rPr>
            <b/>
            <sz val="9"/>
            <color indexed="81"/>
            <rFont val="Tahoma"/>
            <family val="2"/>
          </rPr>
          <t>Pieter van Zyl:</t>
        </r>
        <r>
          <rPr>
            <sz val="9"/>
            <color indexed="81"/>
            <rFont val="Tahoma"/>
            <family val="2"/>
          </rPr>
          <t xml:space="preserve">
Get from Tab:PvtProjectFTEs</t>
        </r>
      </text>
    </comment>
    <comment ref="I2" authorId="0" shapeId="0" xr:uid="{E1EFFDF3-0C3D-4F87-9BB1-5E6A45532C8D}">
      <text>
        <r>
          <rPr>
            <b/>
            <sz val="9"/>
            <color indexed="81"/>
            <rFont val="Tahoma"/>
            <family val="2"/>
          </rPr>
          <t>What projects should be included in the sample</t>
        </r>
        <r>
          <rPr>
            <sz val="9"/>
            <color indexed="81"/>
            <rFont val="Tahoma"/>
            <family val="2"/>
          </rPr>
          <t xml:space="preserve">
</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Pieter van Zyl</author>
  </authors>
  <commentList>
    <comment ref="A4" authorId="0" shapeId="0" xr:uid="{7AFF878C-C6A7-4502-9E46-909BFC4574AE}">
      <text>
        <r>
          <rPr>
            <b/>
            <sz val="9"/>
            <color indexed="81"/>
            <rFont val="Tahoma"/>
            <family val="2"/>
          </rPr>
          <t>Pieter van Zyl:</t>
        </r>
        <r>
          <rPr>
            <sz val="9"/>
            <color indexed="81"/>
            <rFont val="Tahoma"/>
            <family val="2"/>
          </rPr>
          <t xml:space="preserve">
Time zone of the primary location where the appraisal is being conducted.</t>
        </r>
      </text>
    </comment>
    <comment ref="A7" authorId="0" shapeId="0" xr:uid="{82D454B4-2E6E-4517-AB63-71E0BAC44A92}">
      <text>
        <r>
          <rPr>
            <b/>
            <sz val="9"/>
            <color indexed="81"/>
            <rFont val="Tahoma"/>
            <family val="2"/>
          </rPr>
          <t>Pieter van Zyl:</t>
        </r>
        <r>
          <rPr>
            <sz val="9"/>
            <color indexed="81"/>
            <rFont val="Tahoma"/>
            <family val="2"/>
          </rPr>
          <t xml:space="preserve">
As the Appraisal Team Leader, you may decide on the tailoring option of whether Appraisal Team Members will sign the Appraisal Plan, or only review it.</t>
        </r>
      </text>
    </comment>
    <comment ref="A9" authorId="0" shapeId="0" xr:uid="{394A210F-E34D-4A99-9605-60DB02A32D68}">
      <text>
        <r>
          <rPr>
            <b/>
            <sz val="9"/>
            <color indexed="81"/>
            <rFont val="Tahoma"/>
            <family val="2"/>
          </rPr>
          <t>Pieter van Zyl:</t>
        </r>
        <r>
          <rPr>
            <sz val="9"/>
            <color indexed="81"/>
            <rFont val="Tahoma"/>
            <family val="2"/>
          </rPr>
          <t xml:space="preserve">
If yes, ignore question 2, and continue to question 3.</t>
        </r>
      </text>
    </comment>
    <comment ref="A11" authorId="0" shapeId="0" xr:uid="{A2E02940-B270-4D9A-8B2D-FAAC8288C6FE}">
      <text>
        <r>
          <rPr>
            <b/>
            <sz val="9"/>
            <color indexed="81"/>
            <rFont val="Tahoma"/>
            <family val="2"/>
          </rPr>
          <t>Pieter van Zyl:</t>
        </r>
        <r>
          <rPr>
            <sz val="9"/>
            <color indexed="81"/>
            <rFont val="Tahoma"/>
            <family val="2"/>
          </rPr>
          <t xml:space="preserve">
Select the virtual data collection technique.</t>
        </r>
      </text>
    </comment>
    <comment ref="A16" authorId="0" shapeId="0" xr:uid="{C0481340-D655-4156-9410-A28951DB6822}">
      <text>
        <r>
          <rPr>
            <b/>
            <sz val="9"/>
            <color indexed="81"/>
            <rFont val="Tahoma"/>
            <family val="2"/>
          </rPr>
          <t>Pieter van Zyl:</t>
        </r>
        <r>
          <rPr>
            <sz val="9"/>
            <color indexed="81"/>
            <rFont val="Tahoma"/>
            <family val="2"/>
          </rPr>
          <t xml:space="preserve">
Enter legal name of company being appraised.</t>
        </r>
      </text>
    </comment>
    <comment ref="A17" authorId="0" shapeId="0" xr:uid="{86F493A2-3EA7-4882-9874-DF08B49198B4}">
      <text>
        <r>
          <rPr>
            <b/>
            <sz val="9"/>
            <color indexed="81"/>
            <rFont val="Tahoma"/>
            <family val="2"/>
          </rPr>
          <t>Pieter van Zyl:</t>
        </r>
        <r>
          <rPr>
            <sz val="9"/>
            <color indexed="81"/>
            <rFont val="Tahoma"/>
            <family val="2"/>
          </rPr>
          <t xml:space="preserve">
Enter legal name in native language. If English leave blank.</t>
        </r>
      </text>
    </comment>
    <comment ref="A18" authorId="0" shapeId="0" xr:uid="{EE3BFD2C-8DD6-4E51-BD88-98355C8190F8}">
      <text>
        <r>
          <rPr>
            <b/>
            <sz val="9"/>
            <color indexed="81"/>
            <rFont val="Tahoma"/>
            <family val="2"/>
          </rPr>
          <t>Pieter van Zyl:</t>
        </r>
        <r>
          <rPr>
            <sz val="9"/>
            <color indexed="81"/>
            <rFont val="Tahoma"/>
            <family val="2"/>
          </rPr>
          <t xml:space="preserve">
Street address, P.O. box, company name, c/o</t>
        </r>
      </text>
    </comment>
    <comment ref="A19" authorId="0" shapeId="0" xr:uid="{EE8EEFE8-F89B-415A-B12D-F2D5A5C005E7}">
      <text>
        <r>
          <rPr>
            <b/>
            <sz val="9"/>
            <color indexed="81"/>
            <rFont val="Tahoma"/>
            <family val="2"/>
          </rPr>
          <t>Pieter van Zyl:</t>
        </r>
        <r>
          <rPr>
            <sz val="9"/>
            <color indexed="81"/>
            <rFont val="Tahoma"/>
            <family val="2"/>
          </rPr>
          <t xml:space="preserve">
Apartment, suite, unit, building, floor, etc.</t>
        </r>
      </text>
    </comment>
    <comment ref="A26" authorId="0" shapeId="0" xr:uid="{EF2F638F-2E04-4F8A-A136-8E44F8C1C02A}">
      <text>
        <r>
          <rPr>
            <b/>
            <sz val="9"/>
            <color indexed="81"/>
            <rFont val="Tahoma"/>
            <family val="2"/>
          </rPr>
          <t>Pieter van Zyl:</t>
        </r>
        <r>
          <rPr>
            <sz val="9"/>
            <color indexed="81"/>
            <rFont val="Tahoma"/>
            <family val="2"/>
          </rPr>
          <t xml:space="preserve">
Pick the classification that best identifies the activity the organization performs.</t>
        </r>
      </text>
    </comment>
    <comment ref="A31" authorId="0" shapeId="0" xr:uid="{DDD8F6AE-E09A-4DDB-A7BB-D64F406662C2}">
      <text>
        <r>
          <rPr>
            <b/>
            <sz val="9"/>
            <color indexed="81"/>
            <rFont val="Tahoma"/>
            <family val="2"/>
          </rPr>
          <t>Pieter van Zyl:</t>
        </r>
        <r>
          <rPr>
            <sz val="9"/>
            <color indexed="81"/>
            <rFont val="Tahoma"/>
            <family val="2"/>
          </rPr>
          <t xml:space="preserve">
Enter a name for the OU. It cannot be the same as the organization's name.</t>
        </r>
      </text>
    </comment>
    <comment ref="A35" authorId="0" shapeId="0" xr:uid="{D05E3AF0-609F-44B3-A26E-76C605AAC7F9}">
      <text>
        <r>
          <rPr>
            <b/>
            <sz val="9"/>
            <color indexed="81"/>
            <rFont val="Tahoma"/>
            <family val="2"/>
          </rPr>
          <t>Pieter van Zyl:</t>
        </r>
        <r>
          <rPr>
            <sz val="9"/>
            <color indexed="81"/>
            <rFont val="Tahoma"/>
            <family val="2"/>
          </rPr>
          <t xml:space="preserve">
If more than one organisation, insert into Organization: Organization Info above, and list all applicable here</t>
        </r>
      </text>
    </comment>
    <comment ref="A39" authorId="0" shapeId="0" xr:uid="{38105F1C-E1DF-49AE-BB1C-2AC9479961D6}">
      <text>
        <r>
          <rPr>
            <b/>
            <sz val="9"/>
            <color indexed="81"/>
            <rFont val="Tahoma"/>
            <family val="2"/>
          </rPr>
          <t>Pieter van Zyl:</t>
        </r>
        <r>
          <rPr>
            <sz val="9"/>
            <color indexed="81"/>
            <rFont val="Tahoma"/>
            <family val="2"/>
          </rPr>
          <t xml:space="preserve">
If this Organizational Unit has multiple prior appraisals, enter numbers separated by commas (e.g. 1001, 2140).</t>
        </r>
      </text>
    </comment>
    <comment ref="A47" authorId="0" shapeId="0" xr:uid="{D15CD596-A0D4-4BE4-9B75-41AD41C28794}">
      <text>
        <r>
          <rPr>
            <b/>
            <sz val="9"/>
            <color indexed="81"/>
            <rFont val="Tahoma"/>
            <family val="2"/>
          </rPr>
          <t>Pieter van Zyl:</t>
        </r>
        <r>
          <rPr>
            <sz val="9"/>
            <color indexed="81"/>
            <rFont val="Tahoma"/>
            <family val="2"/>
          </rPr>
          <t xml:space="preserve">
Date for the start of the plan appraisal phase.</t>
        </r>
      </text>
    </comment>
    <comment ref="A48" authorId="0" shapeId="0" xr:uid="{4A53852E-EB19-4AEE-AD96-5D5B3AC7F9EC}">
      <text>
        <r>
          <rPr>
            <b/>
            <sz val="9"/>
            <color indexed="81"/>
            <rFont val="Tahoma"/>
            <family val="2"/>
          </rPr>
          <t>Pieter van Zyl:</t>
        </r>
        <r>
          <rPr>
            <sz val="9"/>
            <color indexed="81"/>
            <rFont val="Tahoma"/>
            <family val="2"/>
          </rPr>
          <t xml:space="preserve">
Date for the end of the plan appraisal phase.</t>
        </r>
      </text>
    </comment>
    <comment ref="A50" authorId="0" shapeId="0" xr:uid="{C3BBBD00-4984-4862-A0BE-3CB65537C2D4}">
      <text>
        <r>
          <rPr>
            <b/>
            <sz val="9"/>
            <color indexed="81"/>
            <rFont val="Tahoma"/>
            <family val="2"/>
          </rPr>
          <t>Pieter van Zyl:</t>
        </r>
        <r>
          <rPr>
            <sz val="9"/>
            <color indexed="81"/>
            <rFont val="Tahoma"/>
            <family val="2"/>
          </rPr>
          <t xml:space="preserve">
For each readiness review planned, specify the following information. Readiness reviews can also be viewed in the Appraisal Timeline in Phase 1: Plan Appraisal - Sample Scope.</t>
        </r>
      </text>
    </comment>
    <comment ref="A75" authorId="0" shapeId="0" xr:uid="{FBE16F8C-29D0-4CDC-8EF6-8586F145C041}">
      <text>
        <r>
          <rPr>
            <b/>
            <sz val="9"/>
            <color indexed="81"/>
            <rFont val="Tahoma"/>
            <family val="2"/>
          </rPr>
          <t>Pieter van Zyl:</t>
        </r>
        <r>
          <rPr>
            <sz val="9"/>
            <color indexed="81"/>
            <rFont val="Tahoma"/>
            <family val="2"/>
          </rPr>
          <t xml:space="preserve">
Select the target Maturity Level, or select the Capability Level option and define a target level per Practice Area (PA) in the Target Level Detail step. If performing a Capability Level appraisal and the PAs in scope equal or exceed those in a defined Maturity Level, pick the Maturity Level first and then add the additional PAs being appraised.</t>
        </r>
      </text>
    </comment>
    <comment ref="A76" authorId="0" shapeId="0" xr:uid="{38583DFA-F3A5-4D4E-9E80-81D18DDD2C8D}">
      <text>
        <r>
          <rPr>
            <b/>
            <sz val="9"/>
            <color indexed="81"/>
            <rFont val="Tahoma"/>
            <family val="2"/>
          </rPr>
          <t>Pieter van Zyl:</t>
        </r>
        <r>
          <rPr>
            <sz val="9"/>
            <color indexed="81"/>
            <rFont val="Tahoma"/>
            <family val="2"/>
          </rPr>
          <t xml:space="preserve">
Please select the Model View that will be used to measure the selected Maturity Level.</t>
        </r>
      </text>
    </comment>
    <comment ref="A85" authorId="0" shapeId="0" xr:uid="{C1036AA2-07E3-4EFD-8FA9-5753731A76CE}">
      <text>
        <r>
          <rPr>
            <b/>
            <sz val="9"/>
            <color indexed="81"/>
            <rFont val="Tahoma"/>
            <family val="2"/>
          </rPr>
          <t>Pieter van Zyl:</t>
        </r>
        <r>
          <rPr>
            <sz val="9"/>
            <color indexed="81"/>
            <rFont val="Tahoma"/>
            <family val="2"/>
          </rPr>
          <t xml:space="preserve">
Search for the individual who will be assigned as Appraisal Sponsor. For more accurate search results, use the full name of the individual.
NOTE: If not in dashboard, use Go to Community Search</t>
        </r>
      </text>
    </comment>
    <comment ref="B85" authorId="0" shapeId="0" xr:uid="{53859778-4D3C-4D19-9818-18DFCBBC84FA}">
      <text>
        <r>
          <rPr>
            <b/>
            <sz val="9"/>
            <color indexed="81"/>
            <rFont val="Tahoma"/>
            <family val="2"/>
          </rPr>
          <t>Pieter van Zyl:</t>
        </r>
        <r>
          <rPr>
            <sz val="9"/>
            <color indexed="81"/>
            <rFont val="Tahoma"/>
            <family val="2"/>
          </rPr>
          <t xml:space="preserve">
Need to be registered in CAS</t>
        </r>
      </text>
    </comment>
    <comment ref="A86" authorId="0" shapeId="0" xr:uid="{821F7CC7-5E83-4F5E-8130-9E799E23CFEB}">
      <text>
        <r>
          <rPr>
            <b/>
            <sz val="9"/>
            <color indexed="81"/>
            <rFont val="Tahoma"/>
            <family val="2"/>
          </rPr>
          <t>Pieter van Zyl:</t>
        </r>
        <r>
          <rPr>
            <sz val="9"/>
            <color indexed="81"/>
            <rFont val="Tahoma"/>
            <family val="2"/>
          </rPr>
          <t xml:space="preserve">
Select appraisal team members, including observers or translators if applicable. All team members must have created an account before they can be included on an Appraisal Team.</t>
        </r>
      </text>
    </comment>
    <comment ref="B86" authorId="0" shapeId="0" xr:uid="{AAA90BFA-FF06-4E8E-BF65-3DCB234E6A86}">
      <text>
        <r>
          <rPr>
            <b/>
            <sz val="9"/>
            <color indexed="81"/>
            <rFont val="Tahoma"/>
            <family val="2"/>
          </rPr>
          <t>Pieter van Zyl:</t>
        </r>
        <r>
          <rPr>
            <sz val="9"/>
            <color indexed="81"/>
            <rFont val="Tahoma"/>
            <family val="2"/>
          </rPr>
          <t xml:space="preserve">
Need to be registered in CAS</t>
        </r>
      </text>
    </comment>
    <comment ref="A87" authorId="0" shapeId="0" xr:uid="{9D102702-A9C2-4CAF-BE7A-355283FB74F3}">
      <text>
        <r>
          <rPr>
            <b/>
            <sz val="9"/>
            <color indexed="81"/>
            <rFont val="Tahoma"/>
            <family val="2"/>
          </rPr>
          <t>Pieter van Zyl:</t>
        </r>
        <r>
          <rPr>
            <sz val="9"/>
            <color indexed="81"/>
            <rFont val="Tahoma"/>
            <family val="2"/>
          </rPr>
          <t xml:space="preserve">
Select appraisal team members, including observers or translators if applicable. All team members must have created an account before they can be included on an Appraisal Team.</t>
        </r>
      </text>
    </comment>
    <comment ref="B87" authorId="0" shapeId="0" xr:uid="{99C58194-E8C0-490F-84C3-7A17B118238D}">
      <text>
        <r>
          <rPr>
            <b/>
            <sz val="9"/>
            <color indexed="81"/>
            <rFont val="Tahoma"/>
            <family val="2"/>
          </rPr>
          <t>Pieter van Zyl:</t>
        </r>
        <r>
          <rPr>
            <sz val="9"/>
            <color indexed="81"/>
            <rFont val="Tahoma"/>
            <family val="2"/>
          </rPr>
          <t xml:space="preserve">
Need to be registered in CAS</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Pieter van Zyl</author>
  </authors>
  <commentList>
    <comment ref="B15" authorId="0" shapeId="0" xr:uid="{BB4824C9-A8C7-4B62-817D-2409615E5A66}">
      <text>
        <r>
          <rPr>
            <b/>
            <sz val="9"/>
            <color indexed="81"/>
            <rFont val="Tahoma"/>
            <family val="2"/>
          </rPr>
          <t>Pieter van Zyl:</t>
        </r>
        <r>
          <rPr>
            <sz val="9"/>
            <color indexed="81"/>
            <rFont val="Tahoma"/>
            <family val="2"/>
          </rPr>
          <t xml:space="preserve">
There is no real benefit to double up on PAs, except if you triple up (or more). 
The characterisatoin rule states that for any given practice, if 50% or more of the sampled projects and organizational support functions are characterized as DM or PM, then the OU must be characterized as DM ro PM for that practice. And therefore doubling up on a PA will not help if one of them is rated PM or DM.
See table 22 of MDD: OU-Level Practice Characterization Requirements for Benchmark Appraisals and Sustainment Appraisals.
</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Pieter van Zyl</author>
  </authors>
  <commentList>
    <comment ref="A4" authorId="0" shapeId="0" xr:uid="{9A4D48AB-8C53-48C5-B159-BA0F5D105DF2}">
      <text>
        <r>
          <rPr>
            <b/>
            <sz val="9"/>
            <color indexed="81"/>
            <rFont val="Tahoma"/>
            <family val="2"/>
          </rPr>
          <t>Pieter van Zyl:</t>
        </r>
        <r>
          <rPr>
            <sz val="9"/>
            <color indexed="81"/>
            <rFont val="Tahoma"/>
            <family val="2"/>
          </rPr>
          <t xml:space="preserve">
Provide a detailed description of how this output will be delivered to the sponsor.</t>
        </r>
      </text>
    </comment>
    <comment ref="A5" authorId="0" shapeId="0" xr:uid="{C0651B4E-3FCB-4980-BEB3-8AD28DB7D2ED}">
      <text>
        <r>
          <rPr>
            <b/>
            <sz val="9"/>
            <color indexed="81"/>
            <rFont val="Tahoma"/>
            <family val="2"/>
          </rPr>
          <t>Pieter van Zyl:</t>
        </r>
        <r>
          <rPr>
            <sz val="9"/>
            <color indexed="81"/>
            <rFont val="Tahoma"/>
            <family val="2"/>
          </rPr>
          <t xml:space="preserve">
Specity the owner of each output</t>
        </r>
      </text>
    </comment>
    <comment ref="A9" authorId="0" shapeId="0" xr:uid="{3FB228FF-C605-465A-A31D-1D8B895C0CAF}">
      <text>
        <r>
          <rPr>
            <b/>
            <sz val="9"/>
            <color indexed="81"/>
            <rFont val="Tahoma"/>
            <family val="2"/>
          </rPr>
          <t>Pieter van Zyl:</t>
        </r>
        <r>
          <rPr>
            <sz val="9"/>
            <color indexed="81"/>
            <rFont val="Tahoma"/>
            <family val="2"/>
          </rPr>
          <t xml:space="preserve">
Provide a detailed description of how this output will be delivered to the sponsor.</t>
        </r>
      </text>
    </comment>
    <comment ref="A10" authorId="0" shapeId="0" xr:uid="{4D891FF4-CA6F-44EC-82B4-6FFA17BCC9BB}">
      <text>
        <r>
          <rPr>
            <b/>
            <sz val="9"/>
            <color indexed="81"/>
            <rFont val="Tahoma"/>
            <family val="2"/>
          </rPr>
          <t>Pieter van Zyl:</t>
        </r>
        <r>
          <rPr>
            <sz val="9"/>
            <color indexed="81"/>
            <rFont val="Tahoma"/>
            <family val="2"/>
          </rPr>
          <t xml:space="preserve">
Specity the owner of each output</t>
        </r>
      </text>
    </comment>
    <comment ref="A14" authorId="0" shapeId="0" xr:uid="{7E4142D3-AF0A-41F2-AF7A-B94D2E6AF830}">
      <text>
        <r>
          <rPr>
            <b/>
            <sz val="9"/>
            <color indexed="81"/>
            <rFont val="Tahoma"/>
            <family val="2"/>
          </rPr>
          <t>Pieter van Zyl:</t>
        </r>
        <r>
          <rPr>
            <sz val="9"/>
            <color indexed="81"/>
            <rFont val="Tahoma"/>
            <family val="2"/>
          </rPr>
          <t xml:space="preserve">
Provide a detailed description of how this output will be delivered to the sponsor.</t>
        </r>
      </text>
    </comment>
    <comment ref="A15" authorId="0" shapeId="0" xr:uid="{D02D0901-519C-47EA-ADF9-B86620C6C752}">
      <text>
        <r>
          <rPr>
            <b/>
            <sz val="9"/>
            <color indexed="81"/>
            <rFont val="Tahoma"/>
            <family val="2"/>
          </rPr>
          <t>Pieter van Zyl:</t>
        </r>
        <r>
          <rPr>
            <sz val="9"/>
            <color indexed="81"/>
            <rFont val="Tahoma"/>
            <family val="2"/>
          </rPr>
          <t xml:space="preserve">
Specity the owner of each output</t>
        </r>
      </text>
    </comment>
    <comment ref="A18" authorId="0" shapeId="0" xr:uid="{71E1E05C-983E-40E8-9A3C-3E574BB7B3ED}">
      <text>
        <r>
          <rPr>
            <b/>
            <sz val="9"/>
            <color indexed="81"/>
            <rFont val="Tahoma"/>
            <family val="2"/>
          </rPr>
          <t>Pieter van Zyl:</t>
        </r>
        <r>
          <rPr>
            <sz val="9"/>
            <color indexed="81"/>
            <rFont val="Tahoma"/>
            <family val="2"/>
          </rPr>
          <t xml:space="preserve">
List logistical requirements for the appraisal. Identify roles responsible for ensuring these needs are met.</t>
        </r>
      </text>
    </comment>
    <comment ref="A19" authorId="0" shapeId="0" xr:uid="{BCD7E2F4-CED8-48FE-BB14-A96E414800BA}">
      <text>
        <r>
          <rPr>
            <b/>
            <sz val="9"/>
            <color indexed="81"/>
            <rFont val="Tahoma"/>
            <family val="2"/>
          </rPr>
          <t>Pieter van Zyl:</t>
        </r>
        <r>
          <rPr>
            <sz val="9"/>
            <color indexed="81"/>
            <rFont val="Tahoma"/>
            <family val="2"/>
          </rPr>
          <t xml:space="preserve">
Provide a detailed description of how this output will be delivered to the sponsor.</t>
        </r>
      </text>
    </comment>
    <comment ref="A20" authorId="0" shapeId="0" xr:uid="{66957C20-74C2-46AB-9388-AAB7BF20CDA0}">
      <text>
        <r>
          <rPr>
            <b/>
            <sz val="9"/>
            <color indexed="81"/>
            <rFont val="Tahoma"/>
            <family val="2"/>
          </rPr>
          <t>Pieter van Zyl:</t>
        </r>
        <r>
          <rPr>
            <sz val="9"/>
            <color indexed="81"/>
            <rFont val="Tahoma"/>
            <family val="2"/>
          </rPr>
          <t xml:space="preserve">
Specity the owner of each output</t>
        </r>
      </text>
    </comment>
    <comment ref="A23" authorId="0" shapeId="0" xr:uid="{A9BF4444-026D-47AD-9BCF-2C77E06BC77A}">
      <text>
        <r>
          <rPr>
            <b/>
            <sz val="9"/>
            <color indexed="81"/>
            <rFont val="Tahoma"/>
            <family val="2"/>
          </rPr>
          <t>Pieter van Zyl:</t>
        </r>
        <r>
          <rPr>
            <sz val="9"/>
            <color indexed="81"/>
            <rFont val="Tahoma"/>
            <family val="2"/>
          </rPr>
          <t xml:space="preserve">
List logistical requirements for the appraisal. Identify roles responsible for ensuring these needs are met.</t>
        </r>
      </text>
    </comment>
    <comment ref="A24" authorId="0" shapeId="0" xr:uid="{DCD4CCEE-9667-42BB-99FE-86863366D479}">
      <text>
        <r>
          <rPr>
            <b/>
            <sz val="9"/>
            <color indexed="81"/>
            <rFont val="Tahoma"/>
            <family val="2"/>
          </rPr>
          <t>Pieter van Zyl:</t>
        </r>
        <r>
          <rPr>
            <sz val="9"/>
            <color indexed="81"/>
            <rFont val="Tahoma"/>
            <family val="2"/>
          </rPr>
          <t xml:space="preserve">
Provide a detailed description of how this output will be delivered to the sponsor.</t>
        </r>
      </text>
    </comment>
    <comment ref="A26" authorId="0" shapeId="0" xr:uid="{19BCBE56-1491-42D4-933C-3AC1B810077A}">
      <text>
        <r>
          <rPr>
            <b/>
            <sz val="9"/>
            <color indexed="81"/>
            <rFont val="Tahoma"/>
            <family val="2"/>
          </rPr>
          <t>Pieter van Zyl:</t>
        </r>
        <r>
          <rPr>
            <sz val="9"/>
            <color indexed="81"/>
            <rFont val="Tahoma"/>
            <family val="2"/>
          </rPr>
          <t xml:space="preserve">
Identify any optional appraisal outputs.</t>
        </r>
      </text>
    </comment>
    <comment ref="A28" authorId="0" shapeId="0" xr:uid="{6A289C44-7D91-400D-AFFC-4222BE651414}">
      <text>
        <r>
          <rPr>
            <b/>
            <sz val="9"/>
            <color indexed="81"/>
            <rFont val="Tahoma"/>
            <family val="2"/>
          </rPr>
          <t>Pieter van Zyl:</t>
        </r>
        <r>
          <rPr>
            <sz val="9"/>
            <color indexed="81"/>
            <rFont val="Tahoma"/>
            <family val="2"/>
          </rPr>
          <t xml:space="preserve">
Name the optional output if "other" was selected from the dropdown.</t>
        </r>
      </text>
    </comment>
    <comment ref="A29" authorId="0" shapeId="0" xr:uid="{1D8EF21F-344D-486F-A3D4-BAC12862992B}">
      <text>
        <r>
          <rPr>
            <b/>
            <sz val="9"/>
            <color indexed="81"/>
            <rFont val="Tahoma"/>
            <family val="2"/>
          </rPr>
          <t>Pieter van Zyl:</t>
        </r>
        <r>
          <rPr>
            <sz val="9"/>
            <color indexed="81"/>
            <rFont val="Tahoma"/>
            <family val="2"/>
          </rPr>
          <t xml:space="preserve">
Provide a detailed description of how this output will be delivered to the sponsor.</t>
        </r>
      </text>
    </comment>
    <comment ref="A30" authorId="0" shapeId="0" xr:uid="{F5754796-08FE-4599-9638-00183EBAFEEE}">
      <text>
        <r>
          <rPr>
            <b/>
            <sz val="9"/>
            <color indexed="81"/>
            <rFont val="Tahoma"/>
            <family val="2"/>
          </rPr>
          <t>Pieter van Zyl:</t>
        </r>
        <r>
          <rPr>
            <sz val="9"/>
            <color indexed="81"/>
            <rFont val="Tahoma"/>
            <family val="2"/>
          </rPr>
          <t xml:space="preserve">
Specity the owner of each output</t>
        </r>
      </text>
    </comment>
    <comment ref="A37" authorId="0" shapeId="0" xr:uid="{FFB444C7-EA8A-46FC-B005-A3C8A7B81852}">
      <text>
        <r>
          <rPr>
            <b/>
            <sz val="9"/>
            <color indexed="81"/>
            <rFont val="Tahoma"/>
            <family val="2"/>
          </rPr>
          <t>Pieter van Zyl:</t>
        </r>
        <r>
          <rPr>
            <sz val="9"/>
            <color indexed="81"/>
            <rFont val="Tahoma"/>
            <family val="2"/>
          </rPr>
          <t xml:space="preserve">
List logistical requirements for the appraisal. Identify roles responsible for ensuring these needs are met.</t>
        </r>
      </text>
    </comment>
    <comment ref="A38" authorId="0" shapeId="0" xr:uid="{91A65FFA-8E75-4E22-ABCF-E20A349B9287}">
      <text>
        <r>
          <rPr>
            <b/>
            <sz val="9"/>
            <color indexed="81"/>
            <rFont val="Tahoma"/>
            <family val="2"/>
          </rPr>
          <t>Pieter van Zyl:</t>
        </r>
        <r>
          <rPr>
            <sz val="9"/>
            <color indexed="81"/>
            <rFont val="Tahoma"/>
            <family val="2"/>
          </rPr>
          <t xml:space="preserve">
Select the OE Collection Approach.</t>
        </r>
      </text>
    </comment>
    <comment ref="A39" authorId="0" shapeId="0" xr:uid="{A543C257-CFFA-40BD-9FDE-91BDD214F8BE}">
      <text>
        <r>
          <rPr>
            <b/>
            <sz val="9"/>
            <color indexed="81"/>
            <rFont val="Tahoma"/>
            <family val="2"/>
          </rPr>
          <t>Pieter van Zyl:</t>
        </r>
        <r>
          <rPr>
            <sz val="9"/>
            <color indexed="81"/>
            <rFont val="Tahoma"/>
            <family val="2"/>
          </rPr>
          <t xml:space="preserve">
Describe the reasoning for using this approach.</t>
        </r>
      </text>
    </comment>
    <comment ref="A41" authorId="0" shapeId="0" xr:uid="{D2C17A3C-B4CF-491B-BAF5-EF022D97A7F3}">
      <text>
        <r>
          <rPr>
            <b/>
            <sz val="9"/>
            <color indexed="81"/>
            <rFont val="Tahoma"/>
            <family val="2"/>
          </rPr>
          <t>Pieter van Zyl:</t>
        </r>
        <r>
          <rPr>
            <sz val="9"/>
            <color indexed="81"/>
            <rFont val="Tahoma"/>
            <family val="2"/>
          </rPr>
          <t xml:space="preserve">
List logistical requirements for the appraisal. Identify roles responsible for ensuring these needs are met.</t>
        </r>
      </text>
    </comment>
    <comment ref="A42" authorId="0" shapeId="0" xr:uid="{BB50C129-1C79-4E4E-AE55-BDAB482E685B}">
      <text>
        <r>
          <rPr>
            <b/>
            <sz val="9"/>
            <color indexed="81"/>
            <rFont val="Tahoma"/>
            <family val="2"/>
          </rPr>
          <t>Pieter van Zyl:</t>
        </r>
        <r>
          <rPr>
            <sz val="9"/>
            <color indexed="81"/>
            <rFont val="Tahoma"/>
            <family val="2"/>
          </rPr>
          <t xml:space="preserve">
Select the technique used for collecting the OE.</t>
        </r>
      </text>
    </comment>
    <comment ref="A43" authorId="0" shapeId="0" xr:uid="{9CAC2A68-FF82-470F-9985-50E4318F2FEC}">
      <text>
        <r>
          <rPr>
            <b/>
            <sz val="9"/>
            <color indexed="81"/>
            <rFont val="Tahoma"/>
            <family val="2"/>
          </rPr>
          <t>Pieter van Zyl:</t>
        </r>
        <r>
          <rPr>
            <sz val="9"/>
            <color indexed="81"/>
            <rFont val="Tahoma"/>
            <family val="2"/>
          </rPr>
          <t xml:space="preserve">
Name the technique if "other" was selected from the dropdown.</t>
        </r>
      </text>
    </comment>
    <comment ref="A45" authorId="0" shapeId="0" xr:uid="{5A8D79F9-2209-4AFC-A5E7-A4A2173EC86C}">
      <text>
        <r>
          <rPr>
            <b/>
            <sz val="9"/>
            <color indexed="81"/>
            <rFont val="Tahoma"/>
            <family val="2"/>
          </rPr>
          <t>Pieter van Zyl:</t>
        </r>
        <r>
          <rPr>
            <sz val="9"/>
            <color indexed="81"/>
            <rFont val="Tahoma"/>
            <family val="2"/>
          </rPr>
          <t xml:space="preserve">
Describe how this technique will be used for collecting OE.</t>
        </r>
      </text>
    </comment>
    <comment ref="A50" authorId="0" shapeId="0" xr:uid="{760A0186-0BFA-431C-B27A-EFA004A74884}">
      <text>
        <r>
          <rPr>
            <b/>
            <sz val="9"/>
            <color indexed="81"/>
            <rFont val="Tahoma"/>
            <family val="2"/>
          </rPr>
          <t>Pieter van Zyl:</t>
        </r>
        <r>
          <rPr>
            <sz val="9"/>
            <color indexed="81"/>
            <rFont val="Tahoma"/>
            <family val="2"/>
          </rPr>
          <t xml:space="preserve">
Select the entity responsible for collecting OE for the appraisal team to review.
</t>
        </r>
      </text>
    </comment>
    <comment ref="A51" authorId="0" shapeId="0" xr:uid="{33A1CF86-C7B3-4FFE-8FE4-631B181BA38A}">
      <text>
        <r>
          <rPr>
            <b/>
            <sz val="9"/>
            <color indexed="81"/>
            <rFont val="Tahoma"/>
            <family val="2"/>
          </rPr>
          <t>Pieter van Zyl:</t>
        </r>
        <r>
          <rPr>
            <sz val="9"/>
            <color indexed="81"/>
            <rFont val="Tahoma"/>
            <family val="2"/>
          </rPr>
          <t xml:space="preserve">
Name the entity if "other" was selected from the dropdown.</t>
        </r>
      </text>
    </comment>
    <comment ref="A52" authorId="0" shapeId="0" xr:uid="{66D4CAB3-1EC6-475E-A47F-F3358522EF86}">
      <text>
        <r>
          <rPr>
            <b/>
            <sz val="9"/>
            <color indexed="81"/>
            <rFont val="Tahoma"/>
            <family val="2"/>
          </rPr>
          <t>Pieter van Zyl:</t>
        </r>
        <r>
          <rPr>
            <sz val="9"/>
            <color indexed="81"/>
            <rFont val="Tahoma"/>
            <family val="2"/>
          </rPr>
          <t xml:space="preserve">
Describe the roles played by individuals from this entity responsible for OE collection.</t>
        </r>
      </text>
    </comment>
    <comment ref="A55" authorId="0" shapeId="0" xr:uid="{05DBB86B-D755-4EF5-9C7E-5DC58C4B5B0B}">
      <text>
        <r>
          <rPr>
            <b/>
            <sz val="9"/>
            <color indexed="81"/>
            <rFont val="Tahoma"/>
            <family val="2"/>
          </rPr>
          <t>Pieter van Zyl:</t>
        </r>
        <r>
          <rPr>
            <sz val="9"/>
            <color indexed="81"/>
            <rFont val="Tahoma"/>
            <family val="2"/>
          </rPr>
          <t xml:space="preserve">
Select the individual or team responsible for collecting information for the Performance Report.</t>
        </r>
      </text>
    </comment>
    <comment ref="A56" authorId="0" shapeId="0" xr:uid="{034DFF64-6135-4D7A-A647-DAAA784D3FAD}">
      <text>
        <r>
          <rPr>
            <b/>
            <sz val="9"/>
            <color indexed="81"/>
            <rFont val="Tahoma"/>
            <family val="2"/>
          </rPr>
          <t>Pieter van Zyl:</t>
        </r>
        <r>
          <rPr>
            <sz val="9"/>
            <color indexed="81"/>
            <rFont val="Tahoma"/>
            <family val="2"/>
          </rPr>
          <t xml:space="preserve">
Name the approach if "other" was selected from the dropdown.</t>
        </r>
      </text>
    </comment>
    <comment ref="A57" authorId="0" shapeId="0" xr:uid="{2427D631-FAAD-49A9-BF64-7AD633974D06}">
      <text>
        <r>
          <rPr>
            <b/>
            <sz val="9"/>
            <color indexed="81"/>
            <rFont val="Tahoma"/>
            <family val="2"/>
          </rPr>
          <t>Pieter van Zyl:</t>
        </r>
        <r>
          <rPr>
            <sz val="9"/>
            <color indexed="81"/>
            <rFont val="Tahoma"/>
            <family val="2"/>
          </rPr>
          <t xml:space="preserve">
Describe how the information needed to complete the Performance Report will be collected.</t>
        </r>
      </text>
    </comment>
    <comment ref="A60" authorId="0" shapeId="0" xr:uid="{CD4C7829-A59D-4E9C-9FB3-724108A39840}">
      <text>
        <r>
          <rPr>
            <b/>
            <sz val="9"/>
            <color indexed="81"/>
            <rFont val="Tahoma"/>
            <family val="2"/>
          </rPr>
          <t>Pieter van Zyl:</t>
        </r>
        <r>
          <rPr>
            <sz val="9"/>
            <color indexed="81"/>
            <rFont val="Tahoma"/>
            <family val="2"/>
          </rPr>
          <t xml:space="preserve">
Summarize any additional project for which OE was requested, or any additional needs that remain after the performance of readiness reviews.</t>
        </r>
      </text>
    </comment>
    <comment ref="A73" authorId="0" shapeId="0" xr:uid="{CF362F55-A4BD-46BD-BFFF-02D84A344471}">
      <text>
        <r>
          <rPr>
            <b/>
            <sz val="9"/>
            <color indexed="81"/>
            <rFont val="Tahoma"/>
            <family val="2"/>
          </rPr>
          <t>Pieter van Zyl:</t>
        </r>
        <r>
          <rPr>
            <sz val="9"/>
            <color indexed="81"/>
            <rFont val="Tahoma"/>
            <family val="2"/>
          </rPr>
          <t xml:space="preserve">
If the appraisal team will be seeking additional information, describe the kinds of information to be sought. If no additional information is being collected, write 'none'.</t>
        </r>
      </text>
    </comment>
    <comment ref="A77" authorId="0" shapeId="0" xr:uid="{37CAD6B1-A1A9-477A-BADE-29031B4AD356}">
      <text>
        <r>
          <rPr>
            <b/>
            <sz val="9"/>
            <color indexed="81"/>
            <rFont val="Tahoma"/>
            <family val="2"/>
          </rPr>
          <t>Pieter van Zyl:</t>
        </r>
        <r>
          <rPr>
            <sz val="9"/>
            <color indexed="81"/>
            <rFont val="Tahoma"/>
            <family val="2"/>
          </rPr>
          <t xml:space="preserve">
If the appraisal team will be seeking additional information, describe the kinds of information to be sought. If no additional information is being collected, write 'none'.</t>
        </r>
      </text>
    </comment>
    <comment ref="A101" authorId="0" shapeId="0" xr:uid="{85A292DF-CCD3-4796-AD7B-7DC4714FC290}">
      <text>
        <r>
          <rPr>
            <b/>
            <sz val="9"/>
            <color indexed="81"/>
            <rFont val="Tahoma"/>
            <family val="2"/>
          </rPr>
          <t>Pieter van Zyl:</t>
        </r>
        <r>
          <rPr>
            <sz val="9"/>
            <color indexed="81"/>
            <rFont val="Tahoma"/>
            <family val="2"/>
          </rPr>
          <t xml:space="preserve">
If the appraisal team will be seeking additional information, describe the kinds of information to be sought. If no additional information is being collected, write 'none'.</t>
        </r>
      </text>
    </comment>
    <comment ref="A106" authorId="0" shapeId="0" xr:uid="{D1D9D337-23D5-4637-BA9F-0D894E03B783}">
      <text>
        <r>
          <rPr>
            <b/>
            <sz val="9"/>
            <color indexed="81"/>
            <rFont val="Tahoma"/>
            <family val="2"/>
          </rPr>
          <t>Pieter van Zyl:</t>
        </r>
        <r>
          <rPr>
            <sz val="9"/>
            <color indexed="81"/>
            <rFont val="Tahoma"/>
            <family val="2"/>
          </rPr>
          <t xml:space="preserve">
Specify the required equipment if "Equipment and material requirements for ATMs." was selected from the dropdown
</t>
        </r>
      </text>
    </comment>
    <comment ref="A107" authorId="0" shapeId="0" xr:uid="{58C87188-8565-4778-A1A4-8C314334B76C}">
      <text>
        <r>
          <rPr>
            <b/>
            <sz val="9"/>
            <color indexed="81"/>
            <rFont val="Tahoma"/>
            <family val="2"/>
          </rPr>
          <t>Pieter van Zyl:</t>
        </r>
        <r>
          <rPr>
            <sz val="9"/>
            <color indexed="81"/>
            <rFont val="Tahoma"/>
            <family val="2"/>
          </rPr>
          <t xml:space="preserve">
Name the logistical requirement if "other" was selected from the dropdown</t>
        </r>
      </text>
    </comment>
    <comment ref="A112" authorId="0" shapeId="0" xr:uid="{B47C3C47-AAB5-440B-BE28-6304A0595EB3}">
      <text>
        <r>
          <rPr>
            <b/>
            <sz val="9"/>
            <color indexed="81"/>
            <rFont val="Tahoma"/>
            <family val="2"/>
          </rPr>
          <t>Pieter van Zyl:</t>
        </r>
        <r>
          <rPr>
            <sz val="9"/>
            <color indexed="81"/>
            <rFont val="Tahoma"/>
            <family val="2"/>
          </rPr>
          <t xml:space="preserve">
Specify the required equipment if "Equipment and material requirements for ATMs." was selected from the dropdown
</t>
        </r>
      </text>
    </comment>
    <comment ref="A113" authorId="0" shapeId="0" xr:uid="{C6F0F39E-0E3F-421F-98F0-69236459441E}">
      <text>
        <r>
          <rPr>
            <b/>
            <sz val="9"/>
            <color indexed="81"/>
            <rFont val="Tahoma"/>
            <family val="2"/>
          </rPr>
          <t>Pieter van Zyl:</t>
        </r>
        <r>
          <rPr>
            <sz val="9"/>
            <color indexed="81"/>
            <rFont val="Tahoma"/>
            <family val="2"/>
          </rPr>
          <t xml:space="preserve">
Name the logistical requirement if "other" was selected from the dropdown</t>
        </r>
      </text>
    </comment>
    <comment ref="A118" authorId="0" shapeId="0" xr:uid="{A2CAB7CD-D2C9-4923-9267-2F39C6C5A5D1}">
      <text>
        <r>
          <rPr>
            <b/>
            <sz val="9"/>
            <color indexed="81"/>
            <rFont val="Tahoma"/>
            <family val="2"/>
          </rPr>
          <t>Pieter van Zyl:</t>
        </r>
        <r>
          <rPr>
            <sz val="9"/>
            <color indexed="81"/>
            <rFont val="Tahoma"/>
            <family val="2"/>
          </rPr>
          <t xml:space="preserve">
Specify the required equipment if "Equipment and material requirements for ATMs." was selected from the dropdown
</t>
        </r>
      </text>
    </comment>
    <comment ref="A119" authorId="0" shapeId="0" xr:uid="{C05F4D61-5E62-4C4F-BC01-A58EDA7C9213}">
      <text>
        <r>
          <rPr>
            <b/>
            <sz val="9"/>
            <color indexed="81"/>
            <rFont val="Tahoma"/>
            <family val="2"/>
          </rPr>
          <t>Pieter van Zyl:</t>
        </r>
        <r>
          <rPr>
            <sz val="9"/>
            <color indexed="81"/>
            <rFont val="Tahoma"/>
            <family val="2"/>
          </rPr>
          <t xml:space="preserve">
Name the logistical requirement if "other" was selected from the dropdown</t>
        </r>
      </text>
    </comment>
    <comment ref="A124" authorId="0" shapeId="0" xr:uid="{813D7472-D1F2-4B4A-8681-6CCE2A03644E}">
      <text>
        <r>
          <rPr>
            <b/>
            <sz val="9"/>
            <color indexed="81"/>
            <rFont val="Tahoma"/>
            <family val="2"/>
          </rPr>
          <t>Pieter van Zyl:</t>
        </r>
        <r>
          <rPr>
            <sz val="9"/>
            <color indexed="81"/>
            <rFont val="Tahoma"/>
            <family val="2"/>
          </rPr>
          <t xml:space="preserve">
Specify the required equipment if "Equipment and material requirements for ATMs." was selected from the dropdown
</t>
        </r>
      </text>
    </comment>
    <comment ref="A125" authorId="0" shapeId="0" xr:uid="{CAAA6F43-1E6F-49DA-871A-53426861FBF3}">
      <text>
        <r>
          <rPr>
            <b/>
            <sz val="9"/>
            <color indexed="81"/>
            <rFont val="Tahoma"/>
            <family val="2"/>
          </rPr>
          <t>Pieter van Zyl:</t>
        </r>
        <r>
          <rPr>
            <sz val="9"/>
            <color indexed="81"/>
            <rFont val="Tahoma"/>
            <family val="2"/>
          </rPr>
          <t xml:space="preserve">
Name the logistical requirement if "other" was selected from the dropdown</t>
        </r>
      </text>
    </comment>
    <comment ref="A130" authorId="0" shapeId="0" xr:uid="{ABAB004D-0C7A-4798-A415-121A3C7E901B}">
      <text>
        <r>
          <rPr>
            <b/>
            <sz val="9"/>
            <color indexed="81"/>
            <rFont val="Tahoma"/>
            <family val="2"/>
          </rPr>
          <t>Pieter van Zyl:</t>
        </r>
        <r>
          <rPr>
            <sz val="9"/>
            <color indexed="81"/>
            <rFont val="Tahoma"/>
            <family val="2"/>
          </rPr>
          <t xml:space="preserve">
Specify the required equipment if "Equipment and material requirements for ATMs." was selected from the dropdown
</t>
        </r>
      </text>
    </comment>
    <comment ref="A131" authorId="0" shapeId="0" xr:uid="{2E95239A-219A-4D49-B2A9-015690E1B329}">
      <text>
        <r>
          <rPr>
            <b/>
            <sz val="9"/>
            <color indexed="81"/>
            <rFont val="Tahoma"/>
            <family val="2"/>
          </rPr>
          <t>Pieter van Zyl:</t>
        </r>
        <r>
          <rPr>
            <sz val="9"/>
            <color indexed="81"/>
            <rFont val="Tahoma"/>
            <family val="2"/>
          </rPr>
          <t xml:space="preserve">
Name the logistical requirement if "other" was selected from the dropdown</t>
        </r>
      </text>
    </comment>
    <comment ref="A137" authorId="0" shapeId="0" xr:uid="{DD0363E2-14DD-4B78-A1FB-C96C45E2A836}">
      <text>
        <r>
          <rPr>
            <b/>
            <sz val="9"/>
            <color indexed="81"/>
            <rFont val="Tahoma"/>
            <family val="2"/>
          </rPr>
          <t>Pieter van Zyl:</t>
        </r>
        <r>
          <rPr>
            <sz val="9"/>
            <color indexed="81"/>
            <rFont val="Tahoma"/>
            <family val="2"/>
          </rPr>
          <t xml:space="preserve">
Identify constraints that have an impact on conducting the appraisal. Provide sufficient detail to facilitate and support decisions made during planning and to provide enough information to develop appropriate risk management plans.</t>
        </r>
      </text>
    </comment>
    <comment ref="A139" authorId="0" shapeId="0" xr:uid="{E2B5EEC5-2E83-4B85-A19E-FD2450DA5A32}">
      <text>
        <r>
          <rPr>
            <b/>
            <sz val="9"/>
            <color indexed="81"/>
            <rFont val="Tahoma"/>
            <family val="2"/>
          </rPr>
          <t>Pieter van Zyl:</t>
        </r>
        <r>
          <rPr>
            <sz val="9"/>
            <color indexed="81"/>
            <rFont val="Tahoma"/>
            <family val="2"/>
          </rPr>
          <t xml:space="preserve">
Name the constraint if "other" was selected from the dropdown</t>
        </r>
      </text>
    </comment>
    <comment ref="A144" authorId="0" shapeId="0" xr:uid="{676C53B6-7B68-4E22-8D5F-6ED02D854264}">
      <text>
        <r>
          <rPr>
            <b/>
            <sz val="9"/>
            <color indexed="81"/>
            <rFont val="Tahoma"/>
            <family val="2"/>
          </rPr>
          <t>Pieter van Zyl:</t>
        </r>
        <r>
          <rPr>
            <sz val="9"/>
            <color indexed="81"/>
            <rFont val="Tahoma"/>
            <family val="2"/>
          </rPr>
          <t xml:space="preserve">
Identify constraints that have an impact on conducting the appraisal. Provide sufficient detail to facilitate and support decisions made during planning and to provide enough information to develop appropriate risk management plans.</t>
        </r>
      </text>
    </comment>
    <comment ref="A147" authorId="0" shapeId="0" xr:uid="{964D688C-92EB-4BF3-A4D1-9C2BA3017979}">
      <text>
        <r>
          <rPr>
            <b/>
            <sz val="9"/>
            <color indexed="81"/>
            <rFont val="Tahoma"/>
            <family val="2"/>
          </rPr>
          <t>Pieter van Zyl:</t>
        </r>
        <r>
          <rPr>
            <sz val="9"/>
            <color indexed="81"/>
            <rFont val="Tahoma"/>
            <family val="2"/>
          </rPr>
          <t xml:space="preserve">
Only necessary if the Risk Category selected was "Other"</t>
        </r>
      </text>
    </comment>
    <comment ref="A155" authorId="0" shapeId="0" xr:uid="{331B675E-0FC0-4D87-98EA-9B3F1E8C2921}">
      <text>
        <r>
          <rPr>
            <b/>
            <sz val="9"/>
            <color indexed="81"/>
            <rFont val="Tahoma"/>
            <family val="2"/>
          </rPr>
          <t>Pieter van Zyl:</t>
        </r>
        <r>
          <rPr>
            <sz val="9"/>
            <color indexed="81"/>
            <rFont val="Tahoma"/>
            <family val="2"/>
          </rPr>
          <t xml:space="preserve">
Only necessary if the Risk Category selected was "Other"</t>
        </r>
      </text>
    </comment>
    <comment ref="A163" authorId="0" shapeId="0" xr:uid="{E664CF90-22AF-41A7-AE23-8AEC691175EC}">
      <text>
        <r>
          <rPr>
            <b/>
            <sz val="9"/>
            <color indexed="81"/>
            <rFont val="Tahoma"/>
            <family val="2"/>
          </rPr>
          <t>Pieter van Zyl:</t>
        </r>
        <r>
          <rPr>
            <sz val="9"/>
            <color indexed="81"/>
            <rFont val="Tahoma"/>
            <family val="2"/>
          </rPr>
          <t xml:space="preserve">
Only necessary if the Risk Category selected was "Other"</t>
        </r>
      </text>
    </comment>
    <comment ref="A171" authorId="0" shapeId="0" xr:uid="{4883A94A-772B-4509-B1BD-F398824A840F}">
      <text>
        <r>
          <rPr>
            <b/>
            <sz val="9"/>
            <color indexed="81"/>
            <rFont val="Tahoma"/>
            <family val="2"/>
          </rPr>
          <t>Pieter van Zyl:</t>
        </r>
        <r>
          <rPr>
            <sz val="9"/>
            <color indexed="81"/>
            <rFont val="Tahoma"/>
            <family val="2"/>
          </rPr>
          <t xml:space="preserve">
Only necessary if the Risk Category selected was "Other"</t>
        </r>
      </text>
    </comment>
    <comment ref="A179" authorId="0" shapeId="0" xr:uid="{EC1043E2-3321-4DCE-B428-AB4B99DF04CD}">
      <text>
        <r>
          <rPr>
            <b/>
            <sz val="9"/>
            <color indexed="81"/>
            <rFont val="Tahoma"/>
            <family val="2"/>
          </rPr>
          <t>Pieter van Zyl:</t>
        </r>
        <r>
          <rPr>
            <sz val="9"/>
            <color indexed="81"/>
            <rFont val="Tahoma"/>
            <family val="2"/>
          </rPr>
          <t xml:space="preserve">
Only necessary if the Risk Category selected was "Other"</t>
        </r>
      </text>
    </comment>
    <comment ref="A187" authorId="0" shapeId="0" xr:uid="{18DBAC30-77F7-4CD9-B011-4AF96734E93D}">
      <text>
        <r>
          <rPr>
            <b/>
            <sz val="9"/>
            <color indexed="81"/>
            <rFont val="Tahoma"/>
            <family val="2"/>
          </rPr>
          <t>Pieter van Zyl:</t>
        </r>
        <r>
          <rPr>
            <sz val="9"/>
            <color indexed="81"/>
            <rFont val="Tahoma"/>
            <family val="2"/>
          </rPr>
          <t xml:space="preserve">
Only necessary if the Risk Category selected was "Other"</t>
        </r>
      </text>
    </comment>
    <comment ref="A196" authorId="0" shapeId="0" xr:uid="{8D4AADC6-4475-4C8D-9F3D-511CF6898006}">
      <text>
        <r>
          <rPr>
            <b/>
            <sz val="9"/>
            <color indexed="81"/>
            <rFont val="Tahoma"/>
            <family val="2"/>
          </rPr>
          <t>Pieter van Zyl:</t>
        </r>
        <r>
          <rPr>
            <sz val="9"/>
            <color indexed="81"/>
            <rFont val="Tahoma"/>
            <family val="2"/>
          </rPr>
          <t xml:space="preserve">
Only necessary if the Risk Category selected was "Other"</t>
        </r>
      </text>
    </comment>
    <comment ref="A204" authorId="0" shapeId="0" xr:uid="{4B6D28AC-DCCA-4D90-B21E-EF101A2E72AC}">
      <text>
        <r>
          <rPr>
            <b/>
            <sz val="9"/>
            <color indexed="81"/>
            <rFont val="Tahoma"/>
            <family val="2"/>
          </rPr>
          <t>Pieter van Zyl:</t>
        </r>
        <r>
          <rPr>
            <sz val="9"/>
            <color indexed="81"/>
            <rFont val="Tahoma"/>
            <family val="2"/>
          </rPr>
          <t xml:space="preserve">
Only necessary if the Risk Category selected was "Other"</t>
        </r>
      </text>
    </comment>
    <comment ref="A212" authorId="0" shapeId="0" xr:uid="{3D9435D1-11CF-4851-888E-51613B285EFE}">
      <text>
        <r>
          <rPr>
            <b/>
            <sz val="9"/>
            <color indexed="81"/>
            <rFont val="Tahoma"/>
            <family val="2"/>
          </rPr>
          <t>Pieter van Zyl:</t>
        </r>
        <r>
          <rPr>
            <sz val="9"/>
            <color indexed="81"/>
            <rFont val="Tahoma"/>
            <family val="2"/>
          </rPr>
          <t xml:space="preserve">
Only necessary if the Risk Category selected was "Other"</t>
        </r>
      </text>
    </comment>
    <comment ref="A220" authorId="0" shapeId="0" xr:uid="{E8623550-4380-4DC6-AC6D-DB776A835D88}">
      <text>
        <r>
          <rPr>
            <b/>
            <sz val="9"/>
            <color indexed="81"/>
            <rFont val="Tahoma"/>
            <family val="2"/>
          </rPr>
          <t>Pieter van Zyl:</t>
        </r>
        <r>
          <rPr>
            <sz val="9"/>
            <color indexed="81"/>
            <rFont val="Tahoma"/>
            <family val="2"/>
          </rPr>
          <t xml:space="preserve">
Only necessary if the Risk Category selected was "Other"</t>
        </r>
      </text>
    </comment>
    <comment ref="A228" authorId="0" shapeId="0" xr:uid="{64A95900-0C8C-4418-8720-8EC07A92FCED}">
      <text>
        <r>
          <rPr>
            <b/>
            <sz val="9"/>
            <color indexed="81"/>
            <rFont val="Tahoma"/>
            <family val="2"/>
          </rPr>
          <t>Pieter van Zyl:</t>
        </r>
        <r>
          <rPr>
            <sz val="9"/>
            <color indexed="81"/>
            <rFont val="Tahoma"/>
            <family val="2"/>
          </rPr>
          <t xml:space="preserve">
Only necessary if the Risk Category selected was "Other"</t>
        </r>
      </text>
    </comment>
    <comment ref="A236" authorId="0" shapeId="0" xr:uid="{99B37D5C-DB5C-43D3-B7C2-30505B8B120B}">
      <text>
        <r>
          <rPr>
            <b/>
            <sz val="9"/>
            <color indexed="81"/>
            <rFont val="Tahoma"/>
            <family val="2"/>
          </rPr>
          <t>Pieter van Zyl:</t>
        </r>
        <r>
          <rPr>
            <sz val="9"/>
            <color indexed="81"/>
            <rFont val="Tahoma"/>
            <family val="2"/>
          </rPr>
          <t xml:space="preserve">
Only necessary if the Risk Category selected was "Other"</t>
        </r>
      </text>
    </comment>
    <comment ref="A246" authorId="0" shapeId="0" xr:uid="{D81C3E16-AAF3-4F82-BAED-E67791243FA0}">
      <text>
        <r>
          <rPr>
            <b/>
            <sz val="9"/>
            <color indexed="81"/>
            <rFont val="Tahoma"/>
            <family val="2"/>
          </rPr>
          <t>Pieter van Zyl:</t>
        </r>
        <r>
          <rPr>
            <sz val="9"/>
            <color indexed="81"/>
            <rFont val="Tahoma"/>
            <family val="2"/>
          </rPr>
          <t xml:space="preserve">
Name the conflict of interest if "other" was selected from the dropdown.</t>
        </r>
      </text>
    </comment>
    <comment ref="A256" authorId="0" shapeId="0" xr:uid="{EF4B96E2-61CB-464E-89A7-1181B067540F}">
      <text>
        <r>
          <rPr>
            <b/>
            <sz val="9"/>
            <color indexed="81"/>
            <rFont val="Tahoma"/>
            <family val="2"/>
          </rPr>
          <t>Pieter van Zyl:</t>
        </r>
        <r>
          <rPr>
            <sz val="9"/>
            <color indexed="81"/>
            <rFont val="Tahoma"/>
            <family val="2"/>
          </rPr>
          <t xml:space="preserve">
Name the follow-on activity if "Other" was selected from the dropdown</t>
        </r>
      </text>
    </comment>
    <comment ref="A261" authorId="0" shapeId="0" xr:uid="{B56AA0AE-37F7-4AD8-AEDD-BEEE359D6DEB}">
      <text>
        <r>
          <rPr>
            <b/>
            <sz val="9"/>
            <color indexed="81"/>
            <rFont val="Tahoma"/>
            <family val="2"/>
          </rPr>
          <t>Pieter van Zyl:</t>
        </r>
        <r>
          <rPr>
            <sz val="9"/>
            <color indexed="81"/>
            <rFont val="Tahoma"/>
            <family val="2"/>
          </rPr>
          <t xml:space="preserve">
As a starting point for creating the Confidentiality and Non-Attribution agreement, a template has been provided. This file may be downloaded, edited to fit the context of this appraisal, and then imported. The file imported and submitted to the CMMI Institute represents the version of the agreement that the appraisal team, ATL, and sponsor have agreed upon.</t>
        </r>
      </text>
    </comment>
  </commentList>
</comments>
</file>

<file path=xl/sharedStrings.xml><?xml version="1.0" encoding="utf-8"?>
<sst xmlns="http://schemas.openxmlformats.org/spreadsheetml/2006/main" count="4357" uniqueCount="1721">
  <si>
    <t>AGREEMENT 3 - LEAD APPRAISER and DEMIX</t>
  </si>
  <si>
    <t>Access record number</t>
  </si>
  <si>
    <t>Access version number</t>
  </si>
  <si>
    <t>Lead appraiser</t>
  </si>
  <si>
    <t>Surname, Name</t>
  </si>
  <si>
    <t>Organisational affiliation</t>
  </si>
  <si>
    <t>Demix (Pty) Ltd</t>
  </si>
  <si>
    <t>Title/designation</t>
  </si>
  <si>
    <t>Full title / designation</t>
  </si>
  <si>
    <t>Phone</t>
  </si>
  <si>
    <t>Email</t>
  </si>
  <si>
    <t>Dropbox</t>
  </si>
  <si>
    <t>Company to be appraised detail</t>
  </si>
  <si>
    <t>Name</t>
  </si>
  <si>
    <t>Indigenous name</t>
  </si>
  <si>
    <t>Destination city</t>
  </si>
  <si>
    <t>Province</t>
  </si>
  <si>
    <t>Country</t>
  </si>
  <si>
    <t>China</t>
  </si>
  <si>
    <t>Appraisal requirements information</t>
  </si>
  <si>
    <t>Date of request</t>
  </si>
  <si>
    <t>Initial requirements and objectives</t>
  </si>
  <si>
    <t>Initial expected final findings date</t>
  </si>
  <si>
    <t>On-site from date</t>
  </si>
  <si>
    <t>On-site to date</t>
  </si>
  <si>
    <t>Sponsor detail</t>
  </si>
  <si>
    <t>Site co-ordinator</t>
  </si>
  <si>
    <t>Translator</t>
  </si>
  <si>
    <t>CMMI Institute Business Point of Contact (BPOC)</t>
  </si>
  <si>
    <t>None</t>
  </si>
  <si>
    <t>Native Language Name</t>
  </si>
  <si>
    <t>Address Line 1</t>
  </si>
  <si>
    <t>Address Line 2</t>
  </si>
  <si>
    <t>City</t>
  </si>
  <si>
    <t>State/Province/Region</t>
  </si>
  <si>
    <t>ZIP/Postal Code</t>
  </si>
  <si>
    <t>Afghanistan</t>
  </si>
  <si>
    <t>Albania</t>
  </si>
  <si>
    <t>Algeria</t>
  </si>
  <si>
    <t>American Samoa</t>
  </si>
  <si>
    <t>Andorra</t>
  </si>
  <si>
    <t>Angola</t>
  </si>
  <si>
    <t>Anguilla</t>
  </si>
  <si>
    <t>Antarctica</t>
  </si>
  <si>
    <t>Argentina</t>
  </si>
  <si>
    <t>Armenia</t>
  </si>
  <si>
    <t>Aruba</t>
  </si>
  <si>
    <t>Ascension Island</t>
  </si>
  <si>
    <t>Australia</t>
  </si>
  <si>
    <t>Austria</t>
  </si>
  <si>
    <t>Azerbaijan</t>
  </si>
  <si>
    <t>Bahamas</t>
  </si>
  <si>
    <t>Bahrain</t>
  </si>
  <si>
    <t>Bangladesh</t>
  </si>
  <si>
    <t>Barbados</t>
  </si>
  <si>
    <t>Belarus</t>
  </si>
  <si>
    <t>Belgium</t>
  </si>
  <si>
    <t>Belize</t>
  </si>
  <si>
    <t>Benin</t>
  </si>
  <si>
    <t>Bermuda</t>
  </si>
  <si>
    <t>Bhutan</t>
  </si>
  <si>
    <t>Bolivia</t>
  </si>
  <si>
    <t>Botswana</t>
  </si>
  <si>
    <t>Brazil</t>
  </si>
  <si>
    <t>British Indian Ocean Territory</t>
  </si>
  <si>
    <t>British Virgin Islands</t>
  </si>
  <si>
    <t>Brunei</t>
  </si>
  <si>
    <t>Bulgaria</t>
  </si>
  <si>
    <t>Burkina Faso</t>
  </si>
  <si>
    <t>Burundi</t>
  </si>
  <si>
    <t>Cambodia</t>
  </si>
  <si>
    <t>Cameroon</t>
  </si>
  <si>
    <t>Canada</t>
  </si>
  <si>
    <t>Canary Islands</t>
  </si>
  <si>
    <t>Cape Verde</t>
  </si>
  <si>
    <t>Caribbean Netherlands</t>
  </si>
  <si>
    <t>Cayman Islands</t>
  </si>
  <si>
    <t>Central African Republic</t>
  </si>
  <si>
    <t>Chad</t>
  </si>
  <si>
    <t>Chile</t>
  </si>
  <si>
    <t>Christmas Island</t>
  </si>
  <si>
    <t>Cocos (Keeling) Islands</t>
  </si>
  <si>
    <t>Colombia</t>
  </si>
  <si>
    <t>Comoros</t>
  </si>
  <si>
    <t>Congo - Brazzaville</t>
  </si>
  <si>
    <t>Congo - Kinshasa</t>
  </si>
  <si>
    <t>Cook Islands</t>
  </si>
  <si>
    <t>Costa Rica</t>
  </si>
  <si>
    <t>Croatia</t>
  </si>
  <si>
    <t>Cuba</t>
  </si>
  <si>
    <t>Cyprus</t>
  </si>
  <si>
    <t>Czechia</t>
  </si>
  <si>
    <t>Denmark</t>
  </si>
  <si>
    <t>Diego Garcia</t>
  </si>
  <si>
    <t>Djibouti</t>
  </si>
  <si>
    <t>Dominica</t>
  </si>
  <si>
    <t>Dominican Republic</t>
  </si>
  <si>
    <t>Ecuador</t>
  </si>
  <si>
    <t>Egypt</t>
  </si>
  <si>
    <t>El Salvador</t>
  </si>
  <si>
    <t>Equatorial Guinea</t>
  </si>
  <si>
    <t>Eritrea</t>
  </si>
  <si>
    <t>Estonia</t>
  </si>
  <si>
    <t>Ethiopia</t>
  </si>
  <si>
    <t>Eurozone</t>
  </si>
  <si>
    <t>Falkland Islands</t>
  </si>
  <si>
    <t>Faroe Islands</t>
  </si>
  <si>
    <t>Fiji</t>
  </si>
  <si>
    <t>Finland</t>
  </si>
  <si>
    <t>France</t>
  </si>
  <si>
    <t>French Guiana</t>
  </si>
  <si>
    <t>French Polynesia</t>
  </si>
  <si>
    <t>French Southern Territories</t>
  </si>
  <si>
    <t>Gabon</t>
  </si>
  <si>
    <t>Gambia</t>
  </si>
  <si>
    <t>Georgia</t>
  </si>
  <si>
    <t>Germany</t>
  </si>
  <si>
    <t>Ghana</t>
  </si>
  <si>
    <t>Gibraltar</t>
  </si>
  <si>
    <t>Greece</t>
  </si>
  <si>
    <t>Greenland</t>
  </si>
  <si>
    <t>Grenada</t>
  </si>
  <si>
    <t>Guadeloupe</t>
  </si>
  <si>
    <t>Guam</t>
  </si>
  <si>
    <t>Guatemala</t>
  </si>
  <si>
    <t>Guernsey</t>
  </si>
  <si>
    <t>Guinea</t>
  </si>
  <si>
    <t>Guinea-Bissau</t>
  </si>
  <si>
    <t>Guyana</t>
  </si>
  <si>
    <t>Haiti</t>
  </si>
  <si>
    <t>Honduras</t>
  </si>
  <si>
    <t>Hong Kong SAR China</t>
  </si>
  <si>
    <t>Hungary</t>
  </si>
  <si>
    <t>Iceland</t>
  </si>
  <si>
    <t>India</t>
  </si>
  <si>
    <t>Indonesia</t>
  </si>
  <si>
    <t>Iran</t>
  </si>
  <si>
    <t>Iraq</t>
  </si>
  <si>
    <t>Ireland</t>
  </si>
  <si>
    <t>Isle of Man</t>
  </si>
  <si>
    <t>Israel</t>
  </si>
  <si>
    <t>Italy</t>
  </si>
  <si>
    <t>Jamaica</t>
  </si>
  <si>
    <t>Japan</t>
  </si>
  <si>
    <t>Jersey</t>
  </si>
  <si>
    <t>Jordan</t>
  </si>
  <si>
    <t>Kazakhstan</t>
  </si>
  <si>
    <t>Kenya</t>
  </si>
  <si>
    <t>Kiribati</t>
  </si>
  <si>
    <t>Kosovo</t>
  </si>
  <si>
    <t>Kuwait</t>
  </si>
  <si>
    <t>Kyrgyzstan</t>
  </si>
  <si>
    <t>Laos</t>
  </si>
  <si>
    <t>Latvia</t>
  </si>
  <si>
    <t>Lebanon</t>
  </si>
  <si>
    <t>Lesotho</t>
  </si>
  <si>
    <t>Liberia</t>
  </si>
  <si>
    <t>Libya</t>
  </si>
  <si>
    <t>Liechtenstein</t>
  </si>
  <si>
    <t>Lithuania</t>
  </si>
  <si>
    <t>Luxembourg</t>
  </si>
  <si>
    <t>Macau SAR China</t>
  </si>
  <si>
    <t>Macedonia</t>
  </si>
  <si>
    <t>Madagascar</t>
  </si>
  <si>
    <t>Malawi</t>
  </si>
  <si>
    <t>Malaysia</t>
  </si>
  <si>
    <t>Maldives</t>
  </si>
  <si>
    <t>Mali</t>
  </si>
  <si>
    <t>Malta</t>
  </si>
  <si>
    <t>Marshall Islands</t>
  </si>
  <si>
    <t>Martinique</t>
  </si>
  <si>
    <t>Mauritania</t>
  </si>
  <si>
    <t>Mauritius</t>
  </si>
  <si>
    <t>Mayotte</t>
  </si>
  <si>
    <t>Mexico</t>
  </si>
  <si>
    <t>Micronesia</t>
  </si>
  <si>
    <t>Moldova</t>
  </si>
  <si>
    <t>Monaco</t>
  </si>
  <si>
    <t>Mongolia</t>
  </si>
  <si>
    <t>Montenegro</t>
  </si>
  <si>
    <t>Montserrat</t>
  </si>
  <si>
    <t>Morocco</t>
  </si>
  <si>
    <t>Mozambique</t>
  </si>
  <si>
    <t>Myanmar (Burma)</t>
  </si>
  <si>
    <t>Namibia</t>
  </si>
  <si>
    <t>Nauru</t>
  </si>
  <si>
    <t>Nepal</t>
  </si>
  <si>
    <t>Netherlands</t>
  </si>
  <si>
    <t>New Caledonia</t>
  </si>
  <si>
    <t>New Zealand</t>
  </si>
  <si>
    <t>Nicaragua</t>
  </si>
  <si>
    <t>Niger</t>
  </si>
  <si>
    <t>Nigeria</t>
  </si>
  <si>
    <t>Niue</t>
  </si>
  <si>
    <t>Norfolk Island</t>
  </si>
  <si>
    <t>North Korea</t>
  </si>
  <si>
    <t>Northern Mariana Islands</t>
  </si>
  <si>
    <t>Norway</t>
  </si>
  <si>
    <t>Oman</t>
  </si>
  <si>
    <t>Pakistan</t>
  </si>
  <si>
    <t>Palau</t>
  </si>
  <si>
    <t>Palestinian Territories</t>
  </si>
  <si>
    <t>Panama</t>
  </si>
  <si>
    <t>Papua New Guinea</t>
  </si>
  <si>
    <t>Paraguay</t>
  </si>
  <si>
    <t>Peru</t>
  </si>
  <si>
    <t>Philippines</t>
  </si>
  <si>
    <t>Pitcairn Islands</t>
  </si>
  <si>
    <t>Poland</t>
  </si>
  <si>
    <t>Portugal</t>
  </si>
  <si>
    <t>Puerto Rico</t>
  </si>
  <si>
    <t>Qatar</t>
  </si>
  <si>
    <t>Romania</t>
  </si>
  <si>
    <t>Russia</t>
  </si>
  <si>
    <t>Rwanda</t>
  </si>
  <si>
    <t>Samoa</t>
  </si>
  <si>
    <t>San Marino</t>
  </si>
  <si>
    <t>Saudi Arabia</t>
  </si>
  <si>
    <t>Senegal</t>
  </si>
  <si>
    <t>Serbia</t>
  </si>
  <si>
    <t>Seychelles</t>
  </si>
  <si>
    <t>Sierra Leone</t>
  </si>
  <si>
    <t>Singapore</t>
  </si>
  <si>
    <t>Sint Maarten</t>
  </si>
  <si>
    <t>Slovakia</t>
  </si>
  <si>
    <t>Slovenia</t>
  </si>
  <si>
    <t>Solomon Islands</t>
  </si>
  <si>
    <t>Somalia</t>
  </si>
  <si>
    <t>South Africa</t>
  </si>
  <si>
    <t>South Korea</t>
  </si>
  <si>
    <t>South Sudan</t>
  </si>
  <si>
    <t>Spain</t>
  </si>
  <si>
    <t>Sri Lanka</t>
  </si>
  <si>
    <t>St. Helena</t>
  </si>
  <si>
    <t>St. Lucia</t>
  </si>
  <si>
    <t>St. Martin</t>
  </si>
  <si>
    <t>Sudan</t>
  </si>
  <si>
    <t>Suriname</t>
  </si>
  <si>
    <t>Swaziland</t>
  </si>
  <si>
    <t>Sweden</t>
  </si>
  <si>
    <t>Switzerland</t>
  </si>
  <si>
    <t>Syria</t>
  </si>
  <si>
    <t>Taiwan</t>
  </si>
  <si>
    <t>Tajikistan</t>
  </si>
  <si>
    <t>Tanzania</t>
  </si>
  <si>
    <t>Thailand</t>
  </si>
  <si>
    <t>Timor,-Leste</t>
  </si>
  <si>
    <t>Togo</t>
  </si>
  <si>
    <t>Tokelau</t>
  </si>
  <si>
    <t>Tonga</t>
  </si>
  <si>
    <t>Tristan da Cunha</t>
  </si>
  <si>
    <t>Tunisia</t>
  </si>
  <si>
    <t>Turkey</t>
  </si>
  <si>
    <t>Turkmenistan</t>
  </si>
  <si>
    <t>Tuvalu</t>
  </si>
  <si>
    <t>U.S. Outlying Islands</t>
  </si>
  <si>
    <t>U.S. Virgin Islands</t>
  </si>
  <si>
    <t>Uganda</t>
  </si>
  <si>
    <t>Ukraine</t>
  </si>
  <si>
    <t>United Arab Emirates</t>
  </si>
  <si>
    <t>United Kingdom</t>
  </si>
  <si>
    <t>United States</t>
  </si>
  <si>
    <t>Uruguay</t>
  </si>
  <si>
    <t>Uzbekistan</t>
  </si>
  <si>
    <t>Vanuatu</t>
  </si>
  <si>
    <t>Vatican City</t>
  </si>
  <si>
    <t>Venezuela</t>
  </si>
  <si>
    <t>Vietnam</t>
  </si>
  <si>
    <t>Western Sahara</t>
  </si>
  <si>
    <t>Yemen</t>
  </si>
  <si>
    <t>Zambia</t>
  </si>
  <si>
    <t xml:space="preserve">Zimbabwe </t>
  </si>
  <si>
    <t>Åland Islands</t>
  </si>
  <si>
    <t>Antigua &amp; Barbuda</t>
  </si>
  <si>
    <t>Bosnia &amp; Herzegovina</t>
  </si>
  <si>
    <t>Ceuta &amp; Melilla</t>
  </si>
  <si>
    <t>South Georgia &amp; South Sandwich Islands</t>
  </si>
  <si>
    <t>St. Kitts &amp; Nevis</t>
  </si>
  <si>
    <t>St. Pierre &amp; Miquelon</t>
  </si>
  <si>
    <t>St. Vincent &amp; Grenadines</t>
  </si>
  <si>
    <t>Svalbard &amp; Jan Mayen</t>
  </si>
  <si>
    <t>Trinidad &amp; Tobago</t>
  </si>
  <si>
    <t>Turks &amp; Caicos Islands</t>
  </si>
  <si>
    <t>Wallis &amp; Futuna</t>
  </si>
  <si>
    <t>Curaçao</t>
  </si>
  <si>
    <t>Côte d’Ivoire</t>
  </si>
  <si>
    <t>Réunion</t>
  </si>
  <si>
    <t>São Tomé &amp; Príncipe</t>
  </si>
  <si>
    <t>St. Barthélemy</t>
  </si>
  <si>
    <t>Special characters lookup</t>
  </si>
  <si>
    <t>Website Address/URL</t>
  </si>
  <si>
    <t>Rationale for Projects Excluded from OU</t>
  </si>
  <si>
    <t>ISIC Section - Division</t>
  </si>
  <si>
    <t>(A-01) Agriculture, forestry and fishing - Crop and animal production, hunting and related service activities</t>
  </si>
  <si>
    <t>(A-02) Agriculture, forestry and fishing - Forestry and logging</t>
  </si>
  <si>
    <t>(A-03) Agriculture, forestry and fishing - Fishing and aquaculter</t>
  </si>
  <si>
    <t>(B-05) Mining and quarrying - Mining of coal and lignite</t>
  </si>
  <si>
    <t>(B-06) Mining and quarrying - Extraction of crude petroleum and natural gas</t>
  </si>
  <si>
    <t>(B-07) Mining and quarrying - Mining of metal ores</t>
  </si>
  <si>
    <t>(B-08) Mining and quarrying - Other mining and quarrying</t>
  </si>
  <si>
    <t>(B-09) Mining and quarrying - Mining support service activities</t>
  </si>
  <si>
    <t>(C-10) Manufacturing - Manufacture of food products</t>
  </si>
  <si>
    <t>(C-11) Manufacturing - Manufacture of beverages</t>
  </si>
  <si>
    <t>(C-12) Manufacturing - Manufacture of tobacco products</t>
  </si>
  <si>
    <t>(C-13) Manufacturing - Manufacture of textiles</t>
  </si>
  <si>
    <t>(C-14) Manufacturing - Manufacture of wearing apparel</t>
  </si>
  <si>
    <t>(C-15) Manufacturing - Manufacture of leather and related products</t>
  </si>
  <si>
    <t>(C-16) Manufacturing - Manufacture of wood and of products of wood and cork, except furniture; manufacture of articles of straw and plaiting materials</t>
  </si>
  <si>
    <t>(C-17) Manufacturing - Manufacture of paper and paper products</t>
  </si>
  <si>
    <t>(C-18) Manufacturing - Printing and reproduction of recorded media</t>
  </si>
  <si>
    <t>(C-19) Manufacturing - Manufacture of coke and refined petroleum products</t>
  </si>
  <si>
    <t>(C-20) Manufacturing - Manufacture of chemicals and chemical products</t>
  </si>
  <si>
    <t>(C-21) Manufacturing - Manufacture of basic pharmaceutical products and pharmaceutical preparations</t>
  </si>
  <si>
    <t>(C-22) Manufacturing - Manufacture of rubber and plastics products</t>
  </si>
  <si>
    <t>(C-23) Manufacturing - Manufacture of other non-metallic mineral products</t>
  </si>
  <si>
    <t>(C-24) Manufacturing - Manufacture of basic metals</t>
  </si>
  <si>
    <t>(C-25) Manufacturing - Manufacture of fabricated metal products, except machinery and equipment</t>
  </si>
  <si>
    <t>(C-26) Manufacturing - Manufacture of computer, electronic and optical products</t>
  </si>
  <si>
    <t>(C-27) Manufacturing - Manufacture of electrical equipment</t>
  </si>
  <si>
    <t>(C-28) Manufacturing - Manufacture of machinery and equipment n.e.c.</t>
  </si>
  <si>
    <t>(C-29) Manufacturing - Manufacture of motor vehicles, trailers and semi-trailers</t>
  </si>
  <si>
    <t>(C-30) Manufacturing - Manufacture of other transport equipment</t>
  </si>
  <si>
    <t>(C-31) Manufacturing - Manufacture of furniture</t>
  </si>
  <si>
    <t>(C-32) Manufacturing - Other manufacturing</t>
  </si>
  <si>
    <t>(C-33) Manufacturing - Repair and installation of machinery and equipment</t>
  </si>
  <si>
    <t>(D-35) Electricity, gas, steam and air conditioning supply</t>
  </si>
  <si>
    <t>(E-36) Water supply; sewerage, waste management and remediation activities - Water collection, treatment and supply</t>
  </si>
  <si>
    <t>(E-37) Water supply; sewerage, waste management and remediation activities - Sewerage</t>
  </si>
  <si>
    <t>(E-38) Water supply; sewerage, waste management and remediation activities - Waste collection, treatment and disposal activities; materials recovery</t>
  </si>
  <si>
    <t>(E-39) Water supply; sewerage, waste management and remediation activities - Remediation activities and other waste management services</t>
  </si>
  <si>
    <t>(F-41) Construction - Construction of buildings</t>
  </si>
  <si>
    <t>(F-42) Construction - Civil engineering</t>
  </si>
  <si>
    <t>(F-43) Construction - Specialized construction activities</t>
  </si>
  <si>
    <t>(G-45) Wholesale and retail trade; repair of motor vehicles and motorcycles - Wholesale and retail trade and repair of motor vehicles and motorcycles</t>
  </si>
  <si>
    <t>(G-46) Wholesale and retail trade; repair of motor vehicles and motorcycles - Wholesale trade, except of motor vehicles and motorcycles</t>
  </si>
  <si>
    <t>(G-47) Wholesale and retail trade; repair of motor vehicles and motorcycles - Retail trade, except of motor vehicles and motorcycles</t>
  </si>
  <si>
    <t>(H-49) Transportation and storage - Land transport and transport via pipelines</t>
  </si>
  <si>
    <t>(H-50) Transportation and storage - Water transport</t>
  </si>
  <si>
    <t>(H-51) Transportation and storage - Air transport</t>
  </si>
  <si>
    <t>(H-52) Transportation and storage - Warehousing and support activities for transportation</t>
  </si>
  <si>
    <t>(H-53) Transportation and storage - Postal and courier activities</t>
  </si>
  <si>
    <t>(I-55) Accommodation and food service activities - Accommodation</t>
  </si>
  <si>
    <t>(I-56) Accommodation and food service activities - Food and beverage service activities</t>
  </si>
  <si>
    <t>(J-58) Information and communication - Publishing activities</t>
  </si>
  <si>
    <t>(J-59) Information and communication - Motion picture, video and television programme production, sound recording and music publishing activities</t>
  </si>
  <si>
    <t>(J-60) Information and communication - Programming and broadcasting activities</t>
  </si>
  <si>
    <t>(J-61) Information and communication - Telecommunications</t>
  </si>
  <si>
    <t>(J-62) Information and communication - Computer programming, consultancy and related activities</t>
  </si>
  <si>
    <t>(J-63) Information and communication - Information service activities</t>
  </si>
  <si>
    <t>(K-64) Financial and insurance activities - Financial service activities, except insurance and pension funding</t>
  </si>
  <si>
    <t>(K-65) Financial and insurance activities - Insurance, reinsurance and pension funding, except compulsory social security</t>
  </si>
  <si>
    <t>(K-66) Financial and insurance activities - Activities auxiliary to financial service and insurance activities</t>
  </si>
  <si>
    <t>(L-68) Real estate activities</t>
  </si>
  <si>
    <t>(M-69) Professional, scientific and technical activities - Legal and accounting activities</t>
  </si>
  <si>
    <t>(M-70) Professional, scientific and technical activities - Activities of head offices; management consultancy activities</t>
  </si>
  <si>
    <t>(M-71) Professional, scientific and technical activities - Architectural and engineering activities; technical testing and analysis</t>
  </si>
  <si>
    <t>(M-72) Professional, scientific and technical activities - Scientific research and development</t>
  </si>
  <si>
    <t>(M-73) Professional, scientific and technical activities - Advertising and market research</t>
  </si>
  <si>
    <t>(M-74) Professional, scientific and technical activities - Other professional, scientific and technical activities</t>
  </si>
  <si>
    <t>(M-75) Professional, scientific and technical activities - Veterinary activities</t>
  </si>
  <si>
    <t>(N-77) Administrative and support service activities - Rental and leasing activities</t>
  </si>
  <si>
    <t>(N-78) Administrative and support service activities - Employment activities</t>
  </si>
  <si>
    <t>(N-79) Administrative and support service activities - Travel agency, tour operator, reservation service and related activities</t>
  </si>
  <si>
    <t>(N-80) Administrative and support service activities - Security and investigation activities</t>
  </si>
  <si>
    <t>(N-81) Administrative and support service activities - Services to buildings and landscape activities</t>
  </si>
  <si>
    <t>(N-82) Administrative and support service activities - Office administrative, office support and other business support activities</t>
  </si>
  <si>
    <t>(O-84) Public administration and defence; compulsory social security</t>
  </si>
  <si>
    <t>(P-85) Education</t>
  </si>
  <si>
    <t>(Q-86) Human health and social work activities - Human health activities</t>
  </si>
  <si>
    <t>(Q-87) Human health and social work activities - Residential care activities</t>
  </si>
  <si>
    <t>(Q-88) Human health and social work activities - Social work activities without accommodation</t>
  </si>
  <si>
    <t>(R-90) Arts, entertainment and recreation - Creative, arts and entertainment activities</t>
  </si>
  <si>
    <t>(R-91) Arts, entertainment and recreation - Libraries, archives, museums and other cultural activities</t>
  </si>
  <si>
    <t>(R-92) Arts, entertainment and recreation - Gambling and betting activities</t>
  </si>
  <si>
    <t>(R-93) Arts, entertainment and recreation - Sports activities and amusement and recreation activities</t>
  </si>
  <si>
    <t>(S-94) Other service activities - Activities of membership organizations</t>
  </si>
  <si>
    <t>(S-95) Other service activities - Repair of computers and personal and household goods</t>
  </si>
  <si>
    <t>(S-96) Other service activities - Other personal service activities</t>
  </si>
  <si>
    <t>(T-97) Activities of households as employers; undifferentiated goods- and services-producing activities of households for own use - Activities of households as employers of domestic personnel</t>
  </si>
  <si>
    <t>(T-98) Activities of households as employers; undifferentiated goods- and services-producing activities of households for own use - Undifferentiated goods- and services-producing activities of private households for own use</t>
  </si>
  <si>
    <t>(U-99) Activities of extraterritorial organizations and bodies</t>
  </si>
  <si>
    <t>Organizational Structure Description</t>
  </si>
  <si>
    <t>Description</t>
  </si>
  <si>
    <t>Organizations</t>
  </si>
  <si>
    <t>Drop down</t>
  </si>
  <si>
    <t>Number of Sr. Management (FTEs)</t>
  </si>
  <si>
    <t>Number of Sr. Management Talked To</t>
  </si>
  <si>
    <t>Has this Organizational Unit been in any prior appraisals?</t>
  </si>
  <si>
    <t>No</t>
  </si>
  <si>
    <t>Organization</t>
  </si>
  <si>
    <t>Phase 1: Plan Appraisal</t>
  </si>
  <si>
    <t>Plan Appraisal Start Date</t>
  </si>
  <si>
    <t>Plan Appraisal End Date</t>
  </si>
  <si>
    <t>Readiness Review</t>
  </si>
  <si>
    <t>Readiness Review Name</t>
  </si>
  <si>
    <t>Readiness Review Start Date</t>
  </si>
  <si>
    <t>Readiness Review End Date</t>
  </si>
  <si>
    <t>Phase 2: Conduct Appraisal</t>
  </si>
  <si>
    <t>Conduct Appraisal Start Date</t>
  </si>
  <si>
    <t>Conduct Appraisal End Date</t>
  </si>
  <si>
    <t>Days On Site</t>
  </si>
  <si>
    <t>Phase 3: Report Results</t>
  </si>
  <si>
    <t>Report Results Start Date</t>
  </si>
  <si>
    <t>Report Results End Date</t>
  </si>
  <si>
    <t>Development</t>
  </si>
  <si>
    <t>Maturity Level</t>
  </si>
  <si>
    <t>Maturity Level 2</t>
  </si>
  <si>
    <t>Maturity Level 3</t>
  </si>
  <si>
    <t>Maturity Level 4</t>
  </si>
  <si>
    <t>Maturity Level 5</t>
  </si>
  <si>
    <t>Capability Level</t>
  </si>
  <si>
    <t>x</t>
  </si>
  <si>
    <t>Maturity Level/ Capability Level</t>
  </si>
  <si>
    <t>Model View</t>
  </si>
  <si>
    <t>CMMI Development V2.0 (CMMI-DEV) with SAM</t>
  </si>
  <si>
    <t>CMMI Development V2.0 (CMMI-DEV) without SAM</t>
  </si>
  <si>
    <t>CMMI Services V2.0 (CMMI-SVC) with SAM</t>
  </si>
  <si>
    <t>CMMI Services V2.0 (CMMI-SVC) without SAM</t>
  </si>
  <si>
    <t>CMMI Supplier Management V2.0 (CMMI-SPM)</t>
  </si>
  <si>
    <t>If you are selecting a Model View which excludes one or more Practice Areas, please explain why</t>
  </si>
  <si>
    <t>Personnel</t>
  </si>
  <si>
    <t>Appraisal Role</t>
  </si>
  <si>
    <t>Appraisal Team Member</t>
  </si>
  <si>
    <t>Observer</t>
  </si>
  <si>
    <t>Registered Interpreter</t>
  </si>
  <si>
    <t>OU Coordinator</t>
  </si>
  <si>
    <t>na</t>
  </si>
  <si>
    <t>Organizational Support Functions In Scope</t>
  </si>
  <si>
    <t>Sampling Factor</t>
  </si>
  <si>
    <t>Location</t>
  </si>
  <si>
    <t>Customer</t>
  </si>
  <si>
    <t>Size</t>
  </si>
  <si>
    <t>Organizational Structure</t>
  </si>
  <si>
    <t>Type of Work</t>
  </si>
  <si>
    <t>Other</t>
  </si>
  <si>
    <t>Sampling Factor Name</t>
  </si>
  <si>
    <t>Other Sampling Factor</t>
  </si>
  <si>
    <t>Definition</t>
  </si>
  <si>
    <t>Time Zone</t>
  </si>
  <si>
    <t>Partner</t>
  </si>
  <si>
    <t>Business and Appraisal Objectives</t>
  </si>
  <si>
    <t>ATM Signatures Required</t>
  </si>
  <si>
    <t>Appraisal Delivered Virtually</t>
  </si>
  <si>
    <t>UTC</t>
  </si>
  <si>
    <t>(UTC-12:00) International Date Line West</t>
  </si>
  <si>
    <t>(UTC-11:00) Coordinated Universal Time-11</t>
  </si>
  <si>
    <t>(UTC-10:00) Hawaii</t>
  </si>
  <si>
    <t>(UTC-10:00) Aleutian Islands</t>
  </si>
  <si>
    <t>(UTC-09:30) Marquesas Islands</t>
  </si>
  <si>
    <t>(UTC-09:00) Coordinated Universal Time-09</t>
  </si>
  <si>
    <t>(UTC-09:00) Alaska</t>
  </si>
  <si>
    <t>(UTC-08:00) Pacific Time (US &amp; Canada)</t>
  </si>
  <si>
    <t>(UTC-08:00) Coordinated Universal Time-08</t>
  </si>
  <si>
    <t>(UTC-08:00) Baja California</t>
  </si>
  <si>
    <t>(UTC-07:00) Mountain Time (US &amp; Canada)</t>
  </si>
  <si>
    <t>(UTC-07:00) Chihuahua, La Paz, Mazatlan</t>
  </si>
  <si>
    <t>(UTC-07:00) Arizona</t>
  </si>
  <si>
    <t>(UTC-06:00) Saskatchewan</t>
  </si>
  <si>
    <t>(UTC-06:00) Guadalajara, Mexico City, Monterrey</t>
  </si>
  <si>
    <t>(UTC-06:00) Easter Island</t>
  </si>
  <si>
    <t>(UTC-06:00) Central Time (US &amp; Canada)</t>
  </si>
  <si>
    <t>(UTC-06:00) Central America</t>
  </si>
  <si>
    <t>(UTC-05:00) Turks and Caicos</t>
  </si>
  <si>
    <t>(UTC-05:00) Indiana (East)</t>
  </si>
  <si>
    <t>(UTC-05:00) Havana</t>
  </si>
  <si>
    <t>(UTC-05:00) Haiti</t>
  </si>
  <si>
    <t>(UTC-05:00) Eastern Time (US &amp; Canada)</t>
  </si>
  <si>
    <t>(UTC-05:00) Chetumal</t>
  </si>
  <si>
    <t>(UTC-05:00) Bogota, Lima, Quito, Rio Branco</t>
  </si>
  <si>
    <t>(UTC-04:00) Santiago</t>
  </si>
  <si>
    <t>(UTC-04:00) Georgetown, La Paz, Manaus, San Juan</t>
  </si>
  <si>
    <t>(UTC-04:00) Cuiaba</t>
  </si>
  <si>
    <t>(UTC-04:00) Caracas</t>
  </si>
  <si>
    <t>(UTC-04:00) Atlantic Time (Canada)</t>
  </si>
  <si>
    <t>(UTC-04:00) Asuncion</t>
  </si>
  <si>
    <t>(UTC-03:30) Newfoundland</t>
  </si>
  <si>
    <t>(UTC-03:00) Salvador</t>
  </si>
  <si>
    <t>(UTC-03:00) Saint Pierre and Miquelon</t>
  </si>
  <si>
    <t>(UTC-03:00) Punta Arenas</t>
  </si>
  <si>
    <t>(UTC-03:00) Montevideo</t>
  </si>
  <si>
    <t>(UTC-03:00) Greenland</t>
  </si>
  <si>
    <t>(UTC-03:00) City of Buenos Aires</t>
  </si>
  <si>
    <t>(UTC-03:00) Cayenne, Fortaleza</t>
  </si>
  <si>
    <t>(UTC-03:00) Brasilia</t>
  </si>
  <si>
    <t>(UTC-03:00) Araguaina</t>
  </si>
  <si>
    <t>(UTC-02:00) Mid-Atlantic - Old</t>
  </si>
  <si>
    <t>(UTC-02:00) Coordinated Universal Time-02</t>
  </si>
  <si>
    <t>(UTC-01:00) Cabo Verde Is.</t>
  </si>
  <si>
    <t>(UTC-01:00) Azores</t>
  </si>
  <si>
    <t>(UTC+14:00) Kiritimati Island</t>
  </si>
  <si>
    <t>(UTC+13:00) Samoa</t>
  </si>
  <si>
    <t>(UTC+13:00) Nuku'alofa</t>
  </si>
  <si>
    <t>(UTC+13:00) Coordinated Universal Time+13</t>
  </si>
  <si>
    <t>(UTC+12:45) Chatham Islands</t>
  </si>
  <si>
    <t>(UTC+12:00) Petropavlovsk-Kamchatsky - Old</t>
  </si>
  <si>
    <t>(UTC+12:00) Fiji</t>
  </si>
  <si>
    <t>(UTC+12:00) Coordinated Universal Time+12</t>
  </si>
  <si>
    <t>(UTC+12:00) Auckland, Wellington</t>
  </si>
  <si>
    <t>(UTC+12:00) Anadyr, Petropavlovsk-Kamchatsky</t>
  </si>
  <si>
    <t>(UTC+11:00) Solomon Is., New Caledonia</t>
  </si>
  <si>
    <t>(UTC+11:00) Sakhalin</t>
  </si>
  <si>
    <t>(UTC+11:00) Norfolk Island</t>
  </si>
  <si>
    <t>(UTC+11:00) Magadan</t>
  </si>
  <si>
    <t>(UTC+11:00) Chokurdakh</t>
  </si>
  <si>
    <t>(UTC+11:00) Bougainville Island</t>
  </si>
  <si>
    <t>(UTC+10:30) Lord Howe Island</t>
  </si>
  <si>
    <t>(UTC+10:00) Vladivostok</t>
  </si>
  <si>
    <t>(UTC+10:00) Hobart</t>
  </si>
  <si>
    <t>(UTC+10:00) Guam, Port Moresby</t>
  </si>
  <si>
    <t>(UTC+10:00) Canberra, Melbourne, Sydney</t>
  </si>
  <si>
    <t>(UTC+10:00) Brisbane</t>
  </si>
  <si>
    <t>(UTC+09:30) Darwin</t>
  </si>
  <si>
    <t>(UTC+09:30) Adelaide</t>
  </si>
  <si>
    <t>(UTC+09:00) Yakutsk</t>
  </si>
  <si>
    <t>(UTC+09:00) Seoul</t>
  </si>
  <si>
    <t>(UTC+09:00) Pyongyang</t>
  </si>
  <si>
    <t>(UTC+09:00) Osaka, Sapporo, Tokyo</t>
  </si>
  <si>
    <t>(UTC+09:00) Chita</t>
  </si>
  <si>
    <t>(UTC+08:45) Eucla</t>
  </si>
  <si>
    <t>(UTC+08:00) Ulaanbaatar</t>
  </si>
  <si>
    <t>(UTC+08:00) Taipei</t>
  </si>
  <si>
    <t>(UTC+08:00) Perth</t>
  </si>
  <si>
    <t>(UTC+08:00) Kuala Lumpur, Singapore</t>
  </si>
  <si>
    <t>(UTC+08:00) Irkutsk</t>
  </si>
  <si>
    <t>(UTC+08:00) Beijing, Chongqing, Hong Kong, Urumqi</t>
  </si>
  <si>
    <t>(UTC+07:00) Tomsk</t>
  </si>
  <si>
    <t>(UTC+07:00) Novosibirsk</t>
  </si>
  <si>
    <t>(UTC+07:00) Krasnoyarsk</t>
  </si>
  <si>
    <t>(UTC+07:00) Hovd</t>
  </si>
  <si>
    <t>(UTC+07:00) Barnaul, Gorno-Altaysk</t>
  </si>
  <si>
    <t>(UTC+07:00) Bangkok, Hanoi, Jakarta</t>
  </si>
  <si>
    <t>(UTC+06:30) Yangon (Rangoon)</t>
  </si>
  <si>
    <t>(UTC+06:00) Omsk</t>
  </si>
  <si>
    <t>(UTC+06:00) Dhaka</t>
  </si>
  <si>
    <t>(UTC+06:00) Astana</t>
  </si>
  <si>
    <t>(UTC+05:45) Kathmandu</t>
  </si>
  <si>
    <t>(UTC+05:30) Sri Jayawardenepura</t>
  </si>
  <si>
    <t>(UTC+05:30) Chennai, Kolkata, Mumbai, New Delhi</t>
  </si>
  <si>
    <t>(UTC+05:00) Qyzylorda</t>
  </si>
  <si>
    <t>(UTC+05:00) Islamabad, Karachi</t>
  </si>
  <si>
    <t>(UTC+05:00) Ekaterinburg</t>
  </si>
  <si>
    <t>(UTC+05:00) Ashgabat, Tashkent</t>
  </si>
  <si>
    <t>(UTC+04:30) Kabul</t>
  </si>
  <si>
    <t>(UTC+04:00) Yerevan</t>
  </si>
  <si>
    <t>(UTC+04:00) Volgograd</t>
  </si>
  <si>
    <t>(UTC+04:00) Tbilisi</t>
  </si>
  <si>
    <t>(UTC+04:00) Saratov</t>
  </si>
  <si>
    <t>(UTC+04:00) Port Louis</t>
  </si>
  <si>
    <t>(UTC+04:00) Izhevsk, Samara</t>
  </si>
  <si>
    <t>(UTC+04:00) Baku</t>
  </si>
  <si>
    <t>(UTC+04:00) Astrakhan, Ulyanovsk</t>
  </si>
  <si>
    <t>(UTC+04:00) Abu Dhabi, Muscat</t>
  </si>
  <si>
    <t>(UTC+03:30) Tehran</t>
  </si>
  <si>
    <t>(UTC+03:00) Nairobi</t>
  </si>
  <si>
    <t>(UTC+03:00) Moscow, St. Petersburg</t>
  </si>
  <si>
    <t>(UTC+03:00) Minsk</t>
  </si>
  <si>
    <t>(UTC+03:00) Kuwait, Riyadh</t>
  </si>
  <si>
    <t>(UTC+03:00) Istanbul</t>
  </si>
  <si>
    <t>(UTC+03:00) Baghdad</t>
  </si>
  <si>
    <t>(UTC+02:00) Windhoek</t>
  </si>
  <si>
    <t>(UTC+02:00) Tripoli</t>
  </si>
  <si>
    <t>(UTC+02:00) Khartoum</t>
  </si>
  <si>
    <t>(UTC+02:00) Kaliningrad</t>
  </si>
  <si>
    <t>(UTC+02:00) Jerusalem</t>
  </si>
  <si>
    <t>(UTC+02:00) Helsinki, Kyiv, Riga, Sofia, Tallinn, Vilnius</t>
  </si>
  <si>
    <t>(UTC+02:00) Harare, Pretoria</t>
  </si>
  <si>
    <t>(UTC+02:00) Gaza, Hebron</t>
  </si>
  <si>
    <t>(UTC+02:00) Damascus</t>
  </si>
  <si>
    <t>(UTC+02:00) Chisinau</t>
  </si>
  <si>
    <t>(UTC+02:00) Cairo</t>
  </si>
  <si>
    <t>(UTC+02:00) Beirut</t>
  </si>
  <si>
    <t>(UTC+02:00) Athens, Bucharest</t>
  </si>
  <si>
    <t>(UTC+02:00) Amman</t>
  </si>
  <si>
    <t>(UTC+01:00) West Central Africa</t>
  </si>
  <si>
    <t>(UTC+01:00) Sarajevo, Skopje, Warsaw, Zagreb</t>
  </si>
  <si>
    <t>(UTC+01:00) Casablanca</t>
  </si>
  <si>
    <t>(UTC+01:00) Brussels, Copenhagen, Madrid, Paris</t>
  </si>
  <si>
    <t>(UTC+01:00) Belgrade, Bratislava, Budapest, Ljubljana, Prague</t>
  </si>
  <si>
    <t>(UTC+01:00) Amsterdam, Berlin, Bern, Rome, Stockholm, Vienna</t>
  </si>
  <si>
    <t>(UTC+00:00) Sao Tome</t>
  </si>
  <si>
    <t>(UTC+00:00) Monrovia, Reykjavik</t>
  </si>
  <si>
    <t>(UTC+00:00) Dublin, Edinburgh, Lisbon, London</t>
  </si>
  <si>
    <t>Appraisal Type</t>
  </si>
  <si>
    <t>Benchmark</t>
  </si>
  <si>
    <t>Sustainment</t>
  </si>
  <si>
    <t>Evaluation</t>
  </si>
  <si>
    <t>Phase1: Plan Appraisal - Random Generated Sample</t>
  </si>
  <si>
    <t>Additional Information</t>
  </si>
  <si>
    <t>Description of output delivery</t>
  </si>
  <si>
    <t>Owner</t>
  </si>
  <si>
    <t>Final findings - Sponsor</t>
  </si>
  <si>
    <t>Controls or Restrictions On Use</t>
  </si>
  <si>
    <t>For the sponsor to decide.</t>
  </si>
  <si>
    <t>Sponsor</t>
  </si>
  <si>
    <t>Business Objective Title</t>
  </si>
  <si>
    <t>Business Objective Description</t>
  </si>
  <si>
    <t>Type of work</t>
  </si>
  <si>
    <t>QPPO Target Measurement/KPI</t>
  </si>
  <si>
    <t>QPPO Actual Measurement/KPI</t>
  </si>
  <si>
    <t>Tracking Interval</t>
  </si>
  <si>
    <t>QPPO Met</t>
  </si>
  <si>
    <t>PPB Description</t>
  </si>
  <si>
    <t>PPM Description</t>
  </si>
  <si>
    <t>COPY AND REPEAT ABOVE FOR ADDITIONAL</t>
  </si>
  <si>
    <t>Optional Output</t>
  </si>
  <si>
    <t>Other Optional Output</t>
  </si>
  <si>
    <t>Collection Approach</t>
  </si>
  <si>
    <t>Discovery</t>
  </si>
  <si>
    <t>Managed Discovery</t>
  </si>
  <si>
    <t>Verification</t>
  </si>
  <si>
    <t>Collection Technique</t>
  </si>
  <si>
    <t>Other Technique</t>
  </si>
  <si>
    <t>Demonstration</t>
  </si>
  <si>
    <t>OE Database</t>
  </si>
  <si>
    <t>Data Call</t>
  </si>
  <si>
    <t>Interview</t>
  </si>
  <si>
    <t>Presentation</t>
  </si>
  <si>
    <t>Written</t>
  </si>
  <si>
    <t>OE Type</t>
  </si>
  <si>
    <t>Artifacts and Affirmations</t>
  </si>
  <si>
    <t>The team members will review the OE Database beforehand, from there creating the questions and during the appraisal use affirmations to corroborate the evidence with the affirmations.</t>
  </si>
  <si>
    <t>Yes</t>
  </si>
  <si>
    <t>Responsible Entity</t>
  </si>
  <si>
    <t>Consultants</t>
  </si>
  <si>
    <t>Project Team Members</t>
  </si>
  <si>
    <t>ATL</t>
  </si>
  <si>
    <t>OU</t>
  </si>
  <si>
    <t>Other Entity</t>
  </si>
  <si>
    <t>EPG member</t>
  </si>
  <si>
    <t>Other Approach</t>
  </si>
  <si>
    <t>Summary</t>
  </si>
  <si>
    <t>Name of timeline milestones</t>
  </si>
  <si>
    <t>Date that OE collection is completed</t>
  </si>
  <si>
    <t>List of participants in the OE collection activities</t>
  </si>
  <si>
    <t>Opening briefing</t>
  </si>
  <si>
    <t>Logistical requirement</t>
  </si>
  <si>
    <t>Description of the location(s) within the OU where appraisal activities will take place</t>
  </si>
  <si>
    <t>Accommodations and travel support for ATMs, as needed</t>
  </si>
  <si>
    <t>Meals, snacks, beverages, etc. for the appraisal team and participants</t>
  </si>
  <si>
    <t>Equipment and material requirements for ATMs.</t>
  </si>
  <si>
    <t>Logistical requirement Equipment</t>
  </si>
  <si>
    <t>Access to the storage of OE on the OU network</t>
  </si>
  <si>
    <t>Appropriate computer equipment for the appraisal team to use throughout the appraisal</t>
  </si>
  <si>
    <t>Required tools and software</t>
  </si>
  <si>
    <t>Security and access needs (e.g., badges, escorts, etc.)</t>
  </si>
  <si>
    <t>A room or rooms that can be used for performing interviews and delivering presentations</t>
  </si>
  <si>
    <t>Appropriate telecommunications equipment and rooms to accommodate interviews conducted using virtual techniques</t>
  </si>
  <si>
    <t>A facility with a projector available for performing the opening presentation findings briefings</t>
  </si>
  <si>
    <t>Access to a copier</t>
  </si>
  <si>
    <t>Access to a printer that can be used to print potentially appraisal-confidential information</t>
  </si>
  <si>
    <t>Office supplies (e.g., self-sticking flip chart paper, notepads or other paper, white board pens, magic markers, writing pens)</t>
  </si>
  <si>
    <t>Projector(s) for use throughout the appraisal, as needed</t>
  </si>
  <si>
    <t>Document storage boxes (if necessary)</t>
  </si>
  <si>
    <t>A mechanism for use by the appraisal team to securely dispose of notes and intermediate work products to protect confidentiality and non-attribution.</t>
  </si>
  <si>
    <t>Other logistical requirement</t>
  </si>
  <si>
    <t>Description of the requirement</t>
  </si>
  <si>
    <t>Role responsible for requirement</t>
  </si>
  <si>
    <t>No travel is required, the appraisal is conducted using virtual methods.</t>
  </si>
  <si>
    <t>Lunch is scheduled during on-site and each participant is responsible for their own.</t>
  </si>
  <si>
    <t>Constraint</t>
  </si>
  <si>
    <t>Duration</t>
  </si>
  <si>
    <t>Funding</t>
  </si>
  <si>
    <t>Schedule Constraints</t>
  </si>
  <si>
    <t>Security and Information Management</t>
  </si>
  <si>
    <t>Specific Sample Size</t>
  </si>
  <si>
    <t>Staffing</t>
  </si>
  <si>
    <t>Constraints</t>
  </si>
  <si>
    <t>Other Constraint</t>
  </si>
  <si>
    <t>Constraint Description</t>
  </si>
  <si>
    <t>Risk Category</t>
  </si>
  <si>
    <t>Logistics</t>
  </si>
  <si>
    <t>Facilities</t>
  </si>
  <si>
    <t>Schedule</t>
  </si>
  <si>
    <t>Cost</t>
  </si>
  <si>
    <t>Data</t>
  </si>
  <si>
    <t>Other Risk Category Name</t>
  </si>
  <si>
    <t>Risk Description</t>
  </si>
  <si>
    <t>Risk Impact</t>
  </si>
  <si>
    <t>Risk Mitigation</t>
  </si>
  <si>
    <t>Risk Status</t>
  </si>
  <si>
    <t xml:space="preserve">One of the appraisal team members may become ill or unavailable during the appraisal. </t>
  </si>
  <si>
    <t>Low</t>
  </si>
  <si>
    <t>1) Excluding the LA, plan for 4+ ATMs.
2) LA will work as an ATM if required.
3) Setup the schedule so that all appraisal team members are in all affirmation interviews.</t>
  </si>
  <si>
    <t>Closed</t>
  </si>
  <si>
    <t>High</t>
  </si>
  <si>
    <t>Conflict of Interest</t>
  </si>
  <si>
    <t>COI</t>
  </si>
  <si>
    <t>Team member authors one or more processes</t>
  </si>
  <si>
    <t>Team member is a process owner</t>
  </si>
  <si>
    <t>Team member has a supervisory authority over one or more parts of the OU</t>
  </si>
  <si>
    <t>Team member has served on previous appraisals in the same OU</t>
  </si>
  <si>
    <t>Team member has been interviewed or provided evidence</t>
  </si>
  <si>
    <t>Team member is involved in process or product quality audits</t>
  </si>
  <si>
    <t>Team member provided coaching, consulting, or labor for the OU in support of this appraisal</t>
  </si>
  <si>
    <t>Team member is internal to the organization being appraised</t>
  </si>
  <si>
    <t>Translator is an ATM</t>
  </si>
  <si>
    <t>Translator works for appraised organization</t>
  </si>
  <si>
    <t>Translator works within the OU</t>
  </si>
  <si>
    <t>Translator works for a consulting company that has supported the OU with process development or implementation</t>
  </si>
  <si>
    <t>Appraisal Team Leader is internal to the OU (only applies to Evaluation appraisals)</t>
  </si>
  <si>
    <t>Team member is a member of the organization's process group</t>
  </si>
  <si>
    <t>Other Conflict of Interest</t>
  </si>
  <si>
    <t>Impact</t>
  </si>
  <si>
    <t>Management Strategy</t>
  </si>
  <si>
    <t>Status</t>
  </si>
  <si>
    <t>Follow-on Activity</t>
  </si>
  <si>
    <t>Executive Session</t>
  </si>
  <si>
    <t>Lessons Learned</t>
  </si>
  <si>
    <t>Process Improvement Action Plan</t>
  </si>
  <si>
    <t>Recommendation Report</t>
  </si>
  <si>
    <t>Other Follow-on Activity</t>
  </si>
  <si>
    <t>Follow-on Activity Description</t>
  </si>
  <si>
    <t>After the final findings, the Appraisal Team will discuss the lessons learned.</t>
  </si>
  <si>
    <t>SPS short name</t>
  </si>
  <si>
    <t>Long name</t>
  </si>
  <si>
    <t>SPS directory (suggested)</t>
  </si>
  <si>
    <t>SPS directory (actual)</t>
  </si>
  <si>
    <t>Sampling Factor Values</t>
  </si>
  <si>
    <t>Appraisal Name</t>
  </si>
  <si>
    <t>Info from Agreement 3</t>
  </si>
  <si>
    <t>&lt;&lt; NOTE EXCLUDE FINANCIALS AT THE BOTTOM</t>
  </si>
  <si>
    <t>&gt;&gt; Onsite start</t>
  </si>
  <si>
    <t>First review</t>
  </si>
  <si>
    <t>Second review</t>
  </si>
  <si>
    <t>No projects excluded</t>
  </si>
  <si>
    <t>Enter Appraisal Number(s)</t>
  </si>
  <si>
    <t>SAM since all software is developed inhouse.</t>
  </si>
  <si>
    <t>Old request nubmer</t>
  </si>
  <si>
    <t>Reporting Relationship</t>
  </si>
  <si>
    <t>Individual reports to another team member</t>
  </si>
  <si>
    <t>Individual reports to management within the OU</t>
  </si>
  <si>
    <t>Individual reports to any org support functions or in-scope projects within the OU</t>
  </si>
  <si>
    <t>Individual is employed by the org helping the OU develop, deploy, or provide consulting for processes</t>
  </si>
  <si>
    <t>Individual is employed by the ATL's organization</t>
  </si>
  <si>
    <t>1. * Is the entire appraisal being performed virtually?</t>
  </si>
  <si>
    <t>Internal</t>
  </si>
  <si>
    <t>Final findings with OSF-level Practice Characterization Worksheets - Sponsor</t>
  </si>
  <si>
    <t>Final findings with Project and OSF-level Rating Worksheets - Sponsor</t>
  </si>
  <si>
    <t>Distributed to sponsor and all participants.</t>
  </si>
  <si>
    <t>Process engineering group members to populate the OE.</t>
  </si>
  <si>
    <t>Version 1 of OE database</t>
  </si>
  <si>
    <t>ATL, ATMs and EPG members.</t>
  </si>
  <si>
    <t>Version 2 of OE database</t>
  </si>
  <si>
    <t>None.</t>
  </si>
  <si>
    <t>Objectives</t>
  </si>
  <si>
    <t>Success Criteria</t>
  </si>
  <si>
    <t>Required Members</t>
  </si>
  <si>
    <t>Outcomes</t>
  </si>
  <si>
    <t>Further Details</t>
  </si>
  <si>
    <t>Characterized Objective Evidence</t>
  </si>
  <si>
    <t>EPG/MA</t>
  </si>
  <si>
    <t>CM</t>
  </si>
  <si>
    <t>PPQA</t>
  </si>
  <si>
    <t>OT</t>
  </si>
  <si>
    <t>Opening presentation</t>
  </si>
  <si>
    <t>Preliminary findings</t>
  </si>
  <si>
    <t>Final findings</t>
  </si>
  <si>
    <t>Confidential site meeting rooms with virtual delivery facilities, such as a laptop with a camera and speakers, will be made available by the organisation.</t>
  </si>
  <si>
    <t>ATL and Site coordinator.</t>
  </si>
  <si>
    <t>Each appraisal team member brings their own laptop.</t>
  </si>
  <si>
    <t>ATMs and ATL.</t>
  </si>
  <si>
    <t>Demix information</t>
  </si>
  <si>
    <t>Appraisal Setup</t>
  </si>
  <si>
    <t>Appraisal Name and Type</t>
  </si>
  <si>
    <t>CAS appraisal ID</t>
  </si>
  <si>
    <t>Organizational Info</t>
  </si>
  <si>
    <t>Organizational Units (OU)</t>
  </si>
  <si>
    <t>Timeline and Scheduling</t>
  </si>
  <si>
    <t>Appraisal Timeline</t>
  </si>
  <si>
    <t>Appraisal Scope</t>
  </si>
  <si>
    <t>Target Level</t>
  </si>
  <si>
    <t>Target Level Details</t>
  </si>
  <si>
    <t>DO IN CAS</t>
  </si>
  <si>
    <t>Appraisal Personnel</t>
  </si>
  <si>
    <t>Appraisal Sponsor</t>
  </si>
  <si>
    <t>Create Appraisal Team</t>
  </si>
  <si>
    <t>ATM Training Schedule</t>
  </si>
  <si>
    <t>Team Member Experience and Responsibilities</t>
  </si>
  <si>
    <t>Do directly in CAS - Take from 01_CMMIv2ATMinfo</t>
  </si>
  <si>
    <t>Appraisal Sponsor Role and Responsibilities</t>
  </si>
  <si>
    <t>OU Appraisal Participants</t>
  </si>
  <si>
    <t>Participant Responsibilities</t>
  </si>
  <si>
    <t>Projects</t>
  </si>
  <si>
    <t>OU Sample Eligible Projects</t>
  </si>
  <si>
    <t>Sampling Factors</t>
  </si>
  <si>
    <t>Project Subgroups</t>
  </si>
  <si>
    <t>Project Subgroup Assignment</t>
  </si>
  <si>
    <t>Targets and Scope</t>
  </si>
  <si>
    <t>Organizational Support Function PA Exceptions</t>
  </si>
  <si>
    <t>OU Project PA Exceptions</t>
  </si>
  <si>
    <t>Project to Include in Random Sample</t>
  </si>
  <si>
    <t>Appraisal Outputs</t>
  </si>
  <si>
    <t>Required Outputs</t>
  </si>
  <si>
    <t>Performance Report Output</t>
  </si>
  <si>
    <t>Final Findings</t>
  </si>
  <si>
    <t>Sampled Project and OSF-level Practice Characterization Worksheets</t>
  </si>
  <si>
    <t>Sampled Project and OSF-level Ratings Worksheets</t>
  </si>
  <si>
    <t>Follow up actions</t>
  </si>
  <si>
    <t>Immediately follow-up actions after the final findings are presented.</t>
  </si>
  <si>
    <t>Optional Appraisal Outputs</t>
  </si>
  <si>
    <t>OE Collection Plan</t>
  </si>
  <si>
    <t>OE Collection Approach</t>
  </si>
  <si>
    <t xml:space="preserve">More than 90% of evidence will be provided in an OE database document, which will subsequently be used for verification with 10% or less in managed discovery mode. </t>
  </si>
  <si>
    <t>OE Collection Techniques</t>
  </si>
  <si>
    <t>Responsibility for Collection</t>
  </si>
  <si>
    <t>Performance Report Collection Approach</t>
  </si>
  <si>
    <t>Summary of Initial OE</t>
  </si>
  <si>
    <t>Data Collection Timing</t>
  </si>
  <si>
    <t>Readiness Reviews</t>
  </si>
  <si>
    <t>Logistics and Constraints</t>
  </si>
  <si>
    <t>Resource Effort Estimate</t>
  </si>
  <si>
    <t>Logistical Requirements</t>
  </si>
  <si>
    <t>Appraisal Constraints</t>
  </si>
  <si>
    <t>Risk Identification and Management</t>
  </si>
  <si>
    <t>COI Identification and Management</t>
  </si>
  <si>
    <t>Optional Follow-on Activities</t>
  </si>
  <si>
    <t>Confidentiality and Non-Attribution</t>
  </si>
  <si>
    <t>Readiness Documents</t>
  </si>
  <si>
    <t>Appraisal Plan Summary and Signature</t>
  </si>
  <si>
    <t>Supporting Document Upload</t>
  </si>
  <si>
    <t>Virtual Technique Description</t>
  </si>
  <si>
    <t>2. Is any part of the appraisal being performed virtually?</t>
  </si>
  <si>
    <t>3. * Virtual Technique Description</t>
  </si>
  <si>
    <t>PULLED FROM LATER PLANNING INFO</t>
  </si>
  <si>
    <t>All development projects</t>
  </si>
  <si>
    <t>Value</t>
  </si>
  <si>
    <t>All projects</t>
  </si>
  <si>
    <t>Abbreviation</t>
  </si>
  <si>
    <t>AP</t>
  </si>
  <si>
    <t>Check box</t>
  </si>
  <si>
    <t>[x] All projects</t>
  </si>
  <si>
    <t>Assign All Projects (AP) to each project</t>
  </si>
  <si>
    <t>Justification</t>
  </si>
  <si>
    <t>The process is performed by this support function.</t>
  </si>
  <si>
    <t>HR</t>
  </si>
  <si>
    <t>PQA</t>
  </si>
  <si>
    <t>For all projects</t>
  </si>
  <si>
    <t>Select from 02_Plan:Projects Info</t>
  </si>
  <si>
    <t>Sample Scope</t>
  </si>
  <si>
    <t>Random Sample Creation</t>
  </si>
  <si>
    <t xml:space="preserve">
Project Substitution</t>
  </si>
  <si>
    <t>Random Sample Acceptance</t>
  </si>
  <si>
    <t>Sample Addition</t>
  </si>
  <si>
    <t>Sampled Project Details</t>
  </si>
  <si>
    <t>Pieter van Zyl</t>
  </si>
  <si>
    <t>Made by</t>
  </si>
  <si>
    <t>Version</t>
  </si>
  <si>
    <t>Date</t>
  </si>
  <si>
    <t>Appraisal Name (actual)</t>
  </si>
  <si>
    <t>Appraisal Name (suggested)</t>
  </si>
  <si>
    <t>Version history table added</t>
  </si>
  <si>
    <t>Source</t>
  </si>
  <si>
    <t>Organization name (legal entity name)</t>
  </si>
  <si>
    <t>Organization main address including City, ZIP/Postal Code, and Country</t>
  </si>
  <si>
    <t>Website address / URL</t>
  </si>
  <si>
    <t>Business objectives</t>
  </si>
  <si>
    <t>OU Information</t>
  </si>
  <si>
    <t xml:space="preserve">OU Name </t>
  </si>
  <si>
    <t>OU Name  (Chinese)</t>
  </si>
  <si>
    <t>OU Description</t>
  </si>
  <si>
    <t>OU Structure (write, no picture)</t>
  </si>
  <si>
    <t>Domain</t>
  </si>
  <si>
    <t>Previous appraisal ID</t>
  </si>
  <si>
    <t>Appraisal Sponsor and ATL Information</t>
  </si>
  <si>
    <t>Title</t>
  </si>
  <si>
    <t>Sponsor Name</t>
  </si>
  <si>
    <t>Organizational affiliation</t>
  </si>
  <si>
    <t>Appraisal Sponsor mailing address including city, ZIP/Postal Code, country</t>
  </si>
  <si>
    <t>Sponsor email address</t>
  </si>
  <si>
    <t>Sponsor phone number</t>
  </si>
  <si>
    <t>Relationship to the OU being appraised</t>
  </si>
  <si>
    <t>Phone number</t>
  </si>
  <si>
    <t>Email address</t>
  </si>
  <si>
    <t>Virtual methods</t>
  </si>
  <si>
    <t>Technology test</t>
  </si>
  <si>
    <t>Phase 2 start</t>
  </si>
  <si>
    <t>Non working days</t>
  </si>
  <si>
    <t>Phase 2 opening meeting</t>
  </si>
  <si>
    <t>Phase 2 end date</t>
  </si>
  <si>
    <t>WorkID</t>
  </si>
  <si>
    <t>Lifecyle</t>
  </si>
  <si>
    <t>PI</t>
  </si>
  <si>
    <t>TS</t>
  </si>
  <si>
    <t>PR</t>
  </si>
  <si>
    <t>RDM</t>
  </si>
  <si>
    <t>VV</t>
  </si>
  <si>
    <t>MPM</t>
  </si>
  <si>
    <t>PAD</t>
  </si>
  <si>
    <t>PCM</t>
  </si>
  <si>
    <t>RSK</t>
  </si>
  <si>
    <t>EST</t>
  </si>
  <si>
    <t>MC</t>
  </si>
  <si>
    <t>PLAN</t>
  </si>
  <si>
    <t>CAR</t>
  </si>
  <si>
    <t>DAR</t>
  </si>
  <si>
    <t>SAM</t>
  </si>
  <si>
    <t>p1</t>
  </si>
  <si>
    <t>p2</t>
  </si>
  <si>
    <t>p3</t>
  </si>
  <si>
    <t>p4</t>
  </si>
  <si>
    <t xml:space="preserve"> </t>
  </si>
  <si>
    <t>s1</t>
  </si>
  <si>
    <t>s2</t>
  </si>
  <si>
    <t>s3</t>
  </si>
  <si>
    <t>s4</t>
  </si>
  <si>
    <t>Work name</t>
  </si>
  <si>
    <t>Role</t>
  </si>
  <si>
    <t>Function/OU Name</t>
  </si>
  <si>
    <t>GOV</t>
  </si>
  <si>
    <t>II</t>
  </si>
  <si>
    <t>Analyst</t>
  </si>
  <si>
    <t>Designer</t>
  </si>
  <si>
    <t>PM</t>
  </si>
  <si>
    <t>Count of WorkID</t>
  </si>
  <si>
    <t>Column Labels</t>
  </si>
  <si>
    <t>Row Labels</t>
  </si>
  <si>
    <t>(blank)</t>
  </si>
  <si>
    <t>Grand Total</t>
  </si>
  <si>
    <t>Practice Area</t>
  </si>
  <si>
    <t>PA</t>
  </si>
  <si>
    <t>Participant Name</t>
  </si>
  <si>
    <t>WordID2</t>
  </si>
  <si>
    <t>Included</t>
  </si>
  <si>
    <t>Count of PA</t>
  </si>
  <si>
    <t>PA count</t>
  </si>
  <si>
    <t>Phase 2 on-site dates below</t>
  </si>
  <si>
    <t>Day</t>
  </si>
  <si>
    <t>Day 1</t>
  </si>
  <si>
    <t>to Day</t>
  </si>
  <si>
    <t>From - To
GMT+8</t>
  </si>
  <si>
    <t>From - To
GMT+2</t>
  </si>
  <si>
    <t>Review OE</t>
  </si>
  <si>
    <t>LA review OE</t>
  </si>
  <si>
    <t>Mini team 1</t>
  </si>
  <si>
    <t>Teams Review PIIDs</t>
  </si>
  <si>
    <t>Oversight and support</t>
  </si>
  <si>
    <t>Lunch</t>
  </si>
  <si>
    <t>Consolidation</t>
  </si>
  <si>
    <t>Optional - Time allocation in case of virtual service disruptions</t>
  </si>
  <si>
    <t>Interview data consolidation, basic unit characterisation and further planning.</t>
  </si>
  <si>
    <t>Follow-up &amp; informal interviews as needed</t>
  </si>
  <si>
    <t>Print ADS and Final Findings Presentation.
Obtain Sponsor, ATM and LA approvals. 
Obtain ATM approval on Final Findings
 - Zoom ID: 874 8430 6019 Password: 0011</t>
  </si>
  <si>
    <t>Team debriefing, collect lessons learned, evaluate virtual delivery services, and provide feedback to CMMI Institute</t>
  </si>
  <si>
    <t>Count of Work name</t>
  </si>
  <si>
    <t>PracticeCount</t>
  </si>
  <si>
    <t>Refresh pivot</t>
  </si>
  <si>
    <t>Control</t>
  </si>
  <si>
    <t>Agreement 3</t>
  </si>
  <si>
    <t>StartupInfo</t>
  </si>
  <si>
    <t>Support</t>
  </si>
  <si>
    <t>Schedule2</t>
  </si>
  <si>
    <t>Schedule4</t>
  </si>
  <si>
    <t>P1PA-SS</t>
  </si>
  <si>
    <t>P1PA-RSG</t>
  </si>
  <si>
    <t>P1PA-R</t>
  </si>
  <si>
    <t>Tables</t>
  </si>
  <si>
    <t>Number of sheets</t>
  </si>
  <si>
    <t>MOVE TO STARTUP</t>
  </si>
  <si>
    <t>Additionl schedule infor</t>
  </si>
  <si>
    <t>Planning</t>
  </si>
  <si>
    <t>1st RR OE provided 30%</t>
  </si>
  <si>
    <t>2nd RR OE provided 90%</t>
  </si>
  <si>
    <t>Business objectives and appraisal objectives</t>
  </si>
  <si>
    <t>Initial requirements</t>
  </si>
  <si>
    <t>Combine 01 and 02 plan in one. Merge tables . Move address sections into StartupInfo</t>
  </si>
  <si>
    <t>All staff</t>
  </si>
  <si>
    <t>ATL, ATMs and EPG member: A revised list based on a review of OE database version 1.</t>
  </si>
  <si>
    <t>- 90% of OE linked in OE Database against sampled projects.
- Participants invited
- Risks mitigated
- Outstanding items identified</t>
  </si>
  <si>
    <t>Consultant</t>
  </si>
  <si>
    <t>CPOC</t>
  </si>
  <si>
    <t>Relationship to OU</t>
  </si>
  <si>
    <t>ATL Name</t>
  </si>
  <si>
    <t>OU name</t>
  </si>
  <si>
    <t>OU description</t>
  </si>
  <si>
    <t>OU locations</t>
  </si>
  <si>
    <t>Appraisal sponsor</t>
  </si>
  <si>
    <t>LA ID#</t>
  </si>
  <si>
    <t>Home organisation</t>
  </si>
  <si>
    <t>Sponsor organisation</t>
  </si>
  <si>
    <t>ATL name</t>
  </si>
  <si>
    <t>ATM name</t>
  </si>
  <si>
    <t>OUC name</t>
  </si>
  <si>
    <t>Enter Doc Review days</t>
  </si>
  <si>
    <t>Company logo</t>
  </si>
  <si>
    <t>[1] Sponsor Meeting</t>
  </si>
  <si>
    <t>[2] Opening Meeting</t>
  </si>
  <si>
    <t>[3] Project Management</t>
  </si>
  <si>
    <t>[4] Engineering</t>
  </si>
  <si>
    <t>[5] Configuration Management</t>
  </si>
  <si>
    <t>[6] Process Management</t>
  </si>
  <si>
    <t>[7] Organisational Training</t>
  </si>
  <si>
    <t>[8] Process quality assurance</t>
  </si>
  <si>
    <t>[9] Senior Management</t>
  </si>
  <si>
    <t>[10] Preliminary findings presentation 1</t>
  </si>
  <si>
    <t>[11] Preliminary findings presentation 2</t>
  </si>
  <si>
    <t>[8] Process Quality Assurance</t>
  </si>
  <si>
    <t>Standard</t>
  </si>
  <si>
    <t>Updated the macros</t>
  </si>
  <si>
    <t>A3</t>
  </si>
  <si>
    <t>.</t>
  </si>
  <si>
    <t>Staff</t>
  </si>
  <si>
    <t>A3/Planning</t>
  </si>
  <si>
    <t xml:space="preserve">1st RR performed </t>
  </si>
  <si>
    <t>2nd RR performed</t>
  </si>
  <si>
    <t>Participant projects</t>
  </si>
  <si>
    <t>Participant Practice Areas</t>
  </si>
  <si>
    <t>Added OU location formula</t>
  </si>
  <si>
    <t>Document review days</t>
  </si>
  <si>
    <t>External</t>
  </si>
  <si>
    <t>Organizational Affiliation</t>
  </si>
  <si>
    <t>OU Relationship</t>
  </si>
  <si>
    <t>Other Reporting Relationship</t>
  </si>
  <si>
    <t>Reports directly to the ATL</t>
  </si>
  <si>
    <t>Demix appraisal start-up information</t>
  </si>
  <si>
    <t>OU Coordinator name</t>
  </si>
  <si>
    <t>Staff list</t>
  </si>
  <si>
    <t>ATM</t>
  </si>
  <si>
    <t>email</t>
  </si>
  <si>
    <t>Causal Analysis and Resolution (CAR)</t>
  </si>
  <si>
    <t>Decision Analysis and Resolution (DAR)</t>
  </si>
  <si>
    <t>Organizational Training (OT)</t>
  </si>
  <si>
    <t>Process Management (PCM)</t>
  </si>
  <si>
    <t>Process Asset Development (PAD)</t>
  </si>
  <si>
    <t>Verification and Validation (VV)</t>
  </si>
  <si>
    <t>Managing Performance and Measurement (MPM)</t>
  </si>
  <si>
    <t>Configuration Management (CM)</t>
  </si>
  <si>
    <t>Planning (PLAN)</t>
  </si>
  <si>
    <t>Estimating (EST)</t>
  </si>
  <si>
    <t>Risk and Opportunity Management (RSK)</t>
  </si>
  <si>
    <t>Requirements Development and Management (RDM)</t>
  </si>
  <si>
    <t>Technical Solution (TS)</t>
  </si>
  <si>
    <t>Product Integration (PI)</t>
  </si>
  <si>
    <t>The sections below are automatically updated and copied to the presentations, do not change it.</t>
  </si>
  <si>
    <t xml:space="preserve">        </t>
  </si>
  <si>
    <t>&lt;&lt; Check, can be same as FF or one day earlier</t>
  </si>
  <si>
    <t>SCAMPI A &gt;&gt;&gt;</t>
  </si>
  <si>
    <t>Next steps</t>
  </si>
  <si>
    <t>Responsibility</t>
  </si>
  <si>
    <t>Sponsor, LA and ATMs</t>
  </si>
  <si>
    <t>&lt;&lt; Check Date + 3 years</t>
  </si>
  <si>
    <t>Take action on final finding report recommendations and weaknesses.</t>
  </si>
  <si>
    <t>Sponsor and EPG</t>
  </si>
  <si>
    <t>Process Quality Assurance (PQA)</t>
  </si>
  <si>
    <t>(r) Template release</t>
  </si>
  <si>
    <t>pptxCertificate</t>
  </si>
  <si>
    <t>pptxCover</t>
  </si>
  <si>
    <t>ATM_PA</t>
  </si>
  <si>
    <t>Include Opening briefing lookup (Standard). Add macros back</t>
  </si>
  <si>
    <t xml:space="preserve">SAM </t>
  </si>
  <si>
    <t>Excluded</t>
  </si>
  <si>
    <t>Before on-site</t>
  </si>
  <si>
    <t xml:space="preserve">Have been active in the full life cycle for product development. </t>
  </si>
  <si>
    <t>Full team</t>
  </si>
  <si>
    <t>Team member</t>
  </si>
  <si>
    <t>Updated</t>
  </si>
  <si>
    <t>Reporting Relationships</t>
  </si>
  <si>
    <t>Other Reporting Relationships</t>
  </si>
  <si>
    <t>Relationship Description</t>
  </si>
  <si>
    <t>Phone Number</t>
  </si>
  <si>
    <t>ATM Training Description</t>
  </si>
  <si>
    <t>Group ATM Training</t>
  </si>
  <si>
    <t>Total Training Time (hours)</t>
  </si>
  <si>
    <t>ATM Training Date</t>
  </si>
  <si>
    <t>Years of Development Domain Experience</t>
  </si>
  <si>
    <t>Justification for Fewer Than 3 Years of Experience</t>
  </si>
  <si>
    <t>Type of Domain Experience</t>
  </si>
  <si>
    <t>Years of Management Experience</t>
  </si>
  <si>
    <t>Years high maturity experience</t>
  </si>
  <si>
    <t>Mini-Team Assignment</t>
  </si>
  <si>
    <t>Specific Responsibilities</t>
  </si>
  <si>
    <t>PADDING</t>
  </si>
  <si>
    <t>Before onsite</t>
  </si>
  <si>
    <t>Group</t>
  </si>
  <si>
    <t>Included resource estimates 12_ResourceEstimatesV3</t>
  </si>
  <si>
    <t>Appraisal objectives</t>
  </si>
  <si>
    <t>Update project descriptions</t>
  </si>
  <si>
    <t>Not all staff, just participants</t>
  </si>
  <si>
    <t>start with tbd</t>
  </si>
  <si>
    <t>Relationship to the Organizational Unit (OU)</t>
  </si>
  <si>
    <t>Start working on Participant List (All staff, all potential participants, recommended participants)</t>
  </si>
  <si>
    <t>Practice Group</t>
  </si>
  <si>
    <t>Practice Number</t>
  </si>
  <si>
    <t>Sustaining Habit and Persistence Capability</t>
  </si>
  <si>
    <t>Engineering and Developing Products</t>
  </si>
  <si>
    <t>Ensuring Quality</t>
  </si>
  <si>
    <t>Improving Performance</t>
  </si>
  <si>
    <t>Managing Business Resilience</t>
  </si>
  <si>
    <t>Managing the Workforce</t>
  </si>
  <si>
    <t>Planning and Managing Work</t>
  </si>
  <si>
    <t>Supporting Implementation</t>
  </si>
  <si>
    <t>Selecting and Managing Suppliers</t>
  </si>
  <si>
    <t xml:space="preserve">Level 1 </t>
  </si>
  <si>
    <t>FM</t>
  </si>
  <si>
    <t>LM</t>
  </si>
  <si>
    <t>DM</t>
  </si>
  <si>
    <t>S</t>
  </si>
  <si>
    <t>U</t>
  </si>
  <si>
    <t>Level 2</t>
  </si>
  <si>
    <t>NY</t>
  </si>
  <si>
    <t>Level 3</t>
  </si>
  <si>
    <t xml:space="preserve">Level 4 </t>
  </si>
  <si>
    <t>Level 5</t>
  </si>
  <si>
    <t>Team Role</t>
  </si>
  <si>
    <t>Name (printed/typed)</t>
  </si>
  <si>
    <t>Signature</t>
  </si>
  <si>
    <t>Appraisal team member</t>
  </si>
  <si>
    <t>Appraisal team leader</t>
  </si>
  <si>
    <t>EXAMPLE</t>
  </si>
  <si>
    <t>CMMI® Benchmark Appraisal</t>
  </si>
  <si>
    <t>CMMI v2.0 Appraiser Team Lead ID</t>
  </si>
  <si>
    <t xml:space="preserve">https://www.compart.com/en/unicode/U+2022 </t>
  </si>
  <si>
    <t>公司好的方面：What's good about the company</t>
  </si>
  <si>
    <t>公司需要提升的：What the company needs to improve</t>
  </si>
  <si>
    <t>做组织行业专家研讨、培训</t>
  </si>
  <si>
    <t>Organize industry experts to discuss and train</t>
  </si>
  <si>
    <t>Sub group</t>
  </si>
  <si>
    <t>FTE</t>
  </si>
  <si>
    <t>Project name</t>
  </si>
  <si>
    <t>Support functions</t>
  </si>
  <si>
    <t>Organizational</t>
  </si>
  <si>
    <t>Address</t>
  </si>
  <si>
    <t>[6] Process Management - additional EPG follow up</t>
  </si>
  <si>
    <t>Consolidation and initial ratings</t>
  </si>
  <si>
    <t>Days prelim before ff</t>
  </si>
  <si>
    <t>Phase 3 start</t>
  </si>
  <si>
    <t>Days Phase2 (prelim) to Phase 3 (ff)</t>
  </si>
  <si>
    <t>Phase 3 end</t>
  </si>
  <si>
    <t>Coetzee, Bianca</t>
  </si>
  <si>
    <t>Demix (China) Information Technology</t>
  </si>
  <si>
    <t>+27 78 459 1522</t>
  </si>
  <si>
    <t xml:space="preserve">bianca.coetzee@demix.org </t>
  </si>
  <si>
    <t>+27 82 787 4208</t>
  </si>
  <si>
    <t>joan.vanzyl@demix.org</t>
  </si>
  <si>
    <t>Schedule4Actual</t>
  </si>
  <si>
    <t>Standard2</t>
  </si>
  <si>
    <t>Standard3</t>
  </si>
  <si>
    <t>OULC</t>
  </si>
  <si>
    <t>Individual is employed by the ATL's organisation.</t>
  </si>
  <si>
    <t>90% of OE against sampled projects and support functions received - Yes
On-site schedule completed and participants invited - Yes
Risks mitigated - Yes
Outstanding items
- None</t>
  </si>
  <si>
    <t>No conflict of interest identified.</t>
  </si>
  <si>
    <t>Continue to look for potential conflicts of interest.</t>
  </si>
  <si>
    <t>Stage</t>
  </si>
  <si>
    <t>Start</t>
  </si>
  <si>
    <t>End</t>
  </si>
  <si>
    <t>Waterfall</t>
  </si>
  <si>
    <t>All</t>
  </si>
  <si>
    <t>Executive</t>
  </si>
  <si>
    <t>Configuration manager</t>
  </si>
  <si>
    <t>Project manager</t>
  </si>
  <si>
    <t>Developer</t>
  </si>
  <si>
    <t>Process Quality Assurance</t>
  </si>
  <si>
    <t>01_xxvyy_CMMIv2ATMInfo</t>
  </si>
  <si>
    <t>Executive Manager</t>
  </si>
  <si>
    <t>CAS email</t>
  </si>
  <si>
    <t>Joan van Zyl</t>
  </si>
  <si>
    <t>Quarterly</t>
  </si>
  <si>
    <t>IS - In-Scope</t>
  </si>
  <si>
    <t>CM (IS)</t>
  </si>
  <si>
    <t>PQA (IS)</t>
  </si>
  <si>
    <t>isX- In-Scope (default other Projects to Out-of-Scope)</t>
  </si>
  <si>
    <r>
      <t>MPM (IS) , PAD (is</t>
    </r>
    <r>
      <rPr>
        <sz val="11"/>
        <color theme="1"/>
        <rFont val="Calibri"/>
        <family val="2"/>
        <scheme val="minor"/>
      </rPr>
      <t>X</t>
    </r>
    <r>
      <rPr>
        <sz val="11"/>
        <color rgb="FF000000"/>
        <rFont val="Calibri"/>
        <family val="2"/>
        <scheme val="minor"/>
      </rPr>
      <t>), PCM (is</t>
    </r>
    <r>
      <rPr>
        <sz val="11"/>
        <color theme="1"/>
        <rFont val="Calibri"/>
        <family val="2"/>
        <scheme val="minor"/>
      </rPr>
      <t>X</t>
    </r>
    <r>
      <rPr>
        <sz val="11"/>
        <color rgb="FF000000"/>
        <rFont val="Calibri"/>
        <family val="2"/>
        <scheme val="minor"/>
      </rPr>
      <t>), CAR (IS), DAR (IS)</t>
    </r>
  </si>
  <si>
    <r>
      <t>OT (is</t>
    </r>
    <r>
      <rPr>
        <sz val="11"/>
        <color theme="1"/>
        <rFont val="Calibri"/>
        <family val="2"/>
        <scheme val="minor"/>
      </rPr>
      <t>X</t>
    </r>
    <r>
      <rPr>
        <sz val="11"/>
        <color rgb="FF000000"/>
        <rFont val="Calibri"/>
        <family val="2"/>
        <scheme val="minor"/>
      </rPr>
      <t>)</t>
    </r>
  </si>
  <si>
    <t>Included PPQA quality flag</t>
  </si>
  <si>
    <t>None selected</t>
  </si>
  <si>
    <t>s</t>
  </si>
  <si>
    <t>Appraisal Artifacts</t>
  </si>
  <si>
    <t>Executive Summary</t>
  </si>
  <si>
    <t>Appraisal Results and Feedback</t>
  </si>
  <si>
    <t>Team Feedback Froms</t>
  </si>
  <si>
    <t>Perform in CAS</t>
  </si>
  <si>
    <t>Done</t>
  </si>
  <si>
    <t>1) Download docx from CAS, 2) upload docx to CAS. 3) Accept sponsor sign in CAS, 4) Sign yourself in CAS. 5) Ask ATMs to sign in CAS. 6) Upload signed PDF as supporting docs. NBNBNB: DO NOT TOUCH AFTER STEP 4!!!!!!!!!!!!!!!!</t>
  </si>
  <si>
    <t>PvtCheck1</t>
  </si>
  <si>
    <t>a</t>
  </si>
  <si>
    <t>FTEs</t>
  </si>
  <si>
    <t>Process</t>
  </si>
  <si>
    <t>Engineering</t>
  </si>
  <si>
    <t>Project Management</t>
  </si>
  <si>
    <t>Process Management</t>
  </si>
  <si>
    <t>END</t>
  </si>
  <si>
    <t>Project&amp;Support</t>
  </si>
  <si>
    <t>MDD Phase 1. MDD 2.1 Collect and Examine OE. MDD 3.1 Deliver Appraisal Results. MDD 4.11 Determine Eligibility to Perform APR. MDD 4.12. Plan APR</t>
  </si>
  <si>
    <t>Staff list - Guide</t>
  </si>
  <si>
    <t>StaffGuide</t>
  </si>
  <si>
    <t>PvtProjectFTEs</t>
  </si>
  <si>
    <t>PvtStaffDistinct</t>
  </si>
  <si>
    <t>PvtPart_PA</t>
  </si>
  <si>
    <t>PvtPart_PrjSup</t>
  </si>
  <si>
    <t>PvtPart_Session</t>
  </si>
  <si>
    <t>SIGN ONLINE - Sponsor and ATL</t>
  </si>
  <si>
    <t>The ATL will collect it from the sponsor and the MA/EPG team.</t>
  </si>
  <si>
    <t>1) Export plan from CAS, 2) Send to sponsor as part of final readiness review and for approval + R&amp;R. 3) Accept sponsor sign in CAS, 4) Sign yourself in CAS. 5) Ask ATMs to sign in CAS. 6) NOTHING NEEDS TO BE UPLOADED HERE&gt;  NBNBNB: DO NOT TOUCH AFTER STEP 4!!!!!!!!!!!!!!!!</t>
  </si>
  <si>
    <t>PvtPartDistinct</t>
  </si>
  <si>
    <t>Print plan approval</t>
  </si>
  <si>
    <t>Provides interpretation services to the ATL.</t>
  </si>
  <si>
    <t>Benchmark CMMI DEV - On-site Schedule</t>
  </si>
  <si>
    <t>Benchmark CMMI DEV - On-site Schedule - ACTUAL</t>
  </si>
  <si>
    <t>Updated pivot table data sources.</t>
  </si>
  <si>
    <t>aa_bbvcc, where aa is  document sort order as per user needs, bb is the template release number and cc is the document version</t>
  </si>
  <si>
    <t>Release</t>
  </si>
  <si>
    <t>Sampled</t>
  </si>
  <si>
    <t>Added</t>
  </si>
  <si>
    <t>人员分配很分散 在不同部门 跨部门沟通有障碍</t>
  </si>
  <si>
    <t>Project team are scattered in different departments and it creates communication barriers</t>
  </si>
  <si>
    <t>测试和运维能力 需要提升</t>
  </si>
  <si>
    <t>Testing and operation and maintenance capabilities need to be improved</t>
  </si>
  <si>
    <t>报销制度需要优化 全部采用线上方式</t>
  </si>
  <si>
    <t>The reimbursement system needs to be optimized; it should be all done online</t>
  </si>
  <si>
    <t>加班福利较少，希望增加补贴</t>
  </si>
  <si>
    <t>Overtime benefits are less, hope the organization to increase compensation</t>
  </si>
  <si>
    <t>公司管理相对人性化,春节假期相对比较长.</t>
  </si>
  <si>
    <t>Company management is humane, and the Spring Festival holiday is long.</t>
  </si>
  <si>
    <t>过程很完善，从立项 需求 评审 设计 开发 测试 运维 结项。</t>
  </si>
  <si>
    <t>The process is very complete, from the project requirements review, design, development, testing, and operation and maintenance of the project.</t>
  </si>
  <si>
    <t>公司对每个岗位的工作、职责分工明确，并且会引导员工学习和养成良好的规范，能达到行业标准</t>
  </si>
  <si>
    <t>The company has a clear division of work and responsibilities for each position, and will guide employees to learn and develop good standards, which can meet industry standards</t>
  </si>
  <si>
    <t>公司行业经验丰富，会定期组织核心人员把行业经验和知识进行培训。</t>
  </si>
  <si>
    <t>The company has rich industry experience and will regularly organize core personnel to train industry experience and knowledge.</t>
  </si>
  <si>
    <t>公司重视知识管理，不断加强公司业务知识的积累和传承</t>
  </si>
  <si>
    <t>The company attaches importance to knowledge management and continuously strengthens the accumulation and inheritance of company business knowledge</t>
  </si>
  <si>
    <t>Grow sales revenue and profit</t>
  </si>
  <si>
    <t>Ratings</t>
  </si>
  <si>
    <t>Practice Level Caharacterizations</t>
  </si>
  <si>
    <t>Pracice Area Ratings</t>
  </si>
  <si>
    <t>Download and upload to CAS</t>
  </si>
  <si>
    <t>Select practice area ratings</t>
  </si>
  <si>
    <t>Copyright (c) 2020-2021, Demix (Pty) Ltd, All rights reserved</t>
  </si>
  <si>
    <t>http://www.demix.org</t>
  </si>
  <si>
    <t>Copyright</t>
  </si>
  <si>
    <t>P2CA</t>
  </si>
  <si>
    <t>P3RF</t>
  </si>
  <si>
    <t>https://github.com/DemixTech/CMMITools</t>
  </si>
  <si>
    <t xml:space="preserve">License agreement </t>
  </si>
  <si>
    <t>https://github.com/DemixTech/CMMITools/blob/main/LICENSE</t>
  </si>
  <si>
    <t>Updates for company x</t>
  </si>
  <si>
    <t>Lates releases of the Demix CMMI Tools</t>
  </si>
  <si>
    <t>Manager</t>
  </si>
  <si>
    <t>van Zyl, Joan</t>
  </si>
  <si>
    <t>Process Assurance Manager</t>
  </si>
  <si>
    <t>ATM-5</t>
  </si>
  <si>
    <t>4 0000 000001</t>
  </si>
  <si>
    <t>atm5.email@gmail.com</t>
  </si>
  <si>
    <t>ATM-6</t>
  </si>
  <si>
    <t>5 0000 000001</t>
  </si>
  <si>
    <t>atm6.email@gmail.com</t>
  </si>
  <si>
    <t>ATM-7</t>
  </si>
  <si>
    <t>6 0000 000001</t>
  </si>
  <si>
    <t>atm7.email@gmail.com</t>
  </si>
  <si>
    <t>ATM-8</t>
  </si>
  <si>
    <t>7 0000 000001</t>
  </si>
  <si>
    <t>atm8.email@gmail.com</t>
  </si>
  <si>
    <t>ATM-9</t>
  </si>
  <si>
    <t>8 0000 000001</t>
  </si>
  <si>
    <t>atm9.email@gmail.com</t>
  </si>
  <si>
    <t>Introduction</t>
  </si>
  <si>
    <t>Principle of single/primary source</t>
  </si>
  <si>
    <t>This planning worksheet is build on the principle of single/primary source. The goal is to have only one single source where data is to be entered and then duplicate it to all other places it is needed. Typically, the following colours are used</t>
  </si>
  <si>
    <t>White cells - need to be completed</t>
  </si>
  <si>
    <t>Grey cell are copied from a primary source. Stand on the cell to see the source.</t>
  </si>
  <si>
    <t>Is typically drop down boxes. Most drop down items is taken directly from drop down boxes in CAS. The full list of tables is in tab "Tables".</t>
  </si>
  <si>
    <t>PowerPoint embedding from single/primary source</t>
  </si>
  <si>
    <t>A copy of the latest version of this CAS Plan workbook is always saved to a workbook called 
"00_Data_Reference.xlsx" This workbook contains embedded links into the Technology test, Opening Presentation, Preliminary Findings, Final Findings and certificates. In this way, if something needs to change 1) change it in the CAS_Plan 2) save a next version of this plan 3) save that version to 00_Data_Reference.xlsx 4) Open the powerpoint slides and update the links.</t>
  </si>
  <si>
    <t>Data for CAS from single/primary source</t>
  </si>
  <si>
    <t>The tabs P1P-SS, P1PA-RSG, P1PA-R, P2CA and P3RF contains either information to populate CAS or a guide to the use as to how to populate CAS.</t>
  </si>
  <si>
    <t>Tab descriptions</t>
  </si>
  <si>
    <t>The copyright statement for the use of this template and the associated Demix CMMI software tools.</t>
  </si>
  <si>
    <t xml:space="preserve">Description of this template releases. Template naming is in the format of AA_RRvNN where AA is the file number to help with file order sorting (01 first 99 last), _RR is the release number of the template, vNN is the version number of the document. </t>
  </si>
  <si>
    <t>Guide</t>
  </si>
  <si>
    <t>This guide</t>
  </si>
  <si>
    <t>Macro's must be enabled. This sheet helps the user to quickly hide/show the relevant worksheet tabs. If you add new worksheets, press [Show all sheets] and then [List all sheets]. Use the x to mark the sheets you want to show with buttons [Show1]-[Show7]. Use the title to give your own descriptions, for example CAS to show the CAS data sheets. If you don't mark "Control" it will also be hidden if you hide it.</t>
  </si>
  <si>
    <t>When a customer or broker requests a service form Demix, then 3 agreements are created. 1-Sponsor/Demix, 2-Broker/Demix and 3-Lead Appraiser/Demix. This contains details of the LAs agreement #3 and starts up an appraisal.</t>
  </si>
  <si>
    <t>The LA sets the initial hihg level planning dates.</t>
  </si>
  <si>
    <t>Send StartupInfo, Project&amp;Support and Staff sheets to the OE coordinator/Translator to create an initial set.</t>
  </si>
  <si>
    <t>See startupInfo. Initially Project&amp;Support information is obtained, excluding the sample information. At this point in time, the LA has enoug informatino to populate CAS (see P1PA-SS), get the scope approved and obtain an the random sample.</t>
  </si>
  <si>
    <t xml:space="preserve">See startupInfo. </t>
  </si>
  <si>
    <t>guideStaff</t>
  </si>
  <si>
    <t>pvtProjectFTEs</t>
  </si>
  <si>
    <t>pvtStaffDistinct</t>
  </si>
  <si>
    <t>pvtCheck</t>
  </si>
  <si>
    <t>pvtCheck1</t>
  </si>
  <si>
    <t>pvtCheck2</t>
  </si>
  <si>
    <t>pvtPart_PA</t>
  </si>
  <si>
    <t>pvtPart_PrjSup</t>
  </si>
  <si>
    <t>pvtPart_Session</t>
  </si>
  <si>
    <t>Participant's Full Name (required)</t>
  </si>
  <si>
    <t>Participant's Role (required)</t>
  </si>
  <si>
    <t>Function (required)</t>
  </si>
  <si>
    <t>Training manager</t>
  </si>
  <si>
    <t>Tester</t>
  </si>
  <si>
    <t>CAS
RND</t>
  </si>
  <si>
    <t>BASE</t>
  </si>
  <si>
    <t>Print
review 1</t>
  </si>
  <si>
    <t>Sum of PA count</t>
  </si>
  <si>
    <t>Level</t>
  </si>
  <si>
    <t>&lt;&lt; Change in Planning:B10</t>
  </si>
  <si>
    <t>Total Practices</t>
  </si>
  <si>
    <t>Min per practice</t>
  </si>
  <si>
    <t>m required</t>
  </si>
  <si>
    <t>h required</t>
  </si>
  <si>
    <t>Revie 1</t>
  </si>
  <si>
    <t>PvtEffort</t>
  </si>
  <si>
    <t>Interview session</t>
  </si>
  <si>
    <t>Interviews</t>
  </si>
  <si>
    <t>X</t>
  </si>
  <si>
    <t>The lists below is used to control the order in which the base table will list data. This is to faciliate import/export with CAS.</t>
  </si>
  <si>
    <t>Tab:OUPracticeAreas</t>
  </si>
  <si>
    <t>Project Name (Not Updatable)</t>
  </si>
  <si>
    <t>Project Type</t>
  </si>
  <si>
    <t>Size (FTEs)
(required)</t>
  </si>
  <si>
    <t>Brief Project Description (required)</t>
  </si>
  <si>
    <t>Is this project sensitive? (required)</t>
  </si>
  <si>
    <t>Point of Contact
(required if project marked sensitive)</t>
  </si>
  <si>
    <t>Point of Contact's email address
(required if project marked sensitive)</t>
  </si>
  <si>
    <t>Project Solution Domain (required)</t>
  </si>
  <si>
    <t>Business and Performance Objectives
(required for Org Unit Projects only)</t>
  </si>
  <si>
    <t>Current Life Cycle Phase
(required for Org Unit Projects only)</t>
  </si>
  <si>
    <t>Project Start Date
(required for Org Unit Projects only)</t>
  </si>
  <si>
    <t>Project Projected End Date
(required for Org Unit Projects only)</t>
  </si>
  <si>
    <t>Project Uses Suppliers (required)</t>
  </si>
  <si>
    <t>Current Project Manager's Name(s)
(required)</t>
  </si>
  <si>
    <t>Address Line 1 (required)</t>
  </si>
  <si>
    <t>City (required)</t>
  </si>
  <si>
    <t>Country (required)</t>
  </si>
  <si>
    <t>Additional Project Information</t>
  </si>
  <si>
    <t>Function Name (required)</t>
  </si>
  <si>
    <t>Brief Function Description</t>
  </si>
  <si>
    <t>Is this function sensitive? (required)</t>
  </si>
  <si>
    <t>Function Solution Domain</t>
  </si>
  <si>
    <t>Function Uses Suppliers (required)</t>
  </si>
  <si>
    <t>Current Function Manager's Name(s)</t>
  </si>
  <si>
    <t>Additional Function Information</t>
  </si>
  <si>
    <t>Support Function</t>
  </si>
  <si>
    <t>Tab:C_Support</t>
  </si>
  <si>
    <t>Tab:C_Project</t>
  </si>
  <si>
    <t>Same as business ojbective.</t>
  </si>
  <si>
    <t>C_Support</t>
  </si>
  <si>
    <t>C_Projects</t>
  </si>
  <si>
    <t>C_OUParticipants</t>
  </si>
  <si>
    <t>C_OUProjects</t>
  </si>
  <si>
    <t>C_OUPracticeAreas</t>
  </si>
  <si>
    <t>Pieter and Francois</t>
  </si>
  <si>
    <t>Freelance</t>
  </si>
  <si>
    <t xml:space="preserve">Meeting ID: 999 Passcode: 9999 </t>
  </si>
  <si>
    <t>Days in phase 3 (incl start and end)</t>
  </si>
  <si>
    <t>[BO-1] Improve production efficiency to improve productivity 
[BO-2] Improve delivery capacity
[BO-3] Reduce Code Acceptance Defects</t>
  </si>
  <si>
    <t>R&amp;D Department</t>
  </si>
  <si>
    <t>P4</t>
  </si>
  <si>
    <t>S1-CM</t>
  </si>
  <si>
    <t>S2-EPG-MA</t>
  </si>
  <si>
    <t>S3-HR</t>
  </si>
  <si>
    <t>S4-PPQA</t>
  </si>
  <si>
    <t>Completed</t>
  </si>
  <si>
    <t xml:space="preserve"> 2020/10/12</t>
  </si>
  <si>
    <t>All Projects</t>
  </si>
  <si>
    <t>Training Manager</t>
  </si>
  <si>
    <t>Configuration Manager</t>
  </si>
  <si>
    <t>Project Manager</t>
  </si>
  <si>
    <t>Process manager</t>
  </si>
  <si>
    <t>1) Download from CAS 2) Copy C_OUParticipants (generated from BASE) 3) Upload</t>
  </si>
  <si>
    <t>1) Download from CAS 2) Copy C_OUProjects &amp; C_OUPracticeAreas (generated from BASE) 3) Upload</t>
  </si>
  <si>
    <t>1) Download from CAS 2) Copy C_Support (generated from BASE) 3) Upload</t>
  </si>
  <si>
    <t>1) Download from CAS 2) Copy C_Projects (generated from BASE) 3) Upload</t>
  </si>
  <si>
    <t>ATM activities as per the MDD 2.0 requirements.</t>
  </si>
  <si>
    <t>Team Lead &amp; ATM activities as per the MDD 2.0 requirements.</t>
  </si>
  <si>
    <t>Twigg, Jared</t>
  </si>
  <si>
    <t>+86 131 6137 7341</t>
  </si>
  <si>
    <t>jared.twigg@demix.org</t>
  </si>
  <si>
    <t>Only checked that PAD, PCM, OT is removed from projects (it is automatically done by the previous step)</t>
  </si>
  <si>
    <t>(*) Quality flag- PPQA is on both project and support level</t>
  </si>
  <si>
    <t>Do in CAS</t>
  </si>
  <si>
    <t>The recommendation is not to add anything. See the note here (hover on the cell).</t>
  </si>
  <si>
    <t>The recommendation is not to substitute.</t>
  </si>
  <si>
    <t>The Final Findings will be presented as a PowerPoint presentation on the last on-site day, highlighting the strengths and weaknesses identified.</t>
  </si>
  <si>
    <t>OSF-level Practice Characterization Worksheets and Matrix included in the Final Findings presentation.</t>
  </si>
  <si>
    <t>OSF-level Practice Ratings Worksheets and Matrix included in the Final Findings presentation.</t>
  </si>
  <si>
    <t>In the opening briefing presentation. The schedule shows the time slots allocated for each of the planned activities during the on-site phase of the appraisal.</t>
  </si>
  <si>
    <t>The Performance Report records the Appraisal Team's consolidated judgment as to how performance is managed and improved in the OU.</t>
  </si>
  <si>
    <t>Determine how much of the OE is linked and available in the sampled database.
Confirm ATM availability and status.</t>
  </si>
  <si>
    <t>1) Minimum of 30% of Objective Evidence gathered.
2) ATMs all linked on CAS.
3) ATM training scheduled.</t>
  </si>
  <si>
    <t>LA and min 1 ATM.</t>
  </si>
  <si>
    <t>List of missing evidence and action points.</t>
  </si>
  <si>
    <t>Participant Group (required)</t>
  </si>
  <si>
    <t>Participant Individuals (required)</t>
  </si>
  <si>
    <t>Task (required)</t>
  </si>
  <si>
    <t>Time (hours) (required)</t>
  </si>
  <si>
    <t>Appraisal Planning</t>
  </si>
  <si>
    <t>Plan the appraisal</t>
  </si>
  <si>
    <t>ATM training</t>
  </si>
  <si>
    <t>Training</t>
  </si>
  <si>
    <t>Consolidations</t>
  </si>
  <si>
    <t>Consolidate interview data, project level and support level characterisation, develop findings</t>
  </si>
  <si>
    <t>Engineers</t>
  </si>
  <si>
    <t xml:space="preserve">Objective Evidence Review </t>
  </si>
  <si>
    <t>Phase 2 review OE</t>
  </si>
  <si>
    <t>OE collection 1</t>
  </si>
  <si>
    <t>Collect OE</t>
  </si>
  <si>
    <t>OE collection 2</t>
  </si>
  <si>
    <t>Opening Presentation</t>
  </si>
  <si>
    <t>PMs</t>
  </si>
  <si>
    <t>Preliminary findings 1</t>
  </si>
  <si>
    <t>Preliminary findings 2</t>
  </si>
  <si>
    <t>Readiness review 1</t>
  </si>
  <si>
    <t>Readiness review</t>
  </si>
  <si>
    <t>Readiness review 2</t>
  </si>
  <si>
    <t>Review final findings</t>
  </si>
  <si>
    <t>Review preliminary findings</t>
  </si>
  <si>
    <t>Review objective evidence</t>
  </si>
  <si>
    <t>Senior management</t>
  </si>
  <si>
    <t>Sponsor meetings</t>
  </si>
  <si>
    <t>Technology Test</t>
  </si>
  <si>
    <t>EPG</t>
  </si>
  <si>
    <t>Step 1: Complete section below</t>
  </si>
  <si>
    <t>Effort</t>
  </si>
  <si>
    <t>Formula</t>
  </si>
  <si>
    <t>SM</t>
  </si>
  <si>
    <t>OUC</t>
  </si>
  <si>
    <t>RI</t>
  </si>
  <si>
    <t>ParticipantsPrelim1</t>
  </si>
  <si>
    <t>ParticipantsPrelim2</t>
  </si>
  <si>
    <t>ParticipantsOpen</t>
  </si>
  <si>
    <t>ParticipantsFinal</t>
  </si>
  <si>
    <t>ParticipantsTechTest</t>
  </si>
  <si>
    <t>For resource estimation</t>
  </si>
  <si>
    <t xml:space="preserve">Step 2: Download CAS resource estimate, copy and paste the section below </t>
  </si>
  <si>
    <t>1) Complete information in C_Resource_Estimates 2) Download teamplate from CAS 3) Copy information from C_Resource_Estimates to template 4) Import template into CAS</t>
  </si>
  <si>
    <t>Demix Virtual Services Tools</t>
  </si>
  <si>
    <t xml:space="preserve">For opening meeting, preliminary findings, final findings, interviews and characterising tasks, TenCent VooV has been tested as viable video conferencing tool. 
For this appraisal (based on previous appraisals to China) VooV will be used as the primary video conferencing tool.  Where needed, Microsoft SharePoint Services Teams, WhatsApp and/or WeChat will also be used. </t>
  </si>
  <si>
    <t>ATL, Each team member and participant.</t>
  </si>
  <si>
    <t>Risk Name 1</t>
  </si>
  <si>
    <t>Risk Name 2</t>
  </si>
  <si>
    <t>Risk Name 3</t>
  </si>
  <si>
    <t>Virtual Delivery</t>
  </si>
  <si>
    <t xml:space="preserve">Potential Confidentiality breaches could happen when participant meetings and ATM meetings happen when using Virtual Delivery methods. </t>
  </si>
  <si>
    <t>Open</t>
  </si>
  <si>
    <t>Risk Name 4</t>
  </si>
  <si>
    <t>The usage of DVS (Demix virtual services) tools is new or unfamiliar with some participants and ATMs.</t>
  </si>
  <si>
    <t>Medium</t>
  </si>
  <si>
    <t>Risk Name 5</t>
  </si>
  <si>
    <t>The CMMI V2.0 model and MDD V2.0 is new or unfamiliar to some participants and ATMs, which could affect the appraisal schedule (and potentially quality).</t>
  </si>
  <si>
    <t>Planned Schedule:</t>
  </si>
  <si>
    <t>CN</t>
  </si>
  <si>
    <t>ZA</t>
  </si>
  <si>
    <t>OE Review</t>
  </si>
  <si>
    <t>[1] Sponsor</t>
  </si>
  <si>
    <t>Team Review</t>
  </si>
  <si>
    <t>Consolidate
- Prepare Prelims</t>
  </si>
  <si>
    <t>Rate / Prep FF</t>
  </si>
  <si>
    <t>Review</t>
  </si>
  <si>
    <t xml:space="preserve">[4b] PT2 - 
(RDM/PR/
VV/DAR) </t>
  </si>
  <si>
    <t>[6] Process - EPG/MA- (PAD/PCM/
CAR/MPM)</t>
  </si>
  <si>
    <t>Team Refresher Training</t>
  </si>
  <si>
    <t>[2] Opening Briefing</t>
  </si>
  <si>
    <t>[9] Snr Mngr (GOV)</t>
  </si>
  <si>
    <t>Prelim Findings1</t>
  </si>
  <si>
    <t>OE Review &amp; Interview Prep</t>
  </si>
  <si>
    <t>[4a] PT1  - (PI/TS)</t>
  </si>
  <si>
    <t>[5] CM - SI(CM)</t>
  </si>
  <si>
    <t>[3a] PM1 
- (EST/
MC/PLAN)</t>
  </si>
  <si>
    <t>Team/
Sponsor Debriefing</t>
  </si>
  <si>
    <t>Prelim Findings2</t>
  </si>
  <si>
    <t>[3b] PM3
- (RSK/MPM)</t>
  </si>
  <si>
    <t>Team Debriefing
- Lessons
- CAS Upd</t>
  </si>
  <si>
    <t>[7] OT - MWF (OT)</t>
  </si>
  <si>
    <t>[8] PPQA
- (PQA)</t>
  </si>
  <si>
    <t>Tooltest</t>
  </si>
  <si>
    <t>Actual Schedule:</t>
  </si>
  <si>
    <t>Sponsor Debriefing</t>
  </si>
  <si>
    <t>Perf Rpt</t>
  </si>
  <si>
    <t>ATM Debrief
- Lessons
- CAS Upd</t>
  </si>
  <si>
    <t>Capability Area</t>
  </si>
  <si>
    <t>Target</t>
  </si>
  <si>
    <t>Engineering &amp; Developing Products</t>
  </si>
  <si>
    <t>Planning &amp; Managing Work</t>
  </si>
  <si>
    <t>Sustaining Habit and Persistence</t>
  </si>
  <si>
    <t>Ensuring Quality (ENQ)</t>
  </si>
  <si>
    <t>Peer Reviews (PR)</t>
  </si>
  <si>
    <t>Improving Performance (IMP)</t>
  </si>
  <si>
    <t>Engineering &amp; Developing Products (EDP)</t>
  </si>
  <si>
    <t>Monitor and Control (MC)</t>
  </si>
  <si>
    <t>Implementation Infrastructure (II)</t>
  </si>
  <si>
    <t>Sustaining Habit and Persistence (SHP)</t>
  </si>
  <si>
    <t>Supporting Implementation (SI)</t>
  </si>
  <si>
    <t>Managing the Workforce (MWF)</t>
  </si>
  <si>
    <t>Managing Business Resilience (MBR)</t>
  </si>
  <si>
    <t>Planning and Managing Work (PMW)</t>
  </si>
  <si>
    <t>MAX</t>
  </si>
  <si>
    <t>Selecting &amp; Managing Suppliers</t>
  </si>
  <si>
    <t>Supplier Agreement Management</t>
  </si>
  <si>
    <t>Output</t>
  </si>
  <si>
    <t>The Final Findings will be presented as a PowerPoint presentation, highlighting the strengths and weaknesses identified.</t>
  </si>
  <si>
    <t>Performance Report</t>
  </si>
  <si>
    <t>Sampled Project and OSF-level Practice Ratings Worksheets</t>
  </si>
  <si>
    <t>The schedule shows the time slots allocated for each of the planned activities during the on-site phase of the appraisal.</t>
  </si>
  <si>
    <t>Extra for Virtual Appraisals</t>
  </si>
  <si>
    <t>Virtual Delivery Report</t>
  </si>
  <si>
    <t xml:space="preserve">This report is applied to virtually delivered CMMI appraisal team activities and is specifically focused on the virtual approach, methods, techniques, tools and processes used. </t>
  </si>
  <si>
    <t>Sub groups</t>
  </si>
  <si>
    <t>Project</t>
  </si>
  <si>
    <t>Project and support function information and sample</t>
  </si>
  <si>
    <t>Project/
Support</t>
  </si>
  <si>
    <t xml:space="preserve">If address is different from the organisation, manually enter the address in StartupInfo/below, and unhide the new address in pptxLink1, so it displays in the pptx	  </t>
  </si>
  <si>
    <t>C_Resource_Estimates</t>
  </si>
  <si>
    <t>Schedule4-1P</t>
  </si>
  <si>
    <t>Schedule4-1A</t>
  </si>
  <si>
    <t>Schedule4-2</t>
  </si>
  <si>
    <t>pptxLink1</t>
  </si>
  <si>
    <t>pptxLink2</t>
  </si>
  <si>
    <t>pptxLink3</t>
  </si>
  <si>
    <t>pptxLink4</t>
  </si>
  <si>
    <t>pptxLink5</t>
  </si>
  <si>
    <t>pptxLink6</t>
  </si>
  <si>
    <t>pptxLink7</t>
  </si>
  <si>
    <t>124</t>
  </si>
  <si>
    <t>R0000</t>
  </si>
  <si>
    <t>van Zyl, Pieter</t>
  </si>
  <si>
    <t>CMMI V2.0 High Maturity Lead Appraiser</t>
  </si>
  <si>
    <t>CMMI V2.0 High Maturity Lead Appraiser, Observer for Candidate SCAMPI Team Leads, Instructor for Introduction to CMMI-DEV, Instructor for CMMI-SVC supplement for CMMI-DEV, Instructor for CMMI-ACQ for CMMI-DEV.</t>
  </si>
  <si>
    <t>0500535-01</t>
  </si>
  <si>
    <t>+27-82-900-0008</t>
  </si>
  <si>
    <t>pieter.vanzyl@demix.org</t>
  </si>
  <si>
    <t>LA_PieterVZ</t>
  </si>
  <si>
    <t>+000 1111 2222</t>
  </si>
  <si>
    <t>+0000 1111 3333</t>
  </si>
  <si>
    <t>+000 1111 44444</t>
  </si>
  <si>
    <t>Post release defect density: UCL:2.424, CL:2.103, LCL:1.783</t>
  </si>
  <si>
    <t>Post release defect density: UCL:1.8726,CL:1.607,LCL:1.3407</t>
  </si>
  <si>
    <t>Post release defect density</t>
  </si>
  <si>
    <t>Regression analysis of post release defect density</t>
  </si>
  <si>
    <t>The company provides space exploration services…</t>
  </si>
  <si>
    <t>Falcon project description</t>
  </si>
  <si>
    <t>P1-Falcon9</t>
  </si>
  <si>
    <t>P2-Raptor</t>
  </si>
  <si>
    <t>Raptor project description</t>
  </si>
  <si>
    <t>P3-Starship</t>
  </si>
  <si>
    <t>Startship project description</t>
  </si>
  <si>
    <t>P4-SupperHeavy</t>
  </si>
  <si>
    <t>Super Heavy description</t>
  </si>
  <si>
    <t>The Configuration Management (CM) function, manages baselines for projects and the organisation.</t>
  </si>
  <si>
    <t>The Engineering Process Group (EPG)/Measurement Analysis (MA) team provides process management capability including establishing processes, standards, process measurements, process performance models, performance management baselines and directing its implementation and adoption.</t>
  </si>
  <si>
    <t>The Human Resources (HR) function is responsible for training, skills and knowledge management. It maintains the records of staff training and training evaluation.</t>
  </si>
  <si>
    <t xml:space="preserve">The Process and Product Quality Assurance (PPQA) team manage and performs process quality assurance. </t>
  </si>
  <si>
    <t>Surname, Analyst 1</t>
  </si>
  <si>
    <t>Surname, Designer1</t>
  </si>
  <si>
    <t>Surname, Developer1</t>
  </si>
  <si>
    <t>Surname, Testers1</t>
  </si>
  <si>
    <t>Surname, Project Manager1</t>
  </si>
  <si>
    <t>Surname, Analyst2</t>
  </si>
  <si>
    <t>Surname, Designer2</t>
  </si>
  <si>
    <t>Surname, Developer2</t>
  </si>
  <si>
    <t>Surname, Testers2</t>
  </si>
  <si>
    <t>Surname, Project Manager2</t>
  </si>
  <si>
    <t>Surname, Analyst3</t>
  </si>
  <si>
    <t>Surname, Designer3</t>
  </si>
  <si>
    <t>Surname, Developer3</t>
  </si>
  <si>
    <t>Surname, Testers3</t>
  </si>
  <si>
    <t>Surname, Project Manager3</t>
  </si>
  <si>
    <t>Surname, Analyst4</t>
  </si>
  <si>
    <t>Surname, Designer4</t>
  </si>
  <si>
    <t>Surname, Developer4</t>
  </si>
  <si>
    <t>Surname, Testers4</t>
  </si>
  <si>
    <t>Surname, Project Manager4</t>
  </si>
  <si>
    <t>Surname, Configuration Manager1</t>
  </si>
  <si>
    <t>Surname, Process manager2</t>
  </si>
  <si>
    <t>Surname, Training Manager3</t>
  </si>
  <si>
    <t>Surname, Process Assurance Manager4</t>
  </si>
  <si>
    <t>ATM-1</t>
  </si>
  <si>
    <t>ATM-2</t>
  </si>
  <si>
    <t>ATM-3</t>
  </si>
  <si>
    <t>ATM-4</t>
  </si>
  <si>
    <t>0 0000 000001</t>
  </si>
  <si>
    <t>1 0000 000001</t>
  </si>
  <si>
    <t>2 0000 000001</t>
  </si>
  <si>
    <t>3 0000 000001</t>
  </si>
  <si>
    <t>atm1.email@gmail.com</t>
  </si>
  <si>
    <t>atm2.email@gmail.com</t>
  </si>
  <si>
    <t>atm3.email@gmail.com</t>
  </si>
  <si>
    <t>atm4.email@gmail.com</t>
  </si>
  <si>
    <t>PvtPACheck</t>
  </si>
  <si>
    <t>Software for Mars (Pty) Ltd</t>
  </si>
  <si>
    <t>Mars</t>
  </si>
  <si>
    <t>Base Alpha City</t>
  </si>
  <si>
    <t>Tharsis</t>
  </si>
  <si>
    <t>Conduct Maturity Level 5 appraisal in April 2021</t>
  </si>
  <si>
    <t>Prof Kessler, Donald</t>
  </si>
  <si>
    <t>The Boss</t>
  </si>
  <si>
    <t>donald.kessler@email.com</t>
  </si>
  <si>
    <t>Miss Lake, Nathalie</t>
  </si>
  <si>
    <t>nathalie.lake@email.com</t>
  </si>
  <si>
    <t>Miss Land, Barbara</t>
  </si>
  <si>
    <t>barbara.land@email.com</t>
  </si>
  <si>
    <t>SoftMARS</t>
  </si>
  <si>
    <t>D124 (A5) SoftMARS - Base Alpha City (Q2) 2021</t>
  </si>
  <si>
    <t>No. 1 First Street</t>
  </si>
  <si>
    <t>Room 1, Dome 1</t>
  </si>
  <si>
    <t>http://eMars.com</t>
  </si>
  <si>
    <t>CAS ID</t>
  </si>
  <si>
    <t xml:space="preserve">1 General Manager
2  Integrated Management
3  R&amp;D Department
4  Product Department
5  Business Department
</t>
  </si>
  <si>
    <t>Planet04</t>
  </si>
  <si>
    <t>dkessler@gmail.com</t>
  </si>
  <si>
    <t>chris.hemswoth@mailcom</t>
  </si>
  <si>
    <t>Hemswoth, Chris</t>
  </si>
  <si>
    <t>Step 1-10</t>
  </si>
  <si>
    <t>Step 11-20</t>
  </si>
  <si>
    <t>2021-04-12to04-16 (A5) C53517 SoftMARS</t>
  </si>
  <si>
    <t>Quality flag. If 1 is yes, then 2 should be no</t>
  </si>
  <si>
    <t>Supports software development organisational training requirements.</t>
  </si>
  <si>
    <t xml:space="preserve">Supports software development process management, and measurement &amp; analysis requirements. </t>
  </si>
  <si>
    <t>Supports software development configuration management requirements.</t>
  </si>
  <si>
    <t>Supports software development process quality assurance requirements.</t>
  </si>
  <si>
    <t>1) ATM may become ill</t>
  </si>
  <si>
    <t>2) Virtual Tool Failure</t>
  </si>
  <si>
    <t>Virtual technology</t>
  </si>
  <si>
    <t>DVS (Demix virtual services) tools may become unavailable due to network failures.</t>
  </si>
  <si>
    <t>1) Ensure that backup network facilities are available.
2) Ensure that additional overtime is planned and agreed upon should technical difficulties cause appraisal work disruptions. 
3) Conduct a test of virtual technologies before the opening briefing.
4) Use Voov as a backup technology.
5) Setup WeChat and WhatsApp groups for backup communication when a failure occurs (between ATL, ATMs, RI and Site-coordinator)</t>
  </si>
  <si>
    <t xml:space="preserve">3) Confidentiality breaches as result of Virtual Delivery. </t>
  </si>
  <si>
    <t>4) Virtual Delivery Toolset being new</t>
  </si>
  <si>
    <t>5) CMMI V2.0 Model is new to Appraisal Team</t>
  </si>
  <si>
    <t>Risk Name 6</t>
  </si>
  <si>
    <t>6) Confidentiality breach due to unknown participants in Virtual setting</t>
  </si>
  <si>
    <t>1) The virtual environment may cause unwanted visitors to attend interviews and teamwork sessions and as a result breach confidentiality</t>
  </si>
  <si>
    <t>1) Use a passcode to enable people to join
2) All participants must be visible and their video must be switched on
3) All participants must list their names
4) A waiting room facility will be used
5) Recording features will be disallowed and turned off
6) If required, participants must show their camera 360 degrees so that the appraisal team can see that no other persons are present in the room</t>
  </si>
  <si>
    <t>Risk Name 7</t>
  </si>
  <si>
    <t>7) Opening meeting delays due to virtual services</t>
  </si>
  <si>
    <t>1) The virtual services may be new to the organisation and cause delays during the opening meeting</t>
  </si>
  <si>
    <t>1) Do a technology-test/participants-briefing the Thursday before the opening meeting to make sure all the virtual technologies are working properly</t>
  </si>
  <si>
    <t>Risk Name 8</t>
  </si>
  <si>
    <t>8) Virtual technology maybe blocked by company</t>
  </si>
  <si>
    <t>The virtual technology used, such s Zoom, may be blocked by the companies firewalls.</t>
  </si>
  <si>
    <t>1) Perform a technology test the Thursday before the opening meeting to ensure that all firewall entries are open and the virtual technology is functioning between the appraisal team and the participants.</t>
  </si>
  <si>
    <t>Risk Name 9</t>
  </si>
  <si>
    <t>9) Virtual Tool Failure</t>
  </si>
  <si>
    <t>Risk Name 10</t>
  </si>
  <si>
    <t>10) Delays due to usage of Virtual technology</t>
  </si>
  <si>
    <t>Schedule delays could happen due to the usage of virtual delivery services</t>
  </si>
  <si>
    <t>Note: Some mitigation actions are repeated for other risks above, such as risk #6
 1) Plan for additional time at the end of every day in case of virtual services causing delays
 2) Plan for using alternative technologies such as Voov as a backup for Zoom (and vice versa).
 3) Have an ATL, ATMs, RI and site co-ordinator, WeChat and WhatsApp group to respond immediately to Virtual delivery technology failures.</t>
  </si>
  <si>
    <t>Risk Name 11</t>
  </si>
  <si>
    <t>11) Timezone impacts</t>
  </si>
  <si>
    <t>Timezone differences could make the appraisal team less effective.</t>
  </si>
  <si>
    <t>1) Plan for the forward in the timezone area to start later than normal and the earlier in timezone to start earlier. For example, GMT+8 start at 10:00 is and GMT+2 start at 4:am.</t>
  </si>
  <si>
    <t>Risk Name 12</t>
  </si>
  <si>
    <t>12) Impact of differenes in language</t>
  </si>
  <si>
    <t>Langauge difference could impact the effectiveness of the team</t>
  </si>
  <si>
    <t>1) Use a bulk document translator to translate all xlsx, pptx and docx. These are not perfect translations, but good enough.
 2) Staff the appraisal team with a second registered interpreter (as ATM) or a trainee registered interpreter to support translation work when the primary interpreter is held up.
 3) Use additional supporting translation tools such as Google and WeChat translate as needed.</t>
  </si>
  <si>
    <t>Objective evidence done</t>
  </si>
  <si>
    <t>Affirmation done</t>
  </si>
  <si>
    <t xml:space="preserve">Characterisation  </t>
  </si>
  <si>
    <t>OU Characterisation done</t>
  </si>
  <si>
    <t>Quality flag. Select all including APR if 1 is yes.</t>
  </si>
  <si>
    <t>1) Allocate Unique VooV IDs. Separate interview meetings (unique VooV ID X),  appraisal team meetings (unique VooV ID Y) and presentations [van Zyl, Pieter]
2) The ATL (Appraisal Team Leader) will control access to the above meetings to ensure Confidentiality is maintained [van Zyl, Pieter]
3) All meetings will be scheduled with passwords to assist to control access to the meetings, assisting that Confidentiality is maintained [van Zyl, Pieter]</t>
  </si>
  <si>
    <t>1) Ensure DVS tools are tested before the on-site period starts, with ATMs, interpreters, participants and site co-ordinators to ensure tools are installed and users know how to use them. [van Zyl, Pieter]
2) Conduct a desktop review of Demix virtual services (DVS) using the CMMI institute EVSD practice area before the start of DVS operations and affect relevant improvements. [van Zyl, Pieter]
3) After each appraisal, use the CMMI Virtual Delivery reporting template to obtain feedback on DVS practices and improve it accordingly. [van Zyl, Pieter]</t>
  </si>
  <si>
    <t>1) Ensure enough time scheduled for appraisal activities to allow for possible delays, because the team is learning the new model and CAS system. [van Zyl, Pieter]
2) Update the Demix appraisal templates used by the appraisal team and ATL, to align with the new model and MDD. [van Zyl, Pieter]
3) Facilitate information sharing  between appraisal team members and Demix ATL's about the new model and MDD usage. [van Zyl, Pieter]
4) Let ATM's with experience of V2.0 work with ATM's that are new, where possible. [van Zyl, Pieter]</t>
  </si>
  <si>
    <t>COPY FROM OE DB</t>
  </si>
  <si>
    <t>Affiliation</t>
  </si>
  <si>
    <t>use in tab:C_Support for the "Function Solution Domain"</t>
  </si>
  <si>
    <t>Updated formula error in P1PA-SS and Function Solution Domain reference</t>
  </si>
  <si>
    <t>Updates to align with latest BASE release 3.8.0.44 and incorporate Francois planning input.</t>
  </si>
  <si>
    <t>Measurements manager</t>
  </si>
  <si>
    <t>Surname, Measurement manager2</t>
  </si>
  <si>
    <t>Configuration Management</t>
  </si>
  <si>
    <t>Measurement Management</t>
  </si>
  <si>
    <t>Organisational Training</t>
  </si>
  <si>
    <t>Included the Measurement manager role and measurement management process</t>
  </si>
  <si>
    <t>Update the schedule to only full team.</t>
  </si>
  <si>
    <t>see list in 03_P3RF</t>
  </si>
  <si>
    <t>Small updates. Formulas in Schedule fixed. List of artifacts in tab:P3RF. Added VV3.2 (was omitted)</t>
  </si>
  <si>
    <t>[3] Project Management (continued)</t>
  </si>
  <si>
    <t>[4] Engineering (continued)</t>
  </si>
  <si>
    <t>[6] Process Management (continued)</t>
  </si>
  <si>
    <t>Jared Twigg</t>
  </si>
  <si>
    <t>Linked to "Ratings for" in presentation</t>
  </si>
  <si>
    <t>Governance (GOV)</t>
  </si>
  <si>
    <t>c</t>
  </si>
  <si>
    <t>Final Findings (incl PR)</t>
  </si>
  <si>
    <t>[12] Final findings presentaiton (incl performance report)</t>
  </si>
  <si>
    <t>Conclude ratings (incl performance report)</t>
  </si>
  <si>
    <t>Include performance report in schedule.</t>
  </si>
  <si>
    <t xml:space="preserve">Added minor changes to Schedule and </t>
  </si>
  <si>
    <t>Removed 1.4 from OULC tab (DPI #6)</t>
  </si>
  <si>
    <t>Management agrees and commits to implement an action plan on the findings of this CMMI® Benchmark Appraisal report.</t>
  </si>
  <si>
    <t>Provide appraisal feedback to ISACA.</t>
  </si>
  <si>
    <t>&lt;&lt; Searched for EPG's Name</t>
  </si>
  <si>
    <t>Planned</t>
  </si>
  <si>
    <t>Actual</t>
  </si>
  <si>
    <t>GMT+8</t>
  </si>
  <si>
    <t>GMT+2</t>
  </si>
  <si>
    <t>Team meeting</t>
  </si>
  <si>
    <t>[6] Process management</t>
  </si>
  <si>
    <t xml:space="preserve">[10] Preliminary findings </t>
  </si>
  <si>
    <t>[2] Opening meeting</t>
  </si>
  <si>
    <t>[11] Preliminary findings</t>
  </si>
  <si>
    <t>Conclude ratings and performance report</t>
  </si>
  <si>
    <t>[3] Project management</t>
  </si>
  <si>
    <t>[9] Senior management</t>
  </si>
  <si>
    <t>[5] Configuration management</t>
  </si>
  <si>
    <t>Obtain signatures, debriefing, lessons learned, and feedback to ISACA.</t>
  </si>
  <si>
    <t>Description of Change</t>
  </si>
  <si>
    <t>Approval</t>
  </si>
  <si>
    <t>Final version for on-site</t>
  </si>
  <si>
    <t>2.0</t>
  </si>
  <si>
    <t>Updated change in schedule.</t>
  </si>
  <si>
    <t>Opening, preliminary and final findings</t>
  </si>
  <si>
    <t>Replanning</t>
  </si>
  <si>
    <t>Break</t>
  </si>
  <si>
    <t>Document Review</t>
  </si>
  <si>
    <t>Document Review, Interviews, Affirmation</t>
  </si>
  <si>
    <t>Verify, Status check, Characterization, Practice Rating, OU Rating, Package</t>
  </si>
  <si>
    <t>Verification, status Check</t>
  </si>
  <si>
    <t>Buffer</t>
  </si>
  <si>
    <t>Follow-up OR drafting Preliminary Report</t>
  </si>
  <si>
    <t>Verification, Status Check</t>
  </si>
  <si>
    <t>Practice ratings and Draft preliminary findings</t>
  </si>
  <si>
    <t>[12] Final findings and performance report</t>
  </si>
  <si>
    <t>Satisfied</t>
  </si>
  <si>
    <t>Unsatisfied</t>
  </si>
  <si>
    <t>Practice Group Ratings</t>
  </si>
  <si>
    <t>Fully Meets</t>
  </si>
  <si>
    <t>Largely Meets</t>
  </si>
  <si>
    <t>Partially Meets</t>
  </si>
  <si>
    <t>Does Not Meet</t>
  </si>
  <si>
    <t>Not Yet</t>
  </si>
  <si>
    <t>Practice Characterization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</si>
</sst>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9">
    <numFmt numFmtId="164" formatCode="_ * #,##0.00_ ;_ * \-#,##0.00_ ;_ * &quot;-&quot;??_ ;_ @_ "/>
    <numFmt numFmtId="165" formatCode="[$-F800]dddd\,\ mmmm\ dd\,\ yyyy"/>
    <numFmt numFmtId="166" formatCode="dd/mm/yyyy"/>
    <numFmt numFmtId="167" formatCode="_(&quot;$&quot;* #,##0_);_(&quot;$&quot;* \(#,##0\);_(&quot;$&quot;* &quot;-&quot;_);_(@_)"/>
    <numFmt numFmtId="168" formatCode="dd\ mmmm\ yyyy"/>
    <numFmt numFmtId="169" formatCode="[$-F800]dddd\,/mmmm/dd\,/yyyy"/>
    <numFmt numFmtId="170" formatCode="dd\-mmm\-yyyy"/>
    <numFmt numFmtId="171" formatCode="dddd"/>
    <numFmt numFmtId="172" formatCode="0.0"/>
  </numFmts>
  <fonts count="67">
    <font>
      <sz val="11"/>
      <color theme="1"/>
      <name val="Calibri"/>
      <family val="2"/>
      <scheme val="minor"/>
    </font>
    <font>
      <sz val="11"/>
      <color theme="1"/>
      <name val="Calibri"/>
      <family val="2"/>
      <scheme val="minor"/>
    </font>
    <font>
      <b/>
      <sz val="10"/>
      <color theme="0"/>
      <name val="Calibri"/>
      <family val="2"/>
      <scheme val="minor"/>
    </font>
    <font>
      <b/>
      <sz val="10"/>
      <name val="Calibri"/>
      <family val="2"/>
      <scheme val="minor"/>
    </font>
    <font>
      <sz val="10"/>
      <name val="Arial"/>
      <family val="2"/>
    </font>
    <font>
      <sz val="10"/>
      <name val="Calibri"/>
      <family val="2"/>
      <scheme val="minor"/>
    </font>
    <font>
      <b/>
      <sz val="11"/>
      <color theme="1"/>
      <name val="Calibri"/>
      <family val="2"/>
      <scheme val="minor"/>
    </font>
    <font>
      <sz val="9"/>
      <color indexed="81"/>
      <name val="Tahoma"/>
      <family val="2"/>
    </font>
    <font>
      <b/>
      <sz val="9"/>
      <color indexed="81"/>
      <name val="Tahoma"/>
      <family val="2"/>
    </font>
    <font>
      <u/>
      <sz val="11"/>
      <color theme="10"/>
      <name val="Calibri"/>
      <family val="2"/>
      <scheme val="minor"/>
    </font>
    <font>
      <sz val="11"/>
      <color theme="0"/>
      <name val="Calibri"/>
      <family val="2"/>
      <scheme val="minor"/>
    </font>
    <font>
      <sz val="11"/>
      <color rgb="FF000000"/>
      <name val="Calibri"/>
      <family val="2"/>
    </font>
    <font>
      <sz val="11"/>
      <name val="Calibri"/>
      <family val="2"/>
      <scheme val="minor"/>
    </font>
    <font>
      <b/>
      <sz val="10"/>
      <color rgb="FFFF0000"/>
      <name val="Calibri"/>
      <family val="2"/>
      <scheme val="minor"/>
    </font>
    <font>
      <sz val="11"/>
      <color theme="0" tint="-0.34998626667073579"/>
      <name val="Calibri"/>
      <family val="2"/>
      <scheme val="minor"/>
    </font>
    <font>
      <sz val="11"/>
      <color rgb="FFFF0000"/>
      <name val="Calibri"/>
      <family val="2"/>
      <scheme val="minor"/>
    </font>
    <font>
      <b/>
      <sz val="11"/>
      <color theme="0" tint="-0.34998626667073579"/>
      <name val="Calibri"/>
      <family val="2"/>
      <scheme val="minor"/>
    </font>
    <font>
      <b/>
      <sz val="11"/>
      <color theme="0"/>
      <name val="Calibri"/>
      <family val="2"/>
      <scheme val="minor"/>
    </font>
    <font>
      <b/>
      <sz val="14"/>
      <color theme="0"/>
      <name val="Calibri"/>
      <family val="2"/>
      <scheme val="minor"/>
    </font>
    <font>
      <sz val="12"/>
      <color theme="1"/>
      <name val="Calibri"/>
      <family val="2"/>
      <scheme val="minor"/>
    </font>
    <font>
      <sz val="12"/>
      <color theme="0"/>
      <name val="Calibri"/>
      <family val="2"/>
      <scheme val="minor"/>
    </font>
    <font>
      <sz val="11"/>
      <color indexed="8"/>
      <name val="Calibri"/>
      <family val="2"/>
    </font>
    <font>
      <sz val="16"/>
      <color theme="1"/>
      <name val="Calibri"/>
      <family val="2"/>
      <scheme val="minor"/>
    </font>
    <font>
      <u/>
      <sz val="11"/>
      <color theme="10"/>
      <name val="Calibri"/>
      <family val="2"/>
    </font>
    <font>
      <sz val="10"/>
      <color indexed="8"/>
      <name val="Arial"/>
      <family val="2"/>
    </font>
    <font>
      <sz val="11"/>
      <color indexed="60"/>
      <name val="宋体"/>
      <family val="3"/>
      <charset val="134"/>
    </font>
    <font>
      <u/>
      <sz val="10"/>
      <color theme="10"/>
      <name val="Arial"/>
      <family val="2"/>
    </font>
    <font>
      <sz val="10"/>
      <name val="Helv"/>
      <family val="2"/>
    </font>
    <font>
      <sz val="12"/>
      <name val="宋体"/>
      <family val="3"/>
      <charset val="134"/>
    </font>
    <font>
      <sz val="11"/>
      <color indexed="8"/>
      <name val="宋体"/>
      <family val="3"/>
      <charset val="134"/>
    </font>
    <font>
      <i/>
      <sz val="11"/>
      <color indexed="23"/>
      <name val="宋体"/>
      <family val="3"/>
      <charset val="134"/>
    </font>
    <font>
      <b/>
      <sz val="16"/>
      <color theme="1"/>
      <name val="Calibri"/>
      <family val="2"/>
      <scheme val="minor"/>
    </font>
    <font>
      <b/>
      <sz val="18"/>
      <color theme="1"/>
      <name val="Calibri"/>
      <family val="2"/>
      <scheme val="minor"/>
    </font>
    <font>
      <b/>
      <sz val="14"/>
      <color theme="1"/>
      <name val="Calibri"/>
      <family val="2"/>
      <scheme val="minor"/>
    </font>
    <font>
      <sz val="10"/>
      <color theme="1"/>
      <name val="Calibri"/>
      <family val="2"/>
      <scheme val="minor"/>
    </font>
    <font>
      <b/>
      <i/>
      <u/>
      <sz val="26"/>
      <color theme="1"/>
      <name val="Calibri"/>
      <family val="2"/>
      <scheme val="minor"/>
    </font>
    <font>
      <b/>
      <sz val="18"/>
      <color theme="0"/>
      <name val="Calibri"/>
      <family val="2"/>
      <scheme val="minor"/>
    </font>
    <font>
      <b/>
      <sz val="12"/>
      <color rgb="FFFFFFFF"/>
      <name val="Calibri"/>
      <family val="2"/>
    </font>
    <font>
      <sz val="12"/>
      <color rgb="FF000000"/>
      <name val="Calibri"/>
      <family val="2"/>
    </font>
    <font>
      <b/>
      <sz val="12"/>
      <color theme="1"/>
      <name val="Calibri"/>
      <family val="2"/>
      <scheme val="minor"/>
    </font>
    <font>
      <b/>
      <sz val="10"/>
      <color theme="1"/>
      <name val="Calibri"/>
      <family val="2"/>
      <scheme val="minor"/>
    </font>
    <font>
      <b/>
      <sz val="16"/>
      <color theme="0"/>
      <name val="Calibri"/>
      <family val="2"/>
      <scheme val="minor"/>
    </font>
    <font>
      <sz val="12"/>
      <color rgb="FF000000"/>
      <name val="Calibri"/>
      <family val="2"/>
      <scheme val="minor"/>
    </font>
    <font>
      <sz val="16"/>
      <name val="Calibri"/>
      <family val="2"/>
      <scheme val="minor"/>
    </font>
    <font>
      <b/>
      <sz val="20"/>
      <color theme="1"/>
      <name val="Calibri"/>
      <family val="2"/>
      <scheme val="minor"/>
    </font>
    <font>
      <sz val="20"/>
      <color theme="1"/>
      <name val="Calibri"/>
      <family val="2"/>
      <scheme val="minor"/>
    </font>
    <font>
      <b/>
      <sz val="14"/>
      <name val="Calibri"/>
      <family val="2"/>
      <scheme val="minor"/>
    </font>
    <font>
      <sz val="14"/>
      <color theme="1"/>
      <name val="Calibri"/>
      <family val="2"/>
      <scheme val="minor"/>
    </font>
    <font>
      <u/>
      <sz val="11"/>
      <color theme="10"/>
      <name val="Calibri"/>
      <family val="4"/>
      <charset val="134"/>
      <scheme val="minor"/>
    </font>
    <font>
      <sz val="8"/>
      <name val="Calibri"/>
      <family val="2"/>
      <scheme val="minor"/>
    </font>
    <font>
      <sz val="11"/>
      <color rgb="FF000000"/>
      <name val="Calibri"/>
      <family val="2"/>
      <scheme val="minor"/>
    </font>
    <font>
      <sz val="11"/>
      <color rgb="FFFFFFFF"/>
      <name val="Calibri"/>
      <family val="2"/>
      <scheme val="minor"/>
    </font>
    <font>
      <sz val="10"/>
      <color theme="0"/>
      <name val="Calibri"/>
      <family val="2"/>
      <scheme val="minor"/>
    </font>
    <font>
      <b/>
      <sz val="10"/>
      <color rgb="FF000000"/>
      <name val="Calibri"/>
      <family val="2"/>
    </font>
    <font>
      <sz val="9"/>
      <name val="Calibri"/>
      <family val="3"/>
      <charset val="134"/>
      <scheme val="minor"/>
    </font>
    <font>
      <b/>
      <sz val="12"/>
      <color theme="0"/>
      <name val="Calibri"/>
      <family val="2"/>
      <scheme val="minor"/>
    </font>
    <font>
      <b/>
      <sz val="11"/>
      <color rgb="FFFFFFFF"/>
      <name val="Calibri"/>
      <family val="2"/>
    </font>
    <font>
      <sz val="10"/>
      <color theme="1"/>
      <name val="Wingdings"/>
      <charset val="2"/>
    </font>
    <font>
      <u/>
      <sz val="10"/>
      <color theme="10"/>
      <name val="Calibri"/>
      <family val="2"/>
      <scheme val="minor"/>
    </font>
    <font>
      <sz val="10"/>
      <color rgb="FF000000"/>
      <name val="Calibri"/>
      <family val="2"/>
    </font>
    <font>
      <b/>
      <sz val="22"/>
      <color theme="1"/>
      <name val="Calibri"/>
      <family val="2"/>
      <scheme val="minor"/>
    </font>
    <font>
      <sz val="18"/>
      <color theme="1"/>
      <name val="Calibri"/>
      <family val="2"/>
      <scheme val="minor"/>
    </font>
    <font>
      <b/>
      <sz val="11"/>
      <name val="Arial"/>
      <family val="2"/>
    </font>
    <font>
      <b/>
      <sz val="10"/>
      <name val="Arial"/>
      <family val="2"/>
    </font>
    <font>
      <sz val="10"/>
      <color theme="1" tint="0.14999847407452621"/>
      <name val="Arial"/>
      <family val="2"/>
    </font>
    <font>
      <sz val="10"/>
      <color indexed="61"/>
      <name val="Arial"/>
      <family val="2"/>
    </font>
    <font>
      <b/>
      <u/>
      <sz val="11"/>
      <color theme="1"/>
      <name val="Calibri"/>
      <family val="2"/>
      <scheme val="minor"/>
    </font>
  </fonts>
  <fills count="60">
    <fill>
      <patternFill patternType="none"/>
    </fill>
    <fill>
      <patternFill patternType="gray125"/>
    </fill>
    <fill>
      <patternFill patternType="solid">
        <fgColor theme="3"/>
        <bgColor indexed="64"/>
      </patternFill>
    </fill>
    <fill>
      <patternFill patternType="solid">
        <fgColor theme="4" tint="0.59999389629810485"/>
        <bgColor indexed="64"/>
      </patternFill>
    </fill>
    <fill>
      <patternFill patternType="solid">
        <fgColor theme="0"/>
        <bgColor indexed="64"/>
      </patternFill>
    </fill>
    <fill>
      <patternFill patternType="solid">
        <fgColor theme="3" tint="0.39997558519241921"/>
        <bgColor indexed="64"/>
      </patternFill>
    </fill>
    <fill>
      <patternFill patternType="solid">
        <fgColor theme="8" tint="0.79998168889431442"/>
        <bgColor indexed="64"/>
      </patternFill>
    </fill>
    <fill>
      <patternFill patternType="solid">
        <fgColor theme="0" tint="-4.9989318521683403E-2"/>
        <bgColor indexed="64"/>
      </patternFill>
    </fill>
    <fill>
      <patternFill patternType="solid">
        <fgColor theme="9" tint="0.79998168889431442"/>
        <bgColor indexed="64"/>
      </patternFill>
    </fill>
    <fill>
      <patternFill patternType="solid">
        <fgColor theme="4"/>
        <bgColor indexed="64"/>
      </patternFill>
    </fill>
    <fill>
      <patternFill patternType="solid">
        <fgColor theme="5" tint="0.79998168889431442"/>
        <bgColor indexed="64"/>
      </patternFill>
    </fill>
    <fill>
      <patternFill patternType="solid">
        <fgColor theme="3" tint="0.79998168889431442"/>
        <bgColor indexed="64"/>
      </patternFill>
    </fill>
    <fill>
      <patternFill patternType="solid">
        <fgColor rgb="FFFFFF00"/>
        <bgColor indexed="64"/>
      </patternFill>
    </fill>
    <fill>
      <patternFill patternType="solid">
        <fgColor theme="7" tint="0.79998168889431442"/>
        <bgColor indexed="64"/>
      </patternFill>
    </fill>
    <fill>
      <patternFill patternType="solid">
        <fgColor theme="4" tint="0.79998168889431442"/>
        <bgColor indexed="64"/>
      </patternFill>
    </fill>
    <fill>
      <patternFill patternType="solid">
        <fgColor theme="0" tint="-0.14999847407452621"/>
        <bgColor indexed="64"/>
      </patternFill>
    </fill>
    <fill>
      <patternFill patternType="solid">
        <fgColor theme="8" tint="0.59999389629810485"/>
        <bgColor indexed="64"/>
      </patternFill>
    </fill>
    <fill>
      <patternFill patternType="solid">
        <fgColor theme="2"/>
        <bgColor indexed="64"/>
      </patternFill>
    </fill>
    <fill>
      <patternFill patternType="solid">
        <fgColor rgb="FF00CC00"/>
        <bgColor indexed="64"/>
      </patternFill>
    </fill>
    <fill>
      <patternFill patternType="solid">
        <fgColor rgb="FF33CC33"/>
        <bgColor indexed="64"/>
      </patternFill>
    </fill>
    <fill>
      <patternFill patternType="solid">
        <fgColor theme="4" tint="0.39997558519241921"/>
        <bgColor indexed="64"/>
      </patternFill>
    </fill>
    <fill>
      <patternFill patternType="solid">
        <fgColor theme="8"/>
        <bgColor indexed="64"/>
      </patternFill>
    </fill>
    <fill>
      <patternFill patternType="solid">
        <fgColor theme="8" tint="0.79998168889431442"/>
        <bgColor rgb="FF000000"/>
      </patternFill>
    </fill>
    <fill>
      <patternFill patternType="solid">
        <fgColor theme="2" tint="-9.9978637043366805E-2"/>
        <bgColor indexed="64"/>
      </patternFill>
    </fill>
    <fill>
      <patternFill patternType="solid">
        <fgColor theme="6" tint="0.59999389629810485"/>
        <bgColor indexed="64"/>
      </patternFill>
    </fill>
    <fill>
      <patternFill patternType="solid">
        <fgColor rgb="FFFFFFCC"/>
        <bgColor indexed="64"/>
      </patternFill>
    </fill>
    <fill>
      <patternFill patternType="solid">
        <fgColor indexed="43"/>
        <bgColor indexed="64"/>
      </patternFill>
    </fill>
    <fill>
      <patternFill patternType="solid">
        <fgColor theme="9" tint="0.59999389629810485"/>
        <bgColor indexed="64"/>
      </patternFill>
    </fill>
    <fill>
      <patternFill patternType="solid">
        <fgColor theme="7" tint="0.59999389629810485"/>
        <bgColor indexed="64"/>
      </patternFill>
    </fill>
    <fill>
      <patternFill patternType="solid">
        <fgColor theme="0"/>
        <bgColor theme="0"/>
      </patternFill>
    </fill>
    <fill>
      <patternFill patternType="solid">
        <fgColor rgb="FFFF0000"/>
        <bgColor indexed="64"/>
      </patternFill>
    </fill>
    <fill>
      <patternFill patternType="solid">
        <fgColor rgb="FF538DD5"/>
        <bgColor indexed="64"/>
      </patternFill>
    </fill>
    <fill>
      <patternFill patternType="solid">
        <fgColor rgb="FFFFFFFF"/>
        <bgColor indexed="64"/>
      </patternFill>
    </fill>
    <fill>
      <patternFill patternType="solid">
        <fgColor theme="2" tint="-0.499984740745262"/>
        <bgColor indexed="64"/>
      </patternFill>
    </fill>
    <fill>
      <patternFill patternType="solid">
        <fgColor rgb="FFFFCC99"/>
        <bgColor indexed="64"/>
      </patternFill>
    </fill>
    <fill>
      <patternFill patternType="solid">
        <fgColor rgb="FF1F497D"/>
        <bgColor indexed="64"/>
      </patternFill>
    </fill>
    <fill>
      <patternFill patternType="solid">
        <fgColor rgb="FF4F81BD"/>
        <bgColor indexed="64"/>
      </patternFill>
    </fill>
    <fill>
      <patternFill patternType="solid">
        <fgColor rgb="FFB8CCE4"/>
        <bgColor indexed="64"/>
      </patternFill>
    </fill>
    <fill>
      <patternFill patternType="solid">
        <fgColor rgb="FF4472C4"/>
        <bgColor indexed="64"/>
      </patternFill>
    </fill>
    <fill>
      <patternFill patternType="solid">
        <fgColor rgb="FFBDD7EE"/>
        <bgColor indexed="64"/>
      </patternFill>
    </fill>
    <fill>
      <patternFill patternType="solid">
        <fgColor theme="1"/>
        <bgColor indexed="64"/>
      </patternFill>
    </fill>
    <fill>
      <patternFill patternType="solid">
        <fgColor theme="5" tint="0.39997558519241921"/>
        <bgColor indexed="64"/>
      </patternFill>
    </fill>
    <fill>
      <patternFill patternType="solid">
        <fgColor theme="6" tint="0.39997558519241921"/>
        <bgColor indexed="64"/>
      </patternFill>
    </fill>
    <fill>
      <patternFill patternType="solid">
        <fgColor theme="5" tint="0.59999389629810485"/>
        <bgColor indexed="64"/>
      </patternFill>
    </fill>
    <fill>
      <patternFill patternType="solid">
        <fgColor theme="0" tint="-0.249977111117893"/>
        <bgColor indexed="64"/>
      </patternFill>
    </fill>
    <fill>
      <patternFill patternType="solid">
        <fgColor rgb="FFD9D9D9"/>
        <bgColor rgb="FF000000"/>
      </patternFill>
    </fill>
    <fill>
      <patternFill patternType="solid">
        <fgColor rgb="FF363639"/>
      </patternFill>
    </fill>
    <fill>
      <patternFill patternType="solid">
        <fgColor rgb="FF92D050"/>
        <bgColor indexed="64"/>
      </patternFill>
    </fill>
    <fill>
      <patternFill patternType="solid">
        <fgColor rgb="FFFFFF99"/>
        <bgColor indexed="64"/>
      </patternFill>
    </fill>
    <fill>
      <patternFill patternType="solid">
        <fgColor rgb="FF812D1A"/>
        <bgColor indexed="64"/>
      </patternFill>
    </fill>
    <fill>
      <patternFill patternType="solid">
        <fgColor rgb="FFF15A25"/>
        <bgColor indexed="64"/>
      </patternFill>
    </fill>
    <fill>
      <patternFill patternType="solid">
        <fgColor rgb="FF038050"/>
        <bgColor indexed="64"/>
      </patternFill>
    </fill>
    <fill>
      <patternFill patternType="solid">
        <fgColor rgb="FF13A64F"/>
        <bgColor indexed="64"/>
      </patternFill>
    </fill>
    <fill>
      <patternFill patternType="solid">
        <fgColor rgb="FF70C066"/>
        <bgColor indexed="64"/>
      </patternFill>
    </fill>
    <fill>
      <patternFill patternType="solid">
        <fgColor rgb="FF007DC6"/>
        <bgColor indexed="64"/>
      </patternFill>
    </fill>
    <fill>
      <patternFill patternType="solid">
        <fgColor rgb="FF6C2C89"/>
        <bgColor indexed="64"/>
      </patternFill>
    </fill>
    <fill>
      <patternFill patternType="solid">
        <fgColor rgb="FFB783BA"/>
        <bgColor indexed="64"/>
      </patternFill>
    </fill>
    <fill>
      <patternFill patternType="solid">
        <fgColor rgb="FFFAA61A"/>
        <bgColor indexed="64"/>
      </patternFill>
    </fill>
    <fill>
      <patternFill patternType="solid">
        <fgColor theme="6" tint="0.79998168889431442"/>
        <bgColor indexed="64"/>
      </patternFill>
    </fill>
    <fill>
      <patternFill patternType="solid">
        <fgColor theme="0" tint="-0.14996795556505021"/>
        <bgColor indexed="64"/>
      </patternFill>
    </fill>
  </fills>
  <borders count="70">
    <border>
      <left/>
      <right/>
      <top/>
      <bottom/>
      <diagonal/>
    </border>
    <border>
      <left style="thin">
        <color theme="3" tint="0.39985351115451523"/>
      </left>
      <right style="thin">
        <color theme="3" tint="0.39985351115451523"/>
      </right>
      <top style="thin">
        <color theme="3" tint="0.39985351115451523"/>
      </top>
      <bottom style="thin">
        <color theme="3" tint="0.39985351115451523"/>
      </bottom>
      <diagonal/>
    </border>
    <border>
      <left/>
      <right/>
      <top/>
      <bottom style="thin">
        <color indexed="64"/>
      </bottom>
      <diagonal/>
    </border>
    <border>
      <left style="thin">
        <color theme="4" tint="0.39994506668294322"/>
      </left>
      <right style="thin">
        <color theme="4" tint="0.39994506668294322"/>
      </right>
      <top style="thin">
        <color theme="4" tint="0.39994506668294322"/>
      </top>
      <bottom style="thin">
        <color theme="4" tint="0.39994506668294322"/>
      </bottom>
      <diagonal/>
    </border>
    <border>
      <left/>
      <right style="thin">
        <color theme="0"/>
      </right>
      <top style="thin">
        <color theme="0"/>
      </top>
      <bottom style="thin">
        <color theme="0"/>
      </bottom>
      <diagonal/>
    </border>
    <border>
      <left/>
      <right style="thin">
        <color theme="3" tint="0.39994506668294322"/>
      </right>
      <top style="thin">
        <color theme="3" tint="0.39994506668294322"/>
      </top>
      <bottom style="thin">
        <color theme="3" tint="0.39994506668294322"/>
      </bottom>
      <diagonal/>
    </border>
    <border>
      <left style="thin">
        <color theme="3" tint="0.39994506668294322"/>
      </left>
      <right style="thin">
        <color theme="3" tint="0.39994506668294322"/>
      </right>
      <top style="thin">
        <color theme="3" tint="0.39994506668294322"/>
      </top>
      <bottom style="thin">
        <color theme="3" tint="0.39994506668294322"/>
      </bottom>
      <diagonal/>
    </border>
    <border>
      <left style="thin">
        <color theme="0"/>
      </left>
      <right style="thin">
        <color theme="0"/>
      </right>
      <top style="thin">
        <color theme="0"/>
      </top>
      <bottom style="thin">
        <color theme="0"/>
      </bottom>
      <diagonal/>
    </border>
    <border>
      <left style="thin">
        <color theme="4" tint="0.39988402966399123"/>
      </left>
      <right style="thin">
        <color theme="4" tint="0.39988402966399123"/>
      </right>
      <top style="thin">
        <color theme="4" tint="0.39988402966399123"/>
      </top>
      <bottom style="thin">
        <color theme="4" tint="0.39988402966399123"/>
      </bottom>
      <diagonal/>
    </border>
    <border>
      <left style="thin">
        <color rgb="FFB2B2B2"/>
      </left>
      <right style="thin">
        <color rgb="FFB2B2B2"/>
      </right>
      <top style="thin">
        <color rgb="FFB2B2B2"/>
      </top>
      <bottom style="thin">
        <color rgb="FFB2B2B2"/>
      </bottom>
      <diagonal/>
    </border>
    <border>
      <left style="thin">
        <color theme="4" tint="0.39991454817346722"/>
      </left>
      <right style="thin">
        <color theme="4" tint="0.39991454817346722"/>
      </right>
      <top style="thin">
        <color theme="4" tint="0.39991454817346722"/>
      </top>
      <bottom style="thin">
        <color theme="4" tint="0.39991454817346722"/>
      </bottom>
      <diagonal/>
    </border>
    <border>
      <left style="medium">
        <color auto="1"/>
      </left>
      <right/>
      <top style="medium">
        <color auto="1"/>
      </top>
      <bottom/>
      <diagonal/>
    </border>
    <border>
      <left/>
      <right/>
      <top style="medium">
        <color auto="1"/>
      </top>
      <bottom/>
      <diagonal/>
    </border>
    <border>
      <left/>
      <right style="medium">
        <color auto="1"/>
      </right>
      <top style="medium">
        <color auto="1"/>
      </top>
      <bottom/>
      <diagonal/>
    </border>
    <border>
      <left style="medium">
        <color auto="1"/>
      </left>
      <right/>
      <top/>
      <bottom/>
      <diagonal/>
    </border>
    <border>
      <left/>
      <right style="medium">
        <color auto="1"/>
      </right>
      <top/>
      <bottom/>
      <diagonal/>
    </border>
    <border>
      <left style="thin">
        <color rgb="FF0B87D6"/>
      </left>
      <right style="thin">
        <color rgb="FF0B87D6"/>
      </right>
      <top style="thin">
        <color rgb="FF0B87D6"/>
      </top>
      <bottom style="thin">
        <color rgb="FF0B87D6"/>
      </bottom>
      <diagonal/>
    </border>
    <border>
      <left style="medium">
        <color auto="1"/>
      </left>
      <right/>
      <top/>
      <bottom style="medium">
        <color auto="1"/>
      </bottom>
      <diagonal/>
    </border>
    <border>
      <left/>
      <right/>
      <top/>
      <bottom style="medium">
        <color auto="1"/>
      </bottom>
      <diagonal/>
    </border>
    <border>
      <left/>
      <right style="medium">
        <color auto="1"/>
      </right>
      <top/>
      <bottom style="medium">
        <color auto="1"/>
      </bottom>
      <diagonal/>
    </border>
    <border>
      <left/>
      <right style="thin">
        <color auto="1"/>
      </right>
      <top style="thin">
        <color auto="1"/>
      </top>
      <bottom style="thin">
        <color auto="1"/>
      </bottom>
      <diagonal/>
    </border>
    <border>
      <left style="thin">
        <color rgb="FF538DD5"/>
      </left>
      <right style="thin">
        <color rgb="FF538DD5"/>
      </right>
      <top style="thin">
        <color rgb="FF538DD5"/>
      </top>
      <bottom style="thin">
        <color rgb="FF538DD5"/>
      </bottom>
      <diagonal/>
    </border>
    <border>
      <left style="thin">
        <color rgb="FF538DD5"/>
      </left>
      <right/>
      <top style="thin">
        <color rgb="FF538DD5"/>
      </top>
      <bottom style="thin">
        <color rgb="FF538DD5"/>
      </bottom>
      <diagonal/>
    </border>
    <border>
      <left/>
      <right style="thin">
        <color rgb="FF538DD5"/>
      </right>
      <top style="thin">
        <color rgb="FF538DD5"/>
      </top>
      <bottom style="thin">
        <color rgb="FF538DD5"/>
      </bottom>
      <diagonal/>
    </border>
    <border>
      <left/>
      <right/>
      <top style="thin">
        <color rgb="FF538DD5"/>
      </top>
      <bottom style="thin">
        <color rgb="FF538DD5"/>
      </bottom>
      <diagonal/>
    </border>
    <border>
      <left/>
      <right/>
      <top style="thin">
        <color rgb="FF538DD5"/>
      </top>
      <bottom/>
      <diagonal/>
    </border>
    <border>
      <left style="thin">
        <color rgb="FF538DD5"/>
      </left>
      <right style="thin">
        <color rgb="FF538DD5"/>
      </right>
      <top style="thin">
        <color rgb="FF538DD5"/>
      </top>
      <bottom/>
      <diagonal/>
    </border>
    <border>
      <left style="thin">
        <color rgb="FF538DD5"/>
      </left>
      <right style="thin">
        <color rgb="FF538DD5"/>
      </right>
      <top/>
      <bottom/>
      <diagonal/>
    </border>
    <border>
      <left style="thin">
        <color rgb="FF538DD5"/>
      </left>
      <right style="thin">
        <color rgb="FF538DD5"/>
      </right>
      <top/>
      <bottom style="thin">
        <color rgb="FF538DD5"/>
      </bottom>
      <diagonal/>
    </border>
    <border>
      <left style="thin">
        <color theme="4" tint="0.39994506668294322"/>
      </left>
      <right/>
      <top style="thin">
        <color theme="4" tint="0.39994506668294322"/>
      </top>
      <bottom/>
      <diagonal/>
    </border>
    <border>
      <left/>
      <right/>
      <top style="thin">
        <color theme="4" tint="0.39994506668294322"/>
      </top>
      <bottom/>
      <diagonal/>
    </border>
    <border>
      <left/>
      <right style="thin">
        <color theme="4" tint="0.39994506668294322"/>
      </right>
      <top style="thin">
        <color theme="4" tint="0.39994506668294322"/>
      </top>
      <bottom/>
      <diagonal/>
    </border>
    <border>
      <left style="thin">
        <color theme="4" tint="0.39994506668294322"/>
      </left>
      <right/>
      <top/>
      <bottom style="thin">
        <color theme="4" tint="0.39994506668294322"/>
      </bottom>
      <diagonal/>
    </border>
    <border>
      <left/>
      <right/>
      <top/>
      <bottom style="thin">
        <color theme="4" tint="0.39994506668294322"/>
      </bottom>
      <diagonal/>
    </border>
    <border>
      <left/>
      <right style="thin">
        <color theme="4" tint="0.39994506668294322"/>
      </right>
      <top/>
      <bottom style="thin">
        <color theme="4" tint="0.39994506668294322"/>
      </bottom>
      <diagonal/>
    </border>
    <border>
      <left style="thin">
        <color theme="4" tint="0.39994506668294322"/>
      </left>
      <right/>
      <top style="thin">
        <color theme="4" tint="0.39994506668294322"/>
      </top>
      <bottom style="thin">
        <color theme="4" tint="0.39994506668294322"/>
      </bottom>
      <diagonal/>
    </border>
    <border>
      <left style="thin">
        <color rgb="FF0B87D6"/>
      </left>
      <right style="thin">
        <color rgb="FF0B87D6"/>
      </right>
      <top/>
      <bottom style="thin">
        <color rgb="FF0B87D6"/>
      </bottom>
      <diagonal/>
    </border>
    <border>
      <left/>
      <right style="thin">
        <color rgb="FF0B87D6"/>
      </right>
      <top style="thin">
        <color rgb="FF0B87D6"/>
      </top>
      <bottom style="thin">
        <color rgb="FF0B87D6"/>
      </bottom>
      <diagonal/>
    </border>
    <border>
      <left/>
      <right/>
      <top style="thin">
        <color theme="4" tint="0.39994506668294322"/>
      </top>
      <bottom style="thin">
        <color theme="4" tint="0.39994506668294322"/>
      </bottom>
      <diagonal/>
    </border>
    <border>
      <left/>
      <right style="thin">
        <color theme="4" tint="0.39994506668294322"/>
      </right>
      <top style="thin">
        <color theme="4" tint="0.39994506668294322"/>
      </top>
      <bottom style="thin">
        <color theme="4" tint="0.39994506668294322"/>
      </bottom>
      <diagonal/>
    </border>
    <border>
      <left style="thin">
        <color theme="4" tint="0.39994506668294322"/>
      </left>
      <right style="thin">
        <color theme="4" tint="0.39994506668294322"/>
      </right>
      <top style="thin">
        <color theme="4" tint="0.39994506668294322"/>
      </top>
      <bottom/>
      <diagonal/>
    </border>
    <border>
      <left style="thin">
        <color indexed="64"/>
      </left>
      <right style="thin">
        <color indexed="64"/>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right style="thin">
        <color indexed="64"/>
      </right>
      <top style="medium">
        <color indexed="64"/>
      </top>
      <bottom style="thin">
        <color indexed="64"/>
      </bottom>
      <diagonal/>
    </border>
    <border>
      <left style="medium">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right style="medium">
        <color indexed="64"/>
      </right>
      <top style="thin">
        <color indexed="64"/>
      </top>
      <bottom style="medium">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auto="1"/>
      </left>
      <right style="thin">
        <color auto="1"/>
      </right>
      <top/>
      <bottom style="thin">
        <color auto="1"/>
      </bottom>
      <diagonal/>
    </border>
    <border>
      <left style="thin">
        <color rgb="FF538DD5"/>
      </left>
      <right/>
      <top style="thin">
        <color rgb="FF538DD5"/>
      </top>
      <bottom style="thin">
        <color indexed="64"/>
      </bottom>
      <diagonal/>
    </border>
    <border>
      <left/>
      <right/>
      <top style="thin">
        <color rgb="FF538DD5"/>
      </top>
      <bottom style="thin">
        <color indexed="64"/>
      </bottom>
      <diagonal/>
    </border>
    <border>
      <left style="thin">
        <color theme="4" tint="0.39994506668294322"/>
      </left>
      <right/>
      <top/>
      <bottom/>
      <diagonal/>
    </border>
    <border>
      <left/>
      <right style="thin">
        <color theme="4" tint="0.39994506668294322"/>
      </right>
      <top/>
      <bottom/>
      <diagonal/>
    </border>
    <border>
      <left style="thin">
        <color auto="1"/>
      </left>
      <right/>
      <top style="thin">
        <color auto="1"/>
      </top>
      <bottom/>
      <diagonal/>
    </border>
    <border>
      <left/>
      <right style="thin">
        <color auto="1"/>
      </right>
      <top style="thin">
        <color auto="1"/>
      </top>
      <bottom/>
      <diagonal/>
    </border>
    <border>
      <left style="thin">
        <color auto="1"/>
      </left>
      <right/>
      <top/>
      <bottom style="thin">
        <color auto="1"/>
      </bottom>
      <diagonal/>
    </border>
    <border>
      <left/>
      <right style="thin">
        <color auto="1"/>
      </right>
      <top/>
      <bottom style="thin">
        <color auto="1"/>
      </bottom>
      <diagonal/>
    </border>
    <border>
      <left style="thin">
        <color theme="4" tint="0.39994506668294322"/>
      </left>
      <right/>
      <top style="thin">
        <color theme="4" tint="0.39994506668294322"/>
      </top>
      <bottom style="thin">
        <color indexed="64"/>
      </bottom>
      <diagonal/>
    </border>
    <border>
      <left/>
      <right/>
      <top style="thin">
        <color theme="4" tint="0.39994506668294322"/>
      </top>
      <bottom style="thin">
        <color indexed="64"/>
      </bottom>
      <diagonal/>
    </border>
    <border>
      <left/>
      <right style="thin">
        <color indexed="64"/>
      </right>
      <top style="thin">
        <color theme="4" tint="0.39994506668294322"/>
      </top>
      <bottom style="thin">
        <color indexed="64"/>
      </bottom>
      <diagonal/>
    </border>
    <border>
      <left style="thin">
        <color auto="1"/>
      </left>
      <right/>
      <top style="thin">
        <color auto="1"/>
      </top>
      <bottom style="thin">
        <color auto="1"/>
      </bottom>
      <diagonal/>
    </border>
    <border>
      <left/>
      <right/>
      <top style="thin">
        <color auto="1"/>
      </top>
      <bottom style="thin">
        <color auto="1"/>
      </bottom>
      <diagonal/>
    </border>
    <border>
      <left style="thin">
        <color indexed="64"/>
      </left>
      <right style="thin">
        <color auto="1"/>
      </right>
      <top style="thin">
        <color indexed="64"/>
      </top>
      <bottom style="dotted">
        <color indexed="64"/>
      </bottom>
      <diagonal/>
    </border>
    <border>
      <left style="thin">
        <color indexed="64"/>
      </left>
      <right style="thin">
        <color auto="1"/>
      </right>
      <top style="dotted">
        <color indexed="64"/>
      </top>
      <bottom style="dotted">
        <color indexed="64"/>
      </bottom>
      <diagonal/>
    </border>
    <border>
      <left style="thin">
        <color indexed="64"/>
      </left>
      <right style="thin">
        <color auto="1"/>
      </right>
      <top style="dotted">
        <color indexed="64"/>
      </top>
      <bottom style="thin">
        <color indexed="64"/>
      </bottom>
      <diagonal/>
    </border>
  </borders>
  <cellStyleXfs count="1947">
    <xf numFmtId="0" fontId="0" fillId="0" borderId="0"/>
    <xf numFmtId="0" fontId="1" fillId="0" borderId="0"/>
    <xf numFmtId="0" fontId="4" fillId="0" borderId="0"/>
    <xf numFmtId="0" fontId="9" fillId="0" borderId="0" applyNumberFormat="0" applyFill="0" applyBorder="0" applyAlignment="0" applyProtection="0"/>
    <xf numFmtId="0" fontId="11" fillId="0" borderId="0" applyBorder="0"/>
    <xf numFmtId="0" fontId="4" fillId="0" borderId="0"/>
    <xf numFmtId="0" fontId="1" fillId="0" borderId="0"/>
    <xf numFmtId="0" fontId="1" fillId="0" borderId="0"/>
    <xf numFmtId="0" fontId="4" fillId="0" borderId="0"/>
    <xf numFmtId="0" fontId="1" fillId="0" borderId="0"/>
    <xf numFmtId="0" fontId="19" fillId="0" borderId="0"/>
    <xf numFmtId="0" fontId="21" fillId="0" borderId="0"/>
    <xf numFmtId="0" fontId="1" fillId="0" borderId="0"/>
    <xf numFmtId="0" fontId="1" fillId="0" borderId="0"/>
    <xf numFmtId="0" fontId="1" fillId="0" borderId="0"/>
    <xf numFmtId="164" fontId="1" fillId="0" borderId="0" applyFont="0" applyFill="0" applyBorder="0" applyAlignment="0" applyProtection="0"/>
    <xf numFmtId="0" fontId="1" fillId="0" borderId="0"/>
    <xf numFmtId="0" fontId="1" fillId="0" borderId="0"/>
    <xf numFmtId="0" fontId="1" fillId="0" borderId="0"/>
    <xf numFmtId="164"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164" fontId="1" fillId="0" borderId="0" applyFont="0" applyFill="0" applyBorder="0" applyAlignment="0" applyProtection="0"/>
    <xf numFmtId="0" fontId="1" fillId="0" borderId="0"/>
    <xf numFmtId="0" fontId="1" fillId="0" borderId="0"/>
    <xf numFmtId="164" fontId="4" fillId="0" borderId="0" applyFont="0" applyFill="0" applyBorder="0" applyAlignment="0" applyProtection="0"/>
    <xf numFmtId="164"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167" fontId="24"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164"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164" fontId="1" fillId="0" borderId="0" applyFont="0" applyFill="0" applyBorder="0" applyAlignment="0" applyProtection="0"/>
    <xf numFmtId="0" fontId="1" fillId="0" borderId="0"/>
    <xf numFmtId="0" fontId="4" fillId="0" borderId="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164" fontId="1" fillId="0" borderId="0" applyFont="0" applyFill="0" applyBorder="0" applyAlignment="0" applyProtection="0"/>
    <xf numFmtId="0" fontId="1" fillId="0" borderId="0"/>
    <xf numFmtId="164" fontId="4" fillId="0" borderId="0" applyFont="0" applyFill="0" applyBorder="0" applyAlignment="0" applyProtection="0"/>
    <xf numFmtId="164" fontId="1" fillId="0" borderId="0" applyFont="0" applyFill="0" applyBorder="0" applyAlignment="0" applyProtection="0"/>
    <xf numFmtId="0" fontId="1" fillId="0" borderId="0"/>
    <xf numFmtId="0" fontId="26" fillId="0" borderId="0" applyNumberFormat="0" applyFill="0" applyBorder="0" applyAlignment="0" applyProtection="0">
      <alignment vertical="top"/>
      <protection locked="0"/>
    </xf>
    <xf numFmtId="0" fontId="1" fillId="0" borderId="0"/>
    <xf numFmtId="0" fontId="1" fillId="0" borderId="0"/>
    <xf numFmtId="0" fontId="1" fillId="0" borderId="0"/>
    <xf numFmtId="0" fontId="23" fillId="0" borderId="0" applyNumberFormat="0" applyFill="0" applyBorder="0" applyAlignment="0" applyProtection="0">
      <alignment vertical="top"/>
      <protection locked="0"/>
    </xf>
    <xf numFmtId="0" fontId="1" fillId="0" borderId="0"/>
    <xf numFmtId="0" fontId="1" fillId="0" borderId="0"/>
    <xf numFmtId="0" fontId="1" fillId="0" borderId="0"/>
    <xf numFmtId="0" fontId="1" fillId="0" borderId="0"/>
    <xf numFmtId="0" fontId="9" fillId="0" borderId="0" applyNumberFormat="0" applyFill="0" applyBorder="0" applyAlignment="0" applyProtection="0"/>
    <xf numFmtId="0" fontId="1" fillId="0" borderId="0"/>
    <xf numFmtId="0" fontId="1" fillId="0" borderId="0"/>
    <xf numFmtId="0" fontId="1" fillId="0" borderId="0"/>
    <xf numFmtId="0" fontId="9" fillId="0" borderId="0" applyNumberFormat="0" applyFill="0" applyBorder="0" applyAlignment="0" applyProtection="0"/>
    <xf numFmtId="0" fontId="1" fillId="0" borderId="0"/>
    <xf numFmtId="0" fontId="25" fillId="26" borderId="0" applyNumberFormat="0" applyBorder="0" applyAlignment="0" applyProtection="0">
      <alignment vertical="center"/>
    </xf>
    <xf numFmtId="0" fontId="1" fillId="0" borderId="0"/>
    <xf numFmtId="0" fontId="1" fillId="0" borderId="0"/>
    <xf numFmtId="167" fontId="24" fillId="0" borderId="0"/>
    <xf numFmtId="0" fontId="1" fillId="0" borderId="0"/>
    <xf numFmtId="0" fontId="1" fillId="0" borderId="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4" fillId="0" borderId="0" applyFont="0" applyFill="0" applyBorder="0" applyAlignment="0" applyProtection="0"/>
    <xf numFmtId="164" fontId="1" fillId="0" borderId="0" applyFont="0" applyFill="0" applyBorder="0" applyAlignment="0" applyProtection="0"/>
    <xf numFmtId="164" fontId="4" fillId="0" borderId="0" applyFont="0" applyFill="0" applyBorder="0" applyAlignment="0" applyProtection="0"/>
    <xf numFmtId="164" fontId="1" fillId="0" borderId="0" applyFont="0" applyFill="0" applyBorder="0" applyAlignment="0" applyProtection="0"/>
    <xf numFmtId="0" fontId="1" fillId="0" borderId="0"/>
    <xf numFmtId="0" fontId="1" fillId="0" borderId="0"/>
    <xf numFmtId="0" fontId="4" fillId="0" borderId="0"/>
    <xf numFmtId="164" fontId="1" fillId="0" borderId="0" applyFont="0" applyFill="0" applyBorder="0" applyAlignment="0" applyProtection="0"/>
    <xf numFmtId="0" fontId="1" fillId="0" borderId="0"/>
    <xf numFmtId="0" fontId="1" fillId="0" borderId="0"/>
    <xf numFmtId="164" fontId="1" fillId="0" borderId="0" applyFont="0" applyFill="0" applyBorder="0" applyAlignment="0" applyProtection="0"/>
    <xf numFmtId="0" fontId="1" fillId="0" borderId="0"/>
    <xf numFmtId="0" fontId="1" fillId="0" borderId="0"/>
    <xf numFmtId="0" fontId="1" fillId="0" borderId="0"/>
    <xf numFmtId="167" fontId="24" fillId="0" borderId="0"/>
    <xf numFmtId="0" fontId="1" fillId="0" borderId="0"/>
    <xf numFmtId="164" fontId="4" fillId="0" borderId="0" applyFont="0" applyFill="0" applyBorder="0" applyAlignment="0" applyProtection="0"/>
    <xf numFmtId="164" fontId="4"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0" fontId="1" fillId="0" borderId="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0" fontId="1" fillId="0" borderId="0"/>
    <xf numFmtId="0" fontId="1" fillId="0" borderId="0"/>
    <xf numFmtId="164" fontId="1" fillId="0" borderId="0" applyFont="0" applyFill="0" applyBorder="0" applyAlignment="0" applyProtection="0"/>
    <xf numFmtId="0" fontId="1" fillId="0" borderId="0"/>
    <xf numFmtId="0" fontId="1" fillId="0" borderId="0"/>
    <xf numFmtId="164" fontId="1" fillId="0" borderId="0" applyFont="0" applyFill="0" applyBorder="0" applyAlignment="0" applyProtection="0"/>
    <xf numFmtId="0" fontId="1" fillId="0" borderId="0"/>
    <xf numFmtId="0" fontId="1" fillId="0" borderId="0"/>
    <xf numFmtId="0" fontId="1" fillId="0" borderId="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0" fontId="1" fillId="0" borderId="0"/>
    <xf numFmtId="164" fontId="1" fillId="0" borderId="0" applyFont="0" applyFill="0" applyBorder="0" applyAlignment="0" applyProtection="0"/>
    <xf numFmtId="0" fontId="1" fillId="0" borderId="0"/>
    <xf numFmtId="0" fontId="1" fillId="0" borderId="0"/>
    <xf numFmtId="0" fontId="1" fillId="0" borderId="0"/>
    <xf numFmtId="0" fontId="1" fillId="0" borderId="0"/>
    <xf numFmtId="164" fontId="1" fillId="0" borderId="0" applyFont="0" applyFill="0" applyBorder="0" applyAlignment="0" applyProtection="0"/>
    <xf numFmtId="0" fontId="1" fillId="0" borderId="0"/>
    <xf numFmtId="0" fontId="26" fillId="0" borderId="0" applyNumberFormat="0" applyFill="0" applyBorder="0" applyAlignment="0" applyProtection="0">
      <alignment vertical="top"/>
      <protection locked="0"/>
    </xf>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0" fontId="4" fillId="0" borderId="0"/>
    <xf numFmtId="164" fontId="1" fillId="0" borderId="0" applyFont="0" applyFill="0" applyBorder="0" applyAlignment="0" applyProtection="0"/>
    <xf numFmtId="0" fontId="1" fillId="0" borderId="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9" fontId="1" fillId="0" borderId="0" applyFont="0" applyFill="0" applyBorder="0" applyAlignment="0" applyProtection="0"/>
    <xf numFmtId="0" fontId="1" fillId="0" borderId="0"/>
    <xf numFmtId="0" fontId="23" fillId="0" borderId="0" applyNumberFormat="0" applyFill="0" applyBorder="0" applyAlignment="0" applyProtection="0">
      <alignment vertical="top"/>
      <protection locked="0"/>
    </xf>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9" fontId="1" fillId="0" borderId="0" applyFont="0" applyFill="0" applyBorder="0" applyAlignment="0" applyProtection="0"/>
    <xf numFmtId="0" fontId="9" fillId="0" borderId="0" applyNumberFormat="0" applyFill="0" applyBorder="0" applyAlignment="0" applyProtection="0"/>
    <xf numFmtId="164" fontId="1" fillId="0" borderId="0" applyFont="0" applyFill="0" applyBorder="0" applyAlignment="0" applyProtection="0"/>
    <xf numFmtId="0" fontId="21" fillId="0" borderId="0"/>
    <xf numFmtId="164" fontId="1" fillId="0" borderId="0" applyFont="0" applyFill="0" applyBorder="0" applyAlignment="0" applyProtection="0"/>
    <xf numFmtId="0" fontId="21" fillId="0" borderId="0"/>
    <xf numFmtId="164" fontId="1" fillId="0" borderId="0" applyFont="0" applyFill="0" applyBorder="0" applyAlignment="0" applyProtection="0"/>
    <xf numFmtId="0" fontId="1" fillId="0" borderId="0"/>
    <xf numFmtId="0" fontId="1" fillId="0" borderId="0"/>
    <xf numFmtId="164" fontId="1" fillId="0" borderId="0" applyFont="0" applyFill="0" applyBorder="0" applyAlignment="0" applyProtection="0"/>
    <xf numFmtId="0" fontId="21" fillId="0" borderId="0"/>
    <xf numFmtId="164" fontId="1" fillId="0" borderId="0" applyFont="0" applyFill="0" applyBorder="0" applyAlignment="0" applyProtection="0"/>
    <xf numFmtId="164" fontId="1" fillId="0" borderId="0" applyFont="0" applyFill="0" applyBorder="0" applyAlignment="0" applyProtection="0"/>
    <xf numFmtId="0" fontId="1" fillId="0" borderId="0"/>
    <xf numFmtId="0" fontId="1" fillId="0" borderId="0"/>
    <xf numFmtId="0" fontId="28" fillId="0" borderId="0">
      <alignment vertical="center"/>
    </xf>
    <xf numFmtId="0" fontId="1" fillId="0" borderId="0"/>
    <xf numFmtId="164" fontId="1" fillId="0" borderId="0" applyFont="0" applyFill="0" applyBorder="0" applyAlignment="0" applyProtection="0"/>
    <xf numFmtId="0" fontId="1" fillId="0" borderId="0"/>
    <xf numFmtId="0" fontId="26" fillId="0" borderId="0" applyNumberFormat="0" applyFill="0" applyBorder="0" applyAlignment="0" applyProtection="0">
      <alignment vertical="top"/>
      <protection locked="0"/>
    </xf>
    <xf numFmtId="0" fontId="1" fillId="0" borderId="0"/>
    <xf numFmtId="0" fontId="1" fillId="0" borderId="0"/>
    <xf numFmtId="0" fontId="26" fillId="0" borderId="0" applyNumberFormat="0" applyFill="0" applyBorder="0" applyAlignment="0" applyProtection="0">
      <alignment vertical="top"/>
      <protection locked="0"/>
    </xf>
    <xf numFmtId="0" fontId="1" fillId="0" borderId="0"/>
    <xf numFmtId="0" fontId="1" fillId="0" borderId="0"/>
    <xf numFmtId="0" fontId="19" fillId="0" borderId="0"/>
    <xf numFmtId="0" fontId="1" fillId="0" borderId="0"/>
    <xf numFmtId="0" fontId="26" fillId="0" borderId="0" applyNumberFormat="0" applyFill="0" applyBorder="0" applyAlignment="0" applyProtection="0">
      <alignment vertical="top"/>
      <protection locked="0"/>
    </xf>
    <xf numFmtId="0" fontId="1" fillId="0" borderId="0"/>
    <xf numFmtId="9" fontId="1" fillId="0" borderId="0" applyFont="0" applyFill="0" applyBorder="0" applyAlignment="0" applyProtection="0"/>
    <xf numFmtId="0" fontId="1" fillId="0" borderId="0"/>
    <xf numFmtId="0" fontId="23" fillId="0" borderId="0" applyNumberFormat="0" applyFill="0" applyBorder="0" applyAlignment="0" applyProtection="0">
      <alignment vertical="top"/>
      <protection locked="0"/>
    </xf>
    <xf numFmtId="0" fontId="1" fillId="0" borderId="0"/>
    <xf numFmtId="0" fontId="23" fillId="0" borderId="0" applyNumberFormat="0" applyFill="0" applyBorder="0" applyAlignment="0" applyProtection="0">
      <alignment vertical="top"/>
      <protection locked="0"/>
    </xf>
    <xf numFmtId="9" fontId="1" fillId="0" borderId="0" applyFont="0" applyFill="0" applyBorder="0" applyAlignment="0" applyProtection="0"/>
    <xf numFmtId="0" fontId="1" fillId="0" borderId="0"/>
    <xf numFmtId="0" fontId="23" fillId="0" borderId="0" applyNumberFormat="0" applyFill="0" applyBorder="0" applyAlignment="0" applyProtection="0">
      <alignment vertical="top"/>
      <protection locked="0"/>
    </xf>
    <xf numFmtId="9" fontId="1" fillId="0" borderId="0" applyFont="0" applyFill="0" applyBorder="0" applyAlignment="0" applyProtection="0"/>
    <xf numFmtId="0" fontId="1" fillId="0" borderId="0"/>
    <xf numFmtId="0" fontId="9" fillId="0" borderId="0" applyNumberFormat="0" applyFill="0" applyBorder="0" applyAlignment="0" applyProtection="0"/>
    <xf numFmtId="0" fontId="1" fillId="0" borderId="0"/>
    <xf numFmtId="0" fontId="1" fillId="0" borderId="0"/>
    <xf numFmtId="0" fontId="1" fillId="0" borderId="0"/>
    <xf numFmtId="0" fontId="9" fillId="0" borderId="0" applyNumberFormat="0" applyFill="0" applyBorder="0" applyAlignment="0" applyProtection="0"/>
    <xf numFmtId="0" fontId="1" fillId="0" borderId="0"/>
    <xf numFmtId="9" fontId="1" fillId="0" borderId="0" applyFont="0" applyFill="0" applyBorder="0" applyAlignment="0" applyProtection="0"/>
    <xf numFmtId="0" fontId="1" fillId="0" borderId="0"/>
    <xf numFmtId="0" fontId="9" fillId="0" borderId="0" applyNumberFormat="0" applyFill="0" applyBorder="0" applyAlignment="0" applyProtection="0"/>
    <xf numFmtId="0" fontId="1" fillId="0" borderId="0"/>
    <xf numFmtId="0" fontId="1" fillId="0" borderId="0"/>
    <xf numFmtId="9" fontId="1" fillId="0" borderId="0" applyFont="0" applyFill="0" applyBorder="0" applyAlignment="0" applyProtection="0"/>
    <xf numFmtId="9" fontId="1" fillId="0" borderId="0" applyFont="0" applyFill="0" applyBorder="0" applyAlignment="0" applyProtection="0"/>
    <xf numFmtId="0" fontId="1" fillId="0" borderId="0"/>
    <xf numFmtId="0" fontId="9" fillId="0" borderId="0" applyNumberFormat="0" applyFill="0" applyBorder="0" applyAlignment="0" applyProtection="0"/>
    <xf numFmtId="0" fontId="1" fillId="0" borderId="0"/>
    <xf numFmtId="0" fontId="1" fillId="0" borderId="0"/>
    <xf numFmtId="0" fontId="1" fillId="0" borderId="0"/>
    <xf numFmtId="0" fontId="9" fillId="0" borderId="0" applyNumberFormat="0" applyFill="0" applyBorder="0" applyAlignment="0" applyProtection="0"/>
    <xf numFmtId="0" fontId="1" fillId="0" borderId="0"/>
    <xf numFmtId="0" fontId="9" fillId="0" borderId="0" applyNumberForma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4" fillId="0" borderId="0"/>
    <xf numFmtId="0" fontId="1" fillId="0" borderId="0"/>
    <xf numFmtId="0" fontId="1" fillId="0" borderId="0"/>
    <xf numFmtId="0" fontId="1" fillId="0" borderId="0"/>
    <xf numFmtId="0" fontId="1" fillId="0" borderId="0"/>
    <xf numFmtId="0" fontId="1" fillId="0" borderId="0"/>
    <xf numFmtId="0" fontId="28" fillId="0" borderId="0">
      <alignment vertical="center"/>
    </xf>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4" fillId="0" borderId="0"/>
    <xf numFmtId="0" fontId="1" fillId="0" borderId="0"/>
    <xf numFmtId="0" fontId="1" fillId="0" borderId="0"/>
    <xf numFmtId="0" fontId="1" fillId="0" borderId="0"/>
    <xf numFmtId="0" fontId="1" fillId="0" borderId="0"/>
    <xf numFmtId="0" fontId="1" fillId="0" borderId="0"/>
    <xf numFmtId="0" fontId="19" fillId="0" borderId="0"/>
    <xf numFmtId="0" fontId="1" fillId="0" borderId="0"/>
    <xf numFmtId="0" fontId="1" fillId="0" borderId="0"/>
    <xf numFmtId="0" fontId="1" fillId="0" borderId="0"/>
    <xf numFmtId="0" fontId="4" fillId="0" borderId="0"/>
    <xf numFmtId="0" fontId="1" fillId="0" borderId="0"/>
    <xf numFmtId="0" fontId="1" fillId="0" borderId="0"/>
    <xf numFmtId="0" fontId="1" fillId="0" borderId="0"/>
    <xf numFmtId="0" fontId="1" fillId="0" borderId="0"/>
    <xf numFmtId="0" fontId="4" fillId="0" borderId="0"/>
    <xf numFmtId="0" fontId="1" fillId="0" borderId="0"/>
    <xf numFmtId="0" fontId="4" fillId="0" borderId="0"/>
    <xf numFmtId="0" fontId="1" fillId="0" borderId="0"/>
    <xf numFmtId="0" fontId="22" fillId="0" borderId="0"/>
    <xf numFmtId="0" fontId="22" fillId="0" borderId="0"/>
    <xf numFmtId="0" fontId="22" fillId="0" borderId="0"/>
    <xf numFmtId="0" fontId="22" fillId="0" borderId="0"/>
    <xf numFmtId="0" fontId="4" fillId="0" borderId="0"/>
    <xf numFmtId="0" fontId="22"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28" fillId="0" borderId="0">
      <alignment vertical="center"/>
    </xf>
    <xf numFmtId="0" fontId="1" fillId="0" borderId="0"/>
    <xf numFmtId="0" fontId="28" fillId="0" borderId="0">
      <alignment vertical="center"/>
    </xf>
    <xf numFmtId="0" fontId="1" fillId="0" borderId="0"/>
    <xf numFmtId="0" fontId="28" fillId="0" borderId="0">
      <alignment vertical="center"/>
    </xf>
    <xf numFmtId="0" fontId="19" fillId="0" borderId="0"/>
    <xf numFmtId="0" fontId="1" fillId="0" borderId="0"/>
    <xf numFmtId="0" fontId="1" fillId="0" borderId="0"/>
    <xf numFmtId="0" fontId="1" fillId="0" borderId="0"/>
    <xf numFmtId="0" fontId="1" fillId="0" borderId="0"/>
    <xf numFmtId="0" fontId="19" fillId="0" borderId="0"/>
    <xf numFmtId="0" fontId="1" fillId="0" borderId="0"/>
    <xf numFmtId="0" fontId="1" fillId="0" borderId="0"/>
    <xf numFmtId="0" fontId="1" fillId="0" borderId="0"/>
    <xf numFmtId="0" fontId="19" fillId="0" borderId="0"/>
    <xf numFmtId="0" fontId="1" fillId="0" borderId="0"/>
    <xf numFmtId="0" fontId="1" fillId="0" borderId="0"/>
    <xf numFmtId="0" fontId="1" fillId="0" borderId="0"/>
    <xf numFmtId="0" fontId="1" fillId="0" borderId="0"/>
    <xf numFmtId="0" fontId="1" fillId="0" borderId="0"/>
    <xf numFmtId="0" fontId="22"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4" fillId="0" borderId="0"/>
    <xf numFmtId="0" fontId="4" fillId="0" borderId="0"/>
    <xf numFmtId="0" fontId="4" fillId="0" borderId="0"/>
    <xf numFmtId="0" fontId="1" fillId="0" borderId="0"/>
    <xf numFmtId="0" fontId="1" fillId="0" borderId="0"/>
    <xf numFmtId="0" fontId="1" fillId="0" borderId="0"/>
    <xf numFmtId="0" fontId="4" fillId="0" borderId="0"/>
    <xf numFmtId="0" fontId="1" fillId="0" borderId="0"/>
    <xf numFmtId="0" fontId="4" fillId="0" borderId="0"/>
    <xf numFmtId="0" fontId="1" fillId="0" borderId="0"/>
    <xf numFmtId="0" fontId="1" fillId="0" borderId="0"/>
    <xf numFmtId="0" fontId="1" fillId="0" borderId="0"/>
    <xf numFmtId="0" fontId="4" fillId="0" borderId="0"/>
    <xf numFmtId="0" fontId="1" fillId="0" borderId="0"/>
    <xf numFmtId="0" fontId="4" fillId="0" borderId="0"/>
    <xf numFmtId="0" fontId="1" fillId="0" borderId="0"/>
    <xf numFmtId="0" fontId="4" fillId="0" borderId="0"/>
    <xf numFmtId="0" fontId="21" fillId="0" borderId="0"/>
    <xf numFmtId="0" fontId="4" fillId="0" borderId="0"/>
    <xf numFmtId="0" fontId="1" fillId="0" borderId="0"/>
    <xf numFmtId="0" fontId="1" fillId="0" borderId="0"/>
    <xf numFmtId="0" fontId="4" fillId="0" borderId="0"/>
    <xf numFmtId="0" fontId="1" fillId="0" borderId="0"/>
    <xf numFmtId="0" fontId="1" fillId="0" borderId="0"/>
    <xf numFmtId="0" fontId="4"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25" fillId="26" borderId="0" applyNumberFormat="0" applyBorder="0" applyAlignment="0" applyProtection="0">
      <alignment vertical="center"/>
    </xf>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5" borderId="9" applyNumberFormat="0" applyFont="0" applyAlignment="0" applyProtection="0"/>
    <xf numFmtId="9" fontId="1" fillId="0" borderId="0" applyFont="0" applyFill="0" applyBorder="0" applyAlignment="0" applyProtection="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5" borderId="9" applyNumberFormat="0" applyFont="0" applyAlignment="0" applyProtection="0"/>
    <xf numFmtId="9" fontId="1" fillId="0" borderId="0" applyFont="0" applyFill="0" applyBorder="0" applyAlignment="0" applyProtection="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25" borderId="9" applyNumberFormat="0" applyFont="0" applyAlignment="0" applyProtection="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30" fillId="0" borderId="0" applyNumberFormat="0" applyFill="0" applyBorder="0" applyAlignment="0" applyProtection="0">
      <alignment vertical="center"/>
    </xf>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4" fillId="0" borderId="0" applyFont="0" applyFill="0" applyBorder="0" applyAlignment="0" applyProtection="0"/>
    <xf numFmtId="0" fontId="1" fillId="0" borderId="0"/>
    <xf numFmtId="0" fontId="1" fillId="0" borderId="0"/>
    <xf numFmtId="0" fontId="1" fillId="0" borderId="0"/>
    <xf numFmtId="9" fontId="4"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5" borderId="9" applyNumberFormat="0" applyFont="0" applyAlignment="0" applyProtection="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27" fillId="0" borderId="0"/>
    <xf numFmtId="0" fontId="1" fillId="0" borderId="0"/>
    <xf numFmtId="0" fontId="1" fillId="0" borderId="0"/>
    <xf numFmtId="0" fontId="1" fillId="25" borderId="9" applyNumberFormat="0" applyFont="0" applyAlignment="0" applyProtection="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9" fontId="1" fillId="0" borderId="0" applyFont="0" applyFill="0" applyBorder="0" applyAlignment="0" applyProtection="0"/>
    <xf numFmtId="0" fontId="1" fillId="0" borderId="0"/>
    <xf numFmtId="9" fontId="1" fillId="0" borderId="0" applyFont="0" applyFill="0" applyBorder="0" applyAlignment="0" applyProtection="0"/>
    <xf numFmtId="0" fontId="1" fillId="0" borderId="0"/>
    <xf numFmtId="9" fontId="1" fillId="0" borderId="0" applyFont="0" applyFill="0" applyBorder="0" applyAlignment="0" applyProtection="0"/>
    <xf numFmtId="0" fontId="1" fillId="0" borderId="0"/>
    <xf numFmtId="9" fontId="1" fillId="0" borderId="0" applyFont="0" applyFill="0" applyBorder="0" applyAlignment="0" applyProtection="0"/>
    <xf numFmtId="9" fontId="1" fillId="0" borderId="0" applyFont="0" applyFill="0" applyBorder="0" applyAlignment="0" applyProtection="0"/>
    <xf numFmtId="0" fontId="1" fillId="0" borderId="0"/>
    <xf numFmtId="9" fontId="1" fillId="0" borderId="0" applyFont="0" applyFill="0" applyBorder="0" applyAlignment="0" applyProtection="0"/>
    <xf numFmtId="9" fontId="1" fillId="0" borderId="0" applyFont="0" applyFill="0" applyBorder="0" applyAlignment="0" applyProtection="0"/>
    <xf numFmtId="0" fontId="1" fillId="0" borderId="0"/>
    <xf numFmtId="0" fontId="1" fillId="0" borderId="0"/>
    <xf numFmtId="0" fontId="1" fillId="25" borderId="9" applyNumberFormat="0" applyFont="0" applyAlignment="0" applyProtection="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29" fillId="0" borderId="0">
      <alignment vertical="center"/>
    </xf>
    <xf numFmtId="0" fontId="1" fillId="0" borderId="0"/>
    <xf numFmtId="0" fontId="29" fillId="0" borderId="0">
      <alignment vertical="center"/>
    </xf>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0" borderId="0"/>
    <xf numFmtId="0" fontId="1" fillId="25" borderId="9" applyNumberFormat="0" applyFont="0" applyAlignment="0" applyProtection="0"/>
    <xf numFmtId="0" fontId="1" fillId="0" borderId="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9" fontId="22" fillId="0" borderId="0" applyFont="0" applyFill="0" applyBorder="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9" fontId="1" fillId="0" borderId="0" applyFont="0" applyFill="0" applyBorder="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0" borderId="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0" borderId="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9" fontId="4" fillId="0" borderId="0" applyFont="0" applyFill="0" applyBorder="0" applyAlignment="0" applyProtection="0"/>
    <xf numFmtId="9" fontId="4" fillId="0" borderId="0" applyFont="0" applyFill="0" applyBorder="0" applyAlignment="0" applyProtection="0"/>
    <xf numFmtId="9" fontId="4" fillId="0" borderId="0" applyFont="0" applyFill="0" applyBorder="0" applyAlignment="0" applyProtection="0"/>
    <xf numFmtId="9" fontId="4"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22" fillId="0" borderId="0" applyFont="0" applyFill="0" applyBorder="0" applyAlignment="0" applyProtection="0"/>
    <xf numFmtId="9" fontId="22" fillId="0" borderId="0" applyFont="0" applyFill="0" applyBorder="0" applyAlignment="0" applyProtection="0"/>
    <xf numFmtId="9" fontId="22" fillId="0" borderId="0" applyFont="0" applyFill="0" applyBorder="0" applyAlignment="0" applyProtection="0"/>
    <xf numFmtId="9" fontId="22"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0" fontId="21" fillId="0" borderId="0"/>
    <xf numFmtId="0" fontId="27" fillId="0" borderId="0"/>
    <xf numFmtId="0" fontId="29" fillId="0" borderId="0">
      <alignment vertical="center"/>
    </xf>
    <xf numFmtId="0" fontId="29" fillId="0" borderId="0">
      <alignment vertical="center"/>
    </xf>
    <xf numFmtId="0" fontId="29" fillId="0" borderId="0">
      <alignment vertical="center"/>
    </xf>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22" fillId="0" borderId="0"/>
    <xf numFmtId="0" fontId="22" fillId="0" borderId="0"/>
    <xf numFmtId="0" fontId="22" fillId="0" borderId="0"/>
    <xf numFmtId="0" fontId="22" fillId="0" borderId="0"/>
    <xf numFmtId="0" fontId="30" fillId="0" borderId="0" applyNumberFormat="0" applyFill="0" applyBorder="0" applyAlignment="0" applyProtection="0">
      <alignment vertical="center"/>
    </xf>
    <xf numFmtId="0" fontId="30" fillId="0" borderId="0" applyNumberFormat="0" applyFill="0" applyBorder="0" applyAlignment="0" applyProtection="0">
      <alignment vertical="center"/>
    </xf>
    <xf numFmtId="0" fontId="30" fillId="0" borderId="0" applyNumberFormat="0" applyFill="0" applyBorder="0" applyAlignment="0" applyProtection="0">
      <alignment vertical="center"/>
    </xf>
    <xf numFmtId="0" fontId="25" fillId="26" borderId="0" applyNumberFormat="0" applyBorder="0" applyAlignment="0" applyProtection="0">
      <alignment vertical="center"/>
    </xf>
    <xf numFmtId="0" fontId="25" fillId="26" borderId="0" applyNumberFormat="0" applyBorder="0" applyAlignment="0" applyProtection="0">
      <alignment vertical="center"/>
    </xf>
    <xf numFmtId="0" fontId="19" fillId="0" borderId="0"/>
    <xf numFmtId="0" fontId="1" fillId="0" borderId="0"/>
    <xf numFmtId="0" fontId="48" fillId="0" borderId="0" applyNumberForma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4"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4"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4" fillId="0" borderId="0" applyFont="0" applyFill="0" applyBorder="0" applyAlignment="0" applyProtection="0"/>
    <xf numFmtId="164" fontId="1" fillId="0" borderId="0" applyFont="0" applyFill="0" applyBorder="0" applyAlignment="0" applyProtection="0"/>
    <xf numFmtId="164" fontId="4"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4" fillId="0" borderId="0" applyFont="0" applyFill="0" applyBorder="0" applyAlignment="0" applyProtection="0"/>
    <xf numFmtId="164" fontId="4"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cellStyleXfs>
  <cellXfs count="603">
    <xf numFmtId="0" fontId="0" fillId="0" borderId="0" xfId="0"/>
    <xf numFmtId="0" fontId="2" fillId="2" borderId="1" xfId="1" applyFont="1" applyFill="1" applyBorder="1" applyAlignment="1">
      <alignment horizontal="left" vertical="top"/>
    </xf>
    <xf numFmtId="0" fontId="3" fillId="3" borderId="1" xfId="1" applyFont="1" applyFill="1" applyBorder="1" applyAlignment="1">
      <alignment horizontal="left" vertical="center" wrapText="1"/>
    </xf>
    <xf numFmtId="49" fontId="5" fillId="4" borderId="1" xfId="2" applyNumberFormat="1" applyFont="1" applyFill="1" applyBorder="1" applyAlignment="1">
      <alignment horizontal="left" vertical="top" wrapText="1"/>
    </xf>
    <xf numFmtId="1" fontId="5" fillId="4" borderId="1" xfId="2" applyNumberFormat="1" applyFont="1" applyFill="1" applyBorder="1" applyAlignment="1">
      <alignment horizontal="left" vertical="top" wrapText="1"/>
    </xf>
    <xf numFmtId="0" fontId="2" fillId="5" borderId="1" xfId="1" applyFont="1" applyFill="1" applyBorder="1" applyAlignment="1">
      <alignment horizontal="left" vertical="top"/>
    </xf>
    <xf numFmtId="15" fontId="5" fillId="4" borderId="1" xfId="2" applyNumberFormat="1" applyFont="1" applyFill="1" applyBorder="1" applyAlignment="1">
      <alignment horizontal="left" vertical="top" wrapText="1"/>
    </xf>
    <xf numFmtId="0" fontId="2" fillId="5" borderId="1" xfId="1" applyFont="1" applyFill="1" applyBorder="1" applyAlignment="1">
      <alignment horizontal="left" vertical="top" wrapText="1"/>
    </xf>
    <xf numFmtId="0" fontId="0" fillId="4" borderId="0" xfId="0" applyFill="1"/>
    <xf numFmtId="0" fontId="9" fillId="0" borderId="0" xfId="3"/>
    <xf numFmtId="0" fontId="0" fillId="6" borderId="0" xfId="0" applyFill="1"/>
    <xf numFmtId="0" fontId="0" fillId="0" borderId="0" xfId="0" applyAlignment="1">
      <alignment horizontal="left" vertical="top" wrapText="1"/>
    </xf>
    <xf numFmtId="0" fontId="0" fillId="7" borderId="0" xfId="0" applyFill="1" applyAlignment="1">
      <alignment horizontal="left" vertical="top" wrapText="1"/>
    </xf>
    <xf numFmtId="0" fontId="0" fillId="8" borderId="0" xfId="0" applyFill="1" applyAlignment="1">
      <alignment horizontal="left" vertical="top" wrapText="1"/>
    </xf>
    <xf numFmtId="0" fontId="6" fillId="0" borderId="0" xfId="0" applyFont="1" applyAlignment="1">
      <alignment horizontal="left" vertical="top" wrapText="1"/>
    </xf>
    <xf numFmtId="0" fontId="10" fillId="9" borderId="0" xfId="0" applyFont="1" applyFill="1" applyAlignment="1">
      <alignment horizontal="left" vertical="top"/>
    </xf>
    <xf numFmtId="0" fontId="0" fillId="0" borderId="0" xfId="0" applyAlignment="1">
      <alignment horizontal="left" vertical="top"/>
    </xf>
    <xf numFmtId="0" fontId="10" fillId="9" borderId="0" xfId="0" applyFont="1" applyFill="1" applyAlignment="1">
      <alignment horizontal="left" vertical="top" wrapText="1"/>
    </xf>
    <xf numFmtId="0" fontId="0" fillId="10" borderId="0" xfId="0" applyFill="1"/>
    <xf numFmtId="0" fontId="0" fillId="10" borderId="0" xfId="0" applyFill="1" applyAlignment="1">
      <alignment horizontal="left" vertical="top" wrapText="1"/>
    </xf>
    <xf numFmtId="15" fontId="0" fillId="11" borderId="0" xfId="0" applyNumberFormat="1" applyFill="1" applyAlignment="1">
      <alignment horizontal="left" vertical="top" wrapText="1"/>
    </xf>
    <xf numFmtId="0" fontId="0" fillId="0" borderId="0" xfId="0" quotePrefix="1" applyAlignment="1">
      <alignment horizontal="left" vertical="top" wrapText="1"/>
    </xf>
    <xf numFmtId="15" fontId="2" fillId="5" borderId="1" xfId="1" applyNumberFormat="1" applyFont="1" applyFill="1" applyBorder="1" applyAlignment="1">
      <alignment horizontal="left" vertical="top"/>
    </xf>
    <xf numFmtId="0" fontId="13" fillId="0" borderId="1" xfId="1" applyFont="1" applyFill="1" applyBorder="1" applyAlignment="1">
      <alignment horizontal="left" vertical="top"/>
    </xf>
    <xf numFmtId="0" fontId="6" fillId="0" borderId="0" xfId="0" applyFont="1" applyAlignment="1">
      <alignment horizontal="left" vertical="top"/>
    </xf>
    <xf numFmtId="0" fontId="0" fillId="14" borderId="0" xfId="0" applyFill="1"/>
    <xf numFmtId="0" fontId="0" fillId="0" borderId="0" xfId="0" applyFill="1" applyAlignment="1">
      <alignment horizontal="left" vertical="top" wrapText="1"/>
    </xf>
    <xf numFmtId="15" fontId="9" fillId="4" borderId="1" xfId="3" applyNumberFormat="1" applyFill="1" applyBorder="1" applyAlignment="1">
      <alignment horizontal="left" vertical="top" wrapText="1"/>
    </xf>
    <xf numFmtId="0" fontId="12" fillId="16" borderId="0" xfId="0" applyFont="1" applyFill="1" applyAlignment="1">
      <alignment horizontal="left" vertical="top"/>
    </xf>
    <xf numFmtId="0" fontId="12" fillId="16" borderId="0" xfId="0" applyFont="1" applyFill="1" applyAlignment="1">
      <alignment horizontal="left" vertical="top" wrapText="1"/>
    </xf>
    <xf numFmtId="0" fontId="9" fillId="0" borderId="0" xfId="3" applyAlignment="1">
      <alignment horizontal="left" vertical="top"/>
    </xf>
    <xf numFmtId="0" fontId="15" fillId="0" borderId="0" xfId="0" applyFont="1" applyAlignment="1">
      <alignment horizontal="left" vertical="top"/>
    </xf>
    <xf numFmtId="0" fontId="16" fillId="17" borderId="0" xfId="0" applyFont="1" applyFill="1" applyAlignment="1">
      <alignment horizontal="left" vertical="top" wrapText="1"/>
    </xf>
    <xf numFmtId="0" fontId="14" fillId="17" borderId="0" xfId="0" applyFont="1" applyFill="1" applyAlignment="1">
      <alignment horizontal="left" vertical="top" wrapText="1"/>
    </xf>
    <xf numFmtId="14" fontId="14" fillId="17" borderId="0" xfId="0" applyNumberFormat="1" applyFont="1" applyFill="1" applyAlignment="1">
      <alignment horizontal="left" vertical="top" wrapText="1"/>
    </xf>
    <xf numFmtId="0" fontId="10" fillId="18" borderId="0" xfId="0" applyFont="1" applyFill="1" applyAlignment="1">
      <alignment horizontal="left" vertical="top" wrapText="1"/>
    </xf>
    <xf numFmtId="0" fontId="17" fillId="18" borderId="0" xfId="0" applyFont="1" applyFill="1" applyAlignment="1">
      <alignment horizontal="left" vertical="top" wrapText="1"/>
    </xf>
    <xf numFmtId="14" fontId="0" fillId="15" borderId="0" xfId="0" applyNumberFormat="1" applyFill="1" applyAlignment="1">
      <alignment horizontal="left" vertical="top" wrapText="1"/>
    </xf>
    <xf numFmtId="14" fontId="12" fillId="17" borderId="0" xfId="0" applyNumberFormat="1" applyFont="1" applyFill="1" applyAlignment="1">
      <alignment horizontal="left" vertical="top" wrapText="1"/>
    </xf>
    <xf numFmtId="0" fontId="12" fillId="17" borderId="0" xfId="0" applyNumberFormat="1" applyFont="1" applyFill="1" applyAlignment="1">
      <alignment horizontal="left" vertical="top" wrapText="1"/>
    </xf>
    <xf numFmtId="0" fontId="12" fillId="19" borderId="0" xfId="0" applyFont="1" applyFill="1" applyAlignment="1">
      <alignment horizontal="left" vertical="top"/>
    </xf>
    <xf numFmtId="0" fontId="12" fillId="19" borderId="0" xfId="0" applyFont="1" applyFill="1" applyAlignment="1">
      <alignment horizontal="left" vertical="top" wrapText="1"/>
    </xf>
    <xf numFmtId="0" fontId="0" fillId="0" borderId="2" xfId="0" applyBorder="1" applyAlignment="1">
      <alignment horizontal="left" vertical="top" wrapText="1"/>
    </xf>
    <xf numFmtId="0" fontId="0" fillId="4" borderId="0" xfId="0" applyFill="1" applyAlignment="1">
      <alignment horizontal="left" vertical="top"/>
    </xf>
    <xf numFmtId="0" fontId="0" fillId="4" borderId="3" xfId="0" applyFill="1" applyBorder="1" applyAlignment="1">
      <alignment horizontal="left" vertical="top"/>
    </xf>
    <xf numFmtId="15" fontId="0" fillId="4" borderId="3" xfId="0" applyNumberFormat="1" applyFill="1" applyBorder="1" applyAlignment="1">
      <alignment horizontal="left" vertical="top"/>
    </xf>
    <xf numFmtId="0" fontId="0" fillId="12" borderId="0" xfId="0" applyFill="1"/>
    <xf numFmtId="0" fontId="0" fillId="20" borderId="3" xfId="0" applyFill="1" applyBorder="1" applyAlignment="1">
      <alignment horizontal="left" vertical="top"/>
    </xf>
    <xf numFmtId="0" fontId="18" fillId="9" borderId="0" xfId="0" applyFont="1" applyFill="1" applyAlignment="1">
      <alignment horizontal="left" vertical="top" wrapText="1"/>
    </xf>
    <xf numFmtId="0" fontId="19" fillId="0" borderId="0" xfId="0" applyFont="1" applyAlignment="1">
      <alignment horizontal="left" vertical="top"/>
    </xf>
    <xf numFmtId="0" fontId="19" fillId="0" borderId="0" xfId="0" applyFont="1" applyAlignment="1">
      <alignment horizontal="left" vertical="top" wrapText="1"/>
    </xf>
    <xf numFmtId="0" fontId="19" fillId="14" borderId="0" xfId="0" applyFont="1" applyFill="1" applyAlignment="1">
      <alignment horizontal="left" vertical="top" wrapText="1"/>
    </xf>
    <xf numFmtId="0" fontId="19" fillId="15" borderId="0" xfId="0" applyFont="1" applyFill="1" applyAlignment="1">
      <alignment horizontal="left" vertical="top" wrapText="1"/>
    </xf>
    <xf numFmtId="0" fontId="9" fillId="0" borderId="0" xfId="3" applyAlignment="1">
      <alignment horizontal="left" vertical="top" wrapText="1"/>
    </xf>
    <xf numFmtId="0" fontId="19" fillId="8" borderId="0" xfId="0" applyFont="1" applyFill="1" applyAlignment="1">
      <alignment horizontal="left" vertical="top" wrapText="1"/>
    </xf>
    <xf numFmtId="15" fontId="19" fillId="15" borderId="0" xfId="0" applyNumberFormat="1" applyFont="1" applyFill="1" applyAlignment="1">
      <alignment horizontal="left" vertical="top" wrapText="1"/>
    </xf>
    <xf numFmtId="0" fontId="0" fillId="4" borderId="3" xfId="0" applyFill="1" applyBorder="1" applyAlignment="1">
      <alignment horizontal="left" vertical="top" wrapText="1"/>
    </xf>
    <xf numFmtId="0" fontId="0" fillId="0" borderId="0" xfId="0" applyAlignment="1">
      <alignment horizontal="center" vertical="center"/>
    </xf>
    <xf numFmtId="0" fontId="19" fillId="14" borderId="3" xfId="0" applyFont="1" applyFill="1" applyBorder="1" applyAlignment="1">
      <alignment horizontal="left" vertical="center" wrapText="1"/>
    </xf>
    <xf numFmtId="0" fontId="19" fillId="13" borderId="3" xfId="0" applyFont="1" applyFill="1" applyBorder="1" applyAlignment="1">
      <alignment horizontal="center" vertical="center" wrapText="1"/>
    </xf>
    <xf numFmtId="0" fontId="19" fillId="0" borderId="0" xfId="0" applyFont="1" applyAlignment="1">
      <alignment horizontal="left" vertical="center" wrapText="1"/>
    </xf>
    <xf numFmtId="0" fontId="19" fillId="0" borderId="3" xfId="0" applyFont="1" applyBorder="1" applyAlignment="1">
      <alignment horizontal="center" vertical="center" wrapText="1"/>
    </xf>
    <xf numFmtId="0" fontId="19" fillId="0" borderId="0" xfId="0" applyFont="1" applyAlignment="1">
      <alignment vertical="center" wrapText="1"/>
    </xf>
    <xf numFmtId="0" fontId="19" fillId="0" borderId="0" xfId="0" applyFont="1" applyAlignment="1">
      <alignment horizontal="center" vertical="center" wrapText="1"/>
    </xf>
    <xf numFmtId="0" fontId="0" fillId="0" borderId="0" xfId="0" applyAlignment="1">
      <alignment horizontal="center" vertical="top"/>
    </xf>
    <xf numFmtId="0" fontId="1" fillId="4" borderId="4" xfId="7" applyFill="1" applyBorder="1"/>
    <xf numFmtId="0" fontId="12" fillId="4" borderId="0" xfId="8" applyFont="1" applyFill="1" applyAlignment="1">
      <alignment horizontal="center" vertical="center" wrapText="1"/>
    </xf>
    <xf numFmtId="0" fontId="1" fillId="4" borderId="0" xfId="7" applyFill="1"/>
    <xf numFmtId="0" fontId="12" fillId="15" borderId="3" xfId="6" applyFont="1" applyFill="1" applyBorder="1" applyAlignment="1">
      <alignment horizontal="center" vertical="center" wrapText="1"/>
    </xf>
    <xf numFmtId="0" fontId="12" fillId="4" borderId="0" xfId="9" applyFont="1" applyFill="1" applyAlignment="1">
      <alignment horizontal="center" vertical="center" wrapText="1"/>
    </xf>
    <xf numFmtId="20" fontId="12" fillId="4" borderId="3" xfId="8" applyNumberFormat="1" applyFont="1" applyFill="1" applyBorder="1" applyAlignment="1">
      <alignment horizontal="center" vertical="center" wrapText="1"/>
    </xf>
    <xf numFmtId="0" fontId="12" fillId="15" borderId="3" xfId="9" applyFont="1" applyFill="1" applyBorder="1" applyAlignment="1">
      <alignment horizontal="center" vertical="center" wrapText="1"/>
    </xf>
    <xf numFmtId="0" fontId="12" fillId="4" borderId="3" xfId="8" applyFont="1" applyFill="1" applyBorder="1" applyAlignment="1">
      <alignment horizontal="center" vertical="center" wrapText="1"/>
    </xf>
    <xf numFmtId="0" fontId="0" fillId="4" borderId="0" xfId="7" applyFont="1" applyFill="1"/>
    <xf numFmtId="0" fontId="0" fillId="4" borderId="4" xfId="0" applyFill="1" applyBorder="1"/>
    <xf numFmtId="0" fontId="0" fillId="4" borderId="7" xfId="0" applyFill="1" applyBorder="1"/>
    <xf numFmtId="0" fontId="0" fillId="21" borderId="0" xfId="0" applyFill="1"/>
    <xf numFmtId="0" fontId="0" fillId="0" borderId="0" xfId="0" applyAlignment="1">
      <alignment horizontal="left" vertical="center"/>
    </xf>
    <xf numFmtId="15" fontId="9" fillId="15" borderId="0" xfId="3" applyNumberFormat="1" applyFill="1" applyAlignment="1">
      <alignment horizontal="left" vertical="top" wrapText="1"/>
    </xf>
    <xf numFmtId="15" fontId="19" fillId="15" borderId="0" xfId="0" quotePrefix="1" applyNumberFormat="1" applyFont="1" applyFill="1" applyAlignment="1">
      <alignment horizontal="left" vertical="top" wrapText="1"/>
    </xf>
    <xf numFmtId="0" fontId="0" fillId="23" borderId="0" xfId="0" applyFill="1" applyAlignment="1">
      <alignment horizontal="left" vertical="top" wrapText="1"/>
    </xf>
    <xf numFmtId="15" fontId="0" fillId="23" borderId="0" xfId="0" applyNumberFormat="1" applyFill="1" applyAlignment="1">
      <alignment horizontal="left" vertical="top" wrapText="1"/>
    </xf>
    <xf numFmtId="15" fontId="5" fillId="4" borderId="1" xfId="2" applyNumberFormat="1" applyFont="1" applyFill="1" applyBorder="1" applyAlignment="1">
      <alignment horizontal="left" vertical="top" wrapText="1"/>
    </xf>
    <xf numFmtId="0" fontId="0" fillId="0" borderId="0" xfId="0" applyAlignment="1">
      <alignment horizontal="left" vertical="top" wrapText="1"/>
    </xf>
    <xf numFmtId="0" fontId="0" fillId="8" borderId="0" xfId="0" applyFill="1" applyAlignment="1">
      <alignment horizontal="left" vertical="top" wrapText="1"/>
    </xf>
    <xf numFmtId="0" fontId="0" fillId="0" borderId="0" xfId="0" applyFill="1" applyAlignment="1">
      <alignment horizontal="left" vertical="top" wrapText="1"/>
    </xf>
    <xf numFmtId="0" fontId="0" fillId="15" borderId="0" xfId="0" applyFill="1" applyAlignment="1">
      <alignment horizontal="left" vertical="top"/>
    </xf>
    <xf numFmtId="15" fontId="9" fillId="4" borderId="1" xfId="3" quotePrefix="1" applyNumberFormat="1" applyFill="1" applyBorder="1" applyAlignment="1">
      <alignment horizontal="left" vertical="top" wrapText="1"/>
    </xf>
    <xf numFmtId="0" fontId="0" fillId="0" borderId="0" xfId="0" applyFill="1" applyAlignment="1">
      <alignment horizontal="left" vertical="top" wrapText="1"/>
    </xf>
    <xf numFmtId="15" fontId="0" fillId="24" borderId="0" xfId="0" applyNumberFormat="1" applyFill="1" applyAlignment="1">
      <alignment horizontal="left" vertical="top" wrapText="1"/>
    </xf>
    <xf numFmtId="0" fontId="0" fillId="24" borderId="0" xfId="0" applyFill="1" applyAlignment="1">
      <alignment horizontal="left" vertical="top" wrapText="1"/>
    </xf>
    <xf numFmtId="1" fontId="0" fillId="24" borderId="0" xfId="0" applyNumberFormat="1" applyFill="1" applyAlignment="1">
      <alignment horizontal="left" vertical="top" wrapText="1"/>
    </xf>
    <xf numFmtId="165" fontId="19" fillId="15" borderId="0" xfId="0" quotePrefix="1" applyNumberFormat="1" applyFont="1" applyFill="1" applyAlignment="1">
      <alignment horizontal="left" vertical="top" wrapText="1"/>
    </xf>
    <xf numFmtId="165" fontId="19" fillId="0" borderId="0" xfId="0" applyNumberFormat="1" applyFont="1" applyAlignment="1">
      <alignment horizontal="left" vertical="top" wrapText="1"/>
    </xf>
    <xf numFmtId="0" fontId="9" fillId="15" borderId="0" xfId="3" applyFill="1" applyAlignment="1">
      <alignment horizontal="left" vertical="top"/>
    </xf>
    <xf numFmtId="15" fontId="9" fillId="15" borderId="0" xfId="3" applyNumberFormat="1" applyFill="1" applyAlignment="1">
      <alignment horizontal="left" vertical="top"/>
    </xf>
    <xf numFmtId="15" fontId="0" fillId="15" borderId="0" xfId="0" applyNumberFormat="1" applyFill="1" applyAlignment="1">
      <alignment horizontal="left" vertical="top"/>
    </xf>
    <xf numFmtId="0" fontId="0" fillId="0" borderId="0" xfId="0" applyAlignment="1">
      <alignment horizontal="left" vertical="top" wrapText="1"/>
    </xf>
    <xf numFmtId="0" fontId="0" fillId="8" borderId="0" xfId="0" applyFill="1" applyAlignment="1">
      <alignment horizontal="left" vertical="top" wrapText="1"/>
    </xf>
    <xf numFmtId="0" fontId="10" fillId="9" borderId="0" xfId="0" applyFont="1" applyFill="1" applyAlignment="1">
      <alignment horizontal="left" vertical="top" wrapText="1"/>
    </xf>
    <xf numFmtId="15" fontId="0" fillId="15" borderId="0" xfId="0" applyNumberFormat="1" applyFill="1" applyAlignment="1">
      <alignment horizontal="left" vertical="top" wrapText="1"/>
    </xf>
    <xf numFmtId="0" fontId="0" fillId="15" borderId="0" xfId="0" applyFill="1" applyAlignment="1">
      <alignment horizontal="left" vertical="top" wrapText="1"/>
    </xf>
    <xf numFmtId="0" fontId="0" fillId="4" borderId="0" xfId="0" applyFill="1" applyAlignment="1">
      <alignment horizontal="left" vertical="top" wrapText="1"/>
    </xf>
    <xf numFmtId="0" fontId="0" fillId="0" borderId="0" xfId="0" applyAlignment="1">
      <alignment horizontal="center" vertical="center" wrapText="1"/>
    </xf>
    <xf numFmtId="0" fontId="0" fillId="20" borderId="3" xfId="0" applyFill="1" applyBorder="1" applyAlignment="1">
      <alignment horizontal="left" vertical="top" wrapText="1"/>
    </xf>
    <xf numFmtId="0" fontId="10" fillId="9" borderId="0" xfId="0" applyFont="1" applyFill="1"/>
    <xf numFmtId="166" fontId="0" fillId="0" borderId="0" xfId="0" applyNumberFormat="1" applyAlignment="1">
      <alignment horizontal="left" vertical="top" wrapText="1"/>
    </xf>
    <xf numFmtId="0" fontId="12" fillId="19" borderId="0" xfId="0" applyFont="1" applyFill="1" applyAlignment="1">
      <alignment horizontal="left" vertical="top" wrapText="1"/>
    </xf>
    <xf numFmtId="0" fontId="10" fillId="21" borderId="8" xfId="0" applyFont="1" applyFill="1" applyBorder="1" applyAlignment="1">
      <alignment horizontal="center" vertical="top" wrapText="1"/>
    </xf>
    <xf numFmtId="0" fontId="10" fillId="21" borderId="8" xfId="0" applyFont="1" applyFill="1" applyBorder="1" applyAlignment="1">
      <alignment horizontal="left" vertical="top" wrapText="1"/>
    </xf>
    <xf numFmtId="0" fontId="10" fillId="21" borderId="8" xfId="0" applyFont="1" applyFill="1" applyBorder="1" applyAlignment="1">
      <alignment horizontal="center" vertical="center" wrapText="1"/>
    </xf>
    <xf numFmtId="0" fontId="0" fillId="0" borderId="8" xfId="0" applyBorder="1" applyAlignment="1">
      <alignment horizontal="left" vertical="top"/>
    </xf>
    <xf numFmtId="0" fontId="18" fillId="9" borderId="0" xfId="0" applyFont="1" applyFill="1" applyAlignment="1">
      <alignment horizontal="left" vertical="top"/>
    </xf>
    <xf numFmtId="0" fontId="20" fillId="9" borderId="0" xfId="0" applyFont="1" applyFill="1" applyAlignment="1">
      <alignment horizontal="left" vertical="top"/>
    </xf>
    <xf numFmtId="0" fontId="20" fillId="9" borderId="0" xfId="0" applyFont="1" applyFill="1" applyAlignment="1">
      <alignment horizontal="left" vertical="top" wrapText="1"/>
    </xf>
    <xf numFmtId="0" fontId="12" fillId="18" borderId="0" xfId="0" applyFont="1" applyFill="1" applyAlignment="1">
      <alignment horizontal="left" vertical="top" wrapText="1"/>
    </xf>
    <xf numFmtId="0" fontId="0" fillId="0" borderId="0" xfId="0" applyAlignment="1">
      <alignment horizontal="left" vertical="top" wrapText="1"/>
    </xf>
    <xf numFmtId="0" fontId="10" fillId="9" borderId="0" xfId="0" applyFont="1" applyFill="1" applyAlignment="1">
      <alignment horizontal="left" vertical="top"/>
    </xf>
    <xf numFmtId="0" fontId="0" fillId="0" borderId="0" xfId="0" quotePrefix="1" applyAlignment="1">
      <alignment horizontal="left" vertical="top" wrapText="1"/>
    </xf>
    <xf numFmtId="0" fontId="0" fillId="0" borderId="0" xfId="0" applyAlignment="1">
      <alignment horizontal="left" vertical="top"/>
    </xf>
    <xf numFmtId="0" fontId="0" fillId="8" borderId="0" xfId="0" applyFill="1" applyAlignment="1">
      <alignment horizontal="left" vertical="top" wrapText="1"/>
    </xf>
    <xf numFmtId="0" fontId="12" fillId="0" borderId="0" xfId="0" applyFont="1" applyAlignment="1">
      <alignment horizontal="left" vertical="top" wrapText="1"/>
    </xf>
    <xf numFmtId="0" fontId="12" fillId="18" borderId="0" xfId="0" applyFont="1" applyFill="1" applyAlignment="1">
      <alignment horizontal="left" vertical="top"/>
    </xf>
    <xf numFmtId="0" fontId="0" fillId="10" borderId="0" xfId="0" applyFill="1" applyAlignment="1">
      <alignment horizontal="left" vertical="top"/>
    </xf>
    <xf numFmtId="0" fontId="0" fillId="0" borderId="0" xfId="0" applyAlignment="1">
      <alignment horizontal="left" vertical="top"/>
    </xf>
    <xf numFmtId="0" fontId="0" fillId="0" borderId="0" xfId="0" applyAlignment="1">
      <alignment horizontal="left" indent="1"/>
    </xf>
    <xf numFmtId="0" fontId="19" fillId="0" borderId="0" xfId="0" quotePrefix="1" applyFont="1" applyAlignment="1">
      <alignment horizontal="left" vertical="top"/>
    </xf>
    <xf numFmtId="0" fontId="0" fillId="0" borderId="0" xfId="0" applyAlignment="1">
      <alignment horizontal="center" vertical="center"/>
    </xf>
    <xf numFmtId="0" fontId="0" fillId="0" borderId="0" xfId="0"/>
    <xf numFmtId="0" fontId="0" fillId="0" borderId="0" xfId="0" applyAlignment="1">
      <alignment horizontal="left"/>
    </xf>
    <xf numFmtId="15" fontId="0" fillId="0" borderId="0" xfId="0" applyNumberFormat="1"/>
    <xf numFmtId="0" fontId="0" fillId="0" borderId="0" xfId="0" applyAlignment="1">
      <alignment horizontal="center"/>
    </xf>
    <xf numFmtId="0" fontId="0" fillId="0" borderId="0" xfId="0" applyFill="1" applyBorder="1" applyAlignment="1">
      <alignment horizontal="left" vertical="top"/>
    </xf>
    <xf numFmtId="0" fontId="12" fillId="0" borderId="0" xfId="0" applyFont="1" applyAlignment="1">
      <alignment horizontal="left" vertical="top"/>
    </xf>
    <xf numFmtId="0" fontId="12" fillId="4" borderId="0" xfId="8" applyFont="1" applyFill="1" applyAlignment="1">
      <alignment horizontal="center" vertical="center"/>
    </xf>
    <xf numFmtId="0" fontId="1" fillId="4" borderId="0" xfId="7" applyFill="1" applyAlignment="1"/>
    <xf numFmtId="0" fontId="0" fillId="4" borderId="0" xfId="0" applyFill="1" applyAlignment="1"/>
    <xf numFmtId="0" fontId="12" fillId="4" borderId="0" xfId="8" applyFont="1" applyFill="1" applyAlignment="1">
      <alignment horizontal="left" vertical="top"/>
    </xf>
    <xf numFmtId="0" fontId="1" fillId="4" borderId="0" xfId="7" applyFill="1" applyAlignment="1">
      <alignment horizontal="left" vertical="top"/>
    </xf>
    <xf numFmtId="15" fontId="10" fillId="4" borderId="5" xfId="8" applyNumberFormat="1" applyFont="1" applyFill="1" applyBorder="1" applyAlignment="1">
      <alignment horizontal="center" vertical="center"/>
    </xf>
    <xf numFmtId="0" fontId="10" fillId="4" borderId="6" xfId="8" applyFont="1" applyFill="1" applyBorder="1" applyAlignment="1">
      <alignment horizontal="center" vertical="center"/>
    </xf>
    <xf numFmtId="165" fontId="12" fillId="4" borderId="5" xfId="8" applyNumberFormat="1" applyFont="1" applyFill="1" applyBorder="1" applyAlignment="1">
      <alignment horizontal="center" vertical="center"/>
    </xf>
    <xf numFmtId="0" fontId="12" fillId="4" borderId="6" xfId="8" applyFont="1" applyFill="1" applyBorder="1" applyAlignment="1">
      <alignment horizontal="center" vertical="center"/>
    </xf>
    <xf numFmtId="165" fontId="12" fillId="4" borderId="0" xfId="8" applyNumberFormat="1" applyFont="1" applyFill="1" applyAlignment="1">
      <alignment horizontal="center" vertical="center"/>
    </xf>
    <xf numFmtId="0" fontId="12" fillId="4" borderId="0" xfId="9" applyFont="1" applyFill="1" applyAlignment="1">
      <alignment horizontal="center" vertical="center"/>
    </xf>
    <xf numFmtId="165" fontId="19" fillId="15" borderId="0" xfId="0" applyNumberFormat="1" applyFont="1" applyFill="1" applyAlignment="1">
      <alignment horizontal="left" vertical="top" wrapText="1"/>
    </xf>
    <xf numFmtId="0" fontId="10" fillId="21" borderId="8" xfId="0" applyFont="1" applyFill="1" applyBorder="1" applyAlignment="1">
      <alignment horizontal="left" vertical="top"/>
    </xf>
    <xf numFmtId="0" fontId="19" fillId="6" borderId="3" xfId="0" applyFont="1" applyFill="1" applyBorder="1" applyAlignment="1">
      <alignment horizontal="center" vertical="center" textRotation="90" wrapText="1"/>
    </xf>
    <xf numFmtId="0" fontId="0" fillId="27" borderId="0" xfId="0" applyFill="1" applyAlignment="1">
      <alignment horizontal="center" vertical="center"/>
    </xf>
    <xf numFmtId="0" fontId="0" fillId="4" borderId="0" xfId="0" applyFill="1" applyAlignment="1">
      <alignment horizontal="center" vertical="center"/>
    </xf>
    <xf numFmtId="0" fontId="9" fillId="4" borderId="0" xfId="3" applyFill="1" applyAlignment="1">
      <alignment horizontal="center" vertical="center"/>
    </xf>
    <xf numFmtId="0" fontId="22" fillId="4" borderId="0" xfId="0" applyFont="1" applyFill="1" applyAlignment="1">
      <alignment horizontal="left" vertical="top" wrapText="1"/>
    </xf>
    <xf numFmtId="0" fontId="22" fillId="4" borderId="3" xfId="0" applyFont="1" applyFill="1" applyBorder="1" applyAlignment="1">
      <alignment horizontal="left" vertical="top" wrapText="1"/>
    </xf>
    <xf numFmtId="0" fontId="34" fillId="4" borderId="0" xfId="709" applyFont="1" applyFill="1" applyAlignment="1">
      <alignment horizontal="left" vertical="top" wrapText="1"/>
    </xf>
    <xf numFmtId="0" fontId="10" fillId="30" borderId="11" xfId="0" applyFont="1" applyFill="1" applyBorder="1"/>
    <xf numFmtId="0" fontId="10" fillId="30" borderId="12" xfId="0" applyFont="1" applyFill="1" applyBorder="1" applyAlignment="1">
      <alignment horizontal="left"/>
    </xf>
    <xf numFmtId="0" fontId="10" fillId="30" borderId="12" xfId="0" applyFont="1" applyFill="1" applyBorder="1"/>
    <xf numFmtId="0" fontId="0" fillId="4" borderId="13" xfId="0" applyFill="1" applyBorder="1"/>
    <xf numFmtId="0" fontId="0" fillId="4" borderId="14" xfId="0" applyFill="1" applyBorder="1"/>
    <xf numFmtId="0" fontId="0" fillId="4" borderId="0" xfId="0" applyFill="1" applyAlignment="1">
      <alignment horizontal="left"/>
    </xf>
    <xf numFmtId="0" fontId="0" fillId="4" borderId="15" xfId="0" applyFill="1" applyBorder="1"/>
    <xf numFmtId="0" fontId="31" fillId="4" borderId="0" xfId="0" applyFont="1" applyFill="1" applyAlignment="1">
      <alignment horizontal="center"/>
    </xf>
    <xf numFmtId="0" fontId="0" fillId="4" borderId="0" xfId="0" applyFill="1" applyAlignment="1">
      <alignment horizontal="center"/>
    </xf>
    <xf numFmtId="0" fontId="35" fillId="4" borderId="0" xfId="0" applyFont="1" applyFill="1" applyAlignment="1">
      <alignment horizontal="center" wrapText="1"/>
    </xf>
    <xf numFmtId="0" fontId="6" fillId="4" borderId="0" xfId="0" applyFont="1" applyFill="1" applyAlignment="1">
      <alignment horizontal="center"/>
    </xf>
    <xf numFmtId="0" fontId="19" fillId="4" borderId="0" xfId="0" applyFont="1" applyFill="1" applyAlignment="1">
      <alignment horizontal="center"/>
    </xf>
    <xf numFmtId="14" fontId="19" fillId="4" borderId="0" xfId="0" applyNumberFormat="1" applyFont="1" applyFill="1" applyAlignment="1">
      <alignment horizontal="center"/>
    </xf>
    <xf numFmtId="0" fontId="33" fillId="4" borderId="0" xfId="0" applyFont="1" applyFill="1" applyAlignment="1">
      <alignment horizontal="center"/>
    </xf>
    <xf numFmtId="15" fontId="31" fillId="4" borderId="0" xfId="0" applyNumberFormat="1" applyFont="1" applyFill="1" applyAlignment="1">
      <alignment horizontal="center"/>
    </xf>
    <xf numFmtId="0" fontId="10" fillId="30" borderId="0" xfId="0" applyFont="1" applyFill="1"/>
    <xf numFmtId="0" fontId="15" fillId="4" borderId="14" xfId="0" applyFont="1" applyFill="1" applyBorder="1"/>
    <xf numFmtId="0" fontId="37" fillId="31" borderId="16" xfId="0" applyFont="1" applyFill="1" applyBorder="1" applyAlignment="1">
      <alignment horizontal="center" vertical="center" wrapText="1" readingOrder="1"/>
    </xf>
    <xf numFmtId="169" fontId="10" fillId="4" borderId="0" xfId="0" applyNumberFormat="1" applyFont="1" applyFill="1"/>
    <xf numFmtId="0" fontId="38" fillId="32" borderId="16" xfId="0" applyFont="1" applyFill="1" applyBorder="1" applyAlignment="1">
      <alignment horizontal="left" vertical="center" wrapText="1" readingOrder="1"/>
    </xf>
    <xf numFmtId="15" fontId="38" fillId="32" borderId="16" xfId="0" applyNumberFormat="1" applyFont="1" applyFill="1" applyBorder="1" applyAlignment="1">
      <alignment horizontal="center" vertical="center" wrapText="1" readingOrder="1"/>
    </xf>
    <xf numFmtId="169" fontId="0" fillId="4" borderId="0" xfId="0" applyNumberFormat="1" applyFill="1"/>
    <xf numFmtId="0" fontId="19" fillId="4" borderId="0" xfId="0" applyFont="1" applyFill="1" applyAlignment="1">
      <alignment horizontal="left" vertical="top" wrapText="1"/>
    </xf>
    <xf numFmtId="0" fontId="39" fillId="4" borderId="0" xfId="0" applyFont="1" applyFill="1" applyAlignment="1">
      <alignment horizontal="left"/>
    </xf>
    <xf numFmtId="15" fontId="39" fillId="4" borderId="0" xfId="0" applyNumberFormat="1" applyFont="1" applyFill="1" applyAlignment="1">
      <alignment horizontal="left"/>
    </xf>
    <xf numFmtId="0" fontId="0" fillId="4" borderId="17" xfId="0" applyFill="1" applyBorder="1"/>
    <xf numFmtId="0" fontId="33" fillId="4" borderId="18" xfId="0" applyFont="1" applyFill="1" applyBorder="1" applyAlignment="1">
      <alignment horizontal="center"/>
    </xf>
    <xf numFmtId="0" fontId="0" fillId="4" borderId="18" xfId="0" applyFill="1" applyBorder="1" applyAlignment="1">
      <alignment horizontal="left"/>
    </xf>
    <xf numFmtId="0" fontId="0" fillId="4" borderId="18" xfId="0" applyFill="1" applyBorder="1"/>
    <xf numFmtId="0" fontId="0" fillId="4" borderId="19" xfId="0" applyFill="1" applyBorder="1"/>
    <xf numFmtId="15" fontId="19" fillId="4" borderId="0" xfId="0" applyNumberFormat="1" applyFont="1" applyFill="1" applyAlignment="1">
      <alignment horizontal="center"/>
    </xf>
    <xf numFmtId="0" fontId="0" fillId="0" borderId="0" xfId="0" applyFill="1" applyAlignment="1">
      <alignment horizontal="center" vertical="center"/>
    </xf>
    <xf numFmtId="0" fontId="14" fillId="17" borderId="0" xfId="0" applyFont="1" applyFill="1" applyAlignment="1">
      <alignment horizontal="left" vertical="top"/>
    </xf>
    <xf numFmtId="15" fontId="0" fillId="0" borderId="0" xfId="0" applyNumberFormat="1" applyFill="1" applyBorder="1" applyAlignment="1">
      <alignment horizontal="left" vertical="top"/>
    </xf>
    <xf numFmtId="0" fontId="12" fillId="0" borderId="0" xfId="0" applyFont="1" applyFill="1" applyAlignment="1">
      <alignment horizontal="left" vertical="top"/>
    </xf>
    <xf numFmtId="15" fontId="0" fillId="4" borderId="0" xfId="0" applyNumberFormat="1" applyFill="1" applyAlignment="1">
      <alignment horizontal="left" vertical="top"/>
    </xf>
    <xf numFmtId="0" fontId="0" fillId="6" borderId="0" xfId="0" applyFill="1" applyAlignment="1">
      <alignment horizontal="left" vertical="top"/>
    </xf>
    <xf numFmtId="0" fontId="10" fillId="21" borderId="0" xfId="0" applyFont="1" applyFill="1" applyAlignment="1">
      <alignment horizontal="left" vertical="top"/>
    </xf>
    <xf numFmtId="15" fontId="0" fillId="0" borderId="0" xfId="0" applyNumberFormat="1" applyAlignment="1">
      <alignment horizontal="left" vertical="top"/>
    </xf>
    <xf numFmtId="0" fontId="12" fillId="12" borderId="0" xfId="0" applyFont="1" applyFill="1" applyAlignment="1">
      <alignment horizontal="left" vertical="top"/>
    </xf>
    <xf numFmtId="0" fontId="9" fillId="12" borderId="0" xfId="3" applyFill="1" applyAlignment="1">
      <alignment horizontal="left" vertical="top"/>
    </xf>
    <xf numFmtId="0" fontId="0" fillId="4" borderId="0" xfId="0" applyFill="1" applyBorder="1"/>
    <xf numFmtId="0" fontId="39" fillId="7" borderId="20" xfId="0" applyFont="1" applyFill="1" applyBorder="1" applyAlignment="1">
      <alignment horizontal="center" vertical="center" wrapText="1"/>
    </xf>
    <xf numFmtId="0" fontId="0" fillId="35" borderId="0" xfId="0" applyFill="1" applyAlignment="1">
      <alignment horizontal="center" vertical="center"/>
    </xf>
    <xf numFmtId="0" fontId="0" fillId="36" borderId="0" xfId="0" applyFill="1" applyAlignment="1">
      <alignment horizontal="center" vertical="center"/>
    </xf>
    <xf numFmtId="0" fontId="0" fillId="36" borderId="0" xfId="0" applyFill="1"/>
    <xf numFmtId="0" fontId="0" fillId="37" borderId="0" xfId="0" applyFill="1"/>
    <xf numFmtId="0" fontId="0" fillId="4" borderId="21" xfId="0" applyFill="1" applyBorder="1"/>
    <xf numFmtId="0" fontId="41" fillId="36" borderId="21" xfId="0" applyFont="1" applyFill="1" applyBorder="1" applyAlignment="1">
      <alignment horizontal="left" vertical="top" wrapText="1"/>
    </xf>
    <xf numFmtId="15" fontId="22" fillId="4" borderId="21" xfId="0" applyNumberFormat="1" applyFont="1" applyFill="1" applyBorder="1" applyAlignment="1">
      <alignment horizontal="left" vertical="top" wrapText="1"/>
    </xf>
    <xf numFmtId="0" fontId="22" fillId="37" borderId="21" xfId="0" applyFont="1" applyFill="1" applyBorder="1"/>
    <xf numFmtId="0" fontId="22" fillId="37" borderId="21" xfId="0" applyFont="1" applyFill="1" applyBorder="1" applyAlignment="1">
      <alignment horizontal="center" vertical="center"/>
    </xf>
    <xf numFmtId="0" fontId="39" fillId="14" borderId="20" xfId="0" applyFont="1" applyFill="1" applyBorder="1" applyAlignment="1">
      <alignment horizontal="center" vertical="center" wrapText="1"/>
    </xf>
    <xf numFmtId="0" fontId="39" fillId="33" borderId="20" xfId="0" applyFont="1" applyFill="1" applyBorder="1" applyAlignment="1">
      <alignment horizontal="center" vertical="center" wrapText="1"/>
    </xf>
    <xf numFmtId="0" fontId="0" fillId="33" borderId="20" xfId="0" applyFill="1" applyBorder="1" applyAlignment="1">
      <alignment horizontal="center" vertical="center" wrapText="1"/>
    </xf>
    <xf numFmtId="0" fontId="40" fillId="14" borderId="21" xfId="0" applyFont="1" applyFill="1" applyBorder="1" applyAlignment="1">
      <alignment horizontal="center" vertical="center" textRotation="90" wrapText="1"/>
    </xf>
    <xf numFmtId="0" fontId="40" fillId="0" borderId="21" xfId="0" applyFont="1" applyBorder="1" applyAlignment="1">
      <alignment horizontal="center" vertical="center" textRotation="90" wrapText="1"/>
    </xf>
    <xf numFmtId="0" fontId="40" fillId="14" borderId="21" xfId="0" applyFont="1" applyFill="1" applyBorder="1" applyAlignment="1">
      <alignment horizontal="center" vertical="center" wrapText="1"/>
    </xf>
    <xf numFmtId="0" fontId="40" fillId="0" borderId="21" xfId="0" applyFont="1" applyBorder="1" applyAlignment="1">
      <alignment horizontal="center" vertical="center" wrapText="1"/>
    </xf>
    <xf numFmtId="0" fontId="40" fillId="15" borderId="21" xfId="0" applyFont="1" applyFill="1" applyBorder="1" applyAlignment="1">
      <alignment horizontal="center" vertical="center" wrapText="1"/>
    </xf>
    <xf numFmtId="0" fontId="9" fillId="4" borderId="0" xfId="3" applyFill="1" applyAlignment="1">
      <alignment vertical="top"/>
    </xf>
    <xf numFmtId="0" fontId="19" fillId="4" borderId="0" xfId="709" applyFont="1" applyFill="1"/>
    <xf numFmtId="0" fontId="42" fillId="4" borderId="0" xfId="0" applyFont="1" applyFill="1" applyAlignment="1">
      <alignment horizontal="center" vertical="center" wrapText="1"/>
    </xf>
    <xf numFmtId="0" fontId="19" fillId="4" borderId="0" xfId="0" applyFont="1" applyFill="1" applyAlignment="1">
      <alignment horizontal="left" vertical="center"/>
    </xf>
    <xf numFmtId="0" fontId="10" fillId="4" borderId="0" xfId="0" applyFont="1" applyFill="1"/>
    <xf numFmtId="0" fontId="36" fillId="4" borderId="0" xfId="0" applyFont="1" applyFill="1" applyAlignment="1">
      <alignment horizontal="center" vertical="center"/>
    </xf>
    <xf numFmtId="169" fontId="36" fillId="4" borderId="0" xfId="0" applyNumberFormat="1" applyFont="1" applyFill="1" applyAlignment="1">
      <alignment horizontal="center" vertical="center"/>
    </xf>
    <xf numFmtId="0" fontId="34" fillId="4" borderId="0" xfId="1065" applyFont="1" applyFill="1" applyAlignment="1">
      <alignment horizontal="center" vertical="top"/>
    </xf>
    <xf numFmtId="0" fontId="34" fillId="4" borderId="0" xfId="1065" applyFont="1" applyFill="1" applyAlignment="1">
      <alignment horizontal="left" vertical="top"/>
    </xf>
    <xf numFmtId="0" fontId="34" fillId="4" borderId="25" xfId="1065" applyFont="1" applyFill="1" applyBorder="1" applyAlignment="1">
      <alignment horizontal="left" vertical="top"/>
    </xf>
    <xf numFmtId="0" fontId="40" fillId="4" borderId="25" xfId="1065" applyFont="1" applyFill="1" applyBorder="1" applyAlignment="1">
      <alignment horizontal="left" vertical="top"/>
    </xf>
    <xf numFmtId="0" fontId="41" fillId="36" borderId="21" xfId="0" applyFont="1" applyFill="1" applyBorder="1" applyAlignment="1">
      <alignment horizontal="center" vertical="top" wrapText="1"/>
    </xf>
    <xf numFmtId="0" fontId="40" fillId="4" borderId="25" xfId="1065" applyFont="1" applyFill="1" applyBorder="1" applyAlignment="1">
      <alignment horizontal="center" vertical="top"/>
    </xf>
    <xf numFmtId="0" fontId="43" fillId="4" borderId="21" xfId="1065" applyFont="1" applyFill="1" applyBorder="1" applyAlignment="1">
      <alignment horizontal="left" vertical="top" wrapText="1"/>
    </xf>
    <xf numFmtId="0" fontId="43" fillId="4" borderId="21" xfId="1065" applyFont="1" applyFill="1" applyBorder="1" applyAlignment="1">
      <alignment horizontal="center" vertical="top" wrapText="1"/>
    </xf>
    <xf numFmtId="0" fontId="22" fillId="4" borderId="21" xfId="1065" applyFont="1" applyFill="1" applyBorder="1" applyAlignment="1">
      <alignment horizontal="center" vertical="top"/>
    </xf>
    <xf numFmtId="0" fontId="12" fillId="15" borderId="3" xfId="6" applyFont="1" applyFill="1" applyBorder="1" applyAlignment="1">
      <alignment horizontal="center" vertical="center" wrapText="1"/>
    </xf>
    <xf numFmtId="0" fontId="12" fillId="4" borderId="3" xfId="8" applyFont="1" applyFill="1" applyBorder="1" applyAlignment="1">
      <alignment horizontal="center" vertical="center" wrapText="1"/>
    </xf>
    <xf numFmtId="0" fontId="12" fillId="15" borderId="3" xfId="9" applyFont="1" applyFill="1" applyBorder="1" applyAlignment="1">
      <alignment horizontal="center" vertical="center" wrapText="1"/>
    </xf>
    <xf numFmtId="0" fontId="0" fillId="4" borderId="0" xfId="0" applyFill="1" applyAlignment="1">
      <alignment horizontal="left" vertical="center"/>
    </xf>
    <xf numFmtId="0" fontId="45" fillId="0" borderId="0" xfId="0" applyFont="1"/>
    <xf numFmtId="0" fontId="45" fillId="29" borderId="0" xfId="0" applyFont="1" applyFill="1" applyAlignment="1">
      <alignment vertical="center" wrapText="1"/>
    </xf>
    <xf numFmtId="0" fontId="45" fillId="29" borderId="0" xfId="0" applyFont="1" applyFill="1"/>
    <xf numFmtId="0" fontId="0" fillId="0" borderId="0" xfId="0" applyFill="1" applyAlignment="1">
      <alignment horizontal="left" vertical="top"/>
    </xf>
    <xf numFmtId="165" fontId="12" fillId="17" borderId="0" xfId="0" applyNumberFormat="1" applyFont="1" applyFill="1" applyAlignment="1">
      <alignment horizontal="left" vertical="top" wrapText="1"/>
    </xf>
    <xf numFmtId="0" fontId="18" fillId="0" borderId="0" xfId="0" applyFont="1" applyFill="1" applyBorder="1" applyAlignment="1">
      <alignment horizontal="center" vertical="center" wrapText="1"/>
    </xf>
    <xf numFmtId="169" fontId="46" fillId="0" borderId="0" xfId="0" applyNumberFormat="1" applyFont="1" applyFill="1" applyBorder="1" applyAlignment="1">
      <alignment horizontal="center" vertical="center"/>
    </xf>
    <xf numFmtId="0" fontId="0" fillId="12" borderId="0" xfId="0" applyFill="1" applyAlignment="1">
      <alignment horizontal="left" vertical="top" wrapText="1"/>
    </xf>
    <xf numFmtId="0" fontId="47" fillId="4" borderId="0" xfId="0" applyFont="1" applyFill="1" applyAlignment="1">
      <alignment horizontal="left" vertical="top" wrapText="1"/>
    </xf>
    <xf numFmtId="0" fontId="47" fillId="4" borderId="0" xfId="0" applyFont="1" applyFill="1" applyAlignment="1">
      <alignment horizontal="center" vertical="center"/>
    </xf>
    <xf numFmtId="0" fontId="22" fillId="4" borderId="0" xfId="0" applyFont="1" applyFill="1" applyAlignment="1">
      <alignment horizontal="center" vertical="center"/>
    </xf>
    <xf numFmtId="0" fontId="22" fillId="4" borderId="0" xfId="0" applyFont="1" applyFill="1"/>
    <xf numFmtId="0" fontId="43" fillId="4" borderId="21" xfId="0" applyFont="1" applyFill="1" applyBorder="1" applyAlignment="1">
      <alignment horizontal="center" vertical="center"/>
    </xf>
    <xf numFmtId="0" fontId="0" fillId="12" borderId="0" xfId="0" applyFill="1" applyBorder="1" applyAlignment="1">
      <alignment horizontal="left" vertical="top"/>
    </xf>
    <xf numFmtId="0" fontId="0" fillId="30" borderId="0" xfId="0" applyFill="1" applyAlignment="1">
      <alignment horizontal="left" vertical="top"/>
    </xf>
    <xf numFmtId="0" fontId="0" fillId="12" borderId="0" xfId="0" applyFill="1" applyAlignment="1">
      <alignment horizontal="left" vertical="top"/>
    </xf>
    <xf numFmtId="0" fontId="51" fillId="38" borderId="0" xfId="0" applyFont="1" applyFill="1" applyAlignment="1">
      <alignment vertical="center"/>
    </xf>
    <xf numFmtId="0" fontId="51" fillId="38" borderId="0" xfId="0" applyFont="1" applyFill="1" applyAlignment="1">
      <alignment vertical="center" wrapText="1"/>
    </xf>
    <xf numFmtId="0" fontId="0" fillId="0" borderId="0" xfId="0" applyAlignment="1">
      <alignment vertical="top"/>
    </xf>
    <xf numFmtId="0" fontId="0" fillId="0" borderId="0" xfId="0" applyAlignment="1">
      <alignment vertical="center"/>
    </xf>
    <xf numFmtId="0" fontId="50" fillId="0" borderId="12" xfId="0" applyFont="1" applyBorder="1" applyAlignment="1">
      <alignment vertical="center" wrapText="1"/>
    </xf>
    <xf numFmtId="0" fontId="50" fillId="0" borderId="18" xfId="0" applyFont="1" applyBorder="1" applyAlignment="1">
      <alignment vertical="center" wrapText="1"/>
    </xf>
    <xf numFmtId="0" fontId="50" fillId="0" borderId="0" xfId="0" applyFont="1" applyAlignment="1">
      <alignment vertical="center" wrapText="1"/>
    </xf>
    <xf numFmtId="0" fontId="50" fillId="12" borderId="0" xfId="0" applyFont="1" applyFill="1" applyAlignment="1">
      <alignment vertical="center"/>
    </xf>
    <xf numFmtId="0" fontId="15" fillId="12" borderId="0" xfId="0" applyFont="1" applyFill="1" applyAlignment="1">
      <alignment horizontal="left" vertical="top" wrapText="1"/>
    </xf>
    <xf numFmtId="0" fontId="20" fillId="9" borderId="0" xfId="0" applyFont="1" applyFill="1" applyAlignment="1">
      <alignment horizontal="center" vertical="center" wrapText="1"/>
    </xf>
    <xf numFmtId="0" fontId="34" fillId="14" borderId="3" xfId="0" applyFont="1" applyFill="1" applyBorder="1" applyAlignment="1">
      <alignment horizontal="center" vertical="center" wrapText="1"/>
    </xf>
    <xf numFmtId="0" fontId="34" fillId="13" borderId="3" xfId="0" applyFont="1" applyFill="1" applyBorder="1" applyAlignment="1">
      <alignment horizontal="center" vertical="center" wrapText="1"/>
    </xf>
    <xf numFmtId="0" fontId="34" fillId="10" borderId="0" xfId="0" applyFont="1" applyFill="1" applyAlignment="1">
      <alignment horizontal="center" vertical="center" textRotation="90" wrapText="1"/>
    </xf>
    <xf numFmtId="0" fontId="52" fillId="40" borderId="0" xfId="0" applyFont="1" applyFill="1" applyAlignment="1">
      <alignment horizontal="center" vertical="center" textRotation="90" wrapText="1"/>
    </xf>
    <xf numFmtId="0" fontId="34" fillId="0" borderId="0" xfId="0" applyFont="1" applyAlignment="1">
      <alignment horizontal="left" vertical="top" wrapText="1"/>
    </xf>
    <xf numFmtId="0" fontId="34" fillId="4" borderId="3" xfId="0" applyFont="1" applyFill="1" applyBorder="1" applyAlignment="1">
      <alignment horizontal="left" vertical="top" wrapText="1"/>
    </xf>
    <xf numFmtId="166" fontId="34" fillId="0" borderId="0" xfId="0" applyNumberFormat="1" applyFont="1" applyAlignment="1">
      <alignment horizontal="left" vertical="top" wrapText="1"/>
    </xf>
    <xf numFmtId="0" fontId="34" fillId="4" borderId="3" xfId="0" applyFont="1" applyFill="1" applyBorder="1" applyAlignment="1">
      <alignment horizontal="center" vertical="center" wrapText="1"/>
    </xf>
    <xf numFmtId="0" fontId="5" fillId="4" borderId="21" xfId="0" applyFont="1" applyFill="1" applyBorder="1" applyAlignment="1">
      <alignment horizontal="center" vertical="center"/>
    </xf>
    <xf numFmtId="0" fontId="34" fillId="4" borderId="10" xfId="0" applyFont="1" applyFill="1" applyBorder="1" applyAlignment="1">
      <alignment horizontal="center" vertical="center" wrapText="1"/>
    </xf>
    <xf numFmtId="0" fontId="52" fillId="40" borderId="0" xfId="0" applyFont="1" applyFill="1" applyAlignment="1">
      <alignment horizontal="center" vertical="center" wrapText="1"/>
    </xf>
    <xf numFmtId="166" fontId="34" fillId="4" borderId="3" xfId="0" applyNumberFormat="1" applyFont="1" applyFill="1" applyBorder="1" applyAlignment="1">
      <alignment horizontal="left" vertical="top" wrapText="1"/>
    </xf>
    <xf numFmtId="0" fontId="34" fillId="4" borderId="35" xfId="0" applyFont="1" applyFill="1" applyBorder="1" applyAlignment="1">
      <alignment horizontal="center" vertical="center" wrapText="1"/>
    </xf>
    <xf numFmtId="0" fontId="34" fillId="0" borderId="3" xfId="0" applyFont="1" applyBorder="1" applyAlignment="1">
      <alignment horizontal="left" vertical="top" wrapText="1"/>
    </xf>
    <xf numFmtId="0" fontId="34" fillId="42" borderId="3" xfId="0" applyFont="1" applyFill="1" applyBorder="1" applyAlignment="1">
      <alignment horizontal="left" vertical="top" wrapText="1"/>
    </xf>
    <xf numFmtId="0" fontId="5" fillId="42" borderId="21" xfId="0" applyFont="1" applyFill="1" applyBorder="1" applyAlignment="1">
      <alignment horizontal="center" vertical="center"/>
    </xf>
    <xf numFmtId="15" fontId="31" fillId="4" borderId="0" xfId="0" applyNumberFormat="1" applyFont="1" applyFill="1" applyBorder="1" applyAlignment="1">
      <alignment horizontal="center"/>
    </xf>
    <xf numFmtId="0" fontId="37" fillId="31" borderId="37" xfId="0" applyFont="1" applyFill="1" applyBorder="1" applyAlignment="1">
      <alignment horizontal="left" vertical="center" wrapText="1" readingOrder="1"/>
    </xf>
    <xf numFmtId="0" fontId="38" fillId="32" borderId="36" xfId="0" applyFont="1" applyFill="1" applyBorder="1" applyAlignment="1">
      <alignment horizontal="left" vertical="center" wrapText="1" readingOrder="1"/>
    </xf>
    <xf numFmtId="0" fontId="37" fillId="31" borderId="0" xfId="0" applyFont="1" applyFill="1" applyBorder="1" applyAlignment="1">
      <alignment horizontal="left" vertical="center" wrapText="1" readingOrder="1"/>
    </xf>
    <xf numFmtId="0" fontId="0" fillId="0" borderId="0" xfId="0" applyAlignment="1">
      <alignment horizontal="left" indent="2"/>
    </xf>
    <xf numFmtId="0" fontId="0" fillId="13" borderId="0" xfId="0" applyFill="1" applyAlignment="1">
      <alignment horizontal="center" vertical="center"/>
    </xf>
    <xf numFmtId="0" fontId="0" fillId="0" borderId="0" xfId="0" applyAlignment="1">
      <alignment wrapText="1"/>
    </xf>
    <xf numFmtId="0" fontId="0" fillId="43" borderId="0" xfId="0" applyFill="1" applyAlignment="1">
      <alignment horizontal="center" vertical="center"/>
    </xf>
    <xf numFmtId="0" fontId="40" fillId="14" borderId="21" xfId="0" applyFont="1" applyFill="1" applyBorder="1" applyAlignment="1">
      <alignment horizontal="center" vertical="center" wrapText="1"/>
    </xf>
    <xf numFmtId="0" fontId="40" fillId="0" borderId="21" xfId="0" applyFont="1" applyBorder="1" applyAlignment="1">
      <alignment horizontal="center" vertical="center" wrapText="1"/>
    </xf>
    <xf numFmtId="0" fontId="40" fillId="15" borderId="21" xfId="0" quotePrefix="1" applyFont="1" applyFill="1" applyBorder="1" applyAlignment="1">
      <alignment horizontal="center" vertical="center" wrapText="1"/>
    </xf>
    <xf numFmtId="0" fontId="53" fillId="45" borderId="21" xfId="0" quotePrefix="1" applyFont="1" applyFill="1" applyBorder="1" applyAlignment="1">
      <alignment horizontal="center" vertical="center" wrapText="1"/>
    </xf>
    <xf numFmtId="0" fontId="53" fillId="45" borderId="21" xfId="0" applyFont="1" applyFill="1" applyBorder="1" applyAlignment="1">
      <alignment horizontal="center" vertical="center" wrapText="1"/>
    </xf>
    <xf numFmtId="0" fontId="19" fillId="14" borderId="40" xfId="0" applyFont="1" applyFill="1" applyBorder="1" applyAlignment="1">
      <alignment horizontal="left" vertical="center" wrapText="1"/>
    </xf>
    <xf numFmtId="0" fontId="19" fillId="13" borderId="40" xfId="0" applyFont="1" applyFill="1" applyBorder="1" applyAlignment="1">
      <alignment horizontal="center" vertical="center" wrapText="1"/>
    </xf>
    <xf numFmtId="0" fontId="19" fillId="0" borderId="10" xfId="0" applyFont="1" applyBorder="1" applyAlignment="1">
      <alignment horizontal="center" vertical="center" wrapText="1"/>
    </xf>
    <xf numFmtId="15" fontId="0" fillId="0" borderId="0" xfId="0" applyNumberFormat="1" applyAlignment="1">
      <alignment horizontal="left" vertical="top" wrapText="1"/>
    </xf>
    <xf numFmtId="0" fontId="0" fillId="3" borderId="0" xfId="0" applyFill="1" applyAlignment="1">
      <alignment horizontal="left" vertical="top" wrapText="1"/>
    </xf>
    <xf numFmtId="0" fontId="0" fillId="0" borderId="41" xfId="0" applyBorder="1" applyAlignment="1">
      <alignment horizontal="left" vertical="top" wrapText="1"/>
    </xf>
    <xf numFmtId="0" fontId="0" fillId="24" borderId="41" xfId="0" applyFill="1" applyBorder="1" applyAlignment="1">
      <alignment horizontal="left" vertical="top" wrapText="1"/>
    </xf>
    <xf numFmtId="0" fontId="0" fillId="8" borderId="41" xfId="0" applyFill="1" applyBorder="1" applyAlignment="1">
      <alignment horizontal="left" vertical="top" wrapText="1"/>
    </xf>
    <xf numFmtId="15" fontId="5" fillId="4" borderId="1" xfId="2" applyNumberFormat="1" applyFont="1" applyFill="1" applyBorder="1" applyAlignment="1">
      <alignment horizontal="left" vertical="top" wrapText="1"/>
    </xf>
    <xf numFmtId="15" fontId="5" fillId="4" borderId="1" xfId="2" quotePrefix="1" applyNumberFormat="1" applyFont="1" applyFill="1" applyBorder="1" applyAlignment="1">
      <alignment horizontal="left" vertical="top" wrapText="1"/>
    </xf>
    <xf numFmtId="0" fontId="34" fillId="4" borderId="3" xfId="0" applyFont="1" applyFill="1" applyBorder="1" applyAlignment="1">
      <alignment horizontal="left" vertical="top" wrapText="1"/>
    </xf>
    <xf numFmtId="0" fontId="9" fillId="0" borderId="0" xfId="3" applyFill="1" applyAlignment="1">
      <alignment horizontal="left" vertical="top" wrapText="1"/>
    </xf>
    <xf numFmtId="0" fontId="18" fillId="9" borderId="0" xfId="0" applyFont="1" applyFill="1" applyAlignment="1">
      <alignment horizontal="left" vertical="center"/>
    </xf>
    <xf numFmtId="0" fontId="18" fillId="9" borderId="0" xfId="0" applyFont="1" applyFill="1" applyAlignment="1">
      <alignment horizontal="left" vertical="center" wrapText="1"/>
    </xf>
    <xf numFmtId="0" fontId="20" fillId="9" borderId="0" xfId="0" applyFont="1" applyFill="1" applyAlignment="1">
      <alignment horizontal="left" vertical="center"/>
    </xf>
    <xf numFmtId="0" fontId="20" fillId="9" borderId="0" xfId="0" applyFont="1" applyFill="1" applyAlignment="1">
      <alignment horizontal="left" vertical="center" wrapText="1"/>
    </xf>
    <xf numFmtId="0" fontId="19" fillId="0" borderId="0" xfId="0" applyFont="1" applyFill="1" applyAlignment="1">
      <alignment horizontal="left" vertical="top"/>
    </xf>
    <xf numFmtId="0" fontId="19" fillId="0" borderId="0" xfId="0" applyFont="1" applyBorder="1" applyAlignment="1">
      <alignment vertical="center" wrapText="1"/>
    </xf>
    <xf numFmtId="0" fontId="0" fillId="0" borderId="0" xfId="0"/>
    <xf numFmtId="0" fontId="0" fillId="0" borderId="0" xfId="0" applyAlignment="1">
      <alignment horizontal="left"/>
    </xf>
    <xf numFmtId="0" fontId="19" fillId="0" borderId="0" xfId="0" applyFont="1" applyAlignment="1">
      <alignment vertical="center" wrapText="1"/>
    </xf>
    <xf numFmtId="0" fontId="0" fillId="0" borderId="0" xfId="0" pivotButton="1"/>
    <xf numFmtId="0" fontId="0" fillId="0" borderId="0" xfId="0" applyNumberFormat="1"/>
    <xf numFmtId="0" fontId="20" fillId="9" borderId="0" xfId="0" applyFont="1" applyFill="1" applyBorder="1" applyAlignment="1">
      <alignment horizontal="left" vertical="center" wrapText="1"/>
    </xf>
    <xf numFmtId="0" fontId="0" fillId="0" borderId="0" xfId="0" applyAlignment="1">
      <alignment vertical="center" wrapText="1"/>
    </xf>
    <xf numFmtId="0" fontId="0" fillId="0" borderId="0" xfId="0" applyAlignment="1">
      <alignment horizontal="left" vertical="center" wrapText="1"/>
    </xf>
    <xf numFmtId="0" fontId="0" fillId="44" borderId="0" xfId="0" applyFill="1" applyAlignment="1">
      <alignment horizontal="left" vertical="top"/>
    </xf>
    <xf numFmtId="0" fontId="0" fillId="7" borderId="8" xfId="0" applyFill="1" applyBorder="1" applyAlignment="1">
      <alignment horizontal="left" vertical="top"/>
    </xf>
    <xf numFmtId="0" fontId="0" fillId="7" borderId="0" xfId="0" applyFill="1"/>
    <xf numFmtId="0" fontId="0" fillId="0" borderId="0" xfId="0"/>
    <xf numFmtId="0" fontId="19" fillId="0" borderId="0" xfId="0" applyFont="1" applyAlignment="1">
      <alignment vertical="center" wrapText="1"/>
    </xf>
    <xf numFmtId="0" fontId="19" fillId="0" borderId="10" xfId="0" applyFont="1" applyBorder="1" applyAlignment="1">
      <alignment vertical="center" wrapText="1"/>
    </xf>
    <xf numFmtId="0" fontId="19" fillId="0" borderId="0" xfId="0" applyFont="1" applyBorder="1" applyAlignment="1">
      <alignment vertical="center" wrapText="1"/>
    </xf>
    <xf numFmtId="14" fontId="0" fillId="0" borderId="0" xfId="0" applyNumberFormat="1"/>
    <xf numFmtId="49" fontId="5" fillId="12" borderId="1" xfId="2" applyNumberFormat="1" applyFont="1" applyFill="1" applyBorder="1" applyAlignment="1">
      <alignment horizontal="left" vertical="top" wrapText="1"/>
    </xf>
    <xf numFmtId="15" fontId="5" fillId="0" borderId="1" xfId="2" applyNumberFormat="1" applyFont="1" applyBorder="1" applyAlignment="1">
      <alignment horizontal="left" vertical="top" wrapText="1"/>
    </xf>
    <xf numFmtId="15" fontId="5" fillId="0" borderId="1" xfId="2" quotePrefix="1" applyNumberFormat="1" applyFont="1" applyBorder="1" applyAlignment="1">
      <alignment horizontal="left" vertical="top" wrapText="1"/>
    </xf>
    <xf numFmtId="15" fontId="9" fillId="0" borderId="1" xfId="3" applyNumberFormat="1" applyFill="1" applyBorder="1" applyAlignment="1">
      <alignment horizontal="left" vertical="top" wrapText="1"/>
    </xf>
    <xf numFmtId="0" fontId="19" fillId="12" borderId="0" xfId="0" applyFont="1" applyFill="1" applyAlignment="1">
      <alignment horizontal="left" vertical="top" wrapText="1"/>
    </xf>
    <xf numFmtId="0" fontId="19" fillId="15" borderId="10" xfId="0" applyFont="1" applyFill="1" applyBorder="1" applyAlignment="1">
      <alignment vertical="center" wrapText="1"/>
    </xf>
    <xf numFmtId="0" fontId="0" fillId="15" borderId="0" xfId="0" applyFill="1" applyAlignment="1">
      <alignment horizontal="center" vertical="top"/>
    </xf>
    <xf numFmtId="0" fontId="0" fillId="0" borderId="0" xfId="0" applyFill="1" applyAlignment="1">
      <alignment horizontal="center" vertical="top"/>
    </xf>
    <xf numFmtId="0" fontId="56" fillId="46" borderId="42" xfId="0" applyFont="1" applyFill="1" applyBorder="1" applyAlignment="1">
      <alignment horizontal="center" vertical="center"/>
    </xf>
    <xf numFmtId="16" fontId="56" fillId="46" borderId="43" xfId="0" applyNumberFormat="1" applyFont="1" applyFill="1" applyBorder="1" applyAlignment="1">
      <alignment horizontal="center" vertical="center"/>
    </xf>
    <xf numFmtId="16" fontId="56" fillId="46" borderId="42" xfId="0" applyNumberFormat="1" applyFont="1" applyFill="1" applyBorder="1" applyAlignment="1">
      <alignment horizontal="center" vertical="center"/>
    </xf>
    <xf numFmtId="0" fontId="56" fillId="46" borderId="44" xfId="0" applyFont="1" applyFill="1" applyBorder="1" applyAlignment="1">
      <alignment horizontal="center" vertical="center"/>
    </xf>
    <xf numFmtId="20" fontId="12" fillId="4" borderId="45" xfId="2" applyNumberFormat="1" applyFont="1" applyFill="1" applyBorder="1" applyAlignment="1">
      <alignment horizontal="center" vertical="center" wrapText="1"/>
    </xf>
    <xf numFmtId="0" fontId="0" fillId="8" borderId="41" xfId="0" applyFill="1" applyBorder="1" applyAlignment="1">
      <alignment horizontal="center" vertical="center" wrapText="1"/>
    </xf>
    <xf numFmtId="0" fontId="0" fillId="47" borderId="41" xfId="0" applyFill="1" applyBorder="1" applyAlignment="1">
      <alignment horizontal="center" vertical="center"/>
    </xf>
    <xf numFmtId="20" fontId="0" fillId="0" borderId="46" xfId="0" applyNumberFormat="1" applyBorder="1" applyAlignment="1">
      <alignment horizontal="center"/>
    </xf>
    <xf numFmtId="0" fontId="0" fillId="4" borderId="41" xfId="0" applyFill="1" applyBorder="1" applyAlignment="1">
      <alignment horizontal="center" vertical="center" wrapText="1"/>
    </xf>
    <xf numFmtId="0" fontId="0" fillId="4" borderId="20" xfId="0" applyFill="1" applyBorder="1" applyAlignment="1">
      <alignment horizontal="center" vertical="center" wrapText="1"/>
    </xf>
    <xf numFmtId="0" fontId="0" fillId="48" borderId="20" xfId="0" applyFill="1" applyBorder="1" applyAlignment="1">
      <alignment horizontal="center" vertical="center" wrapText="1"/>
    </xf>
    <xf numFmtId="0" fontId="0" fillId="47" borderId="20" xfId="0" applyFill="1" applyBorder="1" applyAlignment="1">
      <alignment horizontal="center" vertical="center"/>
    </xf>
    <xf numFmtId="20" fontId="12" fillId="4" borderId="47" xfId="2" applyNumberFormat="1" applyFont="1" applyFill="1" applyBorder="1" applyAlignment="1">
      <alignment horizontal="center" vertical="center" wrapText="1"/>
    </xf>
    <xf numFmtId="20" fontId="0" fillId="0" borderId="50" xfId="0" applyNumberFormat="1" applyBorder="1" applyAlignment="1">
      <alignment horizontal="center"/>
    </xf>
    <xf numFmtId="0" fontId="0" fillId="43" borderId="20" xfId="0" applyFill="1" applyBorder="1" applyAlignment="1">
      <alignment horizontal="center" vertical="center" wrapText="1"/>
    </xf>
    <xf numFmtId="0" fontId="0" fillId="4" borderId="0" xfId="0" applyFont="1" applyFill="1"/>
    <xf numFmtId="0" fontId="0" fillId="0" borderId="0" xfId="0" applyFont="1" applyAlignment="1">
      <alignment horizontal="left" vertical="top"/>
    </xf>
    <xf numFmtId="0" fontId="10" fillId="49" borderId="0" xfId="0" applyFont="1" applyFill="1" applyAlignment="1">
      <alignment horizontal="left" vertical="top"/>
    </xf>
    <xf numFmtId="0" fontId="10" fillId="50" borderId="0" xfId="0" applyFont="1" applyFill="1" applyAlignment="1">
      <alignment horizontal="left" vertical="top" wrapText="1"/>
    </xf>
    <xf numFmtId="0" fontId="10" fillId="51" borderId="0" xfId="0" applyFont="1" applyFill="1" applyAlignment="1">
      <alignment horizontal="left" vertical="top"/>
    </xf>
    <xf numFmtId="0" fontId="10" fillId="52" borderId="0" xfId="0" applyFont="1" applyFill="1" applyAlignment="1">
      <alignment horizontal="left" vertical="top"/>
    </xf>
    <xf numFmtId="0" fontId="10" fillId="53" borderId="0" xfId="0" applyFont="1" applyFill="1" applyAlignment="1">
      <alignment horizontal="left" vertical="top" wrapText="1"/>
    </xf>
    <xf numFmtId="0" fontId="10" fillId="54" borderId="0" xfId="0" applyFont="1" applyFill="1" applyAlignment="1">
      <alignment horizontal="left" vertical="top"/>
    </xf>
    <xf numFmtId="0" fontId="10" fillId="55" borderId="0" xfId="0" applyFont="1" applyFill="1" applyAlignment="1">
      <alignment horizontal="left" vertical="top"/>
    </xf>
    <xf numFmtId="0" fontId="0" fillId="56" borderId="0" xfId="0" applyFill="1" applyAlignment="1">
      <alignment horizontal="left" vertical="top"/>
    </xf>
    <xf numFmtId="0" fontId="10" fillId="56" borderId="0" xfId="0" applyFont="1" applyFill="1" applyAlignment="1">
      <alignment horizontal="left" vertical="top"/>
    </xf>
    <xf numFmtId="0" fontId="0" fillId="4" borderId="0" xfId="0" applyFont="1" applyFill="1" applyBorder="1" applyAlignment="1">
      <alignment horizontal="center" vertical="center" wrapText="1"/>
    </xf>
    <xf numFmtId="0" fontId="0" fillId="4" borderId="20" xfId="0" applyFont="1" applyFill="1" applyBorder="1" applyAlignment="1">
      <alignment horizontal="center" vertical="center" wrapText="1"/>
    </xf>
    <xf numFmtId="0" fontId="0" fillId="44" borderId="0" xfId="0" applyFont="1" applyFill="1" applyAlignment="1">
      <alignment horizontal="left" vertical="top"/>
    </xf>
    <xf numFmtId="0" fontId="0" fillId="57" borderId="0" xfId="0" applyFill="1" applyAlignment="1">
      <alignment horizontal="left" vertical="top"/>
    </xf>
    <xf numFmtId="0" fontId="10" fillId="57" borderId="0" xfId="0" applyFont="1" applyFill="1" applyAlignment="1">
      <alignment horizontal="left" vertical="top"/>
    </xf>
    <xf numFmtId="0" fontId="0" fillId="4" borderId="0" xfId="0" applyFont="1" applyFill="1" applyAlignment="1">
      <alignment horizontal="center" vertical="center"/>
    </xf>
    <xf numFmtId="0" fontId="12" fillId="15" borderId="51" xfId="0" applyFont="1" applyFill="1" applyBorder="1" applyAlignment="1">
      <alignment vertical="top" wrapText="1"/>
    </xf>
    <xf numFmtId="0" fontId="12" fillId="15" borderId="41" xfId="0" applyFont="1" applyFill="1" applyBorder="1" applyAlignment="1">
      <alignment horizontal="center" vertical="center" wrapText="1"/>
    </xf>
    <xf numFmtId="0" fontId="10" fillId="49" borderId="7" xfId="0" applyFont="1" applyFill="1" applyBorder="1" applyAlignment="1">
      <alignment horizontal="left" vertical="center"/>
    </xf>
    <xf numFmtId="0" fontId="10" fillId="50" borderId="7" xfId="0" applyFont="1" applyFill="1" applyBorder="1" applyAlignment="1">
      <alignment horizontal="left" vertical="center" wrapText="1"/>
    </xf>
    <xf numFmtId="0" fontId="10" fillId="57" borderId="7" xfId="0" applyFont="1" applyFill="1" applyBorder="1" applyAlignment="1">
      <alignment vertical="center" wrapText="1"/>
    </xf>
    <xf numFmtId="0" fontId="10" fillId="57" borderId="7" xfId="0" applyFont="1" applyFill="1" applyBorder="1" applyAlignment="1">
      <alignment horizontal="left" vertical="center"/>
    </xf>
    <xf numFmtId="0" fontId="10" fillId="51" borderId="7" xfId="0" applyFont="1" applyFill="1" applyBorder="1" applyAlignment="1">
      <alignment horizontal="left" vertical="center"/>
    </xf>
    <xf numFmtId="0" fontId="10" fillId="52" borderId="7" xfId="0" applyFont="1" applyFill="1" applyBorder="1" applyAlignment="1">
      <alignment vertical="center" wrapText="1"/>
    </xf>
    <xf numFmtId="0" fontId="10" fillId="52" borderId="7" xfId="0" applyFont="1" applyFill="1" applyBorder="1" applyAlignment="1">
      <alignment horizontal="left" vertical="center"/>
    </xf>
    <xf numFmtId="0" fontId="10" fillId="53" borderId="7" xfId="0" applyFont="1" applyFill="1" applyBorder="1" applyAlignment="1">
      <alignment vertical="center" wrapText="1"/>
    </xf>
    <xf numFmtId="0" fontId="10" fillId="53" borderId="7" xfId="0" applyFont="1" applyFill="1" applyBorder="1" applyAlignment="1">
      <alignment horizontal="left" vertical="center" wrapText="1"/>
    </xf>
    <xf numFmtId="0" fontId="10" fillId="54" borderId="7" xfId="0" applyFont="1" applyFill="1" applyBorder="1" applyAlignment="1">
      <alignment horizontal="left" vertical="center"/>
    </xf>
    <xf numFmtId="0" fontId="10" fillId="55" borderId="7" xfId="0" applyFont="1" applyFill="1" applyBorder="1" applyAlignment="1">
      <alignment horizontal="left" vertical="center"/>
    </xf>
    <xf numFmtId="0" fontId="10" fillId="56" borderId="7" xfId="0" applyFont="1" applyFill="1" applyBorder="1" applyAlignment="1">
      <alignment horizontal="left" vertical="center"/>
    </xf>
    <xf numFmtId="0" fontId="17" fillId="36" borderId="21" xfId="0" applyFont="1" applyFill="1" applyBorder="1" applyAlignment="1">
      <alignment horizontal="left" vertical="top" wrapText="1"/>
    </xf>
    <xf numFmtId="0" fontId="0" fillId="37" borderId="21" xfId="0" applyFont="1" applyFill="1" applyBorder="1" applyAlignment="1">
      <alignment horizontal="center" vertical="center"/>
    </xf>
    <xf numFmtId="0" fontId="12" fillId="4" borderId="21" xfId="0" applyFont="1" applyFill="1" applyBorder="1" applyAlignment="1">
      <alignment horizontal="left" vertical="top" wrapText="1"/>
    </xf>
    <xf numFmtId="0" fontId="12" fillId="4" borderId="21" xfId="0" applyFont="1" applyFill="1" applyBorder="1" applyAlignment="1">
      <alignment horizontal="center" vertical="center"/>
    </xf>
    <xf numFmtId="0" fontId="55" fillId="36" borderId="21" xfId="0" applyFont="1" applyFill="1" applyBorder="1" applyAlignment="1">
      <alignment horizontal="left" vertical="top" wrapText="1"/>
    </xf>
    <xf numFmtId="0" fontId="19" fillId="4" borderId="0" xfId="0" applyFont="1" applyFill="1" applyAlignment="1">
      <alignment horizontal="center" vertical="center"/>
    </xf>
    <xf numFmtId="0" fontId="19" fillId="4" borderId="0" xfId="0" applyFont="1" applyFill="1"/>
    <xf numFmtId="0" fontId="2" fillId="36" borderId="21" xfId="0" applyFont="1" applyFill="1" applyBorder="1" applyAlignment="1">
      <alignment horizontal="left" vertical="top" wrapText="1"/>
    </xf>
    <xf numFmtId="15" fontId="40" fillId="4" borderId="21" xfId="0" applyNumberFormat="1" applyFont="1" applyFill="1" applyBorder="1" applyAlignment="1">
      <alignment horizontal="left" vertical="top" wrapText="1"/>
    </xf>
    <xf numFmtId="15" fontId="34" fillId="4" borderId="21" xfId="0" applyNumberFormat="1" applyFont="1" applyFill="1" applyBorder="1" applyAlignment="1">
      <alignment horizontal="left" vertical="top" wrapText="1"/>
    </xf>
    <xf numFmtId="0" fontId="34" fillId="4" borderId="21" xfId="0" applyFont="1" applyFill="1" applyBorder="1" applyAlignment="1">
      <alignment horizontal="left" vertical="top" wrapText="1"/>
    </xf>
    <xf numFmtId="0" fontId="34" fillId="4" borderId="0" xfId="0" applyFont="1" applyFill="1" applyAlignment="1">
      <alignment horizontal="left" vertical="top" wrapText="1"/>
    </xf>
    <xf numFmtId="0" fontId="59" fillId="0" borderId="21" xfId="0" applyFont="1" applyBorder="1" applyAlignment="1">
      <alignment horizontal="left" vertical="top" wrapText="1"/>
    </xf>
    <xf numFmtId="0" fontId="34" fillId="0" borderId="21" xfId="0" applyFont="1" applyBorder="1" applyAlignment="1">
      <alignment horizontal="left" vertical="top" wrapText="1"/>
    </xf>
    <xf numFmtId="0" fontId="57" fillId="4" borderId="0" xfId="0" applyFont="1" applyFill="1" applyAlignment="1">
      <alignment horizontal="left" vertical="top" wrapText="1"/>
    </xf>
    <xf numFmtId="0" fontId="58" fillId="4" borderId="0" xfId="3" applyFont="1" applyFill="1" applyAlignment="1">
      <alignment horizontal="left" vertical="top" wrapText="1"/>
    </xf>
    <xf numFmtId="0" fontId="34" fillId="37" borderId="21" xfId="0" applyFont="1" applyFill="1" applyBorder="1" applyAlignment="1">
      <alignment horizontal="left" vertical="top" wrapText="1"/>
    </xf>
    <xf numFmtId="0" fontId="20" fillId="36" borderId="21" xfId="0" applyFont="1" applyFill="1" applyBorder="1" applyAlignment="1">
      <alignment vertical="top" wrapText="1"/>
    </xf>
    <xf numFmtId="15" fontId="19" fillId="4" borderId="21" xfId="0" applyNumberFormat="1" applyFont="1" applyFill="1" applyBorder="1" applyAlignment="1">
      <alignment vertical="top" wrapText="1"/>
    </xf>
    <xf numFmtId="0" fontId="19" fillId="4" borderId="3" xfId="0" applyFont="1" applyFill="1" applyBorder="1" applyAlignment="1">
      <alignment horizontal="left" vertical="top" wrapText="1"/>
    </xf>
    <xf numFmtId="0" fontId="34" fillId="14" borderId="3" xfId="0" applyFont="1" applyFill="1" applyBorder="1" applyAlignment="1">
      <alignment horizontal="left" vertical="center" wrapText="1"/>
    </xf>
    <xf numFmtId="166" fontId="34" fillId="14" borderId="3" xfId="0" applyNumberFormat="1" applyFont="1" applyFill="1" applyBorder="1" applyAlignment="1">
      <alignment horizontal="left" vertical="center" wrapText="1"/>
    </xf>
    <xf numFmtId="0" fontId="34" fillId="0" borderId="0" xfId="0" applyFont="1" applyAlignment="1">
      <alignment horizontal="center" vertical="center" wrapText="1"/>
    </xf>
    <xf numFmtId="0" fontId="34" fillId="12" borderId="0" xfId="0" applyFont="1" applyFill="1" applyAlignment="1">
      <alignment horizontal="left" vertical="top"/>
    </xf>
    <xf numFmtId="0" fontId="19" fillId="37" borderId="21" xfId="0" applyFont="1" applyFill="1" applyBorder="1"/>
    <xf numFmtId="15" fontId="19" fillId="4" borderId="21" xfId="0" applyNumberFormat="1" applyFont="1" applyFill="1" applyBorder="1" applyAlignment="1">
      <alignment horizontal="left" vertical="top" wrapText="1"/>
    </xf>
    <xf numFmtId="15" fontId="19" fillId="4" borderId="21" xfId="0" applyNumberFormat="1" applyFont="1" applyFill="1" applyBorder="1" applyAlignment="1">
      <alignment horizontal="left" vertical="center" wrapText="1"/>
    </xf>
    <xf numFmtId="170" fontId="19" fillId="4" borderId="21" xfId="0" applyNumberFormat="1" applyFont="1" applyFill="1" applyBorder="1" applyAlignment="1">
      <alignment horizontal="center" vertical="center" wrapText="1"/>
    </xf>
    <xf numFmtId="0" fontId="19" fillId="4" borderId="0" xfId="0" applyFont="1" applyFill="1" applyAlignment="1">
      <alignment horizontal="left" vertical="center" wrapText="1"/>
    </xf>
    <xf numFmtId="0" fontId="19" fillId="4" borderId="0" xfId="709" applyFont="1" applyFill="1" applyAlignment="1">
      <alignment horizontal="left" vertical="center" wrapText="1"/>
    </xf>
    <xf numFmtId="0" fontId="19" fillId="4" borderId="0" xfId="0" applyFont="1" applyFill="1" applyAlignment="1">
      <alignment wrapText="1"/>
    </xf>
    <xf numFmtId="1" fontId="19" fillId="4" borderId="21" xfId="0" applyNumberFormat="1" applyFont="1" applyFill="1" applyBorder="1" applyAlignment="1">
      <alignment horizontal="center" vertical="center" wrapText="1"/>
    </xf>
    <xf numFmtId="0" fontId="19" fillId="4" borderId="0" xfId="709" applyFont="1" applyFill="1" applyAlignment="1">
      <alignment horizontal="left" vertical="center"/>
    </xf>
    <xf numFmtId="0" fontId="0" fillId="0" borderId="41" xfId="0" applyFill="1" applyBorder="1" applyAlignment="1">
      <alignment horizontal="left" vertical="top" wrapText="1"/>
    </xf>
    <xf numFmtId="0" fontId="19" fillId="15" borderId="0" xfId="0" applyFont="1" applyFill="1" applyBorder="1" applyAlignment="1">
      <alignment vertical="center" wrapText="1"/>
    </xf>
    <xf numFmtId="0" fontId="19" fillId="0" borderId="0" xfId="0" applyFont="1" applyFill="1" applyAlignment="1">
      <alignment horizontal="left" vertical="top" wrapText="1"/>
    </xf>
    <xf numFmtId="0" fontId="0" fillId="0" borderId="7" xfId="0" applyBorder="1"/>
    <xf numFmtId="0" fontId="0" fillId="0" borderId="0" xfId="0" applyAlignment="1">
      <alignment vertical="top" wrapText="1"/>
    </xf>
    <xf numFmtId="0" fontId="0" fillId="0" borderId="0" xfId="0" applyAlignment="1">
      <alignment horizontal="right" vertical="top" wrapText="1"/>
    </xf>
    <xf numFmtId="0" fontId="19" fillId="0" borderId="0" xfId="0" applyFont="1" applyBorder="1" applyAlignment="1">
      <alignment horizontal="left" vertical="top" wrapText="1"/>
    </xf>
    <xf numFmtId="0" fontId="0" fillId="43" borderId="0" xfId="0" applyFill="1" applyAlignment="1">
      <alignment horizontal="left" vertical="top" wrapText="1"/>
    </xf>
    <xf numFmtId="0" fontId="0" fillId="6" borderId="0" xfId="0" applyFill="1" applyAlignment="1">
      <alignment horizontal="center" vertical="center"/>
    </xf>
    <xf numFmtId="0" fontId="44" fillId="29" borderId="0" xfId="0" applyFont="1" applyFill="1" applyAlignment="1">
      <alignment vertical="center" wrapText="1"/>
    </xf>
    <xf numFmtId="0" fontId="22" fillId="29" borderId="0" xfId="0" applyFont="1" applyFill="1" applyAlignment="1">
      <alignment vertical="center" wrapText="1"/>
    </xf>
    <xf numFmtId="0" fontId="61" fillId="29" borderId="0" xfId="0" applyFont="1" applyFill="1"/>
    <xf numFmtId="168" fontId="32" fillId="29" borderId="0" xfId="0" applyNumberFormat="1" applyFont="1" applyFill="1" applyAlignment="1">
      <alignment vertical="center"/>
    </xf>
    <xf numFmtId="0" fontId="61" fillId="0" borderId="0" xfId="0" applyFont="1"/>
    <xf numFmtId="0" fontId="13" fillId="15" borderId="21" xfId="0" applyFont="1" applyFill="1" applyBorder="1" applyAlignment="1">
      <alignment horizontal="center" vertical="center"/>
    </xf>
    <xf numFmtId="15" fontId="34" fillId="15" borderId="0" xfId="0" applyNumberFormat="1" applyFont="1" applyFill="1" applyAlignment="1">
      <alignment horizontal="left" vertical="top" wrapText="1"/>
    </xf>
    <xf numFmtId="0" fontId="0" fillId="7" borderId="10" xfId="0" applyFill="1" applyBorder="1" applyAlignment="1">
      <alignment horizontal="left" vertical="top"/>
    </xf>
    <xf numFmtId="0" fontId="40" fillId="4" borderId="0" xfId="0" applyFont="1" applyFill="1" applyAlignment="1">
      <alignment horizontal="left" vertical="top" wrapText="1"/>
    </xf>
    <xf numFmtId="0" fontId="34" fillId="4" borderId="0" xfId="0" applyFont="1" applyFill="1" applyAlignment="1">
      <alignment horizontal="left" vertical="top"/>
    </xf>
    <xf numFmtId="0" fontId="0" fillId="4" borderId="0" xfId="0" quotePrefix="1" applyFill="1"/>
    <xf numFmtId="0" fontId="6" fillId="4" borderId="0" xfId="0" applyFont="1" applyFill="1"/>
    <xf numFmtId="15" fontId="62" fillId="4" borderId="0" xfId="2" applyNumberFormat="1" applyFont="1" applyFill="1"/>
    <xf numFmtId="0" fontId="4" fillId="4" borderId="0" xfId="2" applyFill="1"/>
    <xf numFmtId="0" fontId="64" fillId="7" borderId="41" xfId="2" applyFont="1" applyFill="1" applyBorder="1" applyAlignment="1">
      <alignment horizontal="center" vertical="center" wrapText="1"/>
    </xf>
    <xf numFmtId="0" fontId="64" fillId="15" borderId="41" xfId="2" applyFont="1" applyFill="1" applyBorder="1" applyAlignment="1">
      <alignment horizontal="center" vertical="center" wrapText="1"/>
    </xf>
    <xf numFmtId="171" fontId="64" fillId="7" borderId="41" xfId="2" applyNumberFormat="1" applyFont="1" applyFill="1" applyBorder="1" applyAlignment="1">
      <alignment horizontal="center" vertical="center" wrapText="1"/>
    </xf>
    <xf numFmtId="171" fontId="64" fillId="15" borderId="41" xfId="2" applyNumberFormat="1" applyFont="1" applyFill="1" applyBorder="1" applyAlignment="1">
      <alignment horizontal="center" vertical="center" wrapText="1"/>
    </xf>
    <xf numFmtId="0" fontId="63" fillId="0" borderId="41" xfId="2" applyFont="1" applyBorder="1" applyAlignment="1">
      <alignment horizontal="center" vertical="center" wrapText="1"/>
    </xf>
    <xf numFmtId="16" fontId="64" fillId="7" borderId="41" xfId="2" applyNumberFormat="1" applyFont="1" applyFill="1" applyBorder="1" applyAlignment="1">
      <alignment horizontal="center" vertical="center" wrapText="1"/>
    </xf>
    <xf numFmtId="16" fontId="64" fillId="15" borderId="41" xfId="2" applyNumberFormat="1" applyFont="1" applyFill="1" applyBorder="1" applyAlignment="1">
      <alignment horizontal="center" vertical="center" wrapText="1"/>
    </xf>
    <xf numFmtId="20" fontId="4" fillId="0" borderId="41" xfId="2" applyNumberFormat="1" applyBorder="1" applyAlignment="1">
      <alignment horizontal="center" vertical="center" wrapText="1"/>
    </xf>
    <xf numFmtId="0" fontId="4" fillId="25" borderId="41" xfId="2" applyFill="1" applyBorder="1" applyAlignment="1">
      <alignment horizontal="center" vertical="center" wrapText="1" shrinkToFit="1"/>
    </xf>
    <xf numFmtId="0" fontId="4" fillId="8" borderId="41" xfId="2" applyFill="1" applyBorder="1" applyAlignment="1">
      <alignment horizontal="center" vertical="center" wrapText="1" shrinkToFit="1"/>
    </xf>
    <xf numFmtId="20" fontId="65" fillId="0" borderId="41" xfId="2" applyNumberFormat="1" applyFont="1" applyBorder="1" applyAlignment="1">
      <alignment horizontal="center" vertical="center" wrapText="1"/>
    </xf>
    <xf numFmtId="0" fontId="10" fillId="2" borderId="3" xfId="6" applyFont="1" applyFill="1" applyBorder="1" applyAlignment="1">
      <alignment vertical="center" wrapText="1"/>
    </xf>
    <xf numFmtId="172" fontId="4" fillId="4" borderId="41" xfId="2" applyNumberFormat="1" applyFill="1" applyBorder="1" applyAlignment="1">
      <alignment horizontal="left" vertical="top" wrapText="1"/>
    </xf>
    <xf numFmtId="15" fontId="4" fillId="4" borderId="41" xfId="2" applyNumberFormat="1" applyFill="1" applyBorder="1" applyAlignment="1">
      <alignment horizontal="left" vertical="top" wrapText="1"/>
    </xf>
    <xf numFmtId="0" fontId="4" fillId="4" borderId="41" xfId="2" applyFill="1" applyBorder="1" applyAlignment="1">
      <alignment horizontal="left" vertical="top" wrapText="1"/>
    </xf>
    <xf numFmtId="0" fontId="40" fillId="59" borderId="21" xfId="583" applyFont="1" applyFill="1" applyBorder="1" applyAlignment="1">
      <alignment horizontal="center" vertical="center" wrapText="1"/>
    </xf>
    <xf numFmtId="0" fontId="40" fillId="59" borderId="21" xfId="583" quotePrefix="1" applyFont="1" applyFill="1" applyBorder="1" applyAlignment="1">
      <alignment horizontal="center" vertical="center" wrapText="1"/>
    </xf>
    <xf numFmtId="0" fontId="66" fillId="4" borderId="0" xfId="0" applyFont="1" applyFill="1" applyBorder="1"/>
    <xf numFmtId="0" fontId="4" fillId="7" borderId="67" xfId="2" applyFill="1" applyBorder="1" applyAlignment="1">
      <alignment horizontal="center" vertical="center" wrapText="1" shrinkToFit="1"/>
    </xf>
    <xf numFmtId="0" fontId="4" fillId="7" borderId="68" xfId="2" applyFill="1" applyBorder="1" applyAlignment="1">
      <alignment horizontal="center" vertical="center" wrapText="1" shrinkToFit="1"/>
    </xf>
    <xf numFmtId="0" fontId="4" fillId="7" borderId="69" xfId="2" applyFill="1" applyBorder="1" applyAlignment="1">
      <alignment horizontal="center" vertical="center" wrapText="1" shrinkToFit="1"/>
    </xf>
    <xf numFmtId="0" fontId="19" fillId="41" borderId="0" xfId="0" applyFont="1" applyFill="1" applyAlignment="1">
      <alignment horizontal="center" vertical="top" wrapText="1"/>
    </xf>
    <xf numFmtId="0" fontId="0" fillId="0" borderId="0" xfId="0" applyFill="1" applyBorder="1" applyAlignment="1">
      <alignment horizontal="center" vertical="top"/>
    </xf>
    <xf numFmtId="0" fontId="12" fillId="19" borderId="0" xfId="0" applyFont="1" applyFill="1" applyAlignment="1">
      <alignment horizontal="left" vertical="top" wrapText="1"/>
    </xf>
    <xf numFmtId="0" fontId="0" fillId="19" borderId="0" xfId="0" applyFill="1" applyAlignment="1">
      <alignment horizontal="left" vertical="top" wrapText="1"/>
    </xf>
    <xf numFmtId="0" fontId="50" fillId="39" borderId="0" xfId="0" applyFont="1" applyFill="1" applyAlignment="1">
      <alignment vertical="center"/>
    </xf>
    <xf numFmtId="0" fontId="50" fillId="39" borderId="18" xfId="0" applyFont="1" applyFill="1" applyBorder="1" applyAlignment="1">
      <alignment vertical="center"/>
    </xf>
    <xf numFmtId="0" fontId="50" fillId="39" borderId="0" xfId="0" applyFont="1" applyFill="1" applyAlignment="1">
      <alignment vertical="center" wrapText="1"/>
    </xf>
    <xf numFmtId="0" fontId="50" fillId="39" borderId="18" xfId="0" applyFont="1" applyFill="1" applyBorder="1" applyAlignment="1">
      <alignment vertical="center" wrapText="1"/>
    </xf>
    <xf numFmtId="0" fontId="63" fillId="0" borderId="58" xfId="2" applyFont="1" applyBorder="1" applyAlignment="1">
      <alignment horizontal="center" vertical="center" wrapText="1"/>
    </xf>
    <xf numFmtId="0" fontId="63" fillId="0" borderId="59" xfId="2" applyFont="1" applyBorder="1" applyAlignment="1">
      <alignment horizontal="center" vertical="center" wrapText="1"/>
    </xf>
    <xf numFmtId="0" fontId="63" fillId="0" borderId="60" xfId="2" applyFont="1" applyBorder="1" applyAlignment="1">
      <alignment horizontal="center" vertical="center" wrapText="1"/>
    </xf>
    <xf numFmtId="0" fontId="63" fillId="0" borderId="61" xfId="2" applyFont="1" applyBorder="1" applyAlignment="1">
      <alignment horizontal="center" vertical="center" wrapText="1"/>
    </xf>
    <xf numFmtId="0" fontId="4" fillId="4" borderId="41" xfId="2" applyFill="1" applyBorder="1" applyAlignment="1">
      <alignment horizontal="left" vertical="top" wrapText="1"/>
    </xf>
    <xf numFmtId="0" fontId="4" fillId="6" borderId="65" xfId="2" applyFill="1" applyBorder="1" applyAlignment="1">
      <alignment horizontal="center" vertical="center" wrapText="1"/>
    </xf>
    <xf numFmtId="0" fontId="4" fillId="6" borderId="66" xfId="2" applyFill="1" applyBorder="1" applyAlignment="1">
      <alignment horizontal="center" vertical="center" wrapText="1"/>
    </xf>
    <xf numFmtId="0" fontId="4" fillId="6" borderId="20" xfId="2" applyFill="1" applyBorder="1" applyAlignment="1">
      <alignment horizontal="center" vertical="center" wrapText="1"/>
    </xf>
    <xf numFmtId="0" fontId="4" fillId="8" borderId="65" xfId="2" applyFill="1" applyBorder="1" applyAlignment="1">
      <alignment horizontal="center" vertical="center" wrapText="1" shrinkToFit="1"/>
    </xf>
    <xf numFmtId="0" fontId="4" fillId="8" borderId="66" xfId="2" applyFill="1" applyBorder="1" applyAlignment="1">
      <alignment horizontal="center" vertical="center" wrapText="1" shrinkToFit="1"/>
    </xf>
    <xf numFmtId="0" fontId="4" fillId="8" borderId="20" xfId="2" applyFill="1" applyBorder="1" applyAlignment="1">
      <alignment horizontal="center" vertical="center" wrapText="1" shrinkToFit="1"/>
    </xf>
    <xf numFmtId="0" fontId="4" fillId="43" borderId="65" xfId="2" applyFill="1" applyBorder="1" applyAlignment="1">
      <alignment horizontal="center" vertical="center" wrapText="1"/>
    </xf>
    <xf numFmtId="0" fontId="4" fillId="43" borderId="66" xfId="2" applyFill="1" applyBorder="1" applyAlignment="1">
      <alignment horizontal="center" vertical="center" wrapText="1"/>
    </xf>
    <xf numFmtId="0" fontId="4" fillId="43" borderId="20" xfId="2" applyFill="1" applyBorder="1" applyAlignment="1">
      <alignment horizontal="center" vertical="center" wrapText="1"/>
    </xf>
    <xf numFmtId="0" fontId="4" fillId="58" borderId="65" xfId="2" applyFill="1" applyBorder="1" applyAlignment="1">
      <alignment horizontal="center" vertical="center" wrapText="1"/>
    </xf>
    <xf numFmtId="0" fontId="4" fillId="58" borderId="66" xfId="2" applyFill="1" applyBorder="1" applyAlignment="1">
      <alignment horizontal="center" vertical="center" wrapText="1"/>
    </xf>
    <xf numFmtId="0" fontId="4" fillId="58" borderId="20" xfId="2" applyFill="1" applyBorder="1" applyAlignment="1">
      <alignment horizontal="center" vertical="center" wrapText="1"/>
    </xf>
    <xf numFmtId="0" fontId="4" fillId="43" borderId="41" xfId="2" applyFill="1" applyBorder="1" applyAlignment="1">
      <alignment horizontal="center" vertical="center" wrapText="1"/>
    </xf>
    <xf numFmtId="0" fontId="4" fillId="25" borderId="41" xfId="2" applyFill="1" applyBorder="1" applyAlignment="1">
      <alignment horizontal="center" vertical="center" wrapText="1" shrinkToFit="1"/>
    </xf>
    <xf numFmtId="0" fontId="4" fillId="8" borderId="41" xfId="2" applyFill="1" applyBorder="1" applyAlignment="1">
      <alignment horizontal="center" vertical="center" wrapText="1" shrinkToFit="1"/>
    </xf>
    <xf numFmtId="0" fontId="4" fillId="8" borderId="51" xfId="2" applyFill="1" applyBorder="1" applyAlignment="1">
      <alignment horizontal="center" vertical="center" wrapText="1" shrinkToFit="1"/>
    </xf>
    <xf numFmtId="0" fontId="4" fillId="8" borderId="52" xfId="2" applyFill="1" applyBorder="1" applyAlignment="1">
      <alignment horizontal="center" vertical="center" wrapText="1" shrinkToFit="1"/>
    </xf>
    <xf numFmtId="0" fontId="4" fillId="8" borderId="53" xfId="2" applyFill="1" applyBorder="1" applyAlignment="1">
      <alignment horizontal="center" vertical="center" wrapText="1" shrinkToFit="1"/>
    </xf>
    <xf numFmtId="0" fontId="4" fillId="0" borderId="41" xfId="2" applyBorder="1" applyAlignment="1">
      <alignment horizontal="center" vertical="center" wrapText="1"/>
    </xf>
    <xf numFmtId="0" fontId="10" fillId="2" borderId="62" xfId="6" applyFont="1" applyFill="1" applyBorder="1" applyAlignment="1">
      <alignment horizontal="left" vertical="center" wrapText="1"/>
    </xf>
    <xf numFmtId="0" fontId="10" fillId="2" borderId="63" xfId="6" applyFont="1" applyFill="1" applyBorder="1" applyAlignment="1">
      <alignment horizontal="left" vertical="center" wrapText="1"/>
    </xf>
    <xf numFmtId="0" fontId="10" fillId="2" borderId="64" xfId="6" applyFont="1" applyFill="1" applyBorder="1" applyAlignment="1">
      <alignment horizontal="left" vertical="center" wrapText="1"/>
    </xf>
    <xf numFmtId="0" fontId="4" fillId="25" borderId="65" xfId="2" applyFill="1" applyBorder="1" applyAlignment="1">
      <alignment horizontal="center" vertical="center" wrapText="1" shrinkToFit="1"/>
    </xf>
    <xf numFmtId="0" fontId="4" fillId="25" borderId="66" xfId="2" applyFill="1" applyBorder="1" applyAlignment="1">
      <alignment horizontal="center" vertical="center" wrapText="1" shrinkToFit="1"/>
    </xf>
    <xf numFmtId="0" fontId="4" fillId="25" borderId="20" xfId="2" applyFill="1" applyBorder="1" applyAlignment="1">
      <alignment horizontal="center" vertical="center" wrapText="1" shrinkToFit="1"/>
    </xf>
    <xf numFmtId="0" fontId="4" fillId="0" borderId="51" xfId="2" applyBorder="1" applyAlignment="1">
      <alignment horizontal="center" vertical="center" wrapText="1" shrinkToFit="1"/>
    </xf>
    <xf numFmtId="0" fontId="4" fillId="0" borderId="52" xfId="2" applyBorder="1" applyAlignment="1">
      <alignment horizontal="center" vertical="center" wrapText="1" shrinkToFit="1"/>
    </xf>
    <xf numFmtId="0" fontId="4" fillId="0" borderId="53" xfId="2" applyBorder="1" applyAlignment="1">
      <alignment horizontal="center" vertical="center" wrapText="1" shrinkToFit="1"/>
    </xf>
    <xf numFmtId="0" fontId="4" fillId="0" borderId="41" xfId="2" applyBorder="1" applyAlignment="1">
      <alignment horizontal="center" vertical="center" wrapText="1" shrinkToFit="1"/>
    </xf>
    <xf numFmtId="0" fontId="4" fillId="25" borderId="51" xfId="2" applyFill="1" applyBorder="1" applyAlignment="1">
      <alignment horizontal="center" vertical="center" wrapText="1" shrinkToFit="1"/>
    </xf>
    <xf numFmtId="0" fontId="4" fillId="25" borderId="53" xfId="2" applyFill="1" applyBorder="1" applyAlignment="1">
      <alignment horizontal="center" vertical="center" wrapText="1" shrinkToFit="1"/>
    </xf>
    <xf numFmtId="0" fontId="4" fillId="25" borderId="41" xfId="2" applyFill="1" applyBorder="1" applyAlignment="1">
      <alignment horizontal="center" vertical="center" wrapText="1"/>
    </xf>
    <xf numFmtId="0" fontId="4" fillId="43" borderId="41" xfId="2" applyFill="1" applyBorder="1" applyAlignment="1">
      <alignment horizontal="center" vertical="center" wrapText="1" shrinkToFit="1"/>
    </xf>
    <xf numFmtId="0" fontId="4" fillId="6" borderId="41" xfId="2" applyFill="1" applyBorder="1" applyAlignment="1">
      <alignment horizontal="center" vertical="center" wrapText="1" shrinkToFit="1"/>
    </xf>
    <xf numFmtId="0" fontId="64" fillId="8" borderId="41" xfId="2" applyFont="1" applyFill="1" applyBorder="1" applyAlignment="1">
      <alignment horizontal="center" vertical="center" wrapText="1"/>
    </xf>
    <xf numFmtId="0" fontId="64" fillId="6" borderId="51" xfId="2" applyFont="1" applyFill="1" applyBorder="1" applyAlignment="1">
      <alignment horizontal="center" vertical="center" wrapText="1"/>
    </xf>
    <xf numFmtId="0" fontId="64" fillId="6" borderId="53" xfId="2" applyFont="1" applyFill="1" applyBorder="1" applyAlignment="1">
      <alignment horizontal="center" vertical="center" wrapText="1"/>
    </xf>
    <xf numFmtId="0" fontId="12" fillId="15" borderId="3" xfId="6" applyFont="1" applyFill="1" applyBorder="1" applyAlignment="1">
      <alignment horizontal="center" vertical="center" wrapText="1"/>
    </xf>
    <xf numFmtId="0" fontId="10" fillId="2" borderId="3" xfId="6" applyFont="1" applyFill="1" applyBorder="1" applyAlignment="1">
      <alignment horizontal="center" vertical="center" wrapText="1"/>
    </xf>
    <xf numFmtId="0" fontId="12" fillId="13" borderId="3" xfId="8" applyFont="1" applyFill="1" applyBorder="1" applyAlignment="1">
      <alignment horizontal="center" vertical="center" wrapText="1"/>
    </xf>
    <xf numFmtId="165" fontId="12" fillId="15" borderId="3" xfId="6" applyNumberFormat="1" applyFont="1" applyFill="1" applyBorder="1" applyAlignment="1">
      <alignment horizontal="center" vertical="center" wrapText="1"/>
    </xf>
    <xf numFmtId="0" fontId="12" fillId="6" borderId="3" xfId="8" applyFont="1" applyFill="1" applyBorder="1" applyAlignment="1">
      <alignment horizontal="center" vertical="center" wrapText="1"/>
    </xf>
    <xf numFmtId="0" fontId="12" fillId="4" borderId="3" xfId="8" applyFont="1" applyFill="1" applyBorder="1" applyAlignment="1">
      <alignment horizontal="center" vertical="center" wrapText="1"/>
    </xf>
    <xf numFmtId="20" fontId="12" fillId="6" borderId="3" xfId="8" applyNumberFormat="1" applyFont="1" applyFill="1" applyBorder="1" applyAlignment="1">
      <alignment horizontal="center" vertical="center" wrapText="1"/>
    </xf>
    <xf numFmtId="0" fontId="12" fillId="15" borderId="3" xfId="9" applyFont="1" applyFill="1" applyBorder="1" applyAlignment="1">
      <alignment horizontal="center" vertical="center" wrapText="1"/>
    </xf>
    <xf numFmtId="165" fontId="12" fillId="15" borderId="3" xfId="9" applyNumberFormat="1" applyFont="1" applyFill="1" applyBorder="1" applyAlignment="1">
      <alignment horizontal="center" vertical="center" wrapText="1"/>
    </xf>
    <xf numFmtId="0" fontId="12" fillId="6" borderId="35" xfId="8" applyFont="1" applyFill="1" applyBorder="1" applyAlignment="1">
      <alignment horizontal="center" vertical="center" wrapText="1"/>
    </xf>
    <xf numFmtId="0" fontId="12" fillId="6" borderId="38" xfId="8" applyFont="1" applyFill="1" applyBorder="1" applyAlignment="1">
      <alignment horizontal="center" vertical="center" wrapText="1"/>
    </xf>
    <xf numFmtId="0" fontId="12" fillId="6" borderId="39" xfId="8" applyFont="1" applyFill="1" applyBorder="1" applyAlignment="1">
      <alignment horizontal="center" vertical="center" wrapText="1"/>
    </xf>
    <xf numFmtId="0" fontId="12" fillId="8" borderId="3" xfId="8" applyFont="1" applyFill="1" applyBorder="1" applyAlignment="1">
      <alignment horizontal="center" vertical="center" wrapText="1"/>
    </xf>
    <xf numFmtId="0" fontId="12" fillId="22" borderId="3" xfId="7" applyFont="1" applyFill="1" applyBorder="1" applyAlignment="1">
      <alignment horizontal="center" vertical="center" wrapText="1"/>
    </xf>
    <xf numFmtId="0" fontId="12" fillId="8" borderId="29" xfId="8" applyFont="1" applyFill="1" applyBorder="1" applyAlignment="1">
      <alignment horizontal="center" vertical="center" wrapText="1"/>
    </xf>
    <xf numFmtId="0" fontId="12" fillId="8" borderId="30" xfId="8" applyFont="1" applyFill="1" applyBorder="1" applyAlignment="1">
      <alignment horizontal="center" vertical="center" wrapText="1"/>
    </xf>
    <xf numFmtId="0" fontId="12" fillId="8" borderId="31" xfId="8" applyFont="1" applyFill="1" applyBorder="1" applyAlignment="1">
      <alignment horizontal="center" vertical="center" wrapText="1"/>
    </xf>
    <xf numFmtId="0" fontId="12" fillId="8" borderId="32" xfId="8" applyFont="1" applyFill="1" applyBorder="1" applyAlignment="1">
      <alignment horizontal="center" vertical="center" wrapText="1"/>
    </xf>
    <xf numFmtId="0" fontId="12" fillId="8" borderId="33" xfId="8" applyFont="1" applyFill="1" applyBorder="1" applyAlignment="1">
      <alignment horizontal="center" vertical="center" wrapText="1"/>
    </xf>
    <xf numFmtId="0" fontId="12" fillId="8" borderId="34" xfId="8" applyFont="1" applyFill="1" applyBorder="1" applyAlignment="1">
      <alignment horizontal="center" vertical="center" wrapText="1"/>
    </xf>
    <xf numFmtId="0" fontId="12" fillId="4" borderId="29" xfId="8" applyFont="1" applyFill="1" applyBorder="1" applyAlignment="1">
      <alignment horizontal="center" vertical="center" wrapText="1"/>
    </xf>
    <xf numFmtId="0" fontId="12" fillId="4" borderId="30" xfId="8" applyFont="1" applyFill="1" applyBorder="1" applyAlignment="1">
      <alignment horizontal="center" vertical="center" wrapText="1"/>
    </xf>
    <xf numFmtId="0" fontId="12" fillId="4" borderId="31" xfId="8" applyFont="1" applyFill="1" applyBorder="1" applyAlignment="1">
      <alignment horizontal="center" vertical="center" wrapText="1"/>
    </xf>
    <xf numFmtId="0" fontId="12" fillId="4" borderId="56" xfId="8" applyFont="1" applyFill="1" applyBorder="1" applyAlignment="1">
      <alignment horizontal="center" vertical="center" wrapText="1"/>
    </xf>
    <xf numFmtId="0" fontId="12" fillId="4" borderId="0" xfId="8" applyFont="1" applyFill="1" applyBorder="1" applyAlignment="1">
      <alignment horizontal="center" vertical="center" wrapText="1"/>
    </xf>
    <xf numFmtId="0" fontId="12" fillId="4" borderId="57" xfId="8" applyFont="1" applyFill="1" applyBorder="1" applyAlignment="1">
      <alignment horizontal="center" vertical="center" wrapText="1"/>
    </xf>
    <xf numFmtId="0" fontId="12" fillId="4" borderId="32" xfId="8" applyFont="1" applyFill="1" applyBorder="1" applyAlignment="1">
      <alignment horizontal="center" vertical="center" wrapText="1"/>
    </xf>
    <xf numFmtId="0" fontId="12" fillId="4" borderId="33" xfId="8" applyFont="1" applyFill="1" applyBorder="1" applyAlignment="1">
      <alignment horizontal="center" vertical="center" wrapText="1"/>
    </xf>
    <xf numFmtId="0" fontId="12" fillId="4" borderId="34" xfId="8" applyFont="1" applyFill="1" applyBorder="1" applyAlignment="1">
      <alignment horizontal="center" vertical="center" wrapText="1"/>
    </xf>
    <xf numFmtId="0" fontId="12" fillId="22" borderId="29" xfId="7" applyFont="1" applyFill="1" applyBorder="1" applyAlignment="1">
      <alignment horizontal="center" vertical="center" wrapText="1"/>
    </xf>
    <xf numFmtId="0" fontId="12" fillId="22" borderId="30" xfId="7" applyFont="1" applyFill="1" applyBorder="1" applyAlignment="1">
      <alignment horizontal="center" vertical="center" wrapText="1"/>
    </xf>
    <xf numFmtId="0" fontId="12" fillId="22" borderId="31" xfId="7" applyFont="1" applyFill="1" applyBorder="1" applyAlignment="1">
      <alignment horizontal="center" vertical="center" wrapText="1"/>
    </xf>
    <xf numFmtId="0" fontId="12" fillId="22" borderId="32" xfId="7" applyFont="1" applyFill="1" applyBorder="1" applyAlignment="1">
      <alignment horizontal="center" vertical="center" wrapText="1"/>
    </xf>
    <xf numFmtId="0" fontId="12" fillId="22" borderId="33" xfId="7" applyFont="1" applyFill="1" applyBorder="1" applyAlignment="1">
      <alignment horizontal="center" vertical="center" wrapText="1"/>
    </xf>
    <xf numFmtId="0" fontId="12" fillId="22" borderId="34" xfId="7" applyFont="1" applyFill="1" applyBorder="1" applyAlignment="1">
      <alignment horizontal="center" vertical="center" wrapText="1"/>
    </xf>
    <xf numFmtId="0" fontId="0" fillId="12" borderId="29" xfId="0" applyFill="1" applyBorder="1" applyAlignment="1">
      <alignment horizontal="center" vertical="center"/>
    </xf>
    <xf numFmtId="0" fontId="0" fillId="12" borderId="30" xfId="0" applyFill="1" applyBorder="1" applyAlignment="1">
      <alignment horizontal="center" vertical="center"/>
    </xf>
    <xf numFmtId="0" fontId="0" fillId="12" borderId="31" xfId="0" applyFill="1" applyBorder="1" applyAlignment="1">
      <alignment horizontal="center" vertical="center"/>
    </xf>
    <xf numFmtId="0" fontId="0" fillId="12" borderId="32" xfId="0" applyFill="1" applyBorder="1" applyAlignment="1">
      <alignment horizontal="center" vertical="center"/>
    </xf>
    <xf numFmtId="0" fontId="0" fillId="12" borderId="33" xfId="0" applyFill="1" applyBorder="1" applyAlignment="1">
      <alignment horizontal="center" vertical="center"/>
    </xf>
    <xf numFmtId="0" fontId="0" fillId="12" borderId="34" xfId="0" applyFill="1" applyBorder="1" applyAlignment="1">
      <alignment horizontal="center" vertical="center"/>
    </xf>
    <xf numFmtId="0" fontId="0" fillId="4" borderId="20" xfId="0" applyFill="1" applyBorder="1" applyAlignment="1">
      <alignment horizontal="center" vertical="center" wrapText="1"/>
    </xf>
    <xf numFmtId="0" fontId="0" fillId="4" borderId="41" xfId="0" applyFill="1" applyBorder="1" applyAlignment="1">
      <alignment horizontal="center" vertical="center" wrapText="1"/>
    </xf>
    <xf numFmtId="0" fontId="0" fillId="14" borderId="41" xfId="0" applyFill="1" applyBorder="1" applyAlignment="1">
      <alignment horizontal="center" vertical="center" wrapText="1"/>
    </xf>
    <xf numFmtId="0" fontId="0" fillId="47" borderId="20" xfId="0" applyFill="1" applyBorder="1" applyAlignment="1">
      <alignment horizontal="center" vertical="center" wrapText="1"/>
    </xf>
    <xf numFmtId="0" fontId="0" fillId="28" borderId="41" xfId="0" applyFill="1" applyBorder="1" applyAlignment="1">
      <alignment horizontal="center" vertical="center" wrapText="1"/>
    </xf>
    <xf numFmtId="0" fontId="0" fillId="23" borderId="41" xfId="0" applyFill="1" applyBorder="1" applyAlignment="1">
      <alignment horizontal="center" vertical="center" wrapText="1"/>
    </xf>
    <xf numFmtId="0" fontId="0" fillId="23" borderId="20" xfId="0" applyFill="1" applyBorder="1" applyAlignment="1">
      <alignment horizontal="center" vertical="center" wrapText="1"/>
    </xf>
    <xf numFmtId="0" fontId="0" fillId="8" borderId="41" xfId="0" applyFill="1" applyBorder="1" applyAlignment="1">
      <alignment horizontal="center" vertical="center" wrapText="1"/>
    </xf>
    <xf numFmtId="0" fontId="1" fillId="48" borderId="48" xfId="928" applyFill="1" applyBorder="1" applyAlignment="1">
      <alignment horizontal="center" vertical="center" wrapText="1"/>
    </xf>
    <xf numFmtId="0" fontId="1" fillId="48" borderId="49" xfId="928" applyFill="1" applyBorder="1" applyAlignment="1">
      <alignment horizontal="center" vertical="center" wrapText="1"/>
    </xf>
    <xf numFmtId="0" fontId="0" fillId="4" borderId="51" xfId="0" applyFill="1" applyBorder="1" applyAlignment="1">
      <alignment horizontal="center" vertical="center" wrapText="1"/>
    </xf>
    <xf numFmtId="0" fontId="0" fillId="4" borderId="52" xfId="0" applyFill="1" applyBorder="1" applyAlignment="1">
      <alignment horizontal="center" vertical="center" wrapText="1"/>
    </xf>
    <xf numFmtId="0" fontId="0" fillId="4" borderId="53" xfId="0" applyFill="1" applyBorder="1" applyAlignment="1">
      <alignment horizontal="center" vertical="center" wrapText="1"/>
    </xf>
    <xf numFmtId="0" fontId="0" fillId="13" borderId="51" xfId="0" applyFill="1" applyBorder="1" applyAlignment="1">
      <alignment horizontal="center" vertical="center" wrapText="1"/>
    </xf>
    <xf numFmtId="0" fontId="0" fillId="13" borderId="52" xfId="0" applyFill="1" applyBorder="1" applyAlignment="1">
      <alignment horizontal="center" vertical="center" wrapText="1"/>
    </xf>
    <xf numFmtId="0" fontId="0" fillId="13" borderId="53" xfId="0" applyFill="1" applyBorder="1" applyAlignment="1">
      <alignment horizontal="center" vertical="center" wrapText="1"/>
    </xf>
    <xf numFmtId="0" fontId="40" fillId="0" borderId="21" xfId="0" applyFont="1" applyBorder="1" applyAlignment="1">
      <alignment horizontal="center" vertical="top" wrapText="1"/>
    </xf>
    <xf numFmtId="0" fontId="40" fillId="14" borderId="21" xfId="0" applyFont="1" applyFill="1" applyBorder="1" applyAlignment="1">
      <alignment horizontal="center" vertical="center" wrapText="1"/>
    </xf>
    <xf numFmtId="0" fontId="40" fillId="0" borderId="21" xfId="0" applyFont="1" applyBorder="1" applyAlignment="1">
      <alignment horizontal="center" vertical="center" wrapText="1"/>
    </xf>
    <xf numFmtId="0" fontId="40" fillId="34" borderId="21" xfId="0" applyFont="1" applyFill="1" applyBorder="1" applyAlignment="1">
      <alignment horizontal="center" vertical="center" wrapText="1"/>
    </xf>
    <xf numFmtId="0" fontId="40" fillId="0" borderId="26" xfId="0" applyFont="1" applyBorder="1" applyAlignment="1">
      <alignment horizontal="center" vertical="top" wrapText="1"/>
    </xf>
    <xf numFmtId="0" fontId="40" fillId="0" borderId="27" xfId="0" applyFont="1" applyBorder="1" applyAlignment="1">
      <alignment horizontal="center" vertical="top" wrapText="1"/>
    </xf>
    <xf numFmtId="0" fontId="40" fillId="0" borderId="28" xfId="0" applyFont="1" applyBorder="1" applyAlignment="1">
      <alignment horizontal="center" vertical="top" wrapText="1"/>
    </xf>
    <xf numFmtId="0" fontId="40" fillId="14" borderId="22" xfId="0" applyFont="1" applyFill="1" applyBorder="1" applyAlignment="1">
      <alignment horizontal="center" vertical="center" wrapText="1"/>
    </xf>
    <xf numFmtId="0" fontId="40" fillId="14" borderId="24" xfId="0" applyFont="1" applyFill="1" applyBorder="1" applyAlignment="1">
      <alignment horizontal="center" vertical="center" wrapText="1"/>
    </xf>
    <xf numFmtId="0" fontId="40" fillId="14" borderId="23" xfId="0" applyFont="1" applyFill="1" applyBorder="1" applyAlignment="1">
      <alignment horizontal="center" vertical="center" wrapText="1"/>
    </xf>
    <xf numFmtId="0" fontId="40" fillId="0" borderId="22" xfId="0" applyFont="1" applyBorder="1" applyAlignment="1">
      <alignment horizontal="center" vertical="center" wrapText="1"/>
    </xf>
    <xf numFmtId="0" fontId="40" fillId="0" borderId="24" xfId="0" applyFont="1" applyBorder="1" applyAlignment="1">
      <alignment horizontal="center" vertical="center" wrapText="1"/>
    </xf>
    <xf numFmtId="0" fontId="40" fillId="0" borderId="23" xfId="0" applyFont="1" applyBorder="1" applyAlignment="1">
      <alignment horizontal="center" vertical="center" wrapText="1"/>
    </xf>
    <xf numFmtId="0" fontId="40" fillId="34" borderId="26" xfId="0" applyFont="1" applyFill="1" applyBorder="1" applyAlignment="1">
      <alignment horizontal="center" vertical="center" wrapText="1"/>
    </xf>
    <xf numFmtId="0" fontId="40" fillId="34" borderId="28" xfId="0" applyFont="1" applyFill="1" applyBorder="1" applyAlignment="1">
      <alignment horizontal="center" vertical="center" wrapText="1"/>
    </xf>
    <xf numFmtId="15" fontId="39" fillId="29" borderId="0" xfId="0" applyNumberFormat="1" applyFont="1" applyFill="1" applyAlignment="1">
      <alignment horizontal="center"/>
    </xf>
    <xf numFmtId="15" fontId="60" fillId="29" borderId="0" xfId="0" applyNumberFormat="1" applyFont="1" applyFill="1" applyAlignment="1">
      <alignment horizontal="center" vertical="center" wrapText="1"/>
    </xf>
    <xf numFmtId="168" fontId="32" fillId="29" borderId="0" xfId="0" applyNumberFormat="1" applyFont="1" applyFill="1" applyAlignment="1">
      <alignment horizontal="center" vertical="center"/>
    </xf>
    <xf numFmtId="168" fontId="33" fillId="29" borderId="0" xfId="0" applyNumberFormat="1" applyFont="1" applyFill="1" applyAlignment="1">
      <alignment horizontal="center" vertical="center"/>
    </xf>
    <xf numFmtId="168" fontId="44" fillId="29" borderId="0" xfId="0" applyNumberFormat="1" applyFont="1" applyFill="1" applyAlignment="1">
      <alignment horizontal="center" vertical="center"/>
    </xf>
    <xf numFmtId="0" fontId="44" fillId="29" borderId="0" xfId="0" applyFont="1" applyFill="1" applyAlignment="1">
      <alignment horizontal="center" vertical="center"/>
    </xf>
    <xf numFmtId="1" fontId="44" fillId="29" borderId="0" xfId="0" applyNumberFormat="1" applyFont="1" applyFill="1" applyAlignment="1">
      <alignment horizontal="center" vertical="center"/>
    </xf>
    <xf numFmtId="0" fontId="38" fillId="32" borderId="0" xfId="0" applyFont="1" applyFill="1" applyAlignment="1">
      <alignment horizontal="left" vertical="top" wrapText="1" readingOrder="1"/>
    </xf>
    <xf numFmtId="0" fontId="10" fillId="55" borderId="7" xfId="0" applyFont="1" applyFill="1" applyBorder="1" applyAlignment="1">
      <alignment vertical="center" wrapText="1"/>
    </xf>
    <xf numFmtId="0" fontId="10" fillId="56" borderId="7" xfId="0" applyFont="1" applyFill="1" applyBorder="1" applyAlignment="1">
      <alignment vertical="center" wrapText="1"/>
    </xf>
    <xf numFmtId="0" fontId="10" fillId="36" borderId="22" xfId="0" applyFont="1" applyFill="1" applyBorder="1" applyAlignment="1">
      <alignment horizontal="left" vertical="top" wrapText="1"/>
    </xf>
    <xf numFmtId="0" fontId="10" fillId="36" borderId="24" xfId="0" applyFont="1" applyFill="1" applyBorder="1" applyAlignment="1">
      <alignment horizontal="left" vertical="top" wrapText="1"/>
    </xf>
    <xf numFmtId="0" fontId="6" fillId="37" borderId="54" xfId="0" applyFont="1" applyFill="1" applyBorder="1" applyAlignment="1">
      <alignment horizontal="left" vertical="center"/>
    </xf>
    <xf numFmtId="0" fontId="6" fillId="37" borderId="55" xfId="0" applyFont="1" applyFill="1" applyBorder="1" applyAlignment="1">
      <alignment horizontal="left" vertical="center"/>
    </xf>
    <xf numFmtId="0" fontId="10" fillId="49" borderId="7" xfId="0" applyFont="1" applyFill="1" applyBorder="1" applyAlignment="1">
      <alignment vertical="center" wrapText="1"/>
    </xf>
    <xf numFmtId="0" fontId="10" fillId="50" borderId="7" xfId="0" applyFont="1" applyFill="1" applyBorder="1" applyAlignment="1">
      <alignment vertical="center" wrapText="1"/>
    </xf>
    <xf numFmtId="0" fontId="10" fillId="51" borderId="7" xfId="0" applyFont="1" applyFill="1" applyBorder="1" applyAlignment="1">
      <alignment vertical="center" wrapText="1"/>
    </xf>
    <xf numFmtId="0" fontId="10" fillId="54" borderId="7" xfId="0" applyFont="1" applyFill="1" applyBorder="1" applyAlignment="1">
      <alignment vertical="center" wrapText="1"/>
    </xf>
    <xf numFmtId="0" fontId="22" fillId="4" borderId="26" xfId="1065" applyFont="1" applyFill="1" applyBorder="1" applyAlignment="1">
      <alignment horizontal="center" vertical="center" textRotation="90"/>
    </xf>
    <xf numFmtId="0" fontId="22" fillId="4" borderId="27" xfId="1065" applyFont="1" applyFill="1" applyBorder="1" applyAlignment="1">
      <alignment horizontal="center" vertical="center" textRotation="90"/>
    </xf>
    <xf numFmtId="0" fontId="22" fillId="4" borderId="28" xfId="1065" applyFont="1" applyFill="1" applyBorder="1" applyAlignment="1">
      <alignment horizontal="center" vertical="center" textRotation="90"/>
    </xf>
    <xf numFmtId="0" fontId="43" fillId="4" borderId="21" xfId="1065" applyFont="1" applyFill="1" applyBorder="1" applyAlignment="1">
      <alignment horizontal="center" vertical="center" textRotation="90" wrapText="1"/>
    </xf>
    <xf numFmtId="0" fontId="43" fillId="4" borderId="26" xfId="1065" applyFont="1" applyFill="1" applyBorder="1" applyAlignment="1">
      <alignment horizontal="center" vertical="center" textRotation="90" wrapText="1"/>
    </xf>
    <xf numFmtId="0" fontId="43" fillId="4" borderId="27" xfId="1065" applyFont="1" applyFill="1" applyBorder="1" applyAlignment="1">
      <alignment horizontal="center" vertical="center" textRotation="90" wrapText="1"/>
    </xf>
    <xf numFmtId="0" fontId="43" fillId="4" borderId="28" xfId="1065" applyFont="1" applyFill="1" applyBorder="1" applyAlignment="1">
      <alignment horizontal="center" vertical="center" textRotation="90" wrapText="1"/>
    </xf>
    <xf numFmtId="0" fontId="20" fillId="36" borderId="22" xfId="0" applyFont="1" applyFill="1" applyBorder="1" applyAlignment="1">
      <alignment horizontal="left" vertical="top" wrapText="1"/>
    </xf>
    <xf numFmtId="0" fontId="20" fillId="36" borderId="24" xfId="0" applyFont="1" applyFill="1" applyBorder="1" applyAlignment="1">
      <alignment horizontal="left" vertical="top" wrapText="1"/>
    </xf>
  </cellXfs>
  <cellStyles count="1947">
    <cellStyle name="Comma 10" xfId="66" xr:uid="{B7C18443-4E7D-4DEB-A914-B94B20E4F989}"/>
    <cellStyle name="Comma 10 2" xfId="1844" xr:uid="{68E23DE8-E3D5-4703-8C97-6E1C0073B531}"/>
    <cellStyle name="Comma 11" xfId="109" xr:uid="{2860A7C8-47D7-4578-B749-475BF45F8327}"/>
    <cellStyle name="Comma 11 2" xfId="1853" xr:uid="{21085DF4-F5BA-46EB-92AF-4CE0EE8F2FCF}"/>
    <cellStyle name="Comma 12" xfId="113" xr:uid="{70F6D72F-EEC1-4246-829D-69B54A084D70}"/>
    <cellStyle name="Comma 12 2" xfId="1854" xr:uid="{056E380B-446F-41C6-9EE7-95B8C66A3754}"/>
    <cellStyle name="Comma 13" xfId="116" xr:uid="{F2A99CA1-8FAA-4635-A374-0106254A4F2A}"/>
    <cellStyle name="Comma 13 2" xfId="1855" xr:uid="{4CA8DB8A-37FE-4D3D-9561-706E4AAB7DC1}"/>
    <cellStyle name="Comma 14" xfId="19" xr:uid="{E8D7F26F-23BD-4B15-ACBA-4D6C6DDC7BDD}"/>
    <cellStyle name="Comma 14 2" xfId="1839" xr:uid="{731CB994-13DC-48AB-A9CA-255B5B56ABC2}"/>
    <cellStyle name="Comma 2" xfId="39" xr:uid="{6C82AD09-DA52-475D-BE79-D7C7BDE8A8B6}"/>
    <cellStyle name="Comma 2 2" xfId="120" xr:uid="{181A01A2-11D7-4AC7-A25C-9D3A1A8F1325}"/>
    <cellStyle name="Comma 2 3" xfId="99" xr:uid="{180F48ED-E2CC-4F4E-88FD-067B1F2940B3}"/>
    <cellStyle name="Comma 3" xfId="29" xr:uid="{7CBF9D80-19C8-44E2-8C99-5F909142BC68}"/>
    <cellStyle name="Comma 3 2" xfId="122" xr:uid="{B61F7069-C999-412B-8FBA-166B9BD96523}"/>
    <cellStyle name="Comma 3 2 2" xfId="106" xr:uid="{283A762F-64F0-4823-B984-78462A2FA1A8}"/>
    <cellStyle name="Comma 3 2 2 2" xfId="1850" xr:uid="{F13DBA14-42E9-4200-ADDC-8D49CD22E74A}"/>
    <cellStyle name="Comma 3 2 3" xfId="108" xr:uid="{AEDA6D2E-1A2C-4B9A-8D73-8B12392930CF}"/>
    <cellStyle name="Comma 3 2 3 2" xfId="1852" xr:uid="{265EC9D9-8DDD-4805-A3B0-A743F0DCAF93}"/>
    <cellStyle name="Comma 3 2 4" xfId="1856" xr:uid="{B285ACA9-C2C4-449D-8653-56971BF5F806}"/>
    <cellStyle name="Comma 3 3" xfId="123" xr:uid="{28832916-4A88-4F9D-8F13-ECD4935579CD}"/>
    <cellStyle name="Comma 3 3 2" xfId="1857" xr:uid="{172D9465-E0F2-41D0-9E66-70B40EF17D5D}"/>
    <cellStyle name="Comma 3 4" xfId="78" xr:uid="{95BF450A-B3DE-414F-AAA3-3F9208124526}"/>
    <cellStyle name="Comma 3 4 2" xfId="1846" xr:uid="{ED1F722E-4AC5-4A88-9327-7AF6350B0E61}"/>
    <cellStyle name="Comma 3 5" xfId="1841" xr:uid="{C92277EF-3DF3-4C13-A7F8-0D4D2B59EC25}"/>
    <cellStyle name="Comma 4" xfId="103" xr:uid="{480D3CE2-44A1-4B6E-A698-88C65587A79E}"/>
    <cellStyle name="Comma 4 10" xfId="124" xr:uid="{5D417662-8142-44BC-A7D8-1B2E99B318AE}"/>
    <cellStyle name="Comma 4 10 2" xfId="1858" xr:uid="{BF38AF17-9A3D-45F7-BCBF-6739BFA56C43}"/>
    <cellStyle name="Comma 4 11" xfId="1848" xr:uid="{656F9D24-5D73-47EF-BBE9-1D3B07847759}"/>
    <cellStyle name="Comma 4 2" xfId="107" xr:uid="{F4059033-CA56-4522-BCED-7EF0BA020840}"/>
    <cellStyle name="Comma 4 2 10" xfId="1851" xr:uid="{56384895-2BB1-4B8A-8D21-2432F44DB2B6}"/>
    <cellStyle name="Comma 4 2 2" xfId="126" xr:uid="{8E42AC4F-A52C-4212-8479-16FBBF6420F3}"/>
    <cellStyle name="Comma 4 2 2 2" xfId="128" xr:uid="{F0463603-AF60-42E3-8EF9-085029B118D5}"/>
    <cellStyle name="Comma 4 2 2 2 2" xfId="130" xr:uid="{9A70C706-47C5-4289-8A48-CCD853416F22}"/>
    <cellStyle name="Comma 4 2 2 2 2 2" xfId="1862" xr:uid="{9E05D11A-3ADD-4F03-996B-F6BADE11D4FC}"/>
    <cellStyle name="Comma 4 2 2 2 3" xfId="134" xr:uid="{2B646D6A-76A0-4752-A611-6351A3D92743}"/>
    <cellStyle name="Comma 4 2 2 2 3 2" xfId="1864" xr:uid="{872D0CEB-C2AB-41B4-8463-357FED60A5BE}"/>
    <cellStyle name="Comma 4 2 2 2 4" xfId="1861" xr:uid="{EC0AF291-B7CA-4D77-8256-E5D7C9BF07AE}"/>
    <cellStyle name="Comma 4 2 2 3" xfId="139" xr:uid="{7DC4C309-6E9F-4239-AC7A-460D49CCCDBA}"/>
    <cellStyle name="Comma 4 2 2 3 2" xfId="1866" xr:uid="{4C01C461-91C4-45C0-BBDA-8DE3ABA221BF}"/>
    <cellStyle name="Comma 4 2 2 4" xfId="141" xr:uid="{1A04BA68-AD2D-4B7B-92D4-AA1CACF7AFA5}"/>
    <cellStyle name="Comma 4 2 2 4 2" xfId="1867" xr:uid="{8F67B824-D5DF-445E-A479-53E1672BAF2C}"/>
    <cellStyle name="Comma 4 2 2 5" xfId="143" xr:uid="{9B2E5CDE-24B3-40E4-B971-5088905BDD0E}"/>
    <cellStyle name="Comma 4 2 2 5 2" xfId="1868" xr:uid="{B8EB4C2D-4E00-4ACD-BBB1-987C6F08A960}"/>
    <cellStyle name="Comma 4 2 2 6" xfId="145" xr:uid="{F336AF79-4D4D-4604-9C1B-14373623CA70}"/>
    <cellStyle name="Comma 4 2 2 6 2" xfId="1869" xr:uid="{09789ECF-B9E8-4C5A-810E-817A7695116A}"/>
    <cellStyle name="Comma 4 2 2 7" xfId="1860" xr:uid="{5555B19D-A0C0-4DF4-A896-BED37316D389}"/>
    <cellStyle name="Comma 4 2 3" xfId="146" xr:uid="{E3CE81D8-24EF-492F-8A2B-5C1A57C0B385}"/>
    <cellStyle name="Comma 4 2 3 2" xfId="147" xr:uid="{BC64F334-504A-41FD-A98F-42F068BE3D34}"/>
    <cellStyle name="Comma 4 2 3 2 2" xfId="150" xr:uid="{45600087-389F-4FBE-8EE5-D9834D26461B}"/>
    <cellStyle name="Comma 4 2 3 2 2 2" xfId="1872" xr:uid="{82BD743F-843F-4C71-B36E-E6F5AD985FA4}"/>
    <cellStyle name="Comma 4 2 3 2 3" xfId="154" xr:uid="{9A86844A-AB1A-4C7B-BD16-3101401208D2}"/>
    <cellStyle name="Comma 4 2 3 2 3 2" xfId="1874" xr:uid="{8296741A-4241-47FC-BC41-65EA0AB8B52A}"/>
    <cellStyle name="Comma 4 2 3 2 4" xfId="1871" xr:uid="{3B39ED14-DC90-4F0D-A9C5-1206C863547B}"/>
    <cellStyle name="Comma 4 2 3 3" xfId="158" xr:uid="{8D772759-EDEE-4A8A-8CD7-EDC1D44352D0}"/>
    <cellStyle name="Comma 4 2 3 3 2" xfId="1875" xr:uid="{C7F65C7F-5BA0-4476-88FE-95EE90F5E81E}"/>
    <cellStyle name="Comma 4 2 3 4" xfId="76" xr:uid="{41ED0F13-A836-4273-B841-363A4F4E4D4F}"/>
    <cellStyle name="Comma 4 2 3 4 2" xfId="1845" xr:uid="{1D23755B-6DB0-489C-8B86-2405E0E02D00}"/>
    <cellStyle name="Comma 4 2 3 5" xfId="79" xr:uid="{60F8ECD4-3E6D-459E-ACFC-D54214869A9C}"/>
    <cellStyle name="Comma 4 2 3 5 2" xfId="1847" xr:uid="{C4FE7A25-5B6C-427D-AA0C-2CACC413EB12}"/>
    <cellStyle name="Comma 4 2 3 6" xfId="15" xr:uid="{D69C27DB-20EB-4F6F-9318-A37B3BF1844C}"/>
    <cellStyle name="Comma 4 2 3 6 2" xfId="1838" xr:uid="{402BD0F9-9116-4B94-BA88-5B90F3B1F5C2}"/>
    <cellStyle name="Comma 4 2 3 7" xfId="1870" xr:uid="{6505E915-D6DF-490F-8E6A-C39E80538DA3}"/>
    <cellStyle name="Comma 4 2 4" xfId="161" xr:uid="{B63164F9-72F2-456B-BCC5-46B7E1FAD663}"/>
    <cellStyle name="Comma 4 2 4 2" xfId="105" xr:uid="{AC7CFEF1-E240-416A-9869-EAA10A8D9C5A}"/>
    <cellStyle name="Comma 4 2 4 2 2" xfId="1849" xr:uid="{4BB00B69-B37A-4386-88EE-43EF2FA51751}"/>
    <cellStyle name="Comma 4 2 4 3" xfId="165" xr:uid="{A3707598-86AD-4FAE-B2DC-D4A670F9A594}"/>
    <cellStyle name="Comma 4 2 4 3 2" xfId="1877" xr:uid="{4FC242D0-7B77-4B12-9C3F-A5217D7ADCB2}"/>
    <cellStyle name="Comma 4 2 4 4" xfId="1876" xr:uid="{7DFB5256-F723-442B-ABF7-8A1A29BD9CD6}"/>
    <cellStyle name="Comma 4 2 5" xfId="168" xr:uid="{8F11C99F-77E8-4D41-970C-A8323D239CCE}"/>
    <cellStyle name="Comma 4 2 5 2" xfId="171" xr:uid="{064FC38C-98A5-46C1-9FC0-81A0574F7EE8}"/>
    <cellStyle name="Comma 4 2 5 2 2" xfId="1880" xr:uid="{5819E75A-B6F0-4C28-BA8B-95635AA580E3}"/>
    <cellStyle name="Comma 4 2 5 3" xfId="173" xr:uid="{A6CF872E-39D2-40AA-98C2-B629AFCADAC9}"/>
    <cellStyle name="Comma 4 2 5 3 2" xfId="1881" xr:uid="{D116A3FF-3E7B-4CF3-B0ED-E792944D717D}"/>
    <cellStyle name="Comma 4 2 5 4" xfId="1879" xr:uid="{7E121305-AEDF-403F-A5A5-CB191C3BD383}"/>
    <cellStyle name="Comma 4 2 6" xfId="132" xr:uid="{166652ED-C907-4639-AAED-191DE4C2B48E}"/>
    <cellStyle name="Comma 4 2 6 2" xfId="1863" xr:uid="{7890D06E-BF9A-4C17-BDBA-98940138AD5F}"/>
    <cellStyle name="Comma 4 2 7" xfId="136" xr:uid="{40FE40E6-C787-4148-B668-2ED6577A2CA3}"/>
    <cellStyle name="Comma 4 2 7 2" xfId="1865" xr:uid="{328FF1B6-6D67-46E1-8B6A-854D66EA68AC}"/>
    <cellStyle name="Comma 4 2 8" xfId="176" xr:uid="{2BC6891F-2E30-4566-BBAE-7EC5F52124E1}"/>
    <cellStyle name="Comma 4 2 8 2" xfId="1882" xr:uid="{00CFE4B4-47C0-4096-8A5E-119EF159E254}"/>
    <cellStyle name="Comma 4 2 9" xfId="178" xr:uid="{66F72477-168F-4DAB-90AE-81086F61A0D9}"/>
    <cellStyle name="Comma 4 2 9 2" xfId="1883" xr:uid="{A14B84BB-D47A-494F-ADEE-E6DE50F8D990}"/>
    <cellStyle name="Comma 4 3" xfId="179" xr:uid="{FBD23F21-5DC8-471B-89DC-D834DC3BB594}"/>
    <cellStyle name="Comma 4 3 2" xfId="180" xr:uid="{5DDFFB83-47F0-4A29-9607-1315DF221D55}"/>
    <cellStyle name="Comma 4 3 2 2" xfId="26" xr:uid="{B52269AB-954C-4B34-A894-D8667BB8CA6C}"/>
    <cellStyle name="Comma 4 3 2 2 2" xfId="1840" xr:uid="{D2ADA257-7636-4880-91E6-970545411945}"/>
    <cellStyle name="Comma 4 3 2 3" xfId="56" xr:uid="{9D8E61B3-6411-4903-A596-691C7DB75795}"/>
    <cellStyle name="Comma 4 3 2 3 2" xfId="1843" xr:uid="{CF764434-0280-4A3C-9421-9E26A517BA29}"/>
    <cellStyle name="Comma 4 3 2 4" xfId="1885" xr:uid="{97D6DE8E-4DED-4B85-9425-4E59973FDA5C}"/>
    <cellStyle name="Comma 4 3 3" xfId="181" xr:uid="{DABF11D2-194D-4816-AEFE-5024AEE5D0FE}"/>
    <cellStyle name="Comma 4 3 3 2" xfId="1886" xr:uid="{67A8517C-4FC1-4DB3-95B6-C1DB3A60D578}"/>
    <cellStyle name="Comma 4 3 4" xfId="183" xr:uid="{E2DEC008-781F-41AB-BBDC-33958D016479}"/>
    <cellStyle name="Comma 4 3 4 2" xfId="1887" xr:uid="{90CE4027-6826-44E6-B541-26B5516D6E6A}"/>
    <cellStyle name="Comma 4 3 5" xfId="185" xr:uid="{236A86CD-19ED-4D39-82CB-3572AE74E21F}"/>
    <cellStyle name="Comma 4 3 5 2" xfId="1888" xr:uid="{3E66C556-2EF6-48EC-93B9-191851ADBB2E}"/>
    <cellStyle name="Comma 4 3 6" xfId="125" xr:uid="{2397BEDC-F60B-43B9-8429-ACA0CC310963}"/>
    <cellStyle name="Comma 4 3 6 2" xfId="1859" xr:uid="{30852313-5D20-4970-8232-A6D72AFB7D26}"/>
    <cellStyle name="Comma 4 3 7" xfId="1884" xr:uid="{028FE193-B949-42CB-9AAC-65D3EA9C5B3E}"/>
    <cellStyle name="Comma 4 4" xfId="186" xr:uid="{5874E28F-3D02-4D08-957E-1ADF29EAAE1E}"/>
    <cellStyle name="Comma 4 4 2" xfId="187" xr:uid="{AC2C8B29-71E9-4298-9CE9-DD80519DEC27}"/>
    <cellStyle name="Comma 4 4 2 2" xfId="188" xr:uid="{3305A27D-A655-4381-B425-481C831EE7F7}"/>
    <cellStyle name="Comma 4 4 2 2 2" xfId="1891" xr:uid="{28651208-58BD-4DD8-8B08-3402D916F249}"/>
    <cellStyle name="Comma 4 4 2 3" xfId="190" xr:uid="{0EF7014C-3F48-4BFA-8027-FF72875B9170}"/>
    <cellStyle name="Comma 4 4 2 3 2" xfId="1892" xr:uid="{3E306EF5-C526-48FD-A244-36BFAE75F127}"/>
    <cellStyle name="Comma 4 4 2 4" xfId="1890" xr:uid="{0E634B9D-9B70-4BE4-9224-3394A76EB634}"/>
    <cellStyle name="Comma 4 4 3" xfId="191" xr:uid="{07454117-8392-4982-8919-3E44E714B1DA}"/>
    <cellStyle name="Comma 4 4 3 2" xfId="1893" xr:uid="{80381A84-7470-4D80-A004-DD141A003565}"/>
    <cellStyle name="Comma 4 4 4" xfId="192" xr:uid="{3961448F-E26B-4CE2-9181-CA08BB36DBC7}"/>
    <cellStyle name="Comma 4 4 4 2" xfId="1894" xr:uid="{2F7B62B2-FD67-4265-A24D-9A11808B7859}"/>
    <cellStyle name="Comma 4 4 5" xfId="193" xr:uid="{180E0CBA-6B34-4D61-904C-9E506D4CC752}"/>
    <cellStyle name="Comma 4 4 5 2" xfId="1895" xr:uid="{1B20FE1B-875C-4EF0-BBEA-79F24B780846}"/>
    <cellStyle name="Comma 4 4 6" xfId="194" xr:uid="{F89D9E5F-1242-4D34-AD73-1E1E2ECB7680}"/>
    <cellStyle name="Comma 4 4 6 2" xfId="1896" xr:uid="{413ABD52-6B2D-4B3D-9FB8-B1C1423F9461}"/>
    <cellStyle name="Comma 4 4 7" xfId="1889" xr:uid="{C1D5A976-CC49-4930-9B94-574C86268064}"/>
    <cellStyle name="Comma 4 5" xfId="195" xr:uid="{A01D1BA5-CFB7-4CDF-83F1-303F37648714}"/>
    <cellStyle name="Comma 4 5 2" xfId="196" xr:uid="{9C4A3ACC-946B-4E79-8B57-19A24677E84D}"/>
    <cellStyle name="Comma 4 5 2 2" xfId="1898" xr:uid="{69A223D3-6A19-481A-9B6A-E662C3F68A1A}"/>
    <cellStyle name="Comma 4 5 3" xfId="197" xr:uid="{D499AE92-6864-4218-8F33-98E098215307}"/>
    <cellStyle name="Comma 4 5 3 2" xfId="1899" xr:uid="{C17ECEF2-B6DA-4D70-8523-9CAFC0B9FDF8}"/>
    <cellStyle name="Comma 4 5 4" xfId="1897" xr:uid="{4A8AC9BE-8BC7-4488-8FE2-83E6F8FE2A3F}"/>
    <cellStyle name="Comma 4 6" xfId="198" xr:uid="{C56E1175-2CE5-4B7B-BCE9-4701A30A8558}"/>
    <cellStyle name="Comma 4 6 2" xfId="199" xr:uid="{1C5C093F-44B7-4670-8A62-826852D220BF}"/>
    <cellStyle name="Comma 4 6 2 2" xfId="1901" xr:uid="{8DEB2C5C-970E-482A-944B-7D279F8CFCDD}"/>
    <cellStyle name="Comma 4 6 3" xfId="201" xr:uid="{429BF5B8-19AF-4195-B587-B29A20A0971A}"/>
    <cellStyle name="Comma 4 6 3 2" xfId="1902" xr:uid="{ABFD909F-39D0-4EE9-A595-3F55E12AD82C}"/>
    <cellStyle name="Comma 4 6 4" xfId="1900" xr:uid="{741F21F9-8486-466D-B14D-AFD1E751B7A0}"/>
    <cellStyle name="Comma 4 7" xfId="202" xr:uid="{338C0598-891B-453B-9565-DCAC0C660383}"/>
    <cellStyle name="Comma 4 7 2" xfId="1903" xr:uid="{DD1154A9-A890-4838-BE99-5E8BF88ECBBC}"/>
    <cellStyle name="Comma 4 8" xfId="204" xr:uid="{35707519-561B-49AB-9084-DCC79541D175}"/>
    <cellStyle name="Comma 4 8 2" xfId="1904" xr:uid="{1270AB13-A74F-4934-B4D8-D511770A101B}"/>
    <cellStyle name="Comma 4 9" xfId="207" xr:uid="{62829775-EEBF-4185-873F-4C7E3A4AD791}"/>
    <cellStyle name="Comma 4 9 2" xfId="1905" xr:uid="{275F0061-F319-4B1E-A9EA-8CC8683D951E}"/>
    <cellStyle name="Comma 5" xfId="166" xr:uid="{31CF7742-EFB7-42E5-AE23-346EFD535F8C}"/>
    <cellStyle name="Comma 5 10" xfId="1878" xr:uid="{E8995F1F-C4F2-4762-885D-7F109D6831FB}"/>
    <cellStyle name="Comma 5 2" xfId="212" xr:uid="{D7788A07-F3B0-4A87-9E51-23A306CECABF}"/>
    <cellStyle name="Comma 5 2 2" xfId="215" xr:uid="{1D31098F-F047-435A-9AFD-A74648F5E231}"/>
    <cellStyle name="Comma 5 2 2 2" xfId="216" xr:uid="{B286724B-C559-4FBF-8B0B-EC02C9FADAD3}"/>
    <cellStyle name="Comma 5 2 2 2 2" xfId="1908" xr:uid="{F8F2C53A-426D-4BDA-953F-D20F61F4A104}"/>
    <cellStyle name="Comma 5 2 2 3" xfId="217" xr:uid="{A54FC1FF-ACF2-4C3D-86AE-902446875FF7}"/>
    <cellStyle name="Comma 5 2 2 3 2" xfId="1909" xr:uid="{612433F2-9183-4E6A-8627-7B05BF89C710}"/>
    <cellStyle name="Comma 5 2 2 4" xfId="1907" xr:uid="{2D4D0D4A-F7C1-46FA-9F61-6CD199A4D79A}"/>
    <cellStyle name="Comma 5 2 3" xfId="218" xr:uid="{70BCC129-BB0C-4E0C-8FC1-3B55A582553C}"/>
    <cellStyle name="Comma 5 2 3 2" xfId="1910" xr:uid="{3CF7AB7A-18FD-4FD4-A322-6AF2CD816A82}"/>
    <cellStyle name="Comma 5 2 4" xfId="220" xr:uid="{8462197F-4C76-49B5-A877-E607B0981FAD}"/>
    <cellStyle name="Comma 5 2 4 2" xfId="1911" xr:uid="{3D476F50-7AA8-4870-A9F8-7EAF4DA233C8}"/>
    <cellStyle name="Comma 5 2 5" xfId="222" xr:uid="{DFDD8053-783E-4F6D-A5F0-1EC54F36CBAF}"/>
    <cellStyle name="Comma 5 2 5 2" xfId="1912" xr:uid="{0539F6E7-0573-4C2D-8717-4B24D77DEC07}"/>
    <cellStyle name="Comma 5 2 6" xfId="152" xr:uid="{5988C622-2F64-4C35-A9D7-A12097882A5A}"/>
    <cellStyle name="Comma 5 2 6 2" xfId="1873" xr:uid="{EC842610-BCAA-4DE8-9994-ECD2A973ABE5}"/>
    <cellStyle name="Comma 5 2 7" xfId="1906" xr:uid="{D8830F08-D0FC-40B4-BF0B-84352586DB08}"/>
    <cellStyle name="Comma 5 3" xfId="223" xr:uid="{824318C5-DAD9-4A0E-9291-224A5A05F4D3}"/>
    <cellStyle name="Comma 5 3 2" xfId="224" xr:uid="{F3E04CED-CE1D-4AB6-A095-7DF7274ED82A}"/>
    <cellStyle name="Comma 5 3 2 2" xfId="227" xr:uid="{10A8B3FB-D5A1-4C41-BC39-F989CA285ED9}"/>
    <cellStyle name="Comma 5 3 2 2 2" xfId="1916" xr:uid="{59C142B9-D62E-4E7C-AB85-9B2BFB4402A1}"/>
    <cellStyle name="Comma 5 3 2 3" xfId="230" xr:uid="{A542F899-0430-4106-8227-62FB39DA9294}"/>
    <cellStyle name="Comma 5 3 2 3 2" xfId="1918" xr:uid="{56130B89-EEFA-4769-AE6D-FC1657DD5B04}"/>
    <cellStyle name="Comma 5 3 2 4" xfId="1914" xr:uid="{4009A485-6515-423B-A1C2-899629A41DE7}"/>
    <cellStyle name="Comma 5 3 3" xfId="232" xr:uid="{2EBEEEEC-E7C6-4FA9-BC2F-A55A22047A39}"/>
    <cellStyle name="Comma 5 3 3 2" xfId="1919" xr:uid="{E75BB986-20D2-4A7E-891A-0058E2A0692D}"/>
    <cellStyle name="Comma 5 3 4" xfId="234" xr:uid="{BAEF718D-14F8-4B0E-B2AF-B423D944C431}"/>
    <cellStyle name="Comma 5 3 4 2" xfId="1920" xr:uid="{65A95168-C723-4420-B2AC-60790C99B9DC}"/>
    <cellStyle name="Comma 5 3 5" xfId="237" xr:uid="{D022726C-D2A0-457B-B853-E9ECB9EB0ECE}"/>
    <cellStyle name="Comma 5 3 5 2" xfId="1921" xr:uid="{DB74DA3B-6AD7-4621-98EC-07A55667C6CB}"/>
    <cellStyle name="Comma 5 3 6" xfId="240" xr:uid="{D55DA0E6-5386-429F-840E-13B79B2797A8}"/>
    <cellStyle name="Comma 5 3 6 2" xfId="1922" xr:uid="{828D1E9B-AD98-45C2-982C-2E09E0470A4F}"/>
    <cellStyle name="Comma 5 3 7" xfId="1913" xr:uid="{FC93B7D1-9147-4235-B028-11D60B6F883B}"/>
    <cellStyle name="Comma 5 4" xfId="242" xr:uid="{98303F96-0ED5-4CCD-88BE-6DF844B83D22}"/>
    <cellStyle name="Comma 5 4 2" xfId="243" xr:uid="{7C6872EA-3168-4843-B8CC-E8D37F6A0461}"/>
    <cellStyle name="Comma 5 4 2 2" xfId="1924" xr:uid="{633D54F2-1982-41C6-AC12-A07DC61365BC}"/>
    <cellStyle name="Comma 5 4 3" xfId="245" xr:uid="{9813777B-1DAC-4258-8CCA-0BA86ED27520}"/>
    <cellStyle name="Comma 5 4 3 2" xfId="1925" xr:uid="{5040AD65-81E4-4AD1-BEB6-3686C12CC525}"/>
    <cellStyle name="Comma 5 4 4" xfId="1923" xr:uid="{83AFC512-0F1F-4B3C-B079-460AC7A04A4F}"/>
    <cellStyle name="Comma 5 5" xfId="247" xr:uid="{80F9BD5C-04E9-4E37-9DA6-ABF09F7928F4}"/>
    <cellStyle name="Comma 5 5 2" xfId="248" xr:uid="{4AEB87B5-66FF-4716-897F-8BB1D20E79E0}"/>
    <cellStyle name="Comma 5 5 2 2" xfId="1927" xr:uid="{5D55C3AD-A1D9-4E5E-B189-F3147BD90A91}"/>
    <cellStyle name="Comma 5 5 3" xfId="250" xr:uid="{5E2B2145-016A-41B2-A953-1686A7AE2B32}"/>
    <cellStyle name="Comma 5 5 3 2" xfId="1928" xr:uid="{3F3B8A25-8EAC-4BE4-9EA1-C2B2831FA608}"/>
    <cellStyle name="Comma 5 5 4" xfId="1926" xr:uid="{AACCCDBE-0739-41CA-AECD-00B713966BD7}"/>
    <cellStyle name="Comma 5 6" xfId="252" xr:uid="{94CA0885-6563-47D5-A44B-13688A5B752C}"/>
    <cellStyle name="Comma 5 6 2" xfId="1929" xr:uid="{BC76E108-5E19-4880-8EF0-39A15D6C904C}"/>
    <cellStyle name="Comma 5 7" xfId="226" xr:uid="{2158BB91-A7F0-4BD2-9718-0384D644943A}"/>
    <cellStyle name="Comma 5 7 2" xfId="1915" xr:uid="{654A9479-DF27-4620-8A98-ED9AC6F81A85}"/>
    <cellStyle name="Comma 5 8" xfId="229" xr:uid="{48C6085B-466A-46F7-A2C1-7A0FE180778A}"/>
    <cellStyle name="Comma 5 8 2" xfId="1917" xr:uid="{B8767D9D-E80F-4D6F-B0D6-E350FF1898BD}"/>
    <cellStyle name="Comma 5 9" xfId="253" xr:uid="{16CBD390-8467-4F1F-8DF3-832904E31844}"/>
    <cellStyle name="Comma 5 9 2" xfId="1930" xr:uid="{CE085931-2080-445A-B68F-852C0B8DDB15}"/>
    <cellStyle name="Comma 6" xfId="255" xr:uid="{CE60CA79-4F9D-413F-B59F-447A9C8383A6}"/>
    <cellStyle name="Comma 6 2" xfId="256" xr:uid="{11EC1D52-59BD-499C-A8E0-BF0ACA85ABB1}"/>
    <cellStyle name="Comma 6 2 2" xfId="260" xr:uid="{583E077D-D9A7-4296-B7BE-59423E7A786B}"/>
    <cellStyle name="Comma 6 2 2 2" xfId="1933" xr:uid="{7974FBCE-CDA8-48C2-A0FE-68C49E069CC6}"/>
    <cellStyle name="Comma 6 2 3" xfId="30" xr:uid="{DFB0DFA4-8664-42DF-AA80-51B9C56FAA69}"/>
    <cellStyle name="Comma 6 2 3 2" xfId="1842" xr:uid="{C248D7A8-3A9F-4D54-B9A8-0597CB4FC99D}"/>
    <cellStyle name="Comma 6 2 4" xfId="1932" xr:uid="{11CBE7AA-E13A-4A85-A7AD-A2A2F61892EE}"/>
    <cellStyle name="Comma 6 3" xfId="262" xr:uid="{1E80D440-F96C-4E62-BFAF-112FF82E9BA5}"/>
    <cellStyle name="Comma 6 3 2" xfId="1934" xr:uid="{3A343E54-68FB-4F9C-A0D3-2CA7CFAC6148}"/>
    <cellStyle name="Comma 6 4" xfId="263" xr:uid="{BE768EAA-412B-4418-AD5B-22727B5FA031}"/>
    <cellStyle name="Comma 6 4 2" xfId="1935" xr:uid="{D2B6E50C-99A4-4E4A-A6DA-2ADA75F1315C}"/>
    <cellStyle name="Comma 6 5" xfId="264" xr:uid="{B8686702-51DA-4FE1-9C67-BBEBBCC07BE2}"/>
    <cellStyle name="Comma 6 5 2" xfId="1936" xr:uid="{B1CF5EF1-56FC-4F0E-A33B-553363B77768}"/>
    <cellStyle name="Comma 6 6" xfId="266" xr:uid="{48A7F4BD-E33C-45E2-8AE6-AC5883C6578F}"/>
    <cellStyle name="Comma 6 6 2" xfId="1937" xr:uid="{54FA638B-F389-4A86-8960-2D17A6E32056}"/>
    <cellStyle name="Comma 6 7" xfId="1931" xr:uid="{F5B80B5D-3B7D-4FAC-A651-E9E8032B10F6}"/>
    <cellStyle name="Comma 7" xfId="268" xr:uid="{DE6E9625-7612-4E7D-9336-C89A3505FA28}"/>
    <cellStyle name="Comma 7 2" xfId="269" xr:uid="{FDED68AA-DF37-4430-8FBC-C7F93D7F02DF}"/>
    <cellStyle name="Comma 7 2 2" xfId="1939" xr:uid="{60018293-4B0A-4173-9EA6-F1029A79B618}"/>
    <cellStyle name="Comma 7 3" xfId="272" xr:uid="{FE7F8D70-7667-4F37-8AC5-F159EC1A6354}"/>
    <cellStyle name="Comma 7 3 2" xfId="1940" xr:uid="{D4BBDA47-9534-45D0-8FFB-31FBE17CFFC5}"/>
    <cellStyle name="Comma 7 4" xfId="1938" xr:uid="{9298DFE5-1AE0-411A-8A11-016AE3657CCE}"/>
    <cellStyle name="Comma 8" xfId="274" xr:uid="{62C13A3A-978F-4140-8A2C-5513145D0E31}"/>
    <cellStyle name="Comma 8 2" xfId="276" xr:uid="{810B03E3-9E1B-4315-9BAF-3DF8B08A0FE3}"/>
    <cellStyle name="Comma 8 2 2" xfId="1942" xr:uid="{BBF4EA3A-EA31-4639-A8DC-7593FA81A56E}"/>
    <cellStyle name="Comma 8 3" xfId="279" xr:uid="{2C298E82-8D85-40C2-852E-A66E7A243725}"/>
    <cellStyle name="Comma 8 3 2" xfId="1943" xr:uid="{48C04CAE-C1F3-42CF-968D-4B05DA6DA2D6}"/>
    <cellStyle name="Comma 8 4" xfId="1941" xr:uid="{AFBB8F9B-3524-4572-87DA-CB1E925988D3}"/>
    <cellStyle name="Comma 9" xfId="281" xr:uid="{29BDE332-6700-46E6-96E7-678EC0153B77}"/>
    <cellStyle name="Comma 9 2" xfId="282" xr:uid="{8BF10C97-A29A-4B64-A85C-CA2F499973D8}"/>
    <cellStyle name="Comma 9 2 2" xfId="1945" xr:uid="{2FA0DE36-9B7B-42E2-AB54-9C81431713C6}"/>
    <cellStyle name="Comma 9 3" xfId="287" xr:uid="{BFAFE5DD-BA3F-4ACA-8FD0-203AE2D303C4}"/>
    <cellStyle name="Comma 9 3 2" xfId="1946" xr:uid="{49542D08-E619-451B-91DC-39BEE414629C}"/>
    <cellStyle name="Comma 9 4" xfId="1944" xr:uid="{F5C3BD4B-AD1B-427E-A318-FE45E0633DAF}"/>
    <cellStyle name="Hyperlink" xfId="3" builtinId="8"/>
    <cellStyle name="Hyperlink 2" xfId="81" xr:uid="{249C086A-540C-42B4-A785-25F497F99810}"/>
    <cellStyle name="Hyperlink 2 2" xfId="289" xr:uid="{63E0C5BC-0D1C-4C9D-B7BF-B6C3FF874EEF}"/>
    <cellStyle name="Hyperlink 2 2 2" xfId="292" xr:uid="{D6B7372B-BC28-4633-A582-3DD5A7ECA982}"/>
    <cellStyle name="Hyperlink 2 3" xfId="297" xr:uid="{41F0369C-A3D4-453D-98A6-36E387B9AD0E}"/>
    <cellStyle name="Hyperlink 2 4" xfId="214" xr:uid="{F56A32E8-C5A9-4E63-B728-D85A0D092C65}"/>
    <cellStyle name="Hyperlink 3" xfId="85" xr:uid="{3BD1D346-9217-4D5E-9BA6-82E61DE11AE4}"/>
    <cellStyle name="Hyperlink 3 2" xfId="301" xr:uid="{E25EFC2E-BE8C-4652-BBE3-E1FDAA41DE4C}"/>
    <cellStyle name="Hyperlink 3 2 2" xfId="303" xr:uid="{BA8786CB-E8D7-4C5B-9350-B35190B83A24}"/>
    <cellStyle name="Hyperlink 3 3" xfId="306" xr:uid="{B7BD86C5-25BD-4EAC-BDED-20EBDFFE28DC}"/>
    <cellStyle name="Hyperlink 3 4" xfId="259" xr:uid="{6C4A22B3-A86D-4272-B4AD-3CE57F2E31D9}"/>
    <cellStyle name="Hyperlink 4" xfId="90" xr:uid="{FB14D9B1-DD3B-4D4E-A7C8-F829B384CE9C}"/>
    <cellStyle name="Hyperlink 4 2" xfId="309" xr:uid="{E6C38227-0491-4A70-AB64-6A5F18DC65BA}"/>
    <cellStyle name="Hyperlink 4 2 2" xfId="313" xr:uid="{661A7FD5-CBCE-4218-B69A-6495FDA55D48}"/>
    <cellStyle name="Hyperlink 4 3" xfId="317" xr:uid="{630D9811-D335-40C4-A49F-D7D5FD87DA77}"/>
    <cellStyle name="Hyperlink 4 4" xfId="271" xr:uid="{7123038D-3FC8-4688-AF46-67E0B661924C}"/>
    <cellStyle name="Hyperlink 5" xfId="94" xr:uid="{0C6F5AF5-F792-42E0-BDA9-9FA4B8EB694D}"/>
    <cellStyle name="Hyperlink 5 2" xfId="323" xr:uid="{C02456D9-0AFB-4DD3-B346-9C4404E3B379}"/>
    <cellStyle name="Hyperlink 6" xfId="327" xr:uid="{5D041574-0C6B-4FCC-8045-E9B506DDDD72}"/>
    <cellStyle name="Hyperlink 7" xfId="329" xr:uid="{670A0344-4B46-4C01-98BA-5717771AFBEF}"/>
    <cellStyle name="Hyperlink 8" xfId="1837" xr:uid="{97AEF02D-029B-47F4-8814-E68B80D1E4F7}"/>
    <cellStyle name="Normal" xfId="0" builtinId="0"/>
    <cellStyle name="Normal 10" xfId="330" xr:uid="{B4CAC0A1-5D96-4A64-8F17-761DD3903FCC}"/>
    <cellStyle name="Normal 10 10" xfId="331" xr:uid="{7FB85DE0-3AFF-4E34-8642-0709A2E14024}"/>
    <cellStyle name="Normal 10 2" xfId="265" xr:uid="{EA0FCF63-5870-4E75-B03F-8EB1E202CC2C}"/>
    <cellStyle name="Normal 10 2 2" xfId="335" xr:uid="{3705F37C-F810-466B-A4CF-31F4E4342910}"/>
    <cellStyle name="Normal 10 2 2 2" xfId="337" xr:uid="{262E60DB-ADC9-4B14-B703-FA62F0AB8792}"/>
    <cellStyle name="Normal 10 2 2 2 2" xfId="342" xr:uid="{1367B030-EAFD-40C8-BF19-14FDF920AF2E}"/>
    <cellStyle name="Normal 10 2 2 2 2 2" xfId="343" xr:uid="{24E3A050-0A24-4E20-B237-9F76FD526EC6}"/>
    <cellStyle name="Normal 10 2 2 2 2 3" xfId="345" xr:uid="{ECC3F461-D715-4B6E-A165-699A9A93A797}"/>
    <cellStyle name="Normal 10 2 2 2 3" xfId="261" xr:uid="{EF804AF0-0279-4FB1-A5C2-7A9888007968}"/>
    <cellStyle name="Normal 10 2 2 2 4" xfId="31" xr:uid="{DFCEF996-B149-4E71-AF57-EDBD771B77B4}"/>
    <cellStyle name="Normal 10 2 2 2 5" xfId="347" xr:uid="{194E8103-BD96-48C4-8D6D-F0294E3AD2A7}"/>
    <cellStyle name="Normal 10 2 2 2 6" xfId="349" xr:uid="{828D86DF-A9CC-4F06-BDBB-07415502E623}"/>
    <cellStyle name="Normal 10 2 2 3" xfId="351" xr:uid="{13AB072B-DB77-43EB-BAC4-7D1846A93B19}"/>
    <cellStyle name="Normal 10 2 2 3 2" xfId="353" xr:uid="{92C70FAB-6A60-4156-9BEE-4FA075203F28}"/>
    <cellStyle name="Normal 10 2 2 3 2 2" xfId="357" xr:uid="{11085E08-6D01-4F29-A719-7B88B2E29689}"/>
    <cellStyle name="Normal 10 2 2 3 2 3" xfId="359" xr:uid="{15FA51F2-8AAA-4147-BC1A-90281B928178}"/>
    <cellStyle name="Normal 10 2 2 3 3" xfId="361" xr:uid="{0483462A-6396-4F7B-95E7-BFF0654E90E4}"/>
    <cellStyle name="Normal 10 2 2 3 4" xfId="362" xr:uid="{2E14382C-F96F-464A-8C72-6913DEEC6703}"/>
    <cellStyle name="Normal 10 2 2 3 5" xfId="290" xr:uid="{322E7F68-F2F8-4EDB-98BF-CE58C2FE8226}"/>
    <cellStyle name="Normal 10 2 2 3 6" xfId="298" xr:uid="{5BB91E14-6AD2-439E-8C19-83A279FBB5EC}"/>
    <cellStyle name="Normal 10 2 2 4" xfId="363" xr:uid="{BAFB5F8B-D1E1-4AD7-815D-14FDDF79A3A8}"/>
    <cellStyle name="Normal 10 2 2 4 2" xfId="365" xr:uid="{EE238CA8-808B-416A-A7B4-A55001CBD246}"/>
    <cellStyle name="Normal 10 2 2 4 3" xfId="367" xr:uid="{57CCCE3A-6FA1-4F96-97B4-CAA45FFF5927}"/>
    <cellStyle name="Normal 10 2 2 5" xfId="369" xr:uid="{D2E113E9-E399-4025-9273-9D5426C64485}"/>
    <cellStyle name="Normal 10 2 2 5 2" xfId="371" xr:uid="{71843D99-6DBF-43FF-96C5-01BADAE6F7EF}"/>
    <cellStyle name="Normal 10 2 2 5 3" xfId="336" xr:uid="{837CCE5D-BFD8-42E1-8295-E7419913C76B}"/>
    <cellStyle name="Normal 10 2 2 6" xfId="372" xr:uid="{78E85BF5-658F-4DB1-B7FA-B19CD59F66C2}"/>
    <cellStyle name="Normal 10 2 2 7" xfId="374" xr:uid="{51FB2D26-08EC-4CC7-AFD0-FF60DBD54D06}"/>
    <cellStyle name="Normal 10 2 2 8" xfId="33" xr:uid="{A18A7E57-5544-4096-872F-3048D0BDC450}"/>
    <cellStyle name="Normal 10 2 2 9" xfId="377" xr:uid="{7F3F4FA0-E4C9-4CDC-9CCE-16DFAED08D28}"/>
    <cellStyle name="Normal 10 2 3" xfId="378" xr:uid="{798AAA1B-AF29-4A9C-AF77-BA49854ED582}"/>
    <cellStyle name="Normal 10 2 3 2" xfId="379" xr:uid="{E4525ACE-D413-43D2-A503-594E1EF2D015}"/>
    <cellStyle name="Normal 10 2 3 3" xfId="18" xr:uid="{5B47D02E-E048-4E83-A642-81E09ECD154C}"/>
    <cellStyle name="Normal 10 2 4" xfId="312" xr:uid="{6C00A604-4E39-4C9A-BBA5-EEF338422127}"/>
    <cellStyle name="Normal 10 2 5" xfId="319" xr:uid="{610C65EE-14CC-4906-AEA0-3C60EF22A9B3}"/>
    <cellStyle name="Normal 10 3" xfId="267" xr:uid="{75BEF921-F8B1-41EC-AA40-536E30B6A0A1}"/>
    <cellStyle name="Normal 10 3 2" xfId="381" xr:uid="{48FEB08B-6EA0-44A7-BDC0-B84291F1A111}"/>
    <cellStyle name="Normal 10 3 2 2" xfId="382" xr:uid="{25C5D451-2D3B-4F83-BB0A-177B5C71E787}"/>
    <cellStyle name="Normal 10 3 2 3" xfId="385" xr:uid="{130F34EF-6A51-480F-A17E-6C2E13ABD364}"/>
    <cellStyle name="Normal 10 3 3" xfId="387" xr:uid="{37995CAE-B71A-4EFF-A858-46ADF015E6BB}"/>
    <cellStyle name="Normal 10 3 4" xfId="325" xr:uid="{04CDAA86-D523-4E61-AA57-1C003F4599D1}"/>
    <cellStyle name="Normal 10 3 5" xfId="389" xr:uid="{69EF30BE-6AD7-4F06-826B-50F116672C32}"/>
    <cellStyle name="Normal 10 3 6" xfId="278" xr:uid="{BFCE75CC-A366-4FF6-8216-D72CF8FB221F}"/>
    <cellStyle name="Normal 10 4" xfId="390" xr:uid="{B991AA94-B039-4188-85A6-B558DEE04F0F}"/>
    <cellStyle name="Normal 10 4 2" xfId="392" xr:uid="{422726DB-984E-4533-8355-C2A79CAE8F9B}"/>
    <cellStyle name="Normal 10 4 2 2" xfId="393" xr:uid="{74C603D1-CC17-4098-B28E-B10DB8B3EDE1}"/>
    <cellStyle name="Normal 10 4 2 3" xfId="396" xr:uid="{EAB45961-9499-456E-95BF-2B65267AAE49}"/>
    <cellStyle name="Normal 10 4 3" xfId="383" xr:uid="{40F0EE0E-DD31-402D-86D6-2B8EC76708A8}"/>
    <cellStyle name="Normal 10 4 4" xfId="386" xr:uid="{331327C0-8F0D-43A1-A219-DD7496DE9026}"/>
    <cellStyle name="Normal 10 4 5" xfId="400" xr:uid="{AEA8B692-0668-4D9D-B256-194820E7F4F4}"/>
    <cellStyle name="Normal 10 4 6" xfId="284" xr:uid="{78295CF1-BFE7-48F6-8A40-7E0DF445BB9E}"/>
    <cellStyle name="Normal 10 5" xfId="404" xr:uid="{1557F5F6-3A47-4E1A-B652-93AC5CE95FCA}"/>
    <cellStyle name="Normal 10 5 2" xfId="406" xr:uid="{4097BEE4-33A2-4466-8205-C84EC868A128}"/>
    <cellStyle name="Normal 10 5 3" xfId="407" xr:uid="{B64949E2-2A33-4739-B519-E40B8638C393}"/>
    <cellStyle name="Normal 10 6" xfId="409" xr:uid="{115CC711-CCAA-4806-A9F1-66CEEFB5BA51}"/>
    <cellStyle name="Normal 10 6 2" xfId="20" xr:uid="{41CD8544-8AC4-4050-A311-FB38EF9DEE84}"/>
    <cellStyle name="Normal 10 6 3" xfId="411" xr:uid="{5A1548CC-2886-4AD5-9CAD-F4A54E79FCB4}"/>
    <cellStyle name="Normal 10 7" xfId="412" xr:uid="{D472DFE9-2DE2-441D-94C0-7E6B7BF50A69}"/>
    <cellStyle name="Normal 10 8" xfId="314" xr:uid="{C8C8098F-90D0-4556-952C-E9CC0D2F4B87}"/>
    <cellStyle name="Normal 10 9" xfId="413" xr:uid="{FBF379B5-9DE8-48CD-8DD0-0F2265AAB7A4}"/>
    <cellStyle name="Normal 11" xfId="414" xr:uid="{A3909E51-A65D-446B-BE94-35F949F30A18}"/>
    <cellStyle name="Normal 11 10" xfId="148" xr:uid="{CD59798F-9519-4DA3-B22B-A35257CDCCB9}"/>
    <cellStyle name="Normal 11 2" xfId="415" xr:uid="{62E0CF87-4FDA-4384-82D3-794BDDB4E78F}"/>
    <cellStyle name="Normal 11 2 2" xfId="418" xr:uid="{ECED2188-EAB4-4089-BDF7-05B54CC76B87}"/>
    <cellStyle name="Normal 11 2 2 2" xfId="420" xr:uid="{BBCA33FD-11A9-4C33-BCE6-1FDFCD84B66B}"/>
    <cellStyle name="Normal 11 2 2 2 2" xfId="422" xr:uid="{CA74B933-C2C3-4E32-A609-D4104F315C66}"/>
    <cellStyle name="Normal 11 2 2 2 3" xfId="424" xr:uid="{851CD2D2-8083-4D1A-9C5B-ED21B8583617}"/>
    <cellStyle name="Normal 11 2 2 3" xfId="50" xr:uid="{B8315349-87C5-475F-8982-8BF3F06E7F93}"/>
    <cellStyle name="Normal 11 2 2 4" xfId="37" xr:uid="{C82821E8-C0C9-40BA-958D-47A7BDFC783E}"/>
    <cellStyle name="Normal 11 2 2 5" xfId="24" xr:uid="{8A6EE88A-D018-4FA1-B695-5AC7E0A35B41}"/>
    <cellStyle name="Normal 11 2 2 6" xfId="58" xr:uid="{EA9DF9B7-651A-4B24-83F0-C912115C073C}"/>
    <cellStyle name="Normal 11 2 3" xfId="425" xr:uid="{5D003820-645C-4C6F-AE0E-F69CC784A564}"/>
    <cellStyle name="Normal 11 2 3 2" xfId="427" xr:uid="{950A875D-95A8-41E9-8615-0B8A22004D3D}"/>
    <cellStyle name="Normal 11 2 3 2 2" xfId="429" xr:uid="{CAE1FA3F-9C72-41FA-A2B8-C366581A8787}"/>
    <cellStyle name="Normal 11 2 3 2 3" xfId="417" xr:uid="{DC63FEAC-84A3-4126-B1FF-DA77AA58EEF3}"/>
    <cellStyle name="Normal 11 2 3 3" xfId="431" xr:uid="{92490E9B-48D8-40B0-9363-A7A8599171D4}"/>
    <cellStyle name="Normal 11 2 3 4" xfId="433" xr:uid="{47AD5C25-16F4-4C5C-B5AE-3253884287B7}"/>
    <cellStyle name="Normal 11 2 3 5" xfId="436" xr:uid="{3C371654-5DD9-4F79-B1EA-72B068AE1029}"/>
    <cellStyle name="Normal 11 2 3 6" xfId="439" xr:uid="{97C191B2-0B6F-496E-BF84-5829795724C4}"/>
    <cellStyle name="Normal 11 2 4" xfId="440" xr:uid="{17AC4EA9-4740-47AA-A391-8E269120EE86}"/>
    <cellStyle name="Normal 11 2 4 2" xfId="64" xr:uid="{9C6F2849-6539-43AE-B18A-6B947454CA28}"/>
    <cellStyle name="Normal 11 2 4 3" xfId="442" xr:uid="{AFC6D6E0-7277-450E-8F5E-6F3DF4BF49DE}"/>
    <cellStyle name="Normal 11 2 5" xfId="443" xr:uid="{EDC40FF5-EC37-43A0-B80D-7F758044716A}"/>
    <cellStyle name="Normal 11 2 5 2" xfId="115" xr:uid="{FC2320CA-4FD9-4D8E-B18D-995889D71F4D}"/>
    <cellStyle name="Normal 11 2 5 3" xfId="118" xr:uid="{FD5EAD23-A635-4697-9247-537BCAF86DD0}"/>
    <cellStyle name="Normal 11 2 6" xfId="444" xr:uid="{82B4EECF-5EB2-4F89-B276-C8C4A656BCE8}"/>
    <cellStyle name="Normal 11 2 7" xfId="149" xr:uid="{2B71C395-4151-4C93-A1E3-C8F1E2F50E75}"/>
    <cellStyle name="Normal 11 2 8" xfId="159" xr:uid="{79873D8F-A80B-433C-930B-B1572D62EEBC}"/>
    <cellStyle name="Normal 11 2 9" xfId="77" xr:uid="{2ECE55EC-4C91-4BDE-B43A-310DFD95ABF5}"/>
    <cellStyle name="Normal 11 3" xfId="445" xr:uid="{4F34A14E-94E5-4765-91AE-8BA482AF673C}"/>
    <cellStyle name="Normal 11 3 2" xfId="44" xr:uid="{8DFF7AC3-347E-47D3-AFFD-69781615BA35}"/>
    <cellStyle name="Normal 11 3 2 2" xfId="446" xr:uid="{3BD3C35B-CA7F-4369-B210-A0C922F1F77A}"/>
    <cellStyle name="Normal 11 3 2 3" xfId="448" xr:uid="{383ACF9D-84D0-41F8-845E-9EF874F17751}"/>
    <cellStyle name="Normal 11 3 3" xfId="47" xr:uid="{BBDCB787-BA9F-4451-A1C9-F8A990E9AC25}"/>
    <cellStyle name="Normal 11 3 4" xfId="52" xr:uid="{BF774CD5-AE44-4888-8B5A-D021FBC61E30}"/>
    <cellStyle name="Normal 11 3 5" xfId="41" xr:uid="{36E5FF81-971C-4B31-97E4-530C823031D0}"/>
    <cellStyle name="Normal 11 3 6" xfId="28" xr:uid="{6712CDE4-EA44-47F1-AE32-AF5A14D7E462}"/>
    <cellStyle name="Normal 11 4" xfId="449" xr:uid="{C47FD7E2-39C2-40E4-B745-438ED4203620}"/>
    <cellStyle name="Normal 11 4 2" xfId="451" xr:uid="{71B1C75E-6714-4B87-84C5-3F3AFAC46B5B}"/>
    <cellStyle name="Normal 11 4 2 2" xfId="71" xr:uid="{BE097FBC-BE44-4F90-B5B4-0034F46724A4}"/>
    <cellStyle name="Normal 11 4 2 3" xfId="454" xr:uid="{BB406C89-F1A5-471E-A8D4-B900D7275BD7}"/>
    <cellStyle name="Normal 11 4 3" xfId="394" xr:uid="{7FAB15C9-E772-4E5E-9774-421807CFC9DD}"/>
    <cellStyle name="Normal 11 4 4" xfId="397" xr:uid="{783E1A5B-1E60-4AE0-B68C-336244BBDBCD}"/>
    <cellStyle name="Normal 11 4 5" xfId="457" xr:uid="{3DC632BE-092C-40F3-A90E-F6CA168D1579}"/>
    <cellStyle name="Normal 11 4 6" xfId="460" xr:uid="{2A39E5E3-C03F-4636-B0D2-C7AE76EC17E1}"/>
    <cellStyle name="Normal 11 5" xfId="462" xr:uid="{786FCE3B-12F5-4E77-8E53-5D267FEF8E5E}"/>
    <cellStyle name="Normal 11 5 2" xfId="465" xr:uid="{47784CB3-995A-412C-9B51-B560FFFB993B}"/>
    <cellStyle name="Normal 11 5 3" xfId="466" xr:uid="{19BEA1D0-733A-49F6-AF5F-1C2876FE0C39}"/>
    <cellStyle name="Normal 11 6" xfId="467" xr:uid="{C1E38B4E-0E45-44AB-8E26-81605A18EC68}"/>
    <cellStyle name="Normal 11 6 2" xfId="162" xr:uid="{10D0A646-3613-4104-8D7B-40710C1D1E1A}"/>
    <cellStyle name="Normal 11 6 3" xfId="170" xr:uid="{EF8E1E8B-8FDB-428F-B23A-567A8AACCB82}"/>
    <cellStyle name="Normal 11 7" xfId="469" xr:uid="{CAAE380F-FA34-435A-8126-8F6E01BD2247}"/>
    <cellStyle name="Normal 11 8" xfId="471" xr:uid="{EC11A8D0-4B55-4FEF-ACE8-9DF5904DB9D9}"/>
    <cellStyle name="Normal 11 9" xfId="22" xr:uid="{6CDB34BE-AB65-40D7-9C80-E669477914CA}"/>
    <cellStyle name="Normal 12" xfId="472" xr:uid="{196DE8D2-685F-4189-A3EC-10980D936131}"/>
    <cellStyle name="Normal 12 2" xfId="473" xr:uid="{A8572FC3-8326-4F5A-8383-1E2EE34384F7}"/>
    <cellStyle name="Normal 12 2 2" xfId="474" xr:uid="{0391FFF6-6A4A-4DA3-B9A1-E4F88B7DD730}"/>
    <cellStyle name="Normal 12 3" xfId="475" xr:uid="{7CA9C162-750A-46FA-9433-0204969A650C}"/>
    <cellStyle name="Normal 12 4" xfId="477" xr:uid="{41D6CD26-586B-4ED8-94E5-BB42C73A03DD}"/>
    <cellStyle name="Normal 13" xfId="478" xr:uid="{F1253640-3CBF-46EA-AFA0-2FDBA50773F9}"/>
    <cellStyle name="Normal 13 2" xfId="479" xr:uid="{C854E61A-EE14-43A7-95BC-23C28032B78F}"/>
    <cellStyle name="Normal 13 2 2" xfId="480" xr:uid="{14882FF1-2733-4E42-9F99-5B1235D35E01}"/>
    <cellStyle name="Normal 13 2 2 2" xfId="481" xr:uid="{32AEE6E6-A857-450F-8F5E-85BE91A20BB2}"/>
    <cellStyle name="Normal 13 2 2 3" xfId="482" xr:uid="{C518353D-FCE2-46DA-A13B-ACF478B8E371}"/>
    <cellStyle name="Normal 13 2 3" xfId="483" xr:uid="{434DF63E-DFAF-4794-B477-82220ED629FE}"/>
    <cellStyle name="Normal 13 2 4" xfId="484" xr:uid="{C35F1BA2-AD0F-4ACA-B7A6-AB9116D54DA9}"/>
    <cellStyle name="Normal 13 2 5" xfId="485" xr:uid="{65F89AFF-4F8D-4F21-8139-A55FB49BD717}"/>
    <cellStyle name="Normal 13 2 6" xfId="486" xr:uid="{B04DA25A-D38A-4E6D-B95E-B5760E64111A}"/>
    <cellStyle name="Normal 13 3" xfId="487" xr:uid="{98457931-6F04-4F13-8FAF-E086309024BF}"/>
    <cellStyle name="Normal 13 3 2" xfId="488" xr:uid="{5221F5C4-36E3-4D2D-94C4-B50ADBAF6C41}"/>
    <cellStyle name="Normal 13 3 3" xfId="489" xr:uid="{2E0F6D48-212E-49DD-94F3-00841EC161C6}"/>
    <cellStyle name="Normal 13 4" xfId="492" xr:uid="{1D6BF05E-A036-482E-BC75-45C31CB2A191}"/>
    <cellStyle name="Normal 13 4 2" xfId="494" xr:uid="{E38AC8D5-439C-41B6-B636-B4B3B3F8DE13}"/>
    <cellStyle name="Normal 13 4 3" xfId="496" xr:uid="{517D0ECD-B0A2-49AF-8BA7-C8EF4EC22F4F}"/>
    <cellStyle name="Normal 13 5" xfId="73" xr:uid="{CF63CBAB-7DD4-4D01-B581-59E3F72A4869}"/>
    <cellStyle name="Normal 13 6" xfId="61" xr:uid="{F5EFBD75-456A-4FA3-8667-113ED5B528F6}"/>
    <cellStyle name="Normal 13 7" xfId="82" xr:uid="{70AE2BF2-F441-4019-846A-39C8B6D17546}"/>
    <cellStyle name="Normal 13 8" xfId="87" xr:uid="{491E3419-29EF-4748-8EA0-7D50505B66BC}"/>
    <cellStyle name="Normal 14" xfId="497" xr:uid="{CB839F3C-8BAE-4C85-A130-3811716E81F7}"/>
    <cellStyle name="Normal 14 2" xfId="17" xr:uid="{3F693377-FD34-4319-93A8-801F258EDAB0}"/>
    <cellStyle name="Normal 14 2 2" xfId="364" xr:uid="{E001D820-4BFB-4B3F-90FE-36691DC7653A}"/>
    <cellStyle name="Normal 14 2 2 2" xfId="366" xr:uid="{48A94FCC-0FE1-445E-962B-A2659191CB1C}"/>
    <cellStyle name="Normal 14 2 2 3" xfId="368" xr:uid="{6B0F5B14-9127-4670-9894-64020C951884}"/>
    <cellStyle name="Normal 14 2 3" xfId="370" xr:uid="{503DB9A8-DE85-4A6F-AFD9-934A46F24B25}"/>
    <cellStyle name="Normal 14 2 4" xfId="373" xr:uid="{76FB6B39-6A29-4708-A337-D539CA9136F3}"/>
    <cellStyle name="Normal 14 2 5" xfId="375" xr:uid="{10FE11F0-45B9-429B-AE54-C3C091CE1A8F}"/>
    <cellStyle name="Normal 14 2 6" xfId="34" xr:uid="{BED3A1F6-E1B5-4C0B-92FD-DEA694FBE8EA}"/>
    <cellStyle name="Normal 14 3" xfId="498" xr:uid="{A524B68A-27F2-413C-876F-2A0D0A27236B}"/>
    <cellStyle name="Normal 14 3 2" xfId="499" xr:uid="{0ED96B45-2519-47FE-A284-439F1DE2E0DF}"/>
    <cellStyle name="Normal 14 3 3" xfId="500" xr:uid="{A79B664B-4BF5-4722-889E-9149794AD9AE}"/>
    <cellStyle name="Normal 14 4" xfId="501" xr:uid="{FA74C515-1E85-45E7-8D33-8AF24AD0628A}"/>
    <cellStyle name="Normal 14 4 2" xfId="502" xr:uid="{DF09FD5E-4F4F-406F-9AA7-743C8CC6F9FC}"/>
    <cellStyle name="Normal 14 4 3" xfId="503" xr:uid="{2601F8A1-55BA-4BD9-A490-468A06BBCFF3}"/>
    <cellStyle name="Normal 14 5" xfId="504" xr:uid="{8FB5ED03-AE80-494F-A2E3-B49C113D9F81}"/>
    <cellStyle name="Normal 14 6" xfId="344" xr:uid="{4E6B8915-C325-4375-9FFC-B2561F75A444}"/>
    <cellStyle name="Normal 14 7" xfId="346" xr:uid="{1BA5EF45-CCCB-42A0-A281-F42DFE69D6E8}"/>
    <cellStyle name="Normal 14 8" xfId="505" xr:uid="{79EDC62B-6F86-4447-ABF0-16FC32749EDA}"/>
    <cellStyle name="Normal 15" xfId="508" xr:uid="{8557D7C3-2904-4E0A-9572-1E4ED7336B1D}"/>
    <cellStyle name="Normal 15 2" xfId="510" xr:uid="{9BB30CDD-EC5F-4450-B9A1-4379DF3BFA4D}"/>
    <cellStyle name="Normal 15 2 2" xfId="401" xr:uid="{82E5AB78-DCC8-4985-8A66-0064D32B70E1}"/>
    <cellStyle name="Normal 15 2 3" xfId="285" xr:uid="{7EBB0CE3-E9B7-49B5-A97E-7B997E938A27}"/>
    <cellStyle name="Normal 15 3" xfId="512" xr:uid="{564D8177-52FD-4950-956A-CCCF4FF2CC65}"/>
    <cellStyle name="Normal 16" xfId="294" xr:uid="{D361AF87-4908-4074-AA5B-C3AA90CB23E3}"/>
    <cellStyle name="Normal 16 2" xfId="514" xr:uid="{AB65BE39-7E54-4732-97C7-00ED172FD339}"/>
    <cellStyle name="Normal 16 2 2" xfId="458" xr:uid="{34A2884C-92C3-4323-A917-8E899DA611CC}"/>
    <cellStyle name="Normal 16 2 2 2" xfId="515" xr:uid="{CA5178A9-8538-4D43-80EF-3DBA541DDC29}"/>
    <cellStyle name="Normal 16 2 2 3" xfId="333" xr:uid="{0CC7B4CA-74C5-4D8D-B8FC-B12D2BADA2F7}"/>
    <cellStyle name="Normal 16 2 3" xfId="461" xr:uid="{D5A3E98A-309D-48A0-B64D-6DA3DCB3479B}"/>
    <cellStyle name="Normal 16 2 4" xfId="172" xr:uid="{F313FF6E-2D79-429C-8AEE-3A696923D650}"/>
    <cellStyle name="Normal 16 2 5" xfId="174" xr:uid="{4EBEA16B-F4BB-426A-913D-DA78D07AE238}"/>
    <cellStyle name="Normal 16 2 6" xfId="517" xr:uid="{049257FB-7C20-40EA-8BA0-865E06170DB5}"/>
    <cellStyle name="Normal 16 3" xfId="519" xr:uid="{F7D80217-73F4-41A4-A3EC-CB56F88C0865}"/>
    <cellStyle name="Normal 16 3 2" xfId="520" xr:uid="{5517A702-3719-4B8A-8C91-D0400206E3DC}"/>
    <cellStyle name="Normal 16 3 3" xfId="521" xr:uid="{B0B75048-85C5-4577-87A2-AD8088B9FA61}"/>
    <cellStyle name="Normal 16 4" xfId="523" xr:uid="{6878EC05-BBE5-4FE1-AFF9-2329872BEC9D}"/>
    <cellStyle name="Normal 16 4 2" xfId="137" xr:uid="{D62B2189-ED71-4D9C-909F-EE3504FADCFA}"/>
    <cellStyle name="Normal 16 4 3" xfId="177" xr:uid="{EEB27024-C50A-4B35-9B4E-A6CB694CE867}"/>
    <cellStyle name="Normal 16 5" xfId="524" xr:uid="{A001611F-1409-4D66-B12D-4C35B6A992BD}"/>
    <cellStyle name="Normal 16 6" xfId="525" xr:uid="{60B3C0A8-3B1F-44E7-8813-502CBF8CFD22}"/>
    <cellStyle name="Normal 16 7" xfId="527" xr:uid="{F3CE6D52-3ABF-4191-ADC8-79CE2DA1B5A7}"/>
    <cellStyle name="Normal 16 8" xfId="45" xr:uid="{D8FE4335-F5EA-4E40-A34A-62BE68615DB4}"/>
    <cellStyle name="Normal 17" xfId="529" xr:uid="{988C4B3D-76E8-4F23-9134-A3469F3D60BF}"/>
    <cellStyle name="Normal 17 2" xfId="32" xr:uid="{56725E92-A714-4579-9D50-CDD311A1AF3B}"/>
    <cellStyle name="Normal 17 2 2" xfId="119" xr:uid="{E1FAEA70-CFEC-4982-A198-F47BCD28019E}"/>
    <cellStyle name="Normal 17 2 2 2" xfId="531" xr:uid="{160C2211-827B-452C-9A11-66FEA06A6CD1}"/>
    <cellStyle name="Normal 17 2 2 3" xfId="533" xr:uid="{5E1F3A9B-307C-473C-A27C-D6B06CDC8D54}"/>
    <cellStyle name="Normal 17 2 3" xfId="534" xr:uid="{302E218C-7144-436C-9861-2AB03A271A65}"/>
    <cellStyle name="Normal 17 2 4" xfId="535" xr:uid="{56D5B9EA-D2BB-4C72-BC83-EA66723778D8}"/>
    <cellStyle name="Normal 17 2 5" xfId="536" xr:uid="{CDD72C4F-E9EB-4675-9138-4B0BC7AD90E8}"/>
    <cellStyle name="Normal 17 2 6" xfId="537" xr:uid="{DDE92322-C9ED-4C68-A07C-8B47EC63DCD6}"/>
    <cellStyle name="Normal 17 3" xfId="538" xr:uid="{E48749B9-CAFD-4D85-B0EC-4617BC29D4AD}"/>
    <cellStyle name="Normal 17 3 2" xfId="539" xr:uid="{4095E76D-C4C7-4321-9D57-10954567E54F}"/>
    <cellStyle name="Normal 17 3 3" xfId="541" xr:uid="{E1720D2D-CC00-444E-AEA6-CDF53C4198CA}"/>
    <cellStyle name="Normal 17 4" xfId="542" xr:uid="{1D3A8653-CC91-4AED-9399-E81769F80BC6}"/>
    <cellStyle name="Normal 17 4 2" xfId="156" xr:uid="{C1E573DF-BFCC-49BC-AF69-51C2D3F011F8}"/>
    <cellStyle name="Normal 17 4 3" xfId="543" xr:uid="{70C9C2B1-EDA0-4C93-B217-3B2C2EF39880}"/>
    <cellStyle name="Normal 17 5" xfId="545" xr:uid="{6F0F2E35-EF69-4CAE-A9D5-5ABB6D35B268}"/>
    <cellStyle name="Normal 17 6" xfId="547" xr:uid="{34318168-6554-4A1F-AD92-E5092EEA8FE9}"/>
    <cellStyle name="Normal 17 7" xfId="548" xr:uid="{3394D997-666E-405C-B6D6-DC32ACF49E79}"/>
    <cellStyle name="Normal 17 8" xfId="452" xr:uid="{6CCB50F7-EF77-4106-93A6-B5168B2CE61F}"/>
    <cellStyle name="Normal 18" xfId="67" xr:uid="{8295A306-B261-4F07-A4FF-9246528E16F1}"/>
    <cellStyle name="Normal 18 2" xfId="549" xr:uid="{B56FD4D3-18C4-4C05-AAED-5DE4A06F4059}"/>
    <cellStyle name="Normal 18 2 2" xfId="100" xr:uid="{8B553DA5-2ECA-4257-9529-D60ADAB12413}"/>
    <cellStyle name="Normal 18 2 3" xfId="552" xr:uid="{C17C4B7B-EC66-48B0-BA97-6055AB51E719}"/>
    <cellStyle name="Normal 18 3" xfId="553" xr:uid="{52ABF8B2-8B7A-4245-A5B5-131B42A2F895}"/>
    <cellStyle name="Normal 18 4" xfId="554" xr:uid="{FCF779CC-7EB7-4DC9-9059-DF1234E8095F}"/>
    <cellStyle name="Normal 18 5" xfId="555" xr:uid="{33C25F85-606E-4C6A-9BC7-863343B4E7E3}"/>
    <cellStyle name="Normal 18 6" xfId="14" xr:uid="{7C370E9F-A060-4D6E-A1AA-83D5413DAA36}"/>
    <cellStyle name="Normal 19" xfId="110" xr:uid="{D443D8F3-3035-411E-AEB9-6392F845CDA8}"/>
    <cellStyle name="Normal 19 2" xfId="59" xr:uid="{47259A64-4C4B-4B79-900C-670703B8245A}"/>
    <cellStyle name="Normal 19 2 2" xfId="334" xr:uid="{8147AA68-AB3A-45EC-A727-B217357C4A0B}"/>
    <cellStyle name="Normal 19 2 3" xfId="556" xr:uid="{5617D597-D929-4265-9B05-C86277D9930C}"/>
    <cellStyle name="Normal 19 3" xfId="92" xr:uid="{E642C463-E96E-4C7C-829B-E4E3A6FD79BE}"/>
    <cellStyle name="Normal 19 4" xfId="98" xr:uid="{432133E2-9D5F-4370-AAFC-6B27618189BF}"/>
    <cellStyle name="Normal 19 5" xfId="557" xr:uid="{24330F56-BB3A-4569-8A39-2F8CA3C5281F}"/>
    <cellStyle name="Normal 19 6" xfId="127" xr:uid="{49EDF8D0-1124-4047-8EAE-0ADA94DA93CE}"/>
    <cellStyle name="Normal 2" xfId="1" xr:uid="{9EF07030-D524-4A3A-93A1-383054BB551A}"/>
    <cellStyle name="Normal 2 2" xfId="2" xr:uid="{A50D0F76-7090-4A81-AA7C-4F2A45E966F3}"/>
    <cellStyle name="Normal 2 2 2" xfId="5" xr:uid="{AF0405D3-D0FE-4770-8070-818AB9824372}"/>
    <cellStyle name="Normal 2 2 2 2" xfId="453" xr:uid="{4DC1F059-9573-4BEA-A2AE-7DA426AEE37B}"/>
    <cellStyle name="Normal 2 2 2 3" xfId="395" xr:uid="{539C05A1-DBF9-4550-93B9-7556634C2B71}"/>
    <cellStyle name="Normal 2 2 3" xfId="463" xr:uid="{6377AA0F-15DF-4053-8F43-99D464013121}"/>
    <cellStyle name="Normal 2 2 4" xfId="468" xr:uid="{FD845667-652C-4A2E-A16A-E47257405BD4}"/>
    <cellStyle name="Normal 2 2 5" xfId="470" xr:uid="{74FCBE27-ED65-413D-BA71-A4A8F4E11A24}"/>
    <cellStyle name="Normal 2 2 6" xfId="8" xr:uid="{4EF0A08C-E7D4-4FA5-864D-6E59E703E938}"/>
    <cellStyle name="Normal 2 2 7" xfId="11" xr:uid="{9567DDF7-F6AF-4907-BE13-D80B347236BF}"/>
    <cellStyle name="Normal 2 3" xfId="236" xr:uid="{9B503429-3070-4958-8D6E-89F0C43743F7}"/>
    <cellStyle name="Normal 2 3 2" xfId="476" xr:uid="{12C9F9E7-B649-4BCC-9232-9F3D7D73AE68}"/>
    <cellStyle name="Normal 2 3 2 2" xfId="68" xr:uid="{AC316E28-44AA-4C09-907A-ABB5BDB85D36}"/>
    <cellStyle name="Normal 2 3 2 3" xfId="112" xr:uid="{AF2AB38D-4180-4212-8EEF-4C34D06AB9E9}"/>
    <cellStyle name="Normal 2 3 3" xfId="559" xr:uid="{8A16D842-C062-4F4E-A084-75E036C9554B}"/>
    <cellStyle name="Normal 2 3 4" xfId="560" xr:uid="{6FDFC4F7-ACDF-474C-B00D-AB04D702066C}"/>
    <cellStyle name="Normal 2 4" xfId="239" xr:uid="{B989C850-057E-4533-89A8-592E6584D349}"/>
    <cellStyle name="Normal 2 4 2" xfId="490" xr:uid="{D1EF7641-A713-4256-9C53-154A067D320B}"/>
    <cellStyle name="Normal 2 4 2 2" xfId="493" xr:uid="{82C61A9E-E1F8-464E-95EC-16186D1C7CEB}"/>
    <cellStyle name="Normal 2 4 2 2 2" xfId="205" xr:uid="{558B1D6D-C0D5-4E15-A56B-4DD71C8C0964}"/>
    <cellStyle name="Normal 2 4 2 2 3" xfId="208" xr:uid="{23D47DAD-1968-428B-A87D-E8D96E90890D}"/>
    <cellStyle name="Normal 2 4 2 3" xfId="495" xr:uid="{87E0EA88-89D5-417F-9C97-C374D12F95AF}"/>
    <cellStyle name="Normal 2 4 2 4" xfId="121" xr:uid="{7DE8350B-2391-4C37-9BEF-92B8B7E4CEAF}"/>
    <cellStyle name="Normal 2 4 2 5" xfId="102" xr:uid="{066C70B0-8DC1-46FF-9B68-58AF6127D032}"/>
    <cellStyle name="Normal 2 4 2 6" xfId="550" xr:uid="{4B44E780-346D-4CA5-8917-B3DC854B31B1}"/>
    <cellStyle name="Normal 2 4 3" xfId="74" xr:uid="{92A0853B-A464-42D9-851F-574CEC85ADB4}"/>
    <cellStyle name="Normal 2 4 3 2" xfId="561" xr:uid="{3B30D9D5-C0BE-4CD4-ACAA-C3D68ADB8F69}"/>
    <cellStyle name="Normal 2 4 3 3" xfId="562" xr:uid="{F0762898-EB68-421E-A2CE-57E62205E43E}"/>
    <cellStyle name="Normal 2 4 4" xfId="62" xr:uid="{D9876FD5-746C-4507-9E33-926A23682B6B}"/>
    <cellStyle name="Normal 2 4 4 2" xfId="348" xr:uid="{A180FD13-49D2-4B7F-B004-3576EB6E6C01}"/>
    <cellStyle name="Normal 2 4 4 3" xfId="350" xr:uid="{E57FC3B7-9A84-49F1-A724-80D504E1211B}"/>
    <cellStyle name="Normal 2 4 5" xfId="83" xr:uid="{0FF581EB-6156-499C-8C57-10A5043D3CC9}"/>
    <cellStyle name="Normal 2 4 6" xfId="88" xr:uid="{68C97F92-46D4-49F5-A1C8-042303508C87}"/>
    <cellStyle name="Normal 2 4 7" xfId="91" xr:uid="{EE86303F-1C68-4C17-9BB7-752233FCEDBF}"/>
    <cellStyle name="Normal 2 4 8" xfId="95" xr:uid="{D5DA8ED5-F1AC-40E1-8261-A197D5B45B1C}"/>
    <cellStyle name="Normal 2 5" xfId="564" xr:uid="{67E2F7DF-F4E2-4125-A7F5-73DCA07FA44F}"/>
    <cellStyle name="Normal 2 6" xfId="566" xr:uid="{96E69E2F-7E40-4AB4-B336-C2813316246C}"/>
    <cellStyle name="Normal 2 7" xfId="558" xr:uid="{982D57E0-E180-4EA0-894F-305D26437F92}"/>
    <cellStyle name="Normal 2 8" xfId="1835" xr:uid="{135DE5F6-2110-4E4E-AB3C-CD23597B33B7}"/>
    <cellStyle name="Normal 2 9" xfId="10" xr:uid="{223FE815-3790-4E4A-8CD5-4345CFE6D311}"/>
    <cellStyle name="Normal 20" xfId="507" xr:uid="{80831B85-0E45-4256-BC41-7D5C5E353D46}"/>
    <cellStyle name="Normal 20 2" xfId="509" xr:uid="{C73D0D77-F046-4F8D-B8EA-A032401D33DF}"/>
    <cellStyle name="Normal 20 2 2" xfId="402" xr:uid="{B76E0359-C911-4DE8-9671-794D76AABEF6}"/>
    <cellStyle name="Normal 20 2 3" xfId="286" xr:uid="{C10BCE1B-B955-4813-A753-628861C0C0C7}"/>
    <cellStyle name="Normal 20 3" xfId="511" xr:uid="{A4F779FA-D432-425C-8E9D-40696EF18264}"/>
    <cellStyle name="Normal 20 4" xfId="567" xr:uid="{A69582EB-2CC2-49D1-88E6-AC36E4BC66F2}"/>
    <cellStyle name="Normal 20 5" xfId="568" xr:uid="{FB0B6209-AD35-4A01-9BDC-D28A6FD4C259}"/>
    <cellStyle name="Normal 20 6" xfId="569" xr:uid="{C02F0072-2030-468A-B2CD-FD19DA4141F2}"/>
    <cellStyle name="Normal 21" xfId="295" xr:uid="{6AC2006C-EA92-4486-8502-F41CA6552C6C}"/>
    <cellStyle name="Normal 21 2" xfId="513" xr:uid="{E00D02DD-2189-4801-9BED-04DE5DC58942}"/>
    <cellStyle name="Normal 21 2 2" xfId="459" xr:uid="{E0C9A0C9-BFBA-4B0C-902B-8F8F1750CABD}"/>
    <cellStyle name="Normal 21 3" xfId="518" xr:uid="{C70C6900-140A-41B3-A1A2-5CE8EC69806E}"/>
    <cellStyle name="Normal 21 4" xfId="522" xr:uid="{75C18D03-F2AB-4724-B120-A3328F8E8876}"/>
    <cellStyle name="Normal 22" xfId="7" xr:uid="{B1DDAA7F-5ADD-4019-86B9-FF8377548CB0}"/>
    <cellStyle name="Normal 22 2" xfId="1836" xr:uid="{A48C7F87-73F9-4211-A341-59635A751EAA}"/>
    <cellStyle name="Normal 3" xfId="4" xr:uid="{545AF33D-1C9D-4D69-82A7-31A50175D9A3}"/>
    <cellStyle name="Normal 3 2" xfId="572" xr:uid="{FA7A76A9-1A21-4956-9945-085CDFA2E752}"/>
    <cellStyle name="Normal 3 3" xfId="574" xr:uid="{E631F1D3-60E9-4B78-BF87-BAA89EE8702E}"/>
    <cellStyle name="Normal 3 4" xfId="570" xr:uid="{E89DE2FF-84D7-4982-B7FA-A5A4B8755A09}"/>
    <cellStyle name="Normal 4" xfId="576" xr:uid="{6DECD1D6-32CA-4039-A96F-26955EE183BC}"/>
    <cellStyle name="Normal 4 2" xfId="579" xr:uid="{4620D44D-06BB-4362-AD58-5A0DDA326DFD}"/>
    <cellStyle name="Normal 4 3" xfId="582" xr:uid="{CACAA3E8-4883-4851-B81D-6F8DCD774DCE}"/>
    <cellStyle name="Normal 5" xfId="583" xr:uid="{51921C26-692F-44EF-8B81-A4016B9D62AB}"/>
    <cellStyle name="Normal 5 10" xfId="398" xr:uid="{D7ED17D0-B492-423F-B522-6AD895368404}"/>
    <cellStyle name="Normal 5 2" xfId="584" xr:uid="{71E0D6E8-3A7E-4499-A46E-1D5B08353CFE}"/>
    <cellStyle name="Normal 5 2 2" xfId="585" xr:uid="{8998B66E-AFC4-4E01-90E5-5AE19FD0382F}"/>
    <cellStyle name="Normal 5 2 2 2" xfId="203" xr:uid="{8AE081FB-06F2-405A-917B-B6C0F1AB8129}"/>
    <cellStyle name="Normal 5 2 2 2 2" xfId="587" xr:uid="{A8A76862-E8FB-400A-B6DC-4CEB408EB176}"/>
    <cellStyle name="Normal 5 2 2 2 3" xfId="589" xr:uid="{B2332A58-CB71-406C-8A60-FFE107FBFA33}"/>
    <cellStyle name="Normal 5 2 2 3" xfId="206" xr:uid="{0A594C5D-8679-499B-BE92-1493DE64FD58}"/>
    <cellStyle name="Normal 5 2 2 4" xfId="209" xr:uid="{50E360AE-2DAC-4DC6-B1DE-5444F84F094E}"/>
    <cellStyle name="Normal 5 2 2 5" xfId="594" xr:uid="{7CE64610-E80A-41F0-800A-966D04A1286F}"/>
    <cellStyle name="Normal 5 2 2 6" xfId="339" xr:uid="{C7784B54-8CF9-4664-B14A-ED1ABA446C05}"/>
    <cellStyle name="Normal 5 2 3" xfId="225" xr:uid="{F44BDB64-E4F5-4F74-ACF4-8055221106C7}"/>
    <cellStyle name="Normal 5 2 3 2" xfId="228" xr:uid="{75C9A7DA-C02F-495B-AA8D-27E1ED6932EB}"/>
    <cellStyle name="Normal 5 2 3 2 2" xfId="592" xr:uid="{887B177B-FD02-4408-90AA-CD1C97D071AA}"/>
    <cellStyle name="Normal 5 2 3 2 3" xfId="340" xr:uid="{7064C37D-997D-44D4-890C-8855ECA0F049}"/>
    <cellStyle name="Normal 5 2 3 3" xfId="231" xr:uid="{FB0AD322-E565-4335-AE24-FF661CCC909B}"/>
    <cellStyle name="Normal 5 2 3 4" xfId="254" xr:uid="{EBB1A5E4-8886-4B72-8DF1-850644261EF6}"/>
    <cellStyle name="Normal 5 2 3 5" xfId="596" xr:uid="{9E7C7EDA-DB9C-456C-83AE-1FCD3951FEF5}"/>
    <cellStyle name="Normal 5 2 3 6" xfId="380" xr:uid="{3EC3F6CB-F6AB-4635-9DF0-31A5C6ECD262}"/>
    <cellStyle name="Normal 5 2 4" xfId="233" xr:uid="{2D849DDC-0C3D-4E66-B2AD-1E6F537082EF}"/>
    <cellStyle name="Normal 5 2 4 2" xfId="391" xr:uid="{0E18132D-73E9-41C9-B4B0-E56E77199645}"/>
    <cellStyle name="Normal 5 2 4 3" xfId="405" xr:uid="{F7E35D42-C5B2-4BA5-B55C-6F4E7E8DBDEB}"/>
    <cellStyle name="Normal 5 2 5" xfId="235" xr:uid="{E8D55650-E373-4483-A924-AF570A2824A8}"/>
    <cellStyle name="Normal 5 2 5 2" xfId="450" xr:uid="{1ACC4890-998A-46BF-BAF9-E37B289FA9E4}"/>
    <cellStyle name="Normal 5 2 5 3" xfId="464" xr:uid="{DF4C8017-F20E-49D4-A371-E824A686DA72}"/>
    <cellStyle name="Normal 5 2 6" xfId="238" xr:uid="{1B209697-4800-46A9-8CA2-E39A8E0886E3}"/>
    <cellStyle name="Normal 5 2 7" xfId="241" xr:uid="{09C4069F-8C90-45F3-A585-FB79BC07DE00}"/>
    <cellStyle name="Normal 5 2 8" xfId="563" xr:uid="{0F8C0CF3-974A-4EC1-8DB9-AB6DBCAF0C47}"/>
    <cellStyle name="Normal 5 2 9" xfId="565" xr:uid="{7D5CB292-A00B-4696-8F01-E9A6316D709A}"/>
    <cellStyle name="Normal 5 3" xfId="597" xr:uid="{73506C78-F4C0-4F05-8B41-526CE5FEC4F0}"/>
    <cellStyle name="Normal 5 3 2" xfId="598" xr:uid="{2DAEFB11-C640-458D-AFAA-793F0F04799A}"/>
    <cellStyle name="Normal 5 3 2 2" xfId="600" xr:uid="{32B3E11C-4FFF-4B23-B59A-5669EA239B18}"/>
    <cellStyle name="Normal 5 3 2 3" xfId="601" xr:uid="{1D7B2DA8-DC80-44BB-92D8-486854F76600}"/>
    <cellStyle name="Normal 5 3 3" xfId="244" xr:uid="{513AC741-9839-4561-90C5-793B5C57588E}"/>
    <cellStyle name="Normal 5 3 4" xfId="246" xr:uid="{5131E4F2-4016-4C5F-960D-A1A4C9EE82BD}"/>
    <cellStyle name="Normal 5 3 5" xfId="571" xr:uid="{AC3CF87D-0542-4BE8-99B9-46738D28DCB4}"/>
    <cellStyle name="Normal 5 3 6" xfId="573" xr:uid="{F88FE261-6F89-47E4-A6ED-C3F7F7E6711D}"/>
    <cellStyle name="Normal 5 4" xfId="602" xr:uid="{BEA993B8-862F-4907-9594-7115D3E73D8F}"/>
    <cellStyle name="Normal 5 4 2" xfId="603" xr:uid="{200D4EB5-0233-4178-9C2F-4BCA0EEF9C46}"/>
    <cellStyle name="Normal 5 4 2 2" xfId="544" xr:uid="{DED386B5-1046-49F9-8F43-3C015805775D}"/>
    <cellStyle name="Normal 5 4 2 3" xfId="546" xr:uid="{D91D1D8A-41AD-4718-BCBE-84FF4AF60976}"/>
    <cellStyle name="Normal 5 4 3" xfId="249" xr:uid="{CC02CB26-B588-44F0-B0BE-5CDBAE92E915}"/>
    <cellStyle name="Normal 5 4 4" xfId="251" xr:uid="{7E75ACAA-7997-418B-9838-8232CEC842F9}"/>
    <cellStyle name="Normal 5 4 5" xfId="577" xr:uid="{228F0B7B-C4A4-4253-AC01-06EE104D36B9}"/>
    <cellStyle name="Normal 5 4 6" xfId="580" xr:uid="{7D7D8102-17C2-467D-BF04-12CAE8FDB0EC}"/>
    <cellStyle name="Normal 5 5" xfId="72" xr:uid="{D324BF4E-9D44-4A32-A995-C473F7967684}"/>
    <cellStyle name="Normal 5 5 2" xfId="97" xr:uid="{3160B889-5FDC-4C15-9EE9-891CB634A589}"/>
    <cellStyle name="Normal 5 5 3" xfId="604" xr:uid="{89A31A87-2A94-4783-B959-AB45CEDBE085}"/>
    <cellStyle name="Normal 5 6" xfId="456" xr:uid="{28DEBAF5-BEEE-42C0-A5E0-6996A3D919C7}"/>
    <cellStyle name="Normal 5 6 2" xfId="211" xr:uid="{B2EFA260-ABF6-460F-A243-18063162A3A6}"/>
    <cellStyle name="Normal 5 6 3" xfId="590" xr:uid="{42FF72E6-2DE3-4DAB-89C2-ABD4FF8157DC}"/>
    <cellStyle name="Normal 5 7" xfId="606" xr:uid="{E2EC4579-CEF8-4347-B1D7-AC68284C382A}"/>
    <cellStyle name="Normal 5 8" xfId="608" xr:uid="{25979E6C-5BCC-4453-8B39-AD5E0834FC35}"/>
    <cellStyle name="Normal 5 9" xfId="610" xr:uid="{91E747F3-C210-400A-A2C3-DB2B31706374}"/>
    <cellStyle name="Normal 6" xfId="612" xr:uid="{1B825019-B33F-470E-AF0E-882B9AC5A9B9}"/>
    <cellStyle name="Normal 6 10" xfId="613" xr:uid="{56DCD70B-6FAC-4D70-AB52-C970C5985338}"/>
    <cellStyle name="Normal 6 11" xfId="615" xr:uid="{A9A6443F-9E26-4469-AD16-605A61E6D447}"/>
    <cellStyle name="Normal 6 2" xfId="352" xr:uid="{E53B2C30-BDCB-430E-A2B0-000DEBDDB746}"/>
    <cellStyle name="Normal 6 2 2" xfId="355" xr:uid="{0BDBB3B3-0777-45AB-BE03-AEA50D43A737}"/>
    <cellStyle name="Normal 6 2 2 2" xfId="358" xr:uid="{D9F08501-6A3C-4D71-927E-F13BF1197FFB}"/>
    <cellStyle name="Normal 6 2 2 2 2" xfId="540" xr:uid="{94A55B99-B07F-4929-88D7-83E7B0B84547}"/>
    <cellStyle name="Normal 6 2 2 2 3" xfId="60" xr:uid="{A1BC9A42-5AEB-4930-8A6D-3D464EC5C5EE}"/>
    <cellStyle name="Normal 6 2 2 3" xfId="360" xr:uid="{0A4A15A4-9819-443D-A1A3-82FAF44B4DF6}"/>
    <cellStyle name="Normal 6 2 2 4" xfId="617" xr:uid="{B4F43761-4939-482B-B6A5-D85200442949}"/>
    <cellStyle name="Normal 6 2 2 5" xfId="618" xr:uid="{0904279F-6F2B-422E-8451-9BBC1EEA31AE}"/>
    <cellStyle name="Normal 6 2 2 6" xfId="619" xr:uid="{B3435374-BB6D-4CD7-A30C-73282E90E343}"/>
    <cellStyle name="Normal 6 2 3" xfId="620" xr:uid="{E6B9C79A-B9C6-4EA6-A6D8-42BE5713AA86}"/>
    <cellStyle name="Normal 6 2 3 2" xfId="621" xr:uid="{13D88CD4-F230-4D99-BB60-09CA2F683D4B}"/>
    <cellStyle name="Normal 6 2 3 2 2" xfId="622" xr:uid="{9DAA55BF-6548-440B-9F06-9EAF1E7399BE}"/>
    <cellStyle name="Normal 6 2 3 2 3" xfId="623" xr:uid="{2D28433E-F41F-4226-83FA-F92F3F4C8948}"/>
    <cellStyle name="Normal 6 2 3 3" xfId="624" xr:uid="{6B573436-047D-4AE4-9D4B-2F9B9D68FC30}"/>
    <cellStyle name="Normal 6 2 3 4" xfId="625" xr:uid="{E87EB5EE-40CE-4E26-AB17-8CD36BEFAF9D}"/>
    <cellStyle name="Normal 6 2 3 5" xfId="626" xr:uid="{9DF9BC91-8C8C-4835-9CAB-FEDB5BDBCA1F}"/>
    <cellStyle name="Normal 6 2 3 6" xfId="627" xr:uid="{F56D99E1-5D50-4138-975C-334662C78699}"/>
    <cellStyle name="Normal 6 2 4" xfId="628" xr:uid="{C45495AE-D729-44F4-AB1A-59C5A11D9CC1}"/>
    <cellStyle name="Normal 6 2 4 2" xfId="629" xr:uid="{5B498058-D1B6-43CC-ACF9-CE105CB10F3F}"/>
    <cellStyle name="Normal 6 2 4 3" xfId="630" xr:uid="{7CE90E4C-A0ED-4E96-B691-5FA3BEFAE414}"/>
    <cellStyle name="Normal 6 2 5" xfId="631" xr:uid="{EA74AED2-1EE8-46B7-89B4-F1EF698CAB4E}"/>
    <cellStyle name="Normal 6 2 5 2" xfId="293" xr:uid="{05C459CA-C848-4FD2-BF55-25BD603C2898}"/>
    <cellStyle name="Normal 6 2 5 3" xfId="530" xr:uid="{9A61EBA0-F70E-440B-9B81-16E6F2AEC0CE}"/>
    <cellStyle name="Normal 6 2 6" xfId="632" xr:uid="{5F60233E-C34E-4F31-8E40-A88BDE79DE92}"/>
    <cellStyle name="Normal 6 2 7" xfId="633" xr:uid="{A5FA0D95-3019-499E-A5DB-29C781BD1D0E}"/>
    <cellStyle name="Normal 6 2 8" xfId="634" xr:uid="{110994E3-72C8-410D-8A32-3E6DF80577CD}"/>
    <cellStyle name="Normal 6 2 9" xfId="635" xr:uid="{BC33182E-30FA-42E4-A0B8-D00B3D990964}"/>
    <cellStyle name="Normal 6 3" xfId="636" xr:uid="{2360A045-F3A1-4AE3-992B-E25ED4591F72}"/>
    <cellStyle name="Normal 6 3 10" xfId="638" xr:uid="{C27CD38D-06EB-43CB-ADA7-0222B99ABB66}"/>
    <cellStyle name="Normal 6 3 2" xfId="639" xr:uid="{33FC4EB8-1C9F-46E1-9465-D961E5F063FB}"/>
    <cellStyle name="Normal 6 3 2 2" xfId="200" xr:uid="{D3CDF5DD-109A-4563-8A70-70E8989C7839}"/>
    <cellStyle name="Normal 6 3 2 2 2" xfId="640" xr:uid="{598D1877-198F-42B4-A245-9B4933C35F17}"/>
    <cellStyle name="Normal 6 3 2 2 3" xfId="491" xr:uid="{1C1AB6AB-642B-4102-8DCF-AACAB76BDC9D}"/>
    <cellStyle name="Normal 6 3 2 3" xfId="641" xr:uid="{945E4FE1-B780-4FF0-80F3-49C9F73564C6}"/>
    <cellStyle name="Normal 6 3 2 4" xfId="642" xr:uid="{E78CAF21-D2A2-4CB0-945C-F8F856E53A2D}"/>
    <cellStyle name="Normal 6 3 2 5" xfId="643" xr:uid="{B3E37D59-9408-4003-AE0E-464C8E29B3B3}"/>
    <cellStyle name="Normal 6 3 2 6" xfId="644" xr:uid="{E3A71DF3-5B69-452F-B3B1-C50D68F5D405}"/>
    <cellStyle name="Normal 6 3 3" xfId="645" xr:uid="{D4C87276-79FA-4FDE-89FE-E5697D352472}"/>
    <cellStyle name="Normal 6 3 3 2" xfId="646" xr:uid="{B361276F-6044-4705-B9D9-83A11D840E8D}"/>
    <cellStyle name="Normal 6 3 3 2 2" xfId="647" xr:uid="{CB306AFB-4B40-4C64-9226-03FA2C2E0338}"/>
    <cellStyle name="Normal 6 3 3 2 2 2" xfId="648" xr:uid="{21B84734-9A30-4D08-8A84-6015441DAECC}"/>
    <cellStyle name="Normal 6 3 3 2 2 3" xfId="649" xr:uid="{36CD741A-D6A4-45CC-B0EA-A1B23A7D4B3E}"/>
    <cellStyle name="Normal 6 3 3 2 3" xfId="650" xr:uid="{4DCB90E3-82D3-4834-BDB9-21D4928B9C75}"/>
    <cellStyle name="Normal 6 3 3 2 4" xfId="651" xr:uid="{2E158A21-C6E4-40FE-A214-002F6EFBFC79}"/>
    <cellStyle name="Normal 6 3 3 2 5" xfId="652" xr:uid="{8F426507-5D4D-48C6-8E53-0A2D15D8142C}"/>
    <cellStyle name="Normal 6 3 3 2 6" xfId="653" xr:uid="{B49C88C7-FFAD-4D79-95C6-D2B29B79047B}"/>
    <cellStyle name="Normal 6 3 3 3" xfId="654" xr:uid="{80AA96D0-BDBC-432E-8441-AD1920B9E166}"/>
    <cellStyle name="Normal 6 3 3 3 2" xfId="655" xr:uid="{1E2707B2-70A5-404E-B777-5087FFA6D227}"/>
    <cellStyle name="Normal 6 3 3 3 3" xfId="656" xr:uid="{12801D56-881E-4B8C-ABCD-CBF9D753796F}"/>
    <cellStyle name="Normal 6 3 3 4" xfId="657" xr:uid="{9832C362-2231-4D0A-BB80-863E8ED803CB}"/>
    <cellStyle name="Normal 6 3 3 4 2" xfId="658" xr:uid="{9B9BF3F7-C9AF-459F-A585-7F090029654F}"/>
    <cellStyle name="Normal 6 3 3 4 3" xfId="659" xr:uid="{9FC4A364-A07F-481F-BF60-1BE732D5C548}"/>
    <cellStyle name="Normal 6 3 3 5" xfId="661" xr:uid="{5B70B112-1761-4280-8AE8-C965DBFE25F4}"/>
    <cellStyle name="Normal 6 3 3 6" xfId="662" xr:uid="{D951F70C-1DFD-4599-8AAB-A10C699E488E}"/>
    <cellStyle name="Normal 6 3 3 7" xfId="663" xr:uid="{2B661C13-1DCE-4F1F-BB2C-09984C295430}"/>
    <cellStyle name="Normal 6 3 3 8" xfId="664" xr:uid="{962A4A22-1D2B-4861-AC7B-9EABBF6AC5F8}"/>
    <cellStyle name="Normal 6 3 4" xfId="665" xr:uid="{FB2D27A1-EAFF-4564-8795-62276196CA08}"/>
    <cellStyle name="Normal 6 3 4 2" xfId="666" xr:uid="{CAA75592-79F2-4713-B5FA-04D28F500167}"/>
    <cellStyle name="Normal 6 3 4 2 2" xfId="667" xr:uid="{CCEA91B4-2457-4C77-AB41-CD9B2B3705F3}"/>
    <cellStyle name="Normal 6 3 4 2 3" xfId="668" xr:uid="{73AEE7CC-2B70-4E9D-A5C6-B0D4840DAEE8}"/>
    <cellStyle name="Normal 6 3 4 3" xfId="669" xr:uid="{F15F06A0-DB61-4236-83B2-D4D1D456D333}"/>
    <cellStyle name="Normal 6 3 4 4" xfId="670" xr:uid="{CA954EA0-926D-4A85-AE2D-D357D4A0F162}"/>
    <cellStyle name="Normal 6 3 4 5" xfId="671" xr:uid="{3B43DBAD-CBD7-4C40-9CC9-A92F33D044F2}"/>
    <cellStyle name="Normal 6 3 4 6" xfId="672" xr:uid="{E960CDC5-E70A-4860-9A6C-82120F0C614F}"/>
    <cellStyle name="Normal 6 3 5" xfId="673" xr:uid="{625F4046-CCC5-4910-8176-1A86C2A115B0}"/>
    <cellStyle name="Normal 6 3 5 2" xfId="674" xr:uid="{220B723A-8460-4C3B-BFEF-E2F2FBEAB7C8}"/>
    <cellStyle name="Normal 6 3 5 3" xfId="675" xr:uid="{457054D5-F4AB-4F48-82BB-9DCEB69E74BB}"/>
    <cellStyle name="Normal 6 3 6" xfId="676" xr:uid="{0E23E6FE-1240-4DD7-BA05-02B2E18D0A0E}"/>
    <cellStyle name="Normal 6 3 6 2" xfId="677" xr:uid="{1E168393-854C-455E-81CA-D66E59CEB159}"/>
    <cellStyle name="Normal 6 3 6 3" xfId="678" xr:uid="{7401F5D0-3AA3-489D-BBCF-D56F4158CF89}"/>
    <cellStyle name="Normal 6 3 7" xfId="679" xr:uid="{1EB865A1-F30B-4092-AC7D-B2BB72DFF19F}"/>
    <cellStyle name="Normal 6 3 8" xfId="680" xr:uid="{CCA36A6D-F22D-4647-9759-A156239139D2}"/>
    <cellStyle name="Normal 6 3 9" xfId="681" xr:uid="{0EAB28D9-988F-40DB-9E8B-B9D5ED38BD78}"/>
    <cellStyle name="Normal 6 4" xfId="682" xr:uid="{329134AA-71B1-481E-ACE7-BFF67E61060D}"/>
    <cellStyle name="Normal 6 4 2" xfId="684" xr:uid="{EB79F276-831F-41BC-9F99-1BA5F27C9987}"/>
    <cellStyle name="Normal 6 4 2 2" xfId="685" xr:uid="{3A137B36-0205-483B-B3A7-12B325C1BFC3}"/>
    <cellStyle name="Normal 6 4 2 3" xfId="686" xr:uid="{C21B6B48-F866-4F1C-8F7C-684AF18C9712}"/>
    <cellStyle name="Normal 6 4 3" xfId="687" xr:uid="{FB6FD6F8-DA77-47ED-BE82-4CE84F3356D2}"/>
    <cellStyle name="Normal 6 4 4" xfId="688" xr:uid="{D014D7B6-EF52-4B63-B961-26F99A562C14}"/>
    <cellStyle name="Normal 6 4 5" xfId="689" xr:uid="{ED5D07F2-1F17-4740-8EE6-8FC1CA4BE495}"/>
    <cellStyle name="Normal 6 4 6" xfId="690" xr:uid="{26FFBD69-AF35-4803-B641-F062120B2405}"/>
    <cellStyle name="Normal 6 5" xfId="691" xr:uid="{88AB8AB1-8430-419F-9D72-6C9CA0ADD371}"/>
    <cellStyle name="Normal 6 5 2" xfId="692" xr:uid="{EFA8CBFF-EEFC-430A-84D1-810F7FF95611}"/>
    <cellStyle name="Normal 6 5 2 2" xfId="693" xr:uid="{7E1D3464-44EF-4C0A-B124-9738C64B3612}"/>
    <cellStyle name="Normal 6 5 2 3" xfId="695" xr:uid="{8CE8E5A2-10A5-4D27-962B-9401315C9D87}"/>
    <cellStyle name="Normal 6 5 3" xfId="697" xr:uid="{E9CA7835-E91A-430D-87EC-F7CC506E405B}"/>
    <cellStyle name="Normal 6 5 4" xfId="694" xr:uid="{A2446AA5-F934-45E6-A83D-C333439871E2}"/>
    <cellStyle name="Normal 6 5 5" xfId="696" xr:uid="{F041C174-579C-4CC6-B4BA-CB8C445CCFFB}"/>
    <cellStyle name="Normal 6 5 6" xfId="698" xr:uid="{A810B1FE-F2D8-4C05-9734-E45BF67C5177}"/>
    <cellStyle name="Normal 6 6" xfId="699" xr:uid="{B26D724E-2C12-44E9-8CCC-BDE2EDEE3FD3}"/>
    <cellStyle name="Normal 6 6 2" xfId="701" xr:uid="{E7675DC5-D214-4874-ADD6-998F8BD58478}"/>
    <cellStyle name="Normal 6 6 3" xfId="702" xr:uid="{6D8308CD-2F0A-49DB-91F9-B7970F76923A}"/>
    <cellStyle name="Normal 6 7" xfId="703" xr:uid="{F321FDE4-1085-43D5-A3E6-7FAC16EED9CA}"/>
    <cellStyle name="Normal 6 7 2" xfId="705" xr:uid="{D79415AE-2FFF-485F-8702-BF6C71013CE6}"/>
    <cellStyle name="Normal 6 7 3" xfId="706" xr:uid="{6C0B07B1-A9C8-4E4F-A079-4EECBE7847A3}"/>
    <cellStyle name="Normal 6 8" xfId="707" xr:uid="{BBF4306C-0CD0-479A-8BA9-84C2E16BA2D2}"/>
    <cellStyle name="Normal 6 9" xfId="708" xr:uid="{5C8E88D8-5067-484D-AAAD-F00AE55BDF90}"/>
    <cellStyle name="Normal 7" xfId="709" xr:uid="{E900BCE4-DE99-4F9C-9194-FF5695D3E344}"/>
    <cellStyle name="Normal 7 10" xfId="710" xr:uid="{AD94558D-D2C5-4FD3-B29E-DB8B4DC1E49C}"/>
    <cellStyle name="Normal 7 10 2" xfId="713" xr:uid="{57F36B5E-857D-4E2A-B56D-CE7D1D1A4B44}"/>
    <cellStyle name="Normal 7 10 2 2" xfId="716" xr:uid="{C87D0B3A-D723-4142-86E4-5DA4D1D5598D}"/>
    <cellStyle name="Normal 7 10 2 2 2" xfId="717" xr:uid="{7C8F6326-A226-4879-9E91-8D091E76991B}"/>
    <cellStyle name="Normal 7 10 2 2 3" xfId="718" xr:uid="{2F667784-8919-4DEC-B4EE-33828DCB2636}"/>
    <cellStyle name="Normal 7 10 2 3" xfId="719" xr:uid="{197D238C-A5A9-4E65-9150-3B81EA792FC3}"/>
    <cellStyle name="Normal 7 10 2 4" xfId="721" xr:uid="{6459D609-62B4-4B7F-8ED8-0595C2BB5B77}"/>
    <cellStyle name="Normal 7 10 2 5" xfId="723" xr:uid="{1FA7A6A4-402B-46B4-89F2-BE0431E42B6C}"/>
    <cellStyle name="Normal 7 10 2 6" xfId="725" xr:uid="{2EB79ED5-343C-42B4-8A84-FF36D65CAEE4}"/>
    <cellStyle name="Normal 7 10 3" xfId="727" xr:uid="{CCD16203-E4DD-4FFA-B519-59CFBFB0C30C}"/>
    <cellStyle name="Normal 7 10 3 2" xfId="730" xr:uid="{92E1C2AD-93D6-4823-A307-C4E5F6FAE833}"/>
    <cellStyle name="Normal 7 10 3 3" xfId="731" xr:uid="{38CA9E2D-E58F-482C-B70C-9E8340F5525D}"/>
    <cellStyle name="Normal 7 10 4" xfId="733" xr:uid="{97171468-1CC6-446E-9046-71B172A04284}"/>
    <cellStyle name="Normal 7 10 4 2" xfId="734" xr:uid="{6D252540-5CFC-4720-B23A-3487AE610B4B}"/>
    <cellStyle name="Normal 7 10 4 3" xfId="736" xr:uid="{6F609160-0DE6-4833-9DBD-2BF3C801FEFB}"/>
    <cellStyle name="Normal 7 10 5" xfId="739" xr:uid="{0F71357E-8714-4DB5-89E4-6D24263FC362}"/>
    <cellStyle name="Normal 7 10 6" xfId="740" xr:uid="{9B651E20-7F6D-4F6D-88C2-3D9883619FF6}"/>
    <cellStyle name="Normal 7 10 7" xfId="741" xr:uid="{A65CBDA2-3994-40A1-9997-9708E9CD99B7}"/>
    <cellStyle name="Normal 7 10 8" xfId="742" xr:uid="{9C134107-DE82-4B7C-BDD0-201D54E1161D}"/>
    <cellStyle name="Normal 7 11" xfId="743" xr:uid="{C56D990A-42B8-4D7F-BBA1-EB20582348F4}"/>
    <cellStyle name="Normal 7 11 2" xfId="746" xr:uid="{2ECF8AE9-5CDD-4212-A48C-42D8C88C9A49}"/>
    <cellStyle name="Normal 7 11 2 2" xfId="749" xr:uid="{11FDF25D-A89A-421E-878A-9476CB4BCE8A}"/>
    <cellStyle name="Normal 7 11 2 2 2" xfId="750" xr:uid="{435B1158-F65E-4A20-BF54-3AFADB5ED6D0}"/>
    <cellStyle name="Normal 7 11 2 2 3" xfId="751" xr:uid="{40802F6E-BC91-4B7E-9AF6-46DF80511FB3}"/>
    <cellStyle name="Normal 7 11 2 3" xfId="752" xr:uid="{5DE944DF-E682-4C14-8389-48C6CBB2D3EA}"/>
    <cellStyle name="Normal 7 11 2 4" xfId="754" xr:uid="{B8AD9389-C025-4CD7-AECB-CCA2C857A034}"/>
    <cellStyle name="Normal 7 11 2 5" xfId="756" xr:uid="{0B9F69DB-9860-47BB-9A29-E13A44763DEF}"/>
    <cellStyle name="Normal 7 11 2 6" xfId="758" xr:uid="{590DF797-776E-4C14-93DA-78FDBD2CBD0D}"/>
    <cellStyle name="Normal 7 11 3" xfId="760" xr:uid="{A35892E9-1EF3-485B-AD74-BF4048E2EC31}"/>
    <cellStyle name="Normal 7 11 3 2" xfId="763" xr:uid="{50A8C3C8-657D-45BE-9064-1EADFEB51B06}"/>
    <cellStyle name="Normal 7 11 3 3" xfId="764" xr:uid="{D79D9810-B0DC-46C6-92A3-2B5653797837}"/>
    <cellStyle name="Normal 7 11 4" xfId="766" xr:uid="{F4B15E4A-755A-42FB-B49F-F155965BE144}"/>
    <cellStyle name="Normal 7 11 4 2" xfId="767" xr:uid="{B2F45B3D-3E62-4A6F-A4EF-AA06D992AB2D}"/>
    <cellStyle name="Normal 7 11 4 3" xfId="768" xr:uid="{DDF814C3-D0D9-4A26-BFCF-269B65EA9FBB}"/>
    <cellStyle name="Normal 7 11 5" xfId="770" xr:uid="{9384855B-2C27-4D0A-A748-3C28F6C789ED}"/>
    <cellStyle name="Normal 7 11 6" xfId="771" xr:uid="{5CD71C5F-7649-4F80-B8E9-E42D7F1D9B48}"/>
    <cellStyle name="Normal 7 11 7" xfId="772" xr:uid="{54DE909B-2B93-47D6-85F4-E254AB0520FC}"/>
    <cellStyle name="Normal 7 11 8" xfId="773" xr:uid="{61A21140-9E1E-4E2A-9AF5-8828526E99A7}"/>
    <cellStyle name="Normal 7 12" xfId="774" xr:uid="{0D86830D-C048-4EE0-A651-096778609E97}"/>
    <cellStyle name="Normal 7 12 2" xfId="775" xr:uid="{A522DADE-7D6E-4C9A-9130-D34E70548158}"/>
    <cellStyle name="Normal 7 12 2 2" xfId="776" xr:uid="{49AF69C8-E8C4-4A51-8BAA-B276ADB3C299}"/>
    <cellStyle name="Normal 7 12 2 3" xfId="777" xr:uid="{C6F84430-EDDF-45AF-ABCB-15EDA1E3279F}"/>
    <cellStyle name="Normal 7 12 3" xfId="779" xr:uid="{2D01A4ED-B4BA-4194-9E17-5C9FFB02917C}"/>
    <cellStyle name="Normal 7 12 4" xfId="780" xr:uid="{98053255-8F31-496C-B4F4-5C0B8C713E7E}"/>
    <cellStyle name="Normal 7 12 5" xfId="781" xr:uid="{8C9ABC1C-0564-4105-A5E2-BA56E90B3E82}"/>
    <cellStyle name="Normal 7 12 6" xfId="782" xr:uid="{126E316C-B24C-49F5-878C-7362989049B2}"/>
    <cellStyle name="Normal 7 13" xfId="783" xr:uid="{FC942F4F-C814-475A-805D-3E25775A1211}"/>
    <cellStyle name="Normal 7 13 2" xfId="784" xr:uid="{0BF456BD-F86C-4580-83C8-9E2E3B7A4622}"/>
    <cellStyle name="Normal 7 13 2 2" xfId="785" xr:uid="{D4DFD729-F15B-43DA-A9E1-AB648C9FF386}"/>
    <cellStyle name="Normal 7 13 2 3" xfId="786" xr:uid="{D3B19E7E-4228-4142-8EA4-0D3AACDACEB6}"/>
    <cellStyle name="Normal 7 13 3" xfId="788" xr:uid="{7D3B48FF-02B8-4502-B969-C9C5C0AFB5BA}"/>
    <cellStyle name="Normal 7 13 4" xfId="789" xr:uid="{3798F937-1CB0-4A13-B950-6B3A0C1B041E}"/>
    <cellStyle name="Normal 7 13 5" xfId="790" xr:uid="{EAD4069A-2CA0-491E-A8AA-9CC3A02D2685}"/>
    <cellStyle name="Normal 7 13 6" xfId="791" xr:uid="{3033E062-AA3E-44B1-84EA-59223C618A10}"/>
    <cellStyle name="Normal 7 14" xfId="793" xr:uid="{BD0528F3-C867-4CA2-A086-97BA5BD9A11F}"/>
    <cellStyle name="Normal 7 14 2" xfId="794" xr:uid="{6A297F00-E11B-4026-9520-9C0C4AB2CC74}"/>
    <cellStyle name="Normal 7 14 2 2" xfId="795" xr:uid="{69679BE5-454C-4248-ABF7-0EC2C6665C23}"/>
    <cellStyle name="Normal 7 14 2 3" xfId="796" xr:uid="{E1F15047-16E6-4EB0-90D4-D28ACA128576}"/>
    <cellStyle name="Normal 7 14 3" xfId="798" xr:uid="{B30FBA4C-4F74-4ABC-9DDB-DDAC86CD82B4}"/>
    <cellStyle name="Normal 7 14 4" xfId="799" xr:uid="{3C79EDF9-76CA-47BE-A3A6-204E49CD53CB}"/>
    <cellStyle name="Normal 7 14 5" xfId="800" xr:uid="{928D3C6D-0F2E-4E78-A31E-A4AF1DCFA380}"/>
    <cellStyle name="Normal 7 14 6" xfId="801" xr:uid="{E92E4C18-0FEF-43DC-88BC-C4503ED709FC}"/>
    <cellStyle name="Normal 7 15" xfId="803" xr:uid="{A435469A-19D7-4C7A-8844-1129E17C0F34}"/>
    <cellStyle name="Normal 7 15 2" xfId="806" xr:uid="{420A599B-3D33-4277-B3F1-2A3B54FDCDBB}"/>
    <cellStyle name="Normal 7 15 3" xfId="807" xr:uid="{B1137DB0-A59E-4739-A2B7-5061CA1A1031}"/>
    <cellStyle name="Normal 7 16" xfId="808" xr:uid="{04544CEC-122E-4C73-936F-606040C80851}"/>
    <cellStyle name="Normal 7 16 2" xfId="811" xr:uid="{148969C4-D511-4C69-8230-E9095A60CB0C}"/>
    <cellStyle name="Normal 7 16 3" xfId="812" xr:uid="{823D086B-516A-45BA-8F9F-AD8AF9FA9E48}"/>
    <cellStyle name="Normal 7 17" xfId="813" xr:uid="{25B8860D-FA9E-469B-9824-674C72AF6970}"/>
    <cellStyle name="Normal 7 17 2" xfId="814" xr:uid="{EAD08BC9-B453-4480-AC28-79C1871C6355}"/>
    <cellStyle name="Normal 7 17 3" xfId="815" xr:uid="{2DADA948-E4F9-48A8-ADCA-F3707AC4B36E}"/>
    <cellStyle name="Normal 7 18" xfId="816" xr:uid="{9E459334-093A-42A1-8042-311CFE4743DE}"/>
    <cellStyle name="Normal 7 19" xfId="817" xr:uid="{813C48F1-DE9D-46CC-B124-FB3197A5932B}"/>
    <cellStyle name="Normal 7 2" xfId="818" xr:uid="{571699EE-631F-4FAA-BF58-E1CB6D37D3CA}"/>
    <cellStyle name="Normal 7 2 2" xfId="80" xr:uid="{EDD35E3B-110F-4FDE-8056-32FAA2D416E1}"/>
    <cellStyle name="Normal 7 2 2 2" xfId="288" xr:uid="{B06360FE-FB96-4FB6-8334-8A15C4C6ABEC}"/>
    <cellStyle name="Normal 7 2 2 2 2" xfId="291" xr:uid="{D69AC6E2-DEFE-4DEA-9B07-DB39242BEF7C}"/>
    <cellStyle name="Normal 7 2 2 2 3" xfId="819" xr:uid="{D95E4404-AC84-4D7E-8637-9E38AC47C2A0}"/>
    <cellStyle name="Normal 7 2 2 3" xfId="296" xr:uid="{B9FB78A5-9A39-443C-A0CE-1B41CF688B01}"/>
    <cellStyle name="Normal 7 2 2 4" xfId="213" xr:uid="{F4F3DD65-3535-48D5-B701-3CA01DDDB6EA}"/>
    <cellStyle name="Normal 7 2 2 5" xfId="820" xr:uid="{E0B41F8A-4A7D-4744-99EC-7855FD036588}"/>
    <cellStyle name="Normal 7 2 2 6" xfId="821" xr:uid="{06523C78-DB89-4B2B-BDA4-734063E43E42}"/>
    <cellStyle name="Normal 7 2 3" xfId="84" xr:uid="{D4D48368-032C-4FEB-93C0-A39DC312634B}"/>
    <cellStyle name="Normal 7 2 3 2" xfId="300" xr:uid="{812B3DFB-04F2-44E3-9138-668B213429EB}"/>
    <cellStyle name="Normal 7 2 3 2 2" xfId="302" xr:uid="{F2EAE63A-FF85-4DAE-9B01-711724A366D5}"/>
    <cellStyle name="Normal 7 2 3 2 3" xfId="822" xr:uid="{32B51465-9309-42B5-94D5-E45C9E51C9B1}"/>
    <cellStyle name="Normal 7 2 3 3" xfId="305" xr:uid="{B6BB4C45-3871-4E09-A743-82938981BFA0}"/>
    <cellStyle name="Normal 7 2 3 4" xfId="258" xr:uid="{BEB688C1-71C6-449D-A7C4-D08CF84E60F8}"/>
    <cellStyle name="Normal 7 2 3 5" xfId="823" xr:uid="{E29B8E42-18F8-4CF7-8EB1-B5EB02A74558}"/>
    <cellStyle name="Normal 7 2 3 6" xfId="824" xr:uid="{EDD41BE6-0784-440D-A912-85D29F33D801}"/>
    <cellStyle name="Normal 7 2 4" xfId="89" xr:uid="{65D30E5F-76AC-456F-BFAD-7EDFFAFF9138}"/>
    <cellStyle name="Normal 7 2 4 2" xfId="308" xr:uid="{D4FDAC82-5C0C-46CB-AB6D-43B0617CE6E1}"/>
    <cellStyle name="Normal 7 2 4 3" xfId="316" xr:uid="{0681B320-0DE7-4230-97EE-9888F4D619FC}"/>
    <cellStyle name="Normal 7 2 5" xfId="93" xr:uid="{D707B0AC-08B2-4E08-AD26-BEB2214470B4}"/>
    <cellStyle name="Normal 7 2 5 2" xfId="322" xr:uid="{3AED17E0-4D0D-4EDF-945C-2B468F52E0E8}"/>
    <cellStyle name="Normal 7 2 5 3" xfId="825" xr:uid="{66EC895D-C34E-477A-A9F7-13AE7BE3A100}"/>
    <cellStyle name="Normal 7 2 6" xfId="326" xr:uid="{C2EE3A4E-E0C7-4D3A-8E3F-ABC820E1C280}"/>
    <cellStyle name="Normal 7 2 7" xfId="328" xr:uid="{8A043BCA-6B9F-4D42-AAE1-4B8FDCA34838}"/>
    <cellStyle name="Normal 7 2 8" xfId="827" xr:uid="{EF5AFC6A-EAB1-47C9-85C6-0670BF97EC0B}"/>
    <cellStyle name="Normal 7 2 9" xfId="828" xr:uid="{FBC0EAA9-AE17-411D-95CA-B8F8333D40D7}"/>
    <cellStyle name="Normal 7 20" xfId="804" xr:uid="{0AAB04BE-DB31-4B98-A912-73143040023A}"/>
    <cellStyle name="Normal 7 21" xfId="809" xr:uid="{EEC98FD0-FA8D-47F9-B509-3939631DC1A2}"/>
    <cellStyle name="Normal 7 3" xfId="829" xr:uid="{5C7F3FDE-DF57-42B0-B973-5EFD9D9977FF}"/>
    <cellStyle name="Normal 7 3 10" xfId="830" xr:uid="{1DF96F28-856B-4328-BEBA-E419A29529C0}"/>
    <cellStyle name="Normal 7 3 2" xfId="831" xr:uid="{8B46C728-35FE-49C9-B73E-D7A819504078}"/>
    <cellStyle name="Normal 7 3 2 2" xfId="832" xr:uid="{8AC749A2-1D0C-494F-8F09-43D07ACC2B19}"/>
    <cellStyle name="Normal 7 3 2 2 2" xfId="324" xr:uid="{E42CD596-76D2-4FDC-81A3-542820D9F5F2}"/>
    <cellStyle name="Normal 7 3 2 2 2 2" xfId="410" xr:uid="{634D3343-5C63-4D8F-A163-3BCAA7FA43D1}"/>
    <cellStyle name="Normal 7 3 2 2 2 3" xfId="834" xr:uid="{404241DD-7321-4185-8193-AF80CB8DDC42}"/>
    <cellStyle name="Normal 7 3 2 2 3" xfId="388" xr:uid="{4D539DB8-D423-4DC8-938B-61F072A9110E}"/>
    <cellStyle name="Normal 7 3 2 2 4" xfId="277" xr:uid="{8E687B6A-631A-445C-B098-77DEE835E572}"/>
    <cellStyle name="Normal 7 3 2 2 5" xfId="836" xr:uid="{12B6994C-BC0C-4653-B5F3-4ABC2C4EB832}"/>
    <cellStyle name="Normal 7 3 2 2 6" xfId="837" xr:uid="{40F5A8C1-89CE-4E88-BF20-5058DEB5D155}"/>
    <cellStyle name="Normal 7 3 2 3" xfId="838" xr:uid="{5D2460E8-FE81-4275-AED1-FCBEEE761A4F}"/>
    <cellStyle name="Normal 7 3 2 3 2" xfId="384" xr:uid="{C61FF604-4C95-4DB4-9685-DCD70929B644}"/>
    <cellStyle name="Normal 7 3 2 3 2 2" xfId="169" xr:uid="{56FF4D84-5929-44A5-B4AB-3C16809975CC}"/>
    <cellStyle name="Normal 7 3 2 3 2 3" xfId="840" xr:uid="{1D8A9092-6516-42C4-ABA3-675CB6C7AC4C}"/>
    <cellStyle name="Normal 7 3 2 3 3" xfId="399" xr:uid="{F4C3890A-EEE1-4459-ABEC-BE7878F9363C}"/>
    <cellStyle name="Normal 7 3 2 3 4" xfId="283" xr:uid="{072D6BC7-BB8C-41AE-AA1B-EE6CA142B0D2}"/>
    <cellStyle name="Normal 7 3 2 3 5" xfId="841" xr:uid="{8D1D959D-81FB-4821-BC8D-32C036C3E763}"/>
    <cellStyle name="Normal 7 3 2 3 6" xfId="842" xr:uid="{0C326D72-8143-4EC0-AAB3-3E19C588B28B}"/>
    <cellStyle name="Normal 7 3 2 4" xfId="843" xr:uid="{ACE98A8C-8D5C-4402-8C42-014D6CD7AC12}"/>
    <cellStyle name="Normal 7 3 2 4 2" xfId="845" xr:uid="{CEAE9B07-4045-4490-B079-4D2641ED9D57}"/>
    <cellStyle name="Normal 7 3 2 4 3" xfId="846" xr:uid="{65E1C0D3-CB56-4470-8BCF-B70B1F9DB5D2}"/>
    <cellStyle name="Normal 7 3 2 5" xfId="847" xr:uid="{77E89724-633C-4D3E-8489-7787B004E14F}"/>
    <cellStyle name="Normal 7 3 2 5 2" xfId="835" xr:uid="{7FFF4FD0-14ED-479D-AFB3-E521FA183447}"/>
    <cellStyle name="Normal 7 3 2 5 3" xfId="849" xr:uid="{05E0ED5B-47B9-442C-9A11-AE2FBC76D547}"/>
    <cellStyle name="Normal 7 3 2 6" xfId="850" xr:uid="{5731386A-3ACA-4656-B845-BA5DD675E0F4}"/>
    <cellStyle name="Normal 7 3 2 7" xfId="851" xr:uid="{A49000FA-B975-40E9-8C3C-0510EA072BD9}"/>
    <cellStyle name="Normal 7 3 2 8" xfId="852" xr:uid="{F9751D97-8134-416A-BBF5-7DD030BBFBCE}"/>
    <cellStyle name="Normal 7 3 2 9" xfId="853" xr:uid="{F34737AB-7254-4B68-AB6E-2C58A4E07596}"/>
    <cellStyle name="Normal 7 3 3" xfId="854" xr:uid="{1F55AAF9-97E5-41A9-9F19-7C90A24A65D5}"/>
    <cellStyle name="Normal 7 3 3 2" xfId="855" xr:uid="{47C3BE03-81F3-4538-964C-EC3EA74A4309}"/>
    <cellStyle name="Normal 7 3 3 2 2" xfId="51" xr:uid="{49403B30-B548-4D29-BBD2-462F2B405618}"/>
    <cellStyle name="Normal 7 3 3 2 3" xfId="40" xr:uid="{6D934773-1E1F-4350-8F4D-156BF18F9E3F}"/>
    <cellStyle name="Normal 7 3 3 3" xfId="857" xr:uid="{7B98EE66-C609-45B9-85E7-EE832CD8D84C}"/>
    <cellStyle name="Normal 7 3 3 4" xfId="858" xr:uid="{98A98E22-5C2D-4D51-B195-107AF5DF09F2}"/>
    <cellStyle name="Normal 7 3 3 5" xfId="859" xr:uid="{6A84FA4F-F7FF-491E-84F6-A0956AE3F249}"/>
    <cellStyle name="Normal 7 3 3 6" xfId="860" xr:uid="{56DAF4BD-1C74-4BA5-B69E-8BE20816E984}"/>
    <cellStyle name="Normal 7 3 4" xfId="861" xr:uid="{E34D011E-C67A-4B01-8887-1B5CBF46EAF4}"/>
    <cellStyle name="Normal 7 3 4 2" xfId="862" xr:uid="{863BEA00-4CFF-45FC-8249-9055A5144699}"/>
    <cellStyle name="Normal 7 3 4 2 2" xfId="865" xr:uid="{A7E125C8-083A-43D0-A08C-2913A7FDAF66}"/>
    <cellStyle name="Normal 7 3 4 2 3" xfId="867" xr:uid="{6FC6FBC0-54DE-4013-93AA-6DBDC6577F13}"/>
    <cellStyle name="Normal 7 3 4 3" xfId="869" xr:uid="{9F10FB9A-29B0-4A79-B63A-3D4F9EAEAEFA}"/>
    <cellStyle name="Normal 7 3 4 4" xfId="870" xr:uid="{0AC42BBF-537D-47FD-A281-B7F7E572143E}"/>
    <cellStyle name="Normal 7 3 4 5" xfId="871" xr:uid="{E950CEDB-9787-48C9-8E56-96C8F81F0AF0}"/>
    <cellStyle name="Normal 7 3 4 6" xfId="872" xr:uid="{837CDC11-0BB7-4DE0-BE39-7D352EAAB112}"/>
    <cellStyle name="Normal 7 3 5" xfId="873" xr:uid="{B5AE5AE2-B84F-4741-AF0A-D7035DD32E45}"/>
    <cellStyle name="Normal 7 3 5 2" xfId="874" xr:uid="{8E42A27C-191A-4022-BE24-E68609BE2082}"/>
    <cellStyle name="Normal 7 3 5 3" xfId="38" xr:uid="{0F8E4725-1036-4CBB-BFC5-695A2DA34B27}"/>
    <cellStyle name="Normal 7 3 6" xfId="875" xr:uid="{E5AE5541-9990-4144-B289-5D69656D3648}"/>
    <cellStyle name="Normal 7 3 6 2" xfId="876" xr:uid="{8FBDD81E-025D-4E8B-9D79-701EDBE722AD}"/>
    <cellStyle name="Normal 7 3 6 3" xfId="878" xr:uid="{9A72BEE2-0515-4FD8-A7E3-C991E3736B83}"/>
    <cellStyle name="Normal 7 3 7" xfId="879" xr:uid="{CAEE2750-0A24-4E2D-A6A7-A7CEE7E5EF56}"/>
    <cellStyle name="Normal 7 3 8" xfId="880" xr:uid="{7AE587DB-8791-415D-8E91-D961E7CA2236}"/>
    <cellStyle name="Normal 7 3 9" xfId="881" xr:uid="{D966B86E-3CED-476D-A70F-C5C640D26569}"/>
    <cellStyle name="Normal 7 4" xfId="882" xr:uid="{D1CDD30E-1890-4CD0-87EE-E50446F8E8D2}"/>
    <cellStyle name="Normal 7 4 10" xfId="883" xr:uid="{798B9F6A-21D6-4EC1-B7FC-5909B4EA1E6B}"/>
    <cellStyle name="Normal 7 4 2" xfId="885" xr:uid="{8D51C5AC-6693-4F8C-BB4F-4F1BAEE6FFB8}"/>
    <cellStyle name="Normal 7 4 2 10" xfId="354" xr:uid="{F29F73DB-A02B-4FCB-BE4B-4819B6E808E9}"/>
    <cellStyle name="Normal 7 4 2 2" xfId="886" xr:uid="{4E7A4C0E-AC4A-4467-B7B0-1854654E4EFF}"/>
    <cellStyle name="Normal 7 4 2 2 2" xfId="887" xr:uid="{97C3651C-BD34-4CF3-B25D-615F7A3BEDA1}"/>
    <cellStyle name="Normal 7 4 2 2 2 10" xfId="888" xr:uid="{E21BB620-0465-48AF-AF9A-B3AA0A9D82A7}"/>
    <cellStyle name="Normal 7 4 2 2 2 10 2" xfId="889" xr:uid="{AE07CC04-EA93-4750-B95C-DD89D378BB8C}"/>
    <cellStyle name="Normal 7 4 2 2 2 10 2 2" xfId="160" xr:uid="{614FE06B-CCCA-462A-9843-DC410D8ADF7E}"/>
    <cellStyle name="Normal 7 4 2 2 2 10 2 2 2" xfId="104" xr:uid="{36FAC2C8-17A8-429E-8A6E-FAC92B72B647}"/>
    <cellStyle name="Normal 7 4 2 2 2 10 2 2 3" xfId="164" xr:uid="{771D1E2B-1373-4850-96E2-BC35CD75B892}"/>
    <cellStyle name="Normal 7 4 2 2 2 10 2 3" xfId="167" xr:uid="{3A61F2DE-3275-4BEF-830E-E974E6868A19}"/>
    <cellStyle name="Normal 7 4 2 2 2 10 2 4" xfId="131" xr:uid="{E726F1E3-C829-457C-86DC-9A53F963EE84}"/>
    <cellStyle name="Normal 7 4 2 2 2 10 2 5" xfId="135" xr:uid="{F24A54B2-43D1-41EE-A157-86EDEADD6C09}"/>
    <cellStyle name="Normal 7 4 2 2 2 10 2 6" xfId="175" xr:uid="{0F9F8F92-7E4A-4420-B2E5-9A737C485EAC}"/>
    <cellStyle name="Normal 7 4 2 2 2 10 3" xfId="890" xr:uid="{1EE2734A-696A-4412-90F9-96570B7519B2}"/>
    <cellStyle name="Normal 7 4 2 2 2 10 3 2" xfId="182" xr:uid="{C35DFA59-8C4A-4BE7-B035-F058E027FD7C}"/>
    <cellStyle name="Normal 7 4 2 2 2 10 3 3" xfId="184" xr:uid="{B2FD18E4-B5D2-439F-9B78-FB0B94064C5F}"/>
    <cellStyle name="Normal 7 4 2 2 2 10 4" xfId="891" xr:uid="{CEF274B7-F7EC-4ABE-AE74-9F98171EDEFD}"/>
    <cellStyle name="Normal 7 4 2 2 2 10 5" xfId="892" xr:uid="{38A7A417-4A11-4AD6-94F6-9733064C7CB7}"/>
    <cellStyle name="Normal 7 4 2 2 2 10 6" xfId="894" xr:uid="{B24C7C8C-0A26-4F56-AA6C-E137580B2A82}"/>
    <cellStyle name="Normal 7 4 2 2 2 10 7" xfId="896" xr:uid="{910FEAD3-A176-4520-9B53-009A478AED8B}"/>
    <cellStyle name="Normal 7 4 2 2 2 10 8" xfId="898" xr:uid="{3B35A27E-7F3D-4DDA-BF56-C6564794A430}"/>
    <cellStyle name="Normal 7 4 2 2 2 10 9" xfId="900" xr:uid="{727C8D23-8BE7-4AE7-BB8F-F838A214FB21}"/>
    <cellStyle name="Normal 7 4 2 2 2 11" xfId="902" xr:uid="{20061967-37D3-47FA-8A84-6424790BE4A5}"/>
    <cellStyle name="Normal 7 4 2 2 2 11 2" xfId="903" xr:uid="{EFF8DDCF-E27D-48DB-9DAA-92B9A0A35E81}"/>
    <cellStyle name="Normal 7 4 2 2 2 11 2 2" xfId="219" xr:uid="{B0D8CABF-768A-4310-B4B6-5DCBED202184}"/>
    <cellStyle name="Normal 7 4 2 2 2 11 2 3" xfId="221" xr:uid="{C4AC6D53-5C63-4A06-891E-F8F253308621}"/>
    <cellStyle name="Normal 7 4 2 2 2 11 3" xfId="904" xr:uid="{55773E62-3DDF-4E0D-BBEC-B61DC2AF261E}"/>
    <cellStyle name="Normal 7 4 2 2 2 11 4" xfId="905" xr:uid="{5F7A6439-266E-4D15-9CDC-315BFA565BFA}"/>
    <cellStyle name="Normal 7 4 2 2 2 11 5" xfId="906" xr:uid="{C9FAF3C1-64F9-484C-868F-56525BE59F72}"/>
    <cellStyle name="Normal 7 4 2 2 2 11 6" xfId="908" xr:uid="{414CAC43-D81C-4997-ABD3-47CFB61A0361}"/>
    <cellStyle name="Normal 7 4 2 2 2 12" xfId="910" xr:uid="{652B83F2-1B71-4D38-AF08-8CFDB3E6D723}"/>
    <cellStyle name="Normal 7 4 2 2 2 12 2" xfId="912" xr:uid="{ACE63DCF-2C79-4916-A66F-4D1B533DD0CA}"/>
    <cellStyle name="Normal 7 4 2 2 2 12 3" xfId="913" xr:uid="{97968F17-05F1-4A6C-8F8D-BBF176240EEE}"/>
    <cellStyle name="Normal 7 4 2 2 2 13" xfId="914" xr:uid="{FBADCF95-9D60-44B9-819C-8C22ED1A9A73}"/>
    <cellStyle name="Normal 7 4 2 2 2 13 2" xfId="916" xr:uid="{19AEB28E-BF1F-4CA6-A35F-BB9D123472B8}"/>
    <cellStyle name="Normal 7 4 2 2 2 13 3" xfId="917" xr:uid="{E21FA5C7-6114-40C7-82B3-FD798854BE29}"/>
    <cellStyle name="Normal 7 4 2 2 2 14" xfId="918" xr:uid="{79FB0468-D833-43A8-B84F-7AF739351598}"/>
    <cellStyle name="Normal 7 4 2 2 2 14 2" xfId="919" xr:uid="{9140502B-9058-4D15-A1B7-F88B9E945DE1}"/>
    <cellStyle name="Normal 7 4 2 2 2 14 3" xfId="920" xr:uid="{850B4E5C-D0FB-4AC1-AB1A-B1B81785D52A}"/>
    <cellStyle name="Normal 7 4 2 2 2 15" xfId="921" xr:uid="{525EE7F5-8EFF-428C-A49B-8AE6791CE36D}"/>
    <cellStyle name="Normal 7 4 2 2 2 15 2" xfId="922" xr:uid="{42AF321B-DC1F-4D96-BC1D-F5B18779F7D5}"/>
    <cellStyle name="Normal 7 4 2 2 2 15 3" xfId="923" xr:uid="{3BA0010F-27EA-4A67-853C-81355BB394E5}"/>
    <cellStyle name="Normal 7 4 2 2 2 16" xfId="924" xr:uid="{5CF61448-0A49-42F4-BA63-0EDACFBCECAB}"/>
    <cellStyle name="Normal 7 4 2 2 2 17" xfId="925" xr:uid="{30F3688C-93B4-42A2-9643-0464543DCE81}"/>
    <cellStyle name="Normal 7 4 2 2 2 18" xfId="926" xr:uid="{B710DBE5-781C-48AD-95FA-73228718A6D5}"/>
    <cellStyle name="Normal 7 4 2 2 2 19" xfId="927" xr:uid="{B1F8E190-DA1B-48A9-93DB-09A79E81CB0B}"/>
    <cellStyle name="Normal 7 4 2 2 2 19 2" xfId="928" xr:uid="{229CF188-5F9C-4CB3-ACB9-80196C25EF7A}"/>
    <cellStyle name="Normal 7 4 2 2 2 2" xfId="929" xr:uid="{5B1CF3E1-4E6C-411D-BDDA-ED1B17BC14F8}"/>
    <cellStyle name="Normal 7 4 2 2 2 2 10" xfId="930" xr:uid="{336437EA-D568-4ABB-8C43-B0941057079C}"/>
    <cellStyle name="Normal 7 4 2 2 2 2 2" xfId="792" xr:uid="{C19AE816-DDF0-43A3-B78A-E775D6D140AF}"/>
    <cellStyle name="Normal 7 4 2 2 2 2 2 10" xfId="931" xr:uid="{9DED5102-19AB-4024-B360-6EB5DD5B7AB4}"/>
    <cellStyle name="Normal 7 4 2 2 2 2 2 10 2" xfId="932" xr:uid="{96103D4D-52E0-4E65-A85D-FA956FCE2DDD}"/>
    <cellStyle name="Normal 7 4 2 2 2 2 2 11" xfId="934" xr:uid="{96B380ED-30E9-495D-B3B7-E3196BBB21A3}"/>
    <cellStyle name="Normal 7 4 2 2 2 2 2 2" xfId="935" xr:uid="{1BE0871C-3F5C-4624-BB1D-DC1590567BC1}"/>
    <cellStyle name="Normal 7 4 2 2 2 2 2 2 2" xfId="936" xr:uid="{971DD62F-E14B-4DD1-B887-35C7C0AB2904}"/>
    <cellStyle name="Normal 7 4 2 2 2 2 2 2 2 2" xfId="937" xr:uid="{9F2F18D5-AA2A-4E19-8766-65C068D72C97}"/>
    <cellStyle name="Normal 7 4 2 2 2 2 2 2 2 2 2" xfId="939" xr:uid="{7E77BB9E-4AA7-4EE2-B467-0829EECAA7BE}"/>
    <cellStyle name="Normal 7 4 2 2 2 2 2 2 2 2 3" xfId="593" xr:uid="{BE72D8DC-1C64-4454-935A-F544D39A7E11}"/>
    <cellStyle name="Normal 7 4 2 2 2 2 2 2 2 3" xfId="940" xr:uid="{1729113A-CF38-4788-ABC3-268756211271}"/>
    <cellStyle name="Normal 7 4 2 2 2 2 2 2 2 4" xfId="942" xr:uid="{42E3B6D9-B29B-4948-9C3E-8477092E6C39}"/>
    <cellStyle name="Normal 7 4 2 2 2 2 2 2 2 5" xfId="944" xr:uid="{8D5513CC-2E54-4096-AF5E-19FFC6DC72AF}"/>
    <cellStyle name="Normal 7 4 2 2 2 2 2 2 2 6" xfId="946" xr:uid="{D5268B24-3E49-4F8F-8C23-A13A0E17EB4D}"/>
    <cellStyle name="Normal 7 4 2 2 2 2 2 2 3" xfId="947" xr:uid="{5F7F930C-0993-49AB-884E-2F8C880A003A}"/>
    <cellStyle name="Normal 7 4 2 2 2 2 2 2 3 2" xfId="948" xr:uid="{129344DF-1296-442E-A392-33C58CFC2BAE}"/>
    <cellStyle name="Normal 7 4 2 2 2 2 2 2 3 3" xfId="950" xr:uid="{8094625B-50AA-4FBE-92A0-68EB2214D754}"/>
    <cellStyle name="Normal 7 4 2 2 2 2 2 2 4" xfId="27" xr:uid="{BF5F5805-DADE-4227-A1FB-561D2A56D48E}"/>
    <cellStyle name="Normal 7 4 2 2 2 2 2 2 4 2" xfId="952" xr:uid="{7564D2B9-AB5A-40D4-8BF1-F66650EBABD2}"/>
    <cellStyle name="Normal 7 4 2 2 2 2 2 2 4 3" xfId="954" xr:uid="{266E41CC-F5DB-4C94-9D4D-64B8668416F2}"/>
    <cellStyle name="Normal 7 4 2 2 2 2 2 2 5" xfId="55" xr:uid="{FF03434A-7DEA-450A-AA49-C37683A72478}"/>
    <cellStyle name="Normal 7 4 2 2 2 2 2 2 6" xfId="955" xr:uid="{7BA9A7E6-871F-4828-AACA-48144EE2B3C5}"/>
    <cellStyle name="Normal 7 4 2 2 2 2 2 2 7" xfId="957" xr:uid="{6DF8BA30-BF61-41C3-AD41-32B24F14FE31}"/>
    <cellStyle name="Normal 7 4 2 2 2 2 2 2 8" xfId="959" xr:uid="{B1436CCC-240C-4091-BD42-6785746156A8}"/>
    <cellStyle name="Normal 7 4 2 2 2 2 2 3" xfId="961" xr:uid="{E6DABDDC-A49A-4BE7-B9A6-11A917D17BA3}"/>
    <cellStyle name="Normal 7 4 2 2 2 2 2 3 2" xfId="962" xr:uid="{0C3FA7AF-6334-4C4C-9733-6FE52FF3FAD6}"/>
    <cellStyle name="Normal 7 4 2 2 2 2 2 3 2 2" xfId="963" xr:uid="{64B401E5-9999-4446-A0FC-BB534087BB9B}"/>
    <cellStyle name="Normal 7 4 2 2 2 2 2 3 2 3" xfId="965" xr:uid="{516571F9-CBB5-4B0F-83A8-8988BF97967D}"/>
    <cellStyle name="Normal 7 4 2 2 2 2 2 3 3" xfId="968" xr:uid="{9C393C04-FBE7-4883-B48C-EB67696B1D61}"/>
    <cellStyle name="Normal 7 4 2 2 2 2 2 3 3 2" xfId="969" xr:uid="{B0034024-0940-4E24-96D2-38391B8EC325}"/>
    <cellStyle name="Normal 7 4 2 2 2 2 2 3 3 3" xfId="971" xr:uid="{10FD553E-A744-47D6-8851-22E5E12E1AE1}"/>
    <cellStyle name="Normal 7 4 2 2 2 2 2 3 4" xfId="975" xr:uid="{B2415FF1-4B6C-4C5D-938F-12D326104995}"/>
    <cellStyle name="Normal 7 4 2 2 2 2 2 3 5" xfId="976" xr:uid="{6EBFF3BC-1D06-4C5A-B46C-73426A83502A}"/>
    <cellStyle name="Normal 7 4 2 2 2 2 2 3 6" xfId="978" xr:uid="{F6A9BF6E-34F2-4C82-851C-C597F96A9B16}"/>
    <cellStyle name="Normal 7 4 2 2 2 2 2 3 7" xfId="980" xr:uid="{2BF4F374-B030-442E-93B8-1E3D63089AAB}"/>
    <cellStyle name="Normal 7 4 2 2 2 2 2 4" xfId="981" xr:uid="{EDDA1000-C12B-47E2-873C-FC4E412BE02B}"/>
    <cellStyle name="Normal 7 4 2 2 2 2 2 4 2" xfId="982" xr:uid="{377AE9E2-B64F-4DC7-8E46-C907963DF28B}"/>
    <cellStyle name="Normal 7 4 2 2 2 2 2 4 3" xfId="983" xr:uid="{AD14242C-6D12-4EF5-83F9-875A3E186201}"/>
    <cellStyle name="Normal 7 4 2 2 2 2 2 5" xfId="984" xr:uid="{62204BEE-74AB-4494-B33F-6154BFD81BF0}"/>
    <cellStyle name="Normal 7 4 2 2 2 2 2 5 2" xfId="985" xr:uid="{7D3BEDF6-0BAD-4F12-B7E9-3AED184CB4F7}"/>
    <cellStyle name="Normal 7 4 2 2 2 2 2 5 3" xfId="986" xr:uid="{18014632-3375-462C-B597-37D21D6DDBB5}"/>
    <cellStyle name="Normal 7 4 2 2 2 2 2 6" xfId="987" xr:uid="{C0676F08-D051-4D0E-80A8-ECAF9E7B4C34}"/>
    <cellStyle name="Normal 7 4 2 2 2 2 2 6 2" xfId="988" xr:uid="{50FBC353-6C09-4F06-BA46-CA0916451A11}"/>
    <cellStyle name="Normal 7 4 2 2 2 2 2 6 3" xfId="989" xr:uid="{6464C0E0-AB50-47EA-ABCF-B62A60577395}"/>
    <cellStyle name="Normal 7 4 2 2 2 2 2 7" xfId="990" xr:uid="{66EDE3F4-F1EA-44B4-A719-3F6419FB6BD1}"/>
    <cellStyle name="Normal 7 4 2 2 2 2 2 8" xfId="991" xr:uid="{139E7B0A-D20B-45D8-9E7F-B6C60FEF0D7F}"/>
    <cellStyle name="Normal 7 4 2 2 2 2 2 9" xfId="992" xr:uid="{8CD3B802-2E24-4DA7-8973-F84ACC82480D}"/>
    <cellStyle name="Normal 7 4 2 2 2 2 3" xfId="993" xr:uid="{1A5437ED-61B2-48FF-8B46-59BAE5B67878}"/>
    <cellStyle name="Normal 7 4 2 2 2 2 3 2" xfId="994" xr:uid="{939BD467-885E-4E61-AEAA-DE0B4E2398BA}"/>
    <cellStyle name="Normal 7 4 2 2 2 2 3 2 2" xfId="995" xr:uid="{1B383827-22C0-42C3-B719-EEF522B63582}"/>
    <cellStyle name="Normal 7 4 2 2 2 2 3 2 3" xfId="996" xr:uid="{531B59AB-A77C-4AB7-BE33-0A58B6A716C1}"/>
    <cellStyle name="Normal 7 4 2 2 2 2 3 3" xfId="997" xr:uid="{A71FD8E4-C581-4718-973D-9CE344D3A1FF}"/>
    <cellStyle name="Normal 7 4 2 2 2 2 3 4" xfId="998" xr:uid="{25D5E0B6-D5C4-4D27-B586-6133B559FCA6}"/>
    <cellStyle name="Normal 7 4 2 2 2 2 3 5" xfId="999" xr:uid="{23C1C971-44BD-411E-B438-8ADB22F24D49}"/>
    <cellStyle name="Normal 7 4 2 2 2 2 3 6" xfId="1000" xr:uid="{C3185046-588B-408B-AFB8-A2C8EFD21F61}"/>
    <cellStyle name="Normal 7 4 2 2 2 2 4" xfId="1001" xr:uid="{F8A9FEDC-DA58-4BE1-8E67-5E418DFEFE1D}"/>
    <cellStyle name="Normal 7 4 2 2 2 2 4 2" xfId="1002" xr:uid="{E40F5CDB-1EAB-4CA9-A759-02D413648FEA}"/>
    <cellStyle name="Normal 7 4 2 2 2 2 4 2 2" xfId="1003" xr:uid="{08E19BAF-A8B1-48B1-9E1E-A3685C0CB6CA}"/>
    <cellStyle name="Normal 7 4 2 2 2 2 4 2 3" xfId="1004" xr:uid="{FEC00BD8-DB9B-44B2-80FD-C06B1AC6D632}"/>
    <cellStyle name="Normal 7 4 2 2 2 2 4 3" xfId="1005" xr:uid="{212998D5-61AD-4ABA-9054-AB41084C783B}"/>
    <cellStyle name="Normal 7 4 2 2 2 2 4 4" xfId="1006" xr:uid="{31B4D05C-2BD3-49DE-9BD7-28BD7C4AD57A}"/>
    <cellStyle name="Normal 7 4 2 2 2 2 4 5" xfId="1007" xr:uid="{B6EF749A-6E01-4260-8A96-376BBA33DA2E}"/>
    <cellStyle name="Normal 7 4 2 2 2 2 4 6" xfId="1008" xr:uid="{0CAE2E1C-6C39-4877-97F4-1B74CFF2A270}"/>
    <cellStyle name="Normal 7 4 2 2 2 2 5" xfId="1009" xr:uid="{1322625C-33BC-4092-B2F8-BB368DDE3316}"/>
    <cellStyle name="Normal 7 4 2 2 2 2 5 2" xfId="1010" xr:uid="{58FC1F70-A203-4F18-BB50-C1BD5A39B089}"/>
    <cellStyle name="Normal 7 4 2 2 2 2 5 3" xfId="1011" xr:uid="{0D0A3AF1-D233-4399-84C3-610E06A231BC}"/>
    <cellStyle name="Normal 7 4 2 2 2 2 6" xfId="1012" xr:uid="{A4457952-1B1D-4D4E-8CE4-C4A62D321536}"/>
    <cellStyle name="Normal 7 4 2 2 2 2 6 2" xfId="1013" xr:uid="{6668BB6C-BCA2-4B66-BBCC-FC6416F5DBEE}"/>
    <cellStyle name="Normal 7 4 2 2 2 2 6 3" xfId="1014" xr:uid="{CBC614A8-BBC4-4976-AFEF-8049684C4391}"/>
    <cellStyle name="Normal 7 4 2 2 2 2 7" xfId="1015" xr:uid="{09488867-41A6-4EA3-B20B-41C1C478A81E}"/>
    <cellStyle name="Normal 7 4 2 2 2 2 8" xfId="1016" xr:uid="{66674C73-8F42-4FE1-8BA4-ADFD051693BA}"/>
    <cellStyle name="Normal 7 4 2 2 2 2 9" xfId="1017" xr:uid="{4C230B1E-4219-46C5-B54D-678098C2E115}"/>
    <cellStyle name="Normal 7 4 2 2 2 3" xfId="1018" xr:uid="{E158E342-84ED-44A6-A76F-96854FBCF49D}"/>
    <cellStyle name="Normal 7 4 2 2 2 3 2" xfId="802" xr:uid="{3E1492B5-D3C0-4C24-84C9-6E1C20D9BE18}"/>
    <cellStyle name="Normal 7 4 2 2 2 3 2 2" xfId="1019" xr:uid="{98072618-A655-4B38-B018-3ECCA7881CF0}"/>
    <cellStyle name="Normal 7 4 2 2 2 3 2 2 2" xfId="1020" xr:uid="{CA2B80A2-AEBE-49F2-A8DE-436F1F8034E4}"/>
    <cellStyle name="Normal 7 4 2 2 2 3 2 2 3" xfId="1021" xr:uid="{AD75AF3D-95F8-4C21-9B72-0A6210A5A12D}"/>
    <cellStyle name="Normal 7 4 2 2 2 3 2 3" xfId="1022" xr:uid="{198943BA-A260-48B2-95C4-8483147FA288}"/>
    <cellStyle name="Normal 7 4 2 2 2 3 2 4" xfId="1023" xr:uid="{9CD27B51-7C46-45DA-B00D-FAEEEC59E0C1}"/>
    <cellStyle name="Normal 7 4 2 2 2 3 2 5" xfId="1024" xr:uid="{E88B6A57-3DB2-4D80-BCFF-763EA9F28E3F}"/>
    <cellStyle name="Normal 7 4 2 2 2 3 2 6" xfId="933" xr:uid="{8BEA2BCA-7265-4C53-9C84-1F61A52135FC}"/>
    <cellStyle name="Normal 7 4 2 2 2 3 3" xfId="1025" xr:uid="{FC4D389B-21AF-4479-B672-152AA12BD787}"/>
    <cellStyle name="Normal 7 4 2 2 2 3 3 2" xfId="1026" xr:uid="{145630CC-C27A-4CD9-8DC0-F8452D005960}"/>
    <cellStyle name="Normal 7 4 2 2 2 3 3 2 2" xfId="1027" xr:uid="{2E70B416-4B29-467A-B268-0E2C5C78C672}"/>
    <cellStyle name="Normal 7 4 2 2 2 3 3 2 3" xfId="1028" xr:uid="{2188638B-B539-4BFE-B3D8-2332E4FBBCAA}"/>
    <cellStyle name="Normal 7 4 2 2 2 3 3 3" xfId="1029" xr:uid="{7F4E74F3-51C3-462F-AB64-44E3A4AE94EA}"/>
    <cellStyle name="Normal 7 4 2 2 2 3 3 4" xfId="1030" xr:uid="{828B9A2D-F1FC-4337-BA43-8D5CC99395E8}"/>
    <cellStyle name="Normal 7 4 2 2 2 3 3 5" xfId="1031" xr:uid="{76F3CE71-BEA7-454F-953B-47D458609177}"/>
    <cellStyle name="Normal 7 4 2 2 2 3 3 6" xfId="1032" xr:uid="{23575F0E-E4BD-4F2F-AB7B-7A4F1B737742}"/>
    <cellStyle name="Normal 7 4 2 2 2 3 4" xfId="1033" xr:uid="{593DB969-11CF-4C84-95F9-2C11F56FB66B}"/>
    <cellStyle name="Normal 7 4 2 2 2 3 4 2" xfId="1034" xr:uid="{7749F2C5-87A2-455B-ABDD-8006D73E04C1}"/>
    <cellStyle name="Normal 7 4 2 2 2 3 4 3" xfId="1035" xr:uid="{695ECAE4-149F-4784-B16D-00245EE4D0C6}"/>
    <cellStyle name="Normal 7 4 2 2 2 3 5" xfId="1036" xr:uid="{A466FDC9-D9B3-407D-A8C3-617549B2960C}"/>
    <cellStyle name="Normal 7 4 2 2 2 3 5 2" xfId="1037" xr:uid="{32A324B8-6274-4E6D-AB5B-C6CACBAC444F}"/>
    <cellStyle name="Normal 7 4 2 2 2 3 5 3" xfId="1038" xr:uid="{79D2634F-73D4-42EA-A83D-0792675394FE}"/>
    <cellStyle name="Normal 7 4 2 2 2 3 6" xfId="1039" xr:uid="{782A1B40-C003-457A-BD31-9D7F71EB2893}"/>
    <cellStyle name="Normal 7 4 2 2 2 3 7" xfId="1040" xr:uid="{06DCD9A4-351E-445A-8D7B-59A385F4FE0A}"/>
    <cellStyle name="Normal 7 4 2 2 2 3 8" xfId="1041" xr:uid="{5FFD5828-8C5A-477C-93FA-2C14D06B6852}"/>
    <cellStyle name="Normal 7 4 2 2 2 3 9" xfId="1042" xr:uid="{067426D1-88F5-43EC-9F65-DAF7BEA296FE}"/>
    <cellStyle name="Normal 7 4 2 2 2 4" xfId="1043" xr:uid="{689641FE-347C-4D85-A651-7C53A318BD4F}"/>
    <cellStyle name="Normal 7 4 2 2 2 4 10" xfId="1044" xr:uid="{0AF7881C-67C5-4DC5-8071-21F4735B9BCA}"/>
    <cellStyle name="Normal 7 4 2 2 2 4 2" xfId="1045" xr:uid="{D0BCB0B5-CAE6-4FC8-AA50-7A8758684507}"/>
    <cellStyle name="Normal 7 4 2 2 2 4 2 2" xfId="1046" xr:uid="{ABFEAD9F-34AB-48F3-B9AE-CD9CD0570521}"/>
    <cellStyle name="Normal 7 4 2 2 2 4 2 2 2" xfId="660" xr:uid="{2B3E91DB-20F2-4698-8DE9-91C0DBCCA82C}"/>
    <cellStyle name="Normal 7 4 2 2 2 4 2 2 3" xfId="1047" xr:uid="{E3EFFA7D-46C2-4360-9911-3B47AF77361F}"/>
    <cellStyle name="Normal 7 4 2 2 2 4 2 3" xfId="1048" xr:uid="{2E6936A2-F47A-4C03-B529-BB99B1392C6B}"/>
    <cellStyle name="Normal 7 4 2 2 2 4 2 3 2" xfId="1050" xr:uid="{8D02B829-9079-4D58-B0FD-A667C93B20A1}"/>
    <cellStyle name="Normal 7 4 2 2 2 4 2 3 3" xfId="1051" xr:uid="{B8CB4F97-96A9-4958-BE1E-2C49492B238C}"/>
    <cellStyle name="Normal 7 4 2 2 2 4 2 4" xfId="1052" xr:uid="{7998C4CF-1997-4CFE-A133-6CB3BC170061}"/>
    <cellStyle name="Normal 7 4 2 2 2 4 2 5" xfId="1053" xr:uid="{A8D6B0E8-F17B-4A62-978E-06B6CE997F13}"/>
    <cellStyle name="Normal 7 4 2 2 2 4 2 6" xfId="1054" xr:uid="{92B12775-DDA6-4E80-8AF9-CAA3B0FAE081}"/>
    <cellStyle name="Normal 7 4 2 2 2 4 2 7" xfId="1055" xr:uid="{B63F7D0A-3963-4F48-9555-1697306D381B}"/>
    <cellStyle name="Normal 7 4 2 2 2 4 3" xfId="419" xr:uid="{AF5D951D-8DB1-46B2-BC11-746C420DBB25}"/>
    <cellStyle name="Normal 7 4 2 2 2 4 3 2" xfId="421" xr:uid="{C10D2468-AE47-4E73-912B-A2D30ED3FF9B}"/>
    <cellStyle name="Normal 7 4 2 2 2 4 3 2 2" xfId="1056" xr:uid="{3EAF5B73-EB5E-4265-B621-22E7972751DD}"/>
    <cellStyle name="Normal 7 4 2 2 2 4 3 2 3" xfId="1057" xr:uid="{0CB2134D-2923-4AD0-AF3F-BCF7E97EE70F}"/>
    <cellStyle name="Normal 7 4 2 2 2 4 3 3" xfId="423" xr:uid="{DD9DFDCF-18E0-4362-9589-68F0A224C492}"/>
    <cellStyle name="Normal 7 4 2 2 2 4 3 4" xfId="1058" xr:uid="{93C229BA-C702-49E8-B3E0-5110A8A7EE5F}"/>
    <cellStyle name="Normal 7 4 2 2 2 4 3 5" xfId="1059" xr:uid="{58154400-68F6-4E6B-9D12-2E0664D81325}"/>
    <cellStyle name="Normal 7 4 2 2 2 4 3 6" xfId="1060" xr:uid="{5F1BB0F9-D2FA-4807-8392-64FEA7939C83}"/>
    <cellStyle name="Normal 7 4 2 2 2 4 4" xfId="49" xr:uid="{69184551-9863-4AB2-B54A-54518515A72B}"/>
    <cellStyle name="Normal 7 4 2 2 2 4 4 2" xfId="455" xr:uid="{D258B288-2F9A-464C-BAB7-8B94EC837634}"/>
    <cellStyle name="Normal 7 4 2 2 2 4 4 2 2" xfId="210" xr:uid="{ADAC6A14-7E96-4160-921B-BC10E1FBAC13}"/>
    <cellStyle name="Normal 7 4 2 2 2 4 4 2 3" xfId="591" xr:uid="{73A25411-04F5-43A8-A7CE-3691405D3819}"/>
    <cellStyle name="Normal 7 4 2 2 2 4 4 3" xfId="607" xr:uid="{43630169-9330-49FC-8A82-BE52220A609C}"/>
    <cellStyle name="Normal 7 4 2 2 2 4 4 4" xfId="609" xr:uid="{ED41F361-C716-4798-8FA3-19F1C93479C0}"/>
    <cellStyle name="Normal 7 4 2 2 2 4 4 5" xfId="611" xr:uid="{EEB2EDDF-2309-4A1A-A23D-156A16C3298D}"/>
    <cellStyle name="Normal 7 4 2 2 2 4 4 6" xfId="1061" xr:uid="{05ECA210-206F-4107-AE8A-8F603116F6E1}"/>
    <cellStyle name="Normal 7 4 2 2 2 4 5" xfId="36" xr:uid="{39309A13-3CEB-4440-9F4F-5AF082C0BA61}"/>
    <cellStyle name="Normal 7 4 2 2 2 4 5 2" xfId="700" xr:uid="{F84B76E1-F4EF-4BC8-98C4-73127FA394FD}"/>
    <cellStyle name="Normal 7 4 2 2 2 4 5 3" xfId="704" xr:uid="{9E775174-F419-452D-A6A7-6124BE8A3A7A}"/>
    <cellStyle name="Normal 7 4 2 2 2 4 6" xfId="25" xr:uid="{D8696FC7-98A9-446C-80BC-611749C3FC96}"/>
    <cellStyle name="Normal 7 4 2 2 2 4 6 2" xfId="1062" xr:uid="{3DFFA690-EEE4-4A1F-9137-7AA1DD201FE5}"/>
    <cellStyle name="Normal 7 4 2 2 2 4 6 3" xfId="1064" xr:uid="{13424A95-F981-4E0F-8C3F-00D21E33FE47}"/>
    <cellStyle name="Normal 7 4 2 2 2 4 7" xfId="57" xr:uid="{0B931C08-C389-493F-A9E2-E1A2247C4984}"/>
    <cellStyle name="Normal 7 4 2 2 2 4 8" xfId="1066" xr:uid="{C94FDBA3-0EB3-42E9-903E-B6F657CF32B1}"/>
    <cellStyle name="Normal 7 4 2 2 2 4 9" xfId="1067" xr:uid="{68634003-2681-49BA-B4B4-E22C045EBB41}"/>
    <cellStyle name="Normal 7 4 2 2 2 5" xfId="1068" xr:uid="{1D1CFBCA-E3D9-418E-BD47-2C26DE562E54}"/>
    <cellStyle name="Normal 7 4 2 2 2 5 2" xfId="1069" xr:uid="{8FD09BA3-C276-42E2-8952-C62DFAC48397}"/>
    <cellStyle name="Normal 7 4 2 2 2 5 2 2" xfId="1070" xr:uid="{721BBDFB-405C-4E73-ACAC-F9D994A0A4F4}"/>
    <cellStyle name="Normal 7 4 2 2 2 5 2 2 2" xfId="1071" xr:uid="{01B46036-06B5-401C-9BFE-53C9F6E2F859}"/>
    <cellStyle name="Normal 7 4 2 2 2 5 2 2 3" xfId="1073" xr:uid="{E5637BF6-8BF1-4132-BBE4-AED2C4F96E62}"/>
    <cellStyle name="Normal 7 4 2 2 2 5 2 3" xfId="1075" xr:uid="{06B687AF-E75B-4CBE-BA8D-573C072679FA}"/>
    <cellStyle name="Normal 7 4 2 2 2 5 2 4" xfId="1076" xr:uid="{45606CEA-EC56-4884-BD9E-FAAA4F1538E6}"/>
    <cellStyle name="Normal 7 4 2 2 2 5 2 5" xfId="1077" xr:uid="{8EB1C09C-8A98-455E-8DE8-5DF98FC60D5A}"/>
    <cellStyle name="Normal 7 4 2 2 2 5 2 6" xfId="1078" xr:uid="{169B817E-E5D5-4D9B-BD0D-1B09324E479D}"/>
    <cellStyle name="Normal 7 4 2 2 2 5 3" xfId="426" xr:uid="{F8A61E89-8C05-401F-9546-B1FDEC65164C}"/>
    <cellStyle name="Normal 7 4 2 2 2 5 3 2" xfId="428" xr:uid="{898B3EE5-0C95-4B7B-8D5A-1EB1C1DAFA18}"/>
    <cellStyle name="Normal 7 4 2 2 2 5 3 3" xfId="416" xr:uid="{7901B825-32BB-4836-B5F5-B3D9766B53AC}"/>
    <cellStyle name="Normal 7 4 2 2 2 5 4" xfId="430" xr:uid="{8632C3E1-622C-48BA-8F41-EB5FCD9EDE8E}"/>
    <cellStyle name="Normal 7 4 2 2 2 5 4 2" xfId="1079" xr:uid="{EB227E30-92BA-4E94-917C-6EE75A78F900}"/>
    <cellStyle name="Normal 7 4 2 2 2 5 4 3" xfId="1080" xr:uid="{8333377B-69BE-4A30-A25A-397B34F2F8C2}"/>
    <cellStyle name="Normal 7 4 2 2 2 5 5" xfId="432" xr:uid="{46436F2D-3448-4AC9-BA19-4CB6D061C6F2}"/>
    <cellStyle name="Normal 7 4 2 2 2 5 6" xfId="435" xr:uid="{ACB8822B-803A-447A-8ACA-56D6DCA6D98A}"/>
    <cellStyle name="Normal 7 4 2 2 2 5 7" xfId="438" xr:uid="{92D571FC-2B0B-472B-9AF4-E0FA8338EB79}"/>
    <cellStyle name="Normal 7 4 2 2 2 5 8" xfId="1081" xr:uid="{F5A6CBCD-4CDD-447C-A54B-C83BAB93CBDA}"/>
    <cellStyle name="Normal 7 4 2 2 2 6" xfId="1083" xr:uid="{47764AEC-5CDB-4FDB-A0F0-7B923124CB34}"/>
    <cellStyle name="Normal 7 4 2 2 2 6 2" xfId="1084" xr:uid="{4211C283-07B7-4C73-BD34-BCFB4077A9BE}"/>
    <cellStyle name="Normal 7 4 2 2 2 6 2 2" xfId="138" xr:uid="{C0EC311B-BBC4-4044-9B1A-11F7F6997203}"/>
    <cellStyle name="Normal 7 4 2 2 2 6 2 2 2" xfId="1085" xr:uid="{4C2D765A-B42F-46CF-80DF-140304D32028}"/>
    <cellStyle name="Normal 7 4 2 2 2 6 2 2 3" xfId="1087" xr:uid="{F1ACD088-FB38-481E-A124-1C3F0A790793}"/>
    <cellStyle name="Normal 7 4 2 2 2 6 2 3" xfId="140" xr:uid="{4B9CADC9-2BAB-4F13-B9A2-37B72A334E6D}"/>
    <cellStyle name="Normal 7 4 2 2 2 6 2 4" xfId="142" xr:uid="{0FAF74BC-6706-4620-BCA6-2D70B5FC6CBE}"/>
    <cellStyle name="Normal 7 4 2 2 2 6 2 5" xfId="144" xr:uid="{2ECAA46C-C1B2-460C-9DDA-4062315BBEEF}"/>
    <cellStyle name="Normal 7 4 2 2 2 6 2 6" xfId="1089" xr:uid="{ED1C0147-D51C-4D1E-A4A6-5492413C7795}"/>
    <cellStyle name="Normal 7 4 2 2 2 6 3" xfId="63" xr:uid="{A472B070-886F-41B2-999C-97CAF3ABFB85}"/>
    <cellStyle name="Normal 7 4 2 2 2 6 3 2" xfId="157" xr:uid="{3DEBD636-CFA6-4688-86B6-7393F35C79A6}"/>
    <cellStyle name="Normal 7 4 2 2 2 6 3 3" xfId="75" xr:uid="{A54E97BD-FF9C-4E24-9EE2-AA89365446F3}"/>
    <cellStyle name="Normal 7 4 2 2 2 6 4" xfId="441" xr:uid="{03EB126A-5FC2-4C42-991A-596BAA59D33E}"/>
    <cellStyle name="Normal 7 4 2 2 2 6 4 2" xfId="163" xr:uid="{05B29DD1-705D-42B3-AA3E-1F3E588C4D5E}"/>
    <cellStyle name="Normal 7 4 2 2 2 6 4 3" xfId="1090" xr:uid="{8115966E-CC35-493E-B7CF-00FE7DE2740D}"/>
    <cellStyle name="Normal 7 4 2 2 2 6 5" xfId="1091" xr:uid="{DFCFC9ED-B17E-4CA7-9D26-ECEC137AD2E0}"/>
    <cellStyle name="Normal 7 4 2 2 2 6 6" xfId="1092" xr:uid="{9C560978-5FE1-4EC7-81F2-28F9B25847EB}"/>
    <cellStyle name="Normal 7 4 2 2 2 6 7" xfId="1095" xr:uid="{3F657115-CF88-4149-950C-0D263BEC95FA}"/>
    <cellStyle name="Normal 7 4 2 2 2 6 8" xfId="1098" xr:uid="{8A395D09-722B-46CA-A8DD-6CB74348FDA7}"/>
    <cellStyle name="Normal 7 4 2 2 2 7" xfId="1100" xr:uid="{DB63D1C3-8945-42D8-BC25-11C489E78791}"/>
    <cellStyle name="Normal 7 4 2 2 2 7 2" xfId="111" xr:uid="{D2BFA2FC-512F-49DF-8EDA-07A7BD8AE4D5}"/>
    <cellStyle name="Normal 7 4 2 2 2 7 2 2" xfId="54" xr:uid="{49E9FAB1-79E6-4BA6-A34F-B8C322293435}"/>
    <cellStyle name="Normal 7 4 2 2 2 7 2 2 2" xfId="1101" xr:uid="{F814C09F-EF52-4FAA-ADAF-4A3244CF8AAB}"/>
    <cellStyle name="Normal 7 4 2 2 2 7 2 2 3" xfId="1103" xr:uid="{AE8D8DE8-E67A-4E0F-8934-197E0FF28428}"/>
    <cellStyle name="Normal 7 4 2 2 2 7 2 3" xfId="956" xr:uid="{F76F382C-F2AE-43E4-8AF4-5592495E20B8}"/>
    <cellStyle name="Normal 7 4 2 2 2 7 2 4" xfId="958" xr:uid="{48061E9E-AE08-4AF1-870A-DBEF25417865}"/>
    <cellStyle name="Normal 7 4 2 2 2 7 2 5" xfId="960" xr:uid="{2DE7D56D-C78B-477E-854F-3C9D7753C98C}"/>
    <cellStyle name="Normal 7 4 2 2 2 7 2 6" xfId="1104" xr:uid="{C573192A-72EF-4CC2-9428-C04DC3BF5F80}"/>
    <cellStyle name="Normal 7 4 2 2 2 7 3" xfId="114" xr:uid="{8405EF1C-9D9E-4546-BD93-53EE05A3C31A}"/>
    <cellStyle name="Normal 7 4 2 2 2 7 3 2" xfId="977" xr:uid="{5D321636-1BEA-4842-AE61-E2E857F10B26}"/>
    <cellStyle name="Normal 7 4 2 2 2 7 3 3" xfId="979" xr:uid="{2E9A7017-D0B0-4689-882B-D30E892028DF}"/>
    <cellStyle name="Normal 7 4 2 2 2 7 4" xfId="117" xr:uid="{CE5719C8-9A3F-4A22-97E9-09995731F5FF}"/>
    <cellStyle name="Normal 7 4 2 2 2 7 4 2" xfId="1105" xr:uid="{3460D661-B28B-497D-853A-EF4332E1FC1D}"/>
    <cellStyle name="Normal 7 4 2 2 2 7 4 3" xfId="1106" xr:uid="{2942F0CF-018F-4C21-B356-340FDF18EDE7}"/>
    <cellStyle name="Normal 7 4 2 2 2 7 5" xfId="1107" xr:uid="{4ABFE9C3-39FA-4F33-B45C-0E858B7676D9}"/>
    <cellStyle name="Normal 7 4 2 2 2 7 6" xfId="1108" xr:uid="{CF493280-85CB-4347-98D7-6A359A286CA2}"/>
    <cellStyle name="Normal 7 4 2 2 2 7 7" xfId="1110" xr:uid="{C1987093-F6DC-4B85-9F7B-50756356E2F3}"/>
    <cellStyle name="Normal 7 4 2 2 2 7 8" xfId="1112" xr:uid="{B1908455-5193-441F-916D-A8F5BC8F1BD5}"/>
    <cellStyle name="Normal 7 4 2 2 2 8" xfId="1114" xr:uid="{4790401C-9D3B-4ECD-BF6B-C8B6446693D8}"/>
    <cellStyle name="Normal 7 4 2 2 2 8 10" xfId="1115" xr:uid="{67C9327D-8BCC-4742-9CC2-097B6536A7F2}"/>
    <cellStyle name="Normal 7 4 2 2 2 8 11" xfId="1116" xr:uid="{34F40FC1-96D5-4EA8-8DCA-1AFF7CF7C3E4}"/>
    <cellStyle name="Normal 7 4 2 2 2 8 12" xfId="6" xr:uid="{D32F2CD7-9E7D-4CAF-9E20-CC528AC41965}"/>
    <cellStyle name="Normal 7 4 2 2 2 8 2" xfId="1119" xr:uid="{56B791AA-D418-44DA-8905-BE1056A45021}"/>
    <cellStyle name="Normal 7 4 2 2 2 8 2 2" xfId="189" xr:uid="{E8ED5F1F-6312-40D9-9902-54C5B56BC60C}"/>
    <cellStyle name="Normal 7 4 2 2 2 8 2 2 2" xfId="1120" xr:uid="{0FAF6208-CA1F-407F-A8B3-96233025E263}"/>
    <cellStyle name="Normal 7 4 2 2 2 8 2 2 3" xfId="1121" xr:uid="{773E15E0-641C-42C4-97D3-D24DAB53A2AB}"/>
    <cellStyle name="Normal 7 4 2 2 2 8 2 3" xfId="1122" xr:uid="{0E4E6572-28AA-4991-8B62-27B9859484DC}"/>
    <cellStyle name="Normal 7 4 2 2 2 8 2 4" xfId="1123" xr:uid="{8F327309-6B3F-4E2E-B3B4-A1DE1167300D}"/>
    <cellStyle name="Normal 7 4 2 2 2 8 2 5" xfId="1124" xr:uid="{E1994013-DEBF-4D79-8D64-AE8A02910E46}"/>
    <cellStyle name="Normal 7 4 2 2 2 8 2 6" xfId="1126" xr:uid="{AD7EF2AD-DF05-463B-9E7E-54CF0E21C6E7}"/>
    <cellStyle name="Normal 7 4 2 2 2 8 3" xfId="1128" xr:uid="{8121534A-15A4-41FF-9719-C4EA88354684}"/>
    <cellStyle name="Normal 7 4 2 2 2 8 3 2" xfId="1129" xr:uid="{64E67CCE-8B72-44DD-BB9D-A75D7FD3C0EA}"/>
    <cellStyle name="Normal 7 4 2 2 2 8 3 2 2" xfId="1130" xr:uid="{23777779-8A31-4293-9C69-1B9CFC09852B}"/>
    <cellStyle name="Normal 7 4 2 2 2 8 3 2 3" xfId="1132" xr:uid="{146FC3EB-7B27-43F5-AEE0-60C6818CAF04}"/>
    <cellStyle name="Normal 7 4 2 2 2 8 3 3" xfId="1133" xr:uid="{127ED38A-DDDE-46F2-A83D-A2C2A70574F3}"/>
    <cellStyle name="Normal 7 4 2 2 2 8 3 4" xfId="1135" xr:uid="{5D060046-7A49-4C06-829F-AE63C75C9109}"/>
    <cellStyle name="Normal 7 4 2 2 2 8 3 5" xfId="1136" xr:uid="{03C80D66-B4DA-4F39-AC10-DBD9FA4BFD5D}"/>
    <cellStyle name="Normal 7 4 2 2 2 8 3 6" xfId="1138" xr:uid="{FE86E8CB-8BFD-4B7D-804D-405A9319B5A9}"/>
    <cellStyle name="Normal 7 4 2 2 2 8 3 7" xfId="1140" xr:uid="{AE6E09B0-B91E-4F1F-85FA-51E701FB70A3}"/>
    <cellStyle name="Normal 7 4 2 2 2 8 3 8" xfId="9" xr:uid="{680AD04D-190A-4D52-8A96-E4D96F7B75BD}"/>
    <cellStyle name="Normal 7 4 2 2 2 8 4" xfId="1141" xr:uid="{F0E2D422-C57D-41E4-9385-9BFD7299E6AD}"/>
    <cellStyle name="Normal 7 4 2 2 2 8 4 2" xfId="1142" xr:uid="{DFE8E0FC-A17A-4A22-A6F8-F0BF0CB09023}"/>
    <cellStyle name="Normal 7 4 2 2 2 8 4 3" xfId="1143" xr:uid="{2073E696-F94D-4A12-B673-14689323D4AF}"/>
    <cellStyle name="Normal 7 4 2 2 2 8 5" xfId="1144" xr:uid="{37D3715E-4B89-4D5A-AADF-A6F295BDB076}"/>
    <cellStyle name="Normal 7 4 2 2 2 8 5 2" xfId="1145" xr:uid="{27D3F7CF-E9CE-4633-979D-0A6DBAA38D91}"/>
    <cellStyle name="Normal 7 4 2 2 2 8 5 3" xfId="1146" xr:uid="{CCADFCC1-D4EB-4901-9D7E-5B2362A9E08D}"/>
    <cellStyle name="Normal 7 4 2 2 2 8 6" xfId="1147" xr:uid="{3C15EA14-9226-40DA-BC77-760A9C48FBB9}"/>
    <cellStyle name="Normal 7 4 2 2 2 8 6 2" xfId="805" xr:uid="{0E694FA3-AF3A-46E9-8344-3F0FFE3ED14F}"/>
    <cellStyle name="Normal 7 4 2 2 2 8 6 3" xfId="810" xr:uid="{A9C0526D-92B8-4AD3-848D-70EC49852FAF}"/>
    <cellStyle name="Normal 7 4 2 2 2 8 7" xfId="1148" xr:uid="{397B13E6-1332-4DC2-9A47-B31006536929}"/>
    <cellStyle name="Normal 7 4 2 2 2 8 8" xfId="1149" xr:uid="{B6B09D26-0C98-4711-A20C-65DB3E23A41F}"/>
    <cellStyle name="Normal 7 4 2 2 2 8 9" xfId="1150" xr:uid="{06AEBC50-2E57-4790-8EDF-8BF8E0F38E61}"/>
    <cellStyle name="Normal 7 4 2 2 2 9" xfId="1151" xr:uid="{62DE1DB8-7E5B-4231-91B1-4F7B479275CE}"/>
    <cellStyle name="Normal 7 4 2 2 2 9 2" xfId="1152" xr:uid="{0C115ED4-1933-44E6-B939-01DA80BF1824}"/>
    <cellStyle name="Normal 7 4 2 2 2 9 2 2" xfId="1153" xr:uid="{1B8B3BC1-5FF8-439E-BCDD-1AAC74A081A0}"/>
    <cellStyle name="Normal 7 4 2 2 2 9 2 3" xfId="1154" xr:uid="{5AF6066B-592C-440D-8406-6175C67574F7}"/>
    <cellStyle name="Normal 7 4 2 2 2 9 3" xfId="1155" xr:uid="{449AE737-502F-4B3A-8518-6633376EFB71}"/>
    <cellStyle name="Normal 7 4 2 2 2 9 4" xfId="1156" xr:uid="{3C753713-B5C0-4467-A85E-603B931027E9}"/>
    <cellStyle name="Normal 7 4 2 2 2 9 5" xfId="1157" xr:uid="{9670BCE9-D450-49F9-BBA1-9B25E69AEEFA}"/>
    <cellStyle name="Normal 7 4 2 2 2 9 6" xfId="1158" xr:uid="{FF9A8A26-ECB1-4D2F-8CE7-C6CD866DEA53}"/>
    <cellStyle name="Normal 7 4 2 2 3" xfId="1159" xr:uid="{BB76E80D-F7B4-4FC6-A4FC-4BA9092AD066}"/>
    <cellStyle name="Normal 7 4 2 2 3 2" xfId="1160" xr:uid="{6BAC0A6F-7A42-4D14-B5B5-3B45BF89B071}"/>
    <cellStyle name="Normal 7 4 2 2 3 2 2" xfId="1161" xr:uid="{5746E90B-6FE5-43EA-98E5-EA69EC0763A7}"/>
    <cellStyle name="Normal 7 4 2 2 3 2 3" xfId="1162" xr:uid="{713B718F-78BC-4BCE-9094-99985A0283C5}"/>
    <cellStyle name="Normal 7 4 2 2 3 3" xfId="1163" xr:uid="{118934F2-E7D6-4251-B3D6-08752313B666}"/>
    <cellStyle name="Normal 7 4 2 2 3 3 2" xfId="1164" xr:uid="{3E46153E-3985-44BB-980A-FC6A961988DA}"/>
    <cellStyle name="Normal 7 4 2 2 3 3 3" xfId="1166" xr:uid="{3CD64FDE-1C7B-434E-8A24-5D3209AB30E1}"/>
    <cellStyle name="Normal 7 4 2 2 3 4" xfId="1167" xr:uid="{8415DA5E-88E5-4991-A487-3ED613A1E0AC}"/>
    <cellStyle name="Normal 7 4 2 2 3 5" xfId="1168" xr:uid="{4540BB08-70D5-46B0-89BE-2307774215AE}"/>
    <cellStyle name="Normal 7 4 2 2 3 6" xfId="1170" xr:uid="{6FF04756-B12B-4467-B66D-3618541E4422}"/>
    <cellStyle name="Normal 7 4 2 2 3 7" xfId="1172" xr:uid="{02972E8B-2A13-45B0-90DC-0376BD22F0CB}"/>
    <cellStyle name="Normal 7 4 2 2 4" xfId="1173" xr:uid="{96B8D6C7-8F6E-41C3-AF98-7A5EE2B92D26}"/>
    <cellStyle name="Normal 7 4 2 2 4 2" xfId="1174" xr:uid="{E2DFDD65-00CD-4613-AB71-42613439E109}"/>
    <cellStyle name="Normal 7 4 2 2 4 3" xfId="1175" xr:uid="{6D8538D7-524B-41A2-978C-C71977BD24D3}"/>
    <cellStyle name="Normal 7 4 2 2 5" xfId="1176" xr:uid="{4C26C2A4-0A52-499E-8476-2E5261BC9EA5}"/>
    <cellStyle name="Normal 7 4 2 2 6" xfId="1177" xr:uid="{0902264A-1CF7-4EC2-8A2E-A4E2BBA6B340}"/>
    <cellStyle name="Normal 7 4 2 3" xfId="1178" xr:uid="{1F964806-BFCE-4DEC-855F-153E558173BE}"/>
    <cellStyle name="Normal 7 4 2 3 2" xfId="447" xr:uid="{962EA7A3-0F2F-4A71-9E56-59CE7A5E94B3}"/>
    <cellStyle name="Normal 7 4 2 3 2 2" xfId="1179" xr:uid="{62DF4E74-6391-43EE-AA6E-67F025872DA8}"/>
    <cellStyle name="Normal 7 4 2 3 2 3" xfId="1180" xr:uid="{55390417-33D7-4F4E-A7CE-CD6CD1C12E1C}"/>
    <cellStyle name="Normal 7 4 2 3 3" xfId="1181" xr:uid="{0AC2174C-0E51-4F7A-B344-A87CC2D83B81}"/>
    <cellStyle name="Normal 7 4 2 3 4" xfId="1182" xr:uid="{3F42F70D-56DE-4A60-A2A1-4417E85F188D}"/>
    <cellStyle name="Normal 7 4 2 3 5" xfId="1183" xr:uid="{6FD9A2AA-293E-4078-9411-1F0528DEAD62}"/>
    <cellStyle name="Normal 7 4 2 3 6" xfId="1184" xr:uid="{38AC4CDB-BE8C-4436-9164-94A34B513CB4}"/>
    <cellStyle name="Normal 7 4 2 4" xfId="1185" xr:uid="{C7C08B1F-565D-4DA9-9F9A-E01DE4EF3F32}"/>
    <cellStyle name="Normal 7 4 2 4 2" xfId="1186" xr:uid="{853E9861-863F-4B60-AA24-EBD2DBF2A21D}"/>
    <cellStyle name="Normal 7 4 2 4 2 2" xfId="1187" xr:uid="{E6992EB3-F0A8-4640-8DED-9A24DC8A8D0B}"/>
    <cellStyle name="Normal 7 4 2 4 2 3" xfId="1188" xr:uid="{972793FF-578E-4291-9704-CF51A5159767}"/>
    <cellStyle name="Normal 7 4 2 4 3" xfId="1189" xr:uid="{2346CAAB-0893-4A4B-A841-0C63C32E1981}"/>
    <cellStyle name="Normal 7 4 2 4 4" xfId="1190" xr:uid="{96EDDC9E-906D-4557-8E6D-DD3E2007B1EA}"/>
    <cellStyle name="Normal 7 4 2 4 5" xfId="1191" xr:uid="{B9A8066E-9C05-4295-83D1-76808D65566F}"/>
    <cellStyle name="Normal 7 4 2 4 6" xfId="1192" xr:uid="{EB86187B-C6B7-4CF5-8AF7-FE97081BA1DB}"/>
    <cellStyle name="Normal 7 4 2 5" xfId="1193" xr:uid="{367DF9F2-A504-42C7-80AF-EA32AE131312}"/>
    <cellStyle name="Normal 7 4 2 5 2" xfId="1194" xr:uid="{2E6386A5-CBD9-4A56-BF57-122B370B0541}"/>
    <cellStyle name="Normal 7 4 2 5 3" xfId="1195" xr:uid="{ECDBAF46-AA83-4770-B5AE-C586B02AB656}"/>
    <cellStyle name="Normal 7 4 2 6" xfId="1196" xr:uid="{FC8AF66D-3136-4AC8-8BA9-97EF3153BABD}"/>
    <cellStyle name="Normal 7 4 2 6 2" xfId="101" xr:uid="{9339A731-C4FB-443F-942D-9E45DEFED632}"/>
    <cellStyle name="Normal 7 4 2 6 3" xfId="551" xr:uid="{65746ED3-028B-488F-AEE2-B2888A3E6DA5}"/>
    <cellStyle name="Normal 7 4 2 7" xfId="1197" xr:uid="{C4D7124C-47E3-4CA9-B016-B4B47D5170BD}"/>
    <cellStyle name="Normal 7 4 2 8" xfId="1198" xr:uid="{9927CFD5-C9EB-4006-AFCA-A416C13B7176}"/>
    <cellStyle name="Normal 7 4 2 9" xfId="1199" xr:uid="{205D0ABD-F12E-4A93-A279-7B8285BDFD9B}"/>
    <cellStyle name="Normal 7 4 3" xfId="1200" xr:uid="{6653E886-6C33-4D79-853E-5AA0C247A539}"/>
    <cellStyle name="Normal 7 4 3 2" xfId="1201" xr:uid="{12568287-41B2-4C4B-AB3B-EE5F1D4E7CF5}"/>
    <cellStyle name="Normal 7 4 3 2 2" xfId="1202" xr:uid="{13BAB4A7-6562-4C52-9265-70F148B1A087}"/>
    <cellStyle name="Normal 7 4 3 2 3" xfId="1203" xr:uid="{AAA6B41C-F41A-4E1F-A806-DC9001FB9793}"/>
    <cellStyle name="Normal 7 4 3 3" xfId="48" xr:uid="{128F9593-29DA-4B15-B963-7256B15C34EC}"/>
    <cellStyle name="Normal 7 4 3 4" xfId="35" xr:uid="{FB6C4ACD-B092-4107-9104-351A7B12C07A}"/>
    <cellStyle name="Normal 7 4 3 5" xfId="23" xr:uid="{61D6EE8F-4F45-4AC2-9653-B50D7B0ECFA0}"/>
    <cellStyle name="Normal 7 4 3 6" xfId="53" xr:uid="{675FBAD8-9998-4064-B706-724416E8C0E0}"/>
    <cellStyle name="Normal 7 4 4" xfId="1204" xr:uid="{2E9CDE4E-7234-4A72-9801-54FD9225738A}"/>
    <cellStyle name="Normal 7 4 4 2" xfId="720" xr:uid="{1E17CACA-1962-45E5-A2F9-B16AC67DB3E5}"/>
    <cellStyle name="Normal 7 4 4 2 2" xfId="1205" xr:uid="{E1C23740-6188-4D8B-9B78-34057DD1447A}"/>
    <cellStyle name="Normal 7 4 4 2 3" xfId="1206" xr:uid="{52AB5446-05DE-4C1A-A338-DC460DB8EFD7}"/>
    <cellStyle name="Normal 7 4 4 3" xfId="722" xr:uid="{0702A07D-33A4-4447-9295-40C35D4B5246}"/>
    <cellStyle name="Normal 7 4 4 4" xfId="724" xr:uid="{6C12AA03-58A6-47C9-B327-E165606295FE}"/>
    <cellStyle name="Normal 7 4 4 5" xfId="726" xr:uid="{C0D4B564-C581-43AA-AA9B-F9172148A4DE}"/>
    <cellStyle name="Normal 7 4 4 6" xfId="1207" xr:uid="{4C19047A-9356-40C0-A2EC-4D843EB1AA82}"/>
    <cellStyle name="Normal 7 4 5" xfId="1208" xr:uid="{BEAD17E8-BD93-430D-BCAD-F949A7374D2F}"/>
    <cellStyle name="Normal 7 4 5 2" xfId="732" xr:uid="{7708A4F3-7EAF-4902-9595-C804AA9B61CA}"/>
    <cellStyle name="Normal 7 4 5 3" xfId="1209" xr:uid="{3F07DB72-53EA-4A85-B9D3-1011AF0320B0}"/>
    <cellStyle name="Normal 7 4 6" xfId="1210" xr:uid="{6E95E0AF-88AA-4ADD-886D-39DBF211642B}"/>
    <cellStyle name="Normal 7 4 6 2" xfId="737" xr:uid="{6DF10E10-2451-4DD5-A9EA-302E2B06BFA5}"/>
    <cellStyle name="Normal 7 4 6 3" xfId="1211" xr:uid="{33EE34B4-AFF0-47F9-AA70-21848681154C}"/>
    <cellStyle name="Normal 7 4 7" xfId="1212" xr:uid="{984A83E8-F19F-4F0F-B78E-7F8C93CB1A41}"/>
    <cellStyle name="Normal 7 4 8" xfId="1213" xr:uid="{E804007D-9D51-4D73-9377-77CE7FC7EF15}"/>
    <cellStyle name="Normal 7 4 9" xfId="1214" xr:uid="{C29B5802-7373-4734-B5DA-2AC1AEFB3DB7}"/>
    <cellStyle name="Normal 7 5" xfId="1215" xr:uid="{08A7426A-947D-46C4-9D56-B826B24092F6}"/>
    <cellStyle name="Normal 7 5 10" xfId="1093" xr:uid="{C7FD81F3-35EE-45EE-9A3B-94A84F69D767}"/>
    <cellStyle name="Normal 7 5 11" xfId="1096" xr:uid="{1F29C76E-BF64-4864-9393-6CD42A852AFB}"/>
    <cellStyle name="Normal 7 5 12" xfId="1099" xr:uid="{C92BFE4B-CEED-433E-A8E6-0AC7D16EFFF7}"/>
    <cellStyle name="Normal 7 5 13" xfId="1216" xr:uid="{16207BB1-953F-4D1C-A6FE-F2FE57D7E047}"/>
    <cellStyle name="Normal 7 5 2" xfId="1217" xr:uid="{FEDE06C9-E070-4C04-9B34-89FD25362919}"/>
    <cellStyle name="Normal 7 5 2 10" xfId="311" xr:uid="{C2C23D0F-0595-46EE-8F0F-C10240480B2B}"/>
    <cellStyle name="Normal 7 5 2 2" xfId="1218" xr:uid="{4CA0A3A2-DFEF-4FE7-BF35-AD943C34E14F}"/>
    <cellStyle name="Normal 7 5 2 2 2" xfId="1219" xr:uid="{DC75E624-25E6-4D31-8221-7DF4ED25DEBE}"/>
    <cellStyle name="Normal 7 5 2 2 2 2" xfId="1221" xr:uid="{6EEDFF14-405E-4158-8FF7-573E3EF76601}"/>
    <cellStyle name="Normal 7 5 2 2 2 2 2" xfId="1222" xr:uid="{6F0D7D40-FB29-44E8-AA8B-11DE3C00962E}"/>
    <cellStyle name="Normal 7 5 2 2 2 2 3" xfId="1223" xr:uid="{4D14AD3C-6561-47A7-8BD6-E6A47238D477}"/>
    <cellStyle name="Normal 7 5 2 2 2 3" xfId="1224" xr:uid="{577BE109-EF10-4B71-BFC9-35ADD762C9CE}"/>
    <cellStyle name="Normal 7 5 2 2 2 4" xfId="1225" xr:uid="{4CEDF3F0-58A8-401E-A153-2FBC81059523}"/>
    <cellStyle name="Normal 7 5 2 2 2 5" xfId="1226" xr:uid="{EC2A6FDE-A50C-410C-A400-9B9958271B61}"/>
    <cellStyle name="Normal 7 5 2 2 2 6" xfId="1227" xr:uid="{2FC3B09B-4115-4A14-8EB5-FB5939225B08}"/>
    <cellStyle name="Normal 7 5 2 2 3" xfId="1228" xr:uid="{43923E43-C22F-4778-B399-F5501003F3F8}"/>
    <cellStyle name="Normal 7 5 2 2 3 2" xfId="1229" xr:uid="{014AF7E5-B33B-4E91-AFDF-6A0B560154B8}"/>
    <cellStyle name="Normal 7 5 2 2 3 2 2" xfId="310" xr:uid="{B1F6D92A-F0B1-45B4-9316-E5E99D62639F}"/>
    <cellStyle name="Normal 7 5 2 2 3 2 3" xfId="318" xr:uid="{5D290C27-7569-44AC-9AE3-8D262F59B48F}"/>
    <cellStyle name="Normal 7 5 2 2 3 3" xfId="833" xr:uid="{26B76CB2-6891-4D70-BC93-7C9F9789D3E2}"/>
    <cellStyle name="Normal 7 5 2 2 3 4" xfId="839" xr:uid="{08D77D81-4BDA-44B5-8E67-C7A30E38451B}"/>
    <cellStyle name="Normal 7 5 2 2 3 5" xfId="844" xr:uid="{F4D31AE9-A4F3-4AA0-8F42-90380667F013}"/>
    <cellStyle name="Normal 7 5 2 2 3 6" xfId="848" xr:uid="{1F262836-884D-4638-98E2-75D7DA45C6B9}"/>
    <cellStyle name="Normal 7 5 2 2 4" xfId="1230" xr:uid="{7F9D3DF1-DDAF-48D4-B214-6F8AC2A12B48}"/>
    <cellStyle name="Normal 7 5 2 2 4 2" xfId="1231" xr:uid="{220ABB8A-1E01-4AE2-B86B-3B58C996106E}"/>
    <cellStyle name="Normal 7 5 2 2 4 3" xfId="856" xr:uid="{F16177C4-423C-4CD7-826B-FB78B39F3433}"/>
    <cellStyle name="Normal 7 5 2 2 5" xfId="1232" xr:uid="{29EA4BB1-F105-40A2-8E88-D1216E531902}"/>
    <cellStyle name="Normal 7 5 2 2 5 2" xfId="1234" xr:uid="{2C6EAB3D-1459-49AD-A21D-062C963B28E2}"/>
    <cellStyle name="Normal 7 5 2 2 5 3" xfId="863" xr:uid="{FD1E56BF-D095-4A49-AE5C-A5126CBAF979}"/>
    <cellStyle name="Normal 7 5 2 2 6" xfId="1236" xr:uid="{0A69FF48-F2C3-47B8-97F4-4539EA5C9281}"/>
    <cellStyle name="Normal 7 5 2 2 7" xfId="1238" xr:uid="{0C469BA1-19AB-429B-9EA1-3CA3D123C539}"/>
    <cellStyle name="Normal 7 5 2 2 8" xfId="1240" xr:uid="{C7DAAB6B-00EE-4EC7-959A-317E863F92D3}"/>
    <cellStyle name="Normal 7 5 2 2 9" xfId="1243" xr:uid="{A1C309D3-D807-420C-BF94-C7B5DD6DF0E5}"/>
    <cellStyle name="Normal 7 5 2 3" xfId="1246" xr:uid="{FE8AEA90-196D-4726-877B-E01AC8578E4D}"/>
    <cellStyle name="Normal 7 5 2 3 2" xfId="1247" xr:uid="{FB097B98-A5EE-4BA1-B22D-E602BD6F93F2}"/>
    <cellStyle name="Normal 7 5 2 3 2 2" xfId="1249" xr:uid="{07EAA6ED-A3C9-41BE-BF27-FAA6D072294D}"/>
    <cellStyle name="Normal 7 5 2 3 2 3" xfId="1251" xr:uid="{8726C7A4-25CD-4AC6-9760-B4A75F528BF3}"/>
    <cellStyle name="Normal 7 5 2 3 3" xfId="1252" xr:uid="{302F8701-512A-4257-AF40-4BA5C7C7167F}"/>
    <cellStyle name="Normal 7 5 2 3 4" xfId="1253" xr:uid="{16E245BA-4A86-4559-8778-287D33B7F88E}"/>
    <cellStyle name="Normal 7 5 2 3 5" xfId="714" xr:uid="{9CCDD5C4-C653-4BAF-AE5D-ECCE2A4AFAD8}"/>
    <cellStyle name="Normal 7 5 2 3 6" xfId="728" xr:uid="{5FE31177-0C2F-4A36-823F-898ABDAB8A35}"/>
    <cellStyle name="Normal 7 5 2 4" xfId="1254" xr:uid="{C171A2AA-24B3-4104-8802-B60876ED82CD}"/>
    <cellStyle name="Normal 7 5 2 4 2" xfId="1255" xr:uid="{673F4B55-3151-4EAC-BC76-0331FB3F24BF}"/>
    <cellStyle name="Normal 7 5 2 4 2 2" xfId="1256" xr:uid="{70F40443-72B6-49BC-8E6B-D40DAF9252BE}"/>
    <cellStyle name="Normal 7 5 2 4 2 3" xfId="1257" xr:uid="{AFC49A7A-5A46-4D1E-82FA-816BAEE4A3DC}"/>
    <cellStyle name="Normal 7 5 2 4 3" xfId="1258" xr:uid="{70E53E34-5509-4764-8706-BD521A82F444}"/>
    <cellStyle name="Normal 7 5 2 4 4" xfId="1259" xr:uid="{689167F0-BA19-4D69-BA61-09A6BF009A81}"/>
    <cellStyle name="Normal 7 5 2 4 5" xfId="747" xr:uid="{7CCF7FFF-1C8C-47B3-BAEB-E21A289DD3DF}"/>
    <cellStyle name="Normal 7 5 2 4 6" xfId="761" xr:uid="{5E5401E9-57FF-4800-B508-707C941F12D7}"/>
    <cellStyle name="Normal 7 5 2 5" xfId="1260" xr:uid="{FF6E036D-0E5A-4034-B02A-82FE07DBDD78}"/>
    <cellStyle name="Normal 7 5 2 5 2" xfId="1261" xr:uid="{823EF40C-4AB5-4893-823C-05DE1B4FAD5B}"/>
    <cellStyle name="Normal 7 5 2 5 3" xfId="1262" xr:uid="{3455052A-01D4-4808-83FA-6434AF12AAF3}"/>
    <cellStyle name="Normal 7 5 2 6" xfId="1263" xr:uid="{4607B0F3-8CD0-40C3-8AFC-77C51E287F96}"/>
    <cellStyle name="Normal 7 5 2 6 2" xfId="1264" xr:uid="{18CED5F9-6372-4469-8557-A4405BD1423C}"/>
    <cellStyle name="Normal 7 5 2 6 3" xfId="1265" xr:uid="{B6386B57-EE82-451F-88B1-002CC2B64B0C}"/>
    <cellStyle name="Normal 7 5 2 7" xfId="1266" xr:uid="{E3556F2D-306E-496A-9C4C-CCAF2CA24FC3}"/>
    <cellStyle name="Normal 7 5 2 8" xfId="1267" xr:uid="{B8BDEB8C-1CA9-4F72-AB85-88EF30C9BDFA}"/>
    <cellStyle name="Normal 7 5 2 9" xfId="1268" xr:uid="{DA30FBBF-AABA-4463-BC3D-9BF9DAD2A45A}"/>
    <cellStyle name="Normal 7 5 3" xfId="1269" xr:uid="{B9719F41-0144-4B55-9906-47B959F576F0}"/>
    <cellStyle name="Normal 7 5 3 10" xfId="1270" xr:uid="{52864364-FFE5-45FF-8A9D-CC681051C065}"/>
    <cellStyle name="Normal 7 5 3 2" xfId="1271" xr:uid="{3D3C73B6-EBDA-4F54-AD89-34B0584318FE}"/>
    <cellStyle name="Normal 7 5 3 2 2" xfId="1272" xr:uid="{7F60890B-F9B1-4775-B013-5B0B1F042982}"/>
    <cellStyle name="Normal 7 5 3 2 2 2" xfId="1273" xr:uid="{8337FE5B-7D72-4C24-8193-60CC9C012D39}"/>
    <cellStyle name="Normal 7 5 3 2 2 2 2" xfId="1274" xr:uid="{46AB4740-7A6E-47F5-B28F-F5B7111FA89F}"/>
    <cellStyle name="Normal 7 5 3 2 2 2 3" xfId="1131" xr:uid="{E2E7CAB3-84A7-49CB-9469-FDD5D0B625F0}"/>
    <cellStyle name="Normal 7 5 3 2 2 3" xfId="1275" xr:uid="{92612435-1496-41BF-A047-FCFFB955295A}"/>
    <cellStyle name="Normal 7 5 3 2 2 4" xfId="1276" xr:uid="{521E5B09-F0CA-4C00-B819-96CC1CC51791}"/>
    <cellStyle name="Normal 7 5 3 2 2 5" xfId="1277" xr:uid="{F228735F-A842-4CB1-BC4D-E6FB69E4D229}"/>
    <cellStyle name="Normal 7 5 3 2 2 6" xfId="1278" xr:uid="{85F5F84C-00AD-47AC-85F7-73F5D669A713}"/>
    <cellStyle name="Normal 7 5 3 2 3" xfId="1279" xr:uid="{54F86A45-7D08-452A-8CD1-159CF0701378}"/>
    <cellStyle name="Normal 7 5 3 2 3 2" xfId="153" xr:uid="{86424D93-8E0D-4859-9A6B-D3BDEDE32BEA}"/>
    <cellStyle name="Normal 7 5 3 2 3 2 2" xfId="1280" xr:uid="{9981F9E8-1699-4699-8380-934A50A82D9D}"/>
    <cellStyle name="Normal 7 5 3 2 3 2 3" xfId="1281" xr:uid="{662072C0-0567-4196-AD97-B70C1976AF5C}"/>
    <cellStyle name="Normal 7 5 3 2 3 3" xfId="1282" xr:uid="{54DE7997-5071-451A-990C-0C4029EE4BCE}"/>
    <cellStyle name="Normal 7 5 3 2 3 4" xfId="1284" xr:uid="{818C549E-D34D-4183-8969-86B21A090117}"/>
    <cellStyle name="Normal 7 5 3 2 3 5" xfId="1286" xr:uid="{A11DD4DD-767A-4173-A755-7D61C740E7B5}"/>
    <cellStyle name="Normal 7 5 3 2 3 6" xfId="1287" xr:uid="{F1BC7CF4-7CEF-443B-BF38-824B04BF0031}"/>
    <cellStyle name="Normal 7 5 3 2 4" xfId="1288" xr:uid="{65FA9129-ED4D-48D5-9916-E5F228DBFAB0}"/>
    <cellStyle name="Normal 7 5 3 2 4 2" xfId="1289" xr:uid="{E567BF30-1CAF-44C7-B02E-F19375F88420}"/>
    <cellStyle name="Normal 7 5 3 2 4 3" xfId="1290" xr:uid="{81248BA6-48F8-4A3B-8549-B2E9DB1242A9}"/>
    <cellStyle name="Normal 7 5 3 2 5" xfId="1291" xr:uid="{DD05DDE8-D8D0-4B56-B6F8-DE299301BFF6}"/>
    <cellStyle name="Normal 7 5 3 2 5 2" xfId="1292" xr:uid="{5327E570-AA17-4147-AEB7-80ABA9DACEEE}"/>
    <cellStyle name="Normal 7 5 3 2 5 3" xfId="1293" xr:uid="{6672C124-F879-415D-BCA1-1ABFCAA7BD8A}"/>
    <cellStyle name="Normal 7 5 3 2 6" xfId="1294" xr:uid="{017525D8-75AC-4A29-9135-C2AF0FCCE612}"/>
    <cellStyle name="Normal 7 5 3 2 7" xfId="1295" xr:uid="{D13F4C45-A0CB-4925-B997-6128D1BBE588}"/>
    <cellStyle name="Normal 7 5 3 2 8" xfId="1296" xr:uid="{7C440B72-C62F-4472-9B84-ED93BD570AE3}"/>
    <cellStyle name="Normal 7 5 3 2 9" xfId="877" xr:uid="{E23DCE9C-73D3-4F0A-B05F-660111136A17}"/>
    <cellStyle name="Normal 7 5 3 3" xfId="1297" xr:uid="{7B0AB17A-6D7B-44D6-9695-FE3B6E53C549}"/>
    <cellStyle name="Normal 7 5 3 3 2" xfId="1298" xr:uid="{96B7014A-268E-465C-9EFB-F387F31E65DF}"/>
    <cellStyle name="Normal 7 5 3 3 2 2" xfId="1299" xr:uid="{227589A8-B503-4214-B52B-F6355CDAB3EA}"/>
    <cellStyle name="Normal 7 5 3 3 2 3" xfId="1300" xr:uid="{D026010E-74AD-4EBD-A39C-FAC078135D85}"/>
    <cellStyle name="Normal 7 5 3 3 3" xfId="1301" xr:uid="{CC101725-ADEA-4AA8-9FD6-B2177CA530D8}"/>
    <cellStyle name="Normal 7 5 3 3 4" xfId="1302" xr:uid="{6797CF45-B6CE-4935-BA99-8340E1A344B9}"/>
    <cellStyle name="Normal 7 5 3 3 5" xfId="13" xr:uid="{4D61FF4A-F7AB-4223-8E71-589A5A81C2E6}"/>
    <cellStyle name="Normal 7 5 3 3 6" xfId="1303" xr:uid="{603FFF48-9D7A-4E5A-98B7-827B20314DF0}"/>
    <cellStyle name="Normal 7 5 3 4" xfId="1304" xr:uid="{CDED1B72-E944-466A-99EE-64F84E105D64}"/>
    <cellStyle name="Normal 7 5 3 4 2" xfId="1305" xr:uid="{8F9D2380-773D-4E5A-9BA5-C574A1DEE025}"/>
    <cellStyle name="Normal 7 5 3 4 2 2" xfId="1306" xr:uid="{EE5DDCA9-C97B-4A49-A986-1F084C186B07}"/>
    <cellStyle name="Normal 7 5 3 4 2 3" xfId="1307" xr:uid="{8A9B5B20-CD93-4292-AC1A-7EE6A1C3A985}"/>
    <cellStyle name="Normal 7 5 3 4 3" xfId="1308" xr:uid="{050EB141-BA61-4DAB-8D03-A6FC0779FDD9}"/>
    <cellStyle name="Normal 7 5 3 4 4" xfId="1309" xr:uid="{365F0EB0-F9DF-4650-8DC0-415B9EDD8DF7}"/>
    <cellStyle name="Normal 7 5 3 4 5" xfId="1310" xr:uid="{414A163C-404B-4CF3-92C3-F0E54FD3C63B}"/>
    <cellStyle name="Normal 7 5 3 4 6" xfId="1311" xr:uid="{32B74E25-E7E8-482E-A843-78C6E034DD94}"/>
    <cellStyle name="Normal 7 5 3 5" xfId="1312" xr:uid="{7C195E62-DD49-484C-9B28-9858A9E46510}"/>
    <cellStyle name="Normal 7 5 3 5 2" xfId="1313" xr:uid="{A04AF15D-1983-4B50-9FB0-6BA5C83F4D81}"/>
    <cellStyle name="Normal 7 5 3 5 3" xfId="1314" xr:uid="{8444BDF9-7750-49CC-99AE-AC8233F62E85}"/>
    <cellStyle name="Normal 7 5 3 6" xfId="1315" xr:uid="{9DAA0BF9-70A5-4D41-8E58-58401C4104F9}"/>
    <cellStyle name="Normal 7 5 3 6 2" xfId="1316" xr:uid="{CAB20DC1-908A-4ADC-A0A1-BEF58BF87F27}"/>
    <cellStyle name="Normal 7 5 3 6 3" xfId="1317" xr:uid="{0C1E20CE-AEB4-4417-8FE2-AE3F5884FF69}"/>
    <cellStyle name="Normal 7 5 3 7" xfId="1318" xr:uid="{FA7B9D48-132F-48CF-90BD-285742FE1F53}"/>
    <cellStyle name="Normal 7 5 3 8" xfId="1319" xr:uid="{6C501557-0090-45F0-8029-FF47EFEFF4C9}"/>
    <cellStyle name="Normal 7 5 3 9" xfId="1320" xr:uid="{284F1BDD-F403-4B0E-B99A-FDCC43F94033}"/>
    <cellStyle name="Normal 7 5 4" xfId="1321" xr:uid="{3B5CA92C-A575-451F-8F86-3A8D56683A19}"/>
    <cellStyle name="Normal 7 5 4 10" xfId="1322" xr:uid="{97789310-AB3F-40C2-82CA-1456999498C7}"/>
    <cellStyle name="Normal 7 5 4 2" xfId="753" xr:uid="{119A5E96-736B-4D13-83B1-2C8F8D6EC474}"/>
    <cellStyle name="Normal 7 5 4 2 2" xfId="1323" xr:uid="{108AB419-EED0-40DB-8B17-D871445275D6}"/>
    <cellStyle name="Normal 7 5 4 2 2 2" xfId="972" xr:uid="{2D7E9A3B-02BD-4CF4-A175-3A21DA39E395}"/>
    <cellStyle name="Normal 7 5 4 2 2 2 2" xfId="1325" xr:uid="{A8B5134C-BE2F-4437-A9EB-5A1ACB5EA2BB}"/>
    <cellStyle name="Normal 7 5 4 2 2 2 3" xfId="1326" xr:uid="{8F0FC846-A298-4E10-AC4D-FCA9C31F1E99}"/>
    <cellStyle name="Normal 7 5 4 2 2 3" xfId="1327" xr:uid="{AD4C1B23-B29F-49F8-AC73-913E4025BB40}"/>
    <cellStyle name="Normal 7 5 4 2 2 4" xfId="1330" xr:uid="{3269DE38-8D63-405B-95C3-2023C3B9ADF5}"/>
    <cellStyle name="Normal 7 5 4 2 2 5" xfId="1332" xr:uid="{56B807C7-5DD1-4437-A126-3F8D5881B6FC}"/>
    <cellStyle name="Normal 7 5 4 2 2 6" xfId="1333" xr:uid="{B7DD75BA-6FF8-42DF-B1BA-DD89E908C215}"/>
    <cellStyle name="Normal 7 5 4 2 3" xfId="1334" xr:uid="{CC838C48-7CCC-42CE-8066-DF97E0D9F615}"/>
    <cellStyle name="Normal 7 5 4 2 3 2" xfId="1336" xr:uid="{8458A417-79D2-495E-A2CA-81EEE381D7E6}"/>
    <cellStyle name="Normal 7 5 4 2 3 2 2" xfId="637" xr:uid="{6B42B32B-D35F-431C-9B8E-C648BBEE65FD}"/>
    <cellStyle name="Normal 7 5 4 2 3 2 3" xfId="683" xr:uid="{0BDC86B5-EBB2-48DE-A706-852F4FFF3770}"/>
    <cellStyle name="Normal 7 5 4 2 3 3" xfId="1339" xr:uid="{4F277EF9-0761-4DB4-A157-EA81ED85D10B}"/>
    <cellStyle name="Normal 7 5 4 2 3 4" xfId="1343" xr:uid="{0E22FE0B-D317-4370-9C75-4C297E84CD6D}"/>
    <cellStyle name="Normal 7 5 4 2 3 5" xfId="1345" xr:uid="{BE55CCD2-41C0-44C9-97F0-F8E8D479DEC1}"/>
    <cellStyle name="Normal 7 5 4 2 3 6" xfId="1346" xr:uid="{94481A1E-B4D3-4C46-A9F3-5BE6DC79741A}"/>
    <cellStyle name="Normal 7 5 4 2 4" xfId="1347" xr:uid="{5FAA6761-D334-4FC1-84B9-42DD2E37550D}"/>
    <cellStyle name="Normal 7 5 4 2 4 2" xfId="1349" xr:uid="{CC7C233E-250F-4FC7-AD7A-C8C147F11B5A}"/>
    <cellStyle name="Normal 7 5 4 2 4 3" xfId="1350" xr:uid="{BA305B52-F598-4E74-A1EF-A5A96276509F}"/>
    <cellStyle name="Normal 7 5 4 2 5" xfId="1351" xr:uid="{C51B662E-8B50-4934-AC75-7EFE36F24372}"/>
    <cellStyle name="Normal 7 5 4 2 5 2" xfId="1352" xr:uid="{A058F5AC-F091-4680-BDD4-D579D14D7A1F}"/>
    <cellStyle name="Normal 7 5 4 2 5 3" xfId="1353" xr:uid="{5832B4BC-91AF-496A-9D2D-CA5DA31C9092}"/>
    <cellStyle name="Normal 7 5 4 2 6" xfId="1354" xr:uid="{F03AC922-375C-4AFC-9CAA-37182CCB72A0}"/>
    <cellStyle name="Normal 7 5 4 2 7" xfId="1355" xr:uid="{317F3F5F-E5F4-4C08-A31C-E8D539B150E6}"/>
    <cellStyle name="Normal 7 5 4 2 8" xfId="735" xr:uid="{8AD45BA1-3A5C-4D98-8547-93F136238F45}"/>
    <cellStyle name="Normal 7 5 4 2 9" xfId="738" xr:uid="{78371877-D4E4-4757-BF2C-2934793F2DA1}"/>
    <cellStyle name="Normal 7 5 4 3" xfId="755" xr:uid="{31E30CE4-C3CA-4DF3-9D56-4FEDC9A3EA77}"/>
    <cellStyle name="Normal 7 5 4 3 2" xfId="1356" xr:uid="{CC99FBB6-60E5-452D-8B4B-84F773C14EA0}"/>
    <cellStyle name="Normal 7 5 4 3 2 2" xfId="1357" xr:uid="{30873722-7C14-47EE-8FA0-72D6A8DB8C3A}"/>
    <cellStyle name="Normal 7 5 4 3 2 3" xfId="1358" xr:uid="{F787F188-0C54-4525-852B-9D9B9D849172}"/>
    <cellStyle name="Normal 7 5 4 3 3" xfId="1359" xr:uid="{5E49F383-4324-4408-91B9-A14965EDA2C6}"/>
    <cellStyle name="Normal 7 5 4 3 4" xfId="1360" xr:uid="{C4BE0C87-6280-4271-B265-7D50932DC43B}"/>
    <cellStyle name="Normal 7 5 4 3 5" xfId="1361" xr:uid="{1F97C55E-4D78-44BD-8CF1-AE06B9F1898F}"/>
    <cellStyle name="Normal 7 5 4 3 6" xfId="1362" xr:uid="{07BC9637-9AE4-4753-99F7-B36A1E18671F}"/>
    <cellStyle name="Normal 7 5 4 4" xfId="757" xr:uid="{33C08B45-65B0-4FF2-9019-C726179A9301}"/>
    <cellStyle name="Normal 7 5 4 4 2" xfId="1363" xr:uid="{1DC1B94F-43D6-49C9-828C-BBCF0CAEB55D}"/>
    <cellStyle name="Normal 7 5 4 4 2 2" xfId="1113" xr:uid="{1732F429-E071-4E8C-8936-96CE6FAF3922}"/>
    <cellStyle name="Normal 7 5 4 4 2 3" xfId="1364" xr:uid="{203C319A-57D2-4539-8EA7-5C7735650DD0}"/>
    <cellStyle name="Normal 7 5 4 4 3" xfId="1365" xr:uid="{358D98DB-C28F-43C0-9AE9-287D28B389B1}"/>
    <cellStyle name="Normal 7 5 4 4 4" xfId="1366" xr:uid="{BE724989-3D38-4AD5-9144-BF850778B875}"/>
    <cellStyle name="Normal 7 5 4 4 5" xfId="1367" xr:uid="{338AF1D7-2C54-4664-A617-59E92140A95E}"/>
    <cellStyle name="Normal 7 5 4 4 6" xfId="1368" xr:uid="{574B3369-EAEB-422C-9F34-5FA066F851E9}"/>
    <cellStyle name="Normal 7 5 4 5" xfId="759" xr:uid="{DB357982-8E28-4E35-8D7F-3540C00933BC}"/>
    <cellStyle name="Normal 7 5 4 5 2" xfId="1369" xr:uid="{2AA5449C-7EBC-431D-847E-FA5EB2AED409}"/>
    <cellStyle name="Normal 7 5 4 5 3" xfId="1370" xr:uid="{35DC6C0F-29EB-4C4F-BA6A-8875B6E7DAAD}"/>
    <cellStyle name="Normal 7 5 4 6" xfId="1371" xr:uid="{D7D6BDBC-E77F-4F41-8F84-6940ABEEC380}"/>
    <cellStyle name="Normal 7 5 4 6 2" xfId="1372" xr:uid="{A1500387-9FA2-48AF-B913-6E8126EDAE43}"/>
    <cellStyle name="Normal 7 5 4 6 3" xfId="1373" xr:uid="{D19C00C7-1BA7-43C1-BF3E-674B33D960FB}"/>
    <cellStyle name="Normal 7 5 4 7" xfId="1374" xr:uid="{48F15A7F-A5D3-4CFA-9B43-76A48F663894}"/>
    <cellStyle name="Normal 7 5 4 8" xfId="1375" xr:uid="{6908554B-8313-4DE6-B300-CAFA5FEFE717}"/>
    <cellStyle name="Normal 7 5 4 9" xfId="586" xr:uid="{770B5B8A-0FE6-4F8C-81A6-8E32FDC1FE81}"/>
    <cellStyle name="Normal 7 5 5" xfId="1376" xr:uid="{19D18A7C-6A0A-476A-A22C-756E3D08BF17}"/>
    <cellStyle name="Normal 7 5 5 2" xfId="765" xr:uid="{A590EABB-4BFA-4E40-80EB-62354D4E1381}"/>
    <cellStyle name="Normal 7 5 5 2 2" xfId="1377" xr:uid="{13138747-B005-42BF-BC45-6AC6D7F98EFA}"/>
    <cellStyle name="Normal 7 5 5 2 2 2" xfId="1378" xr:uid="{72BE5B66-1859-4914-9ACD-1D0A7806BA91}"/>
    <cellStyle name="Normal 7 5 5 2 2 3" xfId="1379" xr:uid="{34CF6678-26CB-4812-8A21-303F90142450}"/>
    <cellStyle name="Normal 7 5 5 2 3" xfId="1380" xr:uid="{737866B1-E482-49CA-B32D-8674C5141FC7}"/>
    <cellStyle name="Normal 7 5 5 2 4" xfId="1381" xr:uid="{4ADDE9DA-1726-4B94-94DB-10B089FF5606}"/>
    <cellStyle name="Normal 7 5 5 2 5" xfId="1382" xr:uid="{BA8C4986-DAC3-40E7-BF1B-F994857C3233}"/>
    <cellStyle name="Normal 7 5 5 2 6" xfId="1383" xr:uid="{210251CC-C303-415B-B106-91A876DCBB8B}"/>
    <cellStyle name="Normal 7 5 5 3" xfId="1384" xr:uid="{3229C9ED-3761-4D9F-B4E6-EEE053DADEE2}"/>
    <cellStyle name="Normal 7 5 5 3 2" xfId="1385" xr:uid="{5852254A-0A95-46FC-98C0-DA3382C847C6}"/>
    <cellStyle name="Normal 7 5 5 3 2 2" xfId="1386" xr:uid="{55B4E4B3-5531-495B-ABDD-33353E41B487}"/>
    <cellStyle name="Normal 7 5 5 3 2 3" xfId="341" xr:uid="{31496651-F709-4F16-AA91-6FD635653D12}"/>
    <cellStyle name="Normal 7 5 5 3 3" xfId="1387" xr:uid="{D7B46631-4729-4FE4-8803-175C8DCB1FDE}"/>
    <cellStyle name="Normal 7 5 5 3 4" xfId="1388" xr:uid="{60EE7613-8BF8-4893-B3C7-C6BE04E2CDE9}"/>
    <cellStyle name="Normal 7 5 5 3 5" xfId="1389" xr:uid="{DFF40BD5-977E-42EC-8F1B-CF159F1F2982}"/>
    <cellStyle name="Normal 7 5 5 3 6" xfId="1390" xr:uid="{E3540D6D-51E6-41AA-AAF1-5947823C3B00}"/>
    <cellStyle name="Normal 7 5 5 4" xfId="1391" xr:uid="{3DBD9A18-AF00-4151-B41E-3D27CD03BBD6}"/>
    <cellStyle name="Normal 7 5 5 4 2" xfId="1392" xr:uid="{FC810231-6224-4EC8-B3BD-E0F6585565C9}"/>
    <cellStyle name="Normal 7 5 5 4 3" xfId="1393" xr:uid="{D7B01D23-475E-4F96-9569-8D8ABDDED9D9}"/>
    <cellStyle name="Normal 7 5 5 5" xfId="1394" xr:uid="{2F7475DB-99C9-4D75-A8F4-9B7F8027D0C0}"/>
    <cellStyle name="Normal 7 5 5 5 2" xfId="1395" xr:uid="{CF8DF9E8-1B40-4567-84B6-8E30E24CD11A}"/>
    <cellStyle name="Normal 7 5 5 5 3" xfId="1396" xr:uid="{F598A3C8-C4B8-43F5-82BA-8C21F70D1EC1}"/>
    <cellStyle name="Normal 7 5 5 6" xfId="1397" xr:uid="{979CE61B-291B-45A6-98BD-C6F4210F168F}"/>
    <cellStyle name="Normal 7 5 5 7" xfId="1398" xr:uid="{5DBA62E9-6544-4D6C-A26F-9777FEC820CD}"/>
    <cellStyle name="Normal 7 5 5 8" xfId="1399" xr:uid="{5DBA2484-7095-4617-8988-1EEE971C0EC8}"/>
    <cellStyle name="Normal 7 5 5 9" xfId="599" xr:uid="{81475A2D-BAB1-4F02-B6BE-A7F508AE17E7}"/>
    <cellStyle name="Normal 7 5 6" xfId="1400" xr:uid="{23C055DC-7183-4B95-9AEF-F6B2965DB5C3}"/>
    <cellStyle name="Normal 7 5 6 2" xfId="769" xr:uid="{9E0F7D08-D95B-4286-8345-929E74B477B1}"/>
    <cellStyle name="Normal 7 5 6 2 2" xfId="403" xr:uid="{DF6EDEBE-5124-48B0-9769-79A54606A7AC}"/>
    <cellStyle name="Normal 7 5 6 2 3" xfId="408" xr:uid="{D7A090E2-2BED-45F3-8338-9B87CF1E736B}"/>
    <cellStyle name="Normal 7 5 6 3" xfId="1401" xr:uid="{5345A280-D1EE-447F-B438-691E27382695}"/>
    <cellStyle name="Normal 7 5 6 4" xfId="1402" xr:uid="{D0DD22BB-E05E-48F9-8A24-B5736CAB8B35}"/>
    <cellStyle name="Normal 7 5 6 5" xfId="1403" xr:uid="{0DDCB0F0-851C-4F80-A85E-4BFB570A5B18}"/>
    <cellStyle name="Normal 7 5 6 6" xfId="1404" xr:uid="{726CA113-50F2-49AD-A642-6CE4248AB9BE}"/>
    <cellStyle name="Normal 7 5 7" xfId="1405" xr:uid="{2ABF8D05-3D85-4AF8-A8E3-35F726251617}"/>
    <cellStyle name="Normal 7 5 7 2" xfId="1406" xr:uid="{02388268-50E7-4929-BB31-4E7FC1B4CAD7}"/>
    <cellStyle name="Normal 7 5 7 2 2" xfId="1169" xr:uid="{D9720536-3AA9-496E-9FB4-87369185BD54}"/>
    <cellStyle name="Normal 7 5 7 2 3" xfId="1171" xr:uid="{D02ADA67-3069-433F-A7FB-07A08C306EAE}"/>
    <cellStyle name="Normal 7 5 7 3" xfId="1407" xr:uid="{ABE8CA60-1024-44C4-B3E9-4C043BD7782E}"/>
    <cellStyle name="Normal 7 5 7 4" xfId="1408" xr:uid="{AA96CD16-1375-4403-B7EC-D337A43AC5F2}"/>
    <cellStyle name="Normal 7 5 7 5" xfId="1409" xr:uid="{30AC6F0B-63E2-4363-B303-AEF5FF12614F}"/>
    <cellStyle name="Normal 7 5 7 6" xfId="1410" xr:uid="{437F9C96-7E21-461E-AEA6-F9F7C31B537C}"/>
    <cellStyle name="Normal 7 5 8" xfId="1411" xr:uid="{0040DCBD-A766-4DB3-938D-5138DE88830F}"/>
    <cellStyle name="Normal 7 5 8 2" xfId="1412" xr:uid="{24CF03C6-4D7E-4819-95DB-68BE0E2B1114}"/>
    <cellStyle name="Normal 7 5 8 3" xfId="1413" xr:uid="{ED675F98-AC0A-4F47-A1CE-A25D27C5DD16}"/>
    <cellStyle name="Normal 7 5 9" xfId="1414" xr:uid="{C530B175-BF90-4AA6-B498-3A4C7CF3A852}"/>
    <cellStyle name="Normal 7 5 9 2" xfId="1415" xr:uid="{87A26934-093E-462D-B588-76D075DDECDA}"/>
    <cellStyle name="Normal 7 5 9 3" xfId="1416" xr:uid="{35BA109C-83BD-40E5-B04B-FED5947AB32A}"/>
    <cellStyle name="Normal 7 6" xfId="1063" xr:uid="{820E48FD-08AD-47CC-9222-405DA4CD55AE}"/>
    <cellStyle name="Normal 7 6 10" xfId="1049" xr:uid="{23C08E9A-3CDA-4CA2-9DC9-7A526E7E7A1D}"/>
    <cellStyle name="Normal 7 6 2" xfId="1417" xr:uid="{C0B8A420-5D5B-46F4-9EE7-0901A6141B61}"/>
    <cellStyle name="Normal 7 6 2 2" xfId="1418" xr:uid="{16EE54C3-BACF-4C05-9BE1-719027C8358B}"/>
    <cellStyle name="Normal 7 6 2 2 2" xfId="1419" xr:uid="{00D462AD-49C2-46E0-B5BD-29BA77EE77E7}"/>
    <cellStyle name="Normal 7 6 2 2 2 2" xfId="1420" xr:uid="{6EAC037C-FDE1-4411-A776-CAD984D8358E}"/>
    <cellStyle name="Normal 7 6 2 2 2 2 2" xfId="43" xr:uid="{6A6F3A13-9A96-49B0-974E-9363D8230806}"/>
    <cellStyle name="Normal 7 6 2 2 2 2 3" xfId="46" xr:uid="{928E8AC7-7B48-44B2-BF2B-7AC04B121DA5}"/>
    <cellStyle name="Normal 7 6 2 2 2 3" xfId="1421" xr:uid="{287468A2-3471-4D3A-AA4D-1CF456041D95}"/>
    <cellStyle name="Normal 7 6 2 2 2 4" xfId="1422" xr:uid="{FFA48543-7ABA-47EA-BE96-FC34ADA038B1}"/>
    <cellStyle name="Normal 7 6 2 2 2 5" xfId="1423" xr:uid="{EE23383B-D060-4B49-BC15-1F91F50FABB4}"/>
    <cellStyle name="Normal 7 6 2 2 2 6" xfId="1424" xr:uid="{1187B023-6336-4CAB-8240-44BF18CCB24F}"/>
    <cellStyle name="Normal 7 6 2 2 3" xfId="1425" xr:uid="{BDD32F67-AC82-4EC2-9167-2DBDAC8898CF}"/>
    <cellStyle name="Normal 7 6 2 2 3 2" xfId="1426" xr:uid="{7A34D4B0-2DCB-4681-8E21-0E1BFBBCB694}"/>
    <cellStyle name="Normal 7 6 2 2 3 2 2" xfId="1427" xr:uid="{DCD4688D-8EC8-4D23-95EA-063DE437362F}"/>
    <cellStyle name="Normal 7 6 2 2 3 2 3" xfId="1428" xr:uid="{71F3CF50-7B26-44DD-A476-E7176571B259}"/>
    <cellStyle name="Normal 7 6 2 2 3 3" xfId="1429" xr:uid="{B37EDD64-51D2-454C-BB32-19C275A173AF}"/>
    <cellStyle name="Normal 7 6 2 2 3 4" xfId="1430" xr:uid="{202F7B7C-EF61-488F-926B-F297E5C82F02}"/>
    <cellStyle name="Normal 7 6 2 2 3 5" xfId="1431" xr:uid="{3A92C912-7EAF-44B8-92B3-1D4556BC5DFF}"/>
    <cellStyle name="Normal 7 6 2 2 3 6" xfId="1432" xr:uid="{CDECD503-4E53-420C-858E-8D2A85B0F4F0}"/>
    <cellStyle name="Normal 7 6 2 2 4" xfId="1433" xr:uid="{E848FA1D-7916-4844-8C87-5E399516B7CC}"/>
    <cellStyle name="Normal 7 6 2 2 4 2" xfId="1117" xr:uid="{81147E60-F29C-478B-80F6-0D8C975951F1}"/>
    <cellStyle name="Normal 7 6 2 2 4 3" xfId="1118" xr:uid="{B055A355-B8C8-4CDA-8B4D-5E0BA5BC05F4}"/>
    <cellStyle name="Normal 7 6 2 2 5" xfId="1435" xr:uid="{5EB61E30-FA5A-4D4C-9FFE-33BD9715C259}"/>
    <cellStyle name="Normal 7 6 2 2 5 2" xfId="1437" xr:uid="{E663E6DE-6704-446F-B35D-5B9723E44E19}"/>
    <cellStyle name="Normal 7 6 2 2 5 3" xfId="1438" xr:uid="{1BB311B9-61AF-49D8-9808-631B1E19C314}"/>
    <cellStyle name="Normal 7 6 2 2 6" xfId="1439" xr:uid="{9A6F24C1-AE18-41B5-9F16-ED51F9C5BF85}"/>
    <cellStyle name="Normal 7 6 2 2 7" xfId="1440" xr:uid="{333BCF5E-020D-4E44-AD51-B49DDCFF44EC}"/>
    <cellStyle name="Normal 7 6 2 2 8" xfId="1441" xr:uid="{1064FF99-C535-436E-8BAA-6B4FE6DB426D}"/>
    <cellStyle name="Normal 7 6 2 2 9" xfId="1442" xr:uid="{E848B0CB-D197-4A05-B0B8-2A1AC366C798}"/>
    <cellStyle name="Normal 7 6 2 3" xfId="1443" xr:uid="{4E527B25-E672-4C0D-AD43-0D33BBFC12A8}"/>
    <cellStyle name="Normal 7 6 2 3 2" xfId="1444" xr:uid="{F7873DFB-4BDD-4EF6-A813-9441E91554E3}"/>
    <cellStyle name="Normal 7 6 2 3 3" xfId="588" xr:uid="{BF8DDB02-EFB5-473F-8189-E5CB2FC3478A}"/>
    <cellStyle name="Normal 7 6 2 4" xfId="1445" xr:uid="{055E7347-5883-4E89-B2CB-D3A7A8D075F1}"/>
    <cellStyle name="Normal 7 6 2 5" xfId="1446" xr:uid="{B8C3FE6E-CAE0-4826-A924-1192D99A051B}"/>
    <cellStyle name="Normal 7 6 3" xfId="1447" xr:uid="{23FA0BD1-15DB-4B59-80F6-DD3B2BCA4B15}"/>
    <cellStyle name="Normal 7 6 3 2" xfId="1448" xr:uid="{5DE870FA-BC54-45E6-BEA4-B4068CF53BED}"/>
    <cellStyle name="Normal 7 6 3 2 2" xfId="1449" xr:uid="{2394DD2C-0626-45DF-A765-7032308B9440}"/>
    <cellStyle name="Normal 7 6 3 2 3" xfId="1451" xr:uid="{BA720557-D951-4690-A607-C0D838757BDC}"/>
    <cellStyle name="Normal 7 6 3 3" xfId="938" xr:uid="{283E3DEA-E2BB-4185-8DC0-C39D7196939E}"/>
    <cellStyle name="Normal 7 6 3 4" xfId="941" xr:uid="{EB6E2359-0C69-44B3-97CA-1605CEF0997D}"/>
    <cellStyle name="Normal 7 6 3 5" xfId="943" xr:uid="{31F2801D-73F2-4291-95AC-2AD9C079E257}"/>
    <cellStyle name="Normal 7 6 3 6" xfId="945" xr:uid="{57078042-15D7-48F5-972D-59859ABB7648}"/>
    <cellStyle name="Normal 7 6 4" xfId="1452" xr:uid="{C856DF07-8F68-4419-A74C-D792127EE9E8}"/>
    <cellStyle name="Normal 7 6 4 2" xfId="778" xr:uid="{433194AA-BDC1-4B9E-A2C8-A2C65F664BD7}"/>
    <cellStyle name="Normal 7 6 4 2 2" xfId="1453" xr:uid="{8FC59B2C-DF96-4C41-8003-09B354CE4B5C}"/>
    <cellStyle name="Normal 7 6 4 2 3" xfId="1454" xr:uid="{93F5ACFD-DF11-468D-933C-B693C0FA5989}"/>
    <cellStyle name="Normal 7 6 4 3" xfId="949" xr:uid="{3BD0010B-1AE6-4F58-B873-B8788D4FD460}"/>
    <cellStyle name="Normal 7 6 4 4" xfId="951" xr:uid="{C160AE48-CFFD-44EC-9E0D-1DD18F7665C7}"/>
    <cellStyle name="Normal 7 6 4 5" xfId="1455" xr:uid="{FF98D2B1-A277-46DE-87F0-3A6FE0A61D47}"/>
    <cellStyle name="Normal 7 6 4 6" xfId="1456" xr:uid="{AB1A2D2D-C33C-4B77-8A86-B6CFEC5489DD}"/>
    <cellStyle name="Normal 7 6 5" xfId="1457" xr:uid="{704341BA-E26F-4740-985E-365C703E2849}"/>
    <cellStyle name="Normal 7 6 5 2" xfId="1458" xr:uid="{B5A76276-F5DD-459A-AB1D-632F88B7E5E7}"/>
    <cellStyle name="Normal 7 6 5 3" xfId="953" xr:uid="{AD55F8B4-931F-4781-92C1-2AF147674414}"/>
    <cellStyle name="Normal 7 6 6" xfId="1459" xr:uid="{8FCF16C4-A355-4E34-A254-E44371DB02B0}"/>
    <cellStyle name="Normal 7 6 6 2" xfId="1460" xr:uid="{B4164A4F-FEA8-43E7-809D-0F639ED698AB}"/>
    <cellStyle name="Normal 7 6 6 3" xfId="1102" xr:uid="{8B734C0A-D2B1-431D-A9EC-08D295FB23CE}"/>
    <cellStyle name="Normal 7 6 7" xfId="1461" xr:uid="{71618A4B-827F-4E04-A2D0-C427B48EEDFB}"/>
    <cellStyle name="Normal 7 6 8" xfId="1462" xr:uid="{AF08F2DE-5BB7-4D96-B3D1-9585ACA77FCE}"/>
    <cellStyle name="Normal 7 6 9" xfId="1463" xr:uid="{5C00DB9A-1E11-49CF-A44D-55F4935CE087}"/>
    <cellStyle name="Normal 7 7" xfId="1065" xr:uid="{80A20487-DA01-49E8-B946-B95AAC42F840}"/>
    <cellStyle name="Normal 7 7 10" xfId="1464" xr:uid="{FBFBCA35-8829-425A-BADB-84F75028940F}"/>
    <cellStyle name="Normal 7 7 11" xfId="1466" xr:uid="{D80F3A2F-5AC4-4407-9C29-3E97BD7B1505}"/>
    <cellStyle name="Normal 7 7 2" xfId="1468" xr:uid="{7148F5AC-2ABA-4CD5-A2FD-0592F98D589D}"/>
    <cellStyle name="Normal 7 7 2 2" xfId="1469" xr:uid="{80E360F8-9B46-4D3D-ACB0-F38D3BC8531F}"/>
    <cellStyle name="Normal 7 7 2 2 2" xfId="86" xr:uid="{952EBE4A-3AC9-41B0-A5D1-CE6ADFBF2472}"/>
    <cellStyle name="Normal 7 7 2 2 2 2" xfId="1470" xr:uid="{7E63026C-217F-499D-8A31-6CFEA0609F82}"/>
    <cellStyle name="Normal 7 7 2 2 2 3" xfId="1471" xr:uid="{B5A3F0EF-6D7E-415C-BF12-0F0CFA0CAD70}"/>
    <cellStyle name="Normal 7 7 2 2 3" xfId="1472" xr:uid="{56148FF9-DC0F-4ACD-8B79-5E462ECB8F51}"/>
    <cellStyle name="Normal 7 7 2 2 4" xfId="1473" xr:uid="{F1ACC7F5-79AD-47A2-8632-DDDD9479F089}"/>
    <cellStyle name="Normal 7 7 2 2 5" xfId="1474" xr:uid="{3728E889-2374-40EA-8FCD-FCA220D633AF}"/>
    <cellStyle name="Normal 7 7 2 2 6" xfId="1475" xr:uid="{CC884A4B-C210-4C75-93A1-ADBCE5B77EF3}"/>
    <cellStyle name="Normal 7 7 2 3" xfId="1476" xr:uid="{104E47ED-9922-4FF6-80BC-C457B5D3D1D3}"/>
    <cellStyle name="Normal 7 7 2 3 2" xfId="506" xr:uid="{36521DB4-AF80-4707-9221-BFF0573294DE}"/>
    <cellStyle name="Normal 7 7 2 3 3" xfId="1477" xr:uid="{9B654B42-37A7-4BB6-9B02-8731BACF92D3}"/>
    <cellStyle name="Normal 7 7 2 4" xfId="1478" xr:uid="{A065C447-59F9-4D9B-A62D-B55980DF7729}"/>
    <cellStyle name="Normal 7 7 2 4 2" xfId="1480" xr:uid="{65EAE6EB-0046-482C-B364-7BF6C5509FFA}"/>
    <cellStyle name="Normal 7 7 2 4 3" xfId="1482" xr:uid="{54BFF89B-9E88-4E59-8ED1-0D49DC6A5BB0}"/>
    <cellStyle name="Normal 7 7 2 5" xfId="1484" xr:uid="{7CEA2C8A-2C0B-46D5-A14C-29891C8A96E7}"/>
    <cellStyle name="Normal 7 7 2 6" xfId="1486" xr:uid="{737F694E-BB68-4BFA-B0D2-58FB1F501E7E}"/>
    <cellStyle name="Normal 7 7 2 7" xfId="1488" xr:uid="{4AD325B8-4E19-4E67-B9AA-59198604DE00}"/>
    <cellStyle name="Normal 7 7 2 8" xfId="1490" xr:uid="{BA183C15-D028-4600-B25E-37ADF7EFD831}"/>
    <cellStyle name="Normal 7 7 3" xfId="1492" xr:uid="{92623F0A-212F-4B63-81C1-05E95736C632}"/>
    <cellStyle name="Normal 7 7 3 2" xfId="1493" xr:uid="{4FEC26A9-9063-4E4D-A28A-92FE7137D125}"/>
    <cellStyle name="Normal 7 7 3 2 2" xfId="1494" xr:uid="{E844FC75-0E87-4472-B30B-A6F57EED8C03}"/>
    <cellStyle name="Normal 7 7 3 2 3" xfId="1495" xr:uid="{371B66FF-821B-4859-A4FD-57B0B3389DBC}"/>
    <cellStyle name="Normal 7 7 3 3" xfId="964" xr:uid="{480C3FBD-AB4B-4326-8C74-356DD6E16B23}"/>
    <cellStyle name="Normal 7 7 3 4" xfId="966" xr:uid="{BEFB6194-10AF-4F0D-A149-6CC9E878FD4B}"/>
    <cellStyle name="Normal 7 7 3 5" xfId="1496" xr:uid="{C283AEF9-7CCC-4DA9-848C-786DAB6E91FD}"/>
    <cellStyle name="Normal 7 7 3 6" xfId="1498" xr:uid="{AE44B23B-3B73-41EB-B780-5AC603396AEA}"/>
    <cellStyle name="Normal 7 7 4" xfId="1500" xr:uid="{E37498FF-816F-4451-880B-5E7BAED4BFF8}"/>
    <cellStyle name="Normal 7 7 4 2" xfId="787" xr:uid="{E92663E0-61BC-48B5-AF4A-7CB8E91E0E62}"/>
    <cellStyle name="Normal 7 7 4 2 2" xfId="1501" xr:uid="{6AB084B0-6022-4B01-8AE0-824A91C756B9}"/>
    <cellStyle name="Normal 7 7 4 2 3" xfId="1502" xr:uid="{FB2D40B9-477F-4D97-AE31-797C2172E2E5}"/>
    <cellStyle name="Normal 7 7 4 3" xfId="970" xr:uid="{392E2515-4389-402B-9EBC-9E1CEC3A257C}"/>
    <cellStyle name="Normal 7 7 4 4" xfId="973" xr:uid="{177260F5-8AC4-46AB-A4A4-169027A243BE}"/>
    <cellStyle name="Normal 7 7 4 5" xfId="1328" xr:uid="{BF5BC37B-29FA-420B-8A98-BE813A7DEE2D}"/>
    <cellStyle name="Normal 7 7 4 6" xfId="1331" xr:uid="{5EBC9895-D909-413E-9E92-6433FCFCCB06}"/>
    <cellStyle name="Normal 7 7 5" xfId="1503" xr:uid="{2CB6A2C0-81FF-4FA0-89E6-4ED296CC4ECE}"/>
    <cellStyle name="Normal 7 7 5 2" xfId="1504" xr:uid="{8D217F8A-2FA1-4090-94EF-18A3BF4BD60C}"/>
    <cellStyle name="Normal 7 7 5 3" xfId="1506" xr:uid="{8082905D-511F-4423-9E8D-29C1752504E5}"/>
    <cellStyle name="Normal 7 7 6" xfId="1508" xr:uid="{1CA2A8FF-667E-4187-9505-95B5E4A1FA86}"/>
    <cellStyle name="Normal 7 7 6 2" xfId="1509" xr:uid="{C346CF6D-E23E-46D3-B1C4-96F705CA8470}"/>
    <cellStyle name="Normal 7 7 6 3" xfId="1510" xr:uid="{A494528E-075C-4089-9B67-098F620C6BC3}"/>
    <cellStyle name="Normal 7 7 7" xfId="1511" xr:uid="{8174DAF5-B556-48B5-8D15-269B4E002C42}"/>
    <cellStyle name="Normal 7 7 7 2" xfId="1512" xr:uid="{48B34DED-E648-4CB4-BBF2-9EFD3EA72EDA}"/>
    <cellStyle name="Normal 7 7 7 3" xfId="1513" xr:uid="{0A7B979F-C63F-4739-8E73-FEB5A3883915}"/>
    <cellStyle name="Normal 7 7 8" xfId="1514" xr:uid="{4BC20BBC-0E76-4DE1-B2C5-7D35F7DBFB22}"/>
    <cellStyle name="Normal 7 7 9" xfId="1515" xr:uid="{82D2F81B-A503-4930-A199-76F2576C08BC}"/>
    <cellStyle name="Normal 7 8" xfId="1516" xr:uid="{B4993957-BBF5-46AE-89D9-3CC25E19E821}"/>
    <cellStyle name="Normal 7 8 2" xfId="1517" xr:uid="{E47608B3-E365-475C-9C39-B660C8527BA0}"/>
    <cellStyle name="Normal 7 8 2 2" xfId="1518" xr:uid="{ED48FBC3-3616-41DD-AAC4-39CA78743304}"/>
    <cellStyle name="Normal 7 8 2 2 2" xfId="151" xr:uid="{12AD16AB-3061-4A07-AAC7-95D33E5DAEA2}"/>
    <cellStyle name="Normal 7 8 2 2 3" xfId="155" xr:uid="{06ABB4F9-7B38-40E1-9CA5-982B2203155B}"/>
    <cellStyle name="Normal 7 8 2 3" xfId="1519" xr:uid="{3AB88DE6-4BB7-4080-BF59-B5D924B267CE}"/>
    <cellStyle name="Normal 7 8 2 4" xfId="1520" xr:uid="{76AE064E-140C-4761-B1FA-8F421ABEEFD5}"/>
    <cellStyle name="Normal 7 8 2 5" xfId="1521" xr:uid="{8FB92422-1B50-4918-B8DB-0415BE8200C0}"/>
    <cellStyle name="Normal 7 8 2 6" xfId="1522" xr:uid="{80D3F486-98E1-4B2C-9E70-CD96981CEF8E}"/>
    <cellStyle name="Normal 7 8 3" xfId="1523" xr:uid="{19801DF5-BC03-4295-A5FC-9D2BFF9941C4}"/>
    <cellStyle name="Normal 7 8 3 2" xfId="1524" xr:uid="{A46613BC-4F87-480C-99EE-F31CA027FAE7}"/>
    <cellStyle name="Normal 7 8 3 2 2" xfId="1525" xr:uid="{D3323569-57A1-42B9-8F3A-BBC7A3780560}"/>
    <cellStyle name="Normal 7 8 3 2 3" xfId="1526" xr:uid="{2D3D2357-514D-4A86-9D29-63153EF62BF1}"/>
    <cellStyle name="Normal 7 8 3 3" xfId="1527" xr:uid="{F1DBB61A-F7A1-42DA-9050-E200370E0520}"/>
    <cellStyle name="Normal 7 8 3 4" xfId="1528" xr:uid="{DA1FAE29-53AC-4AF6-9C63-1C7F630E6760}"/>
    <cellStyle name="Normal 7 8 3 5" xfId="1530" xr:uid="{80DCCFFF-C826-45E9-80EF-31FE5091DDE0}"/>
    <cellStyle name="Normal 7 8 3 6" xfId="1531" xr:uid="{CA3AA3E6-FEEA-457C-9952-0C75C063E3A9}"/>
    <cellStyle name="Normal 7 8 4" xfId="1532" xr:uid="{5FE57A5D-5236-4044-AE2B-9E8662A5A9ED}"/>
    <cellStyle name="Normal 7 8 4 2" xfId="797" xr:uid="{7DAAD8C9-15C6-4FE0-9A99-402FD298FDB3}"/>
    <cellStyle name="Normal 7 8 4 3" xfId="1533" xr:uid="{8D073A91-BD3E-4AB9-AD93-3D4BF5BDA91C}"/>
    <cellStyle name="Normal 7 8 5" xfId="129" xr:uid="{A9E86CB1-685D-4E5C-A0E4-8E43F40E3973}"/>
    <cellStyle name="Normal 7 8 5 2" xfId="1534" xr:uid="{DD147622-0975-4FD0-B18E-CA764CBF4066}"/>
    <cellStyle name="Normal 7 8 5 3" xfId="1535" xr:uid="{69D22AE2-B322-493F-9FF7-6FE9B55027AF}"/>
    <cellStyle name="Normal 7 8 6" xfId="133" xr:uid="{94DE0D6E-1ECB-45F6-A2D3-9551144B0174}"/>
    <cellStyle name="Normal 7 8 7" xfId="1536" xr:uid="{9623D34E-45EF-4040-AF53-895553AB9638}"/>
    <cellStyle name="Normal 7 8 8" xfId="1538" xr:uid="{B2B388FB-B1FE-4F45-8F2C-5E638A309A2D}"/>
    <cellStyle name="Normal 7 8 9" xfId="1540" xr:uid="{3137F759-0FE6-4C8A-BE8C-AFC321919259}"/>
    <cellStyle name="Normal 7 9" xfId="1541" xr:uid="{2A0789E0-0BC5-41E2-BFDB-ED44C5E6744C}"/>
    <cellStyle name="Normal 7 9 2" xfId="1542" xr:uid="{1D45CF85-31BD-4D32-A347-34C273302B8B}"/>
    <cellStyle name="Normal 7 9 2 2" xfId="434" xr:uid="{6CD07FAF-832E-43A0-AF32-6A13B2FDFF70}"/>
    <cellStyle name="Normal 7 9 2 2 2" xfId="1543" xr:uid="{F92EAD7A-58CE-4882-BBD1-C1C0F1450DD3}"/>
    <cellStyle name="Normal 7 9 2 2 3" xfId="16" xr:uid="{085CF51C-3BA9-4DA2-BF4D-6C09548D1CE6}"/>
    <cellStyle name="Normal 7 9 2 3" xfId="437" xr:uid="{0A097A14-43BE-4E0F-B2C2-207BCF4B9EAB}"/>
    <cellStyle name="Normal 7 9 2 4" xfId="1082" xr:uid="{BF09440D-3E3A-4801-814B-73AC9B580831}"/>
    <cellStyle name="Normal 7 9 2 5" xfId="1544" xr:uid="{5FB06605-0DA8-4DD7-8736-1FCD7DE13999}"/>
    <cellStyle name="Normal 7 9 2 6" xfId="1545" xr:uid="{944D5159-82E3-4830-A12C-3DCB69C73C95}"/>
    <cellStyle name="Normal 7 9 3" xfId="1546" xr:uid="{241905B6-3948-4622-A4C1-75D446A718AB}"/>
    <cellStyle name="Normal 7 9 3 2" xfId="1094" xr:uid="{9CB69CAA-5AC0-4B61-ACC4-F9B17AA44221}"/>
    <cellStyle name="Normal 7 9 3 3" xfId="1097" xr:uid="{6786CC28-BE27-4A12-8110-DD717DF633FC}"/>
    <cellStyle name="Normal 7 9 4" xfId="1547" xr:uid="{CA61581A-C1F0-4EF5-8BAE-65342156CD89}"/>
    <cellStyle name="Normal 7 9 4 2" xfId="1109" xr:uid="{5189BAC8-A557-4AFF-BED6-88EF75715C7C}"/>
    <cellStyle name="Normal 7 9 4 3" xfId="1111" xr:uid="{763F5E0D-F880-4A74-A133-678944980BAD}"/>
    <cellStyle name="Normal 7 9 5" xfId="1086" xr:uid="{A9048F06-2712-49D9-BA5A-32BFF7E458C7}"/>
    <cellStyle name="Normal 7 9 6" xfId="1088" xr:uid="{C2C4AE18-A922-4855-9C9C-7A2BD53B3259}"/>
    <cellStyle name="Normal 7 9 7" xfId="1548" xr:uid="{34372AFE-1B18-49D2-8665-C154FFD59217}"/>
    <cellStyle name="Normal 7 9 8" xfId="69" xr:uid="{E19D4898-4DBC-42DF-AFAB-912A44E7235E}"/>
    <cellStyle name="Normal 8" xfId="1549" xr:uid="{A013ACF0-A35C-4787-AE82-9693BE3C3148}"/>
    <cellStyle name="Normal 8 10" xfId="1550" xr:uid="{288E2924-4B31-4A00-B01B-F853960B29B7}"/>
    <cellStyle name="Normal 8 2" xfId="1551" xr:uid="{1915377E-E9AC-423E-B998-870601F24917}"/>
    <cellStyle name="Normal 8 2 2" xfId="1552" xr:uid="{A2EE68D3-CE27-4317-91BA-DBE18E420FA3}"/>
    <cellStyle name="Normal 8 2 2 2" xfId="1537" xr:uid="{6E54DA5F-E8D6-43AD-9CB0-26F609A5CD0F}"/>
    <cellStyle name="Normal 8 2 2 3" xfId="1539" xr:uid="{A34B57AA-63B7-4CE8-BC32-E68FADFAA0E8}"/>
    <cellStyle name="Normal 8 2 3" xfId="1553" xr:uid="{ABF1B719-BC31-44EF-AC9C-549B61998109}"/>
    <cellStyle name="Normal 8 2 4" xfId="1554" xr:uid="{EFA8FD41-2748-47F9-878B-A8CAC367C90A}"/>
    <cellStyle name="Normal 8 2 5" xfId="1555" xr:uid="{44ECE7F8-2BB7-4F66-9D11-FA7F957FB333}"/>
    <cellStyle name="Normal 8 2 6" xfId="1556" xr:uid="{95EBA7E2-FE43-4E9F-A678-5C9F5BEA9E38}"/>
    <cellStyle name="Normal 8 3" xfId="1557" xr:uid="{2B212C6E-FB28-4176-8729-399B0D6D6CB6}"/>
    <cellStyle name="Normal 8 3 2" xfId="1558" xr:uid="{1F59A8D2-E7FF-4B39-993A-2DEBB286F10D}"/>
    <cellStyle name="Normal 8 3 2 2" xfId="1283" xr:uid="{3B7833CC-3FDF-4050-9C6C-51A6FE502094}"/>
    <cellStyle name="Normal 8 3 2 3" xfId="1285" xr:uid="{B1BF8800-36AB-40D0-8E25-2BC2B35555A8}"/>
    <cellStyle name="Normal 8 3 3" xfId="1559" xr:uid="{E09D00B1-7C7B-42E3-9F08-81D056C38DC9}"/>
    <cellStyle name="Normal 8 3 4" xfId="1560" xr:uid="{383AB75C-DF28-4EDD-B007-09E04714ADD5}"/>
    <cellStyle name="Normal 8 3 5" xfId="1561" xr:uid="{89F6F4F7-64D0-4702-9A99-EE04C554F3F8}"/>
    <cellStyle name="Normal 8 3 6" xfId="1562" xr:uid="{A00A3433-823A-477A-B6F8-40DAE84A48D1}"/>
    <cellStyle name="Normal 8 4" xfId="1563" xr:uid="{AD45E2C1-48D4-40A7-B8EA-CF74C177531E}"/>
    <cellStyle name="Normal 8 4 2" xfId="1564" xr:uid="{3D049F13-AF45-4CD8-BBD3-606995A136A5}"/>
    <cellStyle name="Normal 8 4 3" xfId="1565" xr:uid="{8C063F1C-471E-48FD-AC46-E89B3C1944D7}"/>
    <cellStyle name="Normal 8 5" xfId="516" xr:uid="{2D6CF1E2-B6AE-45EE-A2B7-969F55AB7B93}"/>
    <cellStyle name="Normal 8 5 10" xfId="1566" xr:uid="{85BA51CA-047F-43DD-9E57-5E050F104572}"/>
    <cellStyle name="Normal 8 5 2" xfId="1567" xr:uid="{D4E76035-6CA7-40BB-B9D4-8F324CCDF4EF}"/>
    <cellStyle name="Normal 8 5 2 2" xfId="1568" xr:uid="{45985165-41AB-4150-8DE5-FA16874197B9}"/>
    <cellStyle name="Normal 8 5 2 2 2" xfId="893" xr:uid="{78624780-E5B4-445B-B990-72A6B542160D}"/>
    <cellStyle name="Normal 8 5 2 2 2 2" xfId="1569" xr:uid="{76E01972-E439-48A2-AC3A-1E723E7B29CC}"/>
    <cellStyle name="Normal 8 5 2 2 2 3" xfId="1570" xr:uid="{52CEFD27-18C7-4DE8-80AD-99EBDE335BC3}"/>
    <cellStyle name="Normal 8 5 2 2 3" xfId="895" xr:uid="{7B3F3049-8A39-400D-A7CD-E6128565FC87}"/>
    <cellStyle name="Normal 8 5 2 2 4" xfId="897" xr:uid="{ED877DF2-2954-44FD-9D6D-F06DA16B50A8}"/>
    <cellStyle name="Normal 8 5 2 2 5" xfId="899" xr:uid="{3CE66285-801B-47F6-86E2-A31E66F08ADC}"/>
    <cellStyle name="Normal 8 5 2 2 6" xfId="901" xr:uid="{F2794BC5-DED1-4166-85FA-D7997132167E}"/>
    <cellStyle name="Normal 8 5 2 3" xfId="1571" xr:uid="{63CC338B-369C-4CA3-BFBF-D95CEB862C5D}"/>
    <cellStyle name="Normal 8 5 2 3 2" xfId="907" xr:uid="{BAA4BE63-FD8D-46FE-BABF-65EEB969FD68}"/>
    <cellStyle name="Normal 8 5 2 3 2 2" xfId="578" xr:uid="{62F0B681-0249-48DE-8EE6-137AEDA99FF8}"/>
    <cellStyle name="Normal 8 5 2 3 2 3" xfId="581" xr:uid="{1B68C7CB-AF8F-4ED6-B874-75EC91EB4B92}"/>
    <cellStyle name="Normal 8 5 2 3 3" xfId="909" xr:uid="{7F8021B7-EC65-4442-82C3-7FB4FA5A0E9E}"/>
    <cellStyle name="Normal 8 5 2 3 4" xfId="1572" xr:uid="{5ADBBB48-161C-42D7-AA9F-3A782F82C591}"/>
    <cellStyle name="Normal 8 5 2 3 5" xfId="1573" xr:uid="{6A44A7DA-CFF9-4726-9CD4-B4265E764613}"/>
    <cellStyle name="Normal 8 5 2 3 6" xfId="1574" xr:uid="{B5D7709F-7DD9-492B-AA80-48447B5C3A75}"/>
    <cellStyle name="Normal 8 5 2 4" xfId="1575" xr:uid="{77FFA073-880B-4F6B-9435-BA68991E03E3}"/>
    <cellStyle name="Normal 8 5 2 4 2" xfId="1576" xr:uid="{979893C9-2F1D-4C28-936F-CD0CE76D0795}"/>
    <cellStyle name="Normal 8 5 2 4 3" xfId="1577" xr:uid="{49DC3931-0EEA-46A7-9DA5-F543BD14604C}"/>
    <cellStyle name="Normal 8 5 2 5" xfId="1578" xr:uid="{B94AE966-3A51-422C-82FC-21D217756171}"/>
    <cellStyle name="Normal 8 5 2 5 2" xfId="1579" xr:uid="{751B2F99-EDFE-4B96-803B-D3CB5AE93B3F}"/>
    <cellStyle name="Normal 8 5 2 5 3" xfId="1580" xr:uid="{72DD5DC6-CE40-46C4-B2DB-F0C856E6B8B2}"/>
    <cellStyle name="Normal 8 5 2 6" xfId="1581" xr:uid="{A3651169-5904-4295-8578-4D2D65006FAB}"/>
    <cellStyle name="Normal 8 5 2 7" xfId="42" xr:uid="{007468B2-ACA9-44B9-9F59-36A671B1DC51}"/>
    <cellStyle name="Normal 8 5 2 8" xfId="1582" xr:uid="{CA66FF5C-40D0-49F6-9F91-CB8C5E819636}"/>
    <cellStyle name="Normal 8 5 2 9" xfId="1583" xr:uid="{0132D703-D1EC-4241-8607-A3E32964724D}"/>
    <cellStyle name="Normal 8 5 3" xfId="1584" xr:uid="{BA8FE439-4A28-4974-AE73-79A7EE38FC7B}"/>
    <cellStyle name="Normal 8 5 3 2" xfId="1585" xr:uid="{D95E9F95-3379-446C-B570-535B9A9B9843}"/>
    <cellStyle name="Normal 8 5 3 2 2" xfId="1586" xr:uid="{DA000736-585E-4A4A-BE6A-57D3AE1F5C11}"/>
    <cellStyle name="Normal 8 5 3 2 3" xfId="1587" xr:uid="{F4E23378-4C7E-494E-B942-698497B2C71E}"/>
    <cellStyle name="Normal 8 5 3 3" xfId="1588" xr:uid="{05B1739F-73B2-456D-876B-CBCEE5AFD565}"/>
    <cellStyle name="Normal 8 5 3 4" xfId="1589" xr:uid="{72332A72-F489-4943-8520-DD09DEE7B196}"/>
    <cellStyle name="Normal 8 5 3 5" xfId="1590" xr:uid="{F728CDD9-5817-477D-934B-9EA0BD3E610D}"/>
    <cellStyle name="Normal 8 5 3 6" xfId="1591" xr:uid="{201E7D53-CA39-49E1-ADCD-E5EFC75688BB}"/>
    <cellStyle name="Normal 8 5 4" xfId="1592" xr:uid="{C2C716D6-FDEC-4B0E-AFD3-F4B59FA17054}"/>
    <cellStyle name="Normal 8 5 4 2" xfId="1593" xr:uid="{712BC538-163D-457F-BDAB-289CA81F8D54}"/>
    <cellStyle name="Normal 8 5 4 2 2" xfId="1594" xr:uid="{8C62B89B-CCE5-4258-9F26-BAFD61E7FF77}"/>
    <cellStyle name="Normal 8 5 4 2 3" xfId="1595" xr:uid="{6F2804B2-9CE5-4B63-9D26-68FB1D9BDBBD}"/>
    <cellStyle name="Normal 8 5 4 3" xfId="1596" xr:uid="{373264AC-7BAE-475F-9F07-064FCE58B31C}"/>
    <cellStyle name="Normal 8 5 4 4" xfId="1597" xr:uid="{0C1EA565-C15B-4426-8C34-7EAB7BC7B789}"/>
    <cellStyle name="Normal 8 5 4 5" xfId="1598" xr:uid="{8E854F14-9430-4787-83FC-3894D6535CEA}"/>
    <cellStyle name="Normal 8 5 4 6" xfId="1599" xr:uid="{347B8547-110F-4D83-A6E6-2D9350C5CA36}"/>
    <cellStyle name="Normal 8 5 5" xfId="1601" xr:uid="{4CFB2AC5-D6FD-40E0-8480-B97A808A7C5A}"/>
    <cellStyle name="Normal 8 5 5 2" xfId="1602" xr:uid="{94FDC6AC-9EF1-4355-A34C-13E0CD0D95B1}"/>
    <cellStyle name="Normal 8 5 5 3" xfId="1603" xr:uid="{E3768683-19AA-4119-A8C5-FE19F5B46941}"/>
    <cellStyle name="Normal 8 5 6" xfId="1604" xr:uid="{BC44291E-18C0-4944-8E9A-2F923FBCD144}"/>
    <cellStyle name="Normal 8 5 6 2" xfId="1605" xr:uid="{44235B3F-A543-48C5-AFC0-558CF24B5FBD}"/>
    <cellStyle name="Normal 8 5 6 3" xfId="1606" xr:uid="{25ECC19E-A989-48A4-97A0-92D6AAB5E7B4}"/>
    <cellStyle name="Normal 8 5 7" xfId="1607" xr:uid="{6B8B930C-7D3C-492E-97AA-101B95EC2469}"/>
    <cellStyle name="Normal 8 5 8" xfId="1608" xr:uid="{661946EF-688C-4D2A-8009-3ECF48BAC8AC}"/>
    <cellStyle name="Normal 8 5 9" xfId="532" xr:uid="{CBFB1A61-C15E-4013-8E3B-0BB4A9319253}"/>
    <cellStyle name="Normal 8 6" xfId="332" xr:uid="{5493ED22-A713-449A-9BE7-8FCEF7306943}"/>
    <cellStyle name="Normal 8 6 2" xfId="1609" xr:uid="{8A0E8389-9466-4495-BA04-A7FAE60E762F}"/>
    <cellStyle name="Normal 8 6 3" xfId="65" xr:uid="{94AA0969-F416-4A37-B723-EEE23ECDC52D}"/>
    <cellStyle name="Normal 8 7" xfId="1465" xr:uid="{3D12750D-F017-4840-B47E-DF7B6497B7FD}"/>
    <cellStyle name="Normal 8 8" xfId="1467" xr:uid="{AA54EE7D-334B-4063-A964-B1537DBC3166}"/>
    <cellStyle name="Normal 8 9" xfId="1610" xr:uid="{80500075-AF21-4D2F-A38A-63E71E595DE7}"/>
    <cellStyle name="Normal 9" xfId="1611" xr:uid="{8F7DB2DE-E96E-4FFE-ADAB-1574828A68CE}"/>
    <cellStyle name="Normal 9 2" xfId="21" xr:uid="{2563830F-7EEE-4AFE-9136-3C408492757F}"/>
    <cellStyle name="Normal 9 2 2" xfId="1613" xr:uid="{38EC5A15-62BC-4EC8-BE46-1B0ED66E26FD}"/>
    <cellStyle name="Normal 9 2 2 2" xfId="1614" xr:uid="{986E4B16-B03C-4C34-8BD3-E972DDBE089A}"/>
    <cellStyle name="Normal 9 2 2 3" xfId="1615" xr:uid="{69D8F193-426E-407C-B96D-2B7CF9AE08F9}"/>
    <cellStyle name="Normal 9 2 3" xfId="1616" xr:uid="{205159F2-2690-4071-BC87-B85BECB7CE97}"/>
    <cellStyle name="Normal 9 2 4" xfId="1617" xr:uid="{D82ED841-9941-44B8-83FA-D10B400987B7}"/>
    <cellStyle name="Normal 9 2 5" xfId="1618" xr:uid="{CA4FD8F7-58F9-4BA3-8864-0C76CF53FD5B}"/>
    <cellStyle name="Normal 9 2 6" xfId="1619" xr:uid="{6F694E7E-F787-4841-A4FE-1385E7F64334}"/>
    <cellStyle name="Normal 9 3" xfId="1620" xr:uid="{4D190E37-3000-4DB1-896B-C9DCAA3F1C57}"/>
    <cellStyle name="Normal 9 3 2" xfId="1621" xr:uid="{898E9776-22F0-4424-BBB5-0BCE5A753B02}"/>
    <cellStyle name="Normal 9 3 2 2" xfId="1340" xr:uid="{B4158B88-BC4A-408B-88C3-4C4414A3CF56}"/>
    <cellStyle name="Normal 9 3 2 3" xfId="1344" xr:uid="{5372B19C-1013-415A-8884-0AB38578B777}"/>
    <cellStyle name="Normal 9 3 3" xfId="1622" xr:uid="{0793C99B-19F2-4F6C-BA4C-1053A494B52E}"/>
    <cellStyle name="Normal 9 3 4" xfId="1623" xr:uid="{79BDE7AF-3445-4F0B-A05D-D1F46C92E7EC}"/>
    <cellStyle name="Normal 9 3 5" xfId="1624" xr:uid="{79BCA767-BDF5-4221-A64A-E1BA01051CD3}"/>
    <cellStyle name="Normal 9 3 6" xfId="1625" xr:uid="{A0F66DE2-CA27-4247-AA1B-CE96651F18E7}"/>
    <cellStyle name="Normal 9 4" xfId="1626" xr:uid="{70E65F4D-8279-494F-8B88-B8B9C4874D3A}"/>
    <cellStyle name="Normal 9 4 2" xfId="1627" xr:uid="{9AE54530-9CD9-434D-A09E-94816B556C65}"/>
    <cellStyle name="Normal 9 4 3" xfId="1628" xr:uid="{BDC56575-79C8-47E1-8780-E8AB7C51FEF3}"/>
    <cellStyle name="Normal 9 5" xfId="1629" xr:uid="{F193CA4F-264C-4C98-ABDE-2E68E282593C}"/>
    <cellStyle name="Normal 9 5 2" xfId="1630" xr:uid="{E51ECE4E-7F63-4B91-A1F3-6A6A93D7A957}"/>
    <cellStyle name="Normal 9 5 3" xfId="1631" xr:uid="{17A6DB97-E1F2-412E-B09C-4D2594A67CEA}"/>
    <cellStyle name="Normal 9 6" xfId="1632" xr:uid="{20F2197C-00EE-4294-825F-591C308A0CFF}"/>
    <cellStyle name="Normal 9 7" xfId="1633" xr:uid="{00DF3C07-CAE9-4715-8894-550A887ACF77}"/>
    <cellStyle name="Normal 9 8" xfId="1634" xr:uid="{94FD3881-7392-45FF-9D39-DA3E46960F3E}"/>
    <cellStyle name="Normal 9 9" xfId="1635" xr:uid="{F81D419D-F1AF-4078-B7E5-0450133CFFE5}"/>
    <cellStyle name="Note 2" xfId="1636" xr:uid="{9F9A734E-6933-4DBC-B41F-57EB1C9CA8D3}"/>
    <cellStyle name="Note 2 10" xfId="1637" xr:uid="{2AD4A263-F9A0-42E1-8067-C261420178F2}"/>
    <cellStyle name="Note 2 2" xfId="1638" xr:uid="{A04D59E6-738B-4CDD-B58C-2C1F5A2A95FE}"/>
    <cellStyle name="Note 2 2 2" xfId="1600" xr:uid="{F0AE3258-E4E1-49D6-B50E-EC74149CC980}"/>
    <cellStyle name="Note 2 2 2 2" xfId="1639" xr:uid="{21B3B6A6-3758-41D6-8730-30D46DC40C31}"/>
    <cellStyle name="Note 2 2 2 2 2" xfId="1640" xr:uid="{3EBA83C9-0A2E-4290-B399-0A035B434227}"/>
    <cellStyle name="Note 2 2 2 2 3" xfId="1641" xr:uid="{7D24758B-6C0C-4AA7-95AC-F6B9DAE562FE}"/>
    <cellStyle name="Note 2 2 2 3" xfId="1642" xr:uid="{42E7F514-BB01-4A33-A238-3FD8D0BB1973}"/>
    <cellStyle name="Note 2 2 2 4" xfId="1643" xr:uid="{E3519832-1A50-4A60-A0C2-AC0DDCA13170}"/>
    <cellStyle name="Note 2 2 2 5" xfId="1644" xr:uid="{D7602500-D2C0-4F4B-8884-A933630E27EC}"/>
    <cellStyle name="Note 2 2 2 6" xfId="1645" xr:uid="{1B052E30-6AD0-434F-841F-CAF4CC62AF48}"/>
    <cellStyle name="Note 2 2 3" xfId="1646" xr:uid="{FCD71885-F971-4F84-ADF9-4D8CED685237}"/>
    <cellStyle name="Note 2 2 3 2" xfId="1647" xr:uid="{DBFD864B-1BA5-4677-8D52-0D981BACDFE1}"/>
    <cellStyle name="Note 2 2 3 2 2" xfId="1648" xr:uid="{B18B4078-52D6-499C-8344-60C37FD4A2B7}"/>
    <cellStyle name="Note 2 2 3 2 3" xfId="1649" xr:uid="{2584D977-EBF8-4958-92A8-0D7E965570F4}"/>
    <cellStyle name="Note 2 2 3 3" xfId="1650" xr:uid="{4E753975-EEB1-4425-AB63-ACCA82B34D33}"/>
    <cellStyle name="Note 2 2 3 4" xfId="1651" xr:uid="{17EF420D-F969-4B79-A533-A991CCEEAA48}"/>
    <cellStyle name="Note 2 2 3 5" xfId="1652" xr:uid="{D9614849-A87D-46E1-BB59-1FEF58D2F908}"/>
    <cellStyle name="Note 2 2 3 6" xfId="1653" xr:uid="{15524D58-B7FA-4B37-A7FA-ACE51FD40B26}"/>
    <cellStyle name="Note 2 2 4" xfId="1654" xr:uid="{10F8DA00-0F29-4948-A979-60268C4D86A3}"/>
    <cellStyle name="Note 2 2 4 2" xfId="1655" xr:uid="{ADC74C06-B6A7-47E6-BB79-021331A6A789}"/>
    <cellStyle name="Note 2 2 4 3" xfId="1657" xr:uid="{8FB100E6-7496-47B8-A065-52FD16C1D48D}"/>
    <cellStyle name="Note 2 2 5" xfId="1659" xr:uid="{9C84987F-E835-4928-B7E4-E3581064D612}"/>
    <cellStyle name="Note 2 2 5 2" xfId="711" xr:uid="{A09E8DB2-FF4E-4B13-A959-D5F76444D213}"/>
    <cellStyle name="Note 2 2 5 3" xfId="744" xr:uid="{4567C3F4-02E0-4543-B7F6-D55614EDF0DB}"/>
    <cellStyle name="Note 2 2 6" xfId="1660" xr:uid="{0A7F2DAC-5406-4F42-B859-E72C37B2E514}"/>
    <cellStyle name="Note 2 2 7" xfId="1661" xr:uid="{A17D873B-E6F6-4673-8FA5-6723E99670FD}"/>
    <cellStyle name="Note 2 2 8" xfId="1662" xr:uid="{ECE61029-7278-4D8A-8951-485812A11FD5}"/>
    <cellStyle name="Note 2 2 9" xfId="1663" xr:uid="{1F44E469-B748-4A9D-8CD8-89A5C50306EF}"/>
    <cellStyle name="Note 2 3" xfId="1664" xr:uid="{B6BBFE74-0C53-492A-9632-9D1F5F56DAAC}"/>
    <cellStyle name="Note 2 3 2" xfId="1665" xr:uid="{BB2A17A2-2D12-4EB9-8B09-0A00AEB60295}"/>
    <cellStyle name="Note 2 3 2 2" xfId="1666" xr:uid="{72F3C65E-6060-4A98-ADD8-7A9DFC7460CC}"/>
    <cellStyle name="Note 2 3 2 3" xfId="1667" xr:uid="{06FA5342-C59D-4D44-A098-831CA701FCA2}"/>
    <cellStyle name="Note 2 3 3" xfId="1668" xr:uid="{12B58C91-5972-40CE-A1F8-FB4B8774379C}"/>
    <cellStyle name="Note 2 3 4" xfId="1669" xr:uid="{57522793-87AC-4A5C-8F0B-411E98F9E60E}"/>
    <cellStyle name="Note 2 3 5" xfId="1670" xr:uid="{0BEA7399-4EAA-43A4-96C1-CFBA22ECD5BD}"/>
    <cellStyle name="Note 2 3 6" xfId="1671" xr:uid="{B96B15A4-7433-4D57-B080-50F5AD8FAF4E}"/>
    <cellStyle name="Note 2 4" xfId="1672" xr:uid="{D30C1ADB-54FF-42C2-970E-2A32F08908B5}"/>
    <cellStyle name="Note 2 4 2" xfId="1673" xr:uid="{973BFA8E-2959-4394-B4FB-52EF3C477C6F}"/>
    <cellStyle name="Note 2 4 2 2" xfId="1674" xr:uid="{2B9A9392-0738-433E-85C0-B6A012ABA962}"/>
    <cellStyle name="Note 2 4 2 3" xfId="1675" xr:uid="{804576B1-80EB-4B89-BF13-C6AC2CAF7F0A}"/>
    <cellStyle name="Note 2 4 3" xfId="1676" xr:uid="{9CBE7767-E4A8-419C-BF02-26427865300A}"/>
    <cellStyle name="Note 2 4 4" xfId="1677" xr:uid="{F64C9CBC-DF83-457B-BF4B-36FC3F2FFF1C}"/>
    <cellStyle name="Note 2 4 5" xfId="1678" xr:uid="{24BCC9B2-A467-437E-A3D5-2B5BA26E6468}"/>
    <cellStyle name="Note 2 4 6" xfId="1250" xr:uid="{7F4B1731-5005-4DEE-B77A-70ABDE985357}"/>
    <cellStyle name="Note 2 5" xfId="1679" xr:uid="{4C068009-5C6B-496A-A8DD-0E533CC0B757}"/>
    <cellStyle name="Note 2 5 2" xfId="1680" xr:uid="{81A7F8F4-B47F-4C66-8431-26E3D4CF0EDC}"/>
    <cellStyle name="Note 2 5 3" xfId="1681" xr:uid="{4720AABC-743B-444C-910E-F3785B66D602}"/>
    <cellStyle name="Note 2 6" xfId="1682" xr:uid="{C81D4CCF-CF00-4FD1-B35B-267AD837EFAA}"/>
    <cellStyle name="Note 2 6 2" xfId="1683" xr:uid="{BFDBF098-818B-470D-813C-83FB258A751A}"/>
    <cellStyle name="Note 2 6 3" xfId="356" xr:uid="{75F8A87F-75A8-4A2D-952B-5E0B4366D58F}"/>
    <cellStyle name="Note 2 7" xfId="1684" xr:uid="{54B152A0-4A19-4594-BE9A-73A1FC273FE1}"/>
    <cellStyle name="Note 2 8" xfId="1685" xr:uid="{61D33AA0-83C6-4F91-BFF5-76D187CF6C7A}"/>
    <cellStyle name="Note 2 9" xfId="1450" xr:uid="{633F36B9-2B15-4D2D-ADC3-F2204BA15EB0}"/>
    <cellStyle name="Notiz 2" xfId="1686" xr:uid="{D6479BC8-19CF-473B-A93C-7E795E9DAA7C}"/>
    <cellStyle name="Notiz 2 10" xfId="1529" xr:uid="{91F498DB-8D50-4FF6-9662-AF0BABCF2741}"/>
    <cellStyle name="Notiz 2 2" xfId="1687" xr:uid="{E2305D0F-C98B-477A-97E4-267547E5EC54}"/>
    <cellStyle name="Notiz 2 2 2" xfId="1688" xr:uid="{E19B8E88-F1CE-41DA-97D9-5DB650C617DE}"/>
    <cellStyle name="Notiz 2 2 2 2" xfId="1689" xr:uid="{A80D4252-26CD-46B9-A720-EBBCA84606FB}"/>
    <cellStyle name="Notiz 2 2 2 2 2" xfId="1690" xr:uid="{C2A45C59-6115-40EF-9978-9CB42B148DCB}"/>
    <cellStyle name="Notiz 2 2 2 2 3" xfId="1691" xr:uid="{3A9D001C-778C-420F-AE7F-B30C91F75677}"/>
    <cellStyle name="Notiz 2 2 2 3" xfId="1692" xr:uid="{011A2012-C950-4784-AC45-DB54018FF290}"/>
    <cellStyle name="Notiz 2 2 2 4" xfId="1693" xr:uid="{3A810091-20AD-497B-B93B-CCDA686281BF}"/>
    <cellStyle name="Notiz 2 2 2 5" xfId="1694" xr:uid="{F3CAB546-7DBA-4F2A-A983-AFA5E82C7973}"/>
    <cellStyle name="Notiz 2 2 2 6" xfId="1695" xr:uid="{12C693F2-0874-410F-80D2-97D18225FC0D}"/>
    <cellStyle name="Notiz 2 2 3" xfId="1697" xr:uid="{09DD3591-B1E8-4AF1-9AB2-AD57F81F336F}"/>
    <cellStyle name="Notiz 2 2 3 2" xfId="1698" xr:uid="{AA689537-5579-48E0-A6DB-07DF1D0C8566}"/>
    <cellStyle name="Notiz 2 2 3 2 2" xfId="1699" xr:uid="{41A0807C-F61E-4488-B876-40AE4A5E51D3}"/>
    <cellStyle name="Notiz 2 2 3 2 3" xfId="1700" xr:uid="{51422A24-97E0-41A2-979A-00CFCF709BD7}"/>
    <cellStyle name="Notiz 2 2 3 3" xfId="1701" xr:uid="{60D48D94-92E2-4642-A9C0-51E117C13B7F}"/>
    <cellStyle name="Notiz 2 2 3 4" xfId="1702" xr:uid="{3CE4CE78-F1F9-4ACB-A851-E2F0889FA912}"/>
    <cellStyle name="Notiz 2 2 3 5" xfId="1703" xr:uid="{837E4466-9F91-41B3-8A0A-9658E9F0C83F}"/>
    <cellStyle name="Notiz 2 2 3 6" xfId="1704" xr:uid="{A090F415-424D-44BF-9E0E-CD4EED886226}"/>
    <cellStyle name="Notiz 2 2 4" xfId="1706" xr:uid="{610DF253-3021-4D6B-80F7-FB71431BF6C2}"/>
    <cellStyle name="Notiz 2 2 4 2" xfId="1612" xr:uid="{3E6FD0E8-5F55-4A83-9114-0BDE5C0D2147}"/>
    <cellStyle name="Notiz 2 2 4 3" xfId="1220" xr:uid="{77CAA939-576C-4341-87AB-0B21B6D9745F}"/>
    <cellStyle name="Notiz 2 2 5" xfId="1707" xr:uid="{B22AF43D-6579-4B0C-91C3-334EE9D0595C}"/>
    <cellStyle name="Notiz 2 2 5 2" xfId="1708" xr:uid="{78314C04-67FC-4ED6-A1A0-4BB250374B9B}"/>
    <cellStyle name="Notiz 2 2 5 3" xfId="1248" xr:uid="{413D3B87-6FEF-41C7-A9B3-FA9679A05C39}"/>
    <cellStyle name="Notiz 2 2 6" xfId="1709" xr:uid="{FAF97313-7F9A-4C61-A60E-993651D2729D}"/>
    <cellStyle name="Notiz 2 2 7" xfId="866" xr:uid="{350447B3-AD4D-412C-8C2A-9A92126AC94C}"/>
    <cellStyle name="Notiz 2 2 8" xfId="868" xr:uid="{0AE10092-4434-41B7-98D2-3D6D8E243FEA}"/>
    <cellStyle name="Notiz 2 2 9" xfId="1710" xr:uid="{6A48ACA5-3C00-470E-B44C-89C23D68801A}"/>
    <cellStyle name="Notiz 2 3" xfId="1711" xr:uid="{B09B4D48-AFE4-413C-B03A-ED76F7D2AF49}"/>
    <cellStyle name="Notiz 2 3 2" xfId="1712" xr:uid="{BE32EE70-507C-4831-A0C3-E4022A956B7A}"/>
    <cellStyle name="Notiz 2 3 2 2" xfId="1713" xr:uid="{5BB4AA85-34FF-4597-8D64-612F754B3312}"/>
    <cellStyle name="Notiz 2 3 2 3" xfId="1714" xr:uid="{ABA17943-B30F-4885-B984-8DA785946D06}"/>
    <cellStyle name="Notiz 2 3 3" xfId="1715" xr:uid="{65209087-9755-4ABF-82D8-21F04EABE25A}"/>
    <cellStyle name="Notiz 2 3 4" xfId="1716" xr:uid="{A566ED21-F36C-4019-9ED6-A94935E67D68}"/>
    <cellStyle name="Notiz 2 3 5" xfId="1717" xr:uid="{0A90AAD2-1822-48C2-A522-2F232294DDE7}"/>
    <cellStyle name="Notiz 2 3 6" xfId="1718" xr:uid="{45302B7A-EC6A-4377-BDE1-B681D4DEAB1C}"/>
    <cellStyle name="Notiz 2 4" xfId="1719" xr:uid="{CE4265B8-43A7-44D7-B573-72C41A496696}"/>
    <cellStyle name="Notiz 2 4 2" xfId="1721" xr:uid="{87785170-0FC2-41B8-B409-A91731F9A9CF}"/>
    <cellStyle name="Notiz 2 4 2 2" xfId="1722" xr:uid="{39C62D90-2519-410C-A8F0-A114C158D8E1}"/>
    <cellStyle name="Notiz 2 4 2 3" xfId="1723" xr:uid="{46501003-A1C3-434F-AD36-D7A8A202587E}"/>
    <cellStyle name="Notiz 2 4 3" xfId="1724" xr:uid="{87D44F71-2F35-4EC4-B221-E4A566178E15}"/>
    <cellStyle name="Notiz 2 4 4" xfId="1725" xr:uid="{AC34AC48-64F3-4A81-9708-3A1E936636A0}"/>
    <cellStyle name="Notiz 2 4 5" xfId="1726" xr:uid="{CA27452F-002E-41A0-B5BE-FADFE4AD9F03}"/>
    <cellStyle name="Notiz 2 4 6" xfId="1727" xr:uid="{2E1FDDCD-928D-43C5-AA5F-E74C0E34F706}"/>
    <cellStyle name="Notiz 2 5" xfId="1728" xr:uid="{8DBF0903-8906-4E0C-AB63-35D11F802C4E}"/>
    <cellStyle name="Notiz 2 5 2" xfId="1125" xr:uid="{8A94BA6A-198C-4A98-8845-8DD314A609E2}"/>
    <cellStyle name="Notiz 2 5 3" xfId="1127" xr:uid="{6BC35FDB-DD80-41BE-B201-C735E1FE2589}"/>
    <cellStyle name="Notiz 2 6" xfId="1730" xr:uid="{D8088F2C-3BA4-4852-AC5C-21A56A889DB8}"/>
    <cellStyle name="Notiz 2 6 2" xfId="1137" xr:uid="{A0E67407-54C1-4843-B2EF-5E550C429C6E}"/>
    <cellStyle name="Notiz 2 6 3" xfId="1139" xr:uid="{9B8CA17F-1EF7-4632-97F1-38C229320907}"/>
    <cellStyle name="Notiz 2 7" xfId="1731" xr:uid="{269359FB-D0B2-4C8F-B95C-F9DF15208427}"/>
    <cellStyle name="Notiz 2 8" xfId="1732" xr:uid="{3CDD6808-8AAD-43FF-810E-ED37C4A8B87A}"/>
    <cellStyle name="Notiz 2 9" xfId="70" xr:uid="{FF1EE0FB-2979-4A83-B2BC-D90D23491D0F}"/>
    <cellStyle name="Percent 10" xfId="1505" xr:uid="{689A3AD1-C645-426B-BF4E-723A4CED5FE2}"/>
    <cellStyle name="Percent 11" xfId="1507" xr:uid="{536BC46F-1F9C-40C7-BB3A-FEF50840C73E}"/>
    <cellStyle name="Percent 12" xfId="1337" xr:uid="{6A73790F-52CB-4867-88E1-2DB8F5DDD6FE}"/>
    <cellStyle name="Percent 13" xfId="1341" xr:uid="{AD82D5E4-F945-4E14-BCA0-DA246FAE1BF6}"/>
    <cellStyle name="Percent 2" xfId="1733" xr:uid="{82FA4A3F-5721-44C1-8F4C-29CC58D2E8EC}"/>
    <cellStyle name="Percent 2 2" xfId="911" xr:uid="{DF894BC6-AD19-441A-A3E2-D7034C7F6839}"/>
    <cellStyle name="Percent 2 3" xfId="915" xr:uid="{37D21496-763D-4C2E-ABED-BF4DA1E5F456}"/>
    <cellStyle name="Percent 3" xfId="1734" xr:uid="{BFA9D52B-BE99-4A3E-916D-BCD58CD5FD30}"/>
    <cellStyle name="Percent 3 2" xfId="1735" xr:uid="{8341F5C1-7BE3-4713-8865-455BFF72FA41}"/>
    <cellStyle name="Percent 3 3" xfId="1736" xr:uid="{AC42026C-0783-47DA-8BE4-1A4C60667BF1}"/>
    <cellStyle name="Percent 4" xfId="1737" xr:uid="{DEE7BA36-6776-4138-8FFE-422AB671D189}"/>
    <cellStyle name="Percent 4 2" xfId="1738" xr:uid="{EB5FB4C5-BDE9-44FA-BD30-1CE846287547}"/>
    <cellStyle name="Percent 4 2 2" xfId="1739" xr:uid="{73F915C5-4542-4D46-BCBB-1A4B49B4AA76}"/>
    <cellStyle name="Percent 4 2 2 2" xfId="376" xr:uid="{CC5A8DF8-119D-4223-AE7F-BB6DFE56F06C}"/>
    <cellStyle name="Percent 4 2 2 3" xfId="1740" xr:uid="{B3450162-73EB-4D4F-B5DE-EEB428433785}"/>
    <cellStyle name="Percent 4 2 3" xfId="1741" xr:uid="{D021403E-70DD-43C1-985E-B346093C04C0}"/>
    <cellStyle name="Percent 4 2 4" xfId="1742" xr:uid="{8F10CDBC-C102-4A5E-9A3F-7C375E0456EB}"/>
    <cellStyle name="Percent 4 2 5" xfId="614" xr:uid="{AF10BBD5-950A-4D71-B326-17A4A721B52D}"/>
    <cellStyle name="Percent 4 2 6" xfId="616" xr:uid="{DA3B7A4B-C042-4C45-9069-BB6944622344}"/>
    <cellStyle name="Percent 4 3" xfId="1743" xr:uid="{2DEC9FDE-B59F-4725-8DAB-57B953086034}"/>
    <cellStyle name="Percent 4 3 2" xfId="1744" xr:uid="{6DA91325-5D4C-486A-A0B8-78D2373B9B93}"/>
    <cellStyle name="Percent 4 3 3" xfId="1745" xr:uid="{B2D0CDF1-5EBD-455A-9421-25458835D8B6}"/>
    <cellStyle name="Percent 4 4" xfId="1072" xr:uid="{4F0BD6D5-6518-413A-AE15-8B752D4C3D02}"/>
    <cellStyle name="Percent 4 4 2" xfId="1746" xr:uid="{89AA5E95-ECD6-4606-B288-DF75122D9F58}"/>
    <cellStyle name="Percent 4 4 3" xfId="1747" xr:uid="{82815126-2DD2-4719-A066-FC40D00EE315}"/>
    <cellStyle name="Percent 4 5" xfId="1074" xr:uid="{D7896DE6-76B2-490D-9FF9-7AD14D769A17}"/>
    <cellStyle name="Percent 4 6" xfId="299" xr:uid="{D7FB972A-5719-4607-83B1-5878CE9AE92F}"/>
    <cellStyle name="Percent 4 7" xfId="304" xr:uid="{D51CC5DE-4AC2-44D2-9FD0-0431DC644D27}"/>
    <cellStyle name="Percent 4 8" xfId="257" xr:uid="{108217A1-6DCF-4692-8C36-BCD4082FB35C}"/>
    <cellStyle name="Percent 5" xfId="1748" xr:uid="{B7564EE5-1211-475B-AB0E-47C8FB812D55}"/>
    <cellStyle name="Percent 5 2" xfId="1696" xr:uid="{CAEB2E22-F600-44EC-9964-30F9D9DD862A}"/>
    <cellStyle name="Percent 5 2 2" xfId="1749" xr:uid="{2DECD214-B88A-4B03-A766-919F88A5A9C6}"/>
    <cellStyle name="Percent 5 3" xfId="1750" xr:uid="{8D41F205-3EA8-4EF4-8A19-60192C9BA576}"/>
    <cellStyle name="Percent 5 4" xfId="1751" xr:uid="{D3D44443-1A5A-4F53-B111-DBF7A4DA2F11}"/>
    <cellStyle name="Percent 6" xfId="1752" xr:uid="{10BA0E11-C425-45B7-82FB-098BC27EBC4D}"/>
    <cellStyle name="Percent 6 2" xfId="1705" xr:uid="{82233500-F81E-41CD-8167-146D1C6BE675}"/>
    <cellStyle name="Percent 6 2 2" xfId="1753" xr:uid="{D314188E-65A0-4DAA-8FB5-1BF048F1CECE}"/>
    <cellStyle name="Percent 6 2 2 2" xfId="1754" xr:uid="{2E9A930F-E383-426A-A530-728B5E18554B}"/>
    <cellStyle name="Percent 6 2 2 3" xfId="1755" xr:uid="{F1182443-BED5-46E9-8CC5-4270BA39AC55}"/>
    <cellStyle name="Percent 6 2 3" xfId="307" xr:uid="{40154A78-A2E9-4C15-A734-1D57726DE25A}"/>
    <cellStyle name="Percent 6 2 4" xfId="315" xr:uid="{F1CB0AF2-9E64-4936-AD0D-31D90D67B28E}"/>
    <cellStyle name="Percent 6 2 5" xfId="270" xr:uid="{A8E6BA82-D6BF-4A00-A908-3FC3E88D8085}"/>
    <cellStyle name="Percent 6 2 6" xfId="1756" xr:uid="{FEA658DC-2B37-45DB-976F-C1CB249C48A9}"/>
    <cellStyle name="Percent 6 3" xfId="1757" xr:uid="{BB1B4341-1A6D-4A68-AB9C-D111A5BB7174}"/>
    <cellStyle name="Percent 6 3 2" xfId="1758" xr:uid="{A877BAE3-78A6-42D8-8F54-681A9E5C7A62}"/>
    <cellStyle name="Percent 6 3 3" xfId="321" xr:uid="{925DD00E-7864-48EF-BF4D-214E56FBD859}"/>
    <cellStyle name="Percent 6 4" xfId="1760" xr:uid="{7020EEDF-6BC6-4193-93C5-06E0629463B6}"/>
    <cellStyle name="Percent 6 4 2" xfId="1241" xr:uid="{2CECB048-AD39-46C4-AEDA-BAE55BB0BEB5}"/>
    <cellStyle name="Percent 6 4 3" xfId="1244" xr:uid="{9659570D-08D6-4B28-91FC-98BC37726316}"/>
    <cellStyle name="Percent 6 5" xfId="1759" xr:uid="{B152659E-5FF9-4CDD-ABC2-070B8D222BA0}"/>
    <cellStyle name="Percent 6 6" xfId="320" xr:uid="{10512E71-4F82-4762-A9B0-02CC745D2A65}"/>
    <cellStyle name="Percent 6 7" xfId="826" xr:uid="{6E14D411-F594-40B8-9978-DA7E46CCB71F}"/>
    <cellStyle name="Percent 6 8" xfId="1761" xr:uid="{CEE460FD-B701-4AF0-AD3D-B1871D50955E}"/>
    <cellStyle name="Percent 7" xfId="1762" xr:uid="{F8FB4CA7-C761-4A82-8758-7FDB702EA7A0}"/>
    <cellStyle name="Percent 7 2" xfId="1233" xr:uid="{EEEBFCB6-76FD-413A-A135-B7634E8C1531}"/>
    <cellStyle name="Percent 7 2 2" xfId="1235" xr:uid="{7ABD40E8-1760-4D61-BB0E-F41E54145426}"/>
    <cellStyle name="Percent 7 2 3" xfId="864" xr:uid="{2D621D71-B503-48D9-B60E-43474214C199}"/>
    <cellStyle name="Percent 7 3" xfId="1237" xr:uid="{8641395C-50CF-4B91-B8A4-4A8F4B92B6FC}"/>
    <cellStyle name="Percent 7 4" xfId="1239" xr:uid="{56A42857-0DE7-48A4-87BA-825AB5E8645F}"/>
    <cellStyle name="Percent 7 5" xfId="1242" xr:uid="{64F813A8-E083-49BB-AC95-DE300B019FF7}"/>
    <cellStyle name="Percent 7 6" xfId="1245" xr:uid="{B0012672-03DB-4581-9BF7-A9D1869EA331}"/>
    <cellStyle name="Percent 8" xfId="712" xr:uid="{94EA9AFB-1505-481A-829E-E510A7AF2E01}"/>
    <cellStyle name="Percent 8 2" xfId="715" xr:uid="{310688DB-8C68-440C-BE18-2E0C12B9A617}"/>
    <cellStyle name="Percent 8 3" xfId="729" xr:uid="{67FC2785-4596-44F0-98FD-7409F3AAF37E}"/>
    <cellStyle name="Percent 9" xfId="745" xr:uid="{2B95FE34-291C-4C68-A676-09D54FCB481F}"/>
    <cellStyle name="Percent 9 2" xfId="748" xr:uid="{CE232D58-7782-4457-BD59-2D1683E540CA}"/>
    <cellStyle name="Percent 9 3" xfId="762" xr:uid="{47A1DA3E-B119-47BD-BDFE-76C0A54D7D47}"/>
    <cellStyle name="Standard 2" xfId="575" xr:uid="{DD8B624C-5E5D-48A0-859F-5957A74E4D2F}"/>
    <cellStyle name="Standard 2 2" xfId="273" xr:uid="{3EDDE1B4-7D0B-4E6E-8D2E-0EDC09987028}"/>
    <cellStyle name="Standard 2 2 2" xfId="275" xr:uid="{AB6AA677-CF79-4902-BFB0-EF396866C923}"/>
    <cellStyle name="Standard 2 3" xfId="280" xr:uid="{ABAAD74D-6F2B-4321-9C89-8BE4FC13EE7A}"/>
    <cellStyle name="Standard 2 4" xfId="1763" xr:uid="{B9CA459E-7AD3-4AF0-992B-610C3C691087}"/>
    <cellStyle name="Style 1" xfId="1764" xr:uid="{35978580-73B5-40C6-93EA-730C46302958}"/>
    <cellStyle name="Style 1 2" xfId="1134" xr:uid="{72E5FE26-C372-4B90-B70E-28BCD24CF969}"/>
    <cellStyle name="常规 2" xfId="1765" xr:uid="{DADBC50A-D58B-49C6-AA3D-0EE67AC22C3F}"/>
    <cellStyle name="常规 2 2" xfId="1766" xr:uid="{1841772E-422B-4A9B-910F-A2D5875BAB7F}"/>
    <cellStyle name="常规 2 2 2" xfId="1434" xr:uid="{2600F02A-1784-43EA-AC45-5ACD53A4B040}"/>
    <cellStyle name="常规 2 2 3" xfId="1436" xr:uid="{016A7EAB-9E1D-44CA-AD60-EFD27D11131B}"/>
    <cellStyle name="常规 2 3" xfId="1767" xr:uid="{4BFAB030-BE36-4772-9397-51989CB1AECC}"/>
    <cellStyle name="普通 2" xfId="526" xr:uid="{5BEFD096-252D-42DF-AFF1-6ECF62646FF4}"/>
    <cellStyle name="普通 2 10" xfId="1768" xr:uid="{F260383F-DC92-4589-9AD6-0E8092DB2DAD}"/>
    <cellStyle name="普通 2 11" xfId="1656" xr:uid="{376295E9-B268-48B7-A5FA-F56F49CD5808}"/>
    <cellStyle name="普通 2 12" xfId="1658" xr:uid="{03EEA4D2-F9B9-4CD2-B40B-7892DAA5932E}"/>
    <cellStyle name="普通 2 2" xfId="1769" xr:uid="{C5DACD2F-50E4-42AD-A496-26D10C72F443}"/>
    <cellStyle name="普通 2 2 2" xfId="1770" xr:uid="{D92C0B06-1707-4FD7-A054-1D6EEA235BFC}"/>
    <cellStyle name="普通 2 2 2 2" xfId="1771" xr:uid="{A7B157B1-357A-4996-9111-D4D51178F0E9}"/>
    <cellStyle name="普通 2 2 2 2 2" xfId="1772" xr:uid="{8BB37161-22F0-4B29-AE29-D5C561CE95CC}"/>
    <cellStyle name="普通 2 2 2 2 3" xfId="1773" xr:uid="{AA9FCF82-C964-4309-8D7A-90A2571DDBB2}"/>
    <cellStyle name="普通 2 2 2 3" xfId="1774" xr:uid="{DAE754BC-1F66-49A1-A780-44B7D4BFD5D8}"/>
    <cellStyle name="普通 2 2 2 4" xfId="1775" xr:uid="{02CCF0C8-6271-40BE-A54C-9192FA92BE20}"/>
    <cellStyle name="普通 2 2 2 5" xfId="1776" xr:uid="{506E8431-1D21-43B3-ABF0-4A52701B4281}"/>
    <cellStyle name="普通 2 2 2 6" xfId="1165" xr:uid="{593E0A8F-575F-4DFC-B8CF-03E407831646}"/>
    <cellStyle name="普通 2 2 3" xfId="1777" xr:uid="{F7A05708-3752-4510-992D-2D4A909CD847}"/>
    <cellStyle name="普通 2 2 3 2" xfId="1778" xr:uid="{56C4F980-12D4-444E-AAD6-0FEABEC2E90F}"/>
    <cellStyle name="普通 2 2 3 2 2" xfId="1779" xr:uid="{1F2800A8-0EC9-40E4-A4F4-B1157319FC9B}"/>
    <cellStyle name="普通 2 2 3 2 3" xfId="1780" xr:uid="{2A0D2656-4A52-40E9-B18C-7DC01B21FF71}"/>
    <cellStyle name="普通 2 2 3 3" xfId="1781" xr:uid="{B9A03E43-C5D2-4E9A-849F-221A7A8C03EF}"/>
    <cellStyle name="普通 2 2 3 4" xfId="1782" xr:uid="{E57BD1A6-799F-4733-B29D-0D94B5F81777}"/>
    <cellStyle name="普通 2 2 3 5" xfId="12" xr:uid="{B6181513-23DA-4477-9F7D-0C1005CC9B46}"/>
    <cellStyle name="普通 2 2 3 6" xfId="1783" xr:uid="{24EB036D-19A3-4890-B02C-C6432D0CDC73}"/>
    <cellStyle name="普通 2 2 4" xfId="1784" xr:uid="{A33F9193-6F34-494D-8F22-E265CA51B3E0}"/>
    <cellStyle name="普通 2 2 4 2" xfId="1785" xr:uid="{00A369F9-42C8-499F-B14F-27B961B1314C}"/>
    <cellStyle name="普通 2 2 4 3" xfId="1786" xr:uid="{43F0E54F-5C5B-4BDE-850A-9AF0108DF97F}"/>
    <cellStyle name="普通 2 2 5" xfId="1787" xr:uid="{37090AA4-AA18-43FA-B66C-30E47DCD2C63}"/>
    <cellStyle name="普通 2 2 5 2" xfId="1788" xr:uid="{F74FAED8-514C-4716-870A-9CCF7F4B1BFE}"/>
    <cellStyle name="普通 2 2 5 3" xfId="1789" xr:uid="{F9366AF4-6638-4B91-AACE-9C7E30C74692}"/>
    <cellStyle name="普通 2 2 6" xfId="1790" xr:uid="{55FCCB44-C329-4407-BC93-4120DF8B2074}"/>
    <cellStyle name="普通 2 2 7" xfId="1791" xr:uid="{8E541F4E-7236-46A2-84F2-742E8DDDB655}"/>
    <cellStyle name="普通 2 2 8" xfId="1792" xr:uid="{E9745832-78E1-4D5C-9FF3-0664ADA9F1B6}"/>
    <cellStyle name="普通 2 2 9" xfId="1793" xr:uid="{02D864DF-F80B-4A57-9EAE-54DF6CF2664E}"/>
    <cellStyle name="普通 2 3" xfId="1794" xr:uid="{52227466-DC3E-42CD-A04F-19A962B2817C}"/>
    <cellStyle name="普通 2 3 2" xfId="1795" xr:uid="{925B40A1-7CBF-4D35-B6A4-8F986C705C6F}"/>
    <cellStyle name="普通 2 3 2 2" xfId="1796" xr:uid="{62544571-B45C-48EF-89AB-08753DE9ACA4}"/>
    <cellStyle name="普通 2 3 2 2 2" xfId="1797" xr:uid="{0876CAE2-877C-4FB4-AD7D-923639DE5A9F}"/>
    <cellStyle name="普通 2 3 2 2 3" xfId="1798" xr:uid="{BC08DAB2-DE3F-481A-A3EA-58B7C28DFB93}"/>
    <cellStyle name="普通 2 3 2 3" xfId="1799" xr:uid="{0998122C-B1C0-49B0-BA73-DE26026BA272}"/>
    <cellStyle name="普通 2 3 2 4" xfId="1800" xr:uid="{29F48420-421A-4C80-B73B-398D1DCD5FCD}"/>
    <cellStyle name="普通 2 3 2 5" xfId="1801" xr:uid="{793D9623-0D85-4BB0-A0B1-68DDF4E0279F}"/>
    <cellStyle name="普通 2 3 2 6" xfId="1802" xr:uid="{53C047A1-D487-4FC2-952D-085D540E606E}"/>
    <cellStyle name="普通 2 3 3" xfId="1803" xr:uid="{790D66D5-FD12-4BE4-AE4E-99FEBE8C3C7C}"/>
    <cellStyle name="普通 2 3 3 2" xfId="1720" xr:uid="{444F662F-F614-4B37-8630-08571184B90A}"/>
    <cellStyle name="普通 2 3 3 3" xfId="1729" xr:uid="{B1E06DC7-B78A-4132-A530-9725CB74EC79}"/>
    <cellStyle name="普通 2 3 4" xfId="1804" xr:uid="{A7C81EC4-3028-4E6D-B3AD-C303D9ECBACE}"/>
    <cellStyle name="普通 2 3 4 2" xfId="595" xr:uid="{786D7EC3-E47E-486B-8389-BC33F2C4B4C1}"/>
    <cellStyle name="普通 2 3 4 3" xfId="338" xr:uid="{F8336B86-B421-43FA-AAFF-A08E97DFB2B4}"/>
    <cellStyle name="普通 2 3 5" xfId="1805" xr:uid="{4676C9D6-5324-46B0-87DB-57B70CBF9187}"/>
    <cellStyle name="普通 2 3 6" xfId="1806" xr:uid="{32CF66B2-5073-4FC0-B011-49997DBFD9F5}"/>
    <cellStyle name="普通 2 3 7" xfId="1807" xr:uid="{AD2E70CF-13A1-43D8-8D47-F59705FF3123}"/>
    <cellStyle name="普通 2 3 8" xfId="1808" xr:uid="{E7B3D21B-5882-49B8-AEE5-AE937C5B1771}"/>
    <cellStyle name="普通 2 4" xfId="1809" xr:uid="{E3FCC3CE-C55A-40F8-9996-3F286701D43B}"/>
    <cellStyle name="普通 2 4 2" xfId="1810" xr:uid="{23EB927C-E9FE-4A20-AD3D-49EC6DBB39A3}"/>
    <cellStyle name="普通 2 4 2 2" xfId="1811" xr:uid="{C8F3B05F-85C5-4B3A-9506-E3BB6C051FF0}"/>
    <cellStyle name="普通 2 4 2 3" xfId="1812" xr:uid="{2EB65B11-00BF-487D-9217-9D9A5995A17E}"/>
    <cellStyle name="普通 2 4 3" xfId="1813" xr:uid="{315C7727-DB25-4760-AB1E-1DB9B0A21E2E}"/>
    <cellStyle name="普通 2 4 3 2" xfId="1814" xr:uid="{F9BB13A1-1C3E-4264-8436-641152799EBC}"/>
    <cellStyle name="普通 2 4 3 3" xfId="1815" xr:uid="{C42C7183-214E-4A05-BB56-AAA67FAAB137}"/>
    <cellStyle name="普通 2 4 4" xfId="1816" xr:uid="{60BB2458-D753-454F-843E-5139638EDB2C}"/>
    <cellStyle name="普通 2 4 5" xfId="1817" xr:uid="{8B59B042-8427-4D11-9B0C-77FBB09CD0EA}"/>
    <cellStyle name="普通 2 4 6" xfId="1818" xr:uid="{9F3935A4-DC75-4179-BADF-663E9D31A745}"/>
    <cellStyle name="普通 2 4 7" xfId="1819" xr:uid="{1B5F9E8C-B1DF-41DE-98CD-B0102BBFCE9B}"/>
    <cellStyle name="普通 2 5" xfId="1820" xr:uid="{874F2D4F-EFB7-4940-99E5-5DA00058CB4F}"/>
    <cellStyle name="普通 2 5 2" xfId="1479" xr:uid="{639680AF-1B20-4DD1-9F4C-D58BDE858232}"/>
    <cellStyle name="普通 2 5 2 2" xfId="1481" xr:uid="{AC392981-4555-40CC-B0DD-0C0C577335C1}"/>
    <cellStyle name="普通 2 5 2 3" xfId="1483" xr:uid="{BA1A5AE6-996D-4D94-A387-7E0EA86E7DFA}"/>
    <cellStyle name="普通 2 5 3" xfId="1485" xr:uid="{666E8F5F-DC52-44A1-AF3F-784218594B4F}"/>
    <cellStyle name="普通 2 5 4" xfId="1487" xr:uid="{99DA8111-DA5F-4849-A740-4B1B6DF7D3BD}"/>
    <cellStyle name="普通 2 5 5" xfId="1489" xr:uid="{E36B596C-CB1E-4B0E-B8F7-EED5B0BB01F3}"/>
    <cellStyle name="普通 2 5 6" xfId="1491" xr:uid="{AB75F480-D072-4A38-B44E-7A72F182F374}"/>
    <cellStyle name="普通 2 6" xfId="1821" xr:uid="{F94820E7-9E39-4269-A3CE-10A20C08767D}"/>
    <cellStyle name="普通 2 6 2" xfId="967" xr:uid="{E495CA88-2A4E-4F17-B47E-D5B61D4396F6}"/>
    <cellStyle name="普通 2 6 2 2" xfId="1822" xr:uid="{F1A6C3DA-2A76-4F27-AD80-2BE741D60E43}"/>
    <cellStyle name="普通 2 6 2 3" xfId="1823" xr:uid="{DD87D3EE-EBE0-4A7E-8B8B-1487FFABC112}"/>
    <cellStyle name="普通 2 6 3" xfId="1497" xr:uid="{B6944711-B79D-4D57-9031-21FAECCEFC5A}"/>
    <cellStyle name="普通 2 6 4" xfId="1499" xr:uid="{B94C0C17-8273-48F3-B13A-EAD1EF5981E1}"/>
    <cellStyle name="普通 2 6 5" xfId="1824" xr:uid="{629C5AA1-E595-425F-A413-DD269A7D1387}"/>
    <cellStyle name="普通 2 6 6" xfId="1825" xr:uid="{1F8C7A9B-2257-4F4D-B022-AECB635D6055}"/>
    <cellStyle name="普通 2 7" xfId="1324" xr:uid="{06E9207B-473D-48B1-97C4-610637A31D69}"/>
    <cellStyle name="普通 2 7 2" xfId="974" xr:uid="{387BA628-C6CB-427A-8D02-5DF0B07742F2}"/>
    <cellStyle name="普通 2 7 3" xfId="1329" xr:uid="{DFC756EE-CFAF-468D-A2F6-704444A6ED97}"/>
    <cellStyle name="普通 2 8" xfId="1335" xr:uid="{C0FDBFEA-71A3-4F52-8F77-57DC42ED8EDC}"/>
    <cellStyle name="普通 2 8 2" xfId="1338" xr:uid="{4164D432-A1AD-48E3-930C-6A2F82158855}"/>
    <cellStyle name="普通 2 8 3" xfId="1342" xr:uid="{7D94D08E-D649-4B94-A4EA-517191E3ED7B}"/>
    <cellStyle name="普通 2 9" xfId="1348" xr:uid="{16716B67-2388-415D-9CDD-8E9D602B8C34}"/>
    <cellStyle name="普通 3" xfId="528" xr:uid="{960A9CED-9B79-4942-9251-E205466BFB6D}"/>
    <cellStyle name="普通 3 2" xfId="1826" xr:uid="{73D70BA4-C879-44D0-B3A9-5875F7E05C64}"/>
    <cellStyle name="普通 3 2 2" xfId="1827" xr:uid="{AA9764BE-44A1-462F-936A-7AE122CC7F8A}"/>
    <cellStyle name="普通 3 3" xfId="1828" xr:uid="{383006BC-7B06-4E98-AFCC-943BF4795583}"/>
    <cellStyle name="普通 3 4" xfId="1829" xr:uid="{51856A85-8CAA-476D-AE7B-F01188B85974}"/>
    <cellStyle name="解释性文本 2" xfId="884" xr:uid="{0548C6BC-6625-4921-9D09-E5AA2B773EF6}"/>
    <cellStyle name="解释性文本 2 2" xfId="1830" xr:uid="{742EFB5D-481B-45EA-92BB-1ACDFFF0555E}"/>
    <cellStyle name="解释性文本 2 3" xfId="1831" xr:uid="{A170300F-476A-4BA3-B865-8DB6FA3073B3}"/>
    <cellStyle name="解释性文本 3" xfId="1832" xr:uid="{EE068774-9FBB-454B-9899-316364EC187F}"/>
    <cellStyle name="适中 2" xfId="96" xr:uid="{C334CFE6-696B-4CE8-BA20-808CBFCF74DD}"/>
    <cellStyle name="适中 2 2" xfId="1833" xr:uid="{42A89A85-78F8-4F50-A18D-32A197EB3C20}"/>
    <cellStyle name="适中 2 3" xfId="1834" xr:uid="{DA4AEA5C-FC35-43BD-9F1C-47DB75A8A8B2}"/>
    <cellStyle name="适中 3" xfId="605" xr:uid="{15AD0B24-6489-477A-B3EE-F99D02BE53B0}"/>
  </cellStyles>
  <dxfs count="140">
    <dxf>
      <font>
        <color theme="0"/>
      </font>
    </dxf>
    <dxf>
      <font>
        <color theme="9" tint="0.39994506668294322"/>
      </font>
      <fill>
        <patternFill>
          <bgColor theme="9" tint="0.39994506668294322"/>
        </patternFill>
      </fill>
    </dxf>
    <dxf>
      <font>
        <color rgb="FF1F497D"/>
      </font>
      <fill>
        <patternFill>
          <bgColor rgb="FF1F497D"/>
        </patternFill>
      </fill>
    </dxf>
    <dxf>
      <font>
        <color theme="0"/>
      </font>
    </dxf>
    <dxf>
      <font>
        <color theme="9" tint="0.39994506668294322"/>
      </font>
      <fill>
        <patternFill>
          <bgColor theme="9" tint="0.39994506668294322"/>
        </patternFill>
      </fill>
    </dxf>
    <dxf>
      <font>
        <color rgb="FF1F497D"/>
      </font>
      <fill>
        <patternFill>
          <bgColor rgb="FF1F497D"/>
        </patternFill>
      </fill>
    </dxf>
    <dxf>
      <font>
        <color theme="0"/>
      </font>
    </dxf>
    <dxf>
      <font>
        <color theme="9" tint="0.39994506668294322"/>
      </font>
      <fill>
        <patternFill>
          <bgColor theme="9" tint="0.39994506668294322"/>
        </patternFill>
      </fill>
    </dxf>
    <dxf>
      <font>
        <color rgb="FF1F497D"/>
      </font>
      <fill>
        <patternFill>
          <bgColor rgb="FF1F497D"/>
        </patternFill>
      </fill>
    </dxf>
    <dxf>
      <font>
        <color theme="0"/>
      </font>
    </dxf>
    <dxf>
      <font>
        <color theme="9" tint="0.39994506668294322"/>
      </font>
      <fill>
        <patternFill>
          <bgColor theme="9" tint="0.39994506668294322"/>
        </patternFill>
      </fill>
    </dxf>
    <dxf>
      <font>
        <color rgb="FF1F497D"/>
      </font>
      <fill>
        <patternFill>
          <bgColor rgb="FF1F497D"/>
        </patternFill>
      </fill>
    </dxf>
    <dxf>
      <font>
        <b/>
        <i val="0"/>
        <color theme="0"/>
      </font>
      <fill>
        <patternFill>
          <bgColor rgb="FFFF0000"/>
        </patternFill>
      </fill>
    </dxf>
    <dxf>
      <font>
        <b/>
        <i val="0"/>
        <color theme="0"/>
      </font>
      <fill>
        <patternFill patternType="solid">
          <bgColor rgb="FFFF0000"/>
        </patternFill>
      </fill>
    </dxf>
    <dxf>
      <font>
        <b/>
        <i val="0"/>
        <color theme="1"/>
      </font>
      <fill>
        <patternFill patternType="solid">
          <bgColor rgb="FFFFD347"/>
        </patternFill>
      </fill>
    </dxf>
    <dxf>
      <font>
        <b/>
        <i val="0"/>
        <color theme="1"/>
      </font>
      <fill>
        <patternFill patternType="solid">
          <bgColor rgb="FFFFFF00"/>
        </patternFill>
      </fill>
    </dxf>
    <dxf>
      <font>
        <b/>
        <i val="0"/>
        <color theme="1"/>
      </font>
      <fill>
        <patternFill patternType="solid">
          <bgColor rgb="FF00CC00"/>
        </patternFill>
      </fill>
    </dxf>
    <dxf>
      <font>
        <b/>
        <i val="0"/>
        <color theme="1"/>
      </font>
      <fill>
        <patternFill patternType="solid">
          <bgColor rgb="FF33CC33"/>
        </patternFill>
      </fill>
    </dxf>
    <dxf>
      <font>
        <b/>
        <i val="0"/>
        <color theme="0"/>
      </font>
      <fill>
        <patternFill patternType="solid">
          <bgColor rgb="FFFF0000"/>
        </patternFill>
      </fill>
    </dxf>
    <dxf>
      <font>
        <b/>
        <i val="0"/>
        <color theme="1"/>
      </font>
      <fill>
        <patternFill patternType="solid">
          <bgColor rgb="FFFFD347"/>
        </patternFill>
      </fill>
    </dxf>
    <dxf>
      <font>
        <b/>
        <i val="0"/>
        <color theme="1"/>
      </font>
      <fill>
        <patternFill patternType="solid">
          <bgColor rgb="FFFFFF00"/>
        </patternFill>
      </fill>
    </dxf>
    <dxf>
      <font>
        <b/>
        <i val="0"/>
        <color theme="1"/>
      </font>
      <fill>
        <patternFill patternType="solid">
          <bgColor rgb="FF00CC00"/>
        </patternFill>
      </fill>
    </dxf>
    <dxf>
      <font>
        <b/>
        <i val="0"/>
        <color theme="1"/>
      </font>
      <fill>
        <patternFill patternType="solid">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rgb="FFFFFFFF"/>
      </font>
      <fill>
        <patternFill>
          <bgColor rgb="FFFF0000"/>
        </patternFill>
      </fill>
    </dxf>
    <dxf>
      <font>
        <b/>
        <i val="0"/>
        <color rgb="FF000000"/>
      </font>
      <fill>
        <patternFill>
          <bgColor rgb="FFFFD347"/>
        </patternFill>
      </fill>
    </dxf>
    <dxf>
      <font>
        <b/>
        <i val="0"/>
        <color rgb="FF000000"/>
      </font>
      <fill>
        <patternFill>
          <bgColor rgb="FFFFFF00"/>
        </patternFill>
      </fill>
    </dxf>
    <dxf>
      <font>
        <b/>
        <i val="0"/>
        <color rgb="FF000000"/>
      </font>
      <fill>
        <patternFill>
          <bgColor rgb="FF00CC00"/>
        </patternFill>
      </fill>
    </dxf>
    <dxf>
      <font>
        <b/>
        <i val="0"/>
        <color rgb="FF000000"/>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color theme="0"/>
      </font>
      <fill>
        <patternFill>
          <bgColor rgb="FFFF0000"/>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ill>
        <patternFill>
          <bgColor rgb="FF00CC00"/>
        </patternFill>
      </fill>
    </dxf>
    <dxf>
      <fill>
        <patternFill>
          <bgColor rgb="FF00FF00"/>
        </patternFill>
      </fill>
    </dxf>
    <dxf>
      <fill>
        <patternFill>
          <bgColor rgb="FF00FF00"/>
        </patternFill>
      </fill>
    </dxf>
    <dxf>
      <fill>
        <patternFill>
          <bgColor rgb="FF00FF00"/>
        </patternFill>
      </fill>
    </dxf>
    <dxf>
      <fill>
        <patternFill>
          <bgColor rgb="FF00FF00"/>
        </patternFill>
      </fill>
    </dxf>
    <dxf>
      <fill>
        <patternFill>
          <bgColor rgb="FF00FF00"/>
        </patternFill>
      </fill>
    </dxf>
    <dxf>
      <fill>
        <patternFill>
          <bgColor rgb="FF00FF00"/>
        </patternFill>
      </fill>
    </dxf>
    <dxf>
      <fill>
        <patternFill>
          <bgColor rgb="FF00FF00"/>
        </patternFill>
      </fill>
    </dxf>
    <dxf>
      <fill>
        <patternFill>
          <bgColor rgb="FF00FF00"/>
        </patternFill>
      </fill>
    </dxf>
    <dxf>
      <fill>
        <patternFill>
          <bgColor rgb="FF00FF00"/>
        </patternFill>
      </fill>
    </dxf>
    <dxf>
      <fill>
        <patternFill>
          <bgColor rgb="FF00CC00"/>
        </patternFill>
      </fill>
    </dxf>
    <dxf>
      <fill>
        <patternFill>
          <bgColor rgb="FF00FF00"/>
        </patternFill>
      </fill>
    </dxf>
    <dxf>
      <fill>
        <patternFill>
          <bgColor rgb="FF00FF00"/>
        </patternFill>
      </fill>
    </dxf>
    <dxf>
      <fill>
        <patternFill>
          <bgColor rgb="FF00FF00"/>
        </patternFill>
      </fill>
    </dxf>
    <dxf>
      <fill>
        <patternFill>
          <bgColor rgb="FF00FF00"/>
        </patternFill>
      </fill>
    </dxf>
    <dxf>
      <font>
        <color theme="0"/>
      </font>
      <fill>
        <patternFill>
          <bgColor theme="1" tint="0.34998626667073579"/>
        </patternFill>
      </fill>
    </dxf>
    <dxf>
      <font>
        <color theme="0"/>
      </font>
      <fill>
        <patternFill>
          <bgColor theme="1" tint="0.34998626667073579"/>
        </patternFill>
      </fill>
    </dxf>
    <dxf>
      <font>
        <color auto="1"/>
      </font>
      <fill>
        <patternFill>
          <bgColor rgb="FF00CC00"/>
        </patternFill>
      </fill>
    </dxf>
    <dxf>
      <font>
        <color theme="0"/>
      </font>
      <fill>
        <patternFill>
          <bgColor rgb="FF1F497D"/>
        </patternFill>
      </fill>
    </dxf>
    <dxf>
      <font>
        <color rgb="FFFF0000"/>
      </font>
    </dxf>
    <dxf>
      <font>
        <color rgb="FFFF0000"/>
      </font>
    </dxf>
    <dxf>
      <font>
        <color rgb="FFFF0000"/>
      </font>
    </dxf>
    <dxf>
      <font>
        <color rgb="FFFF0000"/>
      </font>
    </dxf>
    <dxf>
      <font>
        <color rgb="FFFF0000"/>
      </font>
    </dxf>
    <dxf>
      <font>
        <color rgb="FFFF0000"/>
      </font>
    </dxf>
    <dxf>
      <font>
        <color rgb="FFFF0000"/>
      </font>
    </dxf>
  </dxfs>
  <tableStyles count="0" defaultTableStyle="TableStyleMedium2" defaultPivotStyle="PivotStyleLight16"/>
  <colors>
    <mruColors>
      <color rgb="FFFAA61A"/>
      <color rgb="FFE28670"/>
      <color rgb="FFB783BA"/>
      <color rgb="FF6C2C89"/>
      <color rgb="FF007DC6"/>
      <color rgb="FF70C066"/>
      <color rgb="FF13A64F"/>
      <color rgb="FF038050"/>
      <color rgb="FFF15A25"/>
      <color rgb="FF812D1A"/>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26" Type="http://schemas.openxmlformats.org/officeDocument/2006/relationships/worksheet" Target="worksheets/sheet26.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worksheet" Target="worksheets/sheet42.xml"/><Relationship Id="rId47" Type="http://schemas.openxmlformats.org/officeDocument/2006/relationships/worksheet" Target="worksheets/sheet47.xml"/><Relationship Id="rId50" Type="http://schemas.openxmlformats.org/officeDocument/2006/relationships/externalLink" Target="externalLinks/externalLink1.xml"/><Relationship Id="rId55" Type="http://schemas.openxmlformats.org/officeDocument/2006/relationships/pivotCacheDefinition" Target="pivotCache/pivotCacheDefinition3.xml"/><Relationship Id="rId63" Type="http://schemas.openxmlformats.org/officeDocument/2006/relationships/customXml" Target="../customXml/item1.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worksheet" Target="worksheets/sheet45.xml"/><Relationship Id="rId53" Type="http://schemas.openxmlformats.org/officeDocument/2006/relationships/pivotCacheDefinition" Target="pivotCache/pivotCacheDefinition1.xml"/><Relationship Id="rId58" Type="http://schemas.openxmlformats.org/officeDocument/2006/relationships/pivotCacheDefinition" Target="pivotCache/pivotCacheDefinition6.xml"/><Relationship Id="rId5" Type="http://schemas.openxmlformats.org/officeDocument/2006/relationships/worksheet" Target="worksheets/sheet5.xml"/><Relationship Id="rId61" Type="http://schemas.openxmlformats.org/officeDocument/2006/relationships/sharedStrings" Target="sharedStrings.xml"/><Relationship Id="rId19" Type="http://schemas.openxmlformats.org/officeDocument/2006/relationships/worksheet" Target="worksheets/sheet1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worksheet" Target="worksheets/sheet48.xml"/><Relationship Id="rId56" Type="http://schemas.openxmlformats.org/officeDocument/2006/relationships/pivotCacheDefinition" Target="pivotCache/pivotCacheDefinition4.xml"/><Relationship Id="rId64" Type="http://schemas.openxmlformats.org/officeDocument/2006/relationships/customXml" Target="../customXml/item2.xml"/><Relationship Id="rId8" Type="http://schemas.openxmlformats.org/officeDocument/2006/relationships/worksheet" Target="worksheets/sheet8.xml"/><Relationship Id="rId51" Type="http://schemas.openxmlformats.org/officeDocument/2006/relationships/externalLink" Target="externalLinks/externalLink2.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worksheet" Target="worksheets/sheet46.xml"/><Relationship Id="rId59" Type="http://schemas.openxmlformats.org/officeDocument/2006/relationships/theme" Target="theme/theme1.xml"/><Relationship Id="rId20" Type="http://schemas.openxmlformats.org/officeDocument/2006/relationships/worksheet" Target="worksheets/sheet20.xml"/><Relationship Id="rId41" Type="http://schemas.openxmlformats.org/officeDocument/2006/relationships/worksheet" Target="worksheets/sheet41.xml"/><Relationship Id="rId54" Type="http://schemas.openxmlformats.org/officeDocument/2006/relationships/pivotCacheDefinition" Target="pivotCache/pivotCacheDefinition2.xml"/><Relationship Id="rId62"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worksheet" Target="worksheets/sheet49.xml"/><Relationship Id="rId57" Type="http://schemas.openxmlformats.org/officeDocument/2006/relationships/pivotCacheDefinition" Target="pivotCache/pivotCacheDefinition5.xml"/><Relationship Id="rId10" Type="http://schemas.openxmlformats.org/officeDocument/2006/relationships/worksheet" Target="worksheets/sheet10.xml"/><Relationship Id="rId31" Type="http://schemas.openxmlformats.org/officeDocument/2006/relationships/worksheet" Target="worksheets/sheet31.xml"/><Relationship Id="rId44" Type="http://schemas.openxmlformats.org/officeDocument/2006/relationships/worksheet" Target="worksheets/sheet44.xml"/><Relationship Id="rId52" Type="http://schemas.openxmlformats.org/officeDocument/2006/relationships/externalLink" Target="externalLinks/externalLink3.xml"/><Relationship Id="rId60" Type="http://schemas.openxmlformats.org/officeDocument/2006/relationships/styles" Target="styles.xml"/><Relationship Id="rId65" Type="http://schemas.openxmlformats.org/officeDocument/2006/relationships/customXml" Target="../customXml/item3.xml"/><Relationship Id="rId4" Type="http://schemas.openxmlformats.org/officeDocument/2006/relationships/worksheet" Target="worksheets/sheet4.xml"/><Relationship Id="rId9" Type="http://schemas.openxmlformats.org/officeDocument/2006/relationships/worksheet" Target="worksheets/sheet9.xml"/><Relationship Id="rId13" Type="http://schemas.openxmlformats.org/officeDocument/2006/relationships/worksheet" Target="worksheets/sheet13.xml"/><Relationship Id="rId18" Type="http://schemas.openxmlformats.org/officeDocument/2006/relationships/worksheet" Target="worksheets/sheet18.xml"/><Relationship Id="rId39" Type="http://schemas.openxmlformats.org/officeDocument/2006/relationships/worksheet" Target="worksheets/sheet39.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8" Type="http://schemas.openxmlformats.org/officeDocument/2006/relationships/image" Target="../media/image8.png"/><Relationship Id="rId13" Type="http://schemas.openxmlformats.org/officeDocument/2006/relationships/image" Target="../media/image13.png"/><Relationship Id="rId3" Type="http://schemas.openxmlformats.org/officeDocument/2006/relationships/image" Target="../media/image3.png"/><Relationship Id="rId7" Type="http://schemas.openxmlformats.org/officeDocument/2006/relationships/image" Target="../media/image7.png"/><Relationship Id="rId12" Type="http://schemas.openxmlformats.org/officeDocument/2006/relationships/image" Target="../media/image12.png"/><Relationship Id="rId2" Type="http://schemas.openxmlformats.org/officeDocument/2006/relationships/image" Target="../media/image2.png"/><Relationship Id="rId1" Type="http://schemas.openxmlformats.org/officeDocument/2006/relationships/image" Target="../media/image1.png"/><Relationship Id="rId6" Type="http://schemas.openxmlformats.org/officeDocument/2006/relationships/image" Target="../media/image6.png"/><Relationship Id="rId11" Type="http://schemas.openxmlformats.org/officeDocument/2006/relationships/image" Target="../media/image11.png"/><Relationship Id="rId5" Type="http://schemas.openxmlformats.org/officeDocument/2006/relationships/image" Target="../media/image5.png"/><Relationship Id="rId10" Type="http://schemas.openxmlformats.org/officeDocument/2006/relationships/image" Target="../media/image10.png"/><Relationship Id="rId4" Type="http://schemas.openxmlformats.org/officeDocument/2006/relationships/image" Target="../media/image4.png"/><Relationship Id="rId9" Type="http://schemas.openxmlformats.org/officeDocument/2006/relationships/image" Target="../media/image9.png"/></Relationships>
</file>

<file path=xl/drawings/_rels/drawing3.xml.rels><?xml version="1.0" encoding="UTF-8" standalone="yes"?>
<Relationships xmlns="http://schemas.openxmlformats.org/package/2006/relationships"><Relationship Id="rId1" Type="http://schemas.openxmlformats.org/officeDocument/2006/relationships/image" Target="../media/image14.jpeg"/></Relationships>
</file>

<file path=xl/drawings/_rels/drawing4.xml.rels><?xml version="1.0" encoding="UTF-8" standalone="yes"?>
<Relationships xmlns="http://schemas.openxmlformats.org/package/2006/relationships"><Relationship Id="rId1" Type="http://schemas.openxmlformats.org/officeDocument/2006/relationships/image" Target="../media/image15.jpeg"/></Relationships>
</file>

<file path=xl/drawings/_rels/drawing5.xml.rels><?xml version="1.0" encoding="UTF-8" standalone="yes"?>
<Relationships xmlns="http://schemas.openxmlformats.org/package/2006/relationships"><Relationship Id="rId1" Type="http://schemas.openxmlformats.org/officeDocument/2006/relationships/image" Target="../media/image16.emf"/></Relationships>
</file>

<file path=xl/drawings/_rels/vmlDrawing8.vml.rels><?xml version="1.0" encoding="UTF-8" standalone="yes"?>
<Relationships xmlns="http://schemas.openxmlformats.org/package/2006/relationships"><Relationship Id="rId1" Type="http://schemas.openxmlformats.org/officeDocument/2006/relationships/image" Target="../media/image17.emf"/></Relationships>
</file>

<file path=xl/drawings/drawing1.xml><?xml version="1.0" encoding="utf-8"?>
<xdr:wsDr xmlns:xdr="http://schemas.openxmlformats.org/drawingml/2006/spreadsheetDrawing" xmlns:a="http://schemas.openxmlformats.org/drawingml/2006/main">
  <xdr:twoCellAnchor editAs="oneCell">
    <xdr:from>
      <xdr:col>12</xdr:col>
      <xdr:colOff>601890</xdr:colOff>
      <xdr:row>8</xdr:row>
      <xdr:rowOff>17236</xdr:rowOff>
    </xdr:from>
    <xdr:to>
      <xdr:col>17</xdr:col>
      <xdr:colOff>358245</xdr:colOff>
      <xdr:row>18</xdr:row>
      <xdr:rowOff>136774</xdr:rowOff>
    </xdr:to>
    <xdr:pic>
      <xdr:nvPicPr>
        <xdr:cNvPr id="2" name="Picture 1">
          <a:extLst>
            <a:ext uri="{FF2B5EF4-FFF2-40B4-BE49-F238E27FC236}">
              <a16:creationId xmlns:a16="http://schemas.microsoft.com/office/drawing/2014/main" id="{00000000-0008-0000-0100-000002000000}"/>
            </a:ext>
          </a:extLst>
        </xdr:cNvPr>
        <xdr:cNvPicPr>
          <a:picLocks noChangeAspect="1"/>
        </xdr:cNvPicPr>
      </xdr:nvPicPr>
      <xdr:blipFill>
        <a:blip xmlns:r="http://schemas.openxmlformats.org/officeDocument/2006/relationships" r:embed="rId1"/>
        <a:stretch>
          <a:fillRect/>
        </a:stretch>
      </xdr:blipFill>
      <xdr:spPr>
        <a:xfrm>
          <a:off x="11841390" y="1465036"/>
          <a:ext cx="2795465" cy="3071653"/>
        </a:xfrm>
        <a:prstGeom prst="rect">
          <a:avLst/>
        </a:prstGeom>
      </xdr:spPr>
    </xdr:pic>
    <xdr:clientData/>
  </xdr:twoCellAnchor>
  <xdr:twoCellAnchor editAs="oneCell">
    <xdr:from>
      <xdr:col>7</xdr:col>
      <xdr:colOff>18143</xdr:colOff>
      <xdr:row>7</xdr:row>
      <xdr:rowOff>107497</xdr:rowOff>
    </xdr:from>
    <xdr:to>
      <xdr:col>11</xdr:col>
      <xdr:colOff>379743</xdr:colOff>
      <xdr:row>17</xdr:row>
      <xdr:rowOff>212067</xdr:rowOff>
    </xdr:to>
    <xdr:pic>
      <xdr:nvPicPr>
        <xdr:cNvPr id="3" name="Picture 2">
          <a:extLst>
            <a:ext uri="{FF2B5EF4-FFF2-40B4-BE49-F238E27FC236}">
              <a16:creationId xmlns:a16="http://schemas.microsoft.com/office/drawing/2014/main" id="{00000000-0008-0000-0100-000003000000}"/>
            </a:ext>
          </a:extLst>
        </xdr:cNvPr>
        <xdr:cNvPicPr>
          <a:picLocks noChangeAspect="1"/>
        </xdr:cNvPicPr>
      </xdr:nvPicPr>
      <xdr:blipFill>
        <a:blip xmlns:r="http://schemas.openxmlformats.org/officeDocument/2006/relationships" r:embed="rId2"/>
        <a:stretch>
          <a:fillRect/>
        </a:stretch>
      </xdr:blipFill>
      <xdr:spPr>
        <a:xfrm>
          <a:off x="8209643" y="1374322"/>
          <a:ext cx="2800000" cy="3053510"/>
        </a:xfrm>
        <a:prstGeom prst="rect">
          <a:avLst/>
        </a:prstGeom>
      </xdr:spPr>
    </xdr:pic>
    <xdr:clientData/>
  </xdr:twoCellAnchor>
  <xdr:twoCellAnchor editAs="oneCell">
    <xdr:from>
      <xdr:col>6</xdr:col>
      <xdr:colOff>601436</xdr:colOff>
      <xdr:row>25</xdr:row>
      <xdr:rowOff>141514</xdr:rowOff>
    </xdr:from>
    <xdr:to>
      <xdr:col>11</xdr:col>
      <xdr:colOff>322684</xdr:colOff>
      <xdr:row>42</xdr:row>
      <xdr:rowOff>114300</xdr:rowOff>
    </xdr:to>
    <xdr:pic>
      <xdr:nvPicPr>
        <xdr:cNvPr id="4" name="Picture 3">
          <a:extLst>
            <a:ext uri="{FF2B5EF4-FFF2-40B4-BE49-F238E27FC236}">
              <a16:creationId xmlns:a16="http://schemas.microsoft.com/office/drawing/2014/main" id="{00000000-0008-0000-0100-000004000000}"/>
            </a:ext>
          </a:extLst>
        </xdr:cNvPr>
        <xdr:cNvPicPr>
          <a:picLocks noChangeAspect="1"/>
        </xdr:cNvPicPr>
      </xdr:nvPicPr>
      <xdr:blipFill>
        <a:blip xmlns:r="http://schemas.openxmlformats.org/officeDocument/2006/relationships" r:embed="rId3"/>
        <a:stretch>
          <a:fillRect/>
        </a:stretch>
      </xdr:blipFill>
      <xdr:spPr>
        <a:xfrm>
          <a:off x="8183336" y="5246914"/>
          <a:ext cx="2776868" cy="3049361"/>
        </a:xfrm>
        <a:prstGeom prst="rect">
          <a:avLst/>
        </a:prstGeom>
      </xdr:spPr>
    </xdr:pic>
    <xdr:clientData/>
  </xdr:twoCellAnchor>
  <xdr:twoCellAnchor editAs="oneCell">
    <xdr:from>
      <xdr:col>13</xdr:col>
      <xdr:colOff>19957</xdr:colOff>
      <xdr:row>25</xdr:row>
      <xdr:rowOff>268969</xdr:rowOff>
    </xdr:from>
    <xdr:to>
      <xdr:col>17</xdr:col>
      <xdr:colOff>364321</xdr:colOff>
      <xdr:row>42</xdr:row>
      <xdr:rowOff>169704</xdr:rowOff>
    </xdr:to>
    <xdr:pic>
      <xdr:nvPicPr>
        <xdr:cNvPr id="5" name="Picture 4">
          <a:extLst>
            <a:ext uri="{FF2B5EF4-FFF2-40B4-BE49-F238E27FC236}">
              <a16:creationId xmlns:a16="http://schemas.microsoft.com/office/drawing/2014/main" id="{00000000-0008-0000-0100-000005000000}"/>
            </a:ext>
          </a:extLst>
        </xdr:cNvPr>
        <xdr:cNvPicPr>
          <a:picLocks noChangeAspect="1"/>
        </xdr:cNvPicPr>
      </xdr:nvPicPr>
      <xdr:blipFill>
        <a:blip xmlns:r="http://schemas.openxmlformats.org/officeDocument/2006/relationships" r:embed="rId4"/>
        <a:stretch>
          <a:fillRect/>
        </a:stretch>
      </xdr:blipFill>
      <xdr:spPr>
        <a:xfrm>
          <a:off x="22317982" y="5069569"/>
          <a:ext cx="2782764" cy="3063035"/>
        </a:xfrm>
        <a:prstGeom prst="rect">
          <a:avLst/>
        </a:prstGeom>
      </xdr:spPr>
    </xdr:pic>
    <xdr:clientData/>
  </xdr:twoCellAnchor>
  <xdr:twoCellAnchor editAs="oneCell">
    <xdr:from>
      <xdr:col>7</xdr:col>
      <xdr:colOff>0</xdr:colOff>
      <xdr:row>46</xdr:row>
      <xdr:rowOff>1</xdr:rowOff>
    </xdr:from>
    <xdr:to>
      <xdr:col>10</xdr:col>
      <xdr:colOff>112760</xdr:colOff>
      <xdr:row>60</xdr:row>
      <xdr:rowOff>53976</xdr:rowOff>
    </xdr:to>
    <xdr:pic>
      <xdr:nvPicPr>
        <xdr:cNvPr id="6" name="Picture 5">
          <a:extLst>
            <a:ext uri="{FF2B5EF4-FFF2-40B4-BE49-F238E27FC236}">
              <a16:creationId xmlns:a16="http://schemas.microsoft.com/office/drawing/2014/main" id="{00000000-0008-0000-0100-000006000000}"/>
            </a:ext>
          </a:extLst>
        </xdr:cNvPr>
        <xdr:cNvPicPr>
          <a:picLocks noChangeAspect="1"/>
        </xdr:cNvPicPr>
      </xdr:nvPicPr>
      <xdr:blipFill>
        <a:blip xmlns:r="http://schemas.openxmlformats.org/officeDocument/2006/relationships" r:embed="rId5"/>
        <a:stretch>
          <a:fillRect/>
        </a:stretch>
      </xdr:blipFill>
      <xdr:spPr>
        <a:xfrm>
          <a:off x="8210550" y="9207501"/>
          <a:ext cx="1941560" cy="2628900"/>
        </a:xfrm>
        <a:prstGeom prst="rect">
          <a:avLst/>
        </a:prstGeom>
      </xdr:spPr>
    </xdr:pic>
    <xdr:clientData/>
  </xdr:twoCellAnchor>
  <xdr:twoCellAnchor editAs="oneCell">
    <xdr:from>
      <xdr:col>3</xdr:col>
      <xdr:colOff>0</xdr:colOff>
      <xdr:row>47</xdr:row>
      <xdr:rowOff>0</xdr:rowOff>
    </xdr:from>
    <xdr:to>
      <xdr:col>3</xdr:col>
      <xdr:colOff>1828800</xdr:colOff>
      <xdr:row>60</xdr:row>
      <xdr:rowOff>96241</xdr:rowOff>
    </xdr:to>
    <xdr:pic>
      <xdr:nvPicPr>
        <xdr:cNvPr id="7" name="Picture 6">
          <a:extLst>
            <a:ext uri="{FF2B5EF4-FFF2-40B4-BE49-F238E27FC236}">
              <a16:creationId xmlns:a16="http://schemas.microsoft.com/office/drawing/2014/main" id="{00000000-0008-0000-0100-000007000000}"/>
            </a:ext>
          </a:extLst>
        </xdr:cNvPr>
        <xdr:cNvPicPr>
          <a:picLocks noChangeAspect="1"/>
        </xdr:cNvPicPr>
      </xdr:nvPicPr>
      <xdr:blipFill>
        <a:blip xmlns:r="http://schemas.openxmlformats.org/officeDocument/2006/relationships" r:embed="rId6"/>
        <a:stretch>
          <a:fillRect/>
        </a:stretch>
      </xdr:blipFill>
      <xdr:spPr>
        <a:xfrm>
          <a:off x="3168650" y="9391650"/>
          <a:ext cx="1828800" cy="2476221"/>
        </a:xfrm>
        <a:prstGeom prst="rect">
          <a:avLst/>
        </a:prstGeom>
      </xdr:spPr>
    </xdr:pic>
    <xdr:clientData/>
  </xdr:twoCellAnchor>
  <xdr:twoCellAnchor editAs="oneCell">
    <xdr:from>
      <xdr:col>1</xdr:col>
      <xdr:colOff>0</xdr:colOff>
      <xdr:row>46</xdr:row>
      <xdr:rowOff>0</xdr:rowOff>
    </xdr:from>
    <xdr:to>
      <xdr:col>2</xdr:col>
      <xdr:colOff>665480</xdr:colOff>
      <xdr:row>61</xdr:row>
      <xdr:rowOff>881</xdr:rowOff>
    </xdr:to>
    <xdr:pic>
      <xdr:nvPicPr>
        <xdr:cNvPr id="8" name="Picture 7">
          <a:extLst>
            <a:ext uri="{FF2B5EF4-FFF2-40B4-BE49-F238E27FC236}">
              <a16:creationId xmlns:a16="http://schemas.microsoft.com/office/drawing/2014/main" id="{00000000-0008-0000-0100-000008000000}"/>
            </a:ext>
          </a:extLst>
        </xdr:cNvPr>
        <xdr:cNvPicPr>
          <a:picLocks noChangeAspect="1"/>
        </xdr:cNvPicPr>
      </xdr:nvPicPr>
      <xdr:blipFill>
        <a:blip xmlns:r="http://schemas.openxmlformats.org/officeDocument/2006/relationships" r:embed="rId7"/>
        <a:stretch>
          <a:fillRect/>
        </a:stretch>
      </xdr:blipFill>
      <xdr:spPr>
        <a:xfrm>
          <a:off x="590550" y="9207500"/>
          <a:ext cx="2038350" cy="2759956"/>
        </a:xfrm>
        <a:prstGeom prst="rect">
          <a:avLst/>
        </a:prstGeom>
      </xdr:spPr>
    </xdr:pic>
    <xdr:clientData/>
  </xdr:twoCellAnchor>
  <xdr:twoCellAnchor editAs="oneCell">
    <xdr:from>
      <xdr:col>1</xdr:col>
      <xdr:colOff>0</xdr:colOff>
      <xdr:row>65</xdr:row>
      <xdr:rowOff>27972</xdr:rowOff>
    </xdr:from>
    <xdr:to>
      <xdr:col>2</xdr:col>
      <xdr:colOff>685800</xdr:colOff>
      <xdr:row>80</xdr:row>
      <xdr:rowOff>22211</xdr:rowOff>
    </xdr:to>
    <xdr:pic>
      <xdr:nvPicPr>
        <xdr:cNvPr id="9" name="Picture 8">
          <a:extLst>
            <a:ext uri="{FF2B5EF4-FFF2-40B4-BE49-F238E27FC236}">
              <a16:creationId xmlns:a16="http://schemas.microsoft.com/office/drawing/2014/main" id="{00000000-0008-0000-0100-000009000000}"/>
            </a:ext>
          </a:extLst>
        </xdr:cNvPr>
        <xdr:cNvPicPr>
          <a:picLocks noChangeAspect="1"/>
        </xdr:cNvPicPr>
      </xdr:nvPicPr>
      <xdr:blipFill>
        <a:blip xmlns:r="http://schemas.openxmlformats.org/officeDocument/2006/relationships" r:embed="rId8"/>
        <a:stretch>
          <a:fillRect/>
        </a:stretch>
      </xdr:blipFill>
      <xdr:spPr>
        <a:xfrm>
          <a:off x="590550" y="12734322"/>
          <a:ext cx="2044700" cy="2768554"/>
        </a:xfrm>
        <a:prstGeom prst="rect">
          <a:avLst/>
        </a:prstGeom>
      </xdr:spPr>
    </xdr:pic>
    <xdr:clientData/>
  </xdr:twoCellAnchor>
  <xdr:twoCellAnchor editAs="oneCell">
    <xdr:from>
      <xdr:col>3</xdr:col>
      <xdr:colOff>25400</xdr:colOff>
      <xdr:row>65</xdr:row>
      <xdr:rowOff>31750</xdr:rowOff>
    </xdr:from>
    <xdr:to>
      <xdr:col>3</xdr:col>
      <xdr:colOff>1773507</xdr:colOff>
      <xdr:row>78</xdr:row>
      <xdr:rowOff>16827</xdr:rowOff>
    </xdr:to>
    <xdr:pic>
      <xdr:nvPicPr>
        <xdr:cNvPr id="10" name="Picture 9">
          <a:extLst>
            <a:ext uri="{FF2B5EF4-FFF2-40B4-BE49-F238E27FC236}">
              <a16:creationId xmlns:a16="http://schemas.microsoft.com/office/drawing/2014/main" id="{00000000-0008-0000-0100-00000A000000}"/>
            </a:ext>
          </a:extLst>
        </xdr:cNvPr>
        <xdr:cNvPicPr>
          <a:picLocks noChangeAspect="1"/>
        </xdr:cNvPicPr>
      </xdr:nvPicPr>
      <xdr:blipFill>
        <a:blip xmlns:r="http://schemas.openxmlformats.org/officeDocument/2006/relationships" r:embed="rId9"/>
        <a:stretch>
          <a:fillRect/>
        </a:stretch>
      </xdr:blipFill>
      <xdr:spPr>
        <a:xfrm>
          <a:off x="3194050" y="12738100"/>
          <a:ext cx="1748107" cy="2366962"/>
        </a:xfrm>
        <a:prstGeom prst="rect">
          <a:avLst/>
        </a:prstGeom>
      </xdr:spPr>
    </xdr:pic>
    <xdr:clientData/>
  </xdr:twoCellAnchor>
  <xdr:twoCellAnchor editAs="oneCell">
    <xdr:from>
      <xdr:col>5</xdr:col>
      <xdr:colOff>82550</xdr:colOff>
      <xdr:row>64</xdr:row>
      <xdr:rowOff>82284</xdr:rowOff>
    </xdr:from>
    <xdr:to>
      <xdr:col>8</xdr:col>
      <xdr:colOff>152400</xdr:colOff>
      <xdr:row>78</xdr:row>
      <xdr:rowOff>74983</xdr:rowOff>
    </xdr:to>
    <xdr:pic>
      <xdr:nvPicPr>
        <xdr:cNvPr id="11" name="Picture 10">
          <a:extLst>
            <a:ext uri="{FF2B5EF4-FFF2-40B4-BE49-F238E27FC236}">
              <a16:creationId xmlns:a16="http://schemas.microsoft.com/office/drawing/2014/main" id="{00000000-0008-0000-0100-00000B000000}"/>
            </a:ext>
          </a:extLst>
        </xdr:cNvPr>
        <xdr:cNvPicPr>
          <a:picLocks noChangeAspect="1"/>
        </xdr:cNvPicPr>
      </xdr:nvPicPr>
      <xdr:blipFill>
        <a:blip xmlns:r="http://schemas.openxmlformats.org/officeDocument/2006/relationships" r:embed="rId10"/>
        <a:stretch>
          <a:fillRect/>
        </a:stretch>
      </xdr:blipFill>
      <xdr:spPr>
        <a:xfrm>
          <a:off x="7073900" y="12604484"/>
          <a:ext cx="1898650" cy="2570799"/>
        </a:xfrm>
        <a:prstGeom prst="rect">
          <a:avLst/>
        </a:prstGeom>
      </xdr:spPr>
    </xdr:pic>
    <xdr:clientData/>
  </xdr:twoCellAnchor>
  <xdr:twoCellAnchor editAs="oneCell">
    <xdr:from>
      <xdr:col>10</xdr:col>
      <xdr:colOff>0</xdr:colOff>
      <xdr:row>66</xdr:row>
      <xdr:rowOff>0</xdr:rowOff>
    </xdr:from>
    <xdr:to>
      <xdr:col>13</xdr:col>
      <xdr:colOff>38100</xdr:colOff>
      <xdr:row>79</xdr:row>
      <xdr:rowOff>133860</xdr:rowOff>
    </xdr:to>
    <xdr:pic>
      <xdr:nvPicPr>
        <xdr:cNvPr id="12" name="Picture 11">
          <a:extLst>
            <a:ext uri="{FF2B5EF4-FFF2-40B4-BE49-F238E27FC236}">
              <a16:creationId xmlns:a16="http://schemas.microsoft.com/office/drawing/2014/main" id="{00000000-0008-0000-0100-00000C000000}"/>
            </a:ext>
          </a:extLst>
        </xdr:cNvPr>
        <xdr:cNvPicPr>
          <a:picLocks noChangeAspect="1"/>
        </xdr:cNvPicPr>
      </xdr:nvPicPr>
      <xdr:blipFill>
        <a:blip xmlns:r="http://schemas.openxmlformats.org/officeDocument/2006/relationships" r:embed="rId11"/>
        <a:stretch>
          <a:fillRect/>
        </a:stretch>
      </xdr:blipFill>
      <xdr:spPr>
        <a:xfrm>
          <a:off x="10039350" y="12890500"/>
          <a:ext cx="1866900" cy="2527810"/>
        </a:xfrm>
        <a:prstGeom prst="rect">
          <a:avLst/>
        </a:prstGeom>
      </xdr:spPr>
    </xdr:pic>
    <xdr:clientData/>
  </xdr:twoCellAnchor>
  <xdr:twoCellAnchor editAs="oneCell">
    <xdr:from>
      <xdr:col>15</xdr:col>
      <xdr:colOff>245270</xdr:colOff>
      <xdr:row>65</xdr:row>
      <xdr:rowOff>127000</xdr:rowOff>
    </xdr:from>
    <xdr:to>
      <xdr:col>18</xdr:col>
      <xdr:colOff>477193</xdr:colOff>
      <xdr:row>80</xdr:row>
      <xdr:rowOff>136083</xdr:rowOff>
    </xdr:to>
    <xdr:pic>
      <xdr:nvPicPr>
        <xdr:cNvPr id="13" name="Picture 12">
          <a:extLst>
            <a:ext uri="{FF2B5EF4-FFF2-40B4-BE49-F238E27FC236}">
              <a16:creationId xmlns:a16="http://schemas.microsoft.com/office/drawing/2014/main" id="{00000000-0008-0000-0100-00000D000000}"/>
            </a:ext>
          </a:extLst>
        </xdr:cNvPr>
        <xdr:cNvPicPr>
          <a:picLocks noChangeAspect="1"/>
        </xdr:cNvPicPr>
      </xdr:nvPicPr>
      <xdr:blipFill>
        <a:blip xmlns:r="http://schemas.openxmlformats.org/officeDocument/2006/relationships" r:embed="rId12"/>
        <a:stretch>
          <a:fillRect/>
        </a:stretch>
      </xdr:blipFill>
      <xdr:spPr>
        <a:xfrm>
          <a:off x="13332620" y="12833350"/>
          <a:ext cx="2046753" cy="2771333"/>
        </a:xfrm>
        <a:prstGeom prst="rect">
          <a:avLst/>
        </a:prstGeom>
      </xdr:spPr>
    </xdr:pic>
    <xdr:clientData/>
  </xdr:twoCellAnchor>
  <xdr:twoCellAnchor editAs="oneCell">
    <xdr:from>
      <xdr:col>5</xdr:col>
      <xdr:colOff>0</xdr:colOff>
      <xdr:row>85</xdr:row>
      <xdr:rowOff>0</xdr:rowOff>
    </xdr:from>
    <xdr:to>
      <xdr:col>7</xdr:col>
      <xdr:colOff>475469</xdr:colOff>
      <xdr:row>97</xdr:row>
      <xdr:rowOff>96236</xdr:rowOff>
    </xdr:to>
    <xdr:pic>
      <xdr:nvPicPr>
        <xdr:cNvPr id="14" name="Picture 13">
          <a:extLst>
            <a:ext uri="{FF2B5EF4-FFF2-40B4-BE49-F238E27FC236}">
              <a16:creationId xmlns:a16="http://schemas.microsoft.com/office/drawing/2014/main" id="{00000000-0008-0000-0100-00000E000000}"/>
            </a:ext>
          </a:extLst>
        </xdr:cNvPr>
        <xdr:cNvPicPr>
          <a:picLocks noChangeAspect="1"/>
        </xdr:cNvPicPr>
      </xdr:nvPicPr>
      <xdr:blipFill>
        <a:blip xmlns:r="http://schemas.openxmlformats.org/officeDocument/2006/relationships" r:embed="rId13"/>
        <a:stretch>
          <a:fillRect/>
        </a:stretch>
      </xdr:blipFill>
      <xdr:spPr>
        <a:xfrm>
          <a:off x="6991350" y="16389350"/>
          <a:ext cx="1694669" cy="2294606"/>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220980</xdr:colOff>
          <xdr:row>1</xdr:row>
          <xdr:rowOff>175260</xdr:rowOff>
        </xdr:from>
        <xdr:to>
          <xdr:col>0</xdr:col>
          <xdr:colOff>1592580</xdr:colOff>
          <xdr:row>3</xdr:row>
          <xdr:rowOff>114300</xdr:rowOff>
        </xdr:to>
        <xdr:sp macro="" textlink="">
          <xdr:nvSpPr>
            <xdr:cNvPr id="47105" name="Button 1" hidden="1">
              <a:extLst>
                <a:ext uri="{63B3BB69-23CF-44E3-9099-C40C66FF867C}">
                  <a14:compatExt spid="_x0000_s47105"/>
                </a:ext>
                <a:ext uri="{FF2B5EF4-FFF2-40B4-BE49-F238E27FC236}">
                  <a16:creationId xmlns:a16="http://schemas.microsoft.com/office/drawing/2014/main" id="{00000000-0008-0000-0300-000001B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ZA" sz="1100" b="0" i="0" u="none" strike="noStrike" baseline="0">
                  <a:solidFill>
                    <a:srgbClr val="000000"/>
                  </a:solidFill>
                  <a:latin typeface="Calibri"/>
                  <a:cs typeface="Calibri"/>
                </a:rPr>
                <a:t>List all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365760</xdr:colOff>
          <xdr:row>2</xdr:row>
          <xdr:rowOff>60960</xdr:rowOff>
        </xdr:from>
        <xdr:to>
          <xdr:col>10</xdr:col>
          <xdr:colOff>518160</xdr:colOff>
          <xdr:row>3</xdr:row>
          <xdr:rowOff>144780</xdr:rowOff>
        </xdr:to>
        <xdr:sp macro="" textlink="">
          <xdr:nvSpPr>
            <xdr:cNvPr id="47106" name="Button 2" hidden="1">
              <a:extLst>
                <a:ext uri="{63B3BB69-23CF-44E3-9099-C40C66FF867C}">
                  <a14:compatExt spid="_x0000_s47106"/>
                </a:ext>
                <a:ext uri="{FF2B5EF4-FFF2-40B4-BE49-F238E27FC236}">
                  <a16:creationId xmlns:a16="http://schemas.microsoft.com/office/drawing/2014/main" id="{00000000-0008-0000-0300-000002B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ZA" sz="1100" b="0" i="0" u="none" strike="noStrike" baseline="0">
                  <a:solidFill>
                    <a:srgbClr val="000000"/>
                  </a:solidFill>
                  <a:latin typeface="Calibri"/>
                  <a:cs typeface="Calibri"/>
                </a:rPr>
                <a:t>Show all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175260</xdr:colOff>
          <xdr:row>2</xdr:row>
          <xdr:rowOff>38100</xdr:rowOff>
        </xdr:from>
        <xdr:to>
          <xdr:col>1</xdr:col>
          <xdr:colOff>792480</xdr:colOff>
          <xdr:row>3</xdr:row>
          <xdr:rowOff>60960</xdr:rowOff>
        </xdr:to>
        <xdr:sp macro="" textlink="">
          <xdr:nvSpPr>
            <xdr:cNvPr id="47107" name="Button 3" hidden="1">
              <a:extLst>
                <a:ext uri="{63B3BB69-23CF-44E3-9099-C40C66FF867C}">
                  <a14:compatExt spid="_x0000_s47107"/>
                </a:ext>
                <a:ext uri="{FF2B5EF4-FFF2-40B4-BE49-F238E27FC236}">
                  <a16:creationId xmlns:a16="http://schemas.microsoft.com/office/drawing/2014/main" id="{00000000-0008-0000-0300-000003B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ZA" sz="1100" b="0" i="0" u="none" strike="noStrike" baseline="0">
                  <a:solidFill>
                    <a:srgbClr val="000000"/>
                  </a:solidFill>
                  <a:latin typeface="Calibri"/>
                  <a:cs typeface="Calibri"/>
                </a:rPr>
                <a:t>Show 1</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152400</xdr:colOff>
          <xdr:row>2</xdr:row>
          <xdr:rowOff>60960</xdr:rowOff>
        </xdr:from>
        <xdr:to>
          <xdr:col>2</xdr:col>
          <xdr:colOff>784860</xdr:colOff>
          <xdr:row>3</xdr:row>
          <xdr:rowOff>68580</xdr:rowOff>
        </xdr:to>
        <xdr:sp macro="" textlink="">
          <xdr:nvSpPr>
            <xdr:cNvPr id="47108" name="Button 4" hidden="1">
              <a:extLst>
                <a:ext uri="{63B3BB69-23CF-44E3-9099-C40C66FF867C}">
                  <a14:compatExt spid="_x0000_s47108"/>
                </a:ext>
                <a:ext uri="{FF2B5EF4-FFF2-40B4-BE49-F238E27FC236}">
                  <a16:creationId xmlns:a16="http://schemas.microsoft.com/office/drawing/2014/main" id="{00000000-0008-0000-0300-000004B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ZA" sz="1100" b="0" i="0" u="none" strike="noStrike" baseline="0">
                  <a:solidFill>
                    <a:srgbClr val="000000"/>
                  </a:solidFill>
                  <a:latin typeface="Calibri"/>
                  <a:cs typeface="Calibri"/>
                </a:rPr>
                <a:t>Show 2</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152400</xdr:colOff>
          <xdr:row>2</xdr:row>
          <xdr:rowOff>30480</xdr:rowOff>
        </xdr:from>
        <xdr:to>
          <xdr:col>3</xdr:col>
          <xdr:colOff>754380</xdr:colOff>
          <xdr:row>3</xdr:row>
          <xdr:rowOff>106680</xdr:rowOff>
        </xdr:to>
        <xdr:sp macro="" textlink="">
          <xdr:nvSpPr>
            <xdr:cNvPr id="47109" name="Button 5" hidden="1">
              <a:extLst>
                <a:ext uri="{63B3BB69-23CF-44E3-9099-C40C66FF867C}">
                  <a14:compatExt spid="_x0000_s47109"/>
                </a:ext>
                <a:ext uri="{FF2B5EF4-FFF2-40B4-BE49-F238E27FC236}">
                  <a16:creationId xmlns:a16="http://schemas.microsoft.com/office/drawing/2014/main" id="{00000000-0008-0000-0300-000005B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ZA" sz="1100" b="0" i="0" u="none" strike="noStrike" baseline="0">
                  <a:solidFill>
                    <a:srgbClr val="000000"/>
                  </a:solidFill>
                  <a:latin typeface="Calibri"/>
                  <a:cs typeface="Calibri"/>
                </a:rPr>
                <a:t>Show 3</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175260</xdr:colOff>
          <xdr:row>2</xdr:row>
          <xdr:rowOff>60960</xdr:rowOff>
        </xdr:from>
        <xdr:to>
          <xdr:col>4</xdr:col>
          <xdr:colOff>754380</xdr:colOff>
          <xdr:row>3</xdr:row>
          <xdr:rowOff>137160</xdr:rowOff>
        </xdr:to>
        <xdr:sp macro="" textlink="">
          <xdr:nvSpPr>
            <xdr:cNvPr id="47110" name="Button 6" hidden="1">
              <a:extLst>
                <a:ext uri="{63B3BB69-23CF-44E3-9099-C40C66FF867C}">
                  <a14:compatExt spid="_x0000_s47110"/>
                </a:ext>
                <a:ext uri="{FF2B5EF4-FFF2-40B4-BE49-F238E27FC236}">
                  <a16:creationId xmlns:a16="http://schemas.microsoft.com/office/drawing/2014/main" id="{00000000-0008-0000-0300-000006B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ZA" sz="1100" b="0" i="0" u="none" strike="noStrike" baseline="0">
                  <a:solidFill>
                    <a:srgbClr val="000000"/>
                  </a:solidFill>
                  <a:latin typeface="Calibri"/>
                  <a:cs typeface="Calibri"/>
                </a:rPr>
                <a:t>Show 4</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175260</xdr:colOff>
          <xdr:row>2</xdr:row>
          <xdr:rowOff>60960</xdr:rowOff>
        </xdr:from>
        <xdr:to>
          <xdr:col>5</xdr:col>
          <xdr:colOff>784860</xdr:colOff>
          <xdr:row>3</xdr:row>
          <xdr:rowOff>137160</xdr:rowOff>
        </xdr:to>
        <xdr:sp macro="" textlink="">
          <xdr:nvSpPr>
            <xdr:cNvPr id="47111" name="Button 7" hidden="1">
              <a:extLst>
                <a:ext uri="{63B3BB69-23CF-44E3-9099-C40C66FF867C}">
                  <a14:compatExt spid="_x0000_s47111"/>
                </a:ext>
                <a:ext uri="{FF2B5EF4-FFF2-40B4-BE49-F238E27FC236}">
                  <a16:creationId xmlns:a16="http://schemas.microsoft.com/office/drawing/2014/main" id="{00000000-0008-0000-0300-000007B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ZA" sz="1100" b="0" i="0" u="none" strike="noStrike" baseline="0">
                  <a:solidFill>
                    <a:srgbClr val="000000"/>
                  </a:solidFill>
                  <a:latin typeface="Calibri"/>
                  <a:cs typeface="Calibri"/>
                </a:rPr>
                <a:t>Show 5</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137160</xdr:colOff>
          <xdr:row>2</xdr:row>
          <xdr:rowOff>30480</xdr:rowOff>
        </xdr:from>
        <xdr:to>
          <xdr:col>6</xdr:col>
          <xdr:colOff>754380</xdr:colOff>
          <xdr:row>3</xdr:row>
          <xdr:rowOff>106680</xdr:rowOff>
        </xdr:to>
        <xdr:sp macro="" textlink="">
          <xdr:nvSpPr>
            <xdr:cNvPr id="47112" name="Button 8" hidden="1">
              <a:extLst>
                <a:ext uri="{63B3BB69-23CF-44E3-9099-C40C66FF867C}">
                  <a14:compatExt spid="_x0000_s47112"/>
                </a:ext>
                <a:ext uri="{FF2B5EF4-FFF2-40B4-BE49-F238E27FC236}">
                  <a16:creationId xmlns:a16="http://schemas.microsoft.com/office/drawing/2014/main" id="{00000000-0008-0000-0300-000008B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ZA" sz="1100" b="0" i="0" u="none" strike="noStrike" baseline="0">
                  <a:solidFill>
                    <a:srgbClr val="000000"/>
                  </a:solidFill>
                  <a:latin typeface="Calibri"/>
                  <a:cs typeface="Calibri"/>
                </a:rPr>
                <a:t>Show 6</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106680</xdr:colOff>
          <xdr:row>2</xdr:row>
          <xdr:rowOff>38100</xdr:rowOff>
        </xdr:from>
        <xdr:to>
          <xdr:col>7</xdr:col>
          <xdr:colOff>746760</xdr:colOff>
          <xdr:row>3</xdr:row>
          <xdr:rowOff>114300</xdr:rowOff>
        </xdr:to>
        <xdr:sp macro="" textlink="">
          <xdr:nvSpPr>
            <xdr:cNvPr id="47113" name="Button 9" hidden="1">
              <a:extLst>
                <a:ext uri="{63B3BB69-23CF-44E3-9099-C40C66FF867C}">
                  <a14:compatExt spid="_x0000_s47113"/>
                </a:ext>
                <a:ext uri="{FF2B5EF4-FFF2-40B4-BE49-F238E27FC236}">
                  <a16:creationId xmlns:a16="http://schemas.microsoft.com/office/drawing/2014/main" id="{00000000-0008-0000-0300-000009B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ZA" sz="1100" b="0" i="0" u="none" strike="noStrike" baseline="0">
                  <a:solidFill>
                    <a:srgbClr val="000000"/>
                  </a:solidFill>
                  <a:latin typeface="Calibri"/>
                  <a:cs typeface="Calibri"/>
                </a:rPr>
                <a:t>Show 7</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xdr:twoCellAnchor editAs="oneCell">
    <xdr:from>
      <xdr:col>1</xdr:col>
      <xdr:colOff>1571625</xdr:colOff>
      <xdr:row>16</xdr:row>
      <xdr:rowOff>158751</xdr:rowOff>
    </xdr:from>
    <xdr:to>
      <xdr:col>1</xdr:col>
      <xdr:colOff>2797175</xdr:colOff>
      <xdr:row>16</xdr:row>
      <xdr:rowOff>742229</xdr:rowOff>
    </xdr:to>
    <xdr:pic>
      <xdr:nvPicPr>
        <xdr:cNvPr id="4" name="Picture 3" descr="Image result for any logo">
          <a:extLst>
            <a:ext uri="{FF2B5EF4-FFF2-40B4-BE49-F238E27FC236}">
              <a16:creationId xmlns:a16="http://schemas.microsoft.com/office/drawing/2014/main" id="{00000000-0008-0000-0600-000004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4257675" y="4521201"/>
          <a:ext cx="1225550" cy="58347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4.xml><?xml version="1.0" encoding="utf-8"?>
<xdr:wsDr xmlns:xdr="http://schemas.openxmlformats.org/drawingml/2006/spreadsheetDrawing" xmlns:a="http://schemas.openxmlformats.org/drawingml/2006/main">
  <xdr:twoCellAnchor editAs="oneCell">
    <xdr:from>
      <xdr:col>0</xdr:col>
      <xdr:colOff>476250</xdr:colOff>
      <xdr:row>6</xdr:row>
      <xdr:rowOff>133350</xdr:rowOff>
    </xdr:from>
    <xdr:to>
      <xdr:col>1</xdr:col>
      <xdr:colOff>450215</xdr:colOff>
      <xdr:row>16</xdr:row>
      <xdr:rowOff>83820</xdr:rowOff>
    </xdr:to>
    <xdr:pic>
      <xdr:nvPicPr>
        <xdr:cNvPr id="3" name="Picture 2">
          <a:extLst>
            <a:ext uri="{FF2B5EF4-FFF2-40B4-BE49-F238E27FC236}">
              <a16:creationId xmlns:a16="http://schemas.microsoft.com/office/drawing/2014/main" id="{00000000-0008-0000-1100-000003000000}"/>
            </a:ext>
          </a:extLst>
        </xdr:cNvPr>
        <xdr:cNvPicPr>
          <a:picLocks noChangeAspect="1"/>
        </xdr:cNvPicPr>
      </xdr:nvPicPr>
      <xdr:blipFill>
        <a:blip xmlns:r="http://schemas.openxmlformats.org/officeDocument/2006/relationships" r:embed="rId1"/>
        <a:stretch>
          <a:fillRect/>
        </a:stretch>
      </xdr:blipFill>
      <xdr:spPr>
        <a:xfrm>
          <a:off x="476250" y="1219200"/>
          <a:ext cx="3479165" cy="1760220"/>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142875</xdr:colOff>
          <xdr:row>7</xdr:row>
          <xdr:rowOff>38100</xdr:rowOff>
        </xdr:from>
        <xdr:to>
          <xdr:col>2</xdr:col>
          <xdr:colOff>57098</xdr:colOff>
          <xdr:row>8</xdr:row>
          <xdr:rowOff>1164590</xdr:rowOff>
        </xdr:to>
        <xdr:pic>
          <xdr:nvPicPr>
            <xdr:cNvPr id="10" name="Picture 9">
              <a:extLst>
                <a:ext uri="{FF2B5EF4-FFF2-40B4-BE49-F238E27FC236}">
                  <a16:creationId xmlns:a16="http://schemas.microsoft.com/office/drawing/2014/main" id="{00000000-0008-0000-2700-00000A000000}"/>
                </a:ext>
              </a:extLst>
            </xdr:cNvPr>
            <xdr:cNvPicPr>
              <a:picLocks noChangeAspect="1" noChangeArrowheads="1"/>
              <a:extLst>
                <a:ext uri="{84589F7E-364E-4C9E-8A38-B11213B215E9}">
                  <a14:cameraTool cellRange="StartupInfo!$B$17" spid="_x0000_s127179"/>
                </a:ext>
              </a:extLst>
            </xdr:cNvPicPr>
          </xdr:nvPicPr>
          <xdr:blipFill>
            <a:blip xmlns:r="http://schemas.openxmlformats.org/officeDocument/2006/relationships" r:embed="rId1"/>
            <a:srcRect/>
            <a:stretch>
              <a:fillRect/>
            </a:stretch>
          </xdr:blipFill>
          <xdr:spPr bwMode="auto">
            <a:xfrm>
              <a:off x="2857500" y="1609725"/>
              <a:ext cx="4968823" cy="1323975"/>
            </a:xfrm>
            <a:prstGeom prst="rect">
              <a:avLst/>
            </a:prstGeom>
            <a:noFill/>
            <a:extLst>
              <a:ext uri="{909E8E84-426E-40DD-AFC4-6F175D3DCCD1}">
                <a14:hiddenFill>
                  <a:solidFill>
                    <a:srgbClr val="FFFFFF"/>
                  </a:solidFill>
                </a14:hiddenFill>
              </a:ext>
            </a:extLst>
          </xdr:spPr>
        </xdr:pic>
        <xdr:clientData/>
      </xdr:twoCellAnchor>
    </mc:Choice>
    <mc:Fallback/>
  </mc:AlternateContent>
</xdr:wsDr>
</file>

<file path=xl/externalLinks/_rels/externalLink1.xml.rels><?xml version="1.0" encoding="UTF-8" standalone="yes"?>
<Relationships xmlns="http://schemas.openxmlformats.org/package/2006/relationships"><Relationship Id="rId1" Type="http://schemas.microsoft.com/office/2006/relationships/xlExternalLinkPath/xlPathMissing" Target="TablesLookup"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file:///S:\2022-01-08to01-14%20(A5)%20C57234%20BJC%20Technology\10_56v25_Wuhan%20BJC_CAS_Plan.xlsm" TargetMode="External"/></Relationships>
</file>

<file path=xl/externalLinks/_rels/externalLink3.xml.rels><?xml version="1.0" encoding="UTF-8" standalone="yes"?>
<Relationships xmlns="http://schemas.openxmlformats.org/package/2006/relationships"><Relationship Id="rId1" Type="http://schemas.microsoft.com/office/2006/relationships/xlExternalLinkPath/xlPathMissing" Target="TableLookup"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TablesLookup"/>
    </sheetNames>
    <sheetDataSet>
      <sheetData sheetId="0"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opyright"/>
      <sheetName val="Release"/>
      <sheetName val="Guide"/>
      <sheetName val="Control"/>
      <sheetName val="Agreement 3"/>
      <sheetName val="Planning"/>
      <sheetName val="StartupInfo"/>
      <sheetName val="Project&amp;Support"/>
      <sheetName val="Staff"/>
      <sheetName val="StaffGuide"/>
      <sheetName val="PvtProjectFTEs"/>
      <sheetName val="PvtStaffDistinct"/>
      <sheetName val="PvtPACheck"/>
      <sheetName val="P1PA-SS"/>
      <sheetName val="P1PA-RSG"/>
      <sheetName val="P1PA-R"/>
      <sheetName val="P2CA"/>
      <sheetName val="P3RF"/>
      <sheetName val="Schedule"/>
      <sheetName val="PvtCheck1"/>
      <sheetName val="Schedule2"/>
      <sheetName val="PvtEffort"/>
      <sheetName val="ScheduleISACA"/>
      <sheetName val="Schedule4-1P"/>
      <sheetName val="Schedule4-1A"/>
      <sheetName val="Schedule4-2"/>
      <sheetName val="ATM_PA"/>
      <sheetName val="C_Resource_Estimates"/>
      <sheetName val="C_Support"/>
      <sheetName val="C_Projects"/>
      <sheetName val="C_OUParticipants"/>
      <sheetName val="C_OUProjects"/>
      <sheetName val="C_OUPracticeAreas"/>
      <sheetName val="OULC"/>
      <sheetName val="PvtPartDistinct"/>
      <sheetName val="PvtPart_PA"/>
      <sheetName val="PvtPart_PrjSup"/>
      <sheetName val="PvtPart_Session"/>
      <sheetName val="pptxCertificate"/>
      <sheetName val="pptxCover"/>
      <sheetName val="pptxLink1"/>
      <sheetName val="pptxLink2"/>
      <sheetName val="pptxLink3"/>
      <sheetName val="pptxLink4"/>
      <sheetName val="pptxLink5"/>
      <sheetName val="pptxLink6"/>
      <sheetName val="pptxLink7"/>
      <sheetName val="Tables"/>
      <sheetName val="BASE"/>
    </sheetNames>
    <sheetDataSet>
      <sheetData sheetId="0"/>
      <sheetData sheetId="1"/>
      <sheetData sheetId="2"/>
      <sheetData sheetId="3"/>
      <sheetData sheetId="4"/>
      <sheetData sheetId="5"/>
      <sheetData sheetId="6"/>
      <sheetData sheetId="7">
        <row r="3">
          <cell r="A3" t="str">
            <v>p1</v>
          </cell>
          <cell r="B3" t="str">
            <v>p1HRMP</v>
          </cell>
        </row>
        <row r="4">
          <cell r="A4" t="str">
            <v>p2</v>
          </cell>
          <cell r="B4" t="str">
            <v>p2DMTP</v>
          </cell>
        </row>
        <row r="5">
          <cell r="A5" t="str">
            <v>p3</v>
          </cell>
          <cell r="B5" t="str">
            <v>p3PSS</v>
          </cell>
        </row>
        <row r="6">
          <cell r="A6" t="str">
            <v>p4</v>
          </cell>
          <cell r="B6" t="str">
            <v>p4FRACS</v>
          </cell>
        </row>
        <row r="7">
          <cell r="A7" t="str">
            <v>p5</v>
          </cell>
          <cell r="B7" t="str">
            <v>p5EAMS</v>
          </cell>
        </row>
        <row r="8">
          <cell r="A8" t="str">
            <v>p6</v>
          </cell>
          <cell r="B8" t="str">
            <v>p6TCRP</v>
          </cell>
        </row>
        <row r="9">
          <cell r="A9" t="str">
            <v>s1</v>
          </cell>
          <cell r="B9" t="str">
            <v>S1-CM</v>
          </cell>
        </row>
        <row r="10">
          <cell r="A10" t="str">
            <v>s2</v>
          </cell>
          <cell r="B10" t="str">
            <v>S2-EPG-MA</v>
          </cell>
        </row>
        <row r="11">
          <cell r="A11" t="str">
            <v>s3</v>
          </cell>
          <cell r="B11" t="str">
            <v>S3-HR</v>
          </cell>
        </row>
        <row r="12">
          <cell r="A12" t="str">
            <v>s4</v>
          </cell>
          <cell r="B12" t="str">
            <v>S4-PPQA</v>
          </cell>
        </row>
      </sheetData>
      <sheetData sheetId="8"/>
      <sheetData sheetId="9">
        <row r="3">
          <cell r="A3" t="str">
            <v>Analyst</v>
          </cell>
          <cell r="B3" t="str">
            <v>[4] Engineering</v>
          </cell>
          <cell r="L3" t="str">
            <v>x</v>
          </cell>
          <cell r="R3" t="str">
            <v>x</v>
          </cell>
        </row>
        <row r="4">
          <cell r="A4" t="str">
            <v>Configuration manager</v>
          </cell>
          <cell r="B4" t="str">
            <v>[5] Configuration Management</v>
          </cell>
          <cell r="D4" t="str">
            <v>x</v>
          </cell>
        </row>
        <row r="5">
          <cell r="A5" t="str">
            <v>Designer</v>
          </cell>
          <cell r="B5" t="str">
            <v>[4] Engineering</v>
          </cell>
          <cell r="L5" t="str">
            <v>x</v>
          </cell>
          <cell r="T5" t="str">
            <v>x</v>
          </cell>
        </row>
        <row r="6">
          <cell r="A6" t="str">
            <v>Developer</v>
          </cell>
          <cell r="B6" t="str">
            <v>[4] Engineering</v>
          </cell>
          <cell r="L6" t="str">
            <v>x</v>
          </cell>
          <cell r="Q6" t="str">
            <v>x</v>
          </cell>
        </row>
        <row r="7">
          <cell r="A7" t="str">
            <v>Executive</v>
          </cell>
          <cell r="B7" t="str">
            <v>[9] Senior Management</v>
          </cell>
          <cell r="G7" t="str">
            <v>x</v>
          </cell>
          <cell r="H7" t="str">
            <v>x</v>
          </cell>
        </row>
        <row r="8">
          <cell r="A8" t="str">
            <v>Measurements manager</v>
          </cell>
          <cell r="B8" t="str">
            <v>[6] Process Management</v>
          </cell>
          <cell r="C8" t="str">
            <v>x</v>
          </cell>
          <cell r="E8" t="str">
            <v>x</v>
          </cell>
          <cell r="I8" t="str">
            <v>x</v>
          </cell>
        </row>
        <row r="9">
          <cell r="A9" t="str">
            <v>Process Assurance Manager</v>
          </cell>
          <cell r="B9" t="str">
            <v>[8] Process Quality Assurance</v>
          </cell>
          <cell r="P9" t="str">
            <v>x</v>
          </cell>
        </row>
        <row r="10">
          <cell r="A10" t="str">
            <v>Process manager</v>
          </cell>
          <cell r="B10" t="str">
            <v>[6] Process Management</v>
          </cell>
          <cell r="E10" t="str">
            <v>x</v>
          </cell>
          <cell r="N10" t="str">
            <v>x</v>
          </cell>
          <cell r="O10" t="str">
            <v>x</v>
          </cell>
        </row>
        <row r="11">
          <cell r="A11" t="str">
            <v>Project manager</v>
          </cell>
          <cell r="B11" t="str">
            <v>[3] Project Management</v>
          </cell>
          <cell r="C11" t="str">
            <v>x</v>
          </cell>
          <cell r="E11" t="str">
            <v>x</v>
          </cell>
          <cell r="F11" t="str">
            <v>x</v>
          </cell>
          <cell r="J11" t="str">
            <v>x</v>
          </cell>
          <cell r="L11" t="str">
            <v>x</v>
          </cell>
          <cell r="M11" t="str">
            <v>x</v>
          </cell>
          <cell r="S11" t="str">
            <v>x</v>
          </cell>
        </row>
        <row r="12">
          <cell r="A12" t="str">
            <v>Tester</v>
          </cell>
          <cell r="B12" t="str">
            <v>[4] Engineering</v>
          </cell>
          <cell r="L12" t="str">
            <v>x</v>
          </cell>
          <cell r="U12" t="str">
            <v>x</v>
          </cell>
        </row>
        <row r="13">
          <cell r="A13" t="str">
            <v>Training manager</v>
          </cell>
          <cell r="B13" t="str">
            <v>[7] Organisational Training</v>
          </cell>
          <cell r="K13" t="str">
            <v>x</v>
          </cell>
        </row>
      </sheetData>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 sheetId="44"/>
      <sheetData sheetId="45"/>
      <sheetData sheetId="46"/>
      <sheetData sheetId="47">
        <row r="5">
          <cell r="B5" t="str">
            <v>Afghanistan</v>
          </cell>
          <cell r="D5" t="str">
            <v>(A-01) Agriculture, forestry and fishing - Crop and animal production, hunting and related service activities</v>
          </cell>
          <cell r="F5" t="str">
            <v>Maturity Level 2</v>
          </cell>
          <cell r="H5" t="str">
            <v>CMMI Development V2.0 (CMMI-DEV) with SAM</v>
          </cell>
          <cell r="L5" t="str">
            <v>Location</v>
          </cell>
          <cell r="N5" t="str">
            <v>UTC</v>
          </cell>
          <cell r="R5" t="str">
            <v>Discovery</v>
          </cell>
          <cell r="T5" t="str">
            <v>Demonstration</v>
          </cell>
          <cell r="V5" t="str">
            <v>Consultants</v>
          </cell>
          <cell r="X5" t="str">
            <v>Description of the location(s) within the OU where appraisal activities will take place</v>
          </cell>
          <cell r="Z5" t="str">
            <v>Access to the storage of OE on the OU network</v>
          </cell>
          <cell r="AB5" t="str">
            <v>Duration</v>
          </cell>
          <cell r="AD5" t="str">
            <v>Personnel</v>
          </cell>
          <cell r="AF5" t="str">
            <v>Team member authors one or more processes</v>
          </cell>
          <cell r="AH5" t="str">
            <v>Executive Session</v>
          </cell>
          <cell r="AJ5" t="str">
            <v>Individual reports to another team member</v>
          </cell>
          <cell r="AL5" t="str">
            <v>Final Findings</v>
          </cell>
        </row>
        <row r="6">
          <cell r="B6" t="str">
            <v>Åland Islands</v>
          </cell>
          <cell r="D6" t="str">
            <v>(A-02) Agriculture, forestry and fishing - Forestry and logging</v>
          </cell>
          <cell r="F6" t="str">
            <v>Maturity Level 3</v>
          </cell>
          <cell r="H6" t="str">
            <v>CMMI Development V2.0 (CMMI-DEV) without SAM</v>
          </cell>
          <cell r="L6" t="str">
            <v>Customer</v>
          </cell>
          <cell r="N6" t="str">
            <v>(UTC-12:00) International Date Line West</v>
          </cell>
          <cell r="R6" t="str">
            <v>Managed Discovery</v>
          </cell>
          <cell r="T6" t="str">
            <v>OE Database</v>
          </cell>
          <cell r="V6" t="str">
            <v>Project Team Members</v>
          </cell>
          <cell r="X6" t="str">
            <v>Accommodations and travel support for ATMs, as needed</v>
          </cell>
          <cell r="Z6" t="str">
            <v>Appropriate computer equipment for the appraisal team to use throughout the appraisal</v>
          </cell>
          <cell r="AB6" t="str">
            <v>Funding</v>
          </cell>
          <cell r="AD6" t="str">
            <v>Logistics</v>
          </cell>
          <cell r="AF6" t="str">
            <v>Team member is a member of the organization's process group</v>
          </cell>
          <cell r="AH6" t="str">
            <v>Lessons Learned</v>
          </cell>
          <cell r="AJ6" t="str">
            <v>Individual reports to management within the OU</v>
          </cell>
          <cell r="AL6" t="str">
            <v>Sampled Project and OSF-level Practice Characterization Worksheets</v>
          </cell>
        </row>
        <row r="7">
          <cell r="B7" t="str">
            <v>Albania</v>
          </cell>
          <cell r="D7" t="str">
            <v>(A-03) Agriculture, forestry and fishing - Fishing and aquaculter</v>
          </cell>
          <cell r="F7" t="str">
            <v>Maturity Level 4</v>
          </cell>
          <cell r="H7" t="str">
            <v>CMMI Services V2.0 (CMMI-SVC) with SAM</v>
          </cell>
          <cell r="L7" t="str">
            <v>Size</v>
          </cell>
          <cell r="N7" t="str">
            <v>(UTC-11:00) Coordinated Universal Time-11</v>
          </cell>
          <cell r="R7" t="str">
            <v>Verification</v>
          </cell>
          <cell r="T7" t="str">
            <v>Data Call</v>
          </cell>
          <cell r="V7" t="str">
            <v>ATL</v>
          </cell>
          <cell r="X7" t="str">
            <v>Meals, snacks, beverages, etc. for the appraisal team and participants</v>
          </cell>
          <cell r="Z7" t="str">
            <v>Required tools and software</v>
          </cell>
          <cell r="AB7" t="str">
            <v>Schedule Constraints</v>
          </cell>
          <cell r="AD7" t="str">
            <v>Facilities</v>
          </cell>
          <cell r="AF7" t="str">
            <v>Team member is a process owner</v>
          </cell>
          <cell r="AH7" t="str">
            <v>Process Improvement Action Plan</v>
          </cell>
          <cell r="AJ7" t="str">
            <v>Individual reports to any org support functions or in-scope projects within the OU</v>
          </cell>
          <cell r="AL7" t="str">
            <v>Sampled Project and OSF-level Ratings Worksheets</v>
          </cell>
        </row>
        <row r="8">
          <cell r="B8" t="str">
            <v>Algeria</v>
          </cell>
          <cell r="D8" t="str">
            <v>(B-05) Mining and quarrying - Mining of coal and lignite</v>
          </cell>
          <cell r="F8" t="str">
            <v>Maturity Level 5</v>
          </cell>
          <cell r="H8" t="str">
            <v>CMMI Services V2.0 (CMMI-SVC) without SAM</v>
          </cell>
          <cell r="L8" t="str">
            <v>Organizational Structure</v>
          </cell>
          <cell r="N8" t="str">
            <v>(UTC-10:00) Hawaii</v>
          </cell>
          <cell r="T8" t="str">
            <v>Interview</v>
          </cell>
          <cell r="V8" t="str">
            <v>OU</v>
          </cell>
          <cell r="X8" t="str">
            <v>Equipment and material requirements for ATMs.</v>
          </cell>
          <cell r="Z8" t="str">
            <v>Security and access needs (e.g., badges, escorts, etc.)</v>
          </cell>
          <cell r="AB8" t="str">
            <v>Security and Information Management</v>
          </cell>
          <cell r="AD8" t="str">
            <v>Schedule</v>
          </cell>
          <cell r="AF8" t="str">
            <v>Team member has a supervisory authority over one or more parts of the OU</v>
          </cell>
          <cell r="AH8" t="str">
            <v>Recommendation Report</v>
          </cell>
          <cell r="AJ8" t="str">
            <v>Individual is employed by the ATL's organization</v>
          </cell>
          <cell r="AL8" t="str">
            <v>Schedule</v>
          </cell>
        </row>
        <row r="9">
          <cell r="B9" t="str">
            <v>American Samoa</v>
          </cell>
          <cell r="D9" t="str">
            <v>(B-06) Mining and quarrying - Extraction of crude petroleum and natural gas</v>
          </cell>
          <cell r="F9" t="str">
            <v>Capability Level</v>
          </cell>
          <cell r="H9" t="str">
            <v>CMMI Supplier Management V2.0 (CMMI-SPM)</v>
          </cell>
          <cell r="L9" t="str">
            <v>Type of Work</v>
          </cell>
          <cell r="N9" t="str">
            <v>(UTC-10:00) Aleutian Islands</v>
          </cell>
          <cell r="T9" t="str">
            <v>Presentation</v>
          </cell>
          <cell r="V9" t="str">
            <v>Other</v>
          </cell>
          <cell r="X9" t="str">
            <v>Other</v>
          </cell>
          <cell r="Z9" t="str">
            <v>A room or rooms that can be used for performing interviews and delivering presentations</v>
          </cell>
          <cell r="AB9" t="str">
            <v>Specific Sample Size</v>
          </cell>
          <cell r="AD9" t="str">
            <v>Cost</v>
          </cell>
          <cell r="AF9" t="str">
            <v>Team member has served on previous appraisals in the same OU</v>
          </cell>
          <cell r="AH9" t="str">
            <v>Other</v>
          </cell>
          <cell r="AJ9" t="str">
            <v>Individual is employed by the org helping the OU develop, deploy, or provide consulting for processes</v>
          </cell>
          <cell r="AL9" t="str">
            <v>Executive Summary</v>
          </cell>
        </row>
        <row r="10">
          <cell r="B10" t="str">
            <v>Andorra</v>
          </cell>
          <cell r="D10" t="str">
            <v>(B-07) Mining and quarrying - Mining of metal ores</v>
          </cell>
          <cell r="L10" t="str">
            <v>Other</v>
          </cell>
          <cell r="N10" t="str">
            <v>(UTC-09:30) Marquesas Islands</v>
          </cell>
          <cell r="T10" t="str">
            <v>Written</v>
          </cell>
          <cell r="Z10" t="str">
            <v>Appropriate telecommunications equipment and rooms to accommodate interviews conducted using virtual techniques</v>
          </cell>
          <cell r="AB10" t="str">
            <v>Staffing</v>
          </cell>
          <cell r="AD10" t="str">
            <v>Data</v>
          </cell>
          <cell r="AF10" t="str">
            <v>Team member has been interviewed or provided evidence</v>
          </cell>
          <cell r="AJ10" t="str">
            <v>Other</v>
          </cell>
          <cell r="AL10" t="str">
            <v>Other</v>
          </cell>
        </row>
        <row r="11">
          <cell r="B11" t="str">
            <v>Angola</v>
          </cell>
          <cell r="D11" t="str">
            <v>(B-08) Mining and quarrying - Other mining and quarrying</v>
          </cell>
          <cell r="N11" t="str">
            <v>(UTC-09:00) Coordinated Universal Time-09</v>
          </cell>
          <cell r="T11" t="str">
            <v>Other</v>
          </cell>
          <cell r="Z11" t="str">
            <v>A facility with a projector available for performing the opening presentation findings briefings</v>
          </cell>
          <cell r="AB11" t="str">
            <v>Other</v>
          </cell>
          <cell r="AD11" t="str">
            <v>Other</v>
          </cell>
          <cell r="AF11" t="str">
            <v>Team member is involved in process or product quality audits</v>
          </cell>
        </row>
        <row r="12">
          <cell r="B12" t="str">
            <v>Anguilla</v>
          </cell>
          <cell r="D12" t="str">
            <v>(B-09) Mining and quarrying - Mining support service activities</v>
          </cell>
          <cell r="N12" t="str">
            <v>(UTC-09:00) Alaska</v>
          </cell>
          <cell r="Z12" t="str">
            <v>Access to a copier</v>
          </cell>
          <cell r="AF12" t="str">
            <v>Team member provided coaching, consulting, or labor for the OU in support of this appraisal</v>
          </cell>
        </row>
        <row r="13">
          <cell r="B13" t="str">
            <v>Antarctica</v>
          </cell>
          <cell r="D13" t="str">
            <v>(C-10) Manufacturing - Manufacture of food products</v>
          </cell>
          <cell r="N13" t="str">
            <v>(UTC-08:00) Pacific Time (US &amp; Canada)</v>
          </cell>
          <cell r="Z13" t="str">
            <v>Access to a printer that can be used to print potentially appraisal-confidential information</v>
          </cell>
          <cell r="AF13" t="str">
            <v>Team member is internal to the organization being appraised</v>
          </cell>
        </row>
        <row r="14">
          <cell r="B14" t="str">
            <v>Antigua &amp; Barbuda</v>
          </cell>
          <cell r="D14" t="str">
            <v>(C-11) Manufacturing - Manufacture of beverages</v>
          </cell>
          <cell r="N14" t="str">
            <v>(UTC-08:00) Coordinated Universal Time-08</v>
          </cell>
          <cell r="Z14" t="str">
            <v>Office supplies (e.g., self-sticking flip chart paper, notepads or other paper, white board pens, magic markers, writing pens)</v>
          </cell>
          <cell r="AF14" t="str">
            <v>Translator is an ATM</v>
          </cell>
        </row>
        <row r="15">
          <cell r="B15" t="str">
            <v>Argentina</v>
          </cell>
          <cell r="D15" t="str">
            <v>(C-12) Manufacturing - Manufacture of tobacco products</v>
          </cell>
          <cell r="N15" t="str">
            <v>(UTC-08:00) Baja California</v>
          </cell>
          <cell r="Z15" t="str">
            <v>Projector(s) for use throughout the appraisal, as needed</v>
          </cell>
          <cell r="AF15" t="str">
            <v>Translator works for appraised organization</v>
          </cell>
        </row>
        <row r="16">
          <cell r="B16" t="str">
            <v>Armenia</v>
          </cell>
          <cell r="D16" t="str">
            <v>(C-13) Manufacturing - Manufacture of textiles</v>
          </cell>
          <cell r="N16" t="str">
            <v>(UTC-07:00) Mountain Time (US &amp; Canada)</v>
          </cell>
          <cell r="Z16" t="str">
            <v>Document storage boxes (if necessary)</v>
          </cell>
          <cell r="AF16" t="str">
            <v>Translator works within the OU</v>
          </cell>
        </row>
        <row r="17">
          <cell r="B17" t="str">
            <v>Aruba</v>
          </cell>
          <cell r="D17" t="str">
            <v>(C-14) Manufacturing - Manufacture of wearing apparel</v>
          </cell>
          <cell r="N17" t="str">
            <v>(UTC-07:00) Chihuahua, La Paz, Mazatlan</v>
          </cell>
          <cell r="Z17" t="str">
            <v>A mechanism for use by the appraisal team to securely dispose of notes and intermediate work products to protect confidentiality and non-attribution.</v>
          </cell>
          <cell r="AF17" t="str">
            <v>Translator works for a consulting company that has supported the OU with process development or implementation</v>
          </cell>
        </row>
        <row r="18">
          <cell r="B18" t="str">
            <v>Ascension Island</v>
          </cell>
          <cell r="D18" t="str">
            <v>(C-15) Manufacturing - Manufacture of leather and related products</v>
          </cell>
          <cell r="N18" t="str">
            <v>(UTC-07:00) Arizona</v>
          </cell>
          <cell r="AF18" t="str">
            <v>Appraisal Team Leader is internal to the OU (only applies to Evaluation appraisals)</v>
          </cell>
        </row>
        <row r="19">
          <cell r="B19" t="str">
            <v>Australia</v>
          </cell>
          <cell r="D19" t="str">
            <v>(C-16) Manufacturing - Manufacture of wood and of products of wood and cork, except furniture; manufacture of articles of straw and plaiting materials</v>
          </cell>
          <cell r="N19" t="str">
            <v>(UTC-06:00) Saskatchewan</v>
          </cell>
          <cell r="AF19" t="str">
            <v>Other</v>
          </cell>
        </row>
        <row r="20">
          <cell r="B20" t="str">
            <v>Austria</v>
          </cell>
          <cell r="D20" t="str">
            <v>(C-17) Manufacturing - Manufacture of paper and paper products</v>
          </cell>
          <cell r="N20" t="str">
            <v>(UTC-06:00) Guadalajara, Mexico City, Monterrey</v>
          </cell>
        </row>
        <row r="21">
          <cell r="B21" t="str">
            <v>Azerbaijan</v>
          </cell>
          <cell r="D21" t="str">
            <v>(C-18) Manufacturing - Printing and reproduction of recorded media</v>
          </cell>
          <cell r="N21" t="str">
            <v>(UTC-06:00) Easter Island</v>
          </cell>
        </row>
        <row r="22">
          <cell r="B22" t="str">
            <v>Bahamas</v>
          </cell>
          <cell r="D22" t="str">
            <v>(C-19) Manufacturing - Manufacture of coke and refined petroleum products</v>
          </cell>
          <cell r="N22" t="str">
            <v>(UTC-06:00) Central Time (US &amp; Canada)</v>
          </cell>
        </row>
        <row r="23">
          <cell r="B23" t="str">
            <v>Bahrain</v>
          </cell>
          <cell r="D23" t="str">
            <v>(C-20) Manufacturing - Manufacture of chemicals and chemical products</v>
          </cell>
          <cell r="N23" t="str">
            <v>(UTC-06:00) Central America</v>
          </cell>
        </row>
        <row r="24">
          <cell r="B24" t="str">
            <v>Bangladesh</v>
          </cell>
          <cell r="D24" t="str">
            <v>(C-21) Manufacturing - Manufacture of basic pharmaceutical products and pharmaceutical preparations</v>
          </cell>
          <cell r="N24" t="str">
            <v>(UTC-05:00) Turks and Caicos</v>
          </cell>
        </row>
        <row r="25">
          <cell r="B25" t="str">
            <v>Barbados</v>
          </cell>
          <cell r="D25" t="str">
            <v>(C-22) Manufacturing - Manufacture of rubber and plastics products</v>
          </cell>
          <cell r="N25" t="str">
            <v>(UTC-05:00) Indiana (East)</v>
          </cell>
        </row>
        <row r="26">
          <cell r="B26" t="str">
            <v>Belarus</v>
          </cell>
          <cell r="D26" t="str">
            <v>(C-23) Manufacturing - Manufacture of other non-metallic mineral products</v>
          </cell>
          <cell r="N26" t="str">
            <v>(UTC-05:00) Havana</v>
          </cell>
        </row>
        <row r="27">
          <cell r="B27" t="str">
            <v>Belgium</v>
          </cell>
          <cell r="D27" t="str">
            <v>(C-24) Manufacturing - Manufacture of basic metals</v>
          </cell>
          <cell r="N27" t="str">
            <v>(UTC-05:00) Haiti</v>
          </cell>
        </row>
        <row r="28">
          <cell r="B28" t="str">
            <v>Belize</v>
          </cell>
          <cell r="D28" t="str">
            <v>(C-25) Manufacturing - Manufacture of fabricated metal products, except machinery and equipment</v>
          </cell>
          <cell r="N28" t="str">
            <v>(UTC-05:00) Eastern Time (US &amp; Canada)</v>
          </cell>
        </row>
        <row r="29">
          <cell r="B29" t="str">
            <v>Benin</v>
          </cell>
          <cell r="D29" t="str">
            <v>(C-26) Manufacturing - Manufacture of computer, electronic and optical products</v>
          </cell>
          <cell r="N29" t="str">
            <v>(UTC-05:00) Chetumal</v>
          </cell>
        </row>
        <row r="30">
          <cell r="B30" t="str">
            <v>Bermuda</v>
          </cell>
          <cell r="D30" t="str">
            <v>(C-27) Manufacturing - Manufacture of electrical equipment</v>
          </cell>
          <cell r="N30" t="str">
            <v>(UTC-05:00) Bogota, Lima, Quito, Rio Branco</v>
          </cell>
        </row>
        <row r="31">
          <cell r="B31" t="str">
            <v>Bhutan</v>
          </cell>
          <cell r="D31" t="str">
            <v>(C-28) Manufacturing - Manufacture of machinery and equipment n.e.c.</v>
          </cell>
          <cell r="N31" t="str">
            <v>(UTC-04:00) Santiago</v>
          </cell>
        </row>
        <row r="32">
          <cell r="B32" t="str">
            <v>Bolivia</v>
          </cell>
          <cell r="D32" t="str">
            <v>(C-29) Manufacturing - Manufacture of motor vehicles, trailers and semi-trailers</v>
          </cell>
          <cell r="N32" t="str">
            <v>(UTC-04:00) Georgetown, La Paz, Manaus, San Juan</v>
          </cell>
        </row>
        <row r="33">
          <cell r="B33" t="str">
            <v>Bosnia &amp; Herzegovina</v>
          </cell>
          <cell r="D33" t="str">
            <v>(C-30) Manufacturing - Manufacture of other transport equipment</v>
          </cell>
          <cell r="N33" t="str">
            <v>(UTC-04:00) Cuiaba</v>
          </cell>
        </row>
        <row r="34">
          <cell r="B34" t="str">
            <v>Botswana</v>
          </cell>
          <cell r="D34" t="str">
            <v>(C-31) Manufacturing - Manufacture of furniture</v>
          </cell>
          <cell r="N34" t="str">
            <v>(UTC-04:00) Caracas</v>
          </cell>
        </row>
        <row r="35">
          <cell r="B35" t="str">
            <v>Brazil</v>
          </cell>
          <cell r="D35" t="str">
            <v>(C-32) Manufacturing - Other manufacturing</v>
          </cell>
          <cell r="N35" t="str">
            <v>(UTC-04:00) Atlantic Time (Canada)</v>
          </cell>
        </row>
        <row r="36">
          <cell r="B36" t="str">
            <v>British Indian Ocean Territory</v>
          </cell>
          <cell r="D36" t="str">
            <v>(C-33) Manufacturing - Repair and installation of machinery and equipment</v>
          </cell>
          <cell r="N36" t="str">
            <v>(UTC-04:00) Asuncion</v>
          </cell>
          <cell r="U36" t="str">
            <v>PracticeCount</v>
          </cell>
          <cell r="V36">
            <v>1</v>
          </cell>
          <cell r="W36">
            <v>2</v>
          </cell>
          <cell r="X36">
            <v>3</v>
          </cell>
          <cell r="Y36">
            <v>4</v>
          </cell>
          <cell r="Z36">
            <v>5</v>
          </cell>
        </row>
        <row r="37">
          <cell r="B37" t="str">
            <v>British Virgin Islands</v>
          </cell>
          <cell r="D37" t="str">
            <v>(D-35) Electricity, gas, steam and air conditioning supply</v>
          </cell>
          <cell r="N37" t="str">
            <v>(UTC-03:30) Newfoundland</v>
          </cell>
          <cell r="U37" t="str">
            <v>CAR</v>
          </cell>
          <cell r="V37">
            <v>1</v>
          </cell>
          <cell r="W37">
            <v>3</v>
          </cell>
          <cell r="X37">
            <v>8</v>
          </cell>
          <cell r="Y37">
            <v>10</v>
          </cell>
          <cell r="Z37">
            <v>11</v>
          </cell>
        </row>
        <row r="38">
          <cell r="B38" t="str">
            <v>Brunei</v>
          </cell>
          <cell r="D38" t="str">
            <v>(E-36) Water supply; sewerage, waste management and remediation activities - Water collection, treatment and supply</v>
          </cell>
          <cell r="N38" t="str">
            <v>(UTC-03:00) Salvador</v>
          </cell>
          <cell r="U38" t="str">
            <v>CM</v>
          </cell>
          <cell r="V38">
            <v>1</v>
          </cell>
          <cell r="W38">
            <v>7</v>
          </cell>
          <cell r="X38">
            <v>7</v>
          </cell>
          <cell r="Y38">
            <v>7</v>
          </cell>
          <cell r="Z38">
            <v>7</v>
          </cell>
        </row>
        <row r="39">
          <cell r="B39" t="str">
            <v>Bulgaria</v>
          </cell>
          <cell r="D39" t="str">
            <v>(E-37) Water supply; sewerage, waste management and remediation activities - Sewerage</v>
          </cell>
          <cell r="N39" t="str">
            <v>(UTC-03:00) Saint Pierre and Miquelon</v>
          </cell>
          <cell r="U39" t="str">
            <v>DAR</v>
          </cell>
          <cell r="V39">
            <v>2</v>
          </cell>
          <cell r="W39">
            <v>7</v>
          </cell>
          <cell r="X39">
            <v>8</v>
          </cell>
          <cell r="Y39">
            <v>8</v>
          </cell>
          <cell r="Z39">
            <v>8</v>
          </cell>
        </row>
        <row r="40">
          <cell r="B40" t="str">
            <v>Burkina Faso</v>
          </cell>
          <cell r="D40" t="str">
            <v>(E-38) Water supply; sewerage, waste management and remediation activities - Waste collection, treatment and disposal activities; materials recovery</v>
          </cell>
          <cell r="N40" t="str">
            <v>(UTC-03:00) Punta Arenas</v>
          </cell>
          <cell r="U40" t="str">
            <v>EST</v>
          </cell>
          <cell r="V40">
            <v>1</v>
          </cell>
          <cell r="W40">
            <v>4</v>
          </cell>
          <cell r="X40">
            <v>6</v>
          </cell>
          <cell r="Y40">
            <v>6</v>
          </cell>
          <cell r="Z40">
            <v>6</v>
          </cell>
        </row>
        <row r="41">
          <cell r="B41" t="str">
            <v>Burundi</v>
          </cell>
          <cell r="D41" t="str">
            <v>(E-39) Water supply; sewerage, waste management and remediation activities - Remediation activities and other waste management services</v>
          </cell>
          <cell r="N41" t="str">
            <v>(UTC-03:00) Montevideo</v>
          </cell>
          <cell r="U41" t="str">
            <v>GOV</v>
          </cell>
          <cell r="V41">
            <v>1</v>
          </cell>
          <cell r="W41">
            <v>5</v>
          </cell>
          <cell r="X41">
            <v>7</v>
          </cell>
          <cell r="Y41">
            <v>8</v>
          </cell>
          <cell r="Z41">
            <v>8</v>
          </cell>
        </row>
        <row r="42">
          <cell r="B42" t="str">
            <v>Cambodia</v>
          </cell>
          <cell r="D42" t="str">
            <v>(F-41) Construction - Construction of buildings</v>
          </cell>
          <cell r="N42" t="str">
            <v>(UTC-03:00) Greenland</v>
          </cell>
          <cell r="U42" t="str">
            <v>II</v>
          </cell>
          <cell r="V42">
            <v>1</v>
          </cell>
          <cell r="W42">
            <v>3</v>
          </cell>
          <cell r="X42">
            <v>6</v>
          </cell>
          <cell r="Y42">
            <v>6</v>
          </cell>
          <cell r="Z42">
            <v>6</v>
          </cell>
        </row>
        <row r="43">
          <cell r="B43" t="str">
            <v>Cameroon</v>
          </cell>
          <cell r="D43" t="str">
            <v>(F-42) Construction - Civil engineering</v>
          </cell>
          <cell r="N43" t="str">
            <v>(UTC-03:00) City of Buenos Aires</v>
          </cell>
          <cell r="U43" t="str">
            <v>MC</v>
          </cell>
          <cell r="V43">
            <v>2</v>
          </cell>
          <cell r="W43">
            <v>6</v>
          </cell>
          <cell r="X43">
            <v>10</v>
          </cell>
          <cell r="Y43">
            <v>10</v>
          </cell>
          <cell r="Z43">
            <v>10</v>
          </cell>
        </row>
        <row r="44">
          <cell r="B44" t="str">
            <v>Canada</v>
          </cell>
          <cell r="D44" t="str">
            <v>(F-43) Construction - Specialized construction activities</v>
          </cell>
          <cell r="N44" t="str">
            <v>(UTC-03:00) Cayenne, Fortaleza</v>
          </cell>
          <cell r="U44" t="str">
            <v>MPM</v>
          </cell>
          <cell r="V44">
            <v>2</v>
          </cell>
          <cell r="W44">
            <v>8</v>
          </cell>
          <cell r="X44">
            <v>14</v>
          </cell>
          <cell r="Y44">
            <v>19</v>
          </cell>
          <cell r="Z44">
            <v>22</v>
          </cell>
        </row>
        <row r="45">
          <cell r="B45" t="str">
            <v>Canary Islands</v>
          </cell>
          <cell r="D45" t="str">
            <v>(G-45) Wholesale and retail trade; repair of motor vehicles and motorcycles - Wholesale and retail trade and repair of motor vehicles and motorcycles</v>
          </cell>
          <cell r="N45" t="str">
            <v>(UTC-03:00) Brasilia</v>
          </cell>
          <cell r="U45" t="str">
            <v>OT</v>
          </cell>
          <cell r="V45">
            <v>1</v>
          </cell>
          <cell r="W45">
            <v>3</v>
          </cell>
          <cell r="X45">
            <v>9</v>
          </cell>
          <cell r="Y45">
            <v>9</v>
          </cell>
          <cell r="Z45">
            <v>9</v>
          </cell>
        </row>
        <row r="46">
          <cell r="B46" t="str">
            <v>Cape Verde</v>
          </cell>
          <cell r="D46" t="str">
            <v>(G-46) Wholesale and retail trade; repair of motor vehicles and motorcycles - Wholesale trade, except of motor vehicles and motorcycles</v>
          </cell>
          <cell r="N46" t="str">
            <v>(UTC-03:00) Araguaina</v>
          </cell>
          <cell r="U46" t="str">
            <v>PAD</v>
          </cell>
          <cell r="V46">
            <v>1</v>
          </cell>
          <cell r="W46">
            <v>4</v>
          </cell>
          <cell r="X46">
            <v>11</v>
          </cell>
          <cell r="Y46">
            <v>11</v>
          </cell>
          <cell r="Z46">
            <v>11</v>
          </cell>
        </row>
        <row r="47">
          <cell r="B47" t="str">
            <v>Caribbean Netherlands</v>
          </cell>
          <cell r="D47" t="str">
            <v>(G-47) Wholesale and retail trade; repair of motor vehicles and motorcycles - Retail trade, except of motor vehicles and motorcycles</v>
          </cell>
          <cell r="N47" t="str">
            <v>(UTC-02:00) Mid-Atlantic - Old</v>
          </cell>
          <cell r="U47" t="str">
            <v>PCM</v>
          </cell>
          <cell r="V47">
            <v>3</v>
          </cell>
          <cell r="W47">
            <v>5</v>
          </cell>
          <cell r="X47">
            <v>11</v>
          </cell>
          <cell r="Y47">
            <v>11</v>
          </cell>
          <cell r="Z47">
            <v>11</v>
          </cell>
        </row>
        <row r="48">
          <cell r="B48" t="str">
            <v>Cayman Islands</v>
          </cell>
          <cell r="D48" t="str">
            <v>(H-49) Transportation and storage - Land transport and transport via pipelines</v>
          </cell>
          <cell r="N48" t="str">
            <v>(UTC-02:00) Coordinated Universal Time-02</v>
          </cell>
          <cell r="U48" t="str">
            <v>PI</v>
          </cell>
          <cell r="V48">
            <v>1</v>
          </cell>
          <cell r="W48">
            <v>7</v>
          </cell>
          <cell r="X48">
            <v>10</v>
          </cell>
          <cell r="Y48">
            <v>10</v>
          </cell>
          <cell r="Z48">
            <v>10</v>
          </cell>
        </row>
        <row r="49">
          <cell r="B49" t="str">
            <v>Central African Republic</v>
          </cell>
          <cell r="D49" t="str">
            <v>(H-50) Transportation and storage - Water transport</v>
          </cell>
          <cell r="N49" t="str">
            <v>(UTC-01:00) Cabo Verde Is.</v>
          </cell>
          <cell r="U49" t="str">
            <v>PLAN</v>
          </cell>
          <cell r="V49">
            <v>2</v>
          </cell>
          <cell r="W49">
            <v>10</v>
          </cell>
          <cell r="X49">
            <v>14</v>
          </cell>
          <cell r="Y49">
            <v>15</v>
          </cell>
          <cell r="Z49">
            <v>15</v>
          </cell>
        </row>
        <row r="50">
          <cell r="B50" t="str">
            <v>Ceuta &amp; Melilla</v>
          </cell>
          <cell r="D50" t="str">
            <v>(H-51) Transportation and storage - Air transport</v>
          </cell>
          <cell r="N50" t="str">
            <v>(UTC-01:00) Azores</v>
          </cell>
          <cell r="U50" t="str">
            <v>PQA</v>
          </cell>
          <cell r="V50">
            <v>1</v>
          </cell>
          <cell r="W50">
            <v>5</v>
          </cell>
          <cell r="X50">
            <v>6</v>
          </cell>
          <cell r="Y50">
            <v>6</v>
          </cell>
          <cell r="Z50">
            <v>6</v>
          </cell>
        </row>
        <row r="51">
          <cell r="B51" t="str">
            <v>Chad</v>
          </cell>
          <cell r="D51" t="str">
            <v>(H-52) Transportation and storage - Warehousing and support activities for transportation</v>
          </cell>
          <cell r="N51" t="str">
            <v>(UTC+00:00) Dublin, Edinburgh, Lisbon, London</v>
          </cell>
          <cell r="U51" t="str">
            <v>PR</v>
          </cell>
          <cell r="V51">
            <v>1</v>
          </cell>
          <cell r="W51">
            <v>5</v>
          </cell>
          <cell r="X51">
            <v>6</v>
          </cell>
          <cell r="Y51">
            <v>6</v>
          </cell>
          <cell r="Z51">
            <v>6</v>
          </cell>
        </row>
        <row r="52">
          <cell r="B52" t="str">
            <v>Chile</v>
          </cell>
          <cell r="D52" t="str">
            <v>(H-53) Transportation and storage - Postal and courier activities</v>
          </cell>
          <cell r="N52" t="str">
            <v>(UTC+00:00) Monrovia, Reykjavik</v>
          </cell>
          <cell r="U52" t="str">
            <v>RDM</v>
          </cell>
          <cell r="V52">
            <v>1</v>
          </cell>
          <cell r="W52">
            <v>7</v>
          </cell>
          <cell r="X52">
            <v>14</v>
          </cell>
          <cell r="Y52">
            <v>14</v>
          </cell>
          <cell r="Z52">
            <v>14</v>
          </cell>
        </row>
        <row r="53">
          <cell r="B53" t="str">
            <v>China</v>
          </cell>
          <cell r="D53" t="str">
            <v>(I-55) Accommodation and food service activities - Accommodation</v>
          </cell>
          <cell r="N53" t="str">
            <v>(UTC+00:00) Sao Tome</v>
          </cell>
          <cell r="U53" t="str">
            <v>RSK</v>
          </cell>
          <cell r="V53">
            <v>1</v>
          </cell>
          <cell r="W53">
            <v>3</v>
          </cell>
          <cell r="X53">
            <v>8</v>
          </cell>
          <cell r="Y53">
            <v>8</v>
          </cell>
          <cell r="Z53">
            <v>8</v>
          </cell>
        </row>
        <row r="54">
          <cell r="B54" t="str">
            <v>Christmas Island</v>
          </cell>
          <cell r="D54" t="str">
            <v>(I-56) Accommodation and food service activities - Food and beverage service activities</v>
          </cell>
          <cell r="N54" t="str">
            <v>(UTC+01:00) Amsterdam, Berlin, Bern, Rome, Stockholm, Vienna</v>
          </cell>
          <cell r="U54" t="str">
            <v>SAM</v>
          </cell>
          <cell r="V54">
            <v>3</v>
          </cell>
          <cell r="W54">
            <v>7</v>
          </cell>
          <cell r="X54">
            <v>9</v>
          </cell>
          <cell r="Y54">
            <v>9</v>
          </cell>
          <cell r="Z54">
            <v>9</v>
          </cell>
        </row>
        <row r="55">
          <cell r="B55" t="str">
            <v>Cocos (Keeling) Islands</v>
          </cell>
          <cell r="D55" t="str">
            <v>(J-58) Information and communication - Publishing activities</v>
          </cell>
          <cell r="N55" t="str">
            <v>(UTC+01:00) Belgrade, Bratislava, Budapest, Ljubljana, Prague</v>
          </cell>
          <cell r="U55" t="str">
            <v>TS</v>
          </cell>
          <cell r="V55">
            <v>1</v>
          </cell>
          <cell r="W55">
            <v>4</v>
          </cell>
          <cell r="X55">
            <v>10</v>
          </cell>
          <cell r="Y55">
            <v>10</v>
          </cell>
          <cell r="Z55">
            <v>10</v>
          </cell>
        </row>
        <row r="56">
          <cell r="B56" t="str">
            <v>Colombia</v>
          </cell>
          <cell r="D56" t="str">
            <v>(J-59) Information and communication - Motion picture, video and television programme production, sound recording and music publishing activities</v>
          </cell>
          <cell r="N56" t="str">
            <v>(UTC+01:00) Brussels, Copenhagen, Madrid, Paris</v>
          </cell>
          <cell r="U56" t="str">
            <v>VV</v>
          </cell>
          <cell r="V56">
            <v>2</v>
          </cell>
          <cell r="W56">
            <v>5</v>
          </cell>
          <cell r="X56">
            <v>7</v>
          </cell>
          <cell r="Y56">
            <v>7</v>
          </cell>
          <cell r="Z56">
            <v>7</v>
          </cell>
        </row>
        <row r="57">
          <cell r="B57" t="str">
            <v>Comoros</v>
          </cell>
          <cell r="D57" t="str">
            <v>(J-60) Information and communication - Programming and broadcasting activities</v>
          </cell>
          <cell r="N57" t="str">
            <v>(UTC+01:00) Casablanca</v>
          </cell>
        </row>
        <row r="58">
          <cell r="B58" t="str">
            <v>Congo - Brazzaville</v>
          </cell>
          <cell r="D58" t="str">
            <v>(J-61) Information and communication - Telecommunications</v>
          </cell>
          <cell r="N58" t="str">
            <v>(UTC+01:00) Sarajevo, Skopje, Warsaw, Zagreb</v>
          </cell>
        </row>
        <row r="59">
          <cell r="B59" t="str">
            <v>Congo - Kinshasa</v>
          </cell>
          <cell r="D59" t="str">
            <v>(J-62) Information and communication - Computer programming, consultancy and related activities</v>
          </cell>
          <cell r="N59" t="str">
            <v>(UTC+01:00) West Central Africa</v>
          </cell>
        </row>
        <row r="60">
          <cell r="B60" t="str">
            <v>Cook Islands</v>
          </cell>
          <cell r="D60" t="str">
            <v>(J-63) Information and communication - Information service activities</v>
          </cell>
          <cell r="N60" t="str">
            <v>(UTC+02:00) Amman</v>
          </cell>
        </row>
        <row r="61">
          <cell r="B61" t="str">
            <v>Costa Rica</v>
          </cell>
          <cell r="D61" t="str">
            <v>(K-64) Financial and insurance activities - Financial service activities, except insurance and pension funding</v>
          </cell>
          <cell r="N61" t="str">
            <v>(UTC+02:00) Athens, Bucharest</v>
          </cell>
        </row>
        <row r="62">
          <cell r="B62" t="str">
            <v>Côte d’Ivoire</v>
          </cell>
          <cell r="D62" t="str">
            <v>(K-65) Financial and insurance activities - Insurance, reinsurance and pension funding, except compulsory social security</v>
          </cell>
          <cell r="N62" t="str">
            <v>(UTC+02:00) Beirut</v>
          </cell>
        </row>
        <row r="63">
          <cell r="B63" t="str">
            <v>Croatia</v>
          </cell>
          <cell r="D63" t="str">
            <v>(K-66) Financial and insurance activities - Activities auxiliary to financial service and insurance activities</v>
          </cell>
          <cell r="N63" t="str">
            <v>(UTC+02:00) Cairo</v>
          </cell>
        </row>
        <row r="64">
          <cell r="B64" t="str">
            <v>Cuba</v>
          </cell>
          <cell r="D64" t="str">
            <v>(L-68) Real estate activities</v>
          </cell>
          <cell r="N64" t="str">
            <v>(UTC+02:00) Chisinau</v>
          </cell>
        </row>
        <row r="65">
          <cell r="B65" t="str">
            <v>Curaçao</v>
          </cell>
          <cell r="D65" t="str">
            <v>(M-69) Professional, scientific and technical activities - Legal and accounting activities</v>
          </cell>
          <cell r="N65" t="str">
            <v>(UTC+02:00) Damascus</v>
          </cell>
        </row>
        <row r="66">
          <cell r="B66" t="str">
            <v>Cyprus</v>
          </cell>
          <cell r="D66" t="str">
            <v>(M-70) Professional, scientific and technical activities - Activities of head offices; management consultancy activities</v>
          </cell>
          <cell r="N66" t="str">
            <v>(UTC+02:00) Gaza, Hebron</v>
          </cell>
        </row>
        <row r="67">
          <cell r="B67" t="str">
            <v>Czechia</v>
          </cell>
          <cell r="D67" t="str">
            <v>(M-71) Professional, scientific and technical activities - Architectural and engineering activities; technical testing and analysis</v>
          </cell>
          <cell r="N67" t="str">
            <v>(UTC+02:00) Harare, Pretoria</v>
          </cell>
        </row>
        <row r="68">
          <cell r="B68" t="str">
            <v>Denmark</v>
          </cell>
          <cell r="D68" t="str">
            <v>(M-72) Professional, scientific and technical activities - Scientific research and development</v>
          </cell>
          <cell r="N68" t="str">
            <v>(UTC+02:00) Helsinki, Kyiv, Riga, Sofia, Tallinn, Vilnius</v>
          </cell>
        </row>
        <row r="69">
          <cell r="B69" t="str">
            <v>Diego Garcia</v>
          </cell>
          <cell r="D69" t="str">
            <v>(M-73) Professional, scientific and technical activities - Advertising and market research</v>
          </cell>
          <cell r="N69" t="str">
            <v>(UTC+02:00) Jerusalem</v>
          </cell>
        </row>
        <row r="70">
          <cell r="B70" t="str">
            <v>Djibouti</v>
          </cell>
          <cell r="D70" t="str">
            <v>(M-74) Professional, scientific and technical activities - Other professional, scientific and technical activities</v>
          </cell>
          <cell r="N70" t="str">
            <v>(UTC+02:00) Kaliningrad</v>
          </cell>
        </row>
        <row r="71">
          <cell r="B71" t="str">
            <v>Dominica</v>
          </cell>
          <cell r="D71" t="str">
            <v>(M-75) Professional, scientific and technical activities - Veterinary activities</v>
          </cell>
          <cell r="N71" t="str">
            <v>(UTC+02:00) Khartoum</v>
          </cell>
        </row>
        <row r="72">
          <cell r="B72" t="str">
            <v>Dominican Republic</v>
          </cell>
          <cell r="D72" t="str">
            <v>(N-77) Administrative and support service activities - Rental and leasing activities</v>
          </cell>
          <cell r="N72" t="str">
            <v>(UTC+02:00) Tripoli</v>
          </cell>
        </row>
        <row r="73">
          <cell r="B73" t="str">
            <v>Ecuador</v>
          </cell>
          <cell r="D73" t="str">
            <v>(N-78) Administrative and support service activities - Employment activities</v>
          </cell>
          <cell r="N73" t="str">
            <v>(UTC+02:00) Windhoek</v>
          </cell>
        </row>
        <row r="74">
          <cell r="B74" t="str">
            <v>Egypt</v>
          </cell>
          <cell r="D74" t="str">
            <v>(N-79) Administrative and support service activities - Travel agency, tour operator, reservation service and related activities</v>
          </cell>
          <cell r="N74" t="str">
            <v>(UTC+03:00) Baghdad</v>
          </cell>
        </row>
        <row r="75">
          <cell r="B75" t="str">
            <v>El Salvador</v>
          </cell>
          <cell r="D75" t="str">
            <v>(N-80) Administrative and support service activities - Security and investigation activities</v>
          </cell>
          <cell r="N75" t="str">
            <v>(UTC+03:00) Istanbul</v>
          </cell>
        </row>
        <row r="76">
          <cell r="B76" t="str">
            <v>Equatorial Guinea</v>
          </cell>
          <cell r="D76" t="str">
            <v>(N-81) Administrative and support service activities - Services to buildings and landscape activities</v>
          </cell>
          <cell r="N76" t="str">
            <v>(UTC+03:00) Kuwait, Riyadh</v>
          </cell>
        </row>
        <row r="77">
          <cell r="B77" t="str">
            <v>Eritrea</v>
          </cell>
          <cell r="D77" t="str">
            <v>(N-82) Administrative and support service activities - Office administrative, office support and other business support activities</v>
          </cell>
          <cell r="N77" t="str">
            <v>(UTC+03:00) Minsk</v>
          </cell>
        </row>
        <row r="78">
          <cell r="B78" t="str">
            <v>Estonia</v>
          </cell>
          <cell r="D78" t="str">
            <v>(O-84) Public administration and defence; compulsory social security</v>
          </cell>
          <cell r="N78" t="str">
            <v>(UTC+03:00) Moscow, St. Petersburg</v>
          </cell>
        </row>
        <row r="79">
          <cell r="B79" t="str">
            <v>Ethiopia</v>
          </cell>
          <cell r="D79" t="str">
            <v>(P-85) Education</v>
          </cell>
          <cell r="N79" t="str">
            <v>(UTC+03:00) Nairobi</v>
          </cell>
        </row>
        <row r="80">
          <cell r="B80" t="str">
            <v>Eurozone</v>
          </cell>
          <cell r="D80" t="str">
            <v>(Q-86) Human health and social work activities - Human health activities</v>
          </cell>
          <cell r="N80" t="str">
            <v>(UTC+03:30) Tehran</v>
          </cell>
        </row>
        <row r="81">
          <cell r="B81" t="str">
            <v>Falkland Islands</v>
          </cell>
          <cell r="D81" t="str">
            <v>(Q-87) Human health and social work activities - Residential care activities</v>
          </cell>
          <cell r="N81" t="str">
            <v>(UTC+04:00) Abu Dhabi, Muscat</v>
          </cell>
        </row>
        <row r="82">
          <cell r="B82" t="str">
            <v>Faroe Islands</v>
          </cell>
          <cell r="D82" t="str">
            <v>(Q-88) Human health and social work activities - Social work activities without accommodation</v>
          </cell>
          <cell r="N82" t="str">
            <v>(UTC+04:00) Astrakhan, Ulyanovsk</v>
          </cell>
        </row>
        <row r="83">
          <cell r="B83" t="str">
            <v>Fiji</v>
          </cell>
          <cell r="D83" t="str">
            <v>(R-90) Arts, entertainment and recreation - Creative, arts and entertainment activities</v>
          </cell>
          <cell r="N83" t="str">
            <v>(UTC+04:00) Baku</v>
          </cell>
        </row>
        <row r="84">
          <cell r="B84" t="str">
            <v>Finland</v>
          </cell>
          <cell r="D84" t="str">
            <v>(R-91) Arts, entertainment and recreation - Libraries, archives, museums and other cultural activities</v>
          </cell>
          <cell r="N84" t="str">
            <v>(UTC+04:00) Izhevsk, Samara</v>
          </cell>
        </row>
        <row r="85">
          <cell r="B85" t="str">
            <v>France</v>
          </cell>
          <cell r="D85" t="str">
            <v>(R-92) Arts, entertainment and recreation - Gambling and betting activities</v>
          </cell>
          <cell r="N85" t="str">
            <v>(UTC+04:00) Port Louis</v>
          </cell>
        </row>
        <row r="86">
          <cell r="B86" t="str">
            <v>French Guiana</v>
          </cell>
          <cell r="D86" t="str">
            <v>(R-93) Arts, entertainment and recreation - Sports activities and amusement and recreation activities</v>
          </cell>
          <cell r="N86" t="str">
            <v>(UTC+04:00) Saratov</v>
          </cell>
        </row>
        <row r="87">
          <cell r="B87" t="str">
            <v>French Polynesia</v>
          </cell>
          <cell r="D87" t="str">
            <v>(S-94) Other service activities - Activities of membership organizations</v>
          </cell>
          <cell r="N87" t="str">
            <v>(UTC+04:00) Tbilisi</v>
          </cell>
        </row>
        <row r="88">
          <cell r="B88" t="str">
            <v>French Southern Territories</v>
          </cell>
          <cell r="D88" t="str">
            <v>(S-95) Other service activities - Repair of computers and personal and household goods</v>
          </cell>
          <cell r="N88" t="str">
            <v>(UTC+04:00) Volgograd</v>
          </cell>
        </row>
        <row r="89">
          <cell r="B89" t="str">
            <v>Gabon</v>
          </cell>
          <cell r="D89" t="str">
            <v>(S-96) Other service activities - Other personal service activities</v>
          </cell>
          <cell r="N89" t="str">
            <v>(UTC+04:00) Yerevan</v>
          </cell>
        </row>
        <row r="90">
          <cell r="B90" t="str">
            <v>Gambia</v>
          </cell>
          <cell r="D90" t="str">
            <v>(T-97) Activities of households as employers; undifferentiated goods- and services-producing activities of households for own use - Activities of households as employers of domestic personnel</v>
          </cell>
          <cell r="N90" t="str">
            <v>(UTC+04:30) Kabul</v>
          </cell>
        </row>
        <row r="91">
          <cell r="B91" t="str">
            <v>Georgia</v>
          </cell>
          <cell r="D91" t="str">
            <v>(T-98) Activities of households as employers; undifferentiated goods- and services-producing activities of households for own use - Undifferentiated goods- and services-producing activities of private households for own use</v>
          </cell>
          <cell r="N91" t="str">
            <v>(UTC+05:00) Ashgabat, Tashkent</v>
          </cell>
        </row>
        <row r="92">
          <cell r="B92" t="str">
            <v>Germany</v>
          </cell>
          <cell r="D92" t="str">
            <v>(U-99) Activities of extraterritorial organizations and bodies</v>
          </cell>
          <cell r="N92" t="str">
            <v>(UTC+05:00) Ekaterinburg</v>
          </cell>
        </row>
        <row r="93">
          <cell r="B93" t="str">
            <v>Ghana</v>
          </cell>
          <cell r="N93" t="str">
            <v>(UTC+05:00) Islamabad, Karachi</v>
          </cell>
        </row>
        <row r="94">
          <cell r="B94" t="str">
            <v>Gibraltar</v>
          </cell>
          <cell r="N94" t="str">
            <v>(UTC+05:00) Qyzylorda</v>
          </cell>
        </row>
        <row r="95">
          <cell r="B95" t="str">
            <v>Greece</v>
          </cell>
          <cell r="N95" t="str">
            <v>(UTC+05:30) Chennai, Kolkata, Mumbai, New Delhi</v>
          </cell>
        </row>
        <row r="96">
          <cell r="B96" t="str">
            <v>Greenland</v>
          </cell>
          <cell r="N96" t="str">
            <v>(UTC+05:30) Sri Jayawardenepura</v>
          </cell>
        </row>
        <row r="97">
          <cell r="B97" t="str">
            <v>Grenada</v>
          </cell>
          <cell r="N97" t="str">
            <v>(UTC+05:45) Kathmandu</v>
          </cell>
        </row>
        <row r="98">
          <cell r="B98" t="str">
            <v>Guadeloupe</v>
          </cell>
          <cell r="N98" t="str">
            <v>(UTC+06:00) Astana</v>
          </cell>
        </row>
        <row r="99">
          <cell r="B99" t="str">
            <v>Guam</v>
          </cell>
          <cell r="N99" t="str">
            <v>(UTC+06:00) Dhaka</v>
          </cell>
        </row>
        <row r="100">
          <cell r="B100" t="str">
            <v>Guatemala</v>
          </cell>
          <cell r="N100" t="str">
            <v>(UTC+06:00) Omsk</v>
          </cell>
        </row>
        <row r="101">
          <cell r="B101" t="str">
            <v>Guernsey</v>
          </cell>
          <cell r="N101" t="str">
            <v>(UTC+06:30) Yangon (Rangoon)</v>
          </cell>
        </row>
        <row r="102">
          <cell r="B102" t="str">
            <v>Guinea</v>
          </cell>
          <cell r="N102" t="str">
            <v>(UTC+07:00) Bangkok, Hanoi, Jakarta</v>
          </cell>
        </row>
        <row r="103">
          <cell r="B103" t="str">
            <v>Guinea-Bissau</v>
          </cell>
          <cell r="N103" t="str">
            <v>(UTC+07:00) Barnaul, Gorno-Altaysk</v>
          </cell>
        </row>
        <row r="104">
          <cell r="B104" t="str">
            <v>Guyana</v>
          </cell>
          <cell r="N104" t="str">
            <v>(UTC+07:00) Hovd</v>
          </cell>
        </row>
        <row r="105">
          <cell r="B105" t="str">
            <v>Haiti</v>
          </cell>
          <cell r="N105" t="str">
            <v>(UTC+07:00) Krasnoyarsk</v>
          </cell>
        </row>
        <row r="106">
          <cell r="B106" t="str">
            <v>Honduras</v>
          </cell>
          <cell r="N106" t="str">
            <v>(UTC+07:00) Novosibirsk</v>
          </cell>
        </row>
        <row r="107">
          <cell r="B107" t="str">
            <v>Hong Kong SAR China</v>
          </cell>
          <cell r="N107" t="str">
            <v>(UTC+07:00) Tomsk</v>
          </cell>
        </row>
        <row r="108">
          <cell r="B108" t="str">
            <v>Hungary</v>
          </cell>
          <cell r="N108" t="str">
            <v>(UTC+08:00) Beijing, Chongqing, Hong Kong, Urumqi</v>
          </cell>
        </row>
        <row r="109">
          <cell r="B109" t="str">
            <v>Iceland</v>
          </cell>
          <cell r="N109" t="str">
            <v>(UTC+08:00) Irkutsk</v>
          </cell>
        </row>
        <row r="110">
          <cell r="B110" t="str">
            <v>India</v>
          </cell>
          <cell r="N110" t="str">
            <v>(UTC+08:00) Kuala Lumpur, Singapore</v>
          </cell>
        </row>
        <row r="111">
          <cell r="B111" t="str">
            <v>Indonesia</v>
          </cell>
          <cell r="N111" t="str">
            <v>(UTC+08:00) Perth</v>
          </cell>
        </row>
        <row r="112">
          <cell r="B112" t="str">
            <v>Iran</v>
          </cell>
          <cell r="N112" t="str">
            <v>(UTC+08:00) Taipei</v>
          </cell>
        </row>
        <row r="113">
          <cell r="B113" t="str">
            <v>Iraq</v>
          </cell>
          <cell r="N113" t="str">
            <v>(UTC+08:00) Ulaanbaatar</v>
          </cell>
        </row>
        <row r="114">
          <cell r="B114" t="str">
            <v>Ireland</v>
          </cell>
          <cell r="N114" t="str">
            <v>(UTC+08:45) Eucla</v>
          </cell>
        </row>
        <row r="115">
          <cell r="B115" t="str">
            <v>Isle of Man</v>
          </cell>
          <cell r="N115" t="str">
            <v>(UTC+09:00) Chita</v>
          </cell>
        </row>
        <row r="116">
          <cell r="B116" t="str">
            <v>Israel</v>
          </cell>
          <cell r="N116" t="str">
            <v>(UTC+09:00) Osaka, Sapporo, Tokyo</v>
          </cell>
        </row>
        <row r="117">
          <cell r="B117" t="str">
            <v>Italy</v>
          </cell>
          <cell r="N117" t="str">
            <v>(UTC+09:00) Pyongyang</v>
          </cell>
        </row>
        <row r="118">
          <cell r="B118" t="str">
            <v>Jamaica</v>
          </cell>
          <cell r="N118" t="str">
            <v>(UTC+09:00) Seoul</v>
          </cell>
        </row>
        <row r="119">
          <cell r="B119" t="str">
            <v>Japan</v>
          </cell>
          <cell r="N119" t="str">
            <v>(UTC+09:00) Yakutsk</v>
          </cell>
        </row>
        <row r="120">
          <cell r="B120" t="str">
            <v>Jersey</v>
          </cell>
          <cell r="N120" t="str">
            <v>(UTC+09:30) Adelaide</v>
          </cell>
        </row>
        <row r="121">
          <cell r="B121" t="str">
            <v>Jordan</v>
          </cell>
          <cell r="N121" t="str">
            <v>(UTC+09:30) Darwin</v>
          </cell>
        </row>
        <row r="122">
          <cell r="B122" t="str">
            <v>Kazakhstan</v>
          </cell>
          <cell r="N122" t="str">
            <v>(UTC+10:00) Brisbane</v>
          </cell>
        </row>
        <row r="123">
          <cell r="B123" t="str">
            <v>Kenya</v>
          </cell>
          <cell r="N123" t="str">
            <v>(UTC+10:00) Canberra, Melbourne, Sydney</v>
          </cell>
        </row>
        <row r="124">
          <cell r="B124" t="str">
            <v>Kiribati</v>
          </cell>
          <cell r="N124" t="str">
            <v>(UTC+10:00) Guam, Port Moresby</v>
          </cell>
        </row>
        <row r="125">
          <cell r="B125" t="str">
            <v>Kosovo</v>
          </cell>
          <cell r="N125" t="str">
            <v>(UTC+10:00) Hobart</v>
          </cell>
        </row>
        <row r="126">
          <cell r="B126" t="str">
            <v>Kuwait</v>
          </cell>
          <cell r="N126" t="str">
            <v>(UTC+10:00) Vladivostok</v>
          </cell>
        </row>
        <row r="127">
          <cell r="B127" t="str">
            <v>Kyrgyzstan</v>
          </cell>
          <cell r="N127" t="str">
            <v>(UTC+10:30) Lord Howe Island</v>
          </cell>
        </row>
        <row r="128">
          <cell r="B128" t="str">
            <v>Laos</v>
          </cell>
          <cell r="N128" t="str">
            <v>(UTC+11:00) Bougainville Island</v>
          </cell>
        </row>
        <row r="129">
          <cell r="B129" t="str">
            <v>Latvia</v>
          </cell>
          <cell r="N129" t="str">
            <v>(UTC+11:00) Chokurdakh</v>
          </cell>
        </row>
        <row r="130">
          <cell r="B130" t="str">
            <v>Lebanon</v>
          </cell>
          <cell r="N130" t="str">
            <v>(UTC+11:00) Magadan</v>
          </cell>
        </row>
        <row r="131">
          <cell r="B131" t="str">
            <v>Lesotho</v>
          </cell>
          <cell r="N131" t="str">
            <v>(UTC+11:00) Norfolk Island</v>
          </cell>
        </row>
        <row r="132">
          <cell r="B132" t="str">
            <v>Liberia</v>
          </cell>
          <cell r="N132" t="str">
            <v>(UTC+11:00) Sakhalin</v>
          </cell>
        </row>
        <row r="133">
          <cell r="B133" t="str">
            <v>Libya</v>
          </cell>
          <cell r="N133" t="str">
            <v>(UTC+11:00) Solomon Is., New Caledonia</v>
          </cell>
        </row>
        <row r="134">
          <cell r="B134" t="str">
            <v>Liechtenstein</v>
          </cell>
          <cell r="N134" t="str">
            <v>(UTC+12:00) Anadyr, Petropavlovsk-Kamchatsky</v>
          </cell>
        </row>
        <row r="135">
          <cell r="B135" t="str">
            <v>Lithuania</v>
          </cell>
          <cell r="N135" t="str">
            <v>(UTC+12:00) Auckland, Wellington</v>
          </cell>
        </row>
        <row r="136">
          <cell r="B136" t="str">
            <v>Luxembourg</v>
          </cell>
          <cell r="N136" t="str">
            <v>(UTC+12:00) Coordinated Universal Time+12</v>
          </cell>
        </row>
        <row r="137">
          <cell r="B137" t="str">
            <v>Macau SAR China</v>
          </cell>
          <cell r="N137" t="str">
            <v>(UTC+12:00) Fiji</v>
          </cell>
        </row>
        <row r="138">
          <cell r="B138" t="str">
            <v>Macedonia</v>
          </cell>
          <cell r="N138" t="str">
            <v>(UTC+12:00) Petropavlovsk-Kamchatsky - Old</v>
          </cell>
        </row>
        <row r="139">
          <cell r="B139" t="str">
            <v>Madagascar</v>
          </cell>
          <cell r="N139" t="str">
            <v>(UTC+12:45) Chatham Islands</v>
          </cell>
        </row>
        <row r="140">
          <cell r="B140" t="str">
            <v>Malawi</v>
          </cell>
          <cell r="N140" t="str">
            <v>(UTC+13:00) Coordinated Universal Time+13</v>
          </cell>
        </row>
        <row r="141">
          <cell r="B141" t="str">
            <v>Malaysia</v>
          </cell>
          <cell r="N141" t="str">
            <v>(UTC+13:00) Nuku'alofa</v>
          </cell>
        </row>
        <row r="142">
          <cell r="B142" t="str">
            <v>Maldives</v>
          </cell>
          <cell r="N142" t="str">
            <v>(UTC+13:00) Samoa</v>
          </cell>
        </row>
        <row r="143">
          <cell r="B143" t="str">
            <v>Mali</v>
          </cell>
          <cell r="N143" t="str">
            <v>(UTC+14:00) Kiritimati Island</v>
          </cell>
        </row>
        <row r="144">
          <cell r="B144" t="str">
            <v>Malta</v>
          </cell>
        </row>
        <row r="145">
          <cell r="B145" t="str">
            <v>Marshall Islands</v>
          </cell>
        </row>
        <row r="146">
          <cell r="B146" t="str">
            <v>Martinique</v>
          </cell>
        </row>
        <row r="147">
          <cell r="B147" t="str">
            <v>Mauritania</v>
          </cell>
        </row>
        <row r="148">
          <cell r="B148" t="str">
            <v>Mauritius</v>
          </cell>
        </row>
        <row r="149">
          <cell r="B149" t="str">
            <v>Mayotte</v>
          </cell>
        </row>
        <row r="150">
          <cell r="B150" t="str">
            <v>Mexico</v>
          </cell>
        </row>
        <row r="151">
          <cell r="B151" t="str">
            <v>Micronesia</v>
          </cell>
        </row>
        <row r="152">
          <cell r="B152" t="str">
            <v>Moldova</v>
          </cell>
        </row>
        <row r="153">
          <cell r="B153" t="str">
            <v>Monaco</v>
          </cell>
        </row>
        <row r="154">
          <cell r="B154" t="str">
            <v>Mongolia</v>
          </cell>
        </row>
        <row r="155">
          <cell r="B155" t="str">
            <v>Montenegro</v>
          </cell>
        </row>
        <row r="156">
          <cell r="B156" t="str">
            <v>Montserrat</v>
          </cell>
        </row>
        <row r="157">
          <cell r="B157" t="str">
            <v>Morocco</v>
          </cell>
        </row>
        <row r="158">
          <cell r="B158" t="str">
            <v>Mozambique</v>
          </cell>
        </row>
        <row r="159">
          <cell r="B159" t="str">
            <v>Myanmar (Burma)</v>
          </cell>
        </row>
        <row r="160">
          <cell r="B160" t="str">
            <v>Namibia</v>
          </cell>
        </row>
        <row r="161">
          <cell r="B161" t="str">
            <v>Nauru</v>
          </cell>
        </row>
        <row r="162">
          <cell r="B162" t="str">
            <v>Nepal</v>
          </cell>
        </row>
        <row r="163">
          <cell r="B163" t="str">
            <v>Netherlands</v>
          </cell>
        </row>
        <row r="164">
          <cell r="B164" t="str">
            <v>New Caledonia</v>
          </cell>
        </row>
        <row r="165">
          <cell r="B165" t="str">
            <v>New Zealand</v>
          </cell>
        </row>
        <row r="166">
          <cell r="B166" t="str">
            <v>Nicaragua</v>
          </cell>
        </row>
        <row r="167">
          <cell r="B167" t="str">
            <v>Niger</v>
          </cell>
        </row>
        <row r="168">
          <cell r="B168" t="str">
            <v>Nigeria</v>
          </cell>
        </row>
        <row r="169">
          <cell r="B169" t="str">
            <v>Niue</v>
          </cell>
        </row>
        <row r="170">
          <cell r="B170" t="str">
            <v>Norfolk Island</v>
          </cell>
        </row>
        <row r="171">
          <cell r="B171" t="str">
            <v>North Korea</v>
          </cell>
        </row>
        <row r="172">
          <cell r="B172" t="str">
            <v>Northern Mariana Islands</v>
          </cell>
        </row>
        <row r="173">
          <cell r="B173" t="str">
            <v>Norway</v>
          </cell>
        </row>
        <row r="174">
          <cell r="B174" t="str">
            <v>Oman</v>
          </cell>
        </row>
        <row r="175">
          <cell r="B175" t="str">
            <v>Pakistan</v>
          </cell>
        </row>
        <row r="176">
          <cell r="B176" t="str">
            <v>Palau</v>
          </cell>
        </row>
        <row r="177">
          <cell r="B177" t="str">
            <v>Palestinian Territories</v>
          </cell>
        </row>
        <row r="178">
          <cell r="B178" t="str">
            <v>Panama</v>
          </cell>
        </row>
        <row r="179">
          <cell r="B179" t="str">
            <v>Papua New Guinea</v>
          </cell>
        </row>
        <row r="180">
          <cell r="B180" t="str">
            <v>Paraguay</v>
          </cell>
        </row>
        <row r="181">
          <cell r="B181" t="str">
            <v>Peru</v>
          </cell>
        </row>
        <row r="182">
          <cell r="B182" t="str">
            <v>Philippines</v>
          </cell>
        </row>
        <row r="183">
          <cell r="B183" t="str">
            <v>Pitcairn Islands</v>
          </cell>
        </row>
        <row r="184">
          <cell r="B184" t="str">
            <v>Poland</v>
          </cell>
        </row>
        <row r="185">
          <cell r="B185" t="str">
            <v>Portugal</v>
          </cell>
        </row>
        <row r="186">
          <cell r="B186" t="str">
            <v>Puerto Rico</v>
          </cell>
        </row>
        <row r="187">
          <cell r="B187" t="str">
            <v>Qatar</v>
          </cell>
        </row>
        <row r="188">
          <cell r="B188" t="str">
            <v>Réunion</v>
          </cell>
        </row>
        <row r="189">
          <cell r="B189" t="str">
            <v>Romania</v>
          </cell>
        </row>
        <row r="190">
          <cell r="B190" t="str">
            <v>Russia</v>
          </cell>
        </row>
        <row r="191">
          <cell r="B191" t="str">
            <v>Rwanda</v>
          </cell>
        </row>
        <row r="192">
          <cell r="B192" t="str">
            <v>Samoa</v>
          </cell>
        </row>
        <row r="193">
          <cell r="B193" t="str">
            <v>San Marino</v>
          </cell>
        </row>
        <row r="194">
          <cell r="B194" t="str">
            <v>São Tomé &amp; Príncipe</v>
          </cell>
        </row>
        <row r="195">
          <cell r="B195" t="str">
            <v>Saudi Arabia</v>
          </cell>
        </row>
        <row r="196">
          <cell r="B196" t="str">
            <v>Senegal</v>
          </cell>
        </row>
        <row r="197">
          <cell r="B197" t="str">
            <v>Serbia</v>
          </cell>
        </row>
        <row r="198">
          <cell r="B198" t="str">
            <v>Seychelles</v>
          </cell>
        </row>
        <row r="199">
          <cell r="B199" t="str">
            <v>Sierra Leone</v>
          </cell>
        </row>
        <row r="200">
          <cell r="B200" t="str">
            <v>Singapore</v>
          </cell>
        </row>
        <row r="201">
          <cell r="B201" t="str">
            <v>Sint Maarten</v>
          </cell>
        </row>
        <row r="202">
          <cell r="B202" t="str">
            <v>Slovakia</v>
          </cell>
        </row>
        <row r="203">
          <cell r="B203" t="str">
            <v>Slovenia</v>
          </cell>
        </row>
        <row r="204">
          <cell r="B204" t="str">
            <v>Solomon Islands</v>
          </cell>
        </row>
        <row r="205">
          <cell r="B205" t="str">
            <v>Somalia</v>
          </cell>
        </row>
        <row r="206">
          <cell r="B206" t="str">
            <v>South Africa</v>
          </cell>
        </row>
        <row r="207">
          <cell r="B207" t="str">
            <v>South Georgia &amp; South Sandwich Islands</v>
          </cell>
        </row>
        <row r="208">
          <cell r="B208" t="str">
            <v>South Korea</v>
          </cell>
        </row>
        <row r="209">
          <cell r="B209" t="str">
            <v>South Sudan</v>
          </cell>
        </row>
        <row r="210">
          <cell r="B210" t="str">
            <v>Spain</v>
          </cell>
        </row>
        <row r="211">
          <cell r="B211" t="str">
            <v>Sri Lanka</v>
          </cell>
        </row>
        <row r="212">
          <cell r="B212" t="str">
            <v>St. Barthélemy</v>
          </cell>
        </row>
        <row r="213">
          <cell r="B213" t="str">
            <v>St. Helena</v>
          </cell>
        </row>
        <row r="214">
          <cell r="B214" t="str">
            <v>St. Kitts &amp; Nevis</v>
          </cell>
        </row>
        <row r="215">
          <cell r="B215" t="str">
            <v>St. Lucia</v>
          </cell>
        </row>
        <row r="216">
          <cell r="B216" t="str">
            <v>St. Martin</v>
          </cell>
        </row>
        <row r="217">
          <cell r="B217" t="str">
            <v>St. Pierre &amp; Miquelon</v>
          </cell>
        </row>
        <row r="218">
          <cell r="B218" t="str">
            <v>St. Vincent &amp; Grenadines</v>
          </cell>
        </row>
        <row r="219">
          <cell r="B219" t="str">
            <v>Sudan</v>
          </cell>
        </row>
        <row r="220">
          <cell r="B220" t="str">
            <v>Suriname</v>
          </cell>
        </row>
        <row r="221">
          <cell r="B221" t="str">
            <v>Svalbard &amp; Jan Mayen</v>
          </cell>
        </row>
        <row r="222">
          <cell r="B222" t="str">
            <v>Swaziland</v>
          </cell>
        </row>
        <row r="223">
          <cell r="B223" t="str">
            <v>Sweden</v>
          </cell>
        </row>
        <row r="224">
          <cell r="B224" t="str">
            <v>Switzerland</v>
          </cell>
        </row>
        <row r="225">
          <cell r="B225" t="str">
            <v>Syria</v>
          </cell>
        </row>
        <row r="226">
          <cell r="B226" t="str">
            <v>Taiwan</v>
          </cell>
        </row>
        <row r="227">
          <cell r="B227" t="str">
            <v>Tajikistan</v>
          </cell>
        </row>
        <row r="228">
          <cell r="B228" t="str">
            <v>Tanzania</v>
          </cell>
        </row>
        <row r="229">
          <cell r="B229" t="str">
            <v>Thailand</v>
          </cell>
        </row>
        <row r="230">
          <cell r="B230" t="str">
            <v>Timor,-Leste</v>
          </cell>
        </row>
        <row r="231">
          <cell r="B231" t="str">
            <v>Togo</v>
          </cell>
        </row>
        <row r="232">
          <cell r="B232" t="str">
            <v>Tokelau</v>
          </cell>
        </row>
        <row r="233">
          <cell r="B233" t="str">
            <v>Tonga</v>
          </cell>
        </row>
        <row r="234">
          <cell r="B234" t="str">
            <v>Trinidad &amp; Tobago</v>
          </cell>
        </row>
        <row r="235">
          <cell r="B235" t="str">
            <v>Tristan da Cunha</v>
          </cell>
        </row>
        <row r="236">
          <cell r="B236" t="str">
            <v>Tunisia</v>
          </cell>
        </row>
        <row r="237">
          <cell r="B237" t="str">
            <v>Turkey</v>
          </cell>
        </row>
        <row r="238">
          <cell r="B238" t="str">
            <v>Turkmenistan</v>
          </cell>
        </row>
        <row r="239">
          <cell r="B239" t="str">
            <v>Turks &amp; Caicos Islands</v>
          </cell>
        </row>
        <row r="240">
          <cell r="B240" t="str">
            <v>Tuvalu</v>
          </cell>
        </row>
        <row r="241">
          <cell r="B241" t="str">
            <v>U.S. Outlying Islands</v>
          </cell>
        </row>
        <row r="242">
          <cell r="B242" t="str">
            <v>U.S. Virgin Islands</v>
          </cell>
        </row>
        <row r="243">
          <cell r="B243" t="str">
            <v>Uganda</v>
          </cell>
        </row>
        <row r="244">
          <cell r="B244" t="str">
            <v>Ukraine</v>
          </cell>
        </row>
        <row r="245">
          <cell r="B245" t="str">
            <v>United Arab Emirates</v>
          </cell>
        </row>
        <row r="246">
          <cell r="B246" t="str">
            <v>United Kingdom</v>
          </cell>
        </row>
        <row r="247">
          <cell r="B247" t="str">
            <v>United States</v>
          </cell>
        </row>
        <row r="248">
          <cell r="B248" t="str">
            <v>Uruguay</v>
          </cell>
        </row>
        <row r="249">
          <cell r="B249" t="str">
            <v>Uzbekistan</v>
          </cell>
        </row>
        <row r="250">
          <cell r="B250" t="str">
            <v>Vanuatu</v>
          </cell>
        </row>
        <row r="251">
          <cell r="B251" t="str">
            <v>Vatican City</v>
          </cell>
        </row>
        <row r="252">
          <cell r="B252" t="str">
            <v>Venezuela</v>
          </cell>
        </row>
        <row r="253">
          <cell r="B253" t="str">
            <v>Vietnam</v>
          </cell>
        </row>
        <row r="254">
          <cell r="B254" t="str">
            <v>Wallis &amp; Futuna</v>
          </cell>
        </row>
        <row r="255">
          <cell r="B255" t="str">
            <v>Western Sahara</v>
          </cell>
        </row>
        <row r="256">
          <cell r="B256" t="str">
            <v>Yemen</v>
          </cell>
        </row>
        <row r="257">
          <cell r="B257" t="str">
            <v>Zambia</v>
          </cell>
        </row>
        <row r="258">
          <cell r="B258" t="str">
            <v xml:space="preserve">Zimbabwe </v>
          </cell>
        </row>
      </sheetData>
      <sheetData sheetId="48"/>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TableLookup"/>
    </sheetNames>
    <sheetDataSet>
      <sheetData sheetId="0" refreshError="1"/>
    </sheetDataSet>
  </externalBook>
</externalLink>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_rels/pivotCacheDefinition3.xml.rels><?xml version="1.0" encoding="UTF-8" standalone="yes"?>
<Relationships xmlns="http://schemas.openxmlformats.org/package/2006/relationships"><Relationship Id="rId1" Type="http://schemas.openxmlformats.org/officeDocument/2006/relationships/pivotCacheRecords" Target="pivotCacheRecords3.xml"/></Relationships>
</file>

<file path=xl/pivotCache/_rels/pivotCacheDefinition4.xml.rels><?xml version="1.0" encoding="UTF-8" standalone="yes"?>
<Relationships xmlns="http://schemas.openxmlformats.org/package/2006/relationships"><Relationship Id="rId1" Type="http://schemas.openxmlformats.org/officeDocument/2006/relationships/pivotCacheRecords" Target="pivotCacheRecords4.xml"/></Relationships>
</file>

<file path=xl/pivotCache/_rels/pivotCacheDefinition5.xml.rels><?xml version="1.0" encoding="UTF-8" standalone="yes"?>
<Relationships xmlns="http://schemas.openxmlformats.org/package/2006/relationships"><Relationship Id="rId1" Type="http://schemas.openxmlformats.org/officeDocument/2006/relationships/pivotCacheRecords" Target="pivotCacheRecords5.xml"/></Relationships>
</file>

<file path=xl/pivotCache/_rels/pivotCacheDefinition6.xml.rels><?xml version="1.0" encoding="UTF-8" standalone="yes"?>
<Relationships xmlns="http://schemas.openxmlformats.org/package/2006/relationships"><Relationship Id="rId1" Type="http://schemas.openxmlformats.org/officeDocument/2006/relationships/pivotCacheRecords" Target="pivotCacheRecords6.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Pieter van Zyl" refreshedDate="44318.45779699074" createdVersion="6" refreshedVersion="7" minRefreshableVersion="3" recordCount="25" xr:uid="{7C944472-2AB9-4B3E-85E2-FF4C6DCA38D0}">
  <cacheSource type="worksheet">
    <worksheetSource ref="A1:G1048576" sheet="Schedule"/>
  </cacheSource>
  <cacheFields count="7">
    <cacheField name="WorkID" numFmtId="0">
      <sharedItems containsBlank="1" count="10">
        <s v="p1"/>
        <s v="p2"/>
        <s v="p3"/>
        <s v="p4"/>
        <s v="s1"/>
        <s v="s2"/>
        <s v="s3"/>
        <s v="s4"/>
        <m/>
        <s v="p5" u="1"/>
      </sharedItems>
    </cacheField>
    <cacheField name="Work name" numFmtId="0">
      <sharedItems containsBlank="1"/>
    </cacheField>
    <cacheField name="PA" numFmtId="0">
      <sharedItems containsBlank="1" count="18">
        <s v="PI"/>
        <s v="TS"/>
        <s v="PR"/>
        <s v="RDM"/>
        <s v="VV"/>
        <s v="EST"/>
        <s v="MC"/>
        <s v="PLAN"/>
        <s v="RSK"/>
        <s v="CM"/>
        <s v="MPM"/>
        <s v="PAD"/>
        <s v="PCM"/>
        <s v="CAR"/>
        <s v="DAR"/>
        <s v="OT"/>
        <s v="PQA"/>
        <m/>
      </sharedItems>
    </cacheField>
    <cacheField name="Participant Name" numFmtId="0">
      <sharedItems containsBlank="1"/>
    </cacheField>
    <cacheField name="Role" numFmtId="0">
      <sharedItems containsBlank="1"/>
    </cacheField>
    <cacheField name="WordID2" numFmtId="0">
      <sharedItems containsBlank="1"/>
    </cacheField>
    <cacheField name="Included" numFmtId="0">
      <sharedItems containsBlank="1"/>
    </cacheField>
  </cacheFields>
  <extLst>
    <ext xmlns:x14="http://schemas.microsoft.com/office/spreadsheetml/2009/9/main" uri="{725AE2AE-9491-48be-B2B4-4EB974FC3084}">
      <x14:pivotCacheDefinition/>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Pieter van Zyl" refreshedDate="44318.457797453702" createdVersion="6" refreshedVersion="7" minRefreshableVersion="3" recordCount="19" xr:uid="{F270913D-DFED-4CCA-959C-761E07DA5D1C}">
  <cacheSource type="worksheet">
    <worksheetSource ref="A1:I1048576" sheet="Schedule2"/>
  </cacheSource>
  <cacheFields count="9">
    <cacheField name="WorkID" numFmtId="0">
      <sharedItems containsBlank="1"/>
    </cacheField>
    <cacheField name="Work name" numFmtId="0">
      <sharedItems containsBlank="1"/>
    </cacheField>
    <cacheField name="PA" numFmtId="0">
      <sharedItems containsBlank="1" count="18">
        <s v="PI"/>
        <s v="TS"/>
        <s v="PR"/>
        <s v="RDM"/>
        <s v="VV"/>
        <s v="EST"/>
        <s v="MC"/>
        <s v="PLAN"/>
        <s v="RSK"/>
        <s v="CM"/>
        <s v="CAR"/>
        <s v="DAR"/>
        <s v="MPM"/>
        <s v="PAD"/>
        <s v="PCM"/>
        <s v="OT"/>
        <s v="PQA"/>
        <m/>
      </sharedItems>
    </cacheField>
    <cacheField name="Participant Name" numFmtId="0">
      <sharedItems containsBlank="1"/>
    </cacheField>
    <cacheField name="Role" numFmtId="0">
      <sharedItems containsBlank="1"/>
    </cacheField>
    <cacheField name="WordID2" numFmtId="0">
      <sharedItems containsBlank="1"/>
    </cacheField>
    <cacheField name="Included" numFmtId="0">
      <sharedItems containsBlank="1"/>
    </cacheField>
    <cacheField name="Interview" numFmtId="0">
      <sharedItems containsBlank="1" count="7">
        <s v="[4] Engineering"/>
        <s v="[3] Project Management"/>
        <s v="[5] Configuration Management"/>
        <s v="[6] Process Management"/>
        <s v="[7] Organisational Training"/>
        <s v="[8] Process Quality Assurance"/>
        <m/>
      </sharedItems>
    </cacheField>
    <cacheField name="PA count" numFmtId="0">
      <sharedItems containsString="0" containsBlank="1" containsNumber="1" containsInteger="1" minValue="6" maxValue="22"/>
    </cacheField>
  </cacheFields>
  <extLst>
    <ext xmlns:x14="http://schemas.microsoft.com/office/spreadsheetml/2009/9/main" uri="{725AE2AE-9491-48be-B2B4-4EB974FC3084}">
      <x14:pivotCacheDefinition/>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Pieter van Zyl" refreshedDate="44318.457798495372" createdVersion="6" refreshedVersion="7" minRefreshableVersion="3" recordCount="29" xr:uid="{D3BF8097-D3E3-4DD9-9BF8-282845FDB30F}">
  <cacheSource type="worksheet">
    <worksheetSource ref="A2:Y99" sheet="Staff"/>
  </cacheSource>
  <cacheFields count="25">
    <cacheField name="WorkID" numFmtId="0">
      <sharedItems containsBlank="1"/>
    </cacheField>
    <cacheField name="Work name" numFmtId="0">
      <sharedItems containsBlank="1"/>
    </cacheField>
    <cacheField name="Name" numFmtId="0">
      <sharedItems containsBlank="1" count="51">
        <s v="Surname, Analyst 1"/>
        <s v="Surname, Designer1"/>
        <s v="Surname, Developer1"/>
        <s v="Surname, Testers1"/>
        <s v="Surname, Project Manager1"/>
        <s v="Surname, Analyst2"/>
        <s v="Surname, Designer2"/>
        <s v="Surname, Developer2"/>
        <s v="Surname, Testers2"/>
        <s v="Surname, Project Manager2"/>
        <s v="Surname, Analyst3"/>
        <s v="Surname, Designer3"/>
        <s v="Surname, Developer3"/>
        <s v="Surname, Testers3"/>
        <s v="Surname, Project Manager3"/>
        <s v="Surname, Analyst4"/>
        <s v="Surname, Designer4"/>
        <s v="Surname, Developer4"/>
        <s v="Surname, Testers4"/>
        <s v="Surname, Project Manager4"/>
        <s v="Surname, Configuration Manager1"/>
        <s v="Surname, Process manager2"/>
        <s v="Surname, Measurement manager2"/>
        <s v="Surname, Training Manager3"/>
        <s v="Surname, Process Assurance Manager4"/>
        <m/>
        <s v="Yang Zhiqiang" u="1"/>
        <s v="Li Song" u="1"/>
        <s v="Zheng Hao" u="1"/>
        <s v="Zheng Ming" u="1"/>
        <s v="Yan Xuanye" u="1"/>
        <s v="Ma Jun" u="1"/>
        <s v="Qi Liran" u="1"/>
        <s v="Xiong Mao" u="1"/>
        <s v="Wang Wenhao" u="1"/>
        <s v="Peng Bo" u="1"/>
        <s v="Bai Chunyu" u="1"/>
        <s v="Hu Yulei" u="1"/>
        <s v="Guo Jianwei" u="1"/>
        <s v="Pang Qi" u="1"/>
        <s v="Zhang Jie" u="1"/>
        <s v="Zhen Guolin" u="1"/>
        <s v="Wang Zhaoxia" u="1"/>
        <s v="Sun Bin" u="1"/>
        <s v="Zhang Xiaoling" u="1"/>
        <s v="Zhang Huiling" u="1"/>
        <s v="Zou Xuanjun" u="1"/>
        <s v="Zhao Limin" u="1"/>
        <s v="Liang Qi" u="1"/>
        <s v="Peng Xiaoping" u="1"/>
        <s v="Guo Siyu" u="1"/>
      </sharedItems>
    </cacheField>
    <cacheField name="Role" numFmtId="0">
      <sharedItems containsBlank="1"/>
    </cacheField>
    <cacheField name="Function/OU Name" numFmtId="0">
      <sharedItems containsBlank="1"/>
    </cacheField>
    <cacheField name="CAR" numFmtId="0">
      <sharedItems containsBlank="1"/>
    </cacheField>
    <cacheField name="CM" numFmtId="0">
      <sharedItems containsBlank="1"/>
    </cacheField>
    <cacheField name="DAR" numFmtId="0">
      <sharedItems containsBlank="1"/>
    </cacheField>
    <cacheField name="EST" numFmtId="0">
      <sharedItems containsBlank="1"/>
    </cacheField>
    <cacheField name="GOV" numFmtId="0">
      <sharedItems containsNonDate="0" containsString="0" containsBlank="1"/>
    </cacheField>
    <cacheField name="II" numFmtId="0">
      <sharedItems containsNonDate="0" containsString="0" containsBlank="1"/>
    </cacheField>
    <cacheField name="MPM" numFmtId="0">
      <sharedItems containsBlank="1"/>
    </cacheField>
    <cacheField name="MC" numFmtId="0">
      <sharedItems containsBlank="1"/>
    </cacheField>
    <cacheField name="OT" numFmtId="0">
      <sharedItems containsBlank="1"/>
    </cacheField>
    <cacheField name="PR" numFmtId="0">
      <sharedItems containsBlank="1"/>
    </cacheField>
    <cacheField name="PLAN" numFmtId="0">
      <sharedItems containsBlank="1"/>
    </cacheField>
    <cacheField name="PAD" numFmtId="0">
      <sharedItems containsBlank="1"/>
    </cacheField>
    <cacheField name="PCM" numFmtId="0">
      <sharedItems containsBlank="1"/>
    </cacheField>
    <cacheField name="PQA" numFmtId="0">
      <sharedItems containsBlank="1"/>
    </cacheField>
    <cacheField name="PI" numFmtId="0">
      <sharedItems containsBlank="1"/>
    </cacheField>
    <cacheField name="RDM" numFmtId="0">
      <sharedItems containsBlank="1"/>
    </cacheField>
    <cacheField name="RSK" numFmtId="0">
      <sharedItems containsBlank="1"/>
    </cacheField>
    <cacheField name="TS" numFmtId="0">
      <sharedItems containsBlank="1"/>
    </cacheField>
    <cacheField name="VV" numFmtId="0">
      <sharedItems containsBlank="1"/>
    </cacheField>
    <cacheField name="SAM" numFmtId="0">
      <sharedItems containsNonDate="0" containsString="0" containsBlank="1"/>
    </cacheField>
  </cacheFields>
  <extLst>
    <ext xmlns:x14="http://schemas.microsoft.com/office/spreadsheetml/2009/9/main" uri="{725AE2AE-9491-48be-B2B4-4EB974FC3084}">
      <x14:pivotCacheDefinition/>
    </ext>
  </extLst>
</pivotCacheDefinition>
</file>

<file path=xl/pivotCache/pivotCacheDefinition4.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Pieter van Zyl" refreshedDate="44318.457799074073" createdVersion="6" refreshedVersion="7" minRefreshableVersion="3" recordCount="29" xr:uid="{F94CAEF3-EBBB-4CA5-86C1-821EFCA6931A}">
  <cacheSource type="worksheet">
    <worksheetSource ref="A2:B561" sheet="Staff"/>
  </cacheSource>
  <cacheFields count="2">
    <cacheField name="WorkID" numFmtId="0">
      <sharedItems containsBlank="1" count="10">
        <s v="p1"/>
        <s v="p2"/>
        <s v="p3"/>
        <s v="P4"/>
        <s v="s1"/>
        <s v="s2"/>
        <s v="s3"/>
        <s v="s4"/>
        <m/>
        <s v="o1" u="1"/>
      </sharedItems>
    </cacheField>
    <cacheField name="Work name" numFmtId="0">
      <sharedItems containsBlank="1" count="14">
        <s v="P1-Falcon9"/>
        <s v="P2-Raptor"/>
        <s v="P3-Starship"/>
        <s v="P4-SupperHeavy"/>
        <s v="S1-CM"/>
        <s v="S2-EPG-MA"/>
        <s v="S3-HR"/>
        <s v="S4-PPQA"/>
        <m/>
        <s v="P3-CSNDM" u="1"/>
        <s v="o1Organisation" u="1"/>
        <s v="P1-SAS" u="1"/>
        <s v="P4-SPDIP" u="1"/>
        <s v="P2-EISP" u="1"/>
      </sharedItems>
    </cacheField>
  </cacheFields>
  <extLst>
    <ext xmlns:x14="http://schemas.microsoft.com/office/spreadsheetml/2009/9/main" uri="{725AE2AE-9491-48be-B2B4-4EB974FC3084}">
      <x14:pivotCacheDefinition/>
    </ext>
  </extLst>
</pivotCacheDefinition>
</file>

<file path=xl/pivotCache/pivotCacheDefinition5.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Pieter van Zyl" refreshedDate="44318.457799884258" createdVersion="6" refreshedVersion="7" minRefreshableVersion="3" recordCount="19" xr:uid="{8D08BA66-43B5-4625-B4C6-4829463ED122}">
  <cacheSource type="worksheet">
    <worksheetSource ref="D1:H1048576" sheet="Schedule2"/>
  </cacheSource>
  <cacheFields count="5">
    <cacheField name="Participant Name" numFmtId="0">
      <sharedItems containsBlank="1" count="71">
        <s v="Surname, Developer1"/>
        <s v="Surname, Designer1"/>
        <s v="Surname, Analyst2"/>
        <s v="Surname, Developer2"/>
        <s v="Surname, Project Manager3"/>
        <s v="Surname, Project Manager4"/>
        <s v="Surname, Configuration Manager1"/>
        <s v="Surname, Process manager2"/>
        <s v="Surname, Training Manager3"/>
        <s v="Surname, Process Assurance Manager4"/>
        <m/>
        <s v="Developer 1" u="1"/>
        <s v="Dong Aoyuan" u="1"/>
        <s v="Xu Qing" u="1"/>
        <s v="Yan Xiaoneng" u="1"/>
        <s v="Developer 3" u="1"/>
        <s v="Developer 4" u="1"/>
        <s v="Lin Liang" u="1"/>
        <s v="Li Zheng" u="1"/>
        <s v="Zhang Lingfei" u="1"/>
        <s v="Jin Zhili" u="1"/>
        <s v="Lu Zhiwei" u="1"/>
        <s v="Dan Runping" u="1"/>
        <s v="Mai Jinchao 1" u="1"/>
        <s v="Yuan Xiaojing" u="1"/>
        <s v="Li Xuebin" u="1"/>
        <s v="Project Manager 4" u="1"/>
        <s v="Tan Zhicong" u="1"/>
        <s v="Li Yao" u="1"/>
        <s v="Zhou Huali" u="1"/>
        <s v="Ou Xiuyun" u="1"/>
        <s v="Song Tong" u="1"/>
        <s v="Designer 3" u="1"/>
        <s v="Xu yong" u="1"/>
        <s v="Peng Ding" u="1"/>
        <s v="Pan Yingqi" u="1"/>
        <s v="Yang Hang" u="1"/>
        <s v="Project Manager 2" u="1"/>
        <s v="Training Manager 1" u="1"/>
        <s v="Lin Qinyi" u="1"/>
        <s v="Pan Zhenhong" u="1"/>
        <s v="Ye Qinyi" u="1"/>
        <s v="Project Manager 1" u="1"/>
        <s v="Lin Jianping" u="1"/>
        <s v="Du Lin" u="1"/>
        <s v="Su Zhonghua" u="1"/>
        <s v="Li Yanfen" u="1"/>
        <s v="Chen Wucong" u="1"/>
        <s v="Chen Zunfan" u="1"/>
        <s v="Config Manager 1" u="1"/>
        <s v="Processs Manger 1" u="1"/>
        <s v="Peng Zhilun" u="1"/>
        <s v="Huang Weibin" u="1"/>
        <s v="Dong Zhengfei" u="1"/>
        <s v="Wei Linpei " u="1"/>
        <s v="Huang Jianyong" u="1"/>
        <s v="Li Xiaoxiao" u="1"/>
        <s v="Tang Xingchu" u="1"/>
        <s v="He Shuichao" u="1"/>
        <s v="Liu Xinlei" u="1"/>
        <s v="Liang Jingwen" u="1"/>
        <s v="Lin Zhenqun" u="1"/>
        <s v="Cui Taotao" u="1"/>
        <s v="Zhu Liudan" u="1"/>
        <s v="Analyst 4" u="1"/>
        <s v="PQA Manager 1" u="1"/>
        <s v="Zhang Hongtong" u="1"/>
        <s v="Zhao Lisha" u="1"/>
        <s v="Ye Yunwei" u="1"/>
        <s v="Huang Xinghao" u="1"/>
        <s v="Xu Xiaowen" u="1"/>
      </sharedItems>
    </cacheField>
    <cacheField name="Role" numFmtId="0">
      <sharedItems containsBlank="1"/>
    </cacheField>
    <cacheField name="WordID2" numFmtId="0">
      <sharedItems containsBlank="1"/>
    </cacheField>
    <cacheField name="Included" numFmtId="0">
      <sharedItems containsBlank="1"/>
    </cacheField>
    <cacheField name="Interview" numFmtId="0">
      <sharedItems containsBlank="1" count="16">
        <s v="[4] Engineering"/>
        <s v="[3] Project Management"/>
        <s v="[5] Configuration Management"/>
        <s v="[6] Process Management"/>
        <s v="[7] Organisational Training"/>
        <s v="[8] Process Quality Assurance"/>
        <m/>
        <s v="Process and Product Quality Assurance" u="1"/>
        <s v="[6] Process Engineering Group" u="1"/>
        <s v="Engineering" u="1"/>
        <s v="Organisational Training" u="1"/>
        <s v="Process Engineering Group" u="1"/>
        <s v="Project Management" u="1"/>
        <s v="Process and Product QA" u="1"/>
        <s v="Configuration Management" u="1"/>
        <s v="[8] Process and Product Quality Assurance" u="1"/>
      </sharedItems>
    </cacheField>
  </cacheFields>
  <extLst>
    <ext xmlns:x14="http://schemas.microsoft.com/office/spreadsheetml/2009/9/main" uri="{725AE2AE-9491-48be-B2B4-4EB974FC3084}">
      <x14:pivotCacheDefinition/>
    </ext>
  </extLst>
</pivotCacheDefinition>
</file>

<file path=xl/pivotCache/pivotCacheDefinition6.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Pieter van Zyl" refreshedDate="44318.45780034722" createdVersion="6" refreshedVersion="7" minRefreshableVersion="3" recordCount="19" xr:uid="{7A41DB9D-D643-451D-8180-062948BB04CE}">
  <cacheSource type="worksheet">
    <worksheetSource ref="A1:H1048576" sheet="Schedule2"/>
  </cacheSource>
  <cacheFields count="8">
    <cacheField name="WorkID" numFmtId="0">
      <sharedItems containsBlank="1"/>
    </cacheField>
    <cacheField name="Work name" numFmtId="0">
      <sharedItems containsBlank="1" count="40">
        <s v="P1-Falcon9"/>
        <s v="P2-Raptor"/>
        <s v="P3-Starship"/>
        <s v="P4-SupperHeavy"/>
        <s v="S1-CM"/>
        <s v="S2-EPG-MA"/>
        <s v="S3-HR"/>
        <s v="S4-PPQA"/>
        <m/>
        <s v="p1ProjectNameA" u="1"/>
        <s v="P1SES" u="1"/>
        <s v="p4PRojectNameD" u="1"/>
        <s v="EPG/MA" u="1"/>
        <s v="MG6008C" u="1"/>
        <s v="Intelligent supervision platform" u="1"/>
        <s v="p1JFPMS202005001" u="1"/>
        <s v="OT" u="1"/>
        <s v="P4SSM" u="1"/>
        <s v="MG6128L" u="1"/>
        <s v="p3JFPMS202001040" u="1"/>
        <s v="p3ProjectNameC" u="1"/>
        <s v="p4JFPMS202003021" u="1"/>
        <s v="PPQA" u="1"/>
        <s v="CM" u="1"/>
        <s v="P5WMS" u="1"/>
        <s v="p5 AIMS" u="1"/>
        <s v="p2DGP Assessment" u="1"/>
        <s v="s3HR" u="1"/>
        <s v="s3OT" u="1"/>
        <s v="p2JFPMS202004057" u="1"/>
        <s v="p2ProjectNameB" u="1"/>
        <s v="Lawyer remote meeting system" u="1"/>
        <s v="s2EPG/MA" u="1"/>
        <s v="P2BEU" u="1"/>
        <s v="s4PPQA" u="1"/>
        <s v="p1DGP Smart Campus" u="1"/>
        <s v="P3EMM" u="1"/>
        <s v="Traffic information control platform" u="1"/>
        <s v="s1CM" u="1"/>
        <s v="p3 NDC" u="1"/>
      </sharedItems>
    </cacheField>
    <cacheField name="PA" numFmtId="0">
      <sharedItems containsBlank="1" count="18">
        <s v="PI"/>
        <s v="TS"/>
        <s v="PR"/>
        <s v="RDM"/>
        <s v="VV"/>
        <s v="EST"/>
        <s v="MC"/>
        <s v="PLAN"/>
        <s v="RSK"/>
        <s v="CM"/>
        <s v="CAR"/>
        <s v="DAR"/>
        <s v="MPM"/>
        <s v="PAD"/>
        <s v="PCM"/>
        <s v="OT"/>
        <s v="PQA"/>
        <m/>
      </sharedItems>
    </cacheField>
    <cacheField name="Participant Name" numFmtId="0">
      <sharedItems containsBlank="1" count="71">
        <s v="Surname, Developer1"/>
        <s v="Surname, Designer1"/>
        <s v="Surname, Analyst2"/>
        <s v="Surname, Developer2"/>
        <s v="Surname, Project Manager3"/>
        <s v="Surname, Project Manager4"/>
        <s v="Surname, Configuration Manager1"/>
        <s v="Surname, Process manager2"/>
        <s v="Surname, Training Manager3"/>
        <s v="Surname, Process Assurance Manager4"/>
        <m/>
        <s v="Developer 1" u="1"/>
        <s v="Dong Aoyuan" u="1"/>
        <s v="Xu Qing" u="1"/>
        <s v="Yan Xiaoneng" u="1"/>
        <s v="Developer 3" u="1"/>
        <s v="Developer 4" u="1"/>
        <s v="Lin Liang" u="1"/>
        <s v="Li Zheng" u="1"/>
        <s v="Zhang Lingfei" u="1"/>
        <s v="Jin Zhili" u="1"/>
        <s v="Lu Zhiwei" u="1"/>
        <s v="Dan Runping" u="1"/>
        <s v="Mai Jinchao 1" u="1"/>
        <s v="Yuan Xiaojing" u="1"/>
        <s v="Li Xuebin" u="1"/>
        <s v="Project Manager 4" u="1"/>
        <s v="Tan Zhicong" u="1"/>
        <s v="Li Yao" u="1"/>
        <s v="Zhou Huali" u="1"/>
        <s v="Ou Xiuyun" u="1"/>
        <s v="Song Tong" u="1"/>
        <s v="Designer 3" u="1"/>
        <s v="Xu yong" u="1"/>
        <s v="Peng Ding" u="1"/>
        <s v="Pan Yingqi" u="1"/>
        <s v="Yang Hang" u="1"/>
        <s v="Project Manager 2" u="1"/>
        <s v="Training Manager 1" u="1"/>
        <s v="Lin Qinyi" u="1"/>
        <s v="Pan Zhenhong" u="1"/>
        <s v="Ye Qinyi" u="1"/>
        <s v="Project Manager 1" u="1"/>
        <s v="Lin Jianping" u="1"/>
        <s v="Du Lin" u="1"/>
        <s v="Su Zhonghua" u="1"/>
        <s v="Li Yanfen" u="1"/>
        <s v="Chen Wucong" u="1"/>
        <s v="Chen Zunfan" u="1"/>
        <s v="Config Manager 1" u="1"/>
        <s v="Processs Manger 1" u="1"/>
        <s v="Peng Zhilun" u="1"/>
        <s v="Huang Weibin" u="1"/>
        <s v="Dong Zhengfei" u="1"/>
        <s v="Wei Linpei " u="1"/>
        <s v="Huang Jianyong" u="1"/>
        <s v="Li Xiaoxiao" u="1"/>
        <s v="Tang Xingchu" u="1"/>
        <s v="He Shuichao" u="1"/>
        <s v="Liu Xinlei" u="1"/>
        <s v="Liang Jingwen" u="1"/>
        <s v="Lin Zhenqun" u="1"/>
        <s v="Cui Taotao" u="1"/>
        <s v="Zhu Liudan" u="1"/>
        <s v="Analyst 4" u="1"/>
        <s v="PQA Manager 1" u="1"/>
        <s v="Zhang Hongtong" u="1"/>
        <s v="Zhao Lisha" u="1"/>
        <s v="Ye Yunwei" u="1"/>
        <s v="Huang Xinghao" u="1"/>
        <s v="Xu Xiaowen" u="1"/>
      </sharedItems>
    </cacheField>
    <cacheField name="Role" numFmtId="0">
      <sharedItems containsBlank="1" count="13">
        <s v="Developer"/>
        <s v="Designer"/>
        <s v="Analyst"/>
        <s v="Project Manager"/>
        <s v="Configuration Manager"/>
        <s v="Process manager"/>
        <s v="Training Manager"/>
        <s v="Process Assurance Manager"/>
        <m/>
        <s v="Process Engineering" u="1"/>
        <s v="Quality Assurance Staff" u="1"/>
        <s v="Head of training" u="1"/>
        <s v="Testers" u="1"/>
      </sharedItems>
    </cacheField>
    <cacheField name="WordID2" numFmtId="0">
      <sharedItems containsBlank="1"/>
    </cacheField>
    <cacheField name="Included" numFmtId="0">
      <sharedItems containsBlank="1" count="2">
        <s v="x"/>
        <m/>
      </sharedItems>
    </cacheField>
    <cacheField name="Interview" numFmtId="0">
      <sharedItems containsBlank="1"/>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5">
  <r>
    <x v="0"/>
    <s v="P1-Falcon9"/>
    <x v="0"/>
    <s v="Surname, Developer1"/>
    <s v="Developer"/>
    <s v="p1"/>
    <s v="x"/>
  </r>
  <r>
    <x v="0"/>
    <s v="P1-Falcon9"/>
    <x v="1"/>
    <s v="Surname, Designer1"/>
    <s v="Designer"/>
    <s v="p1"/>
    <s v="x"/>
  </r>
  <r>
    <x v="0"/>
    <s v="P1-Falcon9"/>
    <x v="1"/>
    <s v="Surname, Developer1"/>
    <s v="Developer"/>
    <s v="p1"/>
    <m/>
  </r>
  <r>
    <x v="1"/>
    <s v="P2-Raptor"/>
    <x v="2"/>
    <s v="Surname, Analyst2"/>
    <s v="Analyst"/>
    <s v="p2"/>
    <s v="x"/>
  </r>
  <r>
    <x v="1"/>
    <s v="P2-Raptor"/>
    <x v="2"/>
    <s v="Surname, Designer2"/>
    <s v="Designer"/>
    <s v="p2"/>
    <m/>
  </r>
  <r>
    <x v="1"/>
    <s v="P2-Raptor"/>
    <x v="2"/>
    <s v="Surname, Developer2"/>
    <s v="Developer"/>
    <s v="p2"/>
    <m/>
  </r>
  <r>
    <x v="1"/>
    <s v="P2-Raptor"/>
    <x v="2"/>
    <s v="Surname, Testers2"/>
    <s v="Tester"/>
    <s v="p2"/>
    <m/>
  </r>
  <r>
    <x v="1"/>
    <s v="P2-Raptor"/>
    <x v="2"/>
    <s v="Surname, Project Manager2"/>
    <s v="Project Manager"/>
    <s v="p2"/>
    <m/>
  </r>
  <r>
    <x v="1"/>
    <s v="P2-Raptor"/>
    <x v="3"/>
    <s v="Surname, Analyst2"/>
    <s v="Analyst"/>
    <s v="p2"/>
    <s v="x"/>
  </r>
  <r>
    <x v="1"/>
    <s v="P2-Raptor"/>
    <x v="4"/>
    <s v="Surname, Developer2"/>
    <s v="Developer"/>
    <s v="p2"/>
    <s v="x"/>
  </r>
  <r>
    <x v="1"/>
    <s v="P2-Raptor"/>
    <x v="4"/>
    <s v="Surname, Testers2"/>
    <s v="Tester"/>
    <s v="p2"/>
    <m/>
  </r>
  <r>
    <x v="2"/>
    <s v="P3-Starship"/>
    <x v="5"/>
    <s v="Surname, Project Manager3"/>
    <s v="Project Manager"/>
    <s v="p3"/>
    <s v="x"/>
  </r>
  <r>
    <x v="2"/>
    <s v="P3-Starship"/>
    <x v="6"/>
    <s v="Surname, Project Manager3"/>
    <s v="Project Manager"/>
    <s v="p3"/>
    <s v="x"/>
  </r>
  <r>
    <x v="2"/>
    <s v="P3-Starship"/>
    <x v="7"/>
    <s v="Surname, Project Manager3"/>
    <s v="Project Manager"/>
    <s v="p3"/>
    <s v="x"/>
  </r>
  <r>
    <x v="3"/>
    <s v="P4-SupperHeavy"/>
    <x v="8"/>
    <s v="Surname, Project Manager4"/>
    <s v="Project Manager"/>
    <s v="p4"/>
    <s v="x"/>
  </r>
  <r>
    <x v="4"/>
    <s v="S1-CM"/>
    <x v="9"/>
    <s v="Surname, Configuration Manager1"/>
    <s v="Configuration Manager"/>
    <s v="s1"/>
    <s v="x"/>
  </r>
  <r>
    <x v="5"/>
    <s v="S2-EPG-MA"/>
    <x v="10"/>
    <s v="Surname, Measurement manager2"/>
    <s v="Measurements manager"/>
    <s v="s2"/>
    <s v="x"/>
  </r>
  <r>
    <x v="5"/>
    <s v="S2-EPG-MA"/>
    <x v="11"/>
    <s v="Surname, Process manager2"/>
    <s v="Process manager"/>
    <s v="s2"/>
    <s v="x"/>
  </r>
  <r>
    <x v="5"/>
    <s v="S2-EPG-MA"/>
    <x v="12"/>
    <s v="Surname, Process manager2"/>
    <s v="Process manager"/>
    <s v="s2"/>
    <s v="x"/>
  </r>
  <r>
    <x v="5"/>
    <s v="S2-EPG-MA"/>
    <x v="13"/>
    <s v="Surname, Measurement manager2"/>
    <s v="Measurements manager"/>
    <s v="s2"/>
    <s v="x"/>
  </r>
  <r>
    <x v="5"/>
    <s v="S2-EPG-MA"/>
    <x v="14"/>
    <s v="Surname, Process manager2"/>
    <s v="Process manager"/>
    <s v="s2"/>
    <s v="x"/>
  </r>
  <r>
    <x v="5"/>
    <s v="S2-EPG-MA"/>
    <x v="14"/>
    <s v="Surname, Measurement manager2"/>
    <s v="Measurements manager"/>
    <s v="s2"/>
    <m/>
  </r>
  <r>
    <x v="6"/>
    <s v="S3-HR"/>
    <x v="15"/>
    <s v="Surname, Training Manager3"/>
    <s v="Training Manager"/>
    <s v="s3"/>
    <s v="x"/>
  </r>
  <r>
    <x v="7"/>
    <s v="S4-PPQA"/>
    <x v="16"/>
    <s v="Surname, Process Assurance Manager4"/>
    <s v="Process Assurance Manager"/>
    <s v="s4"/>
    <s v="x"/>
  </r>
  <r>
    <x v="8"/>
    <m/>
    <x v="17"/>
    <m/>
    <m/>
    <m/>
    <m/>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9">
  <r>
    <s v="p1"/>
    <s v="P1-Falcon9"/>
    <x v="0"/>
    <s v="Surname, Developer1"/>
    <s v="Developer"/>
    <s v="p1"/>
    <s v="x"/>
    <x v="0"/>
    <n v="10"/>
  </r>
  <r>
    <s v="p1"/>
    <s v="P1-Falcon9"/>
    <x v="1"/>
    <s v="Surname, Designer1"/>
    <s v="Designer"/>
    <s v="p1"/>
    <s v="x"/>
    <x v="0"/>
    <n v="10"/>
  </r>
  <r>
    <s v="p2"/>
    <s v="P2-Raptor"/>
    <x v="2"/>
    <s v="Surname, Analyst2"/>
    <s v="Analyst"/>
    <s v="p2"/>
    <s v="x"/>
    <x v="0"/>
    <n v="6"/>
  </r>
  <r>
    <s v="p2"/>
    <s v="P2-Raptor"/>
    <x v="3"/>
    <s v="Surname, Analyst2"/>
    <s v="Analyst"/>
    <s v="p2"/>
    <s v="x"/>
    <x v="0"/>
    <n v="14"/>
  </r>
  <r>
    <s v="p2"/>
    <s v="P2-Raptor"/>
    <x v="4"/>
    <s v="Surname, Developer2"/>
    <s v="Developer"/>
    <s v="p2"/>
    <s v="x"/>
    <x v="0"/>
    <n v="7"/>
  </r>
  <r>
    <s v="p3"/>
    <s v="P3-Starship"/>
    <x v="5"/>
    <s v="Surname, Project Manager3"/>
    <s v="Project Manager"/>
    <s v="p3"/>
    <s v="x"/>
    <x v="1"/>
    <n v="6"/>
  </r>
  <r>
    <s v="p3"/>
    <s v="P3-Starship"/>
    <x v="6"/>
    <s v="Surname, Project Manager3"/>
    <s v="Project Manager"/>
    <s v="p3"/>
    <s v="x"/>
    <x v="1"/>
    <n v="10"/>
  </r>
  <r>
    <s v="p3"/>
    <s v="P3-Starship"/>
    <x v="7"/>
    <s v="Surname, Project Manager3"/>
    <s v="Project Manager"/>
    <s v="p3"/>
    <s v="x"/>
    <x v="1"/>
    <n v="15"/>
  </r>
  <r>
    <s v="p4"/>
    <s v="P4-SupperHeavy"/>
    <x v="8"/>
    <s v="Surname, Project Manager4"/>
    <s v="Project Manager"/>
    <s v="p4"/>
    <s v="x"/>
    <x v="1"/>
    <n v="8"/>
  </r>
  <r>
    <s v="s1"/>
    <s v="S1-CM"/>
    <x v="9"/>
    <s v="Surname, Configuration Manager1"/>
    <s v="Configuration Manager"/>
    <s v="s1"/>
    <s v="x"/>
    <x v="2"/>
    <n v="7"/>
  </r>
  <r>
    <s v="s2"/>
    <s v="S2-EPG-MA"/>
    <x v="10"/>
    <s v="Surname, Process manager2"/>
    <s v="Process manager"/>
    <s v="s2"/>
    <s v="x"/>
    <x v="3"/>
    <n v="11"/>
  </r>
  <r>
    <s v="s2"/>
    <s v="S2-EPG-MA"/>
    <x v="11"/>
    <s v="Surname, Process manager2"/>
    <s v="Process manager"/>
    <s v="s2"/>
    <s v="x"/>
    <x v="3"/>
    <n v="8"/>
  </r>
  <r>
    <s v="s2"/>
    <s v="S2-EPG-MA"/>
    <x v="12"/>
    <s v="Surname, Process manager2"/>
    <s v="Process manager"/>
    <s v="s2"/>
    <s v="x"/>
    <x v="3"/>
    <n v="22"/>
  </r>
  <r>
    <s v="s2"/>
    <s v="S2-EPG-MA"/>
    <x v="13"/>
    <s v="Surname, Process manager2"/>
    <s v="Process manager"/>
    <s v="s2"/>
    <s v="x"/>
    <x v="3"/>
    <n v="11"/>
  </r>
  <r>
    <s v="s2"/>
    <s v="S2-EPG-MA"/>
    <x v="14"/>
    <s v="Surname, Process manager2"/>
    <s v="Process manager"/>
    <s v="s2"/>
    <s v="x"/>
    <x v="3"/>
    <n v="11"/>
  </r>
  <r>
    <s v="s3"/>
    <s v="S3-HR"/>
    <x v="15"/>
    <s v="Surname, Training Manager3"/>
    <s v="Training Manager"/>
    <s v="s3"/>
    <s v="x"/>
    <x v="4"/>
    <n v="9"/>
  </r>
  <r>
    <s v="s4"/>
    <s v="S4-PPQA"/>
    <x v="16"/>
    <s v="Surname, Process Assurance Manager4"/>
    <s v="Process Assurance Manager"/>
    <s v="s4"/>
    <s v="x"/>
    <x v="5"/>
    <n v="6"/>
  </r>
  <r>
    <m/>
    <m/>
    <x v="17"/>
    <m/>
    <m/>
    <m/>
    <m/>
    <x v="6"/>
    <m/>
  </r>
  <r>
    <m/>
    <m/>
    <x v="17"/>
    <m/>
    <m/>
    <m/>
    <m/>
    <x v="6"/>
    <m/>
  </r>
</pivotCacheRecords>
</file>

<file path=xl/pivotCache/pivotCacheRecords3.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9">
  <r>
    <s v="p1"/>
    <s v="P1-Falcon9"/>
    <x v="0"/>
    <s v="Analyst"/>
    <s v="Analyst function in OU"/>
    <m/>
    <m/>
    <m/>
    <m/>
    <m/>
    <m/>
    <m/>
    <m/>
    <m/>
    <s v="x"/>
    <m/>
    <m/>
    <m/>
    <m/>
    <m/>
    <s v="x"/>
    <m/>
    <m/>
    <m/>
    <m/>
  </r>
  <r>
    <s v="p1"/>
    <s v="P1-Falcon9"/>
    <x v="1"/>
    <s v="Designer"/>
    <s v="Designer function in OU"/>
    <m/>
    <m/>
    <m/>
    <m/>
    <m/>
    <m/>
    <m/>
    <m/>
    <m/>
    <s v="x"/>
    <m/>
    <m/>
    <m/>
    <m/>
    <m/>
    <m/>
    <m/>
    <s v="x"/>
    <m/>
    <m/>
  </r>
  <r>
    <s v="p1"/>
    <s v="P1-Falcon9"/>
    <x v="2"/>
    <s v="Developer"/>
    <s v="Developer function in OU"/>
    <m/>
    <m/>
    <m/>
    <m/>
    <m/>
    <m/>
    <m/>
    <m/>
    <m/>
    <s v="x"/>
    <m/>
    <m/>
    <m/>
    <m/>
    <s v="x"/>
    <m/>
    <m/>
    <s v="x"/>
    <s v="x"/>
    <m/>
  </r>
  <r>
    <s v="p1"/>
    <s v="P1-Falcon9"/>
    <x v="3"/>
    <s v="Tester"/>
    <s v="Tester function in OU"/>
    <m/>
    <m/>
    <m/>
    <m/>
    <m/>
    <m/>
    <m/>
    <m/>
    <m/>
    <s v="x"/>
    <m/>
    <m/>
    <m/>
    <m/>
    <m/>
    <m/>
    <m/>
    <m/>
    <s v="x"/>
    <m/>
  </r>
  <r>
    <s v="p1"/>
    <s v="P1-Falcon9"/>
    <x v="4"/>
    <s v="Project Manager"/>
    <s v="Project Manager function in OU"/>
    <s v="x"/>
    <m/>
    <s v="x"/>
    <s v="x"/>
    <m/>
    <m/>
    <m/>
    <s v="x"/>
    <m/>
    <s v="x"/>
    <s v="x"/>
    <m/>
    <m/>
    <m/>
    <m/>
    <m/>
    <s v="x"/>
    <m/>
    <m/>
    <m/>
  </r>
  <r>
    <s v="p2"/>
    <s v="P2-Raptor"/>
    <x v="5"/>
    <s v="Analyst"/>
    <s v="Analyst function in OU"/>
    <m/>
    <m/>
    <m/>
    <m/>
    <m/>
    <m/>
    <m/>
    <m/>
    <m/>
    <s v="x"/>
    <m/>
    <m/>
    <m/>
    <m/>
    <m/>
    <s v="x"/>
    <m/>
    <m/>
    <m/>
    <m/>
  </r>
  <r>
    <s v="p2"/>
    <s v="P2-Raptor"/>
    <x v="6"/>
    <s v="Designer"/>
    <s v="Designer function in OU"/>
    <m/>
    <m/>
    <m/>
    <m/>
    <m/>
    <m/>
    <m/>
    <m/>
    <m/>
    <s v="x"/>
    <m/>
    <m/>
    <m/>
    <m/>
    <m/>
    <m/>
    <m/>
    <s v="x"/>
    <m/>
    <m/>
  </r>
  <r>
    <s v="p2"/>
    <s v="P2-Raptor"/>
    <x v="7"/>
    <s v="Developer"/>
    <s v="Developer function in OU"/>
    <m/>
    <m/>
    <m/>
    <m/>
    <m/>
    <m/>
    <m/>
    <m/>
    <m/>
    <s v="x"/>
    <m/>
    <m/>
    <m/>
    <m/>
    <s v="x"/>
    <m/>
    <m/>
    <s v="x"/>
    <s v="x"/>
    <m/>
  </r>
  <r>
    <s v="p2"/>
    <s v="P2-Raptor"/>
    <x v="8"/>
    <s v="Tester"/>
    <s v="Tester function in OU"/>
    <m/>
    <m/>
    <m/>
    <m/>
    <m/>
    <m/>
    <m/>
    <m/>
    <m/>
    <s v="x"/>
    <m/>
    <m/>
    <m/>
    <m/>
    <m/>
    <m/>
    <m/>
    <m/>
    <s v="x"/>
    <m/>
  </r>
  <r>
    <s v="p2"/>
    <s v="P2-Raptor"/>
    <x v="9"/>
    <s v="Project Manager"/>
    <s v="Project Manager function in OU"/>
    <s v="x"/>
    <m/>
    <s v="x"/>
    <s v="x"/>
    <m/>
    <m/>
    <m/>
    <s v="x"/>
    <m/>
    <s v="x"/>
    <s v="x"/>
    <m/>
    <m/>
    <m/>
    <m/>
    <m/>
    <s v="x"/>
    <m/>
    <m/>
    <m/>
  </r>
  <r>
    <s v="p3"/>
    <s v="P3-Starship"/>
    <x v="10"/>
    <s v="Analyst"/>
    <s v="Analyst function in OU"/>
    <m/>
    <m/>
    <m/>
    <m/>
    <m/>
    <m/>
    <m/>
    <m/>
    <m/>
    <s v="x"/>
    <m/>
    <m/>
    <m/>
    <m/>
    <m/>
    <s v="x"/>
    <m/>
    <m/>
    <m/>
    <m/>
  </r>
  <r>
    <s v="p3"/>
    <s v="P3-Starship"/>
    <x v="11"/>
    <s v="Designer"/>
    <s v="Designer function in OU"/>
    <m/>
    <m/>
    <m/>
    <m/>
    <m/>
    <m/>
    <m/>
    <m/>
    <m/>
    <s v="x"/>
    <m/>
    <m/>
    <m/>
    <m/>
    <m/>
    <m/>
    <m/>
    <s v="x"/>
    <m/>
    <m/>
  </r>
  <r>
    <s v="p3"/>
    <s v="P3-Starship"/>
    <x v="12"/>
    <s v="Developer"/>
    <s v="Developer function in OU"/>
    <m/>
    <m/>
    <m/>
    <m/>
    <m/>
    <m/>
    <m/>
    <m/>
    <m/>
    <s v="x"/>
    <m/>
    <m/>
    <m/>
    <m/>
    <s v="x"/>
    <m/>
    <m/>
    <s v="x"/>
    <s v="x"/>
    <m/>
  </r>
  <r>
    <s v="p3"/>
    <s v="P3-Starship"/>
    <x v="13"/>
    <s v="Tester"/>
    <s v="Tester function in OU"/>
    <m/>
    <m/>
    <m/>
    <m/>
    <m/>
    <m/>
    <m/>
    <m/>
    <m/>
    <s v="x"/>
    <m/>
    <m/>
    <m/>
    <m/>
    <m/>
    <m/>
    <m/>
    <m/>
    <s v="x"/>
    <m/>
  </r>
  <r>
    <s v="p3"/>
    <s v="P3-Starship"/>
    <x v="14"/>
    <s v="Project Manager"/>
    <s v="Project Manager function in OU"/>
    <s v="x"/>
    <m/>
    <s v="x"/>
    <s v="x"/>
    <m/>
    <m/>
    <m/>
    <s v="x"/>
    <m/>
    <s v="x"/>
    <s v="x"/>
    <m/>
    <m/>
    <m/>
    <m/>
    <m/>
    <s v="x"/>
    <m/>
    <m/>
    <m/>
  </r>
  <r>
    <s v="P4"/>
    <s v="P4-SupperHeavy"/>
    <x v="15"/>
    <s v="Analyst"/>
    <s v="Analyst function in OU"/>
    <m/>
    <m/>
    <m/>
    <m/>
    <m/>
    <m/>
    <m/>
    <m/>
    <m/>
    <s v="x"/>
    <m/>
    <m/>
    <m/>
    <m/>
    <m/>
    <s v="x"/>
    <m/>
    <m/>
    <m/>
    <m/>
  </r>
  <r>
    <s v="P4"/>
    <s v="P4-SupperHeavy"/>
    <x v="16"/>
    <s v="Designer"/>
    <s v="Designer function in OU"/>
    <m/>
    <m/>
    <m/>
    <m/>
    <m/>
    <m/>
    <m/>
    <m/>
    <m/>
    <s v="x"/>
    <m/>
    <m/>
    <m/>
    <m/>
    <m/>
    <m/>
    <m/>
    <s v="x"/>
    <m/>
    <m/>
  </r>
  <r>
    <s v="P4"/>
    <s v="P4-SupperHeavy"/>
    <x v="17"/>
    <s v="Developer"/>
    <s v="Developer function in OU"/>
    <m/>
    <m/>
    <m/>
    <m/>
    <m/>
    <m/>
    <m/>
    <m/>
    <m/>
    <s v="x"/>
    <m/>
    <m/>
    <m/>
    <m/>
    <s v="x"/>
    <m/>
    <m/>
    <s v="x"/>
    <s v="x"/>
    <m/>
  </r>
  <r>
    <s v="P4"/>
    <s v="P4-SupperHeavy"/>
    <x v="18"/>
    <s v="Tester"/>
    <s v="Tester function in OU"/>
    <m/>
    <m/>
    <m/>
    <m/>
    <m/>
    <m/>
    <m/>
    <m/>
    <m/>
    <s v="x"/>
    <m/>
    <m/>
    <m/>
    <m/>
    <m/>
    <m/>
    <m/>
    <m/>
    <s v="x"/>
    <m/>
  </r>
  <r>
    <s v="P4"/>
    <s v="P4-SupperHeavy"/>
    <x v="19"/>
    <s v="Project Manager"/>
    <s v="Project Manager function in OU"/>
    <s v="x"/>
    <m/>
    <s v="x"/>
    <s v="x"/>
    <m/>
    <m/>
    <m/>
    <s v="x"/>
    <m/>
    <s v="x"/>
    <s v="x"/>
    <m/>
    <m/>
    <m/>
    <m/>
    <m/>
    <s v="x"/>
    <m/>
    <m/>
    <m/>
  </r>
  <r>
    <s v="s1"/>
    <s v="S1-CM"/>
    <x v="20"/>
    <s v="Configuration Manager"/>
    <s v="Configuration Manager function in OU"/>
    <m/>
    <s v="x"/>
    <m/>
    <m/>
    <m/>
    <m/>
    <m/>
    <m/>
    <m/>
    <m/>
    <m/>
    <m/>
    <m/>
    <m/>
    <m/>
    <m/>
    <m/>
    <m/>
    <m/>
    <m/>
  </r>
  <r>
    <s v="s2"/>
    <s v="S2-EPG-MA"/>
    <x v="21"/>
    <s v="Process manager"/>
    <s v="Process manager function in OU"/>
    <m/>
    <m/>
    <s v="x"/>
    <m/>
    <m/>
    <m/>
    <m/>
    <m/>
    <m/>
    <m/>
    <m/>
    <s v="x"/>
    <s v="x"/>
    <m/>
    <m/>
    <m/>
    <m/>
    <m/>
    <m/>
    <m/>
  </r>
  <r>
    <s v="s2"/>
    <s v="S2-EPG-MA"/>
    <x v="22"/>
    <s v="Measurements manager"/>
    <s v="Measurements manager function in OU"/>
    <s v="x"/>
    <m/>
    <s v="x"/>
    <m/>
    <m/>
    <m/>
    <s v="x"/>
    <m/>
    <m/>
    <m/>
    <m/>
    <m/>
    <m/>
    <m/>
    <m/>
    <m/>
    <m/>
    <m/>
    <m/>
    <m/>
  </r>
  <r>
    <s v="s3"/>
    <s v="S3-HR"/>
    <x v="23"/>
    <s v="Training Manager"/>
    <s v="Training Manager function in OU"/>
    <m/>
    <m/>
    <m/>
    <m/>
    <m/>
    <m/>
    <m/>
    <m/>
    <s v="x"/>
    <m/>
    <m/>
    <m/>
    <m/>
    <m/>
    <m/>
    <m/>
    <m/>
    <m/>
    <m/>
    <m/>
  </r>
  <r>
    <s v="s4"/>
    <s v="S4-PPQA"/>
    <x v="24"/>
    <s v="Process Assurance Manager"/>
    <s v="Process Assurance Manager function in OU"/>
    <m/>
    <m/>
    <m/>
    <m/>
    <m/>
    <m/>
    <m/>
    <m/>
    <m/>
    <m/>
    <m/>
    <m/>
    <m/>
    <s v="x"/>
    <m/>
    <m/>
    <m/>
    <m/>
    <m/>
    <m/>
  </r>
  <r>
    <m/>
    <m/>
    <x v="25"/>
    <m/>
    <m/>
    <m/>
    <m/>
    <m/>
    <m/>
    <m/>
    <m/>
    <m/>
    <m/>
    <m/>
    <m/>
    <m/>
    <m/>
    <m/>
    <m/>
    <m/>
    <m/>
    <m/>
    <m/>
    <m/>
    <m/>
  </r>
  <r>
    <m/>
    <m/>
    <x v="25"/>
    <m/>
    <m/>
    <m/>
    <m/>
    <m/>
    <m/>
    <m/>
    <m/>
    <m/>
    <m/>
    <m/>
    <m/>
    <m/>
    <m/>
    <m/>
    <m/>
    <m/>
    <m/>
    <m/>
    <m/>
    <m/>
    <m/>
  </r>
  <r>
    <m/>
    <m/>
    <x v="25"/>
    <m/>
    <m/>
    <m/>
    <m/>
    <m/>
    <m/>
    <m/>
    <m/>
    <m/>
    <m/>
    <m/>
    <m/>
    <m/>
    <m/>
    <m/>
    <m/>
    <m/>
    <m/>
    <m/>
    <m/>
    <m/>
    <m/>
  </r>
  <r>
    <m/>
    <m/>
    <x v="25"/>
    <m/>
    <m/>
    <m/>
    <m/>
    <m/>
    <m/>
    <m/>
    <m/>
    <m/>
    <m/>
    <m/>
    <m/>
    <m/>
    <m/>
    <m/>
    <m/>
    <m/>
    <m/>
    <m/>
    <m/>
    <m/>
    <m/>
  </r>
</pivotCacheRecords>
</file>

<file path=xl/pivotCache/pivotCacheRecords4.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9">
  <r>
    <x v="0"/>
    <x v="0"/>
  </r>
  <r>
    <x v="0"/>
    <x v="0"/>
  </r>
  <r>
    <x v="0"/>
    <x v="0"/>
  </r>
  <r>
    <x v="0"/>
    <x v="0"/>
  </r>
  <r>
    <x v="0"/>
    <x v="0"/>
  </r>
  <r>
    <x v="1"/>
    <x v="1"/>
  </r>
  <r>
    <x v="1"/>
    <x v="1"/>
  </r>
  <r>
    <x v="1"/>
    <x v="1"/>
  </r>
  <r>
    <x v="1"/>
    <x v="1"/>
  </r>
  <r>
    <x v="1"/>
    <x v="1"/>
  </r>
  <r>
    <x v="2"/>
    <x v="2"/>
  </r>
  <r>
    <x v="2"/>
    <x v="2"/>
  </r>
  <r>
    <x v="2"/>
    <x v="2"/>
  </r>
  <r>
    <x v="2"/>
    <x v="2"/>
  </r>
  <r>
    <x v="2"/>
    <x v="2"/>
  </r>
  <r>
    <x v="3"/>
    <x v="3"/>
  </r>
  <r>
    <x v="3"/>
    <x v="3"/>
  </r>
  <r>
    <x v="3"/>
    <x v="3"/>
  </r>
  <r>
    <x v="3"/>
    <x v="3"/>
  </r>
  <r>
    <x v="3"/>
    <x v="3"/>
  </r>
  <r>
    <x v="4"/>
    <x v="4"/>
  </r>
  <r>
    <x v="5"/>
    <x v="5"/>
  </r>
  <r>
    <x v="5"/>
    <x v="5"/>
  </r>
  <r>
    <x v="6"/>
    <x v="6"/>
  </r>
  <r>
    <x v="7"/>
    <x v="7"/>
  </r>
  <r>
    <x v="8"/>
    <x v="8"/>
  </r>
  <r>
    <x v="8"/>
    <x v="8"/>
  </r>
  <r>
    <x v="8"/>
    <x v="8"/>
  </r>
  <r>
    <x v="8"/>
    <x v="8"/>
  </r>
</pivotCacheRecords>
</file>

<file path=xl/pivotCache/pivotCacheRecords5.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9">
  <r>
    <x v="0"/>
    <s v="Developer"/>
    <s v="p1"/>
    <s v="x"/>
    <x v="0"/>
  </r>
  <r>
    <x v="1"/>
    <s v="Designer"/>
    <s v="p1"/>
    <s v="x"/>
    <x v="0"/>
  </r>
  <r>
    <x v="2"/>
    <s v="Analyst"/>
    <s v="p2"/>
    <s v="x"/>
    <x v="0"/>
  </r>
  <r>
    <x v="2"/>
    <s v="Analyst"/>
    <s v="p2"/>
    <s v="x"/>
    <x v="0"/>
  </r>
  <r>
    <x v="3"/>
    <s v="Developer"/>
    <s v="p2"/>
    <s v="x"/>
    <x v="0"/>
  </r>
  <r>
    <x v="4"/>
    <s v="Project Manager"/>
    <s v="p3"/>
    <s v="x"/>
    <x v="1"/>
  </r>
  <r>
    <x v="4"/>
    <s v="Project Manager"/>
    <s v="p3"/>
    <s v="x"/>
    <x v="1"/>
  </r>
  <r>
    <x v="4"/>
    <s v="Project Manager"/>
    <s v="p3"/>
    <s v="x"/>
    <x v="1"/>
  </r>
  <r>
    <x v="5"/>
    <s v="Project Manager"/>
    <s v="p4"/>
    <s v="x"/>
    <x v="1"/>
  </r>
  <r>
    <x v="6"/>
    <s v="Configuration Manager"/>
    <s v="s1"/>
    <s v="x"/>
    <x v="2"/>
  </r>
  <r>
    <x v="7"/>
    <s v="Process manager"/>
    <s v="s2"/>
    <s v="x"/>
    <x v="3"/>
  </r>
  <r>
    <x v="7"/>
    <s v="Process manager"/>
    <s v="s2"/>
    <s v="x"/>
    <x v="3"/>
  </r>
  <r>
    <x v="7"/>
    <s v="Process manager"/>
    <s v="s2"/>
    <s v="x"/>
    <x v="3"/>
  </r>
  <r>
    <x v="7"/>
    <s v="Process manager"/>
    <s v="s2"/>
    <s v="x"/>
    <x v="3"/>
  </r>
  <r>
    <x v="7"/>
    <s v="Process manager"/>
    <s v="s2"/>
    <s v="x"/>
    <x v="3"/>
  </r>
  <r>
    <x v="8"/>
    <s v="Training Manager"/>
    <s v="s3"/>
    <s v="x"/>
    <x v="4"/>
  </r>
  <r>
    <x v="9"/>
    <s v="Process Assurance Manager"/>
    <s v="s4"/>
    <s v="x"/>
    <x v="5"/>
  </r>
  <r>
    <x v="10"/>
    <m/>
    <m/>
    <m/>
    <x v="6"/>
  </r>
  <r>
    <x v="10"/>
    <m/>
    <m/>
    <m/>
    <x v="6"/>
  </r>
</pivotCacheRecords>
</file>

<file path=xl/pivotCache/pivotCacheRecords6.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9">
  <r>
    <s v="p1"/>
    <x v="0"/>
    <x v="0"/>
    <x v="0"/>
    <x v="0"/>
    <s v="p1"/>
    <x v="0"/>
    <s v="[4] Engineering"/>
  </r>
  <r>
    <s v="p1"/>
    <x v="0"/>
    <x v="1"/>
    <x v="1"/>
    <x v="1"/>
    <s v="p1"/>
    <x v="0"/>
    <s v="[4] Engineering"/>
  </r>
  <r>
    <s v="p2"/>
    <x v="1"/>
    <x v="2"/>
    <x v="2"/>
    <x v="2"/>
    <s v="p2"/>
    <x v="0"/>
    <s v="[4] Engineering"/>
  </r>
  <r>
    <s v="p2"/>
    <x v="1"/>
    <x v="3"/>
    <x v="2"/>
    <x v="2"/>
    <s v="p2"/>
    <x v="0"/>
    <s v="[4] Engineering"/>
  </r>
  <r>
    <s v="p2"/>
    <x v="1"/>
    <x v="4"/>
    <x v="3"/>
    <x v="0"/>
    <s v="p2"/>
    <x v="0"/>
    <s v="[4] Engineering"/>
  </r>
  <r>
    <s v="p3"/>
    <x v="2"/>
    <x v="5"/>
    <x v="4"/>
    <x v="3"/>
    <s v="p3"/>
    <x v="0"/>
    <s v="[3] Project Management"/>
  </r>
  <r>
    <s v="p3"/>
    <x v="2"/>
    <x v="6"/>
    <x v="4"/>
    <x v="3"/>
    <s v="p3"/>
    <x v="0"/>
    <s v="[3] Project Management"/>
  </r>
  <r>
    <s v="p3"/>
    <x v="2"/>
    <x v="7"/>
    <x v="4"/>
    <x v="3"/>
    <s v="p3"/>
    <x v="0"/>
    <s v="[3] Project Management"/>
  </r>
  <r>
    <s v="p4"/>
    <x v="3"/>
    <x v="8"/>
    <x v="5"/>
    <x v="3"/>
    <s v="p4"/>
    <x v="0"/>
    <s v="[3] Project Management"/>
  </r>
  <r>
    <s v="s1"/>
    <x v="4"/>
    <x v="9"/>
    <x v="6"/>
    <x v="4"/>
    <s v="s1"/>
    <x v="0"/>
    <s v="[5] Configuration Management"/>
  </r>
  <r>
    <s v="s2"/>
    <x v="5"/>
    <x v="10"/>
    <x v="7"/>
    <x v="5"/>
    <s v="s2"/>
    <x v="0"/>
    <s v="[6] Process Management"/>
  </r>
  <r>
    <s v="s2"/>
    <x v="5"/>
    <x v="11"/>
    <x v="7"/>
    <x v="5"/>
    <s v="s2"/>
    <x v="0"/>
    <s v="[6] Process Management"/>
  </r>
  <r>
    <s v="s2"/>
    <x v="5"/>
    <x v="12"/>
    <x v="7"/>
    <x v="5"/>
    <s v="s2"/>
    <x v="0"/>
    <s v="[6] Process Management"/>
  </r>
  <r>
    <s v="s2"/>
    <x v="5"/>
    <x v="13"/>
    <x v="7"/>
    <x v="5"/>
    <s v="s2"/>
    <x v="0"/>
    <s v="[6] Process Management"/>
  </r>
  <r>
    <s v="s2"/>
    <x v="5"/>
    <x v="14"/>
    <x v="7"/>
    <x v="5"/>
    <s v="s2"/>
    <x v="0"/>
    <s v="[6] Process Management"/>
  </r>
  <r>
    <s v="s3"/>
    <x v="6"/>
    <x v="15"/>
    <x v="8"/>
    <x v="6"/>
    <s v="s3"/>
    <x v="0"/>
    <s v="[7] Organisational Training"/>
  </r>
  <r>
    <s v="s4"/>
    <x v="7"/>
    <x v="16"/>
    <x v="9"/>
    <x v="7"/>
    <s v="s4"/>
    <x v="0"/>
    <s v="[8] Process Quality Assurance"/>
  </r>
  <r>
    <m/>
    <x v="8"/>
    <x v="17"/>
    <x v="10"/>
    <x v="8"/>
    <m/>
    <x v="1"/>
    <m/>
  </r>
  <r>
    <m/>
    <x v="8"/>
    <x v="17"/>
    <x v="10"/>
    <x v="8"/>
    <m/>
    <x v="1"/>
    <m/>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9.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80630C27-4874-433C-B2D2-CA32DE145526}" name="PivotTable1" cacheId="109" applyNumberFormats="0" applyBorderFormats="0" applyFontFormats="0" applyPatternFormats="0" applyAlignmentFormats="0" applyWidthHeightFormats="1" dataCaption="Values" updatedVersion="7" minRefreshableVersion="3" useAutoFormatting="1" itemPrintTitles="1" createdVersion="6" indent="0" outline="1" outlineData="1" multipleFieldFilters="0">
  <location ref="A3:K14" firstHeaderRow="1" firstDataRow="2" firstDataCol="1"/>
  <pivotFields count="2">
    <pivotField axis="axisCol" showAll="0">
      <items count="11">
        <item x="0"/>
        <item x="1"/>
        <item x="2"/>
        <item x="3"/>
        <item x="4"/>
        <item x="5"/>
        <item m="1" x="9"/>
        <item x="6"/>
        <item x="7"/>
        <item x="8"/>
        <item t="default"/>
      </items>
    </pivotField>
    <pivotField axis="axisRow" dataField="1" showAll="0">
      <items count="15">
        <item x="8"/>
        <item m="1" x="10"/>
        <item m="1" x="11"/>
        <item m="1" x="13"/>
        <item m="1" x="9"/>
        <item m="1" x="12"/>
        <item x="4"/>
        <item x="5"/>
        <item x="6"/>
        <item x="7"/>
        <item x="0"/>
        <item x="1"/>
        <item x="2"/>
        <item x="3"/>
        <item t="default"/>
      </items>
    </pivotField>
  </pivotFields>
  <rowFields count="1">
    <field x="1"/>
  </rowFields>
  <rowItems count="10">
    <i>
      <x/>
    </i>
    <i>
      <x v="6"/>
    </i>
    <i>
      <x v="7"/>
    </i>
    <i>
      <x v="8"/>
    </i>
    <i>
      <x v="9"/>
    </i>
    <i>
      <x v="10"/>
    </i>
    <i>
      <x v="11"/>
    </i>
    <i>
      <x v="12"/>
    </i>
    <i>
      <x v="13"/>
    </i>
    <i t="grand">
      <x/>
    </i>
  </rowItems>
  <colFields count="1">
    <field x="0"/>
  </colFields>
  <colItems count="10">
    <i>
      <x/>
    </i>
    <i>
      <x v="1"/>
    </i>
    <i>
      <x v="2"/>
    </i>
    <i>
      <x v="3"/>
    </i>
    <i>
      <x v="4"/>
    </i>
    <i>
      <x v="5"/>
    </i>
    <i>
      <x v="7"/>
    </i>
    <i>
      <x v="8"/>
    </i>
    <i>
      <x v="9"/>
    </i>
    <i t="grand">
      <x/>
    </i>
  </colItems>
  <dataFields count="1">
    <dataField name="Count of Work name" fld="1"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B9626812-EC3E-45E1-93F2-18C02D9EAC1B}" name="PivotTable1" cacheId="108" applyNumberFormats="0" applyBorderFormats="0" applyFontFormats="0" applyPatternFormats="0" applyAlignmentFormats="0" applyWidthHeightFormats="1" dataCaption="Values" updatedVersion="7" minRefreshableVersion="3" useAutoFormatting="1" itemPrintTitles="1" createdVersion="6" indent="0" outline="1" outlineData="1" multipleFieldFilters="0">
  <location ref="A3:B30" firstHeaderRow="1" firstDataRow="1" firstDataCol="1"/>
  <pivotFields count="25">
    <pivotField dataField="1" showAll="0"/>
    <pivotField showAll="0"/>
    <pivotField axis="axisRow" showAll="0">
      <items count="52">
        <item x="25"/>
        <item m="1" x="46"/>
        <item m="1" x="27"/>
        <item m="1" x="31"/>
        <item m="1" x="43"/>
        <item m="1" x="50"/>
        <item m="1" x="38"/>
        <item m="1" x="33"/>
        <item m="1" x="41"/>
        <item m="1" x="48"/>
        <item m="1" x="28"/>
        <item m="1" x="29"/>
        <item m="1" x="39"/>
        <item m="1" x="32"/>
        <item m="1" x="49"/>
        <item m="1" x="44"/>
        <item m="1" x="36"/>
        <item m="1" x="30"/>
        <item m="1" x="42"/>
        <item m="1" x="35"/>
        <item m="1" x="34"/>
        <item m="1" x="26"/>
        <item m="1" x="45"/>
        <item m="1" x="37"/>
        <item m="1" x="40"/>
        <item m="1" x="47"/>
        <item x="0"/>
        <item x="1"/>
        <item x="2"/>
        <item x="3"/>
        <item x="4"/>
        <item x="5"/>
        <item x="6"/>
        <item x="7"/>
        <item x="8"/>
        <item x="9"/>
        <item x="10"/>
        <item x="11"/>
        <item x="12"/>
        <item x="13"/>
        <item x="14"/>
        <item x="15"/>
        <item x="16"/>
        <item x="17"/>
        <item x="18"/>
        <item x="19"/>
        <item x="20"/>
        <item x="21"/>
        <item x="22"/>
        <item x="23"/>
        <item x="24"/>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s>
  <rowFields count="1">
    <field x="2"/>
  </rowFields>
  <rowItems count="27">
    <i>
      <x/>
    </i>
    <i>
      <x v="26"/>
    </i>
    <i>
      <x v="27"/>
    </i>
    <i>
      <x v="28"/>
    </i>
    <i>
      <x v="29"/>
    </i>
    <i>
      <x v="30"/>
    </i>
    <i>
      <x v="31"/>
    </i>
    <i>
      <x v="32"/>
    </i>
    <i>
      <x v="33"/>
    </i>
    <i>
      <x v="34"/>
    </i>
    <i>
      <x v="35"/>
    </i>
    <i>
      <x v="36"/>
    </i>
    <i>
      <x v="37"/>
    </i>
    <i>
      <x v="38"/>
    </i>
    <i>
      <x v="39"/>
    </i>
    <i>
      <x v="40"/>
    </i>
    <i>
      <x v="41"/>
    </i>
    <i>
      <x v="42"/>
    </i>
    <i>
      <x v="43"/>
    </i>
    <i>
      <x v="44"/>
    </i>
    <i>
      <x v="45"/>
    </i>
    <i>
      <x v="46"/>
    </i>
    <i>
      <x v="47"/>
    </i>
    <i>
      <x v="48"/>
    </i>
    <i>
      <x v="49"/>
    </i>
    <i>
      <x v="50"/>
    </i>
    <i t="grand">
      <x/>
    </i>
  </rowItems>
  <colItems count="1">
    <i/>
  </colItems>
  <dataFields count="1">
    <dataField name="Count of WorkID" fld="0"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F115F3FE-27E9-4DAF-85F9-49EF2B7BB2D7}" name="PivotTable1" cacheId="107" applyNumberFormats="0" applyBorderFormats="0" applyFontFormats="0" applyPatternFormats="0" applyAlignmentFormats="0" applyWidthHeightFormats="1" dataCaption="Values" updatedVersion="7" minRefreshableVersion="3" useAutoFormatting="1" itemPrintTitles="1" createdVersion="6" indent="0" outline="1" outlineData="1" multipleFieldFilters="0">
  <location ref="A3:B22" firstHeaderRow="1" firstDataRow="1" firstDataCol="1"/>
  <pivotFields count="9">
    <pivotField showAll="0"/>
    <pivotField showAll="0"/>
    <pivotField axis="axisRow" dataField="1" showAll="0">
      <items count="19">
        <item x="10"/>
        <item x="9"/>
        <item x="11"/>
        <item x="5"/>
        <item x="6"/>
        <item x="12"/>
        <item x="15"/>
        <item x="13"/>
        <item x="14"/>
        <item x="0"/>
        <item x="7"/>
        <item x="16"/>
        <item x="2"/>
        <item x="3"/>
        <item x="8"/>
        <item x="1"/>
        <item x="4"/>
        <item x="17"/>
        <item t="default"/>
      </items>
    </pivotField>
    <pivotField showAll="0"/>
    <pivotField showAll="0"/>
    <pivotField showAll="0"/>
    <pivotField showAll="0"/>
    <pivotField showAll="0"/>
    <pivotField showAll="0"/>
  </pivotFields>
  <rowFields count="1">
    <field x="2"/>
  </rowFields>
  <rowItems count="19">
    <i>
      <x/>
    </i>
    <i>
      <x v="1"/>
    </i>
    <i>
      <x v="2"/>
    </i>
    <i>
      <x v="3"/>
    </i>
    <i>
      <x v="4"/>
    </i>
    <i>
      <x v="5"/>
    </i>
    <i>
      <x v="6"/>
    </i>
    <i>
      <x v="7"/>
    </i>
    <i>
      <x v="8"/>
    </i>
    <i>
      <x v="9"/>
    </i>
    <i>
      <x v="10"/>
    </i>
    <i>
      <x v="11"/>
    </i>
    <i>
      <x v="12"/>
    </i>
    <i>
      <x v="13"/>
    </i>
    <i>
      <x v="14"/>
    </i>
    <i>
      <x v="15"/>
    </i>
    <i>
      <x v="16"/>
    </i>
    <i>
      <x v="17"/>
    </i>
    <i t="grand">
      <x/>
    </i>
  </rowItems>
  <colItems count="1">
    <i/>
  </colItems>
  <dataFields count="1">
    <dataField name="Count of PA" fld="2"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63C495C5-2622-49F1-8369-35369F719F18}" name="PivotTable2" cacheId="106" applyNumberFormats="0" applyBorderFormats="0" applyFontFormats="0" applyPatternFormats="0" applyAlignmentFormats="0" applyWidthHeightFormats="1" dataCaption="Values" updatedVersion="7" minRefreshableVersion="3" useAutoFormatting="1" itemPrintTitles="1" createdVersion="6" indent="0" outline="1" outlineData="1" multipleFieldFilters="0">
  <location ref="A3:K23" firstHeaderRow="1" firstDataRow="2" firstDataCol="1"/>
  <pivotFields count="7">
    <pivotField axis="axisCol" dataField="1" showAll="0">
      <items count="11">
        <item x="0"/>
        <item x="1"/>
        <item x="3"/>
        <item m="1" x="9"/>
        <item x="4"/>
        <item x="5"/>
        <item x="8"/>
        <item x="2"/>
        <item x="6"/>
        <item x="7"/>
        <item t="default"/>
      </items>
    </pivotField>
    <pivotField showAll="0"/>
    <pivotField axis="axisRow" showAll="0">
      <items count="19">
        <item x="13"/>
        <item x="9"/>
        <item x="5"/>
        <item x="6"/>
        <item x="0"/>
        <item x="7"/>
        <item x="2"/>
        <item x="3"/>
        <item x="8"/>
        <item x="1"/>
        <item x="4"/>
        <item x="17"/>
        <item x="10"/>
        <item x="11"/>
        <item x="12"/>
        <item x="15"/>
        <item x="16"/>
        <item x="14"/>
        <item t="default"/>
      </items>
    </pivotField>
    <pivotField showAll="0"/>
    <pivotField showAll="0"/>
    <pivotField showAll="0"/>
    <pivotField showAll="0"/>
  </pivotFields>
  <rowFields count="1">
    <field x="2"/>
  </rowFields>
  <rowItems count="19">
    <i>
      <x/>
    </i>
    <i>
      <x v="1"/>
    </i>
    <i>
      <x v="2"/>
    </i>
    <i>
      <x v="3"/>
    </i>
    <i>
      <x v="4"/>
    </i>
    <i>
      <x v="5"/>
    </i>
    <i>
      <x v="6"/>
    </i>
    <i>
      <x v="7"/>
    </i>
    <i>
      <x v="8"/>
    </i>
    <i>
      <x v="9"/>
    </i>
    <i>
      <x v="10"/>
    </i>
    <i>
      <x v="11"/>
    </i>
    <i>
      <x v="12"/>
    </i>
    <i>
      <x v="13"/>
    </i>
    <i>
      <x v="14"/>
    </i>
    <i>
      <x v="15"/>
    </i>
    <i>
      <x v="16"/>
    </i>
    <i>
      <x v="17"/>
    </i>
    <i t="grand">
      <x/>
    </i>
  </rowItems>
  <colFields count="1">
    <field x="0"/>
  </colFields>
  <colItems count="10">
    <i>
      <x/>
    </i>
    <i>
      <x v="1"/>
    </i>
    <i>
      <x v="2"/>
    </i>
    <i>
      <x v="4"/>
    </i>
    <i>
      <x v="5"/>
    </i>
    <i>
      <x v="6"/>
    </i>
    <i>
      <x v="7"/>
    </i>
    <i>
      <x v="8"/>
    </i>
    <i>
      <x v="9"/>
    </i>
    <i t="grand">
      <x/>
    </i>
  </colItems>
  <dataFields count="1">
    <dataField name="Count of WorkID" fld="0"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655703AA-FCAE-455D-BD74-D52F23CD6A3E}" name="PivotTable1" cacheId="107" applyNumberFormats="0" applyBorderFormats="0" applyFontFormats="0" applyPatternFormats="0" applyAlignmentFormats="0" applyWidthHeightFormats="1" dataCaption="Values" updatedVersion="7" minRefreshableVersion="3" useAutoFormatting="1" itemPrintTitles="1" createdVersion="6" indent="0" outline="1" outlineData="1" multipleFieldFilters="0">
  <location ref="A3:B11" firstHeaderRow="1" firstDataRow="1" firstDataCol="1"/>
  <pivotFields count="9">
    <pivotField showAll="0"/>
    <pivotField showAll="0"/>
    <pivotField showAll="0"/>
    <pivotField showAll="0"/>
    <pivotField showAll="0"/>
    <pivotField showAll="0"/>
    <pivotField showAll="0"/>
    <pivotField axis="axisRow" showAll="0">
      <items count="8">
        <item x="1"/>
        <item x="0"/>
        <item x="2"/>
        <item x="3"/>
        <item x="4"/>
        <item x="5"/>
        <item x="6"/>
        <item t="default"/>
      </items>
    </pivotField>
    <pivotField dataField="1" showAll="0"/>
  </pivotFields>
  <rowFields count="1">
    <field x="7"/>
  </rowFields>
  <rowItems count="8">
    <i>
      <x/>
    </i>
    <i>
      <x v="1"/>
    </i>
    <i>
      <x v="2"/>
    </i>
    <i>
      <x v="3"/>
    </i>
    <i>
      <x v="4"/>
    </i>
    <i>
      <x v="5"/>
    </i>
    <i>
      <x v="6"/>
    </i>
    <i t="grand">
      <x/>
    </i>
  </rowItems>
  <colItems count="1">
    <i/>
  </colItems>
  <dataFields count="1">
    <dataField name="Sum of PA count" fld="8"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5252C73A-3A14-4E3F-86B4-331030FC5B78}" name="PivotTable1" cacheId="111" applyNumberFormats="0" applyBorderFormats="0" applyFontFormats="0" applyPatternFormats="0" applyAlignmentFormats="0" applyWidthHeightFormats="1" dataCaption="Values" updatedVersion="7" minRefreshableVersion="3" useAutoFormatting="1" itemPrintTitles="1" createdVersion="6" indent="0" outline="1" outlineData="1" multipleFieldFilters="0">
  <location ref="A3:B26" firstHeaderRow="1" firstDataRow="1" firstDataCol="1"/>
  <pivotFields count="8">
    <pivotField dataField="1" showAll="0"/>
    <pivotField showAll="0"/>
    <pivotField showAll="0"/>
    <pivotField axis="axisRow" showAll="0">
      <items count="72">
        <item m="1" x="47"/>
        <item m="1" x="48"/>
        <item m="1" x="62"/>
        <item m="1" x="22"/>
        <item m="1" x="58"/>
        <item m="1" x="55"/>
        <item m="1" x="52"/>
        <item m="1" x="69"/>
        <item m="1" x="25"/>
        <item m="1" x="46"/>
        <item m="1" x="28"/>
        <item m="1" x="60"/>
        <item m="1" x="43"/>
        <item m="1" x="17"/>
        <item m="1" x="39"/>
        <item m="1" x="61"/>
        <item m="1" x="21"/>
        <item m="1" x="23"/>
        <item m="1" x="30"/>
        <item m="1" x="35"/>
        <item m="1" x="40"/>
        <item m="1" x="34"/>
        <item m="1" x="51"/>
        <item m="1" x="31"/>
        <item m="1" x="27"/>
        <item m="1" x="57"/>
        <item m="1" x="54"/>
        <item m="1" x="70"/>
        <item m="1" x="33"/>
        <item m="1" x="14"/>
        <item m="1" x="41"/>
        <item m="1" x="68"/>
        <item m="1" x="66"/>
        <item m="1" x="19"/>
        <item m="1" x="67"/>
        <item m="1" x="29"/>
        <item m="1" x="63"/>
        <item x="10"/>
        <item m="1" x="42"/>
        <item m="1" x="37"/>
        <item m="1" x="26"/>
        <item m="1" x="11"/>
        <item m="1" x="32"/>
        <item m="1" x="15"/>
        <item m="1" x="64"/>
        <item m="1" x="16"/>
        <item m="1" x="49"/>
        <item m="1" x="50"/>
        <item m="1" x="38"/>
        <item m="1" x="65"/>
        <item m="1" x="56"/>
        <item m="1" x="53"/>
        <item m="1" x="18"/>
        <item m="1" x="59"/>
        <item m="1" x="44"/>
        <item m="1" x="45"/>
        <item m="1" x="12"/>
        <item m="1" x="13"/>
        <item m="1" x="20"/>
        <item m="1" x="36"/>
        <item m="1" x="24"/>
        <item x="0"/>
        <item x="1"/>
        <item x="2"/>
        <item x="3"/>
        <item x="4"/>
        <item x="5"/>
        <item x="6"/>
        <item x="7"/>
        <item x="8"/>
        <item x="9"/>
        <item t="default"/>
      </items>
    </pivotField>
    <pivotField axis="axisRow" showAll="0">
      <items count="14">
        <item x="2"/>
        <item x="4"/>
        <item x="1"/>
        <item x="0"/>
        <item m="1" x="11"/>
        <item m="1" x="9"/>
        <item x="3"/>
        <item m="1" x="10"/>
        <item m="1" x="12"/>
        <item x="8"/>
        <item x="7"/>
        <item x="6"/>
        <item x="5"/>
        <item t="default"/>
      </items>
    </pivotField>
    <pivotField showAll="0"/>
    <pivotField axis="axisRow" showAll="0">
      <items count="3">
        <item x="0"/>
        <item x="1"/>
        <item t="default"/>
      </items>
    </pivotField>
    <pivotField showAll="0"/>
  </pivotFields>
  <rowFields count="3">
    <field x="6"/>
    <field x="4"/>
    <field x="3"/>
  </rowFields>
  <rowItems count="23">
    <i>
      <x/>
    </i>
    <i r="1">
      <x/>
    </i>
    <i r="2">
      <x v="63"/>
    </i>
    <i r="1">
      <x v="1"/>
    </i>
    <i r="2">
      <x v="67"/>
    </i>
    <i r="1">
      <x v="2"/>
    </i>
    <i r="2">
      <x v="62"/>
    </i>
    <i r="1">
      <x v="3"/>
    </i>
    <i r="2">
      <x v="61"/>
    </i>
    <i r="2">
      <x v="64"/>
    </i>
    <i r="1">
      <x v="6"/>
    </i>
    <i r="2">
      <x v="65"/>
    </i>
    <i r="2">
      <x v="66"/>
    </i>
    <i r="1">
      <x v="10"/>
    </i>
    <i r="2">
      <x v="70"/>
    </i>
    <i r="1">
      <x v="11"/>
    </i>
    <i r="2">
      <x v="69"/>
    </i>
    <i r="1">
      <x v="12"/>
    </i>
    <i r="2">
      <x v="68"/>
    </i>
    <i>
      <x v="1"/>
    </i>
    <i r="1">
      <x v="9"/>
    </i>
    <i r="2">
      <x v="37"/>
    </i>
    <i t="grand">
      <x/>
    </i>
  </rowItems>
  <colItems count="1">
    <i/>
  </colItems>
  <dataFields count="1">
    <dataField name="Count of WorkID" fld="0"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5E459C42-CCFD-4C88-862C-FF38B30670AD}" name="PivotTable2" cacheId="111" applyNumberFormats="0" applyBorderFormats="0" applyFontFormats="0" applyPatternFormats="0" applyAlignmentFormats="0" applyWidthHeightFormats="1" dataCaption="Values" updatedVersion="7" minRefreshableVersion="3" useAutoFormatting="1" itemPrintTitles="1" createdVersion="6" indent="0" outline="1" outlineData="1" multipleFieldFilters="0">
  <location ref="A3:A33" firstHeaderRow="1" firstDataRow="1" firstDataCol="1"/>
  <pivotFields count="8">
    <pivotField showAll="0"/>
    <pivotField showAll="0"/>
    <pivotField axis="axisRow" showAll="0">
      <items count="19">
        <item x="10"/>
        <item x="9"/>
        <item x="11"/>
        <item x="5"/>
        <item x="6"/>
        <item x="12"/>
        <item x="15"/>
        <item x="13"/>
        <item x="14"/>
        <item x="0"/>
        <item x="7"/>
        <item x="16"/>
        <item x="2"/>
        <item x="3"/>
        <item x="8"/>
        <item x="1"/>
        <item x="4"/>
        <item x="17"/>
        <item t="default"/>
      </items>
    </pivotField>
    <pivotField axis="axisRow" showAll="0" sortType="ascending">
      <items count="72">
        <item m="1" x="64"/>
        <item m="1" x="47"/>
        <item m="1" x="48"/>
        <item m="1" x="49"/>
        <item m="1" x="62"/>
        <item m="1" x="22"/>
        <item m="1" x="32"/>
        <item m="1" x="11"/>
        <item m="1" x="15"/>
        <item m="1" x="16"/>
        <item m="1" x="12"/>
        <item m="1" x="53"/>
        <item m="1" x="44"/>
        <item m="1" x="58"/>
        <item m="1" x="55"/>
        <item m="1" x="52"/>
        <item m="1" x="69"/>
        <item m="1" x="20"/>
        <item m="1" x="56"/>
        <item m="1" x="25"/>
        <item m="1" x="46"/>
        <item m="1" x="28"/>
        <item m="1" x="18"/>
        <item m="1" x="60"/>
        <item m="1" x="43"/>
        <item m="1" x="17"/>
        <item m="1" x="39"/>
        <item m="1" x="61"/>
        <item m="1" x="59"/>
        <item m="1" x="21"/>
        <item m="1" x="23"/>
        <item m="1" x="30"/>
        <item m="1" x="35"/>
        <item m="1" x="40"/>
        <item m="1" x="34"/>
        <item m="1" x="51"/>
        <item m="1" x="65"/>
        <item m="1" x="50"/>
        <item m="1" x="42"/>
        <item m="1" x="37"/>
        <item m="1" x="26"/>
        <item m="1" x="31"/>
        <item m="1" x="45"/>
        <item x="2"/>
        <item x="6"/>
        <item x="1"/>
        <item x="0"/>
        <item x="3"/>
        <item x="9"/>
        <item x="7"/>
        <item x="4"/>
        <item x="5"/>
        <item x="8"/>
        <item m="1" x="27"/>
        <item m="1" x="57"/>
        <item m="1" x="38"/>
        <item m="1" x="54"/>
        <item m="1" x="13"/>
        <item m="1" x="70"/>
        <item m="1" x="33"/>
        <item m="1" x="14"/>
        <item m="1" x="36"/>
        <item m="1" x="41"/>
        <item m="1" x="68"/>
        <item m="1" x="24"/>
        <item m="1" x="66"/>
        <item m="1" x="19"/>
        <item m="1" x="67"/>
        <item m="1" x="29"/>
        <item m="1" x="63"/>
        <item x="10"/>
        <item t="default"/>
      </items>
    </pivotField>
    <pivotField showAll="0"/>
    <pivotField showAll="0"/>
    <pivotField showAll="0"/>
    <pivotField showAll="0"/>
  </pivotFields>
  <rowFields count="2">
    <field x="3"/>
    <field x="2"/>
  </rowFields>
  <rowItems count="30">
    <i>
      <x v="43"/>
    </i>
    <i r="1">
      <x v="12"/>
    </i>
    <i r="1">
      <x v="13"/>
    </i>
    <i>
      <x v="44"/>
    </i>
    <i r="1">
      <x v="1"/>
    </i>
    <i>
      <x v="45"/>
    </i>
    <i r="1">
      <x v="15"/>
    </i>
    <i>
      <x v="46"/>
    </i>
    <i r="1">
      <x v="9"/>
    </i>
    <i>
      <x v="47"/>
    </i>
    <i r="1">
      <x v="16"/>
    </i>
    <i>
      <x v="48"/>
    </i>
    <i r="1">
      <x v="11"/>
    </i>
    <i>
      <x v="49"/>
    </i>
    <i r="1">
      <x/>
    </i>
    <i r="1">
      <x v="2"/>
    </i>
    <i r="1">
      <x v="5"/>
    </i>
    <i r="1">
      <x v="7"/>
    </i>
    <i r="1">
      <x v="8"/>
    </i>
    <i>
      <x v="50"/>
    </i>
    <i r="1">
      <x v="3"/>
    </i>
    <i r="1">
      <x v="4"/>
    </i>
    <i r="1">
      <x v="10"/>
    </i>
    <i>
      <x v="51"/>
    </i>
    <i r="1">
      <x v="14"/>
    </i>
    <i>
      <x v="52"/>
    </i>
    <i r="1">
      <x v="6"/>
    </i>
    <i>
      <x v="70"/>
    </i>
    <i r="1">
      <x v="17"/>
    </i>
    <i t="grand">
      <x/>
    </i>
  </rowItems>
  <colItems count="1">
    <i/>
  </colItem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8.xml><?xml version="1.0" encoding="utf-8"?>
<pivotTableDefinition xmlns="http://schemas.openxmlformats.org/spreadsheetml/2006/main" xmlns:mc="http://schemas.openxmlformats.org/markup-compatibility/2006" xmlns:xr="http://schemas.microsoft.com/office/spreadsheetml/2014/revision" mc:Ignorable="xr" xr:uid="{398F6C70-CE68-4677-BAED-7761CBDE8A00}" name="PivotTable1" cacheId="111" applyNumberFormats="0" applyBorderFormats="0" applyFontFormats="0" applyPatternFormats="0" applyAlignmentFormats="0" applyWidthHeightFormats="1" dataCaption="Values" updatedVersion="7" minRefreshableVersion="3" useAutoFormatting="1" itemPrintTitles="1" createdVersion="6" indent="0" outline="1" outlineData="1" multipleFieldFilters="0">
  <location ref="A3:A24" firstHeaderRow="1" firstDataRow="1" firstDataCol="1"/>
  <pivotFields count="8">
    <pivotField showAll="0"/>
    <pivotField axis="axisRow" showAll="0">
      <items count="41">
        <item m="1" x="10"/>
        <item m="1" x="33"/>
        <item m="1" x="36"/>
        <item m="1" x="17"/>
        <item m="1" x="24"/>
        <item m="1" x="38"/>
        <item m="1" x="32"/>
        <item m="1" x="27"/>
        <item m="1" x="34"/>
        <item x="8"/>
        <item m="1" x="23"/>
        <item m="1" x="18"/>
        <item m="1" x="37"/>
        <item m="1" x="16"/>
        <item m="1" x="22"/>
        <item m="1" x="12"/>
        <item m="1" x="13"/>
        <item m="1" x="14"/>
        <item m="1" x="31"/>
        <item m="1" x="15"/>
        <item m="1" x="29"/>
        <item m="1" x="21"/>
        <item m="1" x="19"/>
        <item m="1" x="9"/>
        <item m="1" x="30"/>
        <item m="1" x="11"/>
        <item m="1" x="20"/>
        <item m="1" x="35"/>
        <item m="1" x="26"/>
        <item m="1" x="39"/>
        <item m="1" x="25"/>
        <item m="1" x="28"/>
        <item x="0"/>
        <item x="1"/>
        <item x="2"/>
        <item x="3"/>
        <item x="4"/>
        <item x="5"/>
        <item x="6"/>
        <item x="7"/>
        <item t="default"/>
      </items>
    </pivotField>
    <pivotField showAll="0"/>
    <pivotField axis="axisRow" showAll="0">
      <items count="72">
        <item m="1" x="62"/>
        <item m="1" x="58"/>
        <item m="1" x="28"/>
        <item m="1" x="17"/>
        <item m="1" x="34"/>
        <item m="1" x="51"/>
        <item m="1" x="57"/>
        <item m="1" x="70"/>
        <item m="1" x="14"/>
        <item m="1" x="19"/>
        <item x="10"/>
        <item m="1" x="48"/>
        <item m="1" x="22"/>
        <item m="1" x="61"/>
        <item m="1" x="43"/>
        <item m="1" x="31"/>
        <item m="1" x="41"/>
        <item m="1" x="54"/>
        <item m="1" x="33"/>
        <item m="1" x="68"/>
        <item m="1" x="69"/>
        <item m="1" x="67"/>
        <item m="1" x="55"/>
        <item m="1" x="39"/>
        <item m="1" x="63"/>
        <item m="1" x="47"/>
        <item m="1" x="23"/>
        <item m="1" x="52"/>
        <item m="1" x="25"/>
        <item m="1" x="66"/>
        <item m="1" x="27"/>
        <item m="1" x="29"/>
        <item m="1" x="30"/>
        <item m="1" x="35"/>
        <item m="1" x="40"/>
        <item m="1" x="21"/>
        <item m="1" x="46"/>
        <item m="1" x="60"/>
        <item m="1" x="42"/>
        <item m="1" x="37"/>
        <item m="1" x="26"/>
        <item m="1" x="11"/>
        <item m="1" x="32"/>
        <item m="1" x="15"/>
        <item m="1" x="64"/>
        <item m="1" x="16"/>
        <item m="1" x="49"/>
        <item m="1" x="50"/>
        <item m="1" x="38"/>
        <item m="1" x="65"/>
        <item m="1" x="56"/>
        <item m="1" x="53"/>
        <item m="1" x="18"/>
        <item m="1" x="59"/>
        <item m="1" x="44"/>
        <item m="1" x="45"/>
        <item m="1" x="12"/>
        <item m="1" x="13"/>
        <item m="1" x="20"/>
        <item m="1" x="36"/>
        <item m="1" x="24"/>
        <item x="0"/>
        <item x="1"/>
        <item x="2"/>
        <item x="3"/>
        <item x="4"/>
        <item x="5"/>
        <item x="6"/>
        <item x="7"/>
        <item x="8"/>
        <item x="9"/>
        <item t="default"/>
      </items>
    </pivotField>
    <pivotField showAll="0"/>
    <pivotField showAll="0"/>
    <pivotField showAll="0"/>
    <pivotField showAll="0"/>
  </pivotFields>
  <rowFields count="2">
    <field x="1"/>
    <field x="3"/>
  </rowFields>
  <rowItems count="21">
    <i>
      <x v="9"/>
    </i>
    <i r="1">
      <x v="10"/>
    </i>
    <i>
      <x v="32"/>
    </i>
    <i r="1">
      <x v="61"/>
    </i>
    <i r="1">
      <x v="62"/>
    </i>
    <i>
      <x v="33"/>
    </i>
    <i r="1">
      <x v="63"/>
    </i>
    <i r="1">
      <x v="64"/>
    </i>
    <i>
      <x v="34"/>
    </i>
    <i r="1">
      <x v="65"/>
    </i>
    <i>
      <x v="35"/>
    </i>
    <i r="1">
      <x v="66"/>
    </i>
    <i>
      <x v="36"/>
    </i>
    <i r="1">
      <x v="67"/>
    </i>
    <i>
      <x v="37"/>
    </i>
    <i r="1">
      <x v="68"/>
    </i>
    <i>
      <x v="38"/>
    </i>
    <i r="1">
      <x v="69"/>
    </i>
    <i>
      <x v="39"/>
    </i>
    <i r="1">
      <x v="70"/>
    </i>
    <i t="grand">
      <x/>
    </i>
  </rowItems>
  <colItems count="1">
    <i/>
  </colItem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9.xml><?xml version="1.0" encoding="utf-8"?>
<pivotTableDefinition xmlns="http://schemas.openxmlformats.org/spreadsheetml/2006/main" xmlns:mc="http://schemas.openxmlformats.org/markup-compatibility/2006" xmlns:xr="http://schemas.microsoft.com/office/spreadsheetml/2014/revision" mc:Ignorable="xr" xr:uid="{09B4CED5-1413-4115-AB8F-B13A71BF2AEB}" name="PivotTable1" cacheId="110" applyNumberFormats="0" applyBorderFormats="0" applyFontFormats="0" applyPatternFormats="0" applyAlignmentFormats="0" applyWidthHeightFormats="1" dataCaption="Values" updatedVersion="7" minRefreshableVersion="3" useAutoFormatting="1" itemPrintTitles="1" createdVersion="6" indent="0" outline="1" outlineData="1" multipleFieldFilters="0">
  <location ref="A3:A22" firstHeaderRow="1" firstDataRow="1" firstDataCol="1"/>
  <pivotFields count="5">
    <pivotField axis="axisRow" showAll="0">
      <items count="72">
        <item m="1" x="48"/>
        <item m="1" x="22"/>
        <item m="1" x="55"/>
        <item m="1" x="69"/>
        <item m="1" x="43"/>
        <item m="1" x="61"/>
        <item m="1" x="31"/>
        <item m="1" x="54"/>
        <item m="1" x="33"/>
        <item m="1" x="41"/>
        <item m="1" x="68"/>
        <item m="1" x="67"/>
        <item x="10"/>
        <item m="1" x="70"/>
        <item m="1" x="28"/>
        <item m="1" x="57"/>
        <item m="1" x="58"/>
        <item m="1" x="14"/>
        <item m="1" x="19"/>
        <item m="1" x="62"/>
        <item m="1" x="17"/>
        <item m="1" x="34"/>
        <item m="1" x="51"/>
        <item m="1" x="39"/>
        <item m="1" x="63"/>
        <item m="1" x="47"/>
        <item m="1" x="23"/>
        <item m="1" x="52"/>
        <item m="1" x="25"/>
        <item m="1" x="66"/>
        <item m="1" x="27"/>
        <item m="1" x="29"/>
        <item m="1" x="30"/>
        <item m="1" x="35"/>
        <item m="1" x="40"/>
        <item m="1" x="21"/>
        <item m="1" x="46"/>
        <item m="1" x="60"/>
        <item m="1" x="42"/>
        <item m="1" x="37"/>
        <item m="1" x="26"/>
        <item m="1" x="11"/>
        <item m="1" x="32"/>
        <item m="1" x="15"/>
        <item m="1" x="64"/>
        <item m="1" x="16"/>
        <item m="1" x="49"/>
        <item m="1" x="50"/>
        <item m="1" x="38"/>
        <item m="1" x="65"/>
        <item m="1" x="56"/>
        <item m="1" x="53"/>
        <item m="1" x="18"/>
        <item m="1" x="59"/>
        <item m="1" x="44"/>
        <item m="1" x="45"/>
        <item m="1" x="12"/>
        <item m="1" x="13"/>
        <item m="1" x="20"/>
        <item m="1" x="36"/>
        <item m="1" x="24"/>
        <item x="0"/>
        <item x="1"/>
        <item x="2"/>
        <item x="3"/>
        <item x="4"/>
        <item x="5"/>
        <item x="6"/>
        <item x="7"/>
        <item x="8"/>
        <item x="9"/>
        <item t="default"/>
      </items>
    </pivotField>
    <pivotField showAll="0"/>
    <pivotField showAll="0"/>
    <pivotField showAll="0"/>
    <pivotField axis="axisRow" showAll="0">
      <items count="17">
        <item m="1" x="14"/>
        <item m="1" x="9"/>
        <item m="1" x="10"/>
        <item m="1" x="7"/>
        <item m="1" x="11"/>
        <item m="1" x="12"/>
        <item x="6"/>
        <item m="1" x="13"/>
        <item x="1"/>
        <item x="0"/>
        <item x="2"/>
        <item x="3"/>
        <item x="4"/>
        <item x="5"/>
        <item m="1" x="8"/>
        <item m="1" x="15"/>
        <item t="default"/>
      </items>
    </pivotField>
  </pivotFields>
  <rowFields count="2">
    <field x="4"/>
    <field x="0"/>
  </rowFields>
  <rowItems count="19">
    <i>
      <x v="6"/>
    </i>
    <i r="1">
      <x v="12"/>
    </i>
    <i>
      <x v="8"/>
    </i>
    <i r="1">
      <x v="65"/>
    </i>
    <i r="1">
      <x v="66"/>
    </i>
    <i>
      <x v="9"/>
    </i>
    <i r="1">
      <x v="61"/>
    </i>
    <i r="1">
      <x v="62"/>
    </i>
    <i r="1">
      <x v="63"/>
    </i>
    <i r="1">
      <x v="64"/>
    </i>
    <i>
      <x v="10"/>
    </i>
    <i r="1">
      <x v="67"/>
    </i>
    <i>
      <x v="11"/>
    </i>
    <i r="1">
      <x v="68"/>
    </i>
    <i>
      <x v="12"/>
    </i>
    <i r="1">
      <x v="69"/>
    </i>
    <i>
      <x v="13"/>
    </i>
    <i r="1">
      <x v="70"/>
    </i>
    <i t="grand">
      <x/>
    </i>
  </rowItems>
  <colItems count="1">
    <i/>
  </colItem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hyperlink" Target="https://github.com/DemixTech/CMMITools/blob/main/LICENSE" TargetMode="External"/><Relationship Id="rId2" Type="http://schemas.openxmlformats.org/officeDocument/2006/relationships/hyperlink" Target="http://www.demix.org/" TargetMode="External"/><Relationship Id="rId1" Type="http://schemas.openxmlformats.org/officeDocument/2006/relationships/hyperlink" Target="https://github.com/DemixTech/CMMITools" TargetMode="Externa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hyperlink" Target="https://www.compart.com/en/unicode/U+2022" TargetMode="External"/></Relationships>
</file>

<file path=xl/worksheets/_rels/sheet4.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12" Type="http://schemas.openxmlformats.org/officeDocument/2006/relationships/ctrlProp" Target="../ctrlProps/ctrlProp9.xml"/><Relationship Id="rId2" Type="http://schemas.openxmlformats.org/officeDocument/2006/relationships/drawing" Target="../drawings/drawing2.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_rels/sheet5.xml.rels><?xml version="1.0" encoding="UTF-8" standalone="yes"?>
<Relationships xmlns="http://schemas.openxmlformats.org/package/2006/relationships"><Relationship Id="rId3" Type="http://schemas.openxmlformats.org/officeDocument/2006/relationships/hyperlink" Target="mailto:translator@email.com" TargetMode="External"/><Relationship Id="rId2" Type="http://schemas.openxmlformats.org/officeDocument/2006/relationships/hyperlink" Target="mailto:nathalie.lake@email.com" TargetMode="External"/><Relationship Id="rId1" Type="http://schemas.openxmlformats.org/officeDocument/2006/relationships/hyperlink" Target="mailto:donald.kessler@email.com" TargetMode="External"/><Relationship Id="rId4" Type="http://schemas.openxmlformats.org/officeDocument/2006/relationships/printerSettings" Target="../printerSettings/printerSettings2.bin"/></Relationships>
</file>

<file path=xl/worksheets/_rels/sheet6.xml.rels><?xml version="1.0" encoding="UTF-8" standalone="yes"?>
<Relationships xmlns="http://schemas.openxmlformats.org/package/2006/relationships"><Relationship Id="rId2" Type="http://schemas.openxmlformats.org/officeDocument/2006/relationships/comments" Target="../comments1.xml"/><Relationship Id="rId1" Type="http://schemas.openxmlformats.org/officeDocument/2006/relationships/vmlDrawing" Target="../drawings/vmlDrawing2.vml"/></Relationships>
</file>

<file path=xl/worksheets/_rels/sheet7.xml.rels><?xml version="1.0" encoding="UTF-8" standalone="yes"?>
<Relationships xmlns="http://schemas.openxmlformats.org/package/2006/relationships"><Relationship Id="rId3" Type="http://schemas.openxmlformats.org/officeDocument/2006/relationships/hyperlink" Target="http://emars.com/" TargetMode="External"/><Relationship Id="rId7" Type="http://schemas.openxmlformats.org/officeDocument/2006/relationships/comments" Target="../comments2.xml"/><Relationship Id="rId2" Type="http://schemas.openxmlformats.org/officeDocument/2006/relationships/hyperlink" Target="mailto:qianjiedi@gktel.com.cn" TargetMode="External"/><Relationship Id="rId1" Type="http://schemas.openxmlformats.org/officeDocument/2006/relationships/hyperlink" Target="mailto:jack@c-goshine.com" TargetMode="External"/><Relationship Id="rId6" Type="http://schemas.openxmlformats.org/officeDocument/2006/relationships/vmlDrawing" Target="../drawings/vmlDrawing3.vml"/><Relationship Id="rId5" Type="http://schemas.openxmlformats.org/officeDocument/2006/relationships/drawing" Target="../drawings/drawing3.xml"/><Relationship Id="rId4" Type="http://schemas.openxmlformats.org/officeDocument/2006/relationships/printerSettings" Target="../printerSettings/printerSettings3.bin"/></Relationships>
</file>

<file path=xl/worksheets/_rels/sheet8.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4.vml"/><Relationship Id="rId1" Type="http://schemas.openxmlformats.org/officeDocument/2006/relationships/printerSettings" Target="../printerSettings/printerSettings4.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11.xml.rels><?xml version="1.0" encoding="UTF-8" standalone="yes"?>
<Relationships xmlns="http://schemas.openxmlformats.org/package/2006/relationships"><Relationship Id="rId1" Type="http://schemas.openxmlformats.org/officeDocument/2006/relationships/pivotTable" Target="../pivotTables/pivotTable1.xml"/></Relationships>
</file>

<file path=xl/worksheets/_rels/sheet12.xml.rels><?xml version="1.0" encoding="UTF-8" standalone="yes"?>
<Relationships xmlns="http://schemas.openxmlformats.org/package/2006/relationships"><Relationship Id="rId2" Type="http://schemas.openxmlformats.org/officeDocument/2006/relationships/printerSettings" Target="../printerSettings/printerSettings7.bin"/><Relationship Id="rId1" Type="http://schemas.openxmlformats.org/officeDocument/2006/relationships/pivotTable" Target="../pivotTables/pivotTable2.xml"/></Relationships>
</file>

<file path=xl/worksheets/_rels/sheet13.xml.rels><?xml version="1.0" encoding="UTF-8" standalone="yes"?>
<Relationships xmlns="http://schemas.openxmlformats.org/package/2006/relationships"><Relationship Id="rId1" Type="http://schemas.openxmlformats.org/officeDocument/2006/relationships/pivotTable" Target="../pivotTables/pivotTable3.xml"/></Relationships>
</file>

<file path=xl/worksheets/_rels/sheet14.xml.rels><?xml version="1.0" encoding="UTF-8" standalone="yes"?>
<Relationships xmlns="http://schemas.openxmlformats.org/package/2006/relationships"><Relationship Id="rId8" Type="http://schemas.openxmlformats.org/officeDocument/2006/relationships/hyperlink" Target="mailto:atm9.email@gmail.com" TargetMode="External"/><Relationship Id="rId13" Type="http://schemas.openxmlformats.org/officeDocument/2006/relationships/hyperlink" Target="mailto:atm1.email@gmail.com" TargetMode="External"/><Relationship Id="rId18" Type="http://schemas.openxmlformats.org/officeDocument/2006/relationships/vmlDrawing" Target="../drawings/vmlDrawing5.vml"/><Relationship Id="rId3" Type="http://schemas.openxmlformats.org/officeDocument/2006/relationships/hyperlink" Target="mailto:fengxiaoling@aski.cc" TargetMode="External"/><Relationship Id="rId7" Type="http://schemas.openxmlformats.org/officeDocument/2006/relationships/hyperlink" Target="mailto:atm2.email@gmail.com" TargetMode="External"/><Relationship Id="rId12" Type="http://schemas.openxmlformats.org/officeDocument/2006/relationships/hyperlink" Target="mailto:atm5.email@gmail.com" TargetMode="External"/><Relationship Id="rId17" Type="http://schemas.openxmlformats.org/officeDocument/2006/relationships/printerSettings" Target="../printerSettings/printerSettings8.bin"/><Relationship Id="rId2" Type="http://schemas.openxmlformats.org/officeDocument/2006/relationships/hyperlink" Target="mailto:qianjiedi@gktel.com.cn" TargetMode="External"/><Relationship Id="rId16" Type="http://schemas.openxmlformats.org/officeDocument/2006/relationships/hyperlink" Target="mailto:chris.hemswoth@mailcom" TargetMode="External"/><Relationship Id="rId1" Type="http://schemas.openxmlformats.org/officeDocument/2006/relationships/hyperlink" Target="mailto:xiongguohui@gktel.com.cn" TargetMode="External"/><Relationship Id="rId6" Type="http://schemas.openxmlformats.org/officeDocument/2006/relationships/hyperlink" Target="mailto:atm1.email@gmail.com" TargetMode="External"/><Relationship Id="rId11" Type="http://schemas.openxmlformats.org/officeDocument/2006/relationships/hyperlink" Target="mailto:atm6.email@gmail.com" TargetMode="External"/><Relationship Id="rId5" Type="http://schemas.openxmlformats.org/officeDocument/2006/relationships/hyperlink" Target="mailto:atm1.email@gmail.com" TargetMode="External"/><Relationship Id="rId15" Type="http://schemas.openxmlformats.org/officeDocument/2006/relationships/hyperlink" Target="mailto:atm4.email@gmail.com" TargetMode="External"/><Relationship Id="rId10" Type="http://schemas.openxmlformats.org/officeDocument/2006/relationships/hyperlink" Target="mailto:atm7.email@gmail.com" TargetMode="External"/><Relationship Id="rId19" Type="http://schemas.openxmlformats.org/officeDocument/2006/relationships/comments" Target="../comments4.xml"/><Relationship Id="rId4" Type="http://schemas.openxmlformats.org/officeDocument/2006/relationships/hyperlink" Target="mailto:dkessler@gmail.com" TargetMode="External"/><Relationship Id="rId9" Type="http://schemas.openxmlformats.org/officeDocument/2006/relationships/hyperlink" Target="mailto:atm8.email@gmail.com" TargetMode="External"/><Relationship Id="rId14" Type="http://schemas.openxmlformats.org/officeDocument/2006/relationships/hyperlink" Target="mailto:atm3.email@gmail.com" TargetMode="External"/></Relationships>
</file>

<file path=xl/worksheets/_rels/sheet15.xml.rels><?xml version="1.0" encoding="UTF-8" standalone="yes"?>
<Relationships xmlns="http://schemas.openxmlformats.org/package/2006/relationships"><Relationship Id="rId2" Type="http://schemas.openxmlformats.org/officeDocument/2006/relationships/comments" Target="../comments5.xml"/><Relationship Id="rId1" Type="http://schemas.openxmlformats.org/officeDocument/2006/relationships/vmlDrawing" Target="../drawings/vmlDrawing6.vml"/></Relationships>
</file>

<file path=xl/worksheets/_rels/sheet16.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7.vml"/><Relationship Id="rId1" Type="http://schemas.openxmlformats.org/officeDocument/2006/relationships/printerSettings" Target="../printerSettings/printerSettings9.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8.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11.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20.xml.rels><?xml version="1.0" encoding="UTF-8" standalone="yes"?>
<Relationships xmlns="http://schemas.openxmlformats.org/package/2006/relationships"><Relationship Id="rId1" Type="http://schemas.openxmlformats.org/officeDocument/2006/relationships/pivotTable" Target="../pivotTables/pivotTable4.xml"/></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22.xml.rels><?xml version="1.0" encoding="UTF-8" standalone="yes"?>
<Relationships xmlns="http://schemas.openxmlformats.org/package/2006/relationships"><Relationship Id="rId1" Type="http://schemas.openxmlformats.org/officeDocument/2006/relationships/pivotTable" Target="../pivotTables/pivotTable5.xml"/></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27.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34.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35.xml.rels><?xml version="1.0" encoding="UTF-8" standalone="yes"?>
<Relationships xmlns="http://schemas.openxmlformats.org/package/2006/relationships"><Relationship Id="rId1" Type="http://schemas.openxmlformats.org/officeDocument/2006/relationships/pivotTable" Target="../pivotTables/pivotTable6.xml"/></Relationships>
</file>

<file path=xl/worksheets/_rels/sheet36.xml.rels><?xml version="1.0" encoding="UTF-8" standalone="yes"?>
<Relationships xmlns="http://schemas.openxmlformats.org/package/2006/relationships"><Relationship Id="rId2" Type="http://schemas.openxmlformats.org/officeDocument/2006/relationships/printerSettings" Target="../printerSettings/printerSettings19.bin"/><Relationship Id="rId1" Type="http://schemas.openxmlformats.org/officeDocument/2006/relationships/pivotTable" Target="../pivotTables/pivotTable7.xml"/></Relationships>
</file>

<file path=xl/worksheets/_rels/sheet37.xml.rels><?xml version="1.0" encoding="UTF-8" standalone="yes"?>
<Relationships xmlns="http://schemas.openxmlformats.org/package/2006/relationships"><Relationship Id="rId2" Type="http://schemas.openxmlformats.org/officeDocument/2006/relationships/printerSettings" Target="../printerSettings/printerSettings20.bin"/><Relationship Id="rId1" Type="http://schemas.openxmlformats.org/officeDocument/2006/relationships/pivotTable" Target="../pivotTables/pivotTable8.xml"/></Relationships>
</file>

<file path=xl/worksheets/_rels/sheet38.xml.rels><?xml version="1.0" encoding="UTF-8" standalone="yes"?>
<Relationships xmlns="http://schemas.openxmlformats.org/package/2006/relationships"><Relationship Id="rId2" Type="http://schemas.openxmlformats.org/officeDocument/2006/relationships/printerSettings" Target="../printerSettings/printerSettings21.bin"/><Relationship Id="rId1" Type="http://schemas.openxmlformats.org/officeDocument/2006/relationships/pivotTable" Target="../pivotTables/pivotTable9.xml"/></Relationships>
</file>

<file path=xl/worksheets/_rels/sheet39.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_rels/sheet40.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5.xml"/><Relationship Id="rId1" Type="http://schemas.openxmlformats.org/officeDocument/2006/relationships/printerSettings" Target="../printerSettings/printerSettings23.bin"/></Relationships>
</file>

<file path=xl/worksheets/_rels/sheet48.xml.rels><?xml version="1.0" encoding="UTF-8" standalone="yes"?>
<Relationships xmlns="http://schemas.openxmlformats.org/package/2006/relationships"><Relationship Id="rId1" Type="http://schemas.openxmlformats.org/officeDocument/2006/relationships/hyperlink" Target="https://www.codetable.net/"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C6F4717-F58D-4952-BD2C-E61BD9771829}">
  <sheetPr codeName="Sheet31"/>
  <dimension ref="A2:A9"/>
  <sheetViews>
    <sheetView workbookViewId="0"/>
  </sheetViews>
  <sheetFormatPr defaultColWidth="8.6640625" defaultRowHeight="14.4"/>
  <cols>
    <col min="1" max="1" width="86.6640625" style="149" customWidth="1"/>
    <col min="2" max="16384" width="8.6640625" style="8"/>
  </cols>
  <sheetData>
    <row r="2" spans="1:1">
      <c r="A2" s="149" t="s">
        <v>1226</v>
      </c>
    </row>
    <row r="3" spans="1:1">
      <c r="A3" s="150" t="s">
        <v>1227</v>
      </c>
    </row>
    <row r="4" spans="1:1">
      <c r="A4" s="150"/>
    </row>
    <row r="5" spans="1:1">
      <c r="A5" s="149" t="s">
        <v>1232</v>
      </c>
    </row>
    <row r="6" spans="1:1" s="149" customFormat="1">
      <c r="A6" s="150" t="s">
        <v>1233</v>
      </c>
    </row>
    <row r="8" spans="1:1">
      <c r="A8" s="149" t="s">
        <v>1235</v>
      </c>
    </row>
    <row r="9" spans="1:1">
      <c r="A9" s="150" t="s">
        <v>1231</v>
      </c>
    </row>
  </sheetData>
  <phoneticPr fontId="54" type="noConversion"/>
  <hyperlinks>
    <hyperlink ref="A9" r:id="rId1" xr:uid="{39679646-49C7-407F-8118-A30604911A92}"/>
    <hyperlink ref="A3" r:id="rId2" xr:uid="{050EFA58-FB1D-4DBC-B511-ADA76D783411}"/>
    <hyperlink ref="A6" r:id="rId3" xr:uid="{B4F6B77D-830C-4AF1-AA69-2F9596E87F30}"/>
  </hyperlinks>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57E3A57-C66C-42F6-89DB-AF5126E807BA}">
  <sheetPr codeName="Sheet1"/>
  <dimension ref="A2:AF84"/>
  <sheetViews>
    <sheetView topLeftCell="A9" workbookViewId="0">
      <selection activeCell="D25" sqref="D25"/>
    </sheetView>
  </sheetViews>
  <sheetFormatPr defaultColWidth="8.6640625" defaultRowHeight="14.4"/>
  <cols>
    <col min="1" max="1" width="8.44140625" style="43" customWidth="1"/>
    <col min="2" max="2" width="19.44140625" style="43" customWidth="1"/>
    <col min="3" max="3" width="17.44140625" style="43" customWidth="1"/>
    <col min="4" max="4" width="46" style="102" customWidth="1"/>
    <col min="5" max="16384" width="8.6640625" style="43"/>
  </cols>
  <sheetData>
    <row r="2" spans="1:32">
      <c r="A2" s="43" t="s">
        <v>1198</v>
      </c>
    </row>
    <row r="4" spans="1:32">
      <c r="A4" s="43" t="s">
        <v>1043</v>
      </c>
      <c r="H4" s="214" t="s">
        <v>1110</v>
      </c>
    </row>
    <row r="5" spans="1:32">
      <c r="A5" s="47" t="s">
        <v>846</v>
      </c>
      <c r="B5" s="47" t="s">
        <v>847</v>
      </c>
      <c r="C5" s="47" t="s">
        <v>845</v>
      </c>
      <c r="D5" s="104" t="s">
        <v>382</v>
      </c>
      <c r="G5" s="149"/>
      <c r="H5" s="149"/>
      <c r="I5" s="149"/>
      <c r="J5" s="149"/>
      <c r="K5" s="149"/>
      <c r="L5" s="149"/>
      <c r="M5" s="149"/>
      <c r="N5" s="149"/>
      <c r="O5" s="149"/>
      <c r="P5" s="8"/>
      <c r="Q5" s="8"/>
      <c r="R5" s="8"/>
      <c r="S5" s="8"/>
      <c r="W5" s="8"/>
      <c r="X5" s="8"/>
      <c r="Y5" s="8"/>
      <c r="Z5" s="8"/>
      <c r="AA5" s="8"/>
      <c r="AB5" s="8"/>
      <c r="AC5" s="8"/>
      <c r="AD5" s="8"/>
      <c r="AE5" s="8"/>
      <c r="AF5" s="8"/>
    </row>
    <row r="6" spans="1:32">
      <c r="A6" s="44">
        <v>9</v>
      </c>
      <c r="B6" s="45">
        <v>44137</v>
      </c>
      <c r="C6" s="44" t="s">
        <v>844</v>
      </c>
      <c r="D6" s="56" t="s">
        <v>1234</v>
      </c>
      <c r="G6" s="149"/>
      <c r="H6" s="149"/>
      <c r="I6" s="149"/>
      <c r="J6" s="149"/>
      <c r="K6" s="149"/>
      <c r="L6" s="149"/>
      <c r="M6" s="149"/>
      <c r="N6" s="149"/>
    </row>
    <row r="7" spans="1:32">
      <c r="A7" s="44">
        <v>10</v>
      </c>
      <c r="B7" s="45">
        <v>44137</v>
      </c>
      <c r="C7" s="44" t="s">
        <v>844</v>
      </c>
      <c r="D7" s="56" t="s">
        <v>850</v>
      </c>
      <c r="G7" s="149"/>
      <c r="H7" s="197"/>
      <c r="I7" s="197"/>
      <c r="J7" s="197"/>
      <c r="K7" s="197"/>
      <c r="L7" s="197"/>
      <c r="M7" s="149"/>
      <c r="N7" s="198"/>
      <c r="O7" s="199"/>
      <c r="P7" s="199"/>
      <c r="Q7" s="199"/>
      <c r="R7" s="199"/>
      <c r="S7" s="8"/>
    </row>
    <row r="8" spans="1:32" ht="28.8">
      <c r="A8" s="44">
        <v>13</v>
      </c>
      <c r="B8" s="45">
        <v>44142</v>
      </c>
      <c r="C8" s="44" t="s">
        <v>844</v>
      </c>
      <c r="D8" s="56" t="s">
        <v>964</v>
      </c>
      <c r="G8" s="149"/>
      <c r="H8" s="149"/>
      <c r="I8" s="149"/>
      <c r="J8" s="149"/>
      <c r="K8" s="149"/>
      <c r="L8" s="149"/>
      <c r="M8" s="149"/>
      <c r="N8" s="149"/>
      <c r="O8" s="149"/>
      <c r="P8" s="8"/>
      <c r="Q8" s="8"/>
      <c r="R8" s="8"/>
      <c r="S8" s="8"/>
      <c r="T8" s="8"/>
    </row>
    <row r="9" spans="1:32">
      <c r="A9" s="44">
        <v>16</v>
      </c>
      <c r="B9" s="45">
        <v>44145</v>
      </c>
      <c r="C9" s="44" t="s">
        <v>844</v>
      </c>
      <c r="D9" s="56" t="s">
        <v>997</v>
      </c>
      <c r="G9" s="149"/>
      <c r="H9" s="149"/>
      <c r="I9" s="149"/>
      <c r="J9" s="149"/>
      <c r="K9" s="149"/>
      <c r="L9" s="149"/>
      <c r="M9" s="149"/>
      <c r="N9" s="149"/>
      <c r="O9" s="149"/>
      <c r="P9" s="8"/>
      <c r="Q9" s="8"/>
      <c r="R9" s="8"/>
      <c r="S9" s="8"/>
    </row>
    <row r="10" spans="1:32">
      <c r="A10" s="44">
        <v>17</v>
      </c>
      <c r="B10" s="45">
        <v>44145</v>
      </c>
      <c r="C10" s="44" t="s">
        <v>844</v>
      </c>
      <c r="D10" s="56" t="s">
        <v>1006</v>
      </c>
      <c r="G10" s="149"/>
      <c r="H10" s="149"/>
      <c r="I10" s="149"/>
      <c r="J10" s="149"/>
      <c r="K10" s="149"/>
      <c r="L10" s="149"/>
      <c r="M10" s="149"/>
      <c r="N10" s="149"/>
      <c r="O10" s="149"/>
      <c r="P10" s="8"/>
      <c r="Q10" s="8"/>
      <c r="R10" s="8"/>
      <c r="S10" s="8"/>
    </row>
    <row r="11" spans="1:32" ht="28.8">
      <c r="A11" s="44">
        <v>24</v>
      </c>
      <c r="B11" s="45">
        <v>44153</v>
      </c>
      <c r="C11" s="44" t="s">
        <v>844</v>
      </c>
      <c r="D11" s="56" t="s">
        <v>1047</v>
      </c>
      <c r="G11" s="149"/>
      <c r="H11" s="149"/>
      <c r="I11" s="149"/>
      <c r="J11" s="149"/>
      <c r="K11" s="149"/>
      <c r="L11" s="149"/>
      <c r="M11" s="149"/>
      <c r="N11" s="149"/>
      <c r="O11" s="149"/>
      <c r="P11" s="8"/>
      <c r="Q11" s="8"/>
      <c r="R11" s="8"/>
      <c r="S11" s="8"/>
    </row>
    <row r="12" spans="1:32">
      <c r="A12" s="44">
        <v>25</v>
      </c>
      <c r="B12" s="45">
        <v>44153</v>
      </c>
      <c r="C12" s="44" t="s">
        <v>844</v>
      </c>
      <c r="D12" s="56" t="s">
        <v>1073</v>
      </c>
      <c r="G12" s="149"/>
      <c r="H12" s="149"/>
      <c r="I12" s="149"/>
      <c r="J12" s="149"/>
      <c r="K12" s="149"/>
      <c r="L12" s="149"/>
      <c r="M12" s="149"/>
      <c r="N12" s="149"/>
      <c r="O12" s="149"/>
      <c r="P12" s="8"/>
      <c r="Q12" s="8"/>
      <c r="R12" s="8"/>
      <c r="S12" s="8"/>
    </row>
    <row r="13" spans="1:32" ht="28.8">
      <c r="A13" s="44">
        <v>26</v>
      </c>
      <c r="B13" s="45">
        <v>44154</v>
      </c>
      <c r="C13" s="44" t="s">
        <v>844</v>
      </c>
      <c r="D13" s="56" t="s">
        <v>1079</v>
      </c>
      <c r="G13" s="149"/>
      <c r="H13" s="149"/>
      <c r="I13" s="149"/>
      <c r="J13" s="149"/>
      <c r="K13" s="149"/>
      <c r="L13" s="149"/>
      <c r="M13" s="149"/>
      <c r="N13" s="149"/>
      <c r="O13" s="149"/>
      <c r="P13" s="8"/>
      <c r="Q13" s="8"/>
      <c r="R13" s="8"/>
      <c r="S13" s="8"/>
    </row>
    <row r="14" spans="1:32">
      <c r="A14" s="44">
        <v>34</v>
      </c>
      <c r="B14" s="45">
        <v>44170</v>
      </c>
      <c r="C14" s="44" t="s">
        <v>844</v>
      </c>
      <c r="D14" s="56" t="s">
        <v>1162</v>
      </c>
      <c r="G14" s="149"/>
      <c r="H14" s="149"/>
      <c r="I14" s="149"/>
      <c r="J14" s="149"/>
      <c r="K14" s="149"/>
      <c r="L14" s="149"/>
      <c r="M14" s="149"/>
      <c r="N14" s="149"/>
      <c r="O14" s="149"/>
      <c r="P14" s="8"/>
      <c r="Q14" s="8"/>
      <c r="R14" s="8"/>
      <c r="S14" s="8"/>
    </row>
    <row r="15" spans="1:32">
      <c r="A15" s="44">
        <v>38</v>
      </c>
      <c r="B15" s="45">
        <v>44175</v>
      </c>
      <c r="C15" s="44" t="s">
        <v>844</v>
      </c>
      <c r="D15" s="56" t="s">
        <v>1197</v>
      </c>
      <c r="G15" s="149"/>
      <c r="H15" s="149"/>
      <c r="I15" s="149"/>
      <c r="J15" s="149"/>
      <c r="K15" s="149"/>
      <c r="L15" s="149"/>
      <c r="M15" s="149"/>
      <c r="N15" s="149"/>
      <c r="O15" s="149"/>
      <c r="P15" s="8"/>
      <c r="Q15" s="8"/>
      <c r="R15" s="8"/>
      <c r="S15" s="8"/>
    </row>
    <row r="16" spans="1:32" ht="28.8">
      <c r="A16" s="44">
        <v>43</v>
      </c>
      <c r="B16" s="45">
        <v>44231</v>
      </c>
      <c r="C16" s="44" t="s">
        <v>1340</v>
      </c>
      <c r="D16" s="56" t="s">
        <v>1655</v>
      </c>
      <c r="G16" s="149"/>
      <c r="H16" s="149"/>
      <c r="I16" s="149"/>
      <c r="J16" s="149"/>
      <c r="K16" s="149"/>
      <c r="L16" s="149"/>
      <c r="M16" s="149"/>
      <c r="N16" s="149"/>
      <c r="O16" s="149"/>
      <c r="P16" s="8"/>
      <c r="Q16" s="8"/>
      <c r="R16" s="8"/>
      <c r="S16" s="8"/>
    </row>
    <row r="17" spans="1:19" ht="28.8">
      <c r="A17" s="44">
        <v>50</v>
      </c>
      <c r="B17" s="45">
        <v>44314</v>
      </c>
      <c r="C17" s="44" t="s">
        <v>844</v>
      </c>
      <c r="D17" s="56" t="s">
        <v>1654</v>
      </c>
      <c r="G17" s="149"/>
      <c r="H17" s="149"/>
      <c r="I17" s="149"/>
      <c r="J17" s="149"/>
      <c r="K17" s="149"/>
      <c r="L17" s="149"/>
      <c r="M17" s="149"/>
      <c r="N17" s="149"/>
      <c r="O17" s="149"/>
      <c r="P17" s="8"/>
      <c r="Q17" s="8"/>
      <c r="R17" s="8"/>
      <c r="S17" s="8"/>
    </row>
    <row r="18" spans="1:19" ht="28.8">
      <c r="A18" s="44">
        <v>51</v>
      </c>
      <c r="B18" s="45">
        <v>44318</v>
      </c>
      <c r="C18" s="44" t="s">
        <v>844</v>
      </c>
      <c r="D18" s="56" t="s">
        <v>1661</v>
      </c>
      <c r="G18" s="149"/>
      <c r="H18" s="149"/>
      <c r="I18" s="149"/>
      <c r="J18" s="149"/>
      <c r="K18" s="149"/>
      <c r="L18" s="149"/>
      <c r="M18" s="149"/>
      <c r="N18" s="149"/>
      <c r="O18" s="149"/>
      <c r="P18" s="8"/>
      <c r="Q18" s="8"/>
      <c r="R18" s="8"/>
      <c r="S18" s="8"/>
    </row>
    <row r="19" spans="1:19">
      <c r="A19" s="44">
        <v>52</v>
      </c>
      <c r="B19" s="45">
        <v>44324</v>
      </c>
      <c r="C19" s="44" t="s">
        <v>844</v>
      </c>
      <c r="D19" s="56" t="s">
        <v>1662</v>
      </c>
      <c r="G19" s="149"/>
      <c r="H19" s="149"/>
      <c r="I19" s="149"/>
      <c r="J19" s="149"/>
      <c r="K19" s="149"/>
      <c r="L19" s="149"/>
      <c r="M19" s="149"/>
    </row>
    <row r="20" spans="1:19" ht="28.8">
      <c r="A20" s="44">
        <v>53</v>
      </c>
      <c r="B20" s="45">
        <v>44343</v>
      </c>
      <c r="C20" s="44" t="s">
        <v>844</v>
      </c>
      <c r="D20" s="56" t="s">
        <v>1664</v>
      </c>
    </row>
    <row r="21" spans="1:19">
      <c r="A21" s="44">
        <v>53</v>
      </c>
      <c r="B21" s="45">
        <v>44354</v>
      </c>
      <c r="C21" s="44" t="s">
        <v>1668</v>
      </c>
      <c r="D21" s="56" t="s">
        <v>1676</v>
      </c>
    </row>
    <row r="22" spans="1:19">
      <c r="A22" s="44">
        <v>56</v>
      </c>
      <c r="B22" s="45">
        <v>44463</v>
      </c>
      <c r="C22" s="44" t="s">
        <v>844</v>
      </c>
      <c r="D22" s="56" t="s">
        <v>1675</v>
      </c>
    </row>
    <row r="23" spans="1:19">
      <c r="A23" s="44">
        <v>57</v>
      </c>
      <c r="B23" s="45">
        <v>44566</v>
      </c>
      <c r="C23" s="44" t="s">
        <v>1668</v>
      </c>
      <c r="D23" s="56" t="s">
        <v>1677</v>
      </c>
    </row>
    <row r="24" spans="1:19">
      <c r="H24" s="8"/>
      <c r="I24" s="8"/>
      <c r="J24" s="8"/>
      <c r="K24" s="8"/>
      <c r="L24" s="8"/>
      <c r="M24" s="8"/>
      <c r="N24" s="8"/>
      <c r="O24" s="8"/>
      <c r="P24" s="8"/>
      <c r="Q24" s="8"/>
      <c r="R24" s="8"/>
    </row>
    <row r="25" spans="1:19">
      <c r="H25" s="200"/>
      <c r="I25" s="200"/>
      <c r="J25" s="200"/>
      <c r="K25" s="200"/>
      <c r="L25" s="200"/>
      <c r="M25" s="8"/>
      <c r="N25" s="201"/>
      <c r="O25" s="201"/>
      <c r="P25" s="201"/>
      <c r="Q25" s="201"/>
      <c r="R25" s="201"/>
    </row>
    <row r="26" spans="1:19">
      <c r="H26" s="8"/>
      <c r="I26" s="8"/>
      <c r="J26" s="8"/>
      <c r="K26" s="8"/>
      <c r="L26" s="8"/>
      <c r="M26" s="8"/>
      <c r="N26" s="8"/>
      <c r="O26" s="8"/>
      <c r="P26" s="8"/>
      <c r="Q26" s="8"/>
      <c r="R26" s="8"/>
    </row>
    <row r="27" spans="1:19">
      <c r="H27" s="8"/>
      <c r="I27" s="8"/>
      <c r="J27" s="8"/>
      <c r="K27" s="8"/>
      <c r="L27" s="8"/>
      <c r="M27" s="8"/>
      <c r="N27" s="8"/>
      <c r="O27" s="8"/>
      <c r="P27" s="8"/>
      <c r="Q27" s="8"/>
      <c r="R27" s="8"/>
    </row>
    <row r="28" spans="1:19">
      <c r="H28" s="8"/>
      <c r="I28" s="8"/>
      <c r="J28" s="8"/>
      <c r="K28" s="8"/>
      <c r="L28" s="8"/>
      <c r="M28" s="8"/>
      <c r="N28" s="8"/>
      <c r="O28" s="8"/>
      <c r="P28" s="8"/>
      <c r="Q28" s="8"/>
      <c r="R28" s="8"/>
    </row>
    <row r="29" spans="1:19">
      <c r="H29" s="8"/>
      <c r="I29" s="8"/>
      <c r="J29" s="8"/>
      <c r="K29" s="8"/>
      <c r="L29" s="8"/>
      <c r="M29" s="8"/>
      <c r="N29" s="8"/>
      <c r="O29" s="8"/>
      <c r="P29" s="8"/>
      <c r="Q29" s="8"/>
      <c r="R29" s="8"/>
    </row>
    <row r="30" spans="1:19">
      <c r="H30" s="8"/>
      <c r="I30" s="8"/>
      <c r="J30" s="8"/>
      <c r="K30" s="8"/>
      <c r="L30" s="8"/>
      <c r="M30" s="8"/>
      <c r="N30" s="8"/>
      <c r="O30" s="8"/>
      <c r="P30" s="8"/>
      <c r="Q30" s="8"/>
      <c r="R30" s="8"/>
    </row>
    <row r="31" spans="1:19">
      <c r="H31" s="8"/>
      <c r="I31" s="8"/>
      <c r="J31" s="8"/>
      <c r="K31" s="8"/>
      <c r="L31" s="8"/>
      <c r="M31" s="8"/>
      <c r="N31" s="8"/>
      <c r="O31" s="8"/>
      <c r="P31" s="8"/>
      <c r="Q31" s="8"/>
      <c r="R31" s="8"/>
    </row>
    <row r="32" spans="1:19">
      <c r="H32" s="8"/>
      <c r="I32" s="8"/>
      <c r="J32" s="8"/>
      <c r="K32" s="8"/>
      <c r="L32" s="8"/>
      <c r="M32" s="8"/>
      <c r="N32" s="8"/>
      <c r="O32" s="8"/>
      <c r="P32" s="8"/>
      <c r="Q32" s="8"/>
      <c r="R32" s="8"/>
    </row>
    <row r="33" spans="2:18">
      <c r="H33" s="8"/>
      <c r="I33" s="8"/>
      <c r="J33" s="8"/>
      <c r="K33" s="8"/>
      <c r="L33" s="8"/>
      <c r="M33" s="8"/>
      <c r="N33" s="8"/>
      <c r="O33" s="8"/>
      <c r="P33" s="8"/>
      <c r="Q33" s="8"/>
      <c r="R33" s="8"/>
    </row>
    <row r="34" spans="2:18">
      <c r="H34" s="8"/>
      <c r="I34" s="8"/>
      <c r="J34" s="8"/>
      <c r="K34" s="8"/>
      <c r="L34" s="8"/>
      <c r="M34" s="8"/>
      <c r="N34" s="8"/>
      <c r="O34" s="8"/>
      <c r="P34" s="8"/>
      <c r="Q34" s="8"/>
      <c r="R34" s="8"/>
    </row>
    <row r="35" spans="2:18">
      <c r="H35" s="8"/>
      <c r="I35" s="8"/>
      <c r="J35" s="8"/>
      <c r="K35" s="8"/>
      <c r="L35" s="8"/>
      <c r="M35" s="8"/>
      <c r="N35" s="8"/>
      <c r="O35" s="8"/>
      <c r="P35" s="8"/>
      <c r="Q35" s="8"/>
      <c r="R35" s="8"/>
    </row>
    <row r="36" spans="2:18">
      <c r="H36" s="8"/>
      <c r="I36" s="8"/>
      <c r="J36" s="8"/>
      <c r="K36" s="8"/>
      <c r="L36" s="8"/>
      <c r="M36" s="8"/>
      <c r="N36" s="8"/>
      <c r="O36" s="8"/>
      <c r="P36" s="8"/>
      <c r="Q36" s="8"/>
      <c r="R36" s="8"/>
    </row>
    <row r="37" spans="2:18">
      <c r="H37" s="8"/>
      <c r="I37" s="8"/>
      <c r="J37" s="8"/>
      <c r="K37" s="8"/>
      <c r="L37" s="8"/>
      <c r="M37" s="8"/>
      <c r="N37" s="8"/>
      <c r="O37" s="8"/>
      <c r="P37" s="8"/>
      <c r="Q37" s="8"/>
      <c r="R37" s="8"/>
    </row>
    <row r="45" spans="2:18">
      <c r="B45" s="350" t="s">
        <v>1472</v>
      </c>
      <c r="D45" s="349" t="s">
        <v>1471</v>
      </c>
      <c r="H45" s="348" t="s">
        <v>1084</v>
      </c>
      <c r="I45" s="348"/>
      <c r="J45" s="348"/>
      <c r="K45" s="348"/>
      <c r="L45" s="348"/>
    </row>
    <row r="64" spans="2:19">
      <c r="B64" s="351" t="s">
        <v>1086</v>
      </c>
      <c r="C64" s="351"/>
      <c r="D64" s="352" t="s">
        <v>1087</v>
      </c>
      <c r="F64" s="353" t="s">
        <v>1089</v>
      </c>
      <c r="G64" s="353"/>
      <c r="H64" s="353"/>
      <c r="I64" s="353"/>
      <c r="K64" s="354" t="s">
        <v>1473</v>
      </c>
      <c r="L64" s="354"/>
      <c r="M64" s="354"/>
      <c r="N64" s="354"/>
      <c r="P64" s="356" t="s">
        <v>1085</v>
      </c>
      <c r="Q64" s="355"/>
      <c r="R64" s="355"/>
      <c r="S64" s="355"/>
    </row>
    <row r="84" spans="6:8">
      <c r="F84" s="361" t="s">
        <v>1486</v>
      </c>
      <c r="G84" s="361"/>
      <c r="H84" s="360"/>
    </row>
  </sheetData>
  <phoneticPr fontId="54" type="noConversion"/>
  <hyperlinks>
    <hyperlink ref="H4" r:id="rId1" xr:uid="{6EF8A606-3F2A-4918-A470-2199C4F700DC}"/>
  </hyperlinks>
  <pageMargins left="0.7" right="0.7" top="0.75" bottom="0.75" header="0.3" footer="0.3"/>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1420AA4-5A04-4C61-ADE1-65689A6B2AA3}">
  <sheetPr codeName="Sheet35"/>
  <dimension ref="A1:B47"/>
  <sheetViews>
    <sheetView workbookViewId="0">
      <selection activeCell="B16" sqref="B16"/>
    </sheetView>
  </sheetViews>
  <sheetFormatPr defaultColWidth="8.6640625" defaultRowHeight="14.4"/>
  <cols>
    <col min="1" max="1" width="25.6640625" style="116" customWidth="1"/>
    <col min="2" max="2" width="90.33203125" style="116" customWidth="1"/>
    <col min="3" max="16384" width="8.6640625" style="116"/>
  </cols>
  <sheetData>
    <row r="1" spans="1:2">
      <c r="A1" s="293" t="s">
        <v>1254</v>
      </c>
      <c r="B1" s="293"/>
    </row>
    <row r="2" spans="1:2" ht="43.2">
      <c r="A2" s="116" t="s">
        <v>1255</v>
      </c>
      <c r="B2" s="116" t="s">
        <v>1256</v>
      </c>
    </row>
    <row r="3" spans="1:2">
      <c r="B3" s="294" t="s">
        <v>1257</v>
      </c>
    </row>
    <row r="4" spans="1:2">
      <c r="B4" s="295" t="s">
        <v>1258</v>
      </c>
    </row>
    <row r="5" spans="1:2" ht="28.8">
      <c r="B5" s="296" t="s">
        <v>1259</v>
      </c>
    </row>
    <row r="7" spans="1:2" ht="72">
      <c r="A7" s="116" t="s">
        <v>1260</v>
      </c>
      <c r="B7" s="116" t="s">
        <v>1261</v>
      </c>
    </row>
    <row r="9" spans="1:2" ht="28.8">
      <c r="A9" s="116" t="s">
        <v>1262</v>
      </c>
      <c r="B9" s="116" t="s">
        <v>1263</v>
      </c>
    </row>
    <row r="11" spans="1:2">
      <c r="A11" s="293" t="s">
        <v>1264</v>
      </c>
      <c r="B11" s="293"/>
    </row>
    <row r="12" spans="1:2">
      <c r="A12" s="116" t="s">
        <v>1228</v>
      </c>
      <c r="B12" s="116" t="s">
        <v>1265</v>
      </c>
    </row>
    <row r="13" spans="1:2" ht="43.2">
      <c r="A13" s="116" t="s">
        <v>1199</v>
      </c>
      <c r="B13" s="116" t="s">
        <v>1266</v>
      </c>
    </row>
    <row r="14" spans="1:2">
      <c r="A14" s="116" t="s">
        <v>1267</v>
      </c>
      <c r="B14" s="116" t="s">
        <v>1268</v>
      </c>
    </row>
    <row r="15" spans="1:2" ht="57.6">
      <c r="A15" s="116" t="s">
        <v>946</v>
      </c>
      <c r="B15" s="116" t="s">
        <v>1269</v>
      </c>
    </row>
    <row r="16" spans="1:2" ht="43.2">
      <c r="A16" s="124" t="s">
        <v>947</v>
      </c>
      <c r="B16" s="116" t="s">
        <v>1270</v>
      </c>
    </row>
    <row r="17" spans="1:2">
      <c r="A17" s="124" t="s">
        <v>959</v>
      </c>
      <c r="B17" s="116" t="s">
        <v>1271</v>
      </c>
    </row>
    <row r="18" spans="1:2" ht="28.8">
      <c r="A18" s="124" t="s">
        <v>948</v>
      </c>
      <c r="B18" s="116" t="s">
        <v>1272</v>
      </c>
    </row>
    <row r="19" spans="1:2" ht="43.2">
      <c r="A19" s="124" t="s">
        <v>1180</v>
      </c>
      <c r="B19" s="116" t="s">
        <v>1273</v>
      </c>
    </row>
    <row r="20" spans="1:2">
      <c r="A20" s="124" t="s">
        <v>1000</v>
      </c>
      <c r="B20" s="116" t="s">
        <v>1274</v>
      </c>
    </row>
    <row r="21" spans="1:2">
      <c r="A21" s="124" t="s">
        <v>1275</v>
      </c>
    </row>
    <row r="22" spans="1:2">
      <c r="A22" s="124" t="s">
        <v>1276</v>
      </c>
    </row>
    <row r="23" spans="1:2">
      <c r="A23" s="124" t="s">
        <v>1277</v>
      </c>
    </row>
    <row r="24" spans="1:2">
      <c r="A24" s="124" t="s">
        <v>1278</v>
      </c>
    </row>
    <row r="25" spans="1:2">
      <c r="A25" s="124" t="s">
        <v>952</v>
      </c>
    </row>
    <row r="26" spans="1:2">
      <c r="A26" s="124" t="s">
        <v>953</v>
      </c>
    </row>
    <row r="27" spans="1:2">
      <c r="A27" s="124" t="s">
        <v>954</v>
      </c>
    </row>
    <row r="28" spans="1:2">
      <c r="A28" s="124" t="s">
        <v>1229</v>
      </c>
    </row>
    <row r="29" spans="1:2">
      <c r="A29" s="124" t="s">
        <v>1230</v>
      </c>
    </row>
    <row r="30" spans="1:2">
      <c r="A30" s="124" t="s">
        <v>672</v>
      </c>
    </row>
    <row r="31" spans="1:2">
      <c r="A31" s="124" t="s">
        <v>1279</v>
      </c>
    </row>
    <row r="32" spans="1:2">
      <c r="A32" s="124" t="s">
        <v>950</v>
      </c>
    </row>
    <row r="33" spans="1:1">
      <c r="A33" s="124" t="s">
        <v>1280</v>
      </c>
    </row>
    <row r="34" spans="1:1">
      <c r="A34" s="124" t="s">
        <v>1281</v>
      </c>
    </row>
    <row r="35" spans="1:1">
      <c r="A35" s="124" t="s">
        <v>1282</v>
      </c>
    </row>
    <row r="36" spans="1:1">
      <c r="A36" s="124" t="s">
        <v>1283</v>
      </c>
    </row>
    <row r="37" spans="1:1">
      <c r="A37" s="124" t="s">
        <v>951</v>
      </c>
    </row>
    <row r="38" spans="1:1">
      <c r="A38" s="124" t="s">
        <v>1046</v>
      </c>
    </row>
    <row r="39" spans="1:1">
      <c r="A39" s="124" t="s">
        <v>1133</v>
      </c>
    </row>
    <row r="40" spans="1:1">
      <c r="A40" s="124" t="s">
        <v>1044</v>
      </c>
    </row>
    <row r="41" spans="1:1">
      <c r="A41" s="124" t="s">
        <v>1045</v>
      </c>
    </row>
    <row r="42" spans="1:1">
      <c r="A42" s="124" t="s">
        <v>996</v>
      </c>
    </row>
    <row r="43" spans="1:1">
      <c r="A43" s="124" t="s">
        <v>1134</v>
      </c>
    </row>
    <row r="44" spans="1:1">
      <c r="A44" s="124" t="s">
        <v>1135</v>
      </c>
    </row>
    <row r="45" spans="1:1">
      <c r="A45" s="124" t="s">
        <v>1136</v>
      </c>
    </row>
    <row r="46" spans="1:1">
      <c r="A46" s="124" t="s">
        <v>955</v>
      </c>
    </row>
    <row r="47" spans="1:1">
      <c r="A47" s="124"/>
    </row>
  </sheetData>
  <phoneticPr fontId="54" type="noConversion"/>
  <pageMargins left="0.7" right="0.7" top="0.75" bottom="0.75" header="0.3" footer="0.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FFE0296-20FD-40FE-AC51-871E9DFCC000}">
  <sheetPr codeName="Sheet2"/>
  <dimension ref="A1:AF55"/>
  <sheetViews>
    <sheetView workbookViewId="0">
      <pane xSplit="1" ySplit="6" topLeftCell="B7" activePane="bottomRight" state="frozen"/>
      <selection pane="topRight" activeCell="B1" sqref="B1"/>
      <selection pane="bottomLeft" activeCell="A7" sqref="A7"/>
      <selection pane="bottomRight" activeCell="B2" sqref="B2"/>
    </sheetView>
  </sheetViews>
  <sheetFormatPr defaultColWidth="8.6640625" defaultRowHeight="14.4"/>
  <cols>
    <col min="1" max="1" width="30.6640625" customWidth="1"/>
    <col min="2" max="8" width="11.6640625" style="131" customWidth="1"/>
    <col min="9" max="10" width="8.6640625" style="57"/>
    <col min="11" max="11" width="16.44140625" style="57" customWidth="1"/>
    <col min="12" max="29" width="8.6640625" style="57"/>
    <col min="30" max="30" width="30.6640625" style="77" customWidth="1"/>
    <col min="31" max="32" width="8.6640625" style="77"/>
    <col min="33" max="16384" width="8.6640625" style="57"/>
  </cols>
  <sheetData>
    <row r="1" spans="1:32">
      <c r="AD1" s="77" t="s">
        <v>956</v>
      </c>
      <c r="AE1" s="77">
        <v>48</v>
      </c>
    </row>
    <row r="2" spans="1:32" s="103" customFormat="1" ht="28.8">
      <c r="A2" s="313"/>
      <c r="B2" s="103" t="s">
        <v>1601</v>
      </c>
      <c r="C2" s="103" t="s">
        <v>1602</v>
      </c>
      <c r="D2" s="103" t="s">
        <v>1289</v>
      </c>
      <c r="E2" s="103" t="s">
        <v>1290</v>
      </c>
      <c r="F2" s="103" t="s">
        <v>1299</v>
      </c>
      <c r="G2" s="103" t="s">
        <v>1291</v>
      </c>
      <c r="H2" s="103" t="s">
        <v>1193</v>
      </c>
      <c r="AD2" s="314"/>
      <c r="AE2" s="314"/>
      <c r="AF2" s="314"/>
    </row>
    <row r="7" spans="1:32" s="77" customFormat="1">
      <c r="A7" t="s">
        <v>1228</v>
      </c>
      <c r="B7" s="131" t="s">
        <v>411</v>
      </c>
      <c r="C7" s="131" t="s">
        <v>411</v>
      </c>
      <c r="D7" s="131" t="s">
        <v>411</v>
      </c>
      <c r="E7" s="131" t="s">
        <v>411</v>
      </c>
      <c r="F7" s="131" t="s">
        <v>411</v>
      </c>
      <c r="G7" s="131" t="s">
        <v>411</v>
      </c>
      <c r="H7" s="131" t="s">
        <v>411</v>
      </c>
      <c r="I7" s="127">
        <f>COUNTA(B7:H7)</f>
        <v>7</v>
      </c>
      <c r="J7" s="127"/>
      <c r="K7" s="128"/>
      <c r="L7" s="127"/>
      <c r="M7" s="127"/>
      <c r="N7" s="127"/>
      <c r="O7" s="127"/>
      <c r="P7" s="127"/>
      <c r="Q7" s="127"/>
      <c r="R7" s="127"/>
      <c r="S7" s="127"/>
      <c r="T7" s="127"/>
      <c r="U7" s="127"/>
      <c r="V7" s="127"/>
      <c r="W7" s="127"/>
      <c r="X7" s="127"/>
      <c r="Y7" s="127"/>
      <c r="Z7" s="127"/>
      <c r="AA7" s="127"/>
      <c r="AB7" s="127"/>
      <c r="AC7" s="127"/>
    </row>
    <row r="8" spans="1:32" s="77" customFormat="1">
      <c r="A8" t="s">
        <v>1199</v>
      </c>
      <c r="B8" s="131"/>
      <c r="C8" s="131"/>
      <c r="D8" s="131"/>
      <c r="E8" s="131"/>
      <c r="F8" s="131"/>
      <c r="G8" s="131"/>
      <c r="H8" s="131"/>
      <c r="I8" s="127">
        <f t="shared" ref="I8:I54" si="0">COUNTA(B8:H8)</f>
        <v>0</v>
      </c>
      <c r="J8" s="127"/>
      <c r="K8" s="128"/>
      <c r="L8" s="127"/>
      <c r="M8" s="127"/>
      <c r="N8" s="127"/>
      <c r="O8" s="127"/>
      <c r="P8" s="127"/>
      <c r="Q8" s="127"/>
      <c r="R8" s="127"/>
      <c r="S8" s="127"/>
      <c r="T8" s="127"/>
      <c r="U8" s="127"/>
      <c r="V8" s="127"/>
      <c r="W8" s="127"/>
      <c r="X8" s="127"/>
      <c r="Y8" s="127"/>
      <c r="Z8" s="127"/>
      <c r="AA8" s="127"/>
      <c r="AB8" s="127"/>
      <c r="AC8" s="127"/>
    </row>
    <row r="9" spans="1:32" s="77" customFormat="1">
      <c r="A9" t="s">
        <v>1267</v>
      </c>
      <c r="B9" s="131"/>
      <c r="C9" s="131"/>
      <c r="D9" s="131"/>
      <c r="E9" s="131"/>
      <c r="F9" s="131" t="s">
        <v>411</v>
      </c>
      <c r="G9" s="131"/>
      <c r="H9" s="131"/>
      <c r="I9" s="127">
        <f t="shared" si="0"/>
        <v>1</v>
      </c>
      <c r="J9" s="127"/>
      <c r="K9" s="128"/>
      <c r="L9" s="127"/>
      <c r="M9" s="127"/>
      <c r="N9" s="127"/>
      <c r="O9" s="127"/>
      <c r="P9" s="127"/>
      <c r="Q9" s="127"/>
      <c r="R9" s="127"/>
      <c r="S9" s="127"/>
      <c r="T9" s="127"/>
      <c r="U9" s="127"/>
      <c r="V9" s="127"/>
      <c r="W9" s="127"/>
      <c r="X9" s="127"/>
      <c r="Y9" s="127"/>
      <c r="Z9" s="127"/>
      <c r="AA9" s="127"/>
      <c r="AB9" s="127"/>
      <c r="AC9" s="127"/>
    </row>
    <row r="10" spans="1:32" s="77" customFormat="1">
      <c r="A10" t="s">
        <v>946</v>
      </c>
      <c r="B10" s="131" t="s">
        <v>411</v>
      </c>
      <c r="C10" s="131" t="s">
        <v>411</v>
      </c>
      <c r="D10" s="131" t="s">
        <v>411</v>
      </c>
      <c r="E10" s="131" t="s">
        <v>411</v>
      </c>
      <c r="F10" s="131" t="s">
        <v>411</v>
      </c>
      <c r="G10" s="131" t="s">
        <v>411</v>
      </c>
      <c r="H10" s="131" t="s">
        <v>411</v>
      </c>
      <c r="I10" s="127">
        <f t="shared" si="0"/>
        <v>7</v>
      </c>
      <c r="J10" s="127"/>
      <c r="K10" s="128"/>
      <c r="L10" s="127"/>
      <c r="M10" s="127"/>
      <c r="N10" s="127"/>
      <c r="O10" s="127"/>
      <c r="P10" s="127"/>
      <c r="Q10" s="127"/>
      <c r="R10" s="127"/>
      <c r="S10" s="127"/>
      <c r="T10" s="127"/>
      <c r="U10" s="127"/>
      <c r="V10" s="127"/>
      <c r="W10" s="127"/>
      <c r="X10" s="127"/>
      <c r="Y10" s="127"/>
      <c r="Z10" s="127"/>
      <c r="AA10" s="127"/>
      <c r="AB10" s="127"/>
      <c r="AC10" s="127"/>
    </row>
    <row r="11" spans="1:32" s="77" customFormat="1">
      <c r="A11" t="s">
        <v>947</v>
      </c>
      <c r="B11" s="131" t="s">
        <v>411</v>
      </c>
      <c r="C11" s="131"/>
      <c r="D11" s="131" t="s">
        <v>411</v>
      </c>
      <c r="E11" s="131"/>
      <c r="F11" s="131" t="s">
        <v>411</v>
      </c>
      <c r="G11" s="131"/>
      <c r="H11" s="131"/>
      <c r="I11" s="127">
        <f t="shared" si="0"/>
        <v>3</v>
      </c>
      <c r="J11" s="127"/>
      <c r="K11" s="128"/>
      <c r="L11" s="127"/>
      <c r="M11" s="127"/>
      <c r="N11" s="127"/>
      <c r="O11" s="127"/>
      <c r="P11" s="127"/>
      <c r="Q11" s="127"/>
      <c r="R11" s="127"/>
      <c r="S11" s="127"/>
      <c r="T11" s="127"/>
      <c r="U11" s="127"/>
      <c r="V11" s="127"/>
      <c r="W11" s="127"/>
      <c r="X11" s="127"/>
      <c r="Y11" s="127"/>
      <c r="Z11" s="127"/>
      <c r="AA11" s="127"/>
      <c r="AB11" s="127"/>
      <c r="AC11" s="127"/>
    </row>
    <row r="12" spans="1:32" s="77" customFormat="1">
      <c r="A12" t="s">
        <v>959</v>
      </c>
      <c r="B12" s="131" t="s">
        <v>411</v>
      </c>
      <c r="C12" s="131"/>
      <c r="D12" s="131"/>
      <c r="E12" s="131" t="s">
        <v>411</v>
      </c>
      <c r="F12" s="131" t="s">
        <v>411</v>
      </c>
      <c r="G12" s="131"/>
      <c r="H12" s="131"/>
      <c r="I12" s="127">
        <f t="shared" si="0"/>
        <v>3</v>
      </c>
      <c r="J12" s="127"/>
      <c r="K12" s="128"/>
      <c r="L12" s="127"/>
      <c r="M12" s="127"/>
      <c r="N12" s="127"/>
      <c r="O12" s="127"/>
      <c r="P12" s="127"/>
      <c r="Q12" s="127"/>
      <c r="R12" s="127"/>
      <c r="S12" s="127"/>
      <c r="T12" s="127"/>
      <c r="U12" s="127"/>
      <c r="V12" s="127"/>
      <c r="W12" s="127"/>
      <c r="X12" s="127"/>
      <c r="Y12" s="127"/>
      <c r="Z12" s="127"/>
      <c r="AA12" s="127"/>
      <c r="AB12" s="127"/>
      <c r="AC12" s="127"/>
    </row>
    <row r="13" spans="1:32" s="77" customFormat="1">
      <c r="A13" t="s">
        <v>948</v>
      </c>
      <c r="B13" s="131" t="s">
        <v>411</v>
      </c>
      <c r="C13" s="131"/>
      <c r="D13" s="131" t="s">
        <v>411</v>
      </c>
      <c r="E13" s="131" t="s">
        <v>411</v>
      </c>
      <c r="F13" s="131" t="s">
        <v>411</v>
      </c>
      <c r="G13" s="131" t="s">
        <v>411</v>
      </c>
      <c r="H13" s="131" t="s">
        <v>411</v>
      </c>
      <c r="I13" s="127">
        <f t="shared" si="0"/>
        <v>6</v>
      </c>
      <c r="J13" s="127"/>
      <c r="K13" s="128"/>
      <c r="L13" s="127"/>
      <c r="M13" s="127"/>
      <c r="N13" s="127"/>
      <c r="O13" s="127"/>
      <c r="P13" s="127"/>
      <c r="Q13" s="127"/>
      <c r="R13" s="127"/>
      <c r="S13" s="127"/>
      <c r="T13" s="127"/>
      <c r="U13" s="127"/>
      <c r="V13" s="127"/>
      <c r="W13" s="127"/>
      <c r="X13" s="127"/>
      <c r="Y13" s="127"/>
      <c r="Z13" s="127"/>
      <c r="AA13" s="127"/>
      <c r="AB13" s="127"/>
      <c r="AC13" s="127"/>
    </row>
    <row r="14" spans="1:32" s="77" customFormat="1">
      <c r="A14" t="s">
        <v>1180</v>
      </c>
      <c r="B14" s="131" t="s">
        <v>411</v>
      </c>
      <c r="C14" s="131" t="s">
        <v>411</v>
      </c>
      <c r="D14" s="131" t="s">
        <v>411</v>
      </c>
      <c r="E14" s="131" t="s">
        <v>411</v>
      </c>
      <c r="F14" s="131" t="s">
        <v>411</v>
      </c>
      <c r="G14" s="131" t="s">
        <v>411</v>
      </c>
      <c r="H14" s="131" t="s">
        <v>411</v>
      </c>
      <c r="I14" s="127">
        <f t="shared" si="0"/>
        <v>7</v>
      </c>
      <c r="J14" s="127"/>
      <c r="K14" s="128"/>
      <c r="L14" s="127"/>
      <c r="M14" s="127"/>
      <c r="N14" s="127"/>
      <c r="O14" s="127"/>
      <c r="P14" s="127"/>
      <c r="Q14" s="127"/>
      <c r="R14" s="127"/>
      <c r="S14" s="127"/>
      <c r="T14" s="127"/>
      <c r="U14" s="127"/>
      <c r="V14" s="127"/>
      <c r="W14" s="127"/>
      <c r="X14" s="127"/>
      <c r="Y14" s="127"/>
      <c r="Z14" s="127"/>
      <c r="AA14" s="127"/>
      <c r="AB14" s="127"/>
      <c r="AC14" s="127"/>
    </row>
    <row r="15" spans="1:32" s="77" customFormat="1">
      <c r="A15" t="s">
        <v>1000</v>
      </c>
      <c r="B15" s="131" t="s">
        <v>411</v>
      </c>
      <c r="C15" s="131" t="s">
        <v>411</v>
      </c>
      <c r="D15" s="131" t="s">
        <v>411</v>
      </c>
      <c r="E15" s="131" t="s">
        <v>411</v>
      </c>
      <c r="F15" s="131" t="s">
        <v>411</v>
      </c>
      <c r="G15" s="131" t="s">
        <v>411</v>
      </c>
      <c r="H15" s="131" t="s">
        <v>411</v>
      </c>
      <c r="I15" s="127">
        <f t="shared" si="0"/>
        <v>7</v>
      </c>
      <c r="J15" s="127"/>
      <c r="K15" s="128"/>
      <c r="L15" s="127"/>
      <c r="M15" s="127"/>
      <c r="N15" s="127"/>
      <c r="O15" s="127"/>
      <c r="P15" s="127"/>
      <c r="Q15" s="127"/>
      <c r="R15" s="127"/>
      <c r="S15" s="127"/>
      <c r="T15" s="127"/>
      <c r="U15" s="127"/>
      <c r="V15" s="127"/>
      <c r="W15" s="127"/>
      <c r="X15" s="127"/>
      <c r="Y15" s="127"/>
      <c r="Z15" s="127"/>
      <c r="AA15" s="127"/>
      <c r="AB15" s="127"/>
      <c r="AC15" s="127"/>
    </row>
    <row r="16" spans="1:32" s="77" customFormat="1">
      <c r="A16" t="s">
        <v>1183</v>
      </c>
      <c r="B16" s="131" t="s">
        <v>411</v>
      </c>
      <c r="C16" s="131" t="s">
        <v>411</v>
      </c>
      <c r="D16" s="131"/>
      <c r="E16" s="131"/>
      <c r="F16" s="131"/>
      <c r="G16" s="131"/>
      <c r="H16" s="131"/>
      <c r="I16" s="127">
        <f t="shared" si="0"/>
        <v>2</v>
      </c>
      <c r="J16" s="127"/>
      <c r="K16" s="128"/>
      <c r="L16" s="127"/>
      <c r="M16" s="127"/>
      <c r="N16" s="127"/>
      <c r="O16" s="127"/>
      <c r="P16" s="127"/>
      <c r="Q16" s="127"/>
      <c r="R16" s="127"/>
      <c r="S16" s="127"/>
      <c r="T16" s="127"/>
      <c r="U16" s="127"/>
      <c r="V16" s="127"/>
      <c r="W16" s="127"/>
      <c r="X16" s="127"/>
      <c r="Y16" s="127"/>
      <c r="Z16" s="127"/>
      <c r="AA16" s="127"/>
      <c r="AB16" s="127"/>
      <c r="AC16" s="127"/>
    </row>
    <row r="17" spans="1:32" s="127" customFormat="1">
      <c r="A17" t="s">
        <v>1184</v>
      </c>
      <c r="B17" s="131"/>
      <c r="C17" s="131"/>
      <c r="D17" s="131"/>
      <c r="E17" s="131"/>
      <c r="F17" s="131"/>
      <c r="G17" s="131"/>
      <c r="H17" s="131"/>
      <c r="I17" s="127">
        <f t="shared" si="0"/>
        <v>0</v>
      </c>
      <c r="K17" s="128"/>
      <c r="AD17" s="77"/>
      <c r="AE17" s="77"/>
      <c r="AF17" s="77"/>
    </row>
    <row r="18" spans="1:32" s="127" customFormat="1">
      <c r="A18" t="s">
        <v>1185</v>
      </c>
      <c r="B18" s="131"/>
      <c r="C18" s="131"/>
      <c r="D18" s="131"/>
      <c r="E18" s="131"/>
      <c r="F18" s="131"/>
      <c r="G18" s="131"/>
      <c r="H18" s="131"/>
      <c r="I18" s="127">
        <f t="shared" si="0"/>
        <v>0</v>
      </c>
      <c r="K18" s="128"/>
      <c r="AD18" s="77"/>
      <c r="AE18" s="77"/>
      <c r="AF18" s="77"/>
    </row>
    <row r="19" spans="1:32" s="127" customFormat="1">
      <c r="A19" t="s">
        <v>1577</v>
      </c>
      <c r="B19" s="131"/>
      <c r="C19" s="131"/>
      <c r="D19" s="131"/>
      <c r="E19" s="131"/>
      <c r="F19" s="131"/>
      <c r="G19" s="131"/>
      <c r="H19" s="131"/>
      <c r="I19" s="127">
        <f t="shared" si="0"/>
        <v>0</v>
      </c>
      <c r="K19" s="128"/>
      <c r="AD19" s="77"/>
      <c r="AE19" s="77"/>
      <c r="AF19" s="77"/>
    </row>
    <row r="20" spans="1:32" s="127" customFormat="1">
      <c r="A20" t="s">
        <v>952</v>
      </c>
      <c r="B20" s="131" t="s">
        <v>411</v>
      </c>
      <c r="C20" s="131" t="s">
        <v>411</v>
      </c>
      <c r="D20" s="131"/>
      <c r="E20" s="131" t="s">
        <v>411</v>
      </c>
      <c r="F20" s="131"/>
      <c r="G20" s="131"/>
      <c r="H20" s="131"/>
      <c r="I20" s="127">
        <f t="shared" si="0"/>
        <v>3</v>
      </c>
      <c r="K20" s="128"/>
      <c r="AD20" s="77"/>
      <c r="AE20" s="77"/>
      <c r="AF20" s="77"/>
    </row>
    <row r="21" spans="1:32" s="127" customFormat="1">
      <c r="A21" t="s">
        <v>953</v>
      </c>
      <c r="B21" s="131"/>
      <c r="C21" s="131" t="s">
        <v>411</v>
      </c>
      <c r="D21" s="131"/>
      <c r="E21" s="131" t="s">
        <v>411</v>
      </c>
      <c r="F21" s="131"/>
      <c r="G21" s="131"/>
      <c r="H21" s="131"/>
      <c r="I21" s="127">
        <f t="shared" si="0"/>
        <v>2</v>
      </c>
      <c r="K21" s="128"/>
      <c r="AD21" s="77"/>
      <c r="AE21" s="77"/>
      <c r="AF21" s="77"/>
    </row>
    <row r="22" spans="1:32" s="127" customFormat="1">
      <c r="A22" t="s">
        <v>954</v>
      </c>
      <c r="B22" s="131"/>
      <c r="C22" s="131" t="s">
        <v>411</v>
      </c>
      <c r="D22" s="131"/>
      <c r="E22" s="131" t="s">
        <v>411</v>
      </c>
      <c r="F22" s="131"/>
      <c r="G22" s="131"/>
      <c r="H22" s="131"/>
      <c r="I22" s="127">
        <f t="shared" si="0"/>
        <v>2</v>
      </c>
      <c r="K22" s="128"/>
      <c r="AD22" s="77"/>
      <c r="AE22" s="77"/>
      <c r="AF22" s="77"/>
    </row>
    <row r="23" spans="1:32" s="127" customFormat="1">
      <c r="A23" t="s">
        <v>1229</v>
      </c>
      <c r="B23" s="131"/>
      <c r="C23" s="131"/>
      <c r="D23" s="131"/>
      <c r="E23" s="131"/>
      <c r="F23" s="131"/>
      <c r="G23" s="131"/>
      <c r="H23" s="131"/>
      <c r="I23" s="127">
        <f t="shared" si="0"/>
        <v>0</v>
      </c>
      <c r="K23" s="128"/>
      <c r="AD23" s="77"/>
      <c r="AE23" s="77"/>
      <c r="AF23" s="77"/>
    </row>
    <row r="24" spans="1:32" s="127" customFormat="1">
      <c r="A24" t="s">
        <v>1230</v>
      </c>
      <c r="B24" s="131"/>
      <c r="C24" s="131"/>
      <c r="D24" s="131"/>
      <c r="E24" s="131"/>
      <c r="F24" s="131"/>
      <c r="G24" s="131"/>
      <c r="H24" s="131"/>
      <c r="I24" s="127">
        <f t="shared" si="0"/>
        <v>0</v>
      </c>
      <c r="K24" s="128"/>
      <c r="AD24" s="77"/>
      <c r="AE24" s="77"/>
      <c r="AF24" s="77"/>
    </row>
    <row r="25" spans="1:32" s="127" customFormat="1">
      <c r="A25" t="s">
        <v>672</v>
      </c>
      <c r="B25" s="131" t="s">
        <v>411</v>
      </c>
      <c r="C25" s="131" t="s">
        <v>411</v>
      </c>
      <c r="D25" s="131"/>
      <c r="E25" s="131" t="s">
        <v>411</v>
      </c>
      <c r="F25" s="131"/>
      <c r="G25" s="131"/>
      <c r="H25" s="131"/>
      <c r="I25" s="127">
        <f t="shared" si="0"/>
        <v>3</v>
      </c>
      <c r="K25" s="128"/>
      <c r="AD25" s="77"/>
      <c r="AE25" s="77"/>
      <c r="AF25" s="77"/>
    </row>
    <row r="26" spans="1:32" s="127" customFormat="1">
      <c r="A26" t="s">
        <v>1172</v>
      </c>
      <c r="B26" s="131"/>
      <c r="C26" s="131"/>
      <c r="D26" s="131"/>
      <c r="E26" s="131"/>
      <c r="F26" s="131"/>
      <c r="G26" s="131"/>
      <c r="H26" s="131"/>
      <c r="I26" s="127">
        <f t="shared" si="0"/>
        <v>0</v>
      </c>
      <c r="K26" s="128"/>
      <c r="AD26" s="77"/>
      <c r="AE26" s="77"/>
      <c r="AF26" s="77"/>
    </row>
    <row r="27" spans="1:32" s="127" customFormat="1">
      <c r="A27" t="s">
        <v>950</v>
      </c>
      <c r="B27" s="131" t="s">
        <v>411</v>
      </c>
      <c r="C27" s="131" t="s">
        <v>411</v>
      </c>
      <c r="D27" s="131"/>
      <c r="E27" s="131" t="s">
        <v>411</v>
      </c>
      <c r="F27" s="131" t="s">
        <v>411</v>
      </c>
      <c r="G27" s="131"/>
      <c r="H27" s="131"/>
      <c r="I27" s="127">
        <f t="shared" si="0"/>
        <v>4</v>
      </c>
      <c r="K27" s="128"/>
      <c r="AD27" s="77"/>
      <c r="AE27" s="77"/>
      <c r="AF27" s="77"/>
    </row>
    <row r="28" spans="1:32" s="127" customFormat="1">
      <c r="A28" t="s">
        <v>1300</v>
      </c>
      <c r="B28" s="131"/>
      <c r="C28" s="131"/>
      <c r="D28" s="131"/>
      <c r="E28" s="131"/>
      <c r="F28" s="131" t="s">
        <v>411</v>
      </c>
      <c r="G28" s="131"/>
      <c r="H28" s="131"/>
      <c r="I28" s="127">
        <f t="shared" si="0"/>
        <v>1</v>
      </c>
      <c r="K28" s="128"/>
      <c r="AD28" s="77"/>
      <c r="AE28" s="77"/>
      <c r="AF28" s="77"/>
    </row>
    <row r="29" spans="1:32" s="127" customFormat="1">
      <c r="A29" t="s">
        <v>1502</v>
      </c>
      <c r="B29" s="131"/>
      <c r="C29" s="131"/>
      <c r="D29" s="131"/>
      <c r="E29" s="131"/>
      <c r="F29" s="131"/>
      <c r="G29" s="131"/>
      <c r="H29" s="131"/>
      <c r="I29" s="127">
        <f t="shared" si="0"/>
        <v>0</v>
      </c>
      <c r="K29" s="128"/>
      <c r="AD29" s="77"/>
      <c r="AE29" s="77"/>
      <c r="AF29" s="77"/>
    </row>
    <row r="30" spans="1:32">
      <c r="A30" t="s">
        <v>1503</v>
      </c>
      <c r="I30" s="127">
        <f t="shared" si="0"/>
        <v>0</v>
      </c>
    </row>
    <row r="31" spans="1:32">
      <c r="A31" t="s">
        <v>1504</v>
      </c>
      <c r="I31" s="127">
        <f t="shared" si="0"/>
        <v>0</v>
      </c>
    </row>
    <row r="32" spans="1:32">
      <c r="A32" t="s">
        <v>1046</v>
      </c>
      <c r="I32" s="127">
        <f t="shared" si="0"/>
        <v>0</v>
      </c>
    </row>
    <row r="33" spans="1:9">
      <c r="A33" t="s">
        <v>1501</v>
      </c>
      <c r="I33" s="127">
        <f t="shared" si="0"/>
        <v>0</v>
      </c>
    </row>
    <row r="34" spans="1:9">
      <c r="A34" t="s">
        <v>1335</v>
      </c>
      <c r="B34" s="131" t="s">
        <v>411</v>
      </c>
      <c r="I34" s="127">
        <f t="shared" si="0"/>
        <v>1</v>
      </c>
    </row>
    <row r="35" spans="1:9">
      <c r="A35" t="s">
        <v>1336</v>
      </c>
      <c r="B35" s="131" t="s">
        <v>411</v>
      </c>
      <c r="I35" s="127">
        <f t="shared" si="0"/>
        <v>1</v>
      </c>
    </row>
    <row r="36" spans="1:9">
      <c r="A36" t="s">
        <v>1337</v>
      </c>
      <c r="C36" s="131" t="s">
        <v>411</v>
      </c>
      <c r="I36" s="127">
        <f t="shared" si="0"/>
        <v>1</v>
      </c>
    </row>
    <row r="37" spans="1:9">
      <c r="A37" t="s">
        <v>1338</v>
      </c>
      <c r="C37" s="131" t="s">
        <v>411</v>
      </c>
      <c r="I37" s="127">
        <f t="shared" si="0"/>
        <v>1</v>
      </c>
    </row>
    <row r="38" spans="1:9">
      <c r="A38" t="s">
        <v>1339</v>
      </c>
      <c r="C38" s="131" t="s">
        <v>411</v>
      </c>
      <c r="I38" s="127">
        <f t="shared" si="0"/>
        <v>1</v>
      </c>
    </row>
    <row r="39" spans="1:9">
      <c r="A39" t="s">
        <v>1136</v>
      </c>
      <c r="I39" s="127">
        <f t="shared" si="0"/>
        <v>0</v>
      </c>
    </row>
    <row r="40" spans="1:9">
      <c r="A40" t="s">
        <v>1192</v>
      </c>
      <c r="I40" s="127">
        <f t="shared" si="0"/>
        <v>0</v>
      </c>
    </row>
    <row r="41" spans="1:9">
      <c r="A41" t="s">
        <v>1186</v>
      </c>
      <c r="I41" s="127">
        <f t="shared" si="0"/>
        <v>0</v>
      </c>
    </row>
    <row r="42" spans="1:9">
      <c r="A42" t="s">
        <v>1187</v>
      </c>
      <c r="I42" s="127">
        <f t="shared" si="0"/>
        <v>0</v>
      </c>
    </row>
    <row r="43" spans="1:9">
      <c r="A43" t="s">
        <v>1188</v>
      </c>
      <c r="I43" s="127">
        <f t="shared" si="0"/>
        <v>0</v>
      </c>
    </row>
    <row r="44" spans="1:9">
      <c r="A44" t="s">
        <v>1044</v>
      </c>
      <c r="I44" s="127">
        <f t="shared" si="0"/>
        <v>0</v>
      </c>
    </row>
    <row r="45" spans="1:9">
      <c r="A45" t="s">
        <v>1045</v>
      </c>
      <c r="I45" s="127">
        <f t="shared" si="0"/>
        <v>0</v>
      </c>
    </row>
    <row r="46" spans="1:9">
      <c r="A46" t="s">
        <v>1505</v>
      </c>
      <c r="I46" s="127">
        <f t="shared" si="0"/>
        <v>0</v>
      </c>
    </row>
    <row r="47" spans="1:9">
      <c r="A47" t="s">
        <v>1506</v>
      </c>
      <c r="I47" s="127">
        <f t="shared" si="0"/>
        <v>0</v>
      </c>
    </row>
    <row r="48" spans="1:9">
      <c r="A48" t="s">
        <v>1507</v>
      </c>
      <c r="I48" s="127">
        <f t="shared" si="0"/>
        <v>0</v>
      </c>
    </row>
    <row r="49" spans="1:9">
      <c r="A49" t="s">
        <v>1508</v>
      </c>
      <c r="I49" s="127">
        <f t="shared" si="0"/>
        <v>0</v>
      </c>
    </row>
    <row r="50" spans="1:9">
      <c r="A50" t="s">
        <v>1509</v>
      </c>
      <c r="I50" s="127">
        <f t="shared" si="0"/>
        <v>0</v>
      </c>
    </row>
    <row r="51" spans="1:9">
      <c r="A51" t="s">
        <v>1510</v>
      </c>
      <c r="I51" s="127">
        <f t="shared" si="0"/>
        <v>0</v>
      </c>
    </row>
    <row r="52" spans="1:9">
      <c r="A52" t="s">
        <v>1511</v>
      </c>
      <c r="I52" s="127">
        <f t="shared" si="0"/>
        <v>0</v>
      </c>
    </row>
    <row r="53" spans="1:9">
      <c r="A53" t="s">
        <v>955</v>
      </c>
      <c r="I53" s="127">
        <f t="shared" si="0"/>
        <v>0</v>
      </c>
    </row>
    <row r="54" spans="1:9">
      <c r="A54" t="s">
        <v>1290</v>
      </c>
      <c r="I54" s="127">
        <f t="shared" si="0"/>
        <v>0</v>
      </c>
    </row>
    <row r="55" spans="1:9">
      <c r="I55" s="127"/>
    </row>
  </sheetData>
  <phoneticPr fontId="54" type="noConversion"/>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7105" r:id="rId4" name="Button 1">
              <controlPr defaultSize="0" print="0" autoFill="0" autoPict="0" macro="[0]!ThisWorkbook.ListAllSheets">
                <anchor moveWithCells="1" sizeWithCells="1">
                  <from>
                    <xdr:col>0</xdr:col>
                    <xdr:colOff>220980</xdr:colOff>
                    <xdr:row>1</xdr:row>
                    <xdr:rowOff>175260</xdr:rowOff>
                  </from>
                  <to>
                    <xdr:col>0</xdr:col>
                    <xdr:colOff>1592580</xdr:colOff>
                    <xdr:row>3</xdr:row>
                    <xdr:rowOff>114300</xdr:rowOff>
                  </to>
                </anchor>
              </controlPr>
            </control>
          </mc:Choice>
        </mc:AlternateContent>
        <mc:AlternateContent xmlns:mc="http://schemas.openxmlformats.org/markup-compatibility/2006">
          <mc:Choice Requires="x14">
            <control shapeId="47106" r:id="rId5" name="Button 2">
              <controlPr defaultSize="0" print="0" autoFill="0" autoPict="0" macro="[0]!ThisWorkbook.ShowAllSheets">
                <anchor moveWithCells="1" sizeWithCells="1">
                  <from>
                    <xdr:col>8</xdr:col>
                    <xdr:colOff>365760</xdr:colOff>
                    <xdr:row>2</xdr:row>
                    <xdr:rowOff>60960</xdr:rowOff>
                  </from>
                  <to>
                    <xdr:col>10</xdr:col>
                    <xdr:colOff>518160</xdr:colOff>
                    <xdr:row>3</xdr:row>
                    <xdr:rowOff>144780</xdr:rowOff>
                  </to>
                </anchor>
              </controlPr>
            </control>
          </mc:Choice>
        </mc:AlternateContent>
        <mc:AlternateContent xmlns:mc="http://schemas.openxmlformats.org/markup-compatibility/2006">
          <mc:Choice Requires="x14">
            <control shapeId="47107" r:id="rId6" name="Button 3">
              <controlPr defaultSize="0" print="0" autoFill="0" autoPict="0" macro="[0]!ThisWorkbook.ShowStep1">
                <anchor moveWithCells="1" sizeWithCells="1">
                  <from>
                    <xdr:col>1</xdr:col>
                    <xdr:colOff>175260</xdr:colOff>
                    <xdr:row>2</xdr:row>
                    <xdr:rowOff>38100</xdr:rowOff>
                  </from>
                  <to>
                    <xdr:col>1</xdr:col>
                    <xdr:colOff>792480</xdr:colOff>
                    <xdr:row>3</xdr:row>
                    <xdr:rowOff>60960</xdr:rowOff>
                  </to>
                </anchor>
              </controlPr>
            </control>
          </mc:Choice>
        </mc:AlternateContent>
        <mc:AlternateContent xmlns:mc="http://schemas.openxmlformats.org/markup-compatibility/2006">
          <mc:Choice Requires="x14">
            <control shapeId="47108" r:id="rId7" name="Button 4">
              <controlPr defaultSize="0" print="0" autoFill="0" autoPict="0" macro="[0]!ThisWorkbook.ShowStep2">
                <anchor moveWithCells="1" sizeWithCells="1">
                  <from>
                    <xdr:col>2</xdr:col>
                    <xdr:colOff>152400</xdr:colOff>
                    <xdr:row>2</xdr:row>
                    <xdr:rowOff>60960</xdr:rowOff>
                  </from>
                  <to>
                    <xdr:col>2</xdr:col>
                    <xdr:colOff>784860</xdr:colOff>
                    <xdr:row>3</xdr:row>
                    <xdr:rowOff>68580</xdr:rowOff>
                  </to>
                </anchor>
              </controlPr>
            </control>
          </mc:Choice>
        </mc:AlternateContent>
        <mc:AlternateContent xmlns:mc="http://schemas.openxmlformats.org/markup-compatibility/2006">
          <mc:Choice Requires="x14">
            <control shapeId="47109" r:id="rId8" name="Button 5">
              <controlPr defaultSize="0" print="0" autoFill="0" autoPict="0" macro="[0]!ThisWorkbook.ShowStep3">
                <anchor moveWithCells="1" sizeWithCells="1">
                  <from>
                    <xdr:col>3</xdr:col>
                    <xdr:colOff>152400</xdr:colOff>
                    <xdr:row>2</xdr:row>
                    <xdr:rowOff>30480</xdr:rowOff>
                  </from>
                  <to>
                    <xdr:col>3</xdr:col>
                    <xdr:colOff>754380</xdr:colOff>
                    <xdr:row>3</xdr:row>
                    <xdr:rowOff>106680</xdr:rowOff>
                  </to>
                </anchor>
              </controlPr>
            </control>
          </mc:Choice>
        </mc:AlternateContent>
        <mc:AlternateContent xmlns:mc="http://schemas.openxmlformats.org/markup-compatibility/2006">
          <mc:Choice Requires="x14">
            <control shapeId="47110" r:id="rId9" name="Button 6">
              <controlPr defaultSize="0" print="0" autoFill="0" autoPict="0" macro="[0]!ThisWorkbook.ShowStep4">
                <anchor moveWithCells="1" sizeWithCells="1">
                  <from>
                    <xdr:col>4</xdr:col>
                    <xdr:colOff>175260</xdr:colOff>
                    <xdr:row>2</xdr:row>
                    <xdr:rowOff>60960</xdr:rowOff>
                  </from>
                  <to>
                    <xdr:col>4</xdr:col>
                    <xdr:colOff>754380</xdr:colOff>
                    <xdr:row>3</xdr:row>
                    <xdr:rowOff>137160</xdr:rowOff>
                  </to>
                </anchor>
              </controlPr>
            </control>
          </mc:Choice>
        </mc:AlternateContent>
        <mc:AlternateContent xmlns:mc="http://schemas.openxmlformats.org/markup-compatibility/2006">
          <mc:Choice Requires="x14">
            <control shapeId="47111" r:id="rId10" name="Button 7">
              <controlPr defaultSize="0" print="0" autoFill="0" autoPict="0" macro="[0]!ThisWorkbook.ShowStep5">
                <anchor moveWithCells="1" sizeWithCells="1">
                  <from>
                    <xdr:col>5</xdr:col>
                    <xdr:colOff>175260</xdr:colOff>
                    <xdr:row>2</xdr:row>
                    <xdr:rowOff>60960</xdr:rowOff>
                  </from>
                  <to>
                    <xdr:col>5</xdr:col>
                    <xdr:colOff>784860</xdr:colOff>
                    <xdr:row>3</xdr:row>
                    <xdr:rowOff>137160</xdr:rowOff>
                  </to>
                </anchor>
              </controlPr>
            </control>
          </mc:Choice>
        </mc:AlternateContent>
        <mc:AlternateContent xmlns:mc="http://schemas.openxmlformats.org/markup-compatibility/2006">
          <mc:Choice Requires="x14">
            <control shapeId="47112" r:id="rId11" name="Button 8">
              <controlPr defaultSize="0" print="0" autoFill="0" autoPict="0" macro="[0]!ThisWorkbook.ShowStep6">
                <anchor moveWithCells="1" sizeWithCells="1">
                  <from>
                    <xdr:col>6</xdr:col>
                    <xdr:colOff>137160</xdr:colOff>
                    <xdr:row>2</xdr:row>
                    <xdr:rowOff>30480</xdr:rowOff>
                  </from>
                  <to>
                    <xdr:col>6</xdr:col>
                    <xdr:colOff>754380</xdr:colOff>
                    <xdr:row>3</xdr:row>
                    <xdr:rowOff>106680</xdr:rowOff>
                  </to>
                </anchor>
              </controlPr>
            </control>
          </mc:Choice>
        </mc:AlternateContent>
        <mc:AlternateContent xmlns:mc="http://schemas.openxmlformats.org/markup-compatibility/2006">
          <mc:Choice Requires="x14">
            <control shapeId="47113" r:id="rId12" name="Button 9">
              <controlPr defaultSize="0" print="0" autoFill="0" autoPict="0" macro="[0]!ThisWorkbook.ShowStep7">
                <anchor moveWithCells="1" sizeWithCells="1">
                  <from>
                    <xdr:col>7</xdr:col>
                    <xdr:colOff>106680</xdr:colOff>
                    <xdr:row>2</xdr:row>
                    <xdr:rowOff>38100</xdr:rowOff>
                  </from>
                  <to>
                    <xdr:col>7</xdr:col>
                    <xdr:colOff>746760</xdr:colOff>
                    <xdr:row>3</xdr:row>
                    <xdr:rowOff>114300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03829DC-5DAA-46B6-B8E9-0F6582DE2BB7}">
  <sheetPr codeName="Sheet4">
    <tabColor theme="7" tint="0.79998168889431442"/>
  </sheetPr>
  <dimension ref="A1:E47"/>
  <sheetViews>
    <sheetView workbookViewId="0">
      <selection activeCell="B38" sqref="B38"/>
    </sheetView>
  </sheetViews>
  <sheetFormatPr defaultRowHeight="14.4"/>
  <cols>
    <col min="1" max="1" width="54.33203125" style="8" customWidth="1"/>
    <col min="2" max="2" width="56" style="8" customWidth="1"/>
    <col min="3" max="3" width="16.6640625" customWidth="1"/>
  </cols>
  <sheetData>
    <row r="1" spans="1:2">
      <c r="A1" s="1" t="s">
        <v>0</v>
      </c>
      <c r="B1" s="23" t="s">
        <v>720</v>
      </c>
    </row>
    <row r="2" spans="1:2">
      <c r="A2" s="2" t="s">
        <v>1</v>
      </c>
      <c r="B2" s="3" t="s">
        <v>1512</v>
      </c>
    </row>
    <row r="3" spans="1:2">
      <c r="A3" s="2" t="s">
        <v>2</v>
      </c>
      <c r="B3" s="323"/>
    </row>
    <row r="4" spans="1:2">
      <c r="A4" s="2" t="s">
        <v>727</v>
      </c>
      <c r="B4" s="3" t="s">
        <v>1513</v>
      </c>
    </row>
    <row r="5" spans="1:2">
      <c r="A5" s="2" t="s">
        <v>1595</v>
      </c>
      <c r="B5" s="4">
        <v>53517</v>
      </c>
    </row>
    <row r="6" spans="1:2">
      <c r="A6" s="5" t="s">
        <v>3</v>
      </c>
      <c r="B6" s="5"/>
    </row>
    <row r="7" spans="1:2">
      <c r="A7" s="2" t="s">
        <v>4</v>
      </c>
      <c r="B7" s="6" t="s">
        <v>1514</v>
      </c>
    </row>
    <row r="8" spans="1:2">
      <c r="A8" s="2" t="s">
        <v>5</v>
      </c>
      <c r="B8" s="6" t="s">
        <v>6</v>
      </c>
    </row>
    <row r="9" spans="1:2">
      <c r="A9" s="2" t="s">
        <v>7</v>
      </c>
      <c r="B9" s="6" t="s">
        <v>1515</v>
      </c>
    </row>
    <row r="10" spans="1:2" ht="55.2">
      <c r="A10" s="2" t="s">
        <v>8</v>
      </c>
      <c r="B10" s="6" t="s">
        <v>1516</v>
      </c>
    </row>
    <row r="11" spans="1:2">
      <c r="A11" s="2" t="s">
        <v>1109</v>
      </c>
      <c r="B11" s="6" t="s">
        <v>1517</v>
      </c>
    </row>
    <row r="12" spans="1:2">
      <c r="A12" s="2" t="s">
        <v>9</v>
      </c>
      <c r="B12" s="6" t="s">
        <v>1518</v>
      </c>
    </row>
    <row r="13" spans="1:2">
      <c r="A13" s="2" t="s">
        <v>10</v>
      </c>
      <c r="B13" s="6" t="s">
        <v>1519</v>
      </c>
    </row>
    <row r="14" spans="1:2">
      <c r="A14" s="2" t="s">
        <v>11</v>
      </c>
      <c r="B14" s="6" t="s">
        <v>1520</v>
      </c>
    </row>
    <row r="15" spans="1:2">
      <c r="A15" s="5" t="s">
        <v>12</v>
      </c>
      <c r="B15" s="5"/>
    </row>
    <row r="16" spans="1:2">
      <c r="A16" s="2" t="s">
        <v>13</v>
      </c>
      <c r="B16" s="82" t="s">
        <v>1578</v>
      </c>
    </row>
    <row r="17" spans="1:2">
      <c r="A17" s="2" t="s">
        <v>14</v>
      </c>
      <c r="B17" s="297" t="s">
        <v>1579</v>
      </c>
    </row>
    <row r="18" spans="1:2">
      <c r="A18" s="2" t="s">
        <v>15</v>
      </c>
      <c r="B18" s="6" t="s">
        <v>1580</v>
      </c>
    </row>
    <row r="19" spans="1:2">
      <c r="A19" s="2" t="s">
        <v>16</v>
      </c>
      <c r="B19" s="6" t="s">
        <v>1581</v>
      </c>
    </row>
    <row r="20" spans="1:2">
      <c r="A20" s="2" t="s">
        <v>17</v>
      </c>
      <c r="B20" s="6" t="s">
        <v>1579</v>
      </c>
    </row>
    <row r="21" spans="1:2">
      <c r="A21" s="5" t="s">
        <v>19</v>
      </c>
      <c r="B21" s="5"/>
    </row>
    <row r="22" spans="1:2">
      <c r="A22" s="2" t="s">
        <v>20</v>
      </c>
      <c r="B22" s="297">
        <v>44174</v>
      </c>
    </row>
    <row r="23" spans="1:2">
      <c r="A23" s="2" t="s">
        <v>21</v>
      </c>
      <c r="B23" s="298" t="s">
        <v>1582</v>
      </c>
    </row>
    <row r="24" spans="1:2">
      <c r="A24" s="2" t="s">
        <v>22</v>
      </c>
      <c r="B24" s="298">
        <v>44302</v>
      </c>
    </row>
    <row r="25" spans="1:2">
      <c r="A25" s="2" t="s">
        <v>23</v>
      </c>
      <c r="B25" s="297">
        <v>44298</v>
      </c>
    </row>
    <row r="26" spans="1:2">
      <c r="A26" s="2" t="s">
        <v>24</v>
      </c>
      <c r="B26" s="298">
        <v>44302</v>
      </c>
    </row>
    <row r="27" spans="1:2">
      <c r="A27" s="5" t="s">
        <v>25</v>
      </c>
      <c r="B27" s="22"/>
    </row>
    <row r="28" spans="1:2">
      <c r="A28" s="2" t="s">
        <v>4</v>
      </c>
      <c r="B28" s="297" t="s">
        <v>1583</v>
      </c>
    </row>
    <row r="29" spans="1:2">
      <c r="A29" s="2" t="s">
        <v>7</v>
      </c>
      <c r="B29" s="297" t="s">
        <v>1584</v>
      </c>
    </row>
    <row r="30" spans="1:2">
      <c r="A30" s="2" t="s">
        <v>9</v>
      </c>
      <c r="B30" s="297" t="s">
        <v>1521</v>
      </c>
    </row>
    <row r="31" spans="1:2">
      <c r="A31" s="2" t="s">
        <v>10</v>
      </c>
      <c r="B31" s="27" t="s">
        <v>1585</v>
      </c>
    </row>
    <row r="32" spans="1:2">
      <c r="A32" s="5" t="s">
        <v>26</v>
      </c>
      <c r="B32" s="5"/>
    </row>
    <row r="33" spans="1:5">
      <c r="A33" s="2" t="s">
        <v>4</v>
      </c>
      <c r="B33" s="324" t="s">
        <v>1586</v>
      </c>
    </row>
    <row r="34" spans="1:5">
      <c r="A34" s="2" t="s">
        <v>5</v>
      </c>
      <c r="B34" s="425" t="str">
        <f>B16</f>
        <v>Software for Mars (Pty) Ltd</v>
      </c>
      <c r="C34" s="116"/>
    </row>
    <row r="35" spans="1:5">
      <c r="A35" s="2" t="s">
        <v>9</v>
      </c>
      <c r="B35" s="325" t="s">
        <v>1522</v>
      </c>
    </row>
    <row r="36" spans="1:5">
      <c r="A36" s="2" t="s">
        <v>10</v>
      </c>
      <c r="B36" s="326" t="s">
        <v>1587</v>
      </c>
    </row>
    <row r="37" spans="1:5">
      <c r="A37" s="5" t="s">
        <v>27</v>
      </c>
      <c r="B37" s="5"/>
    </row>
    <row r="38" spans="1:5">
      <c r="A38" s="2" t="s">
        <v>4</v>
      </c>
      <c r="B38" s="297" t="s">
        <v>1588</v>
      </c>
    </row>
    <row r="39" spans="1:5">
      <c r="A39" s="2" t="s">
        <v>5</v>
      </c>
      <c r="B39" s="297" t="s">
        <v>1341</v>
      </c>
    </row>
    <row r="40" spans="1:5">
      <c r="A40" s="2" t="s">
        <v>7</v>
      </c>
      <c r="B40" s="297" t="s">
        <v>424</v>
      </c>
    </row>
    <row r="41" spans="1:5">
      <c r="A41" s="2" t="s">
        <v>9</v>
      </c>
      <c r="B41" s="298" t="s">
        <v>1523</v>
      </c>
    </row>
    <row r="42" spans="1:5">
      <c r="A42" s="2" t="s">
        <v>10</v>
      </c>
      <c r="B42" s="87" t="s">
        <v>1589</v>
      </c>
    </row>
    <row r="43" spans="1:5">
      <c r="A43" s="7" t="s">
        <v>28</v>
      </c>
      <c r="B43" s="5"/>
    </row>
    <row r="44" spans="1:5">
      <c r="A44" s="2" t="s">
        <v>4</v>
      </c>
      <c r="B44" s="6" t="s">
        <v>1237</v>
      </c>
      <c r="D44" t="s">
        <v>1154</v>
      </c>
      <c r="E44" t="s">
        <v>1127</v>
      </c>
    </row>
    <row r="45" spans="1:5">
      <c r="A45" s="2" t="s">
        <v>5</v>
      </c>
      <c r="B45" s="6" t="s">
        <v>6</v>
      </c>
      <c r="D45" t="s">
        <v>6</v>
      </c>
      <c r="E45" t="s">
        <v>1128</v>
      </c>
    </row>
    <row r="46" spans="1:5">
      <c r="A46" s="2" t="s">
        <v>9</v>
      </c>
      <c r="B46" s="6" t="s">
        <v>1131</v>
      </c>
      <c r="D46" t="s">
        <v>1131</v>
      </c>
      <c r="E46" t="s">
        <v>1129</v>
      </c>
    </row>
    <row r="47" spans="1:5">
      <c r="A47" s="2" t="s">
        <v>10</v>
      </c>
      <c r="B47" s="27" t="s">
        <v>1132</v>
      </c>
      <c r="D47" t="s">
        <v>1132</v>
      </c>
      <c r="E47" t="s">
        <v>1130</v>
      </c>
    </row>
  </sheetData>
  <phoneticPr fontId="54" type="noConversion"/>
  <conditionalFormatting sqref="B1:B3 B5:B21 B27 B32 B37 B43:B1048576">
    <cfRule type="cellIs" dxfId="139" priority="7" operator="equal">
      <formula>"xxx"</formula>
    </cfRule>
  </conditionalFormatting>
  <conditionalFormatting sqref="B4">
    <cfRule type="cellIs" dxfId="138" priority="6" operator="equal">
      <formula>"xxx"</formula>
    </cfRule>
  </conditionalFormatting>
  <conditionalFormatting sqref="B22:B26">
    <cfRule type="cellIs" dxfId="137" priority="5" operator="equal">
      <formula>"xxx"</formula>
    </cfRule>
  </conditionalFormatting>
  <conditionalFormatting sqref="B28:B31">
    <cfRule type="cellIs" dxfId="136" priority="4" operator="equal">
      <formula>"xxx"</formula>
    </cfRule>
  </conditionalFormatting>
  <conditionalFormatting sqref="B33 B35:B36">
    <cfRule type="cellIs" dxfId="135" priority="3" operator="equal">
      <formula>"xxx"</formula>
    </cfRule>
  </conditionalFormatting>
  <conditionalFormatting sqref="B38:B42">
    <cfRule type="cellIs" dxfId="134" priority="2" operator="equal">
      <formula>"xxx"</formula>
    </cfRule>
  </conditionalFormatting>
  <conditionalFormatting sqref="B34">
    <cfRule type="cellIs" dxfId="133" priority="1" operator="equal">
      <formula>"xxx"</formula>
    </cfRule>
  </conditionalFormatting>
  <hyperlinks>
    <hyperlink ref="B31" r:id="rId1" xr:uid="{23051012-7087-4A8E-AF78-9CA1E2169F1A}"/>
    <hyperlink ref="B36" r:id="rId2" xr:uid="{225F4806-6E4C-4247-B2D6-3FCF0741FBF6}"/>
    <hyperlink ref="B42" r:id="rId3" display="translator@email.com" xr:uid="{B548D2D9-222F-4849-B763-621F3700ED87}"/>
  </hyperlinks>
  <pageMargins left="0.7" right="0.7" top="0.75" bottom="0.75" header="0.3" footer="0.3"/>
  <pageSetup orientation="portrait" r:id="rId4"/>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55A62A0-F9AC-4268-861F-70FCC2ECDB8E}">
  <sheetPr codeName="Sheet5">
    <tabColor theme="7" tint="0.79998168889431442"/>
  </sheetPr>
  <dimension ref="A1:E55"/>
  <sheetViews>
    <sheetView topLeftCell="A17" workbookViewId="0">
      <selection activeCell="D54" sqref="D54"/>
    </sheetView>
  </sheetViews>
  <sheetFormatPr defaultColWidth="8.6640625" defaultRowHeight="14.4"/>
  <cols>
    <col min="1" max="1" width="33.6640625" style="11" customWidth="1"/>
    <col min="2" max="2" width="70.6640625" style="11" customWidth="1"/>
    <col min="3" max="3" width="11.33203125" style="11" customWidth="1"/>
    <col min="4" max="16384" width="8.6640625" style="11"/>
  </cols>
  <sheetData>
    <row r="1" spans="1:3">
      <c r="A1" s="24" t="s">
        <v>761</v>
      </c>
    </row>
    <row r="2" spans="1:3" s="50" customFormat="1" ht="15.6">
      <c r="A2" s="51" t="s">
        <v>719</v>
      </c>
      <c r="B2" s="51"/>
      <c r="C2" s="49"/>
    </row>
    <row r="3" spans="1:3">
      <c r="A3" s="11" t="s">
        <v>714</v>
      </c>
      <c r="B3" s="89" t="str">
        <f>'Agreement 3'!B16</f>
        <v>Software for Mars (Pty) Ltd</v>
      </c>
      <c r="C3" s="11" t="s">
        <v>998</v>
      </c>
    </row>
    <row r="4" spans="1:3">
      <c r="A4" s="11" t="s">
        <v>713</v>
      </c>
      <c r="B4" s="11" t="s">
        <v>1590</v>
      </c>
    </row>
    <row r="5" spans="1:3" s="97" customFormat="1"/>
    <row r="6" spans="1:3">
      <c r="A6" s="11" t="s">
        <v>715</v>
      </c>
      <c r="B6" s="90" t="str">
        <f>CONCATENATE(TEXT(B27,"yyyy-mm-dd"),"to",TEXT(B36,"mm-dd")," (A",RIGHT(B10,1),") ",'Agreement 3'!B4," D",'Agreement 3'!B2," C",'Agreement 3'!B5, " ",Planning!B4)</f>
        <v>2021-04-10to04-16 (A5) R0000 D124 C53517 SoftMARS</v>
      </c>
      <c r="C6" s="11" t="s">
        <v>999</v>
      </c>
    </row>
    <row r="7" spans="1:3">
      <c r="A7" s="11" t="s">
        <v>716</v>
      </c>
      <c r="B7" s="97" t="s">
        <v>1603</v>
      </c>
    </row>
    <row r="8" spans="1:3" s="97" customFormat="1"/>
    <row r="9" spans="1:3" s="97" customFormat="1">
      <c r="A9" s="97" t="s">
        <v>438</v>
      </c>
      <c r="B9" s="98" t="s">
        <v>524</v>
      </c>
      <c r="C9" s="97" t="s">
        <v>384</v>
      </c>
    </row>
    <row r="10" spans="1:3" s="97" customFormat="1">
      <c r="A10" s="97" t="s">
        <v>412</v>
      </c>
      <c r="B10" s="98" t="s">
        <v>409</v>
      </c>
      <c r="C10" s="97" t="s">
        <v>384</v>
      </c>
    </row>
    <row r="11" spans="1:3" s="97" customFormat="1">
      <c r="A11" s="97" t="s">
        <v>413</v>
      </c>
      <c r="B11" s="98" t="s">
        <v>415</v>
      </c>
      <c r="C11" s="97" t="s">
        <v>384</v>
      </c>
    </row>
    <row r="12" spans="1:3" s="97" customFormat="1" ht="43.2">
      <c r="A12" s="97" t="s">
        <v>419</v>
      </c>
      <c r="B12" s="97" t="s">
        <v>726</v>
      </c>
    </row>
    <row r="13" spans="1:3" s="97" customFormat="1"/>
    <row r="14" spans="1:3">
      <c r="A14" s="11" t="s">
        <v>849</v>
      </c>
      <c r="B14" s="90" t="str">
        <f>CONCATENATE("D",'Agreement 3'!B2, " (A",RIGHT(B10,1),") ",B4," - ",'Agreement 3'!B18," (Q",ROUNDUP(MONTH('Agreement 3'!B26)/3,0),") ",YEAR('Agreement 3'!B26))</f>
        <v>D124 (A5) SoftMARS - Base Alpha City (Q2) 2021</v>
      </c>
      <c r="C14" s="11" t="s">
        <v>998</v>
      </c>
    </row>
    <row r="15" spans="1:3">
      <c r="A15" s="11" t="s">
        <v>848</v>
      </c>
      <c r="B15" s="11" t="s">
        <v>1591</v>
      </c>
    </row>
    <row r="16" spans="1:3">
      <c r="A16" s="11" t="s">
        <v>764</v>
      </c>
      <c r="B16" s="91">
        <f>'Agreement 3'!B5</f>
        <v>53517</v>
      </c>
      <c r="C16" s="11" t="s">
        <v>998</v>
      </c>
    </row>
    <row r="18" spans="1:3" s="50" customFormat="1" ht="15.6">
      <c r="A18" s="51" t="s">
        <v>958</v>
      </c>
      <c r="B18" s="51"/>
      <c r="C18" s="49"/>
    </row>
    <row r="19" spans="1:3" s="50" customFormat="1" ht="15.6">
      <c r="A19" s="50" t="s">
        <v>873</v>
      </c>
      <c r="B19" s="412" t="s">
        <v>1342</v>
      </c>
      <c r="C19" s="49"/>
    </row>
    <row r="20" spans="1:3" s="50" customFormat="1" ht="15.6">
      <c r="A20" s="50" t="s">
        <v>960</v>
      </c>
      <c r="B20" s="93">
        <f>B21-1</f>
        <v>44267</v>
      </c>
      <c r="C20" s="49"/>
    </row>
    <row r="21" spans="1:3" s="50" customFormat="1" ht="15.6">
      <c r="A21" s="50" t="s">
        <v>1002</v>
      </c>
      <c r="B21" s="145">
        <f>B24-14</f>
        <v>44268</v>
      </c>
      <c r="C21" s="49" t="s">
        <v>999</v>
      </c>
    </row>
    <row r="22" spans="1:3" s="50" customFormat="1" ht="15.6">
      <c r="B22" s="93"/>
      <c r="C22" s="49"/>
    </row>
    <row r="23" spans="1:3" s="50" customFormat="1" ht="15.6">
      <c r="A23" s="50" t="s">
        <v>961</v>
      </c>
      <c r="B23" s="93">
        <f>B24-1</f>
        <v>44281</v>
      </c>
      <c r="C23" s="49"/>
    </row>
    <row r="24" spans="1:3" s="50" customFormat="1" ht="15.6">
      <c r="A24" s="50" t="s">
        <v>1003</v>
      </c>
      <c r="B24" s="145">
        <f>B27-14</f>
        <v>44282</v>
      </c>
      <c r="C24" s="49" t="s">
        <v>999</v>
      </c>
    </row>
    <row r="25" spans="1:3" s="50" customFormat="1" ht="15.6">
      <c r="B25" s="93"/>
      <c r="C25" s="49"/>
    </row>
    <row r="26" spans="1:3" s="50" customFormat="1" ht="15.6">
      <c r="A26" s="50" t="s">
        <v>874</v>
      </c>
      <c r="B26" s="93">
        <f>B27-2</f>
        <v>44294</v>
      </c>
      <c r="C26" s="49"/>
    </row>
    <row r="27" spans="1:3" s="50" customFormat="1" ht="15.6">
      <c r="A27" s="50" t="s">
        <v>875</v>
      </c>
      <c r="B27" s="145">
        <f>B30-B29</f>
        <v>44296</v>
      </c>
      <c r="C27" s="50" t="s">
        <v>999</v>
      </c>
    </row>
    <row r="28" spans="1:3" s="50" customFormat="1" ht="15.6">
      <c r="A28" s="50" t="s">
        <v>876</v>
      </c>
      <c r="B28" s="50">
        <v>0</v>
      </c>
      <c r="C28" s="49"/>
    </row>
    <row r="29" spans="1:3" s="50" customFormat="1" ht="15.6">
      <c r="A29" s="50" t="s">
        <v>1007</v>
      </c>
      <c r="B29" s="50">
        <v>2</v>
      </c>
      <c r="C29" s="49" t="s">
        <v>982</v>
      </c>
    </row>
    <row r="30" spans="1:3" s="50" customFormat="1" ht="15.6">
      <c r="A30" s="50" t="s">
        <v>877</v>
      </c>
      <c r="B30" s="92">
        <f>'Agreement 3'!B25</f>
        <v>44298</v>
      </c>
      <c r="C30" s="126"/>
    </row>
    <row r="31" spans="1:3" s="50" customFormat="1" ht="15.6">
      <c r="A31" s="50" t="s">
        <v>1123</v>
      </c>
      <c r="B31" s="50">
        <v>0</v>
      </c>
      <c r="C31" s="126"/>
    </row>
    <row r="32" spans="1:3" s="50" customFormat="1" ht="15.6">
      <c r="A32" s="50" t="s">
        <v>755</v>
      </c>
      <c r="B32" s="92">
        <f>B33-B31</f>
        <v>44302</v>
      </c>
      <c r="C32" s="126" t="s">
        <v>999</v>
      </c>
    </row>
    <row r="33" spans="1:4" s="50" customFormat="1" ht="15.6">
      <c r="A33" s="50" t="s">
        <v>878</v>
      </c>
      <c r="B33" s="92">
        <f>'Agreement 3'!B26</f>
        <v>44302</v>
      </c>
      <c r="C33" s="49" t="s">
        <v>998</v>
      </c>
    </row>
    <row r="34" spans="1:4" s="116" customFormat="1" ht="15.6">
      <c r="A34" s="50" t="s">
        <v>400</v>
      </c>
      <c r="B34" s="39">
        <f>B33-B27+1-B28</f>
        <v>7</v>
      </c>
      <c r="C34" s="116" t="s">
        <v>999</v>
      </c>
    </row>
    <row r="35" spans="1:4" s="116" customFormat="1" ht="15.6">
      <c r="A35" s="116" t="s">
        <v>1125</v>
      </c>
      <c r="B35" s="50">
        <v>0</v>
      </c>
    </row>
    <row r="36" spans="1:4" s="116" customFormat="1">
      <c r="A36" s="116" t="s">
        <v>1124</v>
      </c>
      <c r="B36" s="238">
        <f>B35+B32</f>
        <v>44302</v>
      </c>
      <c r="C36" s="116" t="s">
        <v>999</v>
      </c>
    </row>
    <row r="37" spans="1:4" s="116" customFormat="1" ht="15.6">
      <c r="A37" s="116" t="s">
        <v>1343</v>
      </c>
      <c r="B37" s="50">
        <v>14</v>
      </c>
    </row>
    <row r="38" spans="1:4" s="116" customFormat="1">
      <c r="A38" s="116" t="s">
        <v>1126</v>
      </c>
      <c r="B38" s="238">
        <f>B36+B37-1</f>
        <v>44315</v>
      </c>
      <c r="C38" s="116" t="s">
        <v>999</v>
      </c>
    </row>
    <row r="40" spans="1:4" s="50" customFormat="1" ht="31.2">
      <c r="A40" s="51" t="s">
        <v>962</v>
      </c>
      <c r="B40" s="51"/>
      <c r="C40" s="49"/>
    </row>
    <row r="41" spans="1:4" s="50" customFormat="1" ht="15.6">
      <c r="A41" s="50" t="s">
        <v>963</v>
      </c>
      <c r="B41" s="55" t="str">
        <f>'Agreement 3'!B23</f>
        <v>Conduct Maturity Level 5 appraisal in April 2021</v>
      </c>
      <c r="C41" s="49" t="s">
        <v>998</v>
      </c>
    </row>
    <row r="42" spans="1:4" s="50" customFormat="1" ht="43.2">
      <c r="A42" s="50" t="s">
        <v>855</v>
      </c>
      <c r="B42" s="90" t="str">
        <f>B44</f>
        <v>[BO-1] Improve production efficiency to improve productivity 
[BO-2] Improve delivery capacity
[BO-3] Reduce Code Acceptance Defects</v>
      </c>
      <c r="C42" s="49" t="s">
        <v>999</v>
      </c>
    </row>
    <row r="43" spans="1:4" s="119" customFormat="1">
      <c r="A43" s="119" t="s">
        <v>594</v>
      </c>
      <c r="B43" s="237" t="s">
        <v>1220</v>
      </c>
      <c r="C43" s="119" t="s">
        <v>883</v>
      </c>
      <c r="D43" s="124" t="s">
        <v>1077</v>
      </c>
    </row>
    <row r="44" spans="1:4" s="119" customFormat="1" ht="43.2">
      <c r="A44" s="119" t="s">
        <v>595</v>
      </c>
      <c r="B44" s="88" t="s">
        <v>1344</v>
      </c>
      <c r="C44" s="119" t="s">
        <v>883</v>
      </c>
      <c r="D44" s="124" t="s">
        <v>1077</v>
      </c>
    </row>
    <row r="45" spans="1:4" s="119" customFormat="1">
      <c r="A45" s="119" t="s">
        <v>596</v>
      </c>
      <c r="B45" s="237" t="s">
        <v>404</v>
      </c>
      <c r="C45" s="119" t="s">
        <v>883</v>
      </c>
      <c r="D45" s="124" t="s">
        <v>1077</v>
      </c>
    </row>
    <row r="46" spans="1:4" s="124" customFormat="1">
      <c r="B46" s="88"/>
    </row>
    <row r="47" spans="1:4" s="124" customFormat="1">
      <c r="A47" s="124" t="s">
        <v>597</v>
      </c>
      <c r="B47" s="88" t="s">
        <v>1524</v>
      </c>
      <c r="C47" s="124" t="s">
        <v>883</v>
      </c>
      <c r="D47" s="124" t="s">
        <v>1077</v>
      </c>
    </row>
    <row r="48" spans="1:4" s="124" customFormat="1">
      <c r="A48" s="124" t="s">
        <v>598</v>
      </c>
      <c r="B48" s="88" t="s">
        <v>1525</v>
      </c>
      <c r="C48" s="124" t="s">
        <v>883</v>
      </c>
      <c r="D48" s="124" t="s">
        <v>1077</v>
      </c>
    </row>
    <row r="49" spans="1:5" s="124" customFormat="1">
      <c r="A49" s="124" t="s">
        <v>599</v>
      </c>
      <c r="B49" s="88" t="s">
        <v>1155</v>
      </c>
      <c r="C49" s="124" t="s">
        <v>883</v>
      </c>
    </row>
    <row r="50" spans="1:5" s="124" customFormat="1">
      <c r="A50" s="124" t="s">
        <v>600</v>
      </c>
      <c r="B50" s="88" t="s">
        <v>621</v>
      </c>
      <c r="C50" s="124" t="s">
        <v>883</v>
      </c>
    </row>
    <row r="51" spans="1:5" s="124" customFormat="1">
      <c r="A51" s="124" t="s">
        <v>601</v>
      </c>
      <c r="B51" s="88" t="s">
        <v>1526</v>
      </c>
      <c r="C51" s="124" t="s">
        <v>883</v>
      </c>
    </row>
    <row r="52" spans="1:5" s="124" customFormat="1">
      <c r="A52" s="124" t="s">
        <v>602</v>
      </c>
      <c r="B52" s="88" t="s">
        <v>1527</v>
      </c>
      <c r="C52" s="124" t="s">
        <v>883</v>
      </c>
    </row>
    <row r="53" spans="1:5" s="124" customFormat="1">
      <c r="B53" s="237"/>
    </row>
    <row r="54" spans="1:5" s="50" customFormat="1" ht="59.7" customHeight="1">
      <c r="A54" s="50" t="s">
        <v>1074</v>
      </c>
      <c r="B54" s="416" t="str">
        <f>_xlfn.CONCAT("[A1]: In support of the business objectives, understand the current strength and weaknesses of the CMMI ", B10, " practices within the organisation [BO-1, BO-2 &amp; BO-3].")</f>
        <v>[A1]: In support of the business objectives, understand the current strength and weaknesses of the CMMI Maturity Level 5 practices within the organisation [BO-1, BO-2 &amp; BO-3].</v>
      </c>
      <c r="C54" s="49"/>
      <c r="E54" s="49"/>
    </row>
    <row r="55" spans="1:5" s="50" customFormat="1" ht="15.6">
      <c r="C55" s="49"/>
    </row>
  </sheetData>
  <phoneticPr fontId="54" type="noConversion"/>
  <dataValidations count="3">
    <dataValidation type="list" allowBlank="1" showInputMessage="1" showErrorMessage="1" sqref="B10" xr:uid="{170C69E8-4854-4334-86A0-95A18A3B336D}">
      <formula1>tbl_target</formula1>
    </dataValidation>
    <dataValidation type="list" allowBlank="1" showInputMessage="1" showErrorMessage="1" sqref="B11" xr:uid="{B70B65BD-D681-4C23-AB71-2BB73A769AA3}">
      <formula1>tbl_modelview</formula1>
    </dataValidation>
    <dataValidation type="list" allowBlank="1" showInputMessage="1" showErrorMessage="1" sqref="B9" xr:uid="{A40B55AF-85AF-497D-9232-9B089DAE7A17}">
      <formula1>tbl_timezone</formula1>
    </dataValidation>
  </dataValidations>
  <pageMargins left="0.7" right="0.7" top="0.75" bottom="0.75" header="0.3" footer="0.3"/>
  <legacyDrawing r:id="rId1"/>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A679368-7C25-4A06-979D-D4975358A58D}">
  <sheetPr codeName="Sheet11">
    <tabColor theme="5" tint="0.79998168889431442"/>
    <pageSetUpPr fitToPage="1"/>
  </sheetPr>
  <dimension ref="A1:C57"/>
  <sheetViews>
    <sheetView zoomScale="85" zoomScaleNormal="85" workbookViewId="0">
      <selection activeCell="A4" sqref="A4"/>
    </sheetView>
  </sheetViews>
  <sheetFormatPr defaultColWidth="10.6640625" defaultRowHeight="15.6"/>
  <cols>
    <col min="1" max="1" width="38.44140625" style="50" customWidth="1"/>
    <col min="2" max="2" width="71.6640625" style="50" customWidth="1"/>
    <col min="3" max="3" width="32.44140625" style="49" customWidth="1"/>
    <col min="4" max="4" width="44.33203125" style="50" customWidth="1"/>
    <col min="5" max="16384" width="10.6640625" style="50"/>
  </cols>
  <sheetData>
    <row r="1" spans="1:3" ht="36">
      <c r="A1" s="48" t="s">
        <v>1013</v>
      </c>
      <c r="B1" s="48"/>
      <c r="C1" s="49" t="s">
        <v>851</v>
      </c>
    </row>
    <row r="2" spans="1:3">
      <c r="A2" s="51" t="s">
        <v>389</v>
      </c>
      <c r="B2" s="51"/>
    </row>
    <row r="3" spans="1:3">
      <c r="A3" s="50" t="s">
        <v>852</v>
      </c>
      <c r="B3" s="55" t="str">
        <f>'Agreement 3'!B16</f>
        <v>Software for Mars (Pty) Ltd</v>
      </c>
      <c r="C3" s="49" t="s">
        <v>998</v>
      </c>
    </row>
    <row r="4" spans="1:3">
      <c r="A4" s="50" t="s">
        <v>14</v>
      </c>
      <c r="B4" s="55" t="str">
        <f>IF('Agreement 3'!B17&lt;&gt;"",'Agreement 3'!B17,"")</f>
        <v>Mars</v>
      </c>
      <c r="C4" s="49" t="s">
        <v>998</v>
      </c>
    </row>
    <row r="5" spans="1:3" s="83" customFormat="1" ht="14.4">
      <c r="A5" s="83" t="s">
        <v>31</v>
      </c>
      <c r="B5" s="116" t="s">
        <v>1593</v>
      </c>
    </row>
    <row r="6" spans="1:3" s="83" customFormat="1" ht="14.4">
      <c r="A6" s="83" t="s">
        <v>32</v>
      </c>
      <c r="B6" s="116" t="s">
        <v>1592</v>
      </c>
    </row>
    <row r="7" spans="1:3" s="83" customFormat="1">
      <c r="A7" s="83" t="s">
        <v>33</v>
      </c>
      <c r="B7" s="55" t="str">
        <f>'Agreement 3'!B18</f>
        <v>Base Alpha City</v>
      </c>
      <c r="C7" s="83" t="s">
        <v>998</v>
      </c>
    </row>
    <row r="8" spans="1:3" s="83" customFormat="1">
      <c r="A8" s="83" t="s">
        <v>34</v>
      </c>
      <c r="B8" s="55" t="str">
        <f>'Agreement 3'!B19</f>
        <v>Tharsis</v>
      </c>
      <c r="C8" s="83" t="s">
        <v>998</v>
      </c>
    </row>
    <row r="9" spans="1:3" s="83" customFormat="1" ht="14.4">
      <c r="A9" s="83" t="s">
        <v>35</v>
      </c>
      <c r="B9" s="85" t="s">
        <v>1597</v>
      </c>
    </row>
    <row r="10" spans="1:3" s="83" customFormat="1" ht="14.4">
      <c r="A10" s="83" t="s">
        <v>17</v>
      </c>
      <c r="B10" s="84" t="s">
        <v>18</v>
      </c>
      <c r="C10" s="83" t="s">
        <v>384</v>
      </c>
    </row>
    <row r="11" spans="1:3" ht="31.2">
      <c r="A11" s="50" t="s">
        <v>853</v>
      </c>
      <c r="B11" s="86" t="str">
        <f>_xlfn.CONCAT(B5,", ",B6,", ",B7,", ",B8,", ",B9,", ",B10)</f>
        <v>Room 1, Dome 1, No. 1 First Street, Base Alpha City, Tharsis, Planet04, China</v>
      </c>
      <c r="C11" s="49" t="s">
        <v>999</v>
      </c>
    </row>
    <row r="12" spans="1:3">
      <c r="A12" s="50" t="s">
        <v>854</v>
      </c>
      <c r="B12" s="300" t="s">
        <v>1594</v>
      </c>
    </row>
    <row r="13" spans="1:3" ht="46.8">
      <c r="A13" s="50" t="s">
        <v>855</v>
      </c>
      <c r="B13" s="55" t="str">
        <f>_xlfn.CONCAT(Planning!B44)</f>
        <v>[BO-1] Improve production efficiency to improve productivity 
[BO-2] Improve delivery capacity
[BO-3] Reduce Code Acceptance Defects</v>
      </c>
      <c r="C13" s="49" t="s">
        <v>959</v>
      </c>
    </row>
    <row r="14" spans="1:3" ht="46.8">
      <c r="A14" s="50" t="str">
        <f>Planning!A54</f>
        <v>Appraisal objectives</v>
      </c>
      <c r="B14" s="55" t="str">
        <f>Planning!B54</f>
        <v>[A1]: In support of the business objectives, understand the current strength and weaknesses of the CMMI Maturity Level 5 practices within the organisation [BO-1, BO-2 &amp; BO-3].</v>
      </c>
      <c r="C14" s="50" t="s">
        <v>959</v>
      </c>
    </row>
    <row r="15" spans="1:3">
      <c r="A15" s="50" t="str">
        <f>Planning!A47</f>
        <v>QPPO Target Measurement/KPI</v>
      </c>
      <c r="B15" s="55" t="str">
        <f>Planning!B47</f>
        <v>Post release defect density: UCL:2.424, CL:2.103, LCL:1.783</v>
      </c>
      <c r="C15" s="49" t="s">
        <v>959</v>
      </c>
    </row>
    <row r="16" spans="1:3">
      <c r="A16" s="50" t="str">
        <f>Planning!A48</f>
        <v>QPPO Actual Measurement/KPI</v>
      </c>
      <c r="B16" s="55" t="str">
        <f>Planning!B48</f>
        <v>Post release defect density: UCL:1.8726,CL:1.607,LCL:1.3407</v>
      </c>
      <c r="C16" s="49" t="s">
        <v>959</v>
      </c>
    </row>
    <row r="17" spans="1:3" ht="68.099999999999994" customHeight="1">
      <c r="A17" s="50" t="s">
        <v>983</v>
      </c>
      <c r="B17" s="413"/>
    </row>
    <row r="19" spans="1:3">
      <c r="A19" s="51" t="s">
        <v>856</v>
      </c>
      <c r="B19" s="51"/>
    </row>
    <row r="20" spans="1:3">
      <c r="A20" s="50" t="s">
        <v>857</v>
      </c>
      <c r="B20" s="88" t="s">
        <v>1345</v>
      </c>
    </row>
    <row r="21" spans="1:3">
      <c r="A21" s="50" t="s">
        <v>858</v>
      </c>
      <c r="B21" s="88"/>
    </row>
    <row r="22" spans="1:3">
      <c r="A22" s="50" t="s">
        <v>859</v>
      </c>
      <c r="B22" s="88" t="s">
        <v>1528</v>
      </c>
    </row>
    <row r="23" spans="1:3" ht="86.4">
      <c r="A23" s="50" t="s">
        <v>860</v>
      </c>
      <c r="B23" s="410" t="s">
        <v>1596</v>
      </c>
      <c r="C23" s="305"/>
    </row>
    <row r="24" spans="1:3" ht="31.2">
      <c r="A24" s="50" t="s">
        <v>861</v>
      </c>
      <c r="B24" s="54" t="s">
        <v>347</v>
      </c>
      <c r="C24" s="49" t="s">
        <v>384</v>
      </c>
    </row>
    <row r="25" spans="1:3">
      <c r="A25" s="50" t="s">
        <v>862</v>
      </c>
      <c r="B25" s="50">
        <v>2481632</v>
      </c>
    </row>
    <row r="26" spans="1:3" ht="46.8">
      <c r="A26" s="50" t="s">
        <v>974</v>
      </c>
      <c r="B26" s="327" t="s">
        <v>1500</v>
      </c>
      <c r="C26" s="49" t="s">
        <v>999</v>
      </c>
    </row>
    <row r="27" spans="1:3" s="116" customFormat="1" ht="14.4">
      <c r="A27" s="116" t="s">
        <v>31</v>
      </c>
      <c r="B27" s="116" t="str">
        <f t="shared" ref="B27:B32" si="0">B5</f>
        <v>Room 1, Dome 1</v>
      </c>
    </row>
    <row r="28" spans="1:3" s="116" customFormat="1" ht="14.4">
      <c r="A28" s="116" t="s">
        <v>32</v>
      </c>
      <c r="B28" s="116" t="str">
        <f t="shared" si="0"/>
        <v>No. 1 First Street</v>
      </c>
    </row>
    <row r="29" spans="1:3" s="116" customFormat="1">
      <c r="A29" s="116" t="s">
        <v>33</v>
      </c>
      <c r="B29" s="55" t="str">
        <f t="shared" si="0"/>
        <v>Base Alpha City</v>
      </c>
      <c r="C29" s="116" t="s">
        <v>998</v>
      </c>
    </row>
    <row r="30" spans="1:3" s="116" customFormat="1">
      <c r="A30" s="116" t="s">
        <v>34</v>
      </c>
      <c r="B30" s="55" t="str">
        <f t="shared" si="0"/>
        <v>Tharsis</v>
      </c>
      <c r="C30" s="116" t="s">
        <v>998</v>
      </c>
    </row>
    <row r="31" spans="1:3" s="116" customFormat="1" ht="14.4">
      <c r="A31" s="116" t="s">
        <v>35</v>
      </c>
      <c r="B31" s="88" t="str">
        <f t="shared" si="0"/>
        <v>Planet04</v>
      </c>
    </row>
    <row r="32" spans="1:3" s="116" customFormat="1" ht="14.4">
      <c r="A32" s="116" t="s">
        <v>17</v>
      </c>
      <c r="B32" s="120" t="str">
        <f t="shared" si="0"/>
        <v>China</v>
      </c>
      <c r="C32" s="116" t="s">
        <v>384</v>
      </c>
    </row>
    <row r="33" spans="1:3" ht="31.2">
      <c r="A33" s="50" t="s">
        <v>853</v>
      </c>
      <c r="B33" s="101" t="str">
        <f>_xlfn.CONCAT(B27,", ",B28,", ",B29,", ",B30,", ",B31,", ",B32)</f>
        <v>Room 1, Dome 1, No. 1 First Street, Base Alpha City, Tharsis, Planet04, China</v>
      </c>
      <c r="C33" s="49" t="s">
        <v>999</v>
      </c>
    </row>
    <row r="35" spans="1:3">
      <c r="A35" s="51" t="s">
        <v>863</v>
      </c>
      <c r="B35" s="51"/>
    </row>
    <row r="36" spans="1:3">
      <c r="A36" s="50" t="s">
        <v>864</v>
      </c>
      <c r="B36" s="55" t="str">
        <f>'Agreement 3'!B29</f>
        <v>The Boss</v>
      </c>
      <c r="C36" s="49" t="s">
        <v>998</v>
      </c>
    </row>
    <row r="37" spans="1:3">
      <c r="A37" s="50" t="s">
        <v>865</v>
      </c>
      <c r="B37" s="55" t="str">
        <f>'Agreement 3'!B28</f>
        <v>Prof Kessler, Donald</v>
      </c>
      <c r="C37" s="49" t="s">
        <v>998</v>
      </c>
    </row>
    <row r="38" spans="1:3">
      <c r="A38" s="50" t="s">
        <v>866</v>
      </c>
      <c r="B38" s="55" t="str">
        <f>'Agreement 3'!B16</f>
        <v>Software for Mars (Pty) Ltd</v>
      </c>
      <c r="C38" s="49" t="s">
        <v>998</v>
      </c>
    </row>
    <row r="39" spans="1:3" ht="31.2">
      <c r="A39" s="50" t="s">
        <v>1078</v>
      </c>
      <c r="B39" s="54" t="s">
        <v>735</v>
      </c>
      <c r="C39" s="49" t="s">
        <v>384</v>
      </c>
    </row>
    <row r="40" spans="1:3" ht="31.2">
      <c r="A40" s="50" t="s">
        <v>867</v>
      </c>
      <c r="B40" s="52" t="str">
        <f>B11</f>
        <v>Room 1, Dome 1, No. 1 First Street, Base Alpha City, Tharsis, Planet04, China</v>
      </c>
      <c r="C40" s="49" t="s">
        <v>999</v>
      </c>
    </row>
    <row r="41" spans="1:3">
      <c r="A41" s="50" t="s">
        <v>868</v>
      </c>
      <c r="B41" s="78" t="str">
        <f>'Agreement 3'!B31</f>
        <v>donald.kessler@email.com</v>
      </c>
      <c r="C41" s="49" t="s">
        <v>998</v>
      </c>
    </row>
    <row r="42" spans="1:3">
      <c r="A42" s="50" t="s">
        <v>869</v>
      </c>
      <c r="B42" s="79" t="str">
        <f>'Agreement 3'!B30</f>
        <v>+000 1111 2222</v>
      </c>
      <c r="C42" s="49" t="s">
        <v>998</v>
      </c>
    </row>
    <row r="44" spans="1:3">
      <c r="A44" s="51" t="s">
        <v>425</v>
      </c>
      <c r="B44" s="51"/>
    </row>
    <row r="45" spans="1:3">
      <c r="A45" s="50" t="s">
        <v>1014</v>
      </c>
      <c r="B45" s="55" t="str">
        <f>'Agreement 3'!B33</f>
        <v>Miss Lake, Nathalie</v>
      </c>
      <c r="C45" s="49" t="s">
        <v>998</v>
      </c>
    </row>
    <row r="46" spans="1:3" ht="31.2">
      <c r="A46" s="50" t="s">
        <v>870</v>
      </c>
      <c r="B46" s="54" t="s">
        <v>735</v>
      </c>
      <c r="C46" s="49" t="s">
        <v>384</v>
      </c>
    </row>
    <row r="47" spans="1:3">
      <c r="A47" s="50" t="s">
        <v>871</v>
      </c>
      <c r="B47" s="79" t="str">
        <f>'Agreement 3'!B35</f>
        <v>+0000 1111 3333</v>
      </c>
      <c r="C47" s="49" t="s">
        <v>998</v>
      </c>
    </row>
    <row r="48" spans="1:3">
      <c r="A48" s="50" t="s">
        <v>872</v>
      </c>
      <c r="B48" s="78" t="str">
        <f>'Agreement 3'!B36</f>
        <v>nathalie.lake@email.com</v>
      </c>
      <c r="C48" s="49" t="s">
        <v>998</v>
      </c>
    </row>
    <row r="50" spans="1:3">
      <c r="A50" s="51" t="s">
        <v>27</v>
      </c>
      <c r="B50" s="51"/>
    </row>
    <row r="51" spans="1:3">
      <c r="A51" s="50" t="s">
        <v>13</v>
      </c>
      <c r="B51" s="55" t="str">
        <f>'Agreement 3'!B38</f>
        <v>Miss Land, Barbara</v>
      </c>
      <c r="C51" s="49" t="s">
        <v>998</v>
      </c>
    </row>
    <row r="52" spans="1:3">
      <c r="A52" s="50" t="s">
        <v>1009</v>
      </c>
      <c r="B52" s="55" t="str">
        <f>'Agreement 3'!B39</f>
        <v>Freelance</v>
      </c>
      <c r="C52" s="49" t="s">
        <v>998</v>
      </c>
    </row>
    <row r="53" spans="1:3">
      <c r="A53" s="50" t="s">
        <v>1010</v>
      </c>
      <c r="B53" s="54" t="s">
        <v>1008</v>
      </c>
      <c r="C53" s="49" t="s">
        <v>384</v>
      </c>
    </row>
    <row r="54" spans="1:3">
      <c r="A54" s="50" t="s">
        <v>728</v>
      </c>
      <c r="B54" s="54" t="s">
        <v>434</v>
      </c>
      <c r="C54" s="49" t="s">
        <v>384</v>
      </c>
    </row>
    <row r="55" spans="1:3">
      <c r="A55" s="50" t="s">
        <v>1011</v>
      </c>
      <c r="B55" s="50" t="s">
        <v>1012</v>
      </c>
    </row>
    <row r="56" spans="1:3">
      <c r="A56" s="50" t="s">
        <v>871</v>
      </c>
      <c r="B56" s="79" t="str">
        <f>'Agreement 3'!B41</f>
        <v>+000 1111 44444</v>
      </c>
      <c r="C56" s="49" t="s">
        <v>998</v>
      </c>
    </row>
    <row r="57" spans="1:3">
      <c r="A57" s="50" t="s">
        <v>872</v>
      </c>
      <c r="B57" s="78" t="str">
        <f>'Agreement 3'!B42</f>
        <v>barbara.land@email.com</v>
      </c>
      <c r="C57" s="49" t="s">
        <v>998</v>
      </c>
    </row>
  </sheetData>
  <phoneticPr fontId="54" type="noConversion"/>
  <dataValidations count="4">
    <dataValidation type="list" allowBlank="1" showInputMessage="1" showErrorMessage="1" sqref="B24" xr:uid="{CDD3F377-5378-44E1-B83C-16B7392CD656}">
      <formula1>tbl_isic</formula1>
    </dataValidation>
    <dataValidation type="list" allowBlank="1" showInputMessage="1" showErrorMessage="1" sqref="B10:B11 B32" xr:uid="{47BCE4C7-CDFB-4924-9960-11AC778C2B0D}">
      <formula1>tbl_country</formula1>
    </dataValidation>
    <dataValidation type="list" allowBlank="1" showInputMessage="1" showErrorMessage="1" sqref="B53 B46 B39" xr:uid="{455989D4-6CBB-4348-9320-53E041112C6F}">
      <formula1>"External, Internal"</formula1>
    </dataValidation>
    <dataValidation type="list" allowBlank="1" showInputMessage="1" showErrorMessage="1" sqref="B54" xr:uid="{FC239A9B-BA8D-45B5-BDCF-3883E916D0DB}">
      <formula1>tbl_reportingRelationship</formula1>
    </dataValidation>
  </dataValidations>
  <hyperlinks>
    <hyperlink ref="B41" r:id="rId1" display="jack@c-goshine.com" xr:uid="{25F06946-4C8A-47A6-8E18-995C96686BFB}"/>
    <hyperlink ref="B48" r:id="rId2" display="qianjiedi@gktel.com.cn" xr:uid="{08A30BD2-48E8-412B-8CD5-0F226B0D1FEE}"/>
    <hyperlink ref="B12" r:id="rId3" xr:uid="{971EBEBB-7D52-4A46-B80E-A06E6B6366A7}"/>
  </hyperlinks>
  <pageMargins left="0.7" right="0.7" top="0.75" bottom="0.75" header="0.3" footer="0.3"/>
  <pageSetup paperSize="9" scale="69" fitToHeight="0" orientation="portrait" r:id="rId4"/>
  <rowBreaks count="1" manualBreakCount="1">
    <brk id="34" max="16383" man="1"/>
  </rowBreaks>
  <drawing r:id="rId5"/>
  <legacyDrawing r:id="rId6"/>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C0D8613-A38E-4458-BEFC-71D869DF37C2}">
  <sheetPr codeName="Sheet12">
    <tabColor theme="5" tint="0.79998168889431442"/>
    <pageSetUpPr fitToPage="1"/>
  </sheetPr>
  <dimension ref="A1:AJ27"/>
  <sheetViews>
    <sheetView zoomScale="85" zoomScaleNormal="85" workbookViewId="0">
      <selection activeCell="AM10" sqref="AM10"/>
    </sheetView>
  </sheetViews>
  <sheetFormatPr defaultColWidth="8.6640625" defaultRowHeight="14.4"/>
  <cols>
    <col min="1" max="1" width="11.44140625" style="97" customWidth="1"/>
    <col min="2" max="2" width="20.44140625" style="97" customWidth="1"/>
    <col min="3" max="3" width="60.44140625" style="97" customWidth="1"/>
    <col min="4" max="4" width="15.33203125" style="97" customWidth="1"/>
    <col min="5" max="5" width="20.44140625" style="97" customWidth="1"/>
    <col min="6" max="7" width="15.44140625" style="106" customWidth="1"/>
    <col min="8" max="8" width="11.6640625" style="97" customWidth="1"/>
    <col min="9" max="9" width="9.6640625" style="103" customWidth="1"/>
    <col min="10" max="27" width="6.44140625" style="103" customWidth="1"/>
    <col min="28" max="28" width="8.6640625" style="103" customWidth="1"/>
    <col min="29" max="31" width="7.44140625" style="97" customWidth="1"/>
    <col min="32" max="32" width="7.44140625" style="116" customWidth="1"/>
    <col min="33" max="35" width="7.44140625" style="97" customWidth="1"/>
    <col min="36" max="36" width="5.33203125" style="97" customWidth="1"/>
    <col min="37" max="16384" width="8.6640625" style="97"/>
  </cols>
  <sheetData>
    <row r="1" spans="1:36" s="50" customFormat="1" ht="57" customHeight="1">
      <c r="A1" s="112" t="s">
        <v>1498</v>
      </c>
      <c r="B1" s="48"/>
      <c r="C1" s="113"/>
      <c r="D1" s="114"/>
      <c r="E1" s="114"/>
      <c r="F1" s="114"/>
      <c r="G1" s="114"/>
      <c r="H1" s="114"/>
      <c r="I1" s="114"/>
      <c r="J1" s="114"/>
      <c r="K1" s="114"/>
      <c r="L1" s="114"/>
      <c r="M1" s="114"/>
      <c r="N1" s="114"/>
      <c r="O1" s="114"/>
      <c r="P1" s="114"/>
      <c r="Q1" s="114"/>
      <c r="R1" s="114"/>
      <c r="S1" s="114"/>
      <c r="T1" s="114"/>
      <c r="U1" s="114"/>
      <c r="V1" s="114"/>
      <c r="W1" s="114"/>
      <c r="X1" s="114"/>
      <c r="Y1" s="114"/>
      <c r="Z1" s="114"/>
      <c r="AA1" s="114"/>
      <c r="AB1" s="259" t="s">
        <v>1174</v>
      </c>
      <c r="AC1" s="454" t="s">
        <v>1175</v>
      </c>
      <c r="AD1" s="454"/>
      <c r="AE1" s="454"/>
      <c r="AF1" s="454"/>
      <c r="AG1" s="454"/>
      <c r="AH1" s="454"/>
      <c r="AI1" s="454"/>
      <c r="AJ1" s="454"/>
    </row>
    <row r="2" spans="1:36" s="399" customFormat="1" ht="69.599999999999994">
      <c r="A2" s="397" t="s">
        <v>879</v>
      </c>
      <c r="B2" s="397" t="s">
        <v>13</v>
      </c>
      <c r="C2" s="397" t="s">
        <v>382</v>
      </c>
      <c r="D2" s="397" t="s">
        <v>880</v>
      </c>
      <c r="E2" s="397" t="s">
        <v>1141</v>
      </c>
      <c r="F2" s="398" t="s">
        <v>1142</v>
      </c>
      <c r="G2" s="398" t="s">
        <v>1143</v>
      </c>
      <c r="H2" s="397" t="s">
        <v>1496</v>
      </c>
      <c r="I2" s="260" t="s">
        <v>1499</v>
      </c>
      <c r="J2" s="261" t="s">
        <v>881</v>
      </c>
      <c r="K2" s="261" t="s">
        <v>882</v>
      </c>
      <c r="L2" s="261" t="s">
        <v>835</v>
      </c>
      <c r="M2" s="261" t="s">
        <v>883</v>
      </c>
      <c r="N2" s="261" t="s">
        <v>884</v>
      </c>
      <c r="O2" s="261" t="s">
        <v>885</v>
      </c>
      <c r="P2" s="261" t="s">
        <v>886</v>
      </c>
      <c r="Q2" s="261" t="s">
        <v>887</v>
      </c>
      <c r="R2" s="261" t="s">
        <v>888</v>
      </c>
      <c r="S2" s="261" t="s">
        <v>889</v>
      </c>
      <c r="T2" s="261" t="s">
        <v>753</v>
      </c>
      <c r="U2" s="261" t="s">
        <v>890</v>
      </c>
      <c r="V2" s="261" t="s">
        <v>891</v>
      </c>
      <c r="W2" s="261" t="s">
        <v>892</v>
      </c>
      <c r="X2" s="261" t="s">
        <v>893</v>
      </c>
      <c r="Y2" s="261" t="s">
        <v>751</v>
      </c>
      <c r="Z2" s="261" t="s">
        <v>894</v>
      </c>
      <c r="AA2" s="261" t="s">
        <v>895</v>
      </c>
      <c r="AB2" s="260"/>
      <c r="AC2" s="262" t="s">
        <v>1176</v>
      </c>
      <c r="AD2" s="262" t="s">
        <v>1177</v>
      </c>
      <c r="AE2" s="262" t="s">
        <v>1658</v>
      </c>
      <c r="AF2" s="262" t="s">
        <v>1178</v>
      </c>
      <c r="AG2" s="262" t="s">
        <v>1659</v>
      </c>
      <c r="AH2" s="262" t="s">
        <v>1660</v>
      </c>
      <c r="AI2" s="262" t="s">
        <v>1150</v>
      </c>
      <c r="AJ2" s="263" t="s">
        <v>1179</v>
      </c>
    </row>
    <row r="3" spans="1:36" s="264" customFormat="1" ht="13.8">
      <c r="A3" s="265" t="s">
        <v>896</v>
      </c>
      <c r="B3" s="264" t="s">
        <v>1530</v>
      </c>
      <c r="C3" s="265" t="s">
        <v>1529</v>
      </c>
      <c r="D3" s="265" t="s">
        <v>1144</v>
      </c>
      <c r="E3" s="265" t="s">
        <v>1351</v>
      </c>
      <c r="F3" s="266">
        <v>44021</v>
      </c>
      <c r="G3" s="266">
        <v>44260</v>
      </c>
      <c r="H3" s="265" t="s">
        <v>1353</v>
      </c>
      <c r="I3" s="267" t="s">
        <v>1497</v>
      </c>
      <c r="J3" s="268" t="s">
        <v>1095</v>
      </c>
      <c r="K3" s="268" t="s">
        <v>1095</v>
      </c>
      <c r="L3" s="268"/>
      <c r="M3" s="268"/>
      <c r="N3" s="268"/>
      <c r="O3" s="268"/>
      <c r="P3" s="268"/>
      <c r="Q3" s="268"/>
      <c r="R3" s="268"/>
      <c r="S3" s="268"/>
      <c r="T3" s="268"/>
      <c r="U3" s="268"/>
      <c r="V3" s="268"/>
      <c r="W3" s="268"/>
      <c r="X3" s="268"/>
      <c r="Y3" s="268"/>
      <c r="Z3" s="268"/>
      <c r="AA3" s="268"/>
      <c r="AB3" s="267">
        <v>10</v>
      </c>
      <c r="AC3" s="269" t="s">
        <v>1303</v>
      </c>
      <c r="AD3" s="269"/>
      <c r="AE3" s="269"/>
      <c r="AF3" s="269"/>
      <c r="AG3" s="269"/>
      <c r="AH3" s="269"/>
      <c r="AI3" s="269"/>
      <c r="AJ3" s="270"/>
    </row>
    <row r="4" spans="1:36" s="264" customFormat="1" ht="13.8">
      <c r="A4" s="265" t="s">
        <v>897</v>
      </c>
      <c r="B4" s="264" t="s">
        <v>1531</v>
      </c>
      <c r="C4" s="265" t="s">
        <v>1532</v>
      </c>
      <c r="D4" s="265" t="s">
        <v>1144</v>
      </c>
      <c r="E4" s="299" t="s">
        <v>1351</v>
      </c>
      <c r="F4" s="271">
        <v>44086</v>
      </c>
      <c r="G4" s="271">
        <v>44258</v>
      </c>
      <c r="H4" s="265" t="s">
        <v>1353</v>
      </c>
      <c r="I4" s="267" t="s">
        <v>1497</v>
      </c>
      <c r="J4" s="268"/>
      <c r="K4" s="268"/>
      <c r="L4" s="268"/>
      <c r="M4" s="268" t="s">
        <v>1095</v>
      </c>
      <c r="N4" s="268" t="s">
        <v>1095</v>
      </c>
      <c r="O4" s="268" t="s">
        <v>1095</v>
      </c>
      <c r="P4" s="268"/>
      <c r="Q4" s="268"/>
      <c r="R4" s="268"/>
      <c r="S4" s="268"/>
      <c r="T4" s="268"/>
      <c r="U4" s="268"/>
      <c r="V4" s="268"/>
      <c r="W4" s="268"/>
      <c r="X4" s="268"/>
      <c r="Y4" s="268"/>
      <c r="Z4" s="268"/>
      <c r="AA4" s="268"/>
      <c r="AB4" s="267">
        <v>11</v>
      </c>
      <c r="AC4" s="269" t="s">
        <v>1303</v>
      </c>
      <c r="AD4" s="269"/>
      <c r="AE4" s="269"/>
      <c r="AF4" s="269"/>
      <c r="AG4" s="269"/>
      <c r="AH4" s="269"/>
      <c r="AI4" s="269"/>
      <c r="AJ4" s="270"/>
    </row>
    <row r="5" spans="1:36" s="264" customFormat="1" ht="13.8">
      <c r="A5" s="265" t="s">
        <v>898</v>
      </c>
      <c r="B5" s="264" t="s">
        <v>1533</v>
      </c>
      <c r="C5" s="265" t="s">
        <v>1534</v>
      </c>
      <c r="D5" s="265" t="s">
        <v>1144</v>
      </c>
      <c r="E5" s="299" t="s">
        <v>1351</v>
      </c>
      <c r="F5" s="271">
        <v>44062</v>
      </c>
      <c r="G5" s="271">
        <v>44247</v>
      </c>
      <c r="H5" s="265" t="s">
        <v>1353</v>
      </c>
      <c r="I5" s="267" t="s">
        <v>1497</v>
      </c>
      <c r="J5" s="268"/>
      <c r="K5" s="268"/>
      <c r="L5" s="268"/>
      <c r="M5" s="268"/>
      <c r="N5" s="268"/>
      <c r="O5" s="268"/>
      <c r="P5" s="268"/>
      <c r="Q5" s="268"/>
      <c r="R5" s="268"/>
      <c r="S5" s="268"/>
      <c r="T5" s="268"/>
      <c r="U5" s="268" t="s">
        <v>1095</v>
      </c>
      <c r="V5" s="268" t="s">
        <v>1095</v>
      </c>
      <c r="W5" s="268" t="s">
        <v>1095</v>
      </c>
      <c r="X5" s="268"/>
      <c r="Y5" s="268"/>
      <c r="Z5" s="268"/>
      <c r="AA5" s="268"/>
      <c r="AB5" s="267">
        <v>9</v>
      </c>
      <c r="AC5" s="269"/>
      <c r="AD5" s="269" t="s">
        <v>1303</v>
      </c>
      <c r="AE5" s="269"/>
      <c r="AF5" s="269"/>
      <c r="AG5" s="269"/>
      <c r="AH5" s="269"/>
      <c r="AI5" s="269"/>
      <c r="AJ5" s="270"/>
    </row>
    <row r="6" spans="1:36" s="264" customFormat="1" ht="13.8">
      <c r="A6" s="265" t="s">
        <v>899</v>
      </c>
      <c r="B6" s="264" t="s">
        <v>1535</v>
      </c>
      <c r="C6" s="271" t="s">
        <v>1536</v>
      </c>
      <c r="D6" s="265" t="s">
        <v>1144</v>
      </c>
      <c r="E6" s="299" t="s">
        <v>1351</v>
      </c>
      <c r="F6" s="271" t="s">
        <v>1352</v>
      </c>
      <c r="G6" s="271">
        <v>44265</v>
      </c>
      <c r="H6" s="299" t="s">
        <v>1353</v>
      </c>
      <c r="I6" s="267" t="s">
        <v>1497</v>
      </c>
      <c r="J6" s="268"/>
      <c r="K6" s="268"/>
      <c r="L6" s="268"/>
      <c r="M6" s="268"/>
      <c r="N6" s="268"/>
      <c r="O6" s="268"/>
      <c r="P6" s="268"/>
      <c r="Q6" s="268"/>
      <c r="R6" s="268"/>
      <c r="S6" s="268" t="s">
        <v>1095</v>
      </c>
      <c r="T6" s="268"/>
      <c r="U6" s="268"/>
      <c r="V6" s="268"/>
      <c r="W6" s="268"/>
      <c r="X6" s="268"/>
      <c r="Y6" s="268"/>
      <c r="Z6" s="268"/>
      <c r="AA6" s="268"/>
      <c r="AB6" s="267">
        <v>7</v>
      </c>
      <c r="AC6" s="269"/>
      <c r="AD6" s="269" t="s">
        <v>411</v>
      </c>
      <c r="AE6" s="269"/>
      <c r="AF6" s="269"/>
      <c r="AG6" s="269"/>
      <c r="AH6" s="269"/>
      <c r="AI6" s="269"/>
      <c r="AJ6" s="270"/>
    </row>
    <row r="7" spans="1:36" s="264" customFormat="1" ht="27.6">
      <c r="A7" s="273" t="s">
        <v>901</v>
      </c>
      <c r="B7" s="273" t="s">
        <v>1347</v>
      </c>
      <c r="C7" s="273" t="s">
        <v>1537</v>
      </c>
      <c r="D7" s="273" t="s">
        <v>1145</v>
      </c>
      <c r="E7" s="274"/>
      <c r="F7" s="275"/>
      <c r="G7" s="275"/>
      <c r="H7" s="299" t="s">
        <v>1353</v>
      </c>
      <c r="I7" s="268" t="s">
        <v>949</v>
      </c>
      <c r="J7" s="268"/>
      <c r="K7" s="268"/>
      <c r="L7" s="268"/>
      <c r="M7" s="268"/>
      <c r="N7" s="268"/>
      <c r="O7" s="268"/>
      <c r="P7" s="268"/>
      <c r="Q7" s="268"/>
      <c r="R7" s="268"/>
      <c r="S7" s="268"/>
      <c r="T7" s="268"/>
      <c r="U7" s="268"/>
      <c r="V7" s="268"/>
      <c r="W7" s="268"/>
      <c r="X7" s="268"/>
      <c r="Y7" s="268" t="s">
        <v>1164</v>
      </c>
      <c r="Z7" s="268"/>
      <c r="AA7" s="268"/>
      <c r="AB7" s="272">
        <v>1</v>
      </c>
      <c r="AC7" s="269"/>
      <c r="AD7" s="269"/>
      <c r="AE7" s="269" t="s">
        <v>411</v>
      </c>
      <c r="AF7" s="269"/>
      <c r="AG7" s="269"/>
      <c r="AH7" s="269"/>
      <c r="AI7" s="269"/>
      <c r="AJ7" s="270"/>
    </row>
    <row r="8" spans="1:36" s="264" customFormat="1" ht="69">
      <c r="A8" s="273" t="s">
        <v>902</v>
      </c>
      <c r="B8" s="273" t="s">
        <v>1348</v>
      </c>
      <c r="C8" s="273" t="s">
        <v>1538</v>
      </c>
      <c r="D8" s="273" t="s">
        <v>1145</v>
      </c>
      <c r="E8" s="274"/>
      <c r="F8" s="275"/>
      <c r="G8" s="275"/>
      <c r="H8" s="299" t="s">
        <v>1353</v>
      </c>
      <c r="I8" s="268" t="s">
        <v>949</v>
      </c>
      <c r="J8" s="268"/>
      <c r="K8" s="268"/>
      <c r="L8" s="268"/>
      <c r="M8" s="268"/>
      <c r="N8" s="268"/>
      <c r="O8" s="268"/>
      <c r="P8" s="268" t="s">
        <v>1164</v>
      </c>
      <c r="Q8" s="268" t="s">
        <v>1164</v>
      </c>
      <c r="R8" s="268" t="s">
        <v>1164</v>
      </c>
      <c r="S8" s="268"/>
      <c r="T8" s="268"/>
      <c r="U8" s="268"/>
      <c r="V8" s="268"/>
      <c r="W8" s="268"/>
      <c r="X8" s="268" t="s">
        <v>1164</v>
      </c>
      <c r="Y8" s="268"/>
      <c r="Z8" s="268" t="s">
        <v>1164</v>
      </c>
      <c r="AA8" s="268"/>
      <c r="AB8" s="272">
        <v>1</v>
      </c>
      <c r="AC8" s="269"/>
      <c r="AD8" s="269"/>
      <c r="AE8" s="269"/>
      <c r="AF8" s="269" t="s">
        <v>411</v>
      </c>
      <c r="AG8" s="269" t="s">
        <v>411</v>
      </c>
      <c r="AH8" s="269"/>
      <c r="AI8" s="269"/>
      <c r="AJ8" s="270"/>
    </row>
    <row r="9" spans="1:36" s="264" customFormat="1" ht="41.4">
      <c r="A9" s="273" t="s">
        <v>903</v>
      </c>
      <c r="B9" s="273" t="s">
        <v>1349</v>
      </c>
      <c r="C9" s="273" t="s">
        <v>1539</v>
      </c>
      <c r="D9" s="273" t="s">
        <v>1145</v>
      </c>
      <c r="E9" s="274"/>
      <c r="F9" s="275"/>
      <c r="G9" s="275"/>
      <c r="H9" s="299" t="s">
        <v>1353</v>
      </c>
      <c r="I9" s="268" t="s">
        <v>949</v>
      </c>
      <c r="J9" s="268"/>
      <c r="K9" s="268"/>
      <c r="L9" s="268"/>
      <c r="M9" s="268"/>
      <c r="N9" s="268"/>
      <c r="O9" s="268"/>
      <c r="P9" s="268"/>
      <c r="Q9" s="268"/>
      <c r="R9" s="268"/>
      <c r="S9" s="268"/>
      <c r="T9" s="268" t="s">
        <v>1164</v>
      </c>
      <c r="U9" s="268"/>
      <c r="V9" s="268"/>
      <c r="W9" s="268"/>
      <c r="X9" s="268"/>
      <c r="Y9" s="268"/>
      <c r="Z9" s="268"/>
      <c r="AA9" s="268"/>
      <c r="AB9" s="272">
        <v>1</v>
      </c>
      <c r="AC9" s="269"/>
      <c r="AD9" s="269"/>
      <c r="AE9" s="269"/>
      <c r="AF9" s="269"/>
      <c r="AG9" s="269"/>
      <c r="AH9" s="269" t="s">
        <v>411</v>
      </c>
      <c r="AI9" s="269"/>
      <c r="AJ9" s="270"/>
    </row>
    <row r="10" spans="1:36" s="264" customFormat="1" ht="27.6">
      <c r="A10" s="273" t="s">
        <v>904</v>
      </c>
      <c r="B10" s="273" t="s">
        <v>1350</v>
      </c>
      <c r="C10" s="273" t="s">
        <v>1540</v>
      </c>
      <c r="D10" s="273" t="s">
        <v>1145</v>
      </c>
      <c r="E10" s="274"/>
      <c r="F10" s="275"/>
      <c r="G10" s="275"/>
      <c r="H10" s="299" t="s">
        <v>1353</v>
      </c>
      <c r="I10" s="268" t="s">
        <v>949</v>
      </c>
      <c r="J10" s="268"/>
      <c r="K10" s="268"/>
      <c r="L10" s="268" t="s">
        <v>1164</v>
      </c>
      <c r="M10" s="268"/>
      <c r="N10" s="268"/>
      <c r="O10" s="268"/>
      <c r="P10" s="268"/>
      <c r="Q10" s="268"/>
      <c r="R10" s="268"/>
      <c r="S10" s="268"/>
      <c r="T10" s="268"/>
      <c r="U10" s="268"/>
      <c r="V10" s="268"/>
      <c r="W10" s="268"/>
      <c r="X10" s="268"/>
      <c r="Y10" s="268"/>
      <c r="Z10" s="268"/>
      <c r="AA10" s="268"/>
      <c r="AB10" s="272">
        <v>1</v>
      </c>
      <c r="AC10" s="269"/>
      <c r="AD10" s="269"/>
      <c r="AE10" s="269"/>
      <c r="AF10" s="269"/>
      <c r="AG10" s="269"/>
      <c r="AH10" s="269"/>
      <c r="AI10" s="269" t="s">
        <v>411</v>
      </c>
      <c r="AJ10" s="270"/>
    </row>
    <row r="20" spans="3:3">
      <c r="C20" s="116"/>
    </row>
    <row r="23" spans="3:3">
      <c r="C23" s="417" t="s">
        <v>1653</v>
      </c>
    </row>
    <row r="24" spans="3:3" ht="40.5" customHeight="1">
      <c r="C24" s="116" t="s">
        <v>1607</v>
      </c>
    </row>
    <row r="25" spans="3:3" ht="40.5" customHeight="1">
      <c r="C25" s="116" t="s">
        <v>1606</v>
      </c>
    </row>
    <row r="26" spans="3:3" ht="40.5" customHeight="1">
      <c r="C26" s="116" t="s">
        <v>1605</v>
      </c>
    </row>
    <row r="27" spans="3:3" ht="40.5" customHeight="1">
      <c r="C27" s="116" t="s">
        <v>1608</v>
      </c>
    </row>
  </sheetData>
  <sortState xmlns:xlrd2="http://schemas.microsoft.com/office/spreadsheetml/2017/richdata2" ref="A3:AA6">
    <sortCondition ref="A3:A6"/>
  </sortState>
  <mergeCells count="1">
    <mergeCell ref="AC1:AJ1"/>
  </mergeCells>
  <phoneticPr fontId="54" type="noConversion"/>
  <conditionalFormatting sqref="J3:AA12">
    <cfRule type="cellIs" dxfId="132" priority="6" operator="equal">
      <formula>"s"</formula>
    </cfRule>
    <cfRule type="cellIs" dxfId="131" priority="7" operator="equal">
      <formula>"a"</formula>
    </cfRule>
  </conditionalFormatting>
  <conditionalFormatting sqref="AC3:AE10 AG3:AI10">
    <cfRule type="cellIs" dxfId="130" priority="2" operator="equal">
      <formula>"x"</formula>
    </cfRule>
  </conditionalFormatting>
  <conditionalFormatting sqref="AF3:AF10">
    <cfRule type="cellIs" dxfId="129" priority="1" operator="equal">
      <formula>"x"</formula>
    </cfRule>
  </conditionalFormatting>
  <pageMargins left="0.7" right="0.7" top="0.75" bottom="0.75" header="0.3" footer="0.3"/>
  <pageSetup paperSize="9" scale="60" fitToHeight="0" orientation="landscape" r:id="rId1"/>
  <legacy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22047CF-C703-490B-968A-C666E0557B73}">
  <sheetPr codeName="Sheet141">
    <tabColor theme="5" tint="0.79998168889431442"/>
    <pageSetUpPr fitToPage="1"/>
  </sheetPr>
  <dimension ref="A1:Z32"/>
  <sheetViews>
    <sheetView zoomScale="70" zoomScaleNormal="70" workbookViewId="0">
      <selection activeCell="E32" sqref="E32"/>
    </sheetView>
  </sheetViews>
  <sheetFormatPr defaultColWidth="10.6640625" defaultRowHeight="15.6"/>
  <cols>
    <col min="1" max="1" width="11.44140625" style="62" customWidth="1"/>
    <col min="2" max="2" width="22.33203125" style="62" customWidth="1"/>
    <col min="3" max="3" width="36.6640625" style="62" bestFit="1" customWidth="1"/>
    <col min="4" max="4" width="26.44140625" style="62" bestFit="1" customWidth="1"/>
    <col min="5" max="5" width="42.33203125" style="62" customWidth="1"/>
    <col min="6" max="25" width="7.6640625" style="63" customWidth="1"/>
    <col min="26" max="16384" width="10.6640625" style="62"/>
  </cols>
  <sheetData>
    <row r="1" spans="1:26" s="60" customFormat="1" ht="18">
      <c r="A1" s="301" t="s">
        <v>1015</v>
      </c>
      <c r="B1" s="302"/>
      <c r="C1" s="303"/>
      <c r="D1" s="304"/>
      <c r="E1" s="312"/>
      <c r="F1" s="259">
        <f t="shared" ref="F1:Y1" si="0">COUNTIF(F3:F1048576,"=x")</f>
        <v>5</v>
      </c>
      <c r="G1" s="259">
        <f t="shared" si="0"/>
        <v>1</v>
      </c>
      <c r="H1" s="259">
        <f t="shared" si="0"/>
        <v>6</v>
      </c>
      <c r="I1" s="259">
        <f t="shared" si="0"/>
        <v>4</v>
      </c>
      <c r="J1" s="259">
        <f t="shared" si="0"/>
        <v>0</v>
      </c>
      <c r="K1" s="259">
        <f t="shared" si="0"/>
        <v>0</v>
      </c>
      <c r="L1" s="259">
        <f t="shared" si="0"/>
        <v>1</v>
      </c>
      <c r="M1" s="259">
        <f t="shared" si="0"/>
        <v>4</v>
      </c>
      <c r="N1" s="259">
        <f t="shared" si="0"/>
        <v>1</v>
      </c>
      <c r="O1" s="259">
        <f t="shared" si="0"/>
        <v>20</v>
      </c>
      <c r="P1" s="259">
        <f t="shared" si="0"/>
        <v>4</v>
      </c>
      <c r="Q1" s="259">
        <f t="shared" si="0"/>
        <v>1</v>
      </c>
      <c r="R1" s="259">
        <f t="shared" si="0"/>
        <v>1</v>
      </c>
      <c r="S1" s="259">
        <f t="shared" si="0"/>
        <v>1</v>
      </c>
      <c r="T1" s="259">
        <f t="shared" si="0"/>
        <v>4</v>
      </c>
      <c r="U1" s="259">
        <f t="shared" si="0"/>
        <v>4</v>
      </c>
      <c r="V1" s="259">
        <f t="shared" si="0"/>
        <v>4</v>
      </c>
      <c r="W1" s="259">
        <f t="shared" si="0"/>
        <v>8</v>
      </c>
      <c r="X1" s="259">
        <f t="shared" si="0"/>
        <v>8</v>
      </c>
      <c r="Y1" s="259">
        <f t="shared" si="0"/>
        <v>0</v>
      </c>
    </row>
    <row r="2" spans="1:26" s="60" customFormat="1">
      <c r="A2" s="289" t="s">
        <v>879</v>
      </c>
      <c r="B2" s="289" t="s">
        <v>905</v>
      </c>
      <c r="C2" s="289" t="s">
        <v>13</v>
      </c>
      <c r="D2" s="289" t="s">
        <v>906</v>
      </c>
      <c r="E2" s="289" t="s">
        <v>907</v>
      </c>
      <c r="F2" s="290" t="s">
        <v>893</v>
      </c>
      <c r="G2" s="290" t="s">
        <v>751</v>
      </c>
      <c r="H2" s="290" t="s">
        <v>894</v>
      </c>
      <c r="I2" s="290" t="s">
        <v>890</v>
      </c>
      <c r="J2" s="290" t="s">
        <v>908</v>
      </c>
      <c r="K2" s="290" t="s">
        <v>909</v>
      </c>
      <c r="L2" s="290" t="s">
        <v>886</v>
      </c>
      <c r="M2" s="290" t="s">
        <v>891</v>
      </c>
      <c r="N2" s="290" t="s">
        <v>753</v>
      </c>
      <c r="O2" s="290" t="s">
        <v>883</v>
      </c>
      <c r="P2" s="290" t="s">
        <v>892</v>
      </c>
      <c r="Q2" s="290" t="s">
        <v>887</v>
      </c>
      <c r="R2" s="290" t="s">
        <v>888</v>
      </c>
      <c r="S2" s="290" t="s">
        <v>835</v>
      </c>
      <c r="T2" s="290" t="s">
        <v>881</v>
      </c>
      <c r="U2" s="290" t="s">
        <v>884</v>
      </c>
      <c r="V2" s="290" t="s">
        <v>889</v>
      </c>
      <c r="W2" s="290" t="s">
        <v>882</v>
      </c>
      <c r="X2" s="290" t="s">
        <v>885</v>
      </c>
      <c r="Y2" s="290" t="s">
        <v>895</v>
      </c>
    </row>
    <row r="3" spans="1:26" s="309" customFormat="1">
      <c r="A3" s="321" t="s">
        <v>896</v>
      </c>
      <c r="B3" s="411" t="str">
        <f t="shared" ref="B3:B27" si="1">VLOOKUP(A3,tbl_projectNames,2,FALSE)</f>
        <v>P1-Falcon9</v>
      </c>
      <c r="C3" s="321" t="s">
        <v>1541</v>
      </c>
      <c r="D3" s="320" t="s">
        <v>910</v>
      </c>
      <c r="E3" s="328" t="str">
        <f t="shared" ref="E3:E27" si="2">_xlfn.CONCAT(D3," function in OU")</f>
        <v>Analyst function in OU</v>
      </c>
      <c r="F3" s="291"/>
      <c r="G3" s="291"/>
      <c r="H3" s="291"/>
      <c r="I3" s="291"/>
      <c r="J3" s="291"/>
      <c r="K3" s="291"/>
      <c r="L3" s="291"/>
      <c r="M3" s="291"/>
      <c r="N3" s="291"/>
      <c r="O3" s="291" t="s">
        <v>411</v>
      </c>
      <c r="P3" s="291"/>
      <c r="Q3" s="291"/>
      <c r="R3" s="291"/>
      <c r="S3" s="291"/>
      <c r="T3" s="291"/>
      <c r="U3" s="291" t="s">
        <v>411</v>
      </c>
      <c r="V3" s="291"/>
      <c r="W3" s="291"/>
      <c r="X3" s="291"/>
      <c r="Y3" s="291"/>
      <c r="Z3" s="63"/>
    </row>
    <row r="4" spans="1:26" s="309" customFormat="1">
      <c r="A4" s="321" t="s">
        <v>896</v>
      </c>
      <c r="B4" s="411" t="str">
        <f t="shared" si="1"/>
        <v>P1-Falcon9</v>
      </c>
      <c r="C4" s="321" t="s">
        <v>1542</v>
      </c>
      <c r="D4" s="320" t="s">
        <v>911</v>
      </c>
      <c r="E4" s="328" t="str">
        <f t="shared" si="2"/>
        <v>Designer function in OU</v>
      </c>
      <c r="F4" s="291"/>
      <c r="G4" s="291"/>
      <c r="H4" s="291"/>
      <c r="I4" s="291"/>
      <c r="J4" s="291"/>
      <c r="K4" s="291"/>
      <c r="L4" s="291"/>
      <c r="M4" s="291"/>
      <c r="N4" s="291"/>
      <c r="O4" s="291" t="s">
        <v>411</v>
      </c>
      <c r="P4" s="291"/>
      <c r="Q4" s="291"/>
      <c r="R4" s="291"/>
      <c r="S4" s="291"/>
      <c r="T4" s="291"/>
      <c r="U4" s="291"/>
      <c r="V4" s="291"/>
      <c r="W4" s="291" t="s">
        <v>411</v>
      </c>
      <c r="X4" s="291"/>
      <c r="Y4" s="291"/>
      <c r="Z4" s="63"/>
    </row>
    <row r="5" spans="1:26" s="309" customFormat="1">
      <c r="A5" s="321" t="s">
        <v>896</v>
      </c>
      <c r="B5" s="411" t="str">
        <f t="shared" si="1"/>
        <v>P1-Falcon9</v>
      </c>
      <c r="C5" s="321" t="s">
        <v>1543</v>
      </c>
      <c r="D5" s="320" t="s">
        <v>1149</v>
      </c>
      <c r="E5" s="328" t="str">
        <f t="shared" si="2"/>
        <v>Developer function in OU</v>
      </c>
      <c r="F5" s="291"/>
      <c r="G5" s="291"/>
      <c r="H5" s="291"/>
      <c r="I5" s="291"/>
      <c r="J5" s="291"/>
      <c r="K5" s="291"/>
      <c r="L5" s="291"/>
      <c r="M5" s="291"/>
      <c r="N5" s="291"/>
      <c r="O5" s="291" t="s">
        <v>411</v>
      </c>
      <c r="P5" s="291"/>
      <c r="Q5" s="291"/>
      <c r="R5" s="291"/>
      <c r="S5" s="291"/>
      <c r="T5" s="291" t="s">
        <v>411</v>
      </c>
      <c r="U5" s="291"/>
      <c r="V5" s="291"/>
      <c r="W5" s="291" t="s">
        <v>411</v>
      </c>
      <c r="X5" s="291" t="s">
        <v>411</v>
      </c>
      <c r="Y5" s="291"/>
      <c r="Z5" s="63"/>
    </row>
    <row r="6" spans="1:26" s="309" customFormat="1">
      <c r="A6" s="321" t="s">
        <v>896</v>
      </c>
      <c r="B6" s="411" t="str">
        <f t="shared" si="1"/>
        <v>P1-Falcon9</v>
      </c>
      <c r="C6" s="321" t="s">
        <v>1544</v>
      </c>
      <c r="D6" s="320" t="s">
        <v>1288</v>
      </c>
      <c r="E6" s="328" t="str">
        <f t="shared" si="2"/>
        <v>Tester function in OU</v>
      </c>
      <c r="F6" s="291"/>
      <c r="G6" s="291"/>
      <c r="H6" s="291"/>
      <c r="I6" s="291"/>
      <c r="J6" s="291"/>
      <c r="K6" s="291"/>
      <c r="L6" s="291"/>
      <c r="M6" s="291"/>
      <c r="N6" s="291"/>
      <c r="O6" s="291" t="s">
        <v>411</v>
      </c>
      <c r="P6" s="291"/>
      <c r="Q6" s="291"/>
      <c r="R6" s="291"/>
      <c r="S6" s="291"/>
      <c r="T6" s="291"/>
      <c r="U6" s="291"/>
      <c r="V6" s="291"/>
      <c r="W6" s="291"/>
      <c r="X6" s="291" t="s">
        <v>411</v>
      </c>
      <c r="Y6" s="291"/>
      <c r="Z6" s="63"/>
    </row>
    <row r="7" spans="1:26" s="309" customFormat="1">
      <c r="A7" s="321" t="s">
        <v>896</v>
      </c>
      <c r="B7" s="411" t="str">
        <f t="shared" si="1"/>
        <v>P1-Falcon9</v>
      </c>
      <c r="C7" s="321" t="s">
        <v>1545</v>
      </c>
      <c r="D7" s="321" t="s">
        <v>1356</v>
      </c>
      <c r="E7" s="328" t="str">
        <f t="shared" si="2"/>
        <v>Project Manager function in OU</v>
      </c>
      <c r="F7" s="291" t="s">
        <v>411</v>
      </c>
      <c r="G7" s="291"/>
      <c r="H7" s="291" t="s">
        <v>411</v>
      </c>
      <c r="I7" s="291" t="s">
        <v>411</v>
      </c>
      <c r="J7" s="291"/>
      <c r="K7" s="291"/>
      <c r="L7" s="291"/>
      <c r="M7" s="291" t="s">
        <v>411</v>
      </c>
      <c r="N7" s="291"/>
      <c r="O7" s="291" t="s">
        <v>411</v>
      </c>
      <c r="P7" s="291" t="s">
        <v>411</v>
      </c>
      <c r="Q7" s="291"/>
      <c r="R7" s="291"/>
      <c r="S7" s="291"/>
      <c r="T7" s="291"/>
      <c r="U7" s="291"/>
      <c r="V7" s="291" t="s">
        <v>411</v>
      </c>
      <c r="W7" s="291"/>
      <c r="X7" s="291"/>
      <c r="Y7" s="291"/>
      <c r="Z7" s="63"/>
    </row>
    <row r="8" spans="1:26" s="309" customFormat="1">
      <c r="A8" s="321" t="s">
        <v>897</v>
      </c>
      <c r="B8" s="411" t="str">
        <f t="shared" si="1"/>
        <v>P2-Raptor</v>
      </c>
      <c r="C8" s="321" t="s">
        <v>1546</v>
      </c>
      <c r="D8" s="321" t="s">
        <v>910</v>
      </c>
      <c r="E8" s="328" t="str">
        <f t="shared" si="2"/>
        <v>Analyst function in OU</v>
      </c>
      <c r="F8" s="291"/>
      <c r="G8" s="291"/>
      <c r="H8" s="291"/>
      <c r="I8" s="291"/>
      <c r="J8" s="291"/>
      <c r="K8" s="291"/>
      <c r="L8" s="291"/>
      <c r="M8" s="291"/>
      <c r="N8" s="291"/>
      <c r="O8" s="291" t="s">
        <v>411</v>
      </c>
      <c r="P8" s="291"/>
      <c r="Q8" s="291"/>
      <c r="R8" s="291"/>
      <c r="S8" s="291"/>
      <c r="T8" s="291"/>
      <c r="U8" s="291" t="s">
        <v>411</v>
      </c>
      <c r="V8" s="291"/>
      <c r="W8" s="291"/>
      <c r="X8" s="291"/>
      <c r="Y8" s="291"/>
      <c r="Z8" s="63"/>
    </row>
    <row r="9" spans="1:26" s="309" customFormat="1">
      <c r="A9" s="321" t="s">
        <v>897</v>
      </c>
      <c r="B9" s="411" t="str">
        <f t="shared" si="1"/>
        <v>P2-Raptor</v>
      </c>
      <c r="C9" s="321" t="s">
        <v>1547</v>
      </c>
      <c r="D9" s="321" t="s">
        <v>911</v>
      </c>
      <c r="E9" s="328" t="str">
        <f t="shared" si="2"/>
        <v>Designer function in OU</v>
      </c>
      <c r="F9" s="291"/>
      <c r="G9" s="291"/>
      <c r="H9" s="291"/>
      <c r="I9" s="291"/>
      <c r="J9" s="291"/>
      <c r="K9" s="291"/>
      <c r="L9" s="291"/>
      <c r="M9" s="291"/>
      <c r="N9" s="291"/>
      <c r="O9" s="291" t="s">
        <v>411</v>
      </c>
      <c r="P9" s="291"/>
      <c r="Q9" s="291"/>
      <c r="R9" s="291"/>
      <c r="S9" s="291"/>
      <c r="T9" s="291"/>
      <c r="U9" s="291"/>
      <c r="V9" s="291"/>
      <c r="W9" s="291" t="s">
        <v>411</v>
      </c>
      <c r="X9" s="291"/>
      <c r="Y9" s="291"/>
      <c r="Z9" s="63"/>
    </row>
    <row r="10" spans="1:26" s="309" customFormat="1">
      <c r="A10" s="319" t="s">
        <v>897</v>
      </c>
      <c r="B10" s="411" t="str">
        <f t="shared" si="1"/>
        <v>P2-Raptor</v>
      </c>
      <c r="C10" s="321" t="s">
        <v>1548</v>
      </c>
      <c r="D10" s="319" t="s">
        <v>1149</v>
      </c>
      <c r="E10" s="328" t="str">
        <f t="shared" si="2"/>
        <v>Developer function in OU</v>
      </c>
      <c r="F10" s="291"/>
      <c r="G10" s="291"/>
      <c r="H10" s="291"/>
      <c r="I10" s="291"/>
      <c r="J10" s="291"/>
      <c r="K10" s="291"/>
      <c r="L10" s="291"/>
      <c r="M10" s="291"/>
      <c r="N10" s="291"/>
      <c r="O10" s="291" t="s">
        <v>411</v>
      </c>
      <c r="P10" s="291"/>
      <c r="Q10" s="291"/>
      <c r="R10" s="291"/>
      <c r="S10" s="291"/>
      <c r="T10" s="291" t="s">
        <v>411</v>
      </c>
      <c r="U10" s="291"/>
      <c r="V10" s="291"/>
      <c r="W10" s="291" t="s">
        <v>411</v>
      </c>
      <c r="X10" s="291" t="s">
        <v>411</v>
      </c>
      <c r="Y10" s="291"/>
      <c r="Z10" s="63"/>
    </row>
    <row r="11" spans="1:26" s="309" customFormat="1">
      <c r="A11" s="321" t="s">
        <v>897</v>
      </c>
      <c r="B11" s="411" t="str">
        <f t="shared" si="1"/>
        <v>P2-Raptor</v>
      </c>
      <c r="C11" s="321" t="s">
        <v>1549</v>
      </c>
      <c r="D11" s="321" t="s">
        <v>1288</v>
      </c>
      <c r="E11" s="328" t="str">
        <f t="shared" si="2"/>
        <v>Tester function in OU</v>
      </c>
      <c r="F11" s="291"/>
      <c r="G11" s="291"/>
      <c r="H11" s="291"/>
      <c r="I11" s="291"/>
      <c r="J11" s="291"/>
      <c r="K11" s="291"/>
      <c r="L11" s="291"/>
      <c r="M11" s="291"/>
      <c r="N11" s="291"/>
      <c r="O11" s="291" t="s">
        <v>411</v>
      </c>
      <c r="P11" s="291"/>
      <c r="Q11" s="291"/>
      <c r="R11" s="291"/>
      <c r="S11" s="291"/>
      <c r="T11" s="291"/>
      <c r="U11" s="291"/>
      <c r="V11" s="291"/>
      <c r="W11" s="291"/>
      <c r="X11" s="291" t="s">
        <v>411</v>
      </c>
      <c r="Y11" s="291"/>
      <c r="Z11" s="63"/>
    </row>
    <row r="12" spans="1:26" s="309" customFormat="1">
      <c r="A12" s="321" t="s">
        <v>897</v>
      </c>
      <c r="B12" s="411" t="str">
        <f t="shared" si="1"/>
        <v>P2-Raptor</v>
      </c>
      <c r="C12" s="321" t="s">
        <v>1550</v>
      </c>
      <c r="D12" s="321" t="s">
        <v>1356</v>
      </c>
      <c r="E12" s="328" t="str">
        <f t="shared" si="2"/>
        <v>Project Manager function in OU</v>
      </c>
      <c r="F12" s="291" t="s">
        <v>411</v>
      </c>
      <c r="G12" s="291"/>
      <c r="H12" s="291" t="s">
        <v>411</v>
      </c>
      <c r="I12" s="291" t="s">
        <v>411</v>
      </c>
      <c r="J12" s="291"/>
      <c r="K12" s="291"/>
      <c r="L12" s="291"/>
      <c r="M12" s="291" t="s">
        <v>411</v>
      </c>
      <c r="N12" s="291"/>
      <c r="O12" s="291" t="s">
        <v>411</v>
      </c>
      <c r="P12" s="291" t="s">
        <v>411</v>
      </c>
      <c r="Q12" s="291"/>
      <c r="R12" s="291"/>
      <c r="S12" s="291"/>
      <c r="T12" s="291"/>
      <c r="U12" s="291"/>
      <c r="V12" s="291" t="s">
        <v>411</v>
      </c>
      <c r="W12" s="291"/>
      <c r="X12" s="291"/>
      <c r="Y12" s="291"/>
      <c r="Z12" s="63"/>
    </row>
    <row r="13" spans="1:26" s="309" customFormat="1">
      <c r="A13" s="321" t="s">
        <v>898</v>
      </c>
      <c r="B13" s="411" t="str">
        <f t="shared" si="1"/>
        <v>P3-Starship</v>
      </c>
      <c r="C13" s="321" t="s">
        <v>1551</v>
      </c>
      <c r="D13" s="321" t="s">
        <v>910</v>
      </c>
      <c r="E13" s="328" t="str">
        <f t="shared" si="2"/>
        <v>Analyst function in OU</v>
      </c>
      <c r="F13" s="291"/>
      <c r="G13" s="291"/>
      <c r="H13" s="291"/>
      <c r="I13" s="291"/>
      <c r="J13" s="291"/>
      <c r="K13" s="291"/>
      <c r="L13" s="291"/>
      <c r="M13" s="291"/>
      <c r="N13" s="291"/>
      <c r="O13" s="291" t="s">
        <v>411</v>
      </c>
      <c r="P13" s="291"/>
      <c r="Q13" s="291"/>
      <c r="R13" s="291"/>
      <c r="S13" s="291"/>
      <c r="T13" s="291"/>
      <c r="U13" s="291" t="s">
        <v>411</v>
      </c>
      <c r="V13" s="291"/>
      <c r="W13" s="291"/>
      <c r="X13" s="291"/>
      <c r="Y13" s="291"/>
      <c r="Z13" s="63"/>
    </row>
    <row r="14" spans="1:26" s="309" customFormat="1">
      <c r="A14" s="321" t="s">
        <v>898</v>
      </c>
      <c r="B14" s="411" t="str">
        <f t="shared" si="1"/>
        <v>P3-Starship</v>
      </c>
      <c r="C14" s="321" t="s">
        <v>1552</v>
      </c>
      <c r="D14" s="321" t="s">
        <v>911</v>
      </c>
      <c r="E14" s="328" t="str">
        <f t="shared" si="2"/>
        <v>Designer function in OU</v>
      </c>
      <c r="F14" s="291"/>
      <c r="G14" s="291"/>
      <c r="H14" s="291"/>
      <c r="I14" s="291"/>
      <c r="J14" s="291"/>
      <c r="K14" s="291"/>
      <c r="L14" s="291"/>
      <c r="M14" s="291"/>
      <c r="N14" s="291"/>
      <c r="O14" s="291" t="s">
        <v>411</v>
      </c>
      <c r="P14" s="291"/>
      <c r="Q14" s="291"/>
      <c r="R14" s="291"/>
      <c r="S14" s="291"/>
      <c r="T14" s="291"/>
      <c r="U14" s="291"/>
      <c r="V14" s="291"/>
      <c r="W14" s="291" t="s">
        <v>411</v>
      </c>
      <c r="X14" s="291"/>
      <c r="Y14" s="291"/>
      <c r="Z14" s="63"/>
    </row>
    <row r="15" spans="1:26" s="309" customFormat="1">
      <c r="A15" s="321" t="s">
        <v>898</v>
      </c>
      <c r="B15" s="411" t="str">
        <f t="shared" si="1"/>
        <v>P3-Starship</v>
      </c>
      <c r="C15" s="321" t="s">
        <v>1553</v>
      </c>
      <c r="D15" s="321" t="s">
        <v>1149</v>
      </c>
      <c r="E15" s="328" t="str">
        <f t="shared" si="2"/>
        <v>Developer function in OU</v>
      </c>
      <c r="F15" s="291"/>
      <c r="G15" s="291"/>
      <c r="H15" s="291"/>
      <c r="I15" s="291"/>
      <c r="J15" s="291"/>
      <c r="K15" s="291"/>
      <c r="L15" s="291"/>
      <c r="M15" s="291"/>
      <c r="N15" s="291"/>
      <c r="O15" s="291" t="s">
        <v>411</v>
      </c>
      <c r="P15" s="291"/>
      <c r="Q15" s="291"/>
      <c r="R15" s="291"/>
      <c r="S15" s="291"/>
      <c r="T15" s="291" t="s">
        <v>411</v>
      </c>
      <c r="U15" s="291"/>
      <c r="V15" s="291"/>
      <c r="W15" s="291" t="s">
        <v>411</v>
      </c>
      <c r="X15" s="291" t="s">
        <v>411</v>
      </c>
      <c r="Y15" s="291"/>
      <c r="Z15" s="63"/>
    </row>
    <row r="16" spans="1:26" s="309" customFormat="1">
      <c r="A16" s="321" t="s">
        <v>898</v>
      </c>
      <c r="B16" s="411" t="str">
        <f t="shared" si="1"/>
        <v>P3-Starship</v>
      </c>
      <c r="C16" s="321" t="s">
        <v>1554</v>
      </c>
      <c r="D16" s="321" t="s">
        <v>1288</v>
      </c>
      <c r="E16" s="328" t="str">
        <f t="shared" si="2"/>
        <v>Tester function in OU</v>
      </c>
      <c r="F16" s="291"/>
      <c r="G16" s="291"/>
      <c r="H16" s="291"/>
      <c r="I16" s="291"/>
      <c r="J16" s="291"/>
      <c r="K16" s="291"/>
      <c r="L16" s="291"/>
      <c r="M16" s="291"/>
      <c r="N16" s="291"/>
      <c r="O16" s="291" t="s">
        <v>411</v>
      </c>
      <c r="P16" s="291"/>
      <c r="Q16" s="291"/>
      <c r="R16" s="291"/>
      <c r="S16" s="291"/>
      <c r="T16" s="291"/>
      <c r="U16" s="291"/>
      <c r="V16" s="291"/>
      <c r="W16" s="291"/>
      <c r="X16" s="291" t="s">
        <v>411</v>
      </c>
      <c r="Y16" s="291"/>
      <c r="Z16" s="63"/>
    </row>
    <row r="17" spans="1:26" s="309" customFormat="1">
      <c r="A17" s="321" t="s">
        <v>898</v>
      </c>
      <c r="B17" s="411" t="str">
        <f t="shared" si="1"/>
        <v>P3-Starship</v>
      </c>
      <c r="C17" s="321" t="s">
        <v>1555</v>
      </c>
      <c r="D17" s="321" t="s">
        <v>1356</v>
      </c>
      <c r="E17" s="328" t="str">
        <f t="shared" si="2"/>
        <v>Project Manager function in OU</v>
      </c>
      <c r="F17" s="291" t="s">
        <v>411</v>
      </c>
      <c r="G17" s="291"/>
      <c r="H17" s="291" t="s">
        <v>411</v>
      </c>
      <c r="I17" s="291" t="s">
        <v>411</v>
      </c>
      <c r="J17" s="291"/>
      <c r="K17" s="291"/>
      <c r="L17" s="291"/>
      <c r="M17" s="291" t="s">
        <v>411</v>
      </c>
      <c r="N17" s="291"/>
      <c r="O17" s="291" t="s">
        <v>411</v>
      </c>
      <c r="P17" s="291" t="s">
        <v>411</v>
      </c>
      <c r="Q17" s="291"/>
      <c r="R17" s="291"/>
      <c r="S17" s="291"/>
      <c r="T17" s="291"/>
      <c r="U17" s="291"/>
      <c r="V17" s="291" t="s">
        <v>411</v>
      </c>
      <c r="W17" s="291"/>
      <c r="X17" s="291"/>
      <c r="Y17" s="291"/>
      <c r="Z17" s="63"/>
    </row>
    <row r="18" spans="1:26" s="309" customFormat="1">
      <c r="A18" s="319" t="s">
        <v>1346</v>
      </c>
      <c r="B18" s="411" t="str">
        <f t="shared" si="1"/>
        <v>P4-SupperHeavy</v>
      </c>
      <c r="C18" s="321" t="s">
        <v>1556</v>
      </c>
      <c r="D18" s="319" t="s">
        <v>910</v>
      </c>
      <c r="E18" s="328" t="str">
        <f t="shared" si="2"/>
        <v>Analyst function in OU</v>
      </c>
      <c r="F18" s="291"/>
      <c r="G18" s="291"/>
      <c r="H18" s="291"/>
      <c r="I18" s="291"/>
      <c r="J18" s="291"/>
      <c r="K18" s="291"/>
      <c r="L18" s="291"/>
      <c r="M18" s="291"/>
      <c r="N18" s="291"/>
      <c r="O18" s="291" t="s">
        <v>411</v>
      </c>
      <c r="P18" s="291"/>
      <c r="Q18" s="291"/>
      <c r="R18" s="291"/>
      <c r="S18" s="291"/>
      <c r="T18" s="291"/>
      <c r="U18" s="291" t="s">
        <v>411</v>
      </c>
      <c r="V18" s="291"/>
      <c r="W18" s="291"/>
      <c r="X18" s="291"/>
      <c r="Y18" s="291"/>
      <c r="Z18" s="63"/>
    </row>
    <row r="19" spans="1:26" s="309" customFormat="1">
      <c r="A19" s="319" t="s">
        <v>1346</v>
      </c>
      <c r="B19" s="411" t="str">
        <f t="shared" si="1"/>
        <v>P4-SupperHeavy</v>
      </c>
      <c r="C19" s="321" t="s">
        <v>1557</v>
      </c>
      <c r="D19" s="319" t="s">
        <v>911</v>
      </c>
      <c r="E19" s="328" t="str">
        <f t="shared" si="2"/>
        <v>Designer function in OU</v>
      </c>
      <c r="F19" s="291"/>
      <c r="G19" s="291"/>
      <c r="H19" s="291"/>
      <c r="I19" s="291"/>
      <c r="J19" s="291"/>
      <c r="K19" s="291"/>
      <c r="L19" s="291"/>
      <c r="M19" s="291"/>
      <c r="N19" s="291"/>
      <c r="O19" s="291" t="s">
        <v>411</v>
      </c>
      <c r="P19" s="291"/>
      <c r="Q19" s="291"/>
      <c r="R19" s="291"/>
      <c r="S19" s="291"/>
      <c r="T19" s="291"/>
      <c r="U19" s="291"/>
      <c r="V19" s="291"/>
      <c r="W19" s="291" t="s">
        <v>411</v>
      </c>
      <c r="X19" s="291"/>
      <c r="Y19" s="291"/>
      <c r="Z19" s="63"/>
    </row>
    <row r="20" spans="1:26" s="309" customFormat="1">
      <c r="A20" s="319" t="s">
        <v>1346</v>
      </c>
      <c r="B20" s="411" t="str">
        <f t="shared" si="1"/>
        <v>P4-SupperHeavy</v>
      </c>
      <c r="C20" s="321" t="s">
        <v>1558</v>
      </c>
      <c r="D20" s="319" t="s">
        <v>1149</v>
      </c>
      <c r="E20" s="328" t="str">
        <f t="shared" si="2"/>
        <v>Developer function in OU</v>
      </c>
      <c r="F20" s="291"/>
      <c r="G20" s="291"/>
      <c r="H20" s="291"/>
      <c r="I20" s="291"/>
      <c r="J20" s="291"/>
      <c r="K20" s="291"/>
      <c r="L20" s="291"/>
      <c r="M20" s="291"/>
      <c r="N20" s="291"/>
      <c r="O20" s="291" t="s">
        <v>411</v>
      </c>
      <c r="P20" s="291"/>
      <c r="Q20" s="291"/>
      <c r="R20" s="291"/>
      <c r="S20" s="291"/>
      <c r="T20" s="291" t="s">
        <v>411</v>
      </c>
      <c r="U20" s="291"/>
      <c r="V20" s="291"/>
      <c r="W20" s="291" t="s">
        <v>411</v>
      </c>
      <c r="X20" s="291" t="s">
        <v>411</v>
      </c>
      <c r="Y20" s="291"/>
      <c r="Z20" s="63"/>
    </row>
    <row r="21" spans="1:26" s="309" customFormat="1">
      <c r="A21" s="319" t="s">
        <v>1346</v>
      </c>
      <c r="B21" s="411" t="str">
        <f t="shared" si="1"/>
        <v>P4-SupperHeavy</v>
      </c>
      <c r="C21" s="321" t="s">
        <v>1559</v>
      </c>
      <c r="D21" s="319" t="s">
        <v>1288</v>
      </c>
      <c r="E21" s="328" t="str">
        <f t="shared" si="2"/>
        <v>Tester function in OU</v>
      </c>
      <c r="F21" s="291"/>
      <c r="G21" s="291"/>
      <c r="H21" s="291"/>
      <c r="I21" s="291"/>
      <c r="J21" s="291"/>
      <c r="K21" s="291"/>
      <c r="L21" s="291"/>
      <c r="M21" s="291"/>
      <c r="N21" s="291"/>
      <c r="O21" s="291" t="s">
        <v>411</v>
      </c>
      <c r="P21" s="291"/>
      <c r="Q21" s="291"/>
      <c r="R21" s="291"/>
      <c r="S21" s="291"/>
      <c r="T21" s="291"/>
      <c r="U21" s="291"/>
      <c r="V21" s="291"/>
      <c r="W21" s="291"/>
      <c r="X21" s="291" t="s">
        <v>411</v>
      </c>
      <c r="Y21" s="291"/>
      <c r="Z21" s="63"/>
    </row>
    <row r="22" spans="1:26" s="309" customFormat="1">
      <c r="A22" s="321" t="s">
        <v>1346</v>
      </c>
      <c r="B22" s="411" t="str">
        <f t="shared" si="1"/>
        <v>P4-SupperHeavy</v>
      </c>
      <c r="C22" s="321" t="s">
        <v>1560</v>
      </c>
      <c r="D22" s="321" t="s">
        <v>1356</v>
      </c>
      <c r="E22" s="328" t="str">
        <f t="shared" si="2"/>
        <v>Project Manager function in OU</v>
      </c>
      <c r="F22" s="291" t="s">
        <v>411</v>
      </c>
      <c r="G22" s="291"/>
      <c r="H22" s="291" t="s">
        <v>411</v>
      </c>
      <c r="I22" s="291" t="s">
        <v>411</v>
      </c>
      <c r="J22" s="291"/>
      <c r="K22" s="291"/>
      <c r="L22" s="291"/>
      <c r="M22" s="291" t="s">
        <v>411</v>
      </c>
      <c r="N22" s="291"/>
      <c r="O22" s="291" t="s">
        <v>411</v>
      </c>
      <c r="P22" s="291" t="s">
        <v>411</v>
      </c>
      <c r="Q22" s="291"/>
      <c r="R22" s="291"/>
      <c r="S22" s="291"/>
      <c r="T22" s="291"/>
      <c r="U22" s="291"/>
      <c r="V22" s="291" t="s">
        <v>411</v>
      </c>
      <c r="W22" s="291"/>
      <c r="X22" s="291"/>
      <c r="Y22" s="291"/>
      <c r="Z22" s="63"/>
    </row>
    <row r="23" spans="1:26" s="309" customFormat="1">
      <c r="A23" s="321" t="s">
        <v>901</v>
      </c>
      <c r="B23" s="411" t="str">
        <f t="shared" si="1"/>
        <v>S1-CM</v>
      </c>
      <c r="C23" s="321" t="s">
        <v>1561</v>
      </c>
      <c r="D23" s="321" t="s">
        <v>1355</v>
      </c>
      <c r="E23" s="328" t="str">
        <f t="shared" si="2"/>
        <v>Configuration Manager function in OU</v>
      </c>
      <c r="F23" s="291"/>
      <c r="G23" s="291" t="s">
        <v>411</v>
      </c>
      <c r="H23" s="291"/>
      <c r="I23" s="291"/>
      <c r="J23" s="291"/>
      <c r="K23" s="291"/>
      <c r="L23" s="291"/>
      <c r="M23" s="291"/>
      <c r="N23" s="291"/>
      <c r="O23" s="291"/>
      <c r="P23" s="291"/>
      <c r="Q23" s="291"/>
      <c r="R23" s="291"/>
      <c r="S23" s="291"/>
      <c r="T23" s="291"/>
      <c r="U23" s="291"/>
      <c r="V23" s="291"/>
      <c r="W23" s="291"/>
      <c r="X23" s="291"/>
      <c r="Y23" s="291"/>
      <c r="Z23" s="63"/>
    </row>
    <row r="24" spans="1:26" s="309" customFormat="1">
      <c r="A24" s="321" t="s">
        <v>902</v>
      </c>
      <c r="B24" s="411" t="str">
        <f t="shared" si="1"/>
        <v>S2-EPG-MA</v>
      </c>
      <c r="C24" s="321" t="s">
        <v>1562</v>
      </c>
      <c r="D24" s="319" t="s">
        <v>1357</v>
      </c>
      <c r="E24" s="328" t="str">
        <f t="shared" si="2"/>
        <v>Process manager function in OU</v>
      </c>
      <c r="F24" s="61"/>
      <c r="G24" s="61"/>
      <c r="H24" s="61" t="s">
        <v>411</v>
      </c>
      <c r="I24" s="61"/>
      <c r="J24" s="61"/>
      <c r="K24" s="61"/>
      <c r="L24" s="61"/>
      <c r="M24" s="61"/>
      <c r="N24" s="61"/>
      <c r="O24" s="61"/>
      <c r="P24" s="61"/>
      <c r="Q24" s="61" t="s">
        <v>411</v>
      </c>
      <c r="R24" s="61" t="s">
        <v>411</v>
      </c>
      <c r="S24" s="61"/>
      <c r="T24" s="61"/>
      <c r="U24" s="61"/>
      <c r="V24" s="61"/>
      <c r="W24" s="61"/>
      <c r="X24" s="61"/>
      <c r="Y24" s="61"/>
      <c r="Z24" s="63"/>
    </row>
    <row r="25" spans="1:26" s="319" customFormat="1">
      <c r="A25" s="321" t="s">
        <v>902</v>
      </c>
      <c r="B25" s="411" t="str">
        <f t="shared" ref="B25" si="3">VLOOKUP(A25,tbl_projectNames,2,FALSE)</f>
        <v>S2-EPG-MA</v>
      </c>
      <c r="C25" s="321" t="s">
        <v>1657</v>
      </c>
      <c r="D25" s="319" t="s">
        <v>1656</v>
      </c>
      <c r="E25" s="328" t="str">
        <f t="shared" ref="E25" si="4">_xlfn.CONCAT(D25," function in OU")</f>
        <v>Measurements manager function in OU</v>
      </c>
      <c r="F25" s="61" t="s">
        <v>411</v>
      </c>
      <c r="G25" s="61"/>
      <c r="H25" s="61" t="s">
        <v>411</v>
      </c>
      <c r="I25" s="61"/>
      <c r="J25" s="61"/>
      <c r="K25" s="61"/>
      <c r="L25" s="61" t="s">
        <v>411</v>
      </c>
      <c r="M25" s="61"/>
      <c r="N25" s="61"/>
      <c r="O25" s="61"/>
      <c r="P25" s="61"/>
      <c r="Q25" s="61"/>
      <c r="R25" s="61"/>
      <c r="S25" s="61"/>
      <c r="T25" s="61"/>
      <c r="U25" s="61"/>
      <c r="V25" s="61"/>
      <c r="W25" s="61"/>
      <c r="X25" s="61"/>
      <c r="Y25" s="61"/>
      <c r="Z25" s="63"/>
    </row>
    <row r="26" spans="1:26" s="309" customFormat="1">
      <c r="A26" s="321" t="s">
        <v>903</v>
      </c>
      <c r="B26" s="411" t="str">
        <f t="shared" si="1"/>
        <v>S3-HR</v>
      </c>
      <c r="C26" s="321" t="s">
        <v>1563</v>
      </c>
      <c r="D26" s="321" t="s">
        <v>1354</v>
      </c>
      <c r="E26" s="328" t="str">
        <f t="shared" si="2"/>
        <v>Training Manager function in OU</v>
      </c>
      <c r="F26" s="291"/>
      <c r="G26" s="291"/>
      <c r="H26" s="291"/>
      <c r="I26" s="291"/>
      <c r="J26" s="291"/>
      <c r="K26" s="291"/>
      <c r="L26" s="291"/>
      <c r="M26" s="291"/>
      <c r="N26" s="291" t="s">
        <v>411</v>
      </c>
      <c r="O26" s="291"/>
      <c r="P26" s="291"/>
      <c r="Q26" s="291"/>
      <c r="R26" s="291"/>
      <c r="S26" s="291"/>
      <c r="T26" s="291"/>
      <c r="U26" s="291"/>
      <c r="V26" s="291"/>
      <c r="W26" s="291"/>
      <c r="X26" s="291"/>
      <c r="Y26" s="291"/>
      <c r="Z26" s="63"/>
    </row>
    <row r="27" spans="1:26" s="309" customFormat="1" ht="31.2">
      <c r="A27" s="321" t="s">
        <v>904</v>
      </c>
      <c r="B27" s="411" t="str">
        <f t="shared" si="1"/>
        <v>S4-PPQA</v>
      </c>
      <c r="C27" s="321" t="s">
        <v>1564</v>
      </c>
      <c r="D27" s="321" t="s">
        <v>1238</v>
      </c>
      <c r="E27" s="328" t="str">
        <f t="shared" si="2"/>
        <v>Process Assurance Manager function in OU</v>
      </c>
      <c r="F27" s="291"/>
      <c r="G27" s="291"/>
      <c r="H27" s="291"/>
      <c r="I27" s="291"/>
      <c r="J27" s="291"/>
      <c r="K27" s="291"/>
      <c r="L27" s="291"/>
      <c r="M27" s="291"/>
      <c r="N27" s="291"/>
      <c r="O27" s="291"/>
      <c r="P27" s="291"/>
      <c r="Q27" s="291"/>
      <c r="R27" s="291"/>
      <c r="S27" s="291" t="s">
        <v>411</v>
      </c>
      <c r="T27" s="291"/>
      <c r="U27" s="291"/>
      <c r="V27" s="291"/>
      <c r="W27" s="291"/>
      <c r="X27" s="291"/>
      <c r="Y27" s="291"/>
      <c r="Z27" s="63"/>
    </row>
    <row r="28" spans="1:26" s="309" customFormat="1">
      <c r="A28" s="321"/>
      <c r="B28" s="321"/>
      <c r="C28" s="321"/>
      <c r="D28" s="321"/>
      <c r="E28" s="320"/>
      <c r="F28" s="291"/>
      <c r="G28" s="291"/>
      <c r="H28" s="291"/>
      <c r="I28" s="291"/>
      <c r="J28" s="291"/>
      <c r="K28" s="291"/>
      <c r="L28" s="291"/>
      <c r="M28" s="291"/>
      <c r="N28" s="291"/>
      <c r="O28" s="291"/>
      <c r="P28" s="291"/>
      <c r="Q28" s="291"/>
      <c r="R28" s="291"/>
      <c r="S28" s="291"/>
      <c r="T28" s="291"/>
      <c r="U28" s="291"/>
      <c r="V28" s="291"/>
      <c r="W28" s="291"/>
      <c r="X28" s="291"/>
      <c r="Y28" s="291"/>
      <c r="Z28" s="63"/>
    </row>
    <row r="29" spans="1:26">
      <c r="E29" s="306"/>
      <c r="Z29" s="309"/>
    </row>
    <row r="30" spans="1:26">
      <c r="A30" s="309"/>
      <c r="B30" s="309"/>
      <c r="C30" s="309"/>
      <c r="D30" s="309"/>
      <c r="E30" s="306"/>
      <c r="Z30" s="309"/>
    </row>
    <row r="31" spans="1:26">
      <c r="E31" s="62" t="s">
        <v>1348</v>
      </c>
    </row>
    <row r="32" spans="1:26">
      <c r="E32" s="62" t="str">
        <f>VLOOKUP(E31,B3:D27,2,FALSE)</f>
        <v>Surname, Process manager2</v>
      </c>
    </row>
  </sheetData>
  <phoneticPr fontId="49" type="noConversion"/>
  <conditionalFormatting sqref="F3:Y23 F26:Y28">
    <cfRule type="cellIs" dxfId="128" priority="4" operator="equal">
      <formula>"x"</formula>
    </cfRule>
  </conditionalFormatting>
  <conditionalFormatting sqref="F24:Y24">
    <cfRule type="cellIs" dxfId="127" priority="1" operator="equal">
      <formula>"x"</formula>
    </cfRule>
  </conditionalFormatting>
  <conditionalFormatting sqref="F25:Y25">
    <cfRule type="cellIs" dxfId="126" priority="2" operator="equal">
      <formula>"x"</formula>
    </cfRule>
  </conditionalFormatting>
  <pageMargins left="0.70866141732283472" right="0.70866141732283472" top="0.74803149606299213" bottom="0.74803149606299213" header="0.31496062992125984" footer="0.31496062992125984"/>
  <pageSetup paperSize="9" scale="47" fitToHeight="0" orientation="landscape"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6B1BA98-90F9-40E2-B130-13C86CBD863E}">
  <sheetPr codeName="Sheet142">
    <pageSetUpPr fitToPage="1"/>
  </sheetPr>
  <dimension ref="A1:W15"/>
  <sheetViews>
    <sheetView workbookViewId="0">
      <selection activeCell="W3" sqref="W3:W13"/>
    </sheetView>
  </sheetViews>
  <sheetFormatPr defaultColWidth="10.6640625" defaultRowHeight="15.6"/>
  <cols>
    <col min="1" max="1" width="32.44140625" style="62" customWidth="1"/>
    <col min="2" max="2" width="29.6640625" style="62" customWidth="1"/>
    <col min="3" max="22" width="6.44140625" style="63" customWidth="1"/>
    <col min="23" max="23" width="31" style="62" customWidth="1"/>
    <col min="24" max="16384" width="10.6640625" style="62"/>
  </cols>
  <sheetData>
    <row r="1" spans="1:23" s="50" customFormat="1" ht="18">
      <c r="A1" s="112" t="s">
        <v>1182</v>
      </c>
      <c r="B1" s="114"/>
      <c r="C1" s="114"/>
      <c r="D1" s="114"/>
      <c r="E1" s="114"/>
      <c r="F1" s="114"/>
      <c r="G1" s="114"/>
      <c r="H1" s="114"/>
      <c r="I1" s="114"/>
      <c r="J1" s="114"/>
      <c r="K1" s="114"/>
      <c r="L1" s="114"/>
      <c r="M1" s="114"/>
      <c r="N1" s="114"/>
      <c r="O1" s="114"/>
      <c r="P1" s="114"/>
      <c r="Q1" s="114"/>
      <c r="R1" s="114"/>
      <c r="S1" s="114"/>
      <c r="T1" s="114"/>
      <c r="U1" s="114"/>
      <c r="V1" s="114"/>
    </row>
    <row r="2" spans="1:23" s="60" customFormat="1">
      <c r="A2" s="58" t="s">
        <v>906</v>
      </c>
      <c r="B2" s="58" t="s">
        <v>1301</v>
      </c>
      <c r="C2" s="59" t="s">
        <v>893</v>
      </c>
      <c r="D2" s="59" t="s">
        <v>751</v>
      </c>
      <c r="E2" s="59" t="s">
        <v>894</v>
      </c>
      <c r="F2" s="59" t="s">
        <v>890</v>
      </c>
      <c r="G2" s="59" t="s">
        <v>908</v>
      </c>
      <c r="H2" s="59" t="s">
        <v>909</v>
      </c>
      <c r="I2" s="59" t="s">
        <v>886</v>
      </c>
      <c r="J2" s="59" t="s">
        <v>891</v>
      </c>
      <c r="K2" s="59" t="s">
        <v>753</v>
      </c>
      <c r="L2" s="59" t="s">
        <v>883</v>
      </c>
      <c r="M2" s="59" t="s">
        <v>892</v>
      </c>
      <c r="N2" s="59" t="s">
        <v>887</v>
      </c>
      <c r="O2" s="59" t="s">
        <v>888</v>
      </c>
      <c r="P2" s="59" t="s">
        <v>835</v>
      </c>
      <c r="Q2" s="59" t="s">
        <v>881</v>
      </c>
      <c r="R2" s="59" t="s">
        <v>884</v>
      </c>
      <c r="S2" s="59" t="s">
        <v>889</v>
      </c>
      <c r="T2" s="59" t="s">
        <v>882</v>
      </c>
      <c r="U2" s="59" t="s">
        <v>885</v>
      </c>
      <c r="V2" s="59" t="s">
        <v>895</v>
      </c>
    </row>
    <row r="3" spans="1:23">
      <c r="A3" s="62" t="s">
        <v>910</v>
      </c>
      <c r="B3" s="111" t="s">
        <v>987</v>
      </c>
      <c r="C3" s="61"/>
      <c r="D3" s="61"/>
      <c r="E3" s="61"/>
      <c r="F3" s="61"/>
      <c r="G3" s="61"/>
      <c r="H3" s="61"/>
      <c r="I3" s="61"/>
      <c r="J3" s="61"/>
      <c r="K3" s="61"/>
      <c r="L3" s="61" t="s">
        <v>411</v>
      </c>
      <c r="M3" s="61"/>
      <c r="N3" s="61"/>
      <c r="O3" s="61"/>
      <c r="P3" s="61"/>
      <c r="Q3" s="61"/>
      <c r="R3" s="61" t="s">
        <v>411</v>
      </c>
      <c r="S3" s="61"/>
      <c r="T3" s="61"/>
      <c r="U3" s="61"/>
      <c r="V3" s="61"/>
      <c r="W3" s="62" t="s">
        <v>910</v>
      </c>
    </row>
    <row r="4" spans="1:23">
      <c r="A4" s="62" t="s">
        <v>1147</v>
      </c>
      <c r="B4" s="111" t="s">
        <v>988</v>
      </c>
      <c r="C4" s="61"/>
      <c r="D4" s="61" t="s">
        <v>411</v>
      </c>
      <c r="E4" s="61"/>
      <c r="F4" s="61"/>
      <c r="G4" s="61"/>
      <c r="H4" s="61"/>
      <c r="I4" s="61"/>
      <c r="J4" s="61"/>
      <c r="K4" s="61"/>
      <c r="L4" s="61"/>
      <c r="M4" s="61"/>
      <c r="N4" s="61"/>
      <c r="O4" s="61"/>
      <c r="P4" s="61"/>
      <c r="Q4" s="61"/>
      <c r="R4" s="61"/>
      <c r="S4" s="61"/>
      <c r="T4" s="61"/>
      <c r="U4" s="61"/>
      <c r="V4" s="61"/>
      <c r="W4" s="319" t="s">
        <v>1147</v>
      </c>
    </row>
    <row r="5" spans="1:23">
      <c r="A5" s="62" t="s">
        <v>911</v>
      </c>
      <c r="B5" s="111" t="s">
        <v>987</v>
      </c>
      <c r="C5" s="61"/>
      <c r="D5" s="61"/>
      <c r="E5" s="61"/>
      <c r="F5" s="61"/>
      <c r="G5" s="61"/>
      <c r="H5" s="61"/>
      <c r="I5" s="61"/>
      <c r="J5" s="61"/>
      <c r="K5" s="61"/>
      <c r="L5" s="61" t="s">
        <v>411</v>
      </c>
      <c r="M5" s="61"/>
      <c r="N5" s="61"/>
      <c r="O5" s="61"/>
      <c r="P5" s="61"/>
      <c r="Q5" s="61"/>
      <c r="R5" s="61"/>
      <c r="S5" s="61"/>
      <c r="T5" s="61" t="s">
        <v>411</v>
      </c>
      <c r="U5" s="61"/>
      <c r="V5" s="61"/>
      <c r="W5" s="319" t="s">
        <v>911</v>
      </c>
    </row>
    <row r="6" spans="1:23">
      <c r="A6" s="62" t="s">
        <v>1149</v>
      </c>
      <c r="B6" s="111" t="s">
        <v>987</v>
      </c>
      <c r="C6" s="61"/>
      <c r="D6" s="61"/>
      <c r="E6" s="61"/>
      <c r="F6" s="61"/>
      <c r="G6" s="61"/>
      <c r="H6" s="61"/>
      <c r="I6" s="61"/>
      <c r="J6" s="61"/>
      <c r="K6" s="61"/>
      <c r="L6" s="61" t="s">
        <v>411</v>
      </c>
      <c r="M6" s="61"/>
      <c r="N6" s="61"/>
      <c r="O6" s="61"/>
      <c r="P6" s="61"/>
      <c r="Q6" s="61" t="s">
        <v>411</v>
      </c>
      <c r="R6" s="61"/>
      <c r="S6" s="61"/>
      <c r="T6" s="61"/>
      <c r="U6" s="61"/>
      <c r="V6" s="61"/>
      <c r="W6" s="319" t="s">
        <v>1149</v>
      </c>
    </row>
    <row r="7" spans="1:23">
      <c r="A7" s="62" t="s">
        <v>1146</v>
      </c>
      <c r="B7" s="62" t="s">
        <v>992</v>
      </c>
      <c r="C7" s="61"/>
      <c r="D7" s="61"/>
      <c r="E7" s="61"/>
      <c r="F7" s="61"/>
      <c r="G7" s="61" t="s">
        <v>411</v>
      </c>
      <c r="H7" s="61" t="s">
        <v>411</v>
      </c>
      <c r="I7" s="61"/>
      <c r="J7" s="61"/>
      <c r="K7" s="61"/>
      <c r="L7" s="61"/>
      <c r="M7" s="61"/>
      <c r="N7" s="61"/>
      <c r="O7" s="61"/>
      <c r="P7" s="61"/>
      <c r="Q7" s="61"/>
      <c r="R7" s="61"/>
      <c r="S7" s="61"/>
      <c r="T7" s="61"/>
      <c r="U7" s="61"/>
      <c r="V7" s="61"/>
      <c r="W7" s="319" t="s">
        <v>1146</v>
      </c>
    </row>
    <row r="8" spans="1:23">
      <c r="A8" s="62" t="s">
        <v>1656</v>
      </c>
      <c r="B8" s="111" t="s">
        <v>989</v>
      </c>
      <c r="C8" s="61" t="s">
        <v>411</v>
      </c>
      <c r="D8" s="61"/>
      <c r="E8" s="61" t="s">
        <v>411</v>
      </c>
      <c r="F8" s="61"/>
      <c r="G8" s="61"/>
      <c r="H8" s="61"/>
      <c r="I8" s="61" t="s">
        <v>411</v>
      </c>
      <c r="J8" s="61"/>
      <c r="K8" s="61"/>
      <c r="L8" s="61"/>
      <c r="M8" s="61"/>
      <c r="N8" s="61"/>
      <c r="O8" s="61"/>
      <c r="P8" s="61"/>
      <c r="Q8" s="61"/>
      <c r="R8" s="61"/>
      <c r="S8" s="61"/>
      <c r="T8" s="61"/>
      <c r="U8" s="61"/>
      <c r="V8" s="61"/>
      <c r="W8" s="319" t="s">
        <v>1656</v>
      </c>
    </row>
    <row r="9" spans="1:23" s="319" customFormat="1">
      <c r="A9" s="319" t="s">
        <v>1238</v>
      </c>
      <c r="B9" s="111" t="s">
        <v>995</v>
      </c>
      <c r="C9" s="61"/>
      <c r="D9" s="61"/>
      <c r="E9" s="61"/>
      <c r="F9" s="61"/>
      <c r="G9" s="61"/>
      <c r="H9" s="61"/>
      <c r="I9" s="61"/>
      <c r="J9" s="61"/>
      <c r="K9" s="61"/>
      <c r="L9" s="61"/>
      <c r="M9" s="61"/>
      <c r="N9" s="61"/>
      <c r="O9" s="61"/>
      <c r="P9" s="61" t="s">
        <v>411</v>
      </c>
      <c r="Q9" s="61"/>
      <c r="R9" s="61"/>
      <c r="S9" s="61"/>
      <c r="T9" s="61"/>
      <c r="U9" s="61"/>
      <c r="V9" s="61"/>
      <c r="W9" s="319" t="s">
        <v>1238</v>
      </c>
    </row>
    <row r="10" spans="1:23">
      <c r="A10" s="62" t="s">
        <v>1357</v>
      </c>
      <c r="B10" s="111" t="s">
        <v>989</v>
      </c>
      <c r="C10" s="61"/>
      <c r="D10" s="61"/>
      <c r="E10" s="61" t="s">
        <v>411</v>
      </c>
      <c r="F10" s="61"/>
      <c r="G10" s="61"/>
      <c r="H10" s="61"/>
      <c r="I10" s="61"/>
      <c r="J10" s="61"/>
      <c r="K10" s="61"/>
      <c r="L10" s="61"/>
      <c r="M10" s="61"/>
      <c r="N10" s="61" t="s">
        <v>411</v>
      </c>
      <c r="O10" s="61" t="s">
        <v>411</v>
      </c>
      <c r="P10" s="61"/>
      <c r="Q10" s="61"/>
      <c r="R10" s="61"/>
      <c r="S10" s="61"/>
      <c r="T10" s="61"/>
      <c r="U10" s="61"/>
      <c r="V10" s="61"/>
      <c r="W10" s="319" t="s">
        <v>1357</v>
      </c>
    </row>
    <row r="11" spans="1:23">
      <c r="A11" s="62" t="s">
        <v>1148</v>
      </c>
      <c r="B11" s="111" t="s">
        <v>986</v>
      </c>
      <c r="C11" s="61" t="s">
        <v>411</v>
      </c>
      <c r="D11" s="61"/>
      <c r="E11" s="61" t="s">
        <v>411</v>
      </c>
      <c r="F11" s="61" t="s">
        <v>411</v>
      </c>
      <c r="G11" s="61"/>
      <c r="H11" s="61"/>
      <c r="I11" s="61"/>
      <c r="J11" s="61" t="s">
        <v>411</v>
      </c>
      <c r="K11" s="61"/>
      <c r="L11" s="61" t="s">
        <v>411</v>
      </c>
      <c r="M11" s="61" t="s">
        <v>411</v>
      </c>
      <c r="N11" s="61"/>
      <c r="O11" s="61"/>
      <c r="P11" s="61"/>
      <c r="Q11" s="61"/>
      <c r="R11" s="61"/>
      <c r="S11" s="61" t="s">
        <v>411</v>
      </c>
      <c r="T11" s="61"/>
      <c r="U11" s="61"/>
      <c r="V11" s="61"/>
      <c r="W11" s="319" t="s">
        <v>1148</v>
      </c>
    </row>
    <row r="12" spans="1:23">
      <c r="A12" s="62" t="s">
        <v>1288</v>
      </c>
      <c r="B12" s="111" t="s">
        <v>987</v>
      </c>
      <c r="C12" s="61"/>
      <c r="D12" s="61"/>
      <c r="E12" s="61"/>
      <c r="F12" s="61"/>
      <c r="G12" s="61"/>
      <c r="H12" s="61"/>
      <c r="I12" s="61"/>
      <c r="J12" s="61"/>
      <c r="K12" s="61"/>
      <c r="L12" s="61" t="s">
        <v>411</v>
      </c>
      <c r="M12" s="61"/>
      <c r="N12" s="61"/>
      <c r="O12" s="61"/>
      <c r="P12" s="61"/>
      <c r="Q12" s="61"/>
      <c r="R12" s="61"/>
      <c r="S12" s="61"/>
      <c r="T12" s="61"/>
      <c r="U12" s="61" t="s">
        <v>411</v>
      </c>
      <c r="V12" s="61"/>
      <c r="W12" s="319" t="s">
        <v>1288</v>
      </c>
    </row>
    <row r="13" spans="1:23">
      <c r="A13" s="62" t="s">
        <v>1287</v>
      </c>
      <c r="B13" s="111" t="s">
        <v>990</v>
      </c>
      <c r="C13" s="61"/>
      <c r="D13" s="61"/>
      <c r="E13" s="61"/>
      <c r="F13" s="61"/>
      <c r="G13" s="61"/>
      <c r="H13" s="61"/>
      <c r="I13" s="61"/>
      <c r="J13" s="61"/>
      <c r="K13" s="61" t="s">
        <v>411</v>
      </c>
      <c r="L13" s="61"/>
      <c r="M13" s="61"/>
      <c r="N13" s="61"/>
      <c r="O13" s="61"/>
      <c r="P13" s="61"/>
      <c r="Q13" s="61"/>
      <c r="R13" s="61"/>
      <c r="S13" s="61"/>
      <c r="T13" s="61"/>
      <c r="U13" s="61"/>
      <c r="V13" s="61"/>
      <c r="W13" s="319" t="s">
        <v>1287</v>
      </c>
    </row>
    <row r="15" spans="1:23">
      <c r="C15" s="63">
        <f>COUNTA(C3:C14)</f>
        <v>2</v>
      </c>
      <c r="D15" s="63">
        <f t="shared" ref="D15:V15" si="0">COUNTA(D3:D14)</f>
        <v>1</v>
      </c>
      <c r="E15" s="63">
        <f t="shared" si="0"/>
        <v>3</v>
      </c>
      <c r="F15" s="63">
        <f t="shared" si="0"/>
        <v>1</v>
      </c>
      <c r="G15" s="63">
        <f t="shared" si="0"/>
        <v>1</v>
      </c>
      <c r="H15" s="63">
        <f t="shared" si="0"/>
        <v>1</v>
      </c>
      <c r="I15" s="63">
        <f t="shared" si="0"/>
        <v>1</v>
      </c>
      <c r="J15" s="63">
        <f t="shared" si="0"/>
        <v>1</v>
      </c>
      <c r="K15" s="63">
        <f t="shared" si="0"/>
        <v>1</v>
      </c>
      <c r="L15" s="63">
        <f t="shared" si="0"/>
        <v>5</v>
      </c>
      <c r="M15" s="63">
        <f t="shared" si="0"/>
        <v>1</v>
      </c>
      <c r="N15" s="63">
        <f t="shared" si="0"/>
        <v>1</v>
      </c>
      <c r="O15" s="63">
        <f t="shared" si="0"/>
        <v>1</v>
      </c>
      <c r="P15" s="63">
        <f t="shared" si="0"/>
        <v>1</v>
      </c>
      <c r="Q15" s="63">
        <f t="shared" si="0"/>
        <v>1</v>
      </c>
      <c r="R15" s="63">
        <f t="shared" si="0"/>
        <v>1</v>
      </c>
      <c r="S15" s="63">
        <f t="shared" si="0"/>
        <v>1</v>
      </c>
      <c r="T15" s="63">
        <f t="shared" si="0"/>
        <v>1</v>
      </c>
      <c r="U15" s="63">
        <f t="shared" si="0"/>
        <v>1</v>
      </c>
      <c r="V15" s="63">
        <f t="shared" si="0"/>
        <v>0</v>
      </c>
    </row>
  </sheetData>
  <sortState xmlns:xlrd2="http://schemas.microsoft.com/office/spreadsheetml/2017/richdata2" ref="A3:V13">
    <sortCondition ref="A3:A13"/>
  </sortState>
  <phoneticPr fontId="54" type="noConversion"/>
  <conditionalFormatting sqref="C3:V3">
    <cfRule type="cellIs" dxfId="125" priority="13" operator="equal">
      <formula>"x"</formula>
    </cfRule>
  </conditionalFormatting>
  <conditionalFormatting sqref="E1">
    <cfRule type="cellIs" dxfId="124" priority="12" operator="equal">
      <formula>"x"</formula>
    </cfRule>
  </conditionalFormatting>
  <conditionalFormatting sqref="C4:V4">
    <cfRule type="cellIs" dxfId="123" priority="11" operator="equal">
      <formula>"x"</formula>
    </cfRule>
  </conditionalFormatting>
  <conditionalFormatting sqref="C5:V6">
    <cfRule type="cellIs" dxfId="122" priority="10" operator="equal">
      <formula>"x"</formula>
    </cfRule>
  </conditionalFormatting>
  <conditionalFormatting sqref="C7:V7">
    <cfRule type="cellIs" dxfId="121" priority="9" operator="equal">
      <formula>"x"</formula>
    </cfRule>
  </conditionalFormatting>
  <conditionalFormatting sqref="C8:V8">
    <cfRule type="cellIs" dxfId="120" priority="8" operator="equal">
      <formula>"x"</formula>
    </cfRule>
  </conditionalFormatting>
  <conditionalFormatting sqref="C10:V10">
    <cfRule type="cellIs" dxfId="119" priority="7" operator="equal">
      <formula>"x"</formula>
    </cfRule>
  </conditionalFormatting>
  <conditionalFormatting sqref="C11:V11">
    <cfRule type="cellIs" dxfId="118" priority="6" operator="equal">
      <formula>"x"</formula>
    </cfRule>
  </conditionalFormatting>
  <conditionalFormatting sqref="C12:V12">
    <cfRule type="cellIs" dxfId="117" priority="5" operator="equal">
      <formula>"x"</formula>
    </cfRule>
  </conditionalFormatting>
  <conditionalFormatting sqref="C13:V13">
    <cfRule type="cellIs" dxfId="116" priority="4" operator="equal">
      <formula>"x"</formula>
    </cfRule>
  </conditionalFormatting>
  <conditionalFormatting sqref="C9:V9">
    <cfRule type="cellIs" dxfId="115" priority="1" operator="equal">
      <formula>"x"</formula>
    </cfRule>
  </conditionalFormatting>
  <pageMargins left="0.70866141732283472" right="0.70866141732283472" top="0.74803149606299213" bottom="0.74803149606299213" header="0.31496062992125984" footer="0.31496062992125984"/>
  <pageSetup paperSize="9" scale="68" fitToHeight="0" orientation="landscape"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5223C0F-4C38-4016-BC2C-B4292784E908}">
  <sheetPr codeName="Sheet23">
    <tabColor theme="9" tint="0.79998168889431442"/>
  </sheetPr>
  <dimension ref="A3:K14"/>
  <sheetViews>
    <sheetView workbookViewId="0">
      <selection activeCell="L32" sqref="L32"/>
    </sheetView>
  </sheetViews>
  <sheetFormatPr defaultRowHeight="14.4"/>
  <cols>
    <col min="1" max="1" width="18.6640625" bestFit="1" customWidth="1"/>
    <col min="2" max="2" width="15.6640625" bestFit="1" customWidth="1"/>
    <col min="3" max="5" width="3" bestFit="1" customWidth="1"/>
    <col min="6" max="9" width="2.6640625" bestFit="1" customWidth="1"/>
    <col min="10" max="10" width="6.6640625" bestFit="1" customWidth="1"/>
    <col min="11" max="14" width="10.6640625" bestFit="1" customWidth="1"/>
  </cols>
  <sheetData>
    <row r="3" spans="1:11">
      <c r="A3" s="310" t="s">
        <v>943</v>
      </c>
      <c r="B3" s="310" t="s">
        <v>914</v>
      </c>
    </row>
    <row r="4" spans="1:11">
      <c r="A4" s="310" t="s">
        <v>915</v>
      </c>
      <c r="B4" s="318" t="s">
        <v>896</v>
      </c>
      <c r="C4" s="318" t="s">
        <v>897</v>
      </c>
      <c r="D4" s="318" t="s">
        <v>898</v>
      </c>
      <c r="E4" s="318" t="s">
        <v>1346</v>
      </c>
      <c r="F4" s="318" t="s">
        <v>901</v>
      </c>
      <c r="G4" s="318" t="s">
        <v>902</v>
      </c>
      <c r="H4" s="318" t="s">
        <v>903</v>
      </c>
      <c r="I4" s="318" t="s">
        <v>904</v>
      </c>
      <c r="J4" s="318" t="s">
        <v>916</v>
      </c>
      <c r="K4" s="318" t="s">
        <v>917</v>
      </c>
    </row>
    <row r="5" spans="1:11">
      <c r="A5" s="308" t="s">
        <v>916</v>
      </c>
      <c r="B5" s="311"/>
      <c r="C5" s="311"/>
      <c r="D5" s="311"/>
      <c r="E5" s="311"/>
      <c r="F5" s="311"/>
      <c r="G5" s="311"/>
      <c r="H5" s="311"/>
      <c r="I5" s="311"/>
      <c r="J5" s="311"/>
      <c r="K5" s="311"/>
    </row>
    <row r="6" spans="1:11">
      <c r="A6" s="308" t="s">
        <v>1347</v>
      </c>
      <c r="B6" s="311"/>
      <c r="C6" s="311"/>
      <c r="D6" s="311"/>
      <c r="E6" s="311"/>
      <c r="F6" s="311">
        <v>1</v>
      </c>
      <c r="G6" s="311"/>
      <c r="H6" s="311"/>
      <c r="I6" s="311"/>
      <c r="J6" s="311"/>
      <c r="K6" s="311">
        <v>1</v>
      </c>
    </row>
    <row r="7" spans="1:11">
      <c r="A7" s="308" t="s">
        <v>1348</v>
      </c>
      <c r="B7" s="311"/>
      <c r="C7" s="311"/>
      <c r="D7" s="311"/>
      <c r="E7" s="311"/>
      <c r="F7" s="311"/>
      <c r="G7" s="311">
        <v>2</v>
      </c>
      <c r="H7" s="311"/>
      <c r="I7" s="311"/>
      <c r="J7" s="311"/>
      <c r="K7" s="311">
        <v>2</v>
      </c>
    </row>
    <row r="8" spans="1:11">
      <c r="A8" s="308" t="s">
        <v>1349</v>
      </c>
      <c r="B8" s="311"/>
      <c r="C8" s="311"/>
      <c r="D8" s="311"/>
      <c r="E8" s="311"/>
      <c r="F8" s="311"/>
      <c r="G8" s="311"/>
      <c r="H8" s="311">
        <v>1</v>
      </c>
      <c r="I8" s="311"/>
      <c r="J8" s="311"/>
      <c r="K8" s="311">
        <v>1</v>
      </c>
    </row>
    <row r="9" spans="1:11">
      <c r="A9" s="308" t="s">
        <v>1350</v>
      </c>
      <c r="B9" s="311"/>
      <c r="C9" s="311"/>
      <c r="D9" s="311"/>
      <c r="E9" s="311"/>
      <c r="F9" s="311"/>
      <c r="G9" s="311"/>
      <c r="H9" s="311"/>
      <c r="I9" s="311">
        <v>1</v>
      </c>
      <c r="J9" s="311"/>
      <c r="K9" s="311">
        <v>1</v>
      </c>
    </row>
    <row r="10" spans="1:11">
      <c r="A10" s="308" t="s">
        <v>1530</v>
      </c>
      <c r="B10" s="311">
        <v>5</v>
      </c>
      <c r="C10" s="311"/>
      <c r="D10" s="311"/>
      <c r="E10" s="311"/>
      <c r="F10" s="311"/>
      <c r="G10" s="311"/>
      <c r="H10" s="311"/>
      <c r="I10" s="311"/>
      <c r="J10" s="311"/>
      <c r="K10" s="311">
        <v>5</v>
      </c>
    </row>
    <row r="11" spans="1:11">
      <c r="A11" s="308" t="s">
        <v>1531</v>
      </c>
      <c r="B11" s="311"/>
      <c r="C11" s="311">
        <v>5</v>
      </c>
      <c r="D11" s="311"/>
      <c r="E11" s="311"/>
      <c r="F11" s="311"/>
      <c r="G11" s="311"/>
      <c r="H11" s="311"/>
      <c r="I11" s="311"/>
      <c r="J11" s="311"/>
      <c r="K11" s="311">
        <v>5</v>
      </c>
    </row>
    <row r="12" spans="1:11">
      <c r="A12" s="308" t="s">
        <v>1533</v>
      </c>
      <c r="B12" s="311"/>
      <c r="C12" s="311"/>
      <c r="D12" s="311">
        <v>5</v>
      </c>
      <c r="E12" s="311"/>
      <c r="F12" s="311"/>
      <c r="G12" s="311"/>
      <c r="H12" s="311"/>
      <c r="I12" s="311"/>
      <c r="J12" s="311"/>
      <c r="K12" s="311">
        <v>5</v>
      </c>
    </row>
    <row r="13" spans="1:11">
      <c r="A13" s="308" t="s">
        <v>1535</v>
      </c>
      <c r="B13" s="311"/>
      <c r="C13" s="311"/>
      <c r="D13" s="311"/>
      <c r="E13" s="311">
        <v>5</v>
      </c>
      <c r="F13" s="311"/>
      <c r="G13" s="311"/>
      <c r="H13" s="311"/>
      <c r="I13" s="311"/>
      <c r="J13" s="311"/>
      <c r="K13" s="311">
        <v>5</v>
      </c>
    </row>
    <row r="14" spans="1:11">
      <c r="A14" s="308" t="s">
        <v>917</v>
      </c>
      <c r="B14" s="311">
        <v>5</v>
      </c>
      <c r="C14" s="311">
        <v>5</v>
      </c>
      <c r="D14" s="311">
        <v>5</v>
      </c>
      <c r="E14" s="311">
        <v>5</v>
      </c>
      <c r="F14" s="311">
        <v>1</v>
      </c>
      <c r="G14" s="311">
        <v>2</v>
      </c>
      <c r="H14" s="311">
        <v>1</v>
      </c>
      <c r="I14" s="311">
        <v>1</v>
      </c>
      <c r="J14" s="311"/>
      <c r="K14" s="311">
        <v>25</v>
      </c>
    </row>
  </sheetData>
  <phoneticPr fontId="54" type="noConversion"/>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335072B-3948-451A-853D-B9B658CCD0BB}">
  <sheetPr codeName="Sheet15">
    <tabColor theme="9" tint="0.79998168889431442"/>
  </sheetPr>
  <dimension ref="A1:N30"/>
  <sheetViews>
    <sheetView workbookViewId="0">
      <selection activeCell="L32" sqref="L32"/>
    </sheetView>
  </sheetViews>
  <sheetFormatPr defaultRowHeight="14.4"/>
  <cols>
    <col min="1" max="1" width="34.33203125" bestFit="1" customWidth="1"/>
    <col min="2" max="2" width="15.33203125" bestFit="1" customWidth="1"/>
    <col min="3" max="7" width="3" bestFit="1" customWidth="1"/>
    <col min="8" max="11" width="2.6640625" bestFit="1" customWidth="1"/>
    <col min="12" max="12" width="6.6640625" bestFit="1" customWidth="1"/>
    <col min="13" max="14" width="10.6640625" bestFit="1" customWidth="1"/>
  </cols>
  <sheetData>
    <row r="1" spans="1:14">
      <c r="A1" s="46" t="s">
        <v>945</v>
      </c>
    </row>
    <row r="2" spans="1:14">
      <c r="A2" s="105" t="s">
        <v>965</v>
      </c>
      <c r="B2" s="105"/>
      <c r="C2" s="105"/>
      <c r="D2" s="105"/>
      <c r="E2" s="105"/>
      <c r="F2" s="105"/>
      <c r="G2" s="105"/>
      <c r="H2" s="105"/>
      <c r="I2" s="105"/>
      <c r="J2" s="105"/>
      <c r="K2" s="105"/>
      <c r="L2" s="105"/>
      <c r="M2" s="105"/>
      <c r="N2" s="105"/>
    </row>
    <row r="3" spans="1:14" hidden="1">
      <c r="A3" s="310" t="s">
        <v>915</v>
      </c>
      <c r="B3" t="s">
        <v>913</v>
      </c>
    </row>
    <row r="4" spans="1:14" hidden="1">
      <c r="A4" s="308" t="s">
        <v>916</v>
      </c>
      <c r="B4" s="311"/>
    </row>
    <row r="5" spans="1:14">
      <c r="A5" s="308" t="s">
        <v>1541</v>
      </c>
      <c r="B5" s="311">
        <v>1</v>
      </c>
    </row>
    <row r="6" spans="1:14">
      <c r="A6" s="308" t="s">
        <v>1542</v>
      </c>
      <c r="B6" s="311">
        <v>1</v>
      </c>
    </row>
    <row r="7" spans="1:14">
      <c r="A7" s="308" t="s">
        <v>1543</v>
      </c>
      <c r="B7" s="311">
        <v>1</v>
      </c>
    </row>
    <row r="8" spans="1:14">
      <c r="A8" s="308" t="s">
        <v>1544</v>
      </c>
      <c r="B8" s="311">
        <v>1</v>
      </c>
    </row>
    <row r="9" spans="1:14">
      <c r="A9" s="308" t="s">
        <v>1545</v>
      </c>
      <c r="B9" s="311">
        <v>1</v>
      </c>
    </row>
    <row r="10" spans="1:14">
      <c r="A10" s="308" t="s">
        <v>1546</v>
      </c>
      <c r="B10" s="311">
        <v>1</v>
      </c>
    </row>
    <row r="11" spans="1:14">
      <c r="A11" s="308" t="s">
        <v>1547</v>
      </c>
      <c r="B11" s="311">
        <v>1</v>
      </c>
    </row>
    <row r="12" spans="1:14">
      <c r="A12" s="308" t="s">
        <v>1548</v>
      </c>
      <c r="B12" s="311">
        <v>1</v>
      </c>
    </row>
    <row r="13" spans="1:14">
      <c r="A13" s="308" t="s">
        <v>1549</v>
      </c>
      <c r="B13" s="311">
        <v>1</v>
      </c>
    </row>
    <row r="14" spans="1:14">
      <c r="A14" s="308" t="s">
        <v>1550</v>
      </c>
      <c r="B14" s="311">
        <v>1</v>
      </c>
    </row>
    <row r="15" spans="1:14">
      <c r="A15" s="308" t="s">
        <v>1551</v>
      </c>
      <c r="B15" s="311">
        <v>1</v>
      </c>
    </row>
    <row r="16" spans="1:14">
      <c r="A16" s="308" t="s">
        <v>1552</v>
      </c>
      <c r="B16" s="311">
        <v>1</v>
      </c>
    </row>
    <row r="17" spans="1:2">
      <c r="A17" s="308" t="s">
        <v>1553</v>
      </c>
      <c r="B17" s="311">
        <v>1</v>
      </c>
    </row>
    <row r="18" spans="1:2">
      <c r="A18" s="308" t="s">
        <v>1554</v>
      </c>
      <c r="B18" s="311">
        <v>1</v>
      </c>
    </row>
    <row r="19" spans="1:2">
      <c r="A19" s="308" t="s">
        <v>1555</v>
      </c>
      <c r="B19" s="311">
        <v>1</v>
      </c>
    </row>
    <row r="20" spans="1:2">
      <c r="A20" s="308" t="s">
        <v>1556</v>
      </c>
      <c r="B20" s="311">
        <v>1</v>
      </c>
    </row>
    <row r="21" spans="1:2">
      <c r="A21" s="308" t="s">
        <v>1557</v>
      </c>
      <c r="B21" s="311">
        <v>1</v>
      </c>
    </row>
    <row r="22" spans="1:2">
      <c r="A22" s="308" t="s">
        <v>1558</v>
      </c>
      <c r="B22" s="311">
        <v>1</v>
      </c>
    </row>
    <row r="23" spans="1:2">
      <c r="A23" s="308" t="s">
        <v>1559</v>
      </c>
      <c r="B23" s="311">
        <v>1</v>
      </c>
    </row>
    <row r="24" spans="1:2">
      <c r="A24" s="308" t="s">
        <v>1560</v>
      </c>
      <c r="B24" s="311">
        <v>1</v>
      </c>
    </row>
    <row r="25" spans="1:2">
      <c r="A25" s="308" t="s">
        <v>1561</v>
      </c>
      <c r="B25" s="311">
        <v>1</v>
      </c>
    </row>
    <row r="26" spans="1:2">
      <c r="A26" s="308" t="s">
        <v>1562</v>
      </c>
      <c r="B26" s="311">
        <v>1</v>
      </c>
    </row>
    <row r="27" spans="1:2">
      <c r="A27" s="308" t="s">
        <v>1657</v>
      </c>
      <c r="B27" s="311">
        <v>1</v>
      </c>
    </row>
    <row r="28" spans="1:2">
      <c r="A28" s="308" t="s">
        <v>1563</v>
      </c>
      <c r="B28" s="311">
        <v>1</v>
      </c>
    </row>
    <row r="29" spans="1:2">
      <c r="A29" s="308" t="s">
        <v>1564</v>
      </c>
      <c r="B29" s="311">
        <v>1</v>
      </c>
    </row>
    <row r="30" spans="1:2">
      <c r="A30" s="308" t="s">
        <v>917</v>
      </c>
      <c r="B30" s="311">
        <v>25</v>
      </c>
    </row>
  </sheetData>
  <phoneticPr fontId="54" type="noConversion"/>
  <pageMargins left="0.7" right="0.7" top="0.75" bottom="0.75" header="0.3" footer="0.3"/>
  <pageSetup paperSize="9" orientation="portrait" r:id="rId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2D4421E-A76F-462C-A0CB-6DEF30742EDE}">
  <sheetPr codeName="Sheet20">
    <tabColor theme="9" tint="0.79998168889431442"/>
  </sheetPr>
  <dimension ref="A3:B29"/>
  <sheetViews>
    <sheetView workbookViewId="0">
      <selection activeCell="A10" sqref="A10"/>
    </sheetView>
  </sheetViews>
  <sheetFormatPr defaultRowHeight="14.4"/>
  <cols>
    <col min="1" max="1" width="12.6640625" bestFit="1" customWidth="1"/>
    <col min="2" max="2" width="10.6640625" bestFit="1" customWidth="1"/>
  </cols>
  <sheetData>
    <row r="3" spans="1:2">
      <c r="A3" s="310" t="s">
        <v>915</v>
      </c>
      <c r="B3" t="s">
        <v>923</v>
      </c>
    </row>
    <row r="4" spans="1:2">
      <c r="A4" s="308" t="s">
        <v>893</v>
      </c>
      <c r="B4" s="311">
        <v>1</v>
      </c>
    </row>
    <row r="5" spans="1:2">
      <c r="A5" s="308" t="s">
        <v>751</v>
      </c>
      <c r="B5" s="311">
        <v>1</v>
      </c>
    </row>
    <row r="6" spans="1:2">
      <c r="A6" s="308" t="s">
        <v>894</v>
      </c>
      <c r="B6" s="311">
        <v>1</v>
      </c>
    </row>
    <row r="7" spans="1:2">
      <c r="A7" s="308" t="s">
        <v>890</v>
      </c>
      <c r="B7" s="311">
        <v>1</v>
      </c>
    </row>
    <row r="8" spans="1:2">
      <c r="A8" s="308" t="s">
        <v>891</v>
      </c>
      <c r="B8" s="311">
        <v>1</v>
      </c>
    </row>
    <row r="9" spans="1:2">
      <c r="A9" s="308" t="s">
        <v>886</v>
      </c>
      <c r="B9" s="311">
        <v>1</v>
      </c>
    </row>
    <row r="10" spans="1:2">
      <c r="A10" s="308" t="s">
        <v>753</v>
      </c>
      <c r="B10" s="311">
        <v>1</v>
      </c>
    </row>
    <row r="11" spans="1:2">
      <c r="A11" s="308" t="s">
        <v>887</v>
      </c>
      <c r="B11" s="311">
        <v>1</v>
      </c>
    </row>
    <row r="12" spans="1:2">
      <c r="A12" s="308" t="s">
        <v>888</v>
      </c>
      <c r="B12" s="311">
        <v>1</v>
      </c>
    </row>
    <row r="13" spans="1:2">
      <c r="A13" s="308" t="s">
        <v>881</v>
      </c>
      <c r="B13" s="311">
        <v>1</v>
      </c>
    </row>
    <row r="14" spans="1:2">
      <c r="A14" s="308" t="s">
        <v>892</v>
      </c>
      <c r="B14" s="311">
        <v>1</v>
      </c>
    </row>
    <row r="15" spans="1:2">
      <c r="A15" s="308" t="s">
        <v>835</v>
      </c>
      <c r="B15" s="311">
        <v>1</v>
      </c>
    </row>
    <row r="16" spans="1:2">
      <c r="A16" s="308" t="s">
        <v>883</v>
      </c>
      <c r="B16" s="311">
        <v>1</v>
      </c>
    </row>
    <row r="17" spans="1:2">
      <c r="A17" s="308" t="s">
        <v>884</v>
      </c>
      <c r="B17" s="311">
        <v>1</v>
      </c>
    </row>
    <row r="18" spans="1:2">
      <c r="A18" s="308" t="s">
        <v>889</v>
      </c>
      <c r="B18" s="311">
        <v>1</v>
      </c>
    </row>
    <row r="19" spans="1:2">
      <c r="A19" s="308" t="s">
        <v>882</v>
      </c>
      <c r="B19" s="311">
        <v>1</v>
      </c>
    </row>
    <row r="20" spans="1:2">
      <c r="A20" s="308" t="s">
        <v>885</v>
      </c>
      <c r="B20" s="311">
        <v>1</v>
      </c>
    </row>
    <row r="21" spans="1:2">
      <c r="A21" s="308" t="s">
        <v>916</v>
      </c>
      <c r="B21" s="311"/>
    </row>
    <row r="22" spans="1:2">
      <c r="A22" s="308" t="s">
        <v>917</v>
      </c>
      <c r="B22" s="311">
        <v>17</v>
      </c>
    </row>
    <row r="26" spans="1:2">
      <c r="A26" t="s">
        <v>1049</v>
      </c>
    </row>
    <row r="27" spans="1:2">
      <c r="A27" t="s">
        <v>909</v>
      </c>
    </row>
    <row r="28" spans="1:2">
      <c r="A28" t="s">
        <v>908</v>
      </c>
    </row>
    <row r="29" spans="1:2">
      <c r="A29" t="s">
        <v>1048</v>
      </c>
    </row>
  </sheetData>
  <phoneticPr fontId="54" type="noConversion"/>
  <pageMargins left="0.7" right="0.7" top="0.75" bottom="0.75" header="0.3" footer="0.3"/>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2F04962-12E8-4C9D-A32F-975215E052FB}">
  <sheetPr codeName="Sheet6">
    <tabColor theme="8" tint="0.79998168889431442"/>
  </sheetPr>
  <dimension ref="A1:AJ162"/>
  <sheetViews>
    <sheetView tabSelected="1" workbookViewId="0">
      <selection activeCell="B24" sqref="B24"/>
    </sheetView>
  </sheetViews>
  <sheetFormatPr defaultColWidth="8.6640625" defaultRowHeight="14.4"/>
  <cols>
    <col min="1" max="1" width="40.44140625" style="11" customWidth="1"/>
    <col min="2" max="2" width="64.44140625" style="11" customWidth="1"/>
    <col min="3" max="7" width="25.6640625" style="124" customWidth="1"/>
    <col min="8" max="8" width="12.6640625" style="124" customWidth="1"/>
    <col min="9" max="9" width="36" style="124" customWidth="1"/>
    <col min="10" max="10" width="13.44140625" style="124" customWidth="1"/>
    <col min="11" max="12" width="8.6640625" style="124"/>
    <col min="13" max="13" width="14.6640625" style="124" customWidth="1"/>
    <col min="14" max="21" width="8.6640625" style="124"/>
    <col min="22" max="23" width="12.33203125" style="124" customWidth="1"/>
    <col min="24" max="24" width="20" style="11" customWidth="1"/>
    <col min="25" max="16384" width="8.6640625" style="11"/>
  </cols>
  <sheetData>
    <row r="1" spans="1:3">
      <c r="A1" s="15" t="s">
        <v>762</v>
      </c>
      <c r="B1" s="17"/>
    </row>
    <row r="2" spans="1:3">
      <c r="A2" s="28" t="s">
        <v>763</v>
      </c>
      <c r="B2" s="29"/>
      <c r="C2" s="30" t="str">
        <f>HYPERLINK(_xlfn.CONCAT("https://cmmiinstitute.com/appraisals-sys/appraisals/",Planning!$B$16,"/name-and-type"))</f>
        <v>https://cmmiinstitute.com/appraisals-sys/appraisals/53517/name-and-type</v>
      </c>
    </row>
    <row r="3" spans="1:3">
      <c r="A3" s="11" t="s">
        <v>718</v>
      </c>
      <c r="B3" s="101" t="str">
        <f>Planning!B15</f>
        <v>D124 (A5) SoftMARS - Base Alpha City (Q2) 2021</v>
      </c>
      <c r="C3" s="124" t="s">
        <v>959</v>
      </c>
    </row>
    <row r="4" spans="1:3">
      <c r="A4" s="11" t="s">
        <v>438</v>
      </c>
      <c r="B4" s="101" t="str">
        <f>Planning!B9</f>
        <v>(UTC+08:00) Beijing, Chongqing, Hong Kong, Urumqi</v>
      </c>
      <c r="C4" s="124" t="s">
        <v>959</v>
      </c>
    </row>
    <row r="5" spans="1:3">
      <c r="A5" s="11" t="s">
        <v>439</v>
      </c>
      <c r="B5" s="20" t="str">
        <f>'Agreement 3'!B45</f>
        <v>Demix (Pty) Ltd</v>
      </c>
      <c r="C5" s="124" t="s">
        <v>998</v>
      </c>
    </row>
    <row r="6" spans="1:3" ht="90.6" customHeight="1">
      <c r="A6" s="11" t="s">
        <v>440</v>
      </c>
      <c r="B6" s="100" t="str">
        <f>_xlfn.CONCAT(Planning!B42,CHAR(13),CHAR(10),Planning!B54)</f>
        <v>[BO-1] Improve production efficiency to improve productivity 
[BO-2] Improve delivery capacity
[BO-3] Reduce Code Acceptance Defects_x000D_
[A1]: In support of the business objectives, understand the current strength and weaknesses of the CMMI Maturity Level 5 practices within the organisation [BO-1, BO-2 &amp; BO-3].</v>
      </c>
      <c r="C6" s="124" t="s">
        <v>959</v>
      </c>
    </row>
    <row r="7" spans="1:3">
      <c r="A7" s="11" t="s">
        <v>441</v>
      </c>
      <c r="B7" s="11" t="s">
        <v>388</v>
      </c>
    </row>
    <row r="8" spans="1:3">
      <c r="A8" s="11" t="s">
        <v>442</v>
      </c>
      <c r="B8" s="11" t="s">
        <v>621</v>
      </c>
    </row>
    <row r="9" spans="1:3" ht="28.8">
      <c r="A9" s="11" t="s">
        <v>734</v>
      </c>
      <c r="B9" s="11" t="s">
        <v>621</v>
      </c>
    </row>
    <row r="10" spans="1:3" ht="28.8">
      <c r="A10" s="11" t="s">
        <v>821</v>
      </c>
      <c r="B10" s="11" t="s">
        <v>388</v>
      </c>
      <c r="C10" s="249" t="s">
        <v>1604</v>
      </c>
    </row>
    <row r="11" spans="1:3">
      <c r="A11" s="11" t="s">
        <v>822</v>
      </c>
    </row>
    <row r="12" spans="1:3" ht="28.8">
      <c r="A12" s="11" t="s">
        <v>820</v>
      </c>
      <c r="B12" s="11" t="s">
        <v>1181</v>
      </c>
      <c r="C12" s="249" t="s">
        <v>1647</v>
      </c>
    </row>
    <row r="14" spans="1:3">
      <c r="A14" s="15" t="s">
        <v>389</v>
      </c>
      <c r="B14" s="17"/>
    </row>
    <row r="15" spans="1:3">
      <c r="A15" s="28" t="s">
        <v>765</v>
      </c>
      <c r="B15" s="29"/>
      <c r="C15" s="30" t="str">
        <f>HYPERLINK(_xlfn.CONCAT("https://cmmiinstitute.com/appraisals-sys/appraisals/",Planning!$B$16,"/organizations"))</f>
        <v>https://cmmiinstitute.com/appraisals-sys/appraisals/53517/organizations</v>
      </c>
    </row>
    <row r="16" spans="1:3">
      <c r="A16" s="11" t="s">
        <v>13</v>
      </c>
      <c r="B16" s="81" t="str">
        <f>'Agreement 3'!B16</f>
        <v>Software for Mars (Pty) Ltd</v>
      </c>
      <c r="C16" s="124" t="s">
        <v>998</v>
      </c>
    </row>
    <row r="17" spans="1:23">
      <c r="A17" s="11" t="s">
        <v>30</v>
      </c>
      <c r="B17" s="81" t="str">
        <f>StartupInfo!B4</f>
        <v>Mars</v>
      </c>
      <c r="C17" s="124" t="s">
        <v>948</v>
      </c>
    </row>
    <row r="18" spans="1:23">
      <c r="A18" s="11" t="s">
        <v>31</v>
      </c>
      <c r="B18" s="80" t="str">
        <f>StartupInfo!B5</f>
        <v>Room 1, Dome 1</v>
      </c>
      <c r="C18" s="124" t="s">
        <v>948</v>
      </c>
      <c r="D18" s="124" t="s">
        <v>957</v>
      </c>
    </row>
    <row r="19" spans="1:23">
      <c r="A19" s="11" t="s">
        <v>32</v>
      </c>
      <c r="B19" s="80" t="str">
        <f>StartupInfo!B6</f>
        <v>No. 1 First Street</v>
      </c>
      <c r="C19" s="124" t="s">
        <v>948</v>
      </c>
    </row>
    <row r="20" spans="1:23">
      <c r="A20" s="11" t="s">
        <v>33</v>
      </c>
      <c r="B20" s="80" t="str">
        <f>StartupInfo!B7</f>
        <v>Base Alpha City</v>
      </c>
      <c r="C20" s="124" t="s">
        <v>948</v>
      </c>
    </row>
    <row r="21" spans="1:23">
      <c r="A21" s="11" t="s">
        <v>34</v>
      </c>
      <c r="B21" s="81" t="str">
        <f>StartupInfo!B8</f>
        <v>Tharsis</v>
      </c>
      <c r="C21" s="124" t="s">
        <v>948</v>
      </c>
    </row>
    <row r="22" spans="1:23">
      <c r="A22" s="11" t="s">
        <v>35</v>
      </c>
      <c r="B22" s="80" t="str">
        <f>StartupInfo!B9</f>
        <v>Planet04</v>
      </c>
      <c r="C22" s="124" t="s">
        <v>948</v>
      </c>
    </row>
    <row r="23" spans="1:23">
      <c r="A23" s="11" t="s">
        <v>17</v>
      </c>
      <c r="B23" s="80" t="str">
        <f>StartupInfo!B10</f>
        <v>China</v>
      </c>
      <c r="C23" s="124" t="s">
        <v>948</v>
      </c>
    </row>
    <row r="24" spans="1:23">
      <c r="A24" s="11" t="s">
        <v>290</v>
      </c>
      <c r="B24" s="9" t="str">
        <f>HYPERLINK(StartupInfo!B12)</f>
        <v>http://eMars.com</v>
      </c>
      <c r="C24" s="124" t="s">
        <v>948</v>
      </c>
    </row>
    <row r="25" spans="1:23">
      <c r="A25" s="11" t="s">
        <v>291</v>
      </c>
      <c r="B25" s="11" t="s">
        <v>724</v>
      </c>
    </row>
    <row r="26" spans="1:23" ht="28.8">
      <c r="A26" s="11" t="s">
        <v>292</v>
      </c>
      <c r="B26" s="80" t="str">
        <f>StartupInfo!B24</f>
        <v>(J-62) Information and communication - Computer programming, consultancy and related activities</v>
      </c>
      <c r="C26" s="124" t="s">
        <v>948</v>
      </c>
    </row>
    <row r="28" spans="1:23" customFormat="1">
      <c r="A28" s="18" t="s">
        <v>603</v>
      </c>
      <c r="C28" s="124"/>
      <c r="D28" s="124"/>
      <c r="E28" s="124"/>
      <c r="F28" s="124"/>
      <c r="G28" s="124"/>
      <c r="H28" s="124"/>
      <c r="I28" s="124"/>
      <c r="J28" s="124"/>
      <c r="K28" s="124"/>
      <c r="L28" s="124"/>
      <c r="M28" s="124"/>
      <c r="N28" s="124"/>
      <c r="O28" s="124"/>
      <c r="P28" s="124"/>
      <c r="Q28" s="124"/>
      <c r="R28" s="124"/>
      <c r="S28" s="124"/>
      <c r="T28" s="124"/>
      <c r="U28" s="124"/>
      <c r="V28" s="124"/>
      <c r="W28" s="124"/>
    </row>
    <row r="29" spans="1:23" customFormat="1">
      <c r="C29" s="124"/>
      <c r="D29" s="124"/>
      <c r="E29" s="124"/>
      <c r="F29" s="124"/>
      <c r="G29" s="124"/>
      <c r="H29" s="124"/>
      <c r="I29" s="124"/>
      <c r="J29" s="124"/>
      <c r="K29" s="124"/>
      <c r="L29" s="124"/>
      <c r="M29" s="124"/>
      <c r="N29" s="124"/>
      <c r="O29" s="124"/>
      <c r="P29" s="124"/>
      <c r="Q29" s="124"/>
      <c r="R29" s="124"/>
      <c r="S29" s="124"/>
      <c r="T29" s="124"/>
      <c r="U29" s="124"/>
      <c r="V29" s="124"/>
      <c r="W29" s="124"/>
    </row>
    <row r="30" spans="1:23">
      <c r="A30" s="28" t="s">
        <v>766</v>
      </c>
      <c r="B30" s="29"/>
      <c r="C30" s="30" t="str">
        <f>HYPERLINK(_xlfn.CONCAT("https://cmmiinstitute.com/appraisals-sys/appraisals/",Planning!$B$16,"/org-units"))</f>
        <v>https://cmmiinstitute.com/appraisals-sys/appraisals/53517/org-units</v>
      </c>
    </row>
    <row r="31" spans="1:23">
      <c r="A31" s="11" t="s">
        <v>13</v>
      </c>
      <c r="B31" s="101" t="str">
        <f>IF(StartupInfo!B20="","",StartupInfo!B20)</f>
        <v>R&amp;D Department</v>
      </c>
      <c r="C31" s="124" t="s">
        <v>948</v>
      </c>
    </row>
    <row r="32" spans="1:23">
      <c r="A32" s="11" t="s">
        <v>30</v>
      </c>
      <c r="B32" s="101" t="str">
        <f>IF(StartupInfo!B21="","",StartupInfo!B21)</f>
        <v/>
      </c>
      <c r="C32" s="124" t="s">
        <v>948</v>
      </c>
    </row>
    <row r="33" spans="1:23">
      <c r="A33" s="11" t="s">
        <v>382</v>
      </c>
      <c r="B33" s="101" t="str">
        <f>IF(StartupInfo!B22="","",StartupInfo!B22)</f>
        <v>The company provides space exploration services…</v>
      </c>
      <c r="C33" s="124" t="s">
        <v>948</v>
      </c>
    </row>
    <row r="34" spans="1:23" ht="86.4">
      <c r="A34" s="11" t="s">
        <v>381</v>
      </c>
      <c r="B34" s="101" t="str">
        <f>IF(StartupInfo!B23="","",StartupInfo!B23)</f>
        <v xml:space="preserve">1 General Manager
2  Integrated Management
3  R&amp;D Department
4  Product Department
5  Business Department
</v>
      </c>
      <c r="C34" s="249" t="s">
        <v>948</v>
      </c>
    </row>
    <row r="35" spans="1:23">
      <c r="A35" s="11" t="s">
        <v>383</v>
      </c>
      <c r="B35" s="101" t="str">
        <f>IF(StartupInfo!B4="",StartupInfo!B3,_xlfn.CONCAT(StartupInfo!B3,"(",StartupInfo!B4,")"))</f>
        <v>Software for Mars (Pty) Ltd(Mars)</v>
      </c>
      <c r="C35" s="124" t="s">
        <v>948</v>
      </c>
    </row>
    <row r="36" spans="1:23">
      <c r="A36" s="11" t="s">
        <v>385</v>
      </c>
      <c r="B36" s="26">
        <v>1</v>
      </c>
    </row>
    <row r="37" spans="1:23">
      <c r="A37" s="11" t="s">
        <v>386</v>
      </c>
      <c r="B37" s="26">
        <v>1</v>
      </c>
    </row>
    <row r="38" spans="1:23" ht="28.8">
      <c r="A38" s="11" t="s">
        <v>387</v>
      </c>
      <c r="B38" s="101" t="str">
        <f>IF(StartupInfo!B25="","No","Yes")</f>
        <v>Yes</v>
      </c>
      <c r="C38" s="124" t="s">
        <v>948</v>
      </c>
    </row>
    <row r="39" spans="1:23">
      <c r="A39" s="11" t="s">
        <v>725</v>
      </c>
      <c r="B39" s="101">
        <f>StartupInfo!B25</f>
        <v>2481632</v>
      </c>
      <c r="C39" s="124" t="s">
        <v>948</v>
      </c>
    </row>
    <row r="41" spans="1:23" customFormat="1">
      <c r="A41" s="18" t="s">
        <v>603</v>
      </c>
      <c r="C41" s="124"/>
      <c r="D41" s="124"/>
      <c r="E41" s="124"/>
      <c r="F41" s="124"/>
      <c r="G41" s="124"/>
      <c r="H41" s="124"/>
      <c r="I41" s="124"/>
      <c r="J41" s="124"/>
      <c r="K41" s="124"/>
      <c r="L41" s="124"/>
      <c r="M41" s="124"/>
      <c r="N41" s="124"/>
      <c r="O41" s="124"/>
      <c r="P41" s="124"/>
      <c r="Q41" s="124"/>
      <c r="R41" s="124"/>
      <c r="S41" s="124"/>
      <c r="T41" s="124"/>
      <c r="U41" s="124"/>
      <c r="V41" s="124"/>
      <c r="W41" s="124"/>
    </row>
    <row r="42" spans="1:23" customFormat="1">
      <c r="C42" s="124"/>
      <c r="D42" s="124"/>
      <c r="E42" s="124"/>
      <c r="F42" s="124"/>
      <c r="G42" s="124"/>
      <c r="H42" s="124"/>
      <c r="I42" s="124"/>
      <c r="J42" s="124"/>
      <c r="K42" s="124"/>
      <c r="L42" s="124"/>
      <c r="M42" s="124"/>
      <c r="N42" s="124"/>
      <c r="O42" s="124"/>
      <c r="P42" s="124"/>
      <c r="Q42" s="124"/>
      <c r="R42" s="124"/>
      <c r="S42" s="124"/>
      <c r="T42" s="124"/>
      <c r="U42" s="124"/>
      <c r="V42" s="124"/>
      <c r="W42" s="124"/>
    </row>
    <row r="43" spans="1:23">
      <c r="A43" s="15" t="s">
        <v>767</v>
      </c>
      <c r="B43" s="17"/>
    </row>
    <row r="44" spans="1:23">
      <c r="A44" s="28" t="s">
        <v>768</v>
      </c>
      <c r="B44" s="29"/>
      <c r="C44" s="30" t="str">
        <f>HYPERLINK(_xlfn.CONCAT("https://cmmiinstitute.com/appraisals-sys/appraisals/",Planning!$B$16,"/timeline"))</f>
        <v>https://cmmiinstitute.com/appraisals-sys/appraisals/53517/timeline</v>
      </c>
    </row>
    <row r="46" spans="1:23">
      <c r="A46" s="14" t="s">
        <v>390</v>
      </c>
    </row>
    <row r="47" spans="1:23">
      <c r="A47" s="11" t="s">
        <v>391</v>
      </c>
      <c r="B47" s="38">
        <f>'Agreement 3'!B22</f>
        <v>44174</v>
      </c>
      <c r="C47" s="124" t="s">
        <v>998</v>
      </c>
    </row>
    <row r="48" spans="1:23">
      <c r="A48" s="11" t="s">
        <v>392</v>
      </c>
      <c r="B48" s="38">
        <f>B63-1</f>
        <v>44295</v>
      </c>
      <c r="C48" s="124" t="s">
        <v>999</v>
      </c>
    </row>
    <row r="50" spans="1:23">
      <c r="A50" s="32" t="s">
        <v>393</v>
      </c>
      <c r="B50" s="33"/>
      <c r="C50" s="186"/>
      <c r="D50" s="31" t="s">
        <v>823</v>
      </c>
    </row>
    <row r="51" spans="1:23">
      <c r="A51" s="33" t="s">
        <v>394</v>
      </c>
      <c r="B51" s="33" t="s">
        <v>722</v>
      </c>
      <c r="C51" s="186"/>
    </row>
    <row r="52" spans="1:23">
      <c r="A52" s="33" t="s">
        <v>395</v>
      </c>
      <c r="B52" s="34">
        <f>Planning!B21</f>
        <v>44268</v>
      </c>
      <c r="C52" s="186" t="s">
        <v>959</v>
      </c>
    </row>
    <row r="53" spans="1:23">
      <c r="A53" s="33" t="s">
        <v>396</v>
      </c>
      <c r="B53" s="34">
        <f>B52</f>
        <v>44268</v>
      </c>
      <c r="C53" s="186" t="s">
        <v>999</v>
      </c>
    </row>
    <row r="54" spans="1:23">
      <c r="A54" s="33"/>
      <c r="B54" s="33"/>
      <c r="C54" s="186"/>
    </row>
    <row r="55" spans="1:23">
      <c r="A55" s="33" t="s">
        <v>394</v>
      </c>
      <c r="B55" s="33" t="s">
        <v>723</v>
      </c>
      <c r="C55" s="186"/>
    </row>
    <row r="56" spans="1:23">
      <c r="A56" s="33" t="s">
        <v>395</v>
      </c>
      <c r="B56" s="34">
        <f>Planning!B24</f>
        <v>44282</v>
      </c>
      <c r="C56" s="186" t="s">
        <v>959</v>
      </c>
    </row>
    <row r="57" spans="1:23">
      <c r="A57" s="33" t="s">
        <v>396</v>
      </c>
      <c r="B57" s="34">
        <f>B56</f>
        <v>44282</v>
      </c>
      <c r="C57" s="186" t="s">
        <v>999</v>
      </c>
    </row>
    <row r="58" spans="1:23" customFormat="1">
      <c r="C58" s="124"/>
      <c r="D58" s="124"/>
      <c r="E58" s="124"/>
      <c r="F58" s="124"/>
      <c r="G58" s="124"/>
      <c r="H58" s="124"/>
      <c r="I58" s="124"/>
      <c r="J58" s="124"/>
      <c r="K58" s="124"/>
      <c r="L58" s="124"/>
      <c r="M58" s="124"/>
      <c r="N58" s="124"/>
      <c r="O58" s="124"/>
      <c r="P58" s="124"/>
      <c r="Q58" s="124"/>
      <c r="R58" s="124"/>
      <c r="S58" s="124"/>
      <c r="T58" s="124"/>
      <c r="U58" s="124"/>
      <c r="V58" s="124"/>
      <c r="W58" s="124"/>
    </row>
    <row r="59" spans="1:23" customFormat="1">
      <c r="A59" s="18" t="s">
        <v>603</v>
      </c>
      <c r="C59" s="124"/>
      <c r="D59" s="124"/>
      <c r="E59" s="124"/>
      <c r="F59" s="124"/>
      <c r="G59" s="124"/>
      <c r="H59" s="124"/>
      <c r="I59" s="124"/>
      <c r="J59" s="124"/>
      <c r="K59" s="124"/>
      <c r="L59" s="124"/>
      <c r="M59" s="124"/>
      <c r="N59" s="124"/>
      <c r="O59" s="124"/>
      <c r="P59" s="124"/>
      <c r="Q59" s="124"/>
      <c r="R59" s="124"/>
      <c r="S59" s="124"/>
      <c r="T59" s="124"/>
      <c r="U59" s="124"/>
      <c r="V59" s="124"/>
      <c r="W59" s="124"/>
    </row>
    <row r="60" spans="1:23" customFormat="1">
      <c r="C60" s="124"/>
      <c r="D60" s="124"/>
      <c r="E60" s="124"/>
      <c r="F60" s="124"/>
      <c r="G60" s="124"/>
      <c r="H60" s="124"/>
      <c r="I60" s="124"/>
      <c r="J60" s="124"/>
      <c r="K60" s="124"/>
      <c r="L60" s="124"/>
      <c r="M60" s="124"/>
      <c r="N60" s="124"/>
      <c r="O60" s="124"/>
      <c r="P60" s="124"/>
      <c r="Q60" s="124"/>
      <c r="R60" s="124"/>
      <c r="S60" s="124"/>
      <c r="T60" s="124"/>
      <c r="U60" s="124"/>
      <c r="V60" s="124"/>
      <c r="W60" s="124"/>
    </row>
    <row r="62" spans="1:23">
      <c r="A62" s="14" t="s">
        <v>397</v>
      </c>
    </row>
    <row r="63" spans="1:23">
      <c r="A63" s="11" t="s">
        <v>398</v>
      </c>
      <c r="B63" s="38">
        <f>Planning!B27</f>
        <v>44296</v>
      </c>
      <c r="C63" s="124" t="s">
        <v>959</v>
      </c>
    </row>
    <row r="64" spans="1:23">
      <c r="A64" s="21" t="s">
        <v>721</v>
      </c>
      <c r="B64" s="38">
        <f>'Agreement 3'!B25</f>
        <v>44298</v>
      </c>
      <c r="C64" s="124" t="s">
        <v>998</v>
      </c>
    </row>
    <row r="65" spans="1:22">
      <c r="A65" s="11" t="s">
        <v>399</v>
      </c>
      <c r="B65" s="38">
        <f>Planning!B33</f>
        <v>44302</v>
      </c>
      <c r="C65" s="124" t="s">
        <v>959</v>
      </c>
    </row>
    <row r="66" spans="1:22">
      <c r="A66" s="11" t="s">
        <v>400</v>
      </c>
      <c r="B66" s="39">
        <f>Planning!B34</f>
        <v>7</v>
      </c>
      <c r="C66" s="124" t="s">
        <v>959</v>
      </c>
    </row>
    <row r="68" spans="1:22">
      <c r="A68" s="14" t="s">
        <v>401</v>
      </c>
    </row>
    <row r="69" spans="1:22">
      <c r="A69" s="11" t="s">
        <v>402</v>
      </c>
      <c r="B69" s="38">
        <f>Planning!B36</f>
        <v>44302</v>
      </c>
      <c r="C69" s="124" t="s">
        <v>959</v>
      </c>
    </row>
    <row r="70" spans="1:22">
      <c r="A70" s="11" t="s">
        <v>403</v>
      </c>
      <c r="B70" s="38">
        <f>Planning!B38</f>
        <v>44315</v>
      </c>
      <c r="C70" s="124" t="s">
        <v>959</v>
      </c>
    </row>
    <row r="72" spans="1:22">
      <c r="A72" s="15" t="s">
        <v>769</v>
      </c>
      <c r="B72" s="17"/>
    </row>
    <row r="73" spans="1:22">
      <c r="A73" s="28" t="s">
        <v>770</v>
      </c>
      <c r="B73" s="29"/>
      <c r="C73" s="30" t="str">
        <f>HYPERLINK(_xlfn.CONCAT("https://cmmiinstitute.com/appraisals-sys/appraisals/",Planning!$B$16,"/org-unit-targets"))</f>
        <v>https://cmmiinstitute.com/appraisals-sys/appraisals/53517/org-unit-targets</v>
      </c>
    </row>
    <row r="75" spans="1:22">
      <c r="A75" s="11" t="s">
        <v>412</v>
      </c>
      <c r="B75" s="101" t="str">
        <f>Planning!B10</f>
        <v>Maturity Level 5</v>
      </c>
      <c r="C75" s="124" t="s">
        <v>959</v>
      </c>
    </row>
    <row r="76" spans="1:22">
      <c r="A76" s="11" t="s">
        <v>413</v>
      </c>
      <c r="B76" s="101" t="str">
        <f>Planning!B11</f>
        <v>CMMI Development V2.0 (CMMI-DEV) without SAM</v>
      </c>
      <c r="C76" s="124" t="s">
        <v>959</v>
      </c>
    </row>
    <row r="77" spans="1:22" ht="43.2">
      <c r="A77" s="11" t="s">
        <v>419</v>
      </c>
      <c r="B77" s="101" t="str">
        <f>IF(Planning!B12="","",Planning!B12)</f>
        <v>SAM since all software is developed inhouse.</v>
      </c>
      <c r="C77" s="124" t="s">
        <v>959</v>
      </c>
    </row>
    <row r="78" spans="1:22">
      <c r="V78" s="30"/>
    </row>
    <row r="79" spans="1:22">
      <c r="A79" s="28" t="s">
        <v>771</v>
      </c>
      <c r="B79" s="29"/>
      <c r="C79" s="30"/>
    </row>
    <row r="80" spans="1:22">
      <c r="A80" s="36" t="s">
        <v>772</v>
      </c>
      <c r="B80" s="35"/>
    </row>
    <row r="82" spans="1:36">
      <c r="A82" s="15" t="s">
        <v>773</v>
      </c>
      <c r="B82" s="17"/>
    </row>
    <row r="83" spans="1:36">
      <c r="A83" s="28" t="s">
        <v>774</v>
      </c>
      <c r="B83" s="29"/>
      <c r="C83" s="30" t="str">
        <f>HYPERLINK(_xlfn.CONCAT("https://cmmiinstitute.com/appraisals-sys/appraisals/",Planning!$B$16,"/appraisal-sponsor"))</f>
        <v>https://cmmiinstitute.com/appraisals-sys/appraisals/53517/appraisal-sponsor</v>
      </c>
    </row>
    <row r="84" spans="1:36" s="124" customFormat="1">
      <c r="A84" s="191" t="s">
        <v>1054</v>
      </c>
      <c r="B84" s="191" t="s">
        <v>420</v>
      </c>
      <c r="C84" s="191" t="s">
        <v>1070</v>
      </c>
      <c r="D84" s="191" t="s">
        <v>1009</v>
      </c>
      <c r="E84" s="191" t="s">
        <v>1010</v>
      </c>
      <c r="F84" s="191" t="s">
        <v>1055</v>
      </c>
      <c r="G84" s="191" t="s">
        <v>1056</v>
      </c>
      <c r="H84" s="191" t="s">
        <v>1057</v>
      </c>
      <c r="I84" s="191" t="s">
        <v>1058</v>
      </c>
      <c r="J84" s="191" t="s">
        <v>1059</v>
      </c>
      <c r="K84" s="191" t="s">
        <v>1060</v>
      </c>
      <c r="L84" s="191" t="s">
        <v>1061</v>
      </c>
      <c r="M84" s="191" t="s">
        <v>1062</v>
      </c>
      <c r="N84" s="191"/>
      <c r="O84" s="191" t="s">
        <v>1063</v>
      </c>
      <c r="P84" s="191" t="s">
        <v>1064</v>
      </c>
      <c r="Q84" s="191" t="s">
        <v>1065</v>
      </c>
      <c r="R84" s="191" t="s">
        <v>1066</v>
      </c>
      <c r="S84" s="191" t="s">
        <v>1067</v>
      </c>
      <c r="T84" s="191" t="s">
        <v>1068</v>
      </c>
      <c r="U84" s="191" t="s">
        <v>1069</v>
      </c>
      <c r="V84" s="191" t="s">
        <v>10</v>
      </c>
      <c r="W84" s="190"/>
      <c r="X84" s="247" t="s">
        <v>1153</v>
      </c>
      <c r="Y84" s="132"/>
      <c r="Z84" s="132"/>
      <c r="AA84" s="187"/>
    </row>
    <row r="85" spans="1:36" s="16" customFormat="1">
      <c r="A85" s="16" t="s">
        <v>593</v>
      </c>
      <c r="B85" s="96" t="str">
        <f>IF('Agreement 3'!B28="","",'Agreement 3'!B28)</f>
        <v>Prof Kessler, Donald</v>
      </c>
      <c r="C85" s="124" t="s">
        <v>1001</v>
      </c>
      <c r="D85" s="86" t="str">
        <f>IF('Agreement 3'!B16="","",'Agreement 3'!B16)</f>
        <v>Software for Mars (Pty) Ltd</v>
      </c>
      <c r="E85" s="96" t="s">
        <v>735</v>
      </c>
      <c r="F85" s="124"/>
      <c r="G85" s="124" t="s">
        <v>730</v>
      </c>
      <c r="H85" s="124" t="s">
        <v>1152</v>
      </c>
      <c r="I85" s="192" t="str">
        <f>'Agreement 3'!B30</f>
        <v>+000 1111 2222</v>
      </c>
      <c r="J85" s="124"/>
      <c r="K85" s="124"/>
      <c r="L85" s="124"/>
      <c r="M85" s="124"/>
      <c r="N85" s="124"/>
      <c r="O85" s="124"/>
      <c r="P85" s="124"/>
      <c r="Q85" s="124"/>
      <c r="R85" s="124"/>
      <c r="S85" s="124"/>
      <c r="T85" s="124"/>
      <c r="U85" s="124"/>
      <c r="V85" s="95" t="str">
        <f>IF('Agreement 3'!B31="","",'Agreement 3'!B31)</f>
        <v>donald.kessler@email.com</v>
      </c>
      <c r="W85" s="124"/>
      <c r="X85" s="53" t="s">
        <v>1598</v>
      </c>
      <c r="Y85" s="248" t="str">
        <f>IF(TRIM(X85)&lt;&gt;TRIM(V85),"CAS email different","ok")</f>
        <v>CAS email different</v>
      </c>
      <c r="Z85" s="11"/>
      <c r="AA85" s="11"/>
      <c r="AB85" s="11"/>
      <c r="AC85" s="11"/>
      <c r="AD85" s="11"/>
      <c r="AE85" s="11"/>
      <c r="AF85" s="11"/>
      <c r="AG85" s="11"/>
      <c r="AH85" s="11"/>
      <c r="AI85" s="11"/>
      <c r="AJ85" s="11"/>
    </row>
    <row r="86" spans="1:36">
      <c r="A86" s="11" t="s">
        <v>425</v>
      </c>
      <c r="B86" s="100" t="str">
        <f>IF('Agreement 3'!B33="","",'Agreement 3'!B33)</f>
        <v>Miss Lake, Nathalie</v>
      </c>
      <c r="C86" s="96" t="s">
        <v>1001</v>
      </c>
      <c r="D86" s="86" t="str">
        <f>IF('Agreement 3'!B34="","",'Agreement 3'!B34)</f>
        <v>Software for Mars (Pty) Ltd</v>
      </c>
      <c r="E86" s="189" t="s">
        <v>735</v>
      </c>
      <c r="F86" s="86"/>
      <c r="G86" s="86" t="s">
        <v>730</v>
      </c>
      <c r="H86" s="86"/>
      <c r="I86" s="86"/>
      <c r="J86" s="86"/>
      <c r="K86" s="86"/>
      <c r="L86" s="86"/>
      <c r="M86" s="86"/>
      <c r="N86" s="86"/>
      <c r="O86" s="86"/>
      <c r="P86" s="86"/>
      <c r="Q86" s="86"/>
      <c r="R86" s="86"/>
      <c r="S86" s="86"/>
      <c r="T86" s="86"/>
      <c r="U86" s="86"/>
      <c r="V86" s="94" t="str">
        <f>IF('Agreement 3'!B36="","",'Agreement 3'!B36)</f>
        <v>nathalie.lake@email.com</v>
      </c>
      <c r="W86" s="86"/>
    </row>
    <row r="87" spans="1:36">
      <c r="A87" s="11" t="s">
        <v>424</v>
      </c>
      <c r="B87" s="100" t="str">
        <f>StartupInfo!B51</f>
        <v>Miss Land, Barbara</v>
      </c>
      <c r="C87" s="96" t="s">
        <v>998</v>
      </c>
      <c r="D87" s="96" t="str">
        <f>StartupInfo!B52</f>
        <v>Freelance</v>
      </c>
      <c r="E87" s="96" t="str">
        <f>StartupInfo!B53</f>
        <v>External</v>
      </c>
      <c r="F87" s="86" t="str">
        <f>StartupInfo!B54</f>
        <v>Other</v>
      </c>
      <c r="G87" s="86" t="str">
        <f>StartupInfo!B55</f>
        <v>Reports directly to the ATL</v>
      </c>
      <c r="H87" s="124" t="s">
        <v>1194</v>
      </c>
      <c r="I87" s="96" t="str">
        <f>StartupInfo!B56</f>
        <v>+000 1111 44444</v>
      </c>
      <c r="J87" s="96"/>
      <c r="K87" s="96"/>
      <c r="L87" s="96"/>
      <c r="M87" s="96"/>
      <c r="N87" s="96"/>
      <c r="O87" s="96"/>
      <c r="P87" s="96"/>
      <c r="Q87" s="96"/>
      <c r="R87" s="96"/>
      <c r="S87" s="96"/>
      <c r="T87" s="96"/>
      <c r="U87" s="96"/>
      <c r="V87" s="95" t="str">
        <f>'Agreement 3'!B42</f>
        <v>barbara.land@email.com</v>
      </c>
      <c r="W87" s="11"/>
      <c r="X87" s="455"/>
      <c r="Y87" s="455"/>
      <c r="Z87" s="455"/>
      <c r="AA87" s="455"/>
    </row>
    <row r="88" spans="1:36" s="116" customFormat="1">
      <c r="A88" s="116" t="str">
        <f>'Agreement 3'!A6</f>
        <v>Lead appraiser</v>
      </c>
      <c r="B88" s="96" t="str">
        <f>'Agreement 3'!B7</f>
        <v>van Zyl, Pieter</v>
      </c>
      <c r="C88" s="96"/>
      <c r="D88" s="96" t="str">
        <f>'Agreement 3'!B8</f>
        <v>Demix (Pty) Ltd</v>
      </c>
      <c r="E88" s="96" t="s">
        <v>1008</v>
      </c>
      <c r="F88" s="124"/>
      <c r="G88" s="124"/>
      <c r="H88" s="96" t="str">
        <f>'Agreement 3'!B9</f>
        <v>CMMI V2.0 High Maturity Lead Appraiser</v>
      </c>
      <c r="I88" s="96" t="str">
        <f>'Agreement 3'!B12</f>
        <v>+27-82-900-0008</v>
      </c>
      <c r="J88" s="124" t="s">
        <v>1050</v>
      </c>
      <c r="K88" s="124"/>
      <c r="L88" s="124">
        <v>8</v>
      </c>
      <c r="M88" s="192">
        <v>44137</v>
      </c>
      <c r="N88" s="124"/>
      <c r="O88" s="124">
        <v>35</v>
      </c>
      <c r="P88" s="124" t="s">
        <v>426</v>
      </c>
      <c r="Q88" s="124" t="s">
        <v>1051</v>
      </c>
      <c r="R88" s="124">
        <v>30</v>
      </c>
      <c r="S88" s="124">
        <v>15</v>
      </c>
      <c r="T88" s="124" t="s">
        <v>625</v>
      </c>
      <c r="U88" s="124" t="s">
        <v>625</v>
      </c>
      <c r="V88" s="94" t="str">
        <f>'Agreement 3'!B13</f>
        <v>pieter.vanzyl@demix.org</v>
      </c>
      <c r="W88" s="124"/>
      <c r="Y88" s="124"/>
    </row>
    <row r="89" spans="1:36" s="116" customFormat="1">
      <c r="C89" s="124"/>
      <c r="D89" s="124"/>
      <c r="E89" s="124"/>
      <c r="F89" s="124"/>
      <c r="G89" s="124"/>
      <c r="H89" s="124"/>
      <c r="I89" s="124"/>
      <c r="J89" s="124"/>
      <c r="K89" s="124"/>
      <c r="L89" s="124"/>
      <c r="M89" s="124"/>
      <c r="N89" s="124"/>
      <c r="O89" s="124"/>
      <c r="P89" s="124"/>
      <c r="Q89" s="124"/>
      <c r="R89" s="124"/>
      <c r="S89" s="124"/>
      <c r="T89" s="124"/>
      <c r="U89" s="124"/>
      <c r="V89" s="124"/>
      <c r="W89" s="124"/>
      <c r="Y89" s="124"/>
    </row>
    <row r="90" spans="1:36">
      <c r="A90" s="28" t="s">
        <v>775</v>
      </c>
      <c r="B90" s="29"/>
      <c r="C90" s="30" t="str">
        <f>HYPERLINK(_xlfn.CONCAT("https://cmmiinstitute.com/appraisals-sys/appraisals/",Planning!$B$16,"/appraisal-sponsor"))</f>
        <v>https://cmmiinstitute.com/appraisals-sys/appraisals/53517/appraisal-sponsor</v>
      </c>
      <c r="Y90" s="16"/>
    </row>
    <row r="91" spans="1:36" s="124" customFormat="1">
      <c r="A91" s="191" t="s">
        <v>1054</v>
      </c>
      <c r="B91" s="191" t="s">
        <v>420</v>
      </c>
      <c r="C91" s="191" t="s">
        <v>1070</v>
      </c>
      <c r="D91" s="191" t="s">
        <v>1009</v>
      </c>
      <c r="E91" s="191" t="s">
        <v>1010</v>
      </c>
      <c r="F91" s="191" t="s">
        <v>1055</v>
      </c>
      <c r="G91" s="191" t="s">
        <v>1056</v>
      </c>
      <c r="H91" s="191" t="s">
        <v>1057</v>
      </c>
      <c r="I91" s="191" t="s">
        <v>1058</v>
      </c>
      <c r="J91" s="191" t="s">
        <v>1059</v>
      </c>
      <c r="K91" s="191" t="s">
        <v>1060</v>
      </c>
      <c r="L91" s="191" t="s">
        <v>1061</v>
      </c>
      <c r="M91" s="191" t="s">
        <v>1062</v>
      </c>
      <c r="N91" s="191"/>
      <c r="O91" s="191" t="s">
        <v>1063</v>
      </c>
      <c r="P91" s="191" t="s">
        <v>1064</v>
      </c>
      <c r="Q91" s="191" t="s">
        <v>1065</v>
      </c>
      <c r="R91" s="191" t="s">
        <v>1066</v>
      </c>
      <c r="S91" s="191" t="s">
        <v>1067</v>
      </c>
      <c r="T91" s="191" t="s">
        <v>1068</v>
      </c>
      <c r="U91" s="191" t="s">
        <v>1069</v>
      </c>
      <c r="V91" s="191" t="s">
        <v>10</v>
      </c>
      <c r="W91" s="190"/>
      <c r="X91" s="132"/>
      <c r="Y91" s="132"/>
      <c r="Z91" s="132"/>
      <c r="AA91" s="187"/>
    </row>
    <row r="92" spans="1:36" s="116" customFormat="1">
      <c r="A92" s="116" t="s">
        <v>1105</v>
      </c>
      <c r="B92" s="241" t="s">
        <v>1565</v>
      </c>
      <c r="C92" s="124" t="s">
        <v>1151</v>
      </c>
      <c r="D92" s="124" t="s">
        <v>6</v>
      </c>
      <c r="E92" s="124" t="s">
        <v>1008</v>
      </c>
      <c r="F92" s="124" t="s">
        <v>1137</v>
      </c>
      <c r="G92" s="124"/>
      <c r="H92" s="124" t="s">
        <v>968</v>
      </c>
      <c r="I92" s="124" t="s">
        <v>1569</v>
      </c>
      <c r="J92" s="124" t="s">
        <v>1071</v>
      </c>
      <c r="K92" s="124"/>
      <c r="L92" s="124">
        <v>8</v>
      </c>
      <c r="M92" s="192">
        <v>44186</v>
      </c>
      <c r="N92" s="124"/>
      <c r="O92" s="124">
        <v>7</v>
      </c>
      <c r="P92" s="124" t="s">
        <v>426</v>
      </c>
      <c r="Q92" s="124" t="s">
        <v>1051</v>
      </c>
      <c r="R92" s="124">
        <v>3</v>
      </c>
      <c r="S92" s="124">
        <v>0</v>
      </c>
      <c r="T92" s="124" t="s">
        <v>1052</v>
      </c>
      <c r="U92" s="124" t="s">
        <v>1362</v>
      </c>
      <c r="V92" s="30" t="s">
        <v>1573</v>
      </c>
      <c r="W92" s="124"/>
      <c r="AA92" s="292"/>
    </row>
    <row r="93" spans="1:36" s="116" customFormat="1">
      <c r="A93" s="116" t="s">
        <v>1105</v>
      </c>
      <c r="B93" s="241" t="s">
        <v>1566</v>
      </c>
      <c r="C93" s="124" t="s">
        <v>1151</v>
      </c>
      <c r="D93" s="124" t="s">
        <v>6</v>
      </c>
      <c r="E93" s="124" t="s">
        <v>1008</v>
      </c>
      <c r="F93" s="124" t="s">
        <v>1137</v>
      </c>
      <c r="G93" s="124"/>
      <c r="H93" s="124" t="s">
        <v>968</v>
      </c>
      <c r="I93" s="124" t="s">
        <v>1570</v>
      </c>
      <c r="J93" s="124" t="s">
        <v>1071</v>
      </c>
      <c r="K93" s="124"/>
      <c r="L93" s="124">
        <v>8</v>
      </c>
      <c r="M93" s="192">
        <v>44186</v>
      </c>
      <c r="N93" s="124"/>
      <c r="O93" s="124">
        <v>18</v>
      </c>
      <c r="P93" s="124" t="s">
        <v>426</v>
      </c>
      <c r="Q93" s="124" t="s">
        <v>1051</v>
      </c>
      <c r="R93" s="124">
        <v>14</v>
      </c>
      <c r="S93" s="124">
        <v>0</v>
      </c>
      <c r="T93" s="124" t="s">
        <v>1052</v>
      </c>
      <c r="U93" s="124" t="s">
        <v>1362</v>
      </c>
      <c r="V93" s="30" t="s">
        <v>1574</v>
      </c>
      <c r="W93" s="124"/>
      <c r="AA93" s="292"/>
    </row>
    <row r="94" spans="1:36" s="116" customFormat="1">
      <c r="A94" s="116" t="s">
        <v>1105</v>
      </c>
      <c r="B94" s="241" t="s">
        <v>1567</v>
      </c>
      <c r="C94" s="124" t="s">
        <v>1151</v>
      </c>
      <c r="D94" s="124" t="s">
        <v>6</v>
      </c>
      <c r="E94" s="124" t="s">
        <v>1008</v>
      </c>
      <c r="F94" s="124" t="s">
        <v>1137</v>
      </c>
      <c r="G94" s="124"/>
      <c r="H94" s="124" t="s">
        <v>968</v>
      </c>
      <c r="I94" s="124" t="s">
        <v>1571</v>
      </c>
      <c r="J94" s="124" t="s">
        <v>1050</v>
      </c>
      <c r="K94" s="124"/>
      <c r="L94" s="124">
        <v>8</v>
      </c>
      <c r="M94" s="192">
        <v>44186</v>
      </c>
      <c r="N94" s="124"/>
      <c r="O94" s="124">
        <v>20</v>
      </c>
      <c r="P94" s="124" t="s">
        <v>426</v>
      </c>
      <c r="Q94" s="124" t="s">
        <v>1051</v>
      </c>
      <c r="R94" s="124">
        <v>30</v>
      </c>
      <c r="S94" s="124">
        <v>5</v>
      </c>
      <c r="T94" s="124" t="s">
        <v>1052</v>
      </c>
      <c r="U94" s="124" t="s">
        <v>1363</v>
      </c>
      <c r="V94" s="30" t="s">
        <v>1575</v>
      </c>
      <c r="W94" s="124"/>
      <c r="AA94" s="292"/>
    </row>
    <row r="95" spans="1:36" s="116" customFormat="1">
      <c r="A95" s="116" t="s">
        <v>1105</v>
      </c>
      <c r="B95" s="241" t="s">
        <v>1568</v>
      </c>
      <c r="C95" s="124" t="s">
        <v>1151</v>
      </c>
      <c r="D95" s="124" t="s">
        <v>6</v>
      </c>
      <c r="E95" s="124" t="s">
        <v>1008</v>
      </c>
      <c r="F95" s="124" t="s">
        <v>1137</v>
      </c>
      <c r="G95" s="124"/>
      <c r="H95" s="124" t="s">
        <v>968</v>
      </c>
      <c r="I95" s="124" t="s">
        <v>1572</v>
      </c>
      <c r="J95" s="124" t="s">
        <v>1071</v>
      </c>
      <c r="K95" s="124"/>
      <c r="L95" s="124">
        <v>8</v>
      </c>
      <c r="M95" s="192">
        <v>44186</v>
      </c>
      <c r="N95" s="124"/>
      <c r="O95" s="124">
        <v>12</v>
      </c>
      <c r="P95" s="124" t="s">
        <v>426</v>
      </c>
      <c r="Q95" s="124" t="s">
        <v>1051</v>
      </c>
      <c r="R95" s="124">
        <v>10</v>
      </c>
      <c r="S95" s="124">
        <v>9</v>
      </c>
      <c r="T95" s="124" t="s">
        <v>1052</v>
      </c>
      <c r="U95" s="124" t="s">
        <v>1363</v>
      </c>
      <c r="V95" s="30" t="s">
        <v>1576</v>
      </c>
      <c r="W95" s="124"/>
      <c r="AA95" s="292"/>
    </row>
    <row r="96" spans="1:36" s="116" customFormat="1">
      <c r="A96" s="116" t="s">
        <v>1105</v>
      </c>
      <c r="B96" s="241" t="s">
        <v>1239</v>
      </c>
      <c r="C96" s="124" t="s">
        <v>1151</v>
      </c>
      <c r="D96" s="124" t="s">
        <v>6</v>
      </c>
      <c r="E96" s="124" t="s">
        <v>1008</v>
      </c>
      <c r="F96" s="124" t="s">
        <v>1137</v>
      </c>
      <c r="G96" s="124"/>
      <c r="H96" s="124" t="s">
        <v>968</v>
      </c>
      <c r="I96" s="124" t="s">
        <v>1240</v>
      </c>
      <c r="J96" s="124" t="s">
        <v>1071</v>
      </c>
      <c r="K96" s="124" t="s">
        <v>1072</v>
      </c>
      <c r="L96" s="124">
        <v>8</v>
      </c>
      <c r="M96" s="192">
        <v>44137</v>
      </c>
      <c r="N96" s="124"/>
      <c r="O96" s="124">
        <v>16</v>
      </c>
      <c r="P96" s="124" t="s">
        <v>426</v>
      </c>
      <c r="Q96" s="124" t="s">
        <v>1051</v>
      </c>
      <c r="R96" s="124">
        <v>17</v>
      </c>
      <c r="S96" s="124">
        <v>2</v>
      </c>
      <c r="T96" s="124" t="s">
        <v>1052</v>
      </c>
      <c r="U96" s="124" t="s">
        <v>1053</v>
      </c>
      <c r="V96" s="30" t="s">
        <v>1241</v>
      </c>
      <c r="W96" s="124"/>
      <c r="AA96" s="292"/>
    </row>
    <row r="97" spans="1:27" s="116" customFormat="1">
      <c r="A97" s="116" t="s">
        <v>1105</v>
      </c>
      <c r="B97" s="241" t="s">
        <v>1242</v>
      </c>
      <c r="C97" s="124" t="s">
        <v>1151</v>
      </c>
      <c r="D97" s="124" t="s">
        <v>6</v>
      </c>
      <c r="E97" s="124" t="s">
        <v>1008</v>
      </c>
      <c r="F97" s="124" t="s">
        <v>1137</v>
      </c>
      <c r="G97" s="124"/>
      <c r="H97" s="124" t="s">
        <v>968</v>
      </c>
      <c r="I97" s="124" t="s">
        <v>1243</v>
      </c>
      <c r="J97" s="124" t="s">
        <v>1071</v>
      </c>
      <c r="K97" s="124"/>
      <c r="L97" s="124">
        <v>8</v>
      </c>
      <c r="M97" s="192">
        <v>44202</v>
      </c>
      <c r="N97" s="124"/>
      <c r="O97" s="124">
        <v>18</v>
      </c>
      <c r="P97" s="124" t="s">
        <v>426</v>
      </c>
      <c r="Q97" s="124" t="s">
        <v>1051</v>
      </c>
      <c r="R97" s="124">
        <v>15</v>
      </c>
      <c r="S97" s="124">
        <v>1</v>
      </c>
      <c r="T97" s="124" t="s">
        <v>1052</v>
      </c>
      <c r="U97" s="124" t="s">
        <v>1053</v>
      </c>
      <c r="V97" s="30" t="s">
        <v>1244</v>
      </c>
      <c r="W97" s="124"/>
      <c r="AA97" s="292"/>
    </row>
    <row r="98" spans="1:27" s="116" customFormat="1">
      <c r="A98" s="116" t="s">
        <v>1105</v>
      </c>
      <c r="B98" s="241" t="s">
        <v>1245</v>
      </c>
      <c r="C98" s="124" t="s">
        <v>1151</v>
      </c>
      <c r="D98" s="124" t="s">
        <v>6</v>
      </c>
      <c r="E98" s="124" t="s">
        <v>735</v>
      </c>
      <c r="F98" s="124" t="s">
        <v>730</v>
      </c>
      <c r="G98" s="124"/>
      <c r="H98" s="124" t="s">
        <v>1236</v>
      </c>
      <c r="I98" s="124" t="s">
        <v>1246</v>
      </c>
      <c r="J98" s="124" t="s">
        <v>1050</v>
      </c>
      <c r="K98" s="124" t="s">
        <v>1072</v>
      </c>
      <c r="L98" s="124">
        <v>8</v>
      </c>
      <c r="M98" s="192">
        <v>44144</v>
      </c>
      <c r="N98" s="124"/>
      <c r="O98" s="124">
        <v>20</v>
      </c>
      <c r="P98" s="124" t="s">
        <v>426</v>
      </c>
      <c r="Q98" s="124" t="s">
        <v>1051</v>
      </c>
      <c r="R98" s="124">
        <v>14</v>
      </c>
      <c r="S98" s="124">
        <v>2</v>
      </c>
      <c r="T98" s="124" t="s">
        <v>1052</v>
      </c>
      <c r="U98" s="124" t="s">
        <v>1053</v>
      </c>
      <c r="V98" s="30" t="s">
        <v>1247</v>
      </c>
      <c r="W98" s="124"/>
      <c r="AA98" s="292"/>
    </row>
    <row r="99" spans="1:27" s="116" customFormat="1">
      <c r="A99" s="116" t="s">
        <v>1105</v>
      </c>
      <c r="B99" s="241" t="s">
        <v>1248</v>
      </c>
      <c r="C99" s="124" t="s">
        <v>1151</v>
      </c>
      <c r="D99" s="124" t="s">
        <v>6</v>
      </c>
      <c r="E99" s="124" t="s">
        <v>735</v>
      </c>
      <c r="F99" s="124" t="s">
        <v>730</v>
      </c>
      <c r="G99" s="124"/>
      <c r="H99" s="124" t="s">
        <v>1236</v>
      </c>
      <c r="I99" s="124" t="s">
        <v>1249</v>
      </c>
      <c r="J99" s="124" t="s">
        <v>1071</v>
      </c>
      <c r="K99" s="124" t="s">
        <v>1072</v>
      </c>
      <c r="L99" s="124">
        <v>8</v>
      </c>
      <c r="M99" s="192">
        <v>44144</v>
      </c>
      <c r="N99" s="124"/>
      <c r="O99" s="124">
        <v>5</v>
      </c>
      <c r="P99" s="124" t="s">
        <v>426</v>
      </c>
      <c r="Q99" s="124" t="s">
        <v>1051</v>
      </c>
      <c r="R99" s="124">
        <v>14</v>
      </c>
      <c r="S99" s="124">
        <v>3</v>
      </c>
      <c r="T99" s="124" t="s">
        <v>1052</v>
      </c>
      <c r="U99" s="124" t="s">
        <v>1053</v>
      </c>
      <c r="V99" s="30" t="s">
        <v>1250</v>
      </c>
      <c r="W99" s="124"/>
      <c r="AA99" s="292"/>
    </row>
    <row r="100" spans="1:27" s="116" customFormat="1">
      <c r="A100" s="116" t="s">
        <v>1105</v>
      </c>
      <c r="B100" s="241" t="s">
        <v>1251</v>
      </c>
      <c r="C100" s="124" t="s">
        <v>1151</v>
      </c>
      <c r="D100" s="124" t="s">
        <v>6</v>
      </c>
      <c r="E100" s="124" t="s">
        <v>1008</v>
      </c>
      <c r="F100" s="124" t="s">
        <v>1137</v>
      </c>
      <c r="G100" s="124"/>
      <c r="H100" s="124" t="s">
        <v>968</v>
      </c>
      <c r="I100" s="124" t="s">
        <v>1252</v>
      </c>
      <c r="J100" s="124" t="s">
        <v>1071</v>
      </c>
      <c r="K100" s="124" t="s">
        <v>1072</v>
      </c>
      <c r="L100" s="124">
        <v>8</v>
      </c>
      <c r="M100" s="192">
        <v>44202</v>
      </c>
      <c r="N100" s="124"/>
      <c r="O100" s="124">
        <v>17</v>
      </c>
      <c r="P100" s="124" t="s">
        <v>426</v>
      </c>
      <c r="Q100" s="124" t="s">
        <v>1051</v>
      </c>
      <c r="R100" s="124">
        <v>17</v>
      </c>
      <c r="S100" s="124">
        <v>1</v>
      </c>
      <c r="T100" s="124" t="s">
        <v>1052</v>
      </c>
      <c r="U100" s="124" t="s">
        <v>1053</v>
      </c>
      <c r="V100" s="30" t="s">
        <v>1253</v>
      </c>
      <c r="W100" s="124"/>
      <c r="AA100" s="292"/>
    </row>
    <row r="101" spans="1:27" s="116" customFormat="1">
      <c r="B101" s="241"/>
      <c r="C101" s="124"/>
      <c r="D101" s="124"/>
      <c r="E101" s="124"/>
      <c r="F101" s="124"/>
      <c r="G101" s="124"/>
      <c r="H101" s="124"/>
      <c r="I101" s="124"/>
      <c r="J101" s="124"/>
      <c r="K101" s="124"/>
      <c r="L101" s="124"/>
      <c r="M101" s="124"/>
      <c r="N101" s="124"/>
      <c r="O101" s="124"/>
      <c r="P101" s="124"/>
      <c r="Q101" s="124"/>
      <c r="R101" s="124"/>
      <c r="S101" s="124"/>
      <c r="T101" s="124"/>
      <c r="U101" s="124"/>
      <c r="V101" s="30"/>
      <c r="W101" s="124"/>
      <c r="AA101" s="292"/>
    </row>
    <row r="102" spans="1:27" s="116" customFormat="1">
      <c r="A102" s="241" t="s">
        <v>969</v>
      </c>
      <c r="B102" s="241" t="s">
        <v>1600</v>
      </c>
      <c r="C102" s="124" t="s">
        <v>1151</v>
      </c>
      <c r="D102" s="124"/>
      <c r="E102" s="124"/>
      <c r="F102" s="124"/>
      <c r="G102" s="124"/>
      <c r="H102" s="124"/>
      <c r="I102" s="124"/>
      <c r="J102" s="124"/>
      <c r="K102" s="124"/>
      <c r="L102" s="124"/>
      <c r="M102" s="124"/>
      <c r="N102" s="124"/>
      <c r="O102" s="124"/>
      <c r="P102" s="124"/>
      <c r="Q102" s="124"/>
      <c r="R102" s="124"/>
      <c r="S102" s="124"/>
      <c r="T102" s="124"/>
      <c r="U102" s="124"/>
      <c r="V102" s="30" t="s">
        <v>1599</v>
      </c>
      <c r="W102" s="124"/>
      <c r="AA102" s="292"/>
    </row>
    <row r="103" spans="1:27" s="116" customFormat="1">
      <c r="A103" s="116" t="s">
        <v>968</v>
      </c>
      <c r="B103" s="241"/>
      <c r="C103" s="124" t="s">
        <v>1151</v>
      </c>
      <c r="D103" s="124"/>
      <c r="E103" s="124"/>
      <c r="F103" s="124"/>
      <c r="G103" s="124"/>
      <c r="H103" s="124"/>
      <c r="I103" s="124"/>
      <c r="J103" s="124"/>
      <c r="K103" s="124"/>
      <c r="L103" s="124"/>
      <c r="M103" s="124"/>
      <c r="N103" s="124"/>
      <c r="O103" s="124"/>
      <c r="P103" s="124"/>
      <c r="Q103" s="124"/>
      <c r="R103" s="124"/>
      <c r="S103" s="124"/>
      <c r="T103" s="124"/>
      <c r="U103" s="124"/>
      <c r="V103" s="30"/>
      <c r="W103" s="124"/>
      <c r="AA103" s="292"/>
    </row>
    <row r="104" spans="1:27" s="116" customFormat="1">
      <c r="A104" s="116" t="s">
        <v>949</v>
      </c>
      <c r="B104" s="241" t="s">
        <v>1364</v>
      </c>
      <c r="C104" s="124"/>
      <c r="D104" s="124" t="s">
        <v>6</v>
      </c>
      <c r="E104" s="124" t="s">
        <v>1008</v>
      </c>
      <c r="F104" s="124" t="s">
        <v>1137</v>
      </c>
      <c r="G104" s="124"/>
      <c r="H104" s="124" t="s">
        <v>968</v>
      </c>
      <c r="I104" s="124" t="s">
        <v>1365</v>
      </c>
      <c r="J104" s="124" t="s">
        <v>1071</v>
      </c>
      <c r="K104" s="124" t="s">
        <v>1072</v>
      </c>
      <c r="L104" s="124">
        <v>8</v>
      </c>
      <c r="M104" s="124">
        <v>44186</v>
      </c>
      <c r="N104" s="124"/>
      <c r="O104" s="124">
        <v>12</v>
      </c>
      <c r="P104" s="124" t="s">
        <v>426</v>
      </c>
      <c r="Q104" s="124" t="s">
        <v>1051</v>
      </c>
      <c r="R104" s="124">
        <v>10</v>
      </c>
      <c r="S104" s="124">
        <v>9</v>
      </c>
      <c r="T104" s="124" t="s">
        <v>1052</v>
      </c>
      <c r="U104" s="124" t="s">
        <v>1053</v>
      </c>
      <c r="V104" s="30" t="s">
        <v>1366</v>
      </c>
      <c r="W104" s="124"/>
      <c r="AA104" s="292"/>
    </row>
    <row r="106" spans="1:27">
      <c r="A106" s="28" t="s">
        <v>776</v>
      </c>
      <c r="B106" s="29"/>
      <c r="C106" s="30" t="str">
        <f>HYPERLINK(_xlfn.CONCAT("https://cmmiinstitute.com/appraisals-sys/appraisals/",Planning!$B$16,"/training-schedule"))</f>
        <v>https://cmmiinstitute.com/appraisals-sys/appraisals/53517/training-schedule</v>
      </c>
    </row>
    <row r="107" spans="1:27">
      <c r="A107" s="40" t="s">
        <v>778</v>
      </c>
      <c r="B107" s="41"/>
    </row>
    <row r="109" spans="1:27">
      <c r="A109" s="28" t="s">
        <v>777</v>
      </c>
      <c r="B109" s="29"/>
      <c r="C109" s="30" t="str">
        <f>HYPERLINK(_xlfn.CONCAT("https://cmmiinstitute.com/appraisals-sys/appraisals/",Planning!$B$16,"/team-member-experience"))</f>
        <v>https://cmmiinstitute.com/appraisals-sys/appraisals/53517/team-member-experience</v>
      </c>
    </row>
    <row r="110" spans="1:27">
      <c r="A110" s="40" t="s">
        <v>778</v>
      </c>
      <c r="B110" s="41"/>
    </row>
    <row r="112" spans="1:27">
      <c r="A112" s="28" t="s">
        <v>779</v>
      </c>
      <c r="B112" s="29"/>
      <c r="C112" s="30" t="str">
        <f>HYPERLINK(_xlfn.CONCAT("https://cmmiinstitute.com/appraisals-sys/appraisals/",Planning!$B$16,"/roles-responsibilities"))</f>
        <v>https://cmmiinstitute.com/appraisals-sys/appraisals/53517/roles-responsibilities</v>
      </c>
    </row>
    <row r="113" spans="1:23" s="116" customFormat="1">
      <c r="A113" s="40" t="s">
        <v>1189</v>
      </c>
      <c r="B113" s="107"/>
      <c r="C113" s="124"/>
      <c r="D113" s="124"/>
      <c r="E113" s="124"/>
      <c r="F113" s="124"/>
      <c r="G113" s="124"/>
      <c r="H113" s="124"/>
      <c r="I113" s="124"/>
      <c r="J113" s="124"/>
      <c r="K113" s="124"/>
      <c r="L113" s="124"/>
      <c r="M113" s="124"/>
      <c r="N113" s="124"/>
      <c r="O113" s="124"/>
      <c r="P113" s="124"/>
      <c r="Q113" s="124"/>
      <c r="R113" s="124"/>
      <c r="S113" s="124"/>
      <c r="T113" s="124"/>
      <c r="U113" s="124"/>
      <c r="V113" s="124"/>
      <c r="W113" s="124"/>
    </row>
    <row r="115" spans="1:23">
      <c r="A115" s="28" t="s">
        <v>780</v>
      </c>
      <c r="B115" s="29"/>
      <c r="C115" s="30" t="str">
        <f>HYPERLINK(_xlfn.CONCAT("https://cmmiinstitute.com/appraisals-sys/appraisals/",Planning!$B$16,"/appraisal-participants"))</f>
        <v>https://cmmiinstitute.com/appraisals-sys/appraisals/53517/appraisal-participants</v>
      </c>
    </row>
    <row r="116" spans="1:23" s="121" customFormat="1">
      <c r="A116" s="122" t="s">
        <v>1358</v>
      </c>
      <c r="B116" s="115"/>
      <c r="C116" s="193" t="s">
        <v>1076</v>
      </c>
      <c r="D116" s="133"/>
      <c r="E116" s="133"/>
      <c r="F116" s="133"/>
      <c r="G116" s="124"/>
      <c r="H116" s="133"/>
      <c r="I116" s="133"/>
      <c r="J116" s="133"/>
      <c r="K116" s="133"/>
      <c r="L116" s="133"/>
      <c r="M116" s="133"/>
      <c r="N116" s="133"/>
      <c r="O116" s="133"/>
      <c r="P116" s="133"/>
      <c r="Q116" s="133"/>
      <c r="R116" s="133"/>
      <c r="S116" s="133"/>
      <c r="T116" s="133"/>
      <c r="U116" s="133"/>
      <c r="V116" s="133"/>
      <c r="W116" s="133"/>
    </row>
    <row r="118" spans="1:23">
      <c r="A118" s="28" t="s">
        <v>781</v>
      </c>
      <c r="B118" s="29"/>
      <c r="C118" s="30" t="str">
        <f>HYPERLINK(_xlfn.CONCAT("https://cmmiinstitute.com/appraisals-sys/appraisals/",Planning!$B$16,"/participants-responsibilities"))</f>
        <v>https://cmmiinstitute.com/appraisals-sys/appraisals/53517/participants-responsibilities</v>
      </c>
    </row>
    <row r="119" spans="1:23" s="121" customFormat="1">
      <c r="A119" s="122" t="s">
        <v>1359</v>
      </c>
      <c r="B119" s="115"/>
      <c r="C119" s="188"/>
      <c r="D119" s="133"/>
      <c r="E119" s="133"/>
      <c r="F119" s="133"/>
      <c r="G119" s="124"/>
      <c r="H119" s="133"/>
      <c r="I119" s="133"/>
      <c r="J119" s="133"/>
      <c r="K119" s="133"/>
      <c r="L119" s="133"/>
      <c r="M119" s="133"/>
      <c r="N119" s="133"/>
      <c r="O119" s="133"/>
      <c r="P119" s="133"/>
      <c r="Q119" s="133"/>
      <c r="R119" s="133"/>
      <c r="S119" s="133"/>
      <c r="T119" s="133"/>
      <c r="U119" s="133"/>
      <c r="V119" s="133"/>
      <c r="W119" s="133"/>
    </row>
    <row r="121" spans="1:23">
      <c r="A121" s="15" t="s">
        <v>782</v>
      </c>
      <c r="B121" s="17"/>
    </row>
    <row r="122" spans="1:23">
      <c r="A122" s="28" t="s">
        <v>427</v>
      </c>
      <c r="B122" s="29"/>
      <c r="C122" s="30"/>
    </row>
    <row r="123" spans="1:23" s="121" customFormat="1">
      <c r="A123" s="122" t="s">
        <v>1360</v>
      </c>
      <c r="B123" s="115"/>
      <c r="C123" s="193" t="s">
        <v>1075</v>
      </c>
      <c r="D123" s="133"/>
      <c r="E123" s="133"/>
      <c r="F123" s="133"/>
      <c r="G123" s="124"/>
      <c r="H123" s="133"/>
      <c r="I123" s="133"/>
      <c r="J123" s="133"/>
      <c r="K123" s="133"/>
      <c r="L123" s="133"/>
      <c r="M123" s="133"/>
      <c r="N123" s="133"/>
      <c r="O123" s="133"/>
      <c r="P123" s="133"/>
      <c r="Q123" s="133"/>
      <c r="R123" s="133"/>
      <c r="S123" s="133"/>
      <c r="T123" s="133"/>
      <c r="U123" s="133"/>
      <c r="V123" s="133"/>
      <c r="W123" s="133"/>
    </row>
    <row r="125" spans="1:23">
      <c r="A125" s="28" t="s">
        <v>783</v>
      </c>
      <c r="B125" s="29"/>
      <c r="C125" s="30"/>
    </row>
    <row r="126" spans="1:23">
      <c r="A126" s="456" t="s">
        <v>1361</v>
      </c>
      <c r="B126" s="456"/>
    </row>
    <row r="128" spans="1:23">
      <c r="A128" s="28" t="s">
        <v>784</v>
      </c>
      <c r="B128" s="29"/>
      <c r="C128" s="30"/>
    </row>
    <row r="129" spans="1:3">
      <c r="A129" s="11" t="s">
        <v>435</v>
      </c>
      <c r="B129" s="13" t="s">
        <v>433</v>
      </c>
      <c r="C129" s="124" t="s">
        <v>384</v>
      </c>
    </row>
    <row r="130" spans="1:3">
      <c r="A130" s="11" t="s">
        <v>436</v>
      </c>
    </row>
    <row r="131" spans="1:3">
      <c r="A131" s="11" t="s">
        <v>437</v>
      </c>
      <c r="B131" s="11" t="s">
        <v>824</v>
      </c>
    </row>
    <row r="133" spans="1:3">
      <c r="A133" s="28" t="s">
        <v>717</v>
      </c>
      <c r="B133" s="29"/>
      <c r="C133" s="30"/>
    </row>
    <row r="134" spans="1:3">
      <c r="A134" s="11" t="s">
        <v>428</v>
      </c>
      <c r="B134" s="12" t="str">
        <f>B129</f>
        <v>Type of Work</v>
      </c>
    </row>
    <row r="135" spans="1:3">
      <c r="A135" s="11" t="s">
        <v>825</v>
      </c>
      <c r="B135" s="11" t="s">
        <v>826</v>
      </c>
    </row>
    <row r="136" spans="1:3">
      <c r="A136" s="11" t="s">
        <v>382</v>
      </c>
      <c r="B136" s="11" t="s">
        <v>824</v>
      </c>
    </row>
    <row r="138" spans="1:3">
      <c r="A138" s="28" t="s">
        <v>785</v>
      </c>
      <c r="B138" s="29"/>
      <c r="C138" s="30"/>
    </row>
    <row r="139" spans="1:3">
      <c r="A139" s="11" t="s">
        <v>13</v>
      </c>
      <c r="B139" s="11" t="s">
        <v>826</v>
      </c>
    </row>
    <row r="140" spans="1:3">
      <c r="A140" s="11" t="s">
        <v>827</v>
      </c>
      <c r="B140" s="11" t="s">
        <v>828</v>
      </c>
    </row>
    <row r="141" spans="1:3">
      <c r="A141" s="11" t="s">
        <v>829</v>
      </c>
      <c r="B141" s="11" t="s">
        <v>830</v>
      </c>
    </row>
    <row r="143" spans="1:3">
      <c r="A143" s="28" t="s">
        <v>786</v>
      </c>
      <c r="B143" s="29"/>
      <c r="C143" s="30"/>
    </row>
    <row r="144" spans="1:3">
      <c r="A144" s="457" t="s">
        <v>831</v>
      </c>
      <c r="B144" s="457"/>
    </row>
    <row r="146" spans="1:3">
      <c r="A146" s="250" t="s">
        <v>787</v>
      </c>
      <c r="B146" s="251"/>
      <c r="C146" s="252"/>
    </row>
    <row r="147" spans="1:3">
      <c r="A147" s="458" t="s">
        <v>788</v>
      </c>
      <c r="B147" s="460"/>
      <c r="C147" s="253" t="s">
        <v>1156</v>
      </c>
    </row>
    <row r="148" spans="1:3" ht="15" thickBot="1">
      <c r="A148" s="459"/>
      <c r="B148" s="461"/>
      <c r="C148" s="253" t="s">
        <v>1159</v>
      </c>
    </row>
    <row r="149" spans="1:3">
      <c r="A149" s="254" t="s">
        <v>751</v>
      </c>
      <c r="B149" s="254" t="s">
        <v>1157</v>
      </c>
      <c r="C149" s="252"/>
    </row>
    <row r="150" spans="1:3" ht="15" thickBot="1">
      <c r="A150" s="255" t="s">
        <v>832</v>
      </c>
      <c r="B150" s="255" t="s">
        <v>833</v>
      </c>
      <c r="C150" s="252"/>
    </row>
    <row r="151" spans="1:3">
      <c r="A151" s="256" t="s">
        <v>750</v>
      </c>
      <c r="B151" s="256" t="s">
        <v>1160</v>
      </c>
      <c r="C151" s="252"/>
    </row>
    <row r="152" spans="1:3" ht="15" thickBot="1">
      <c r="A152" s="255" t="s">
        <v>832</v>
      </c>
      <c r="B152" s="255" t="s">
        <v>833</v>
      </c>
      <c r="C152" s="252"/>
    </row>
    <row r="153" spans="1:3">
      <c r="A153" s="256" t="s">
        <v>834</v>
      </c>
      <c r="B153" s="256" t="s">
        <v>1161</v>
      </c>
      <c r="C153" s="252"/>
    </row>
    <row r="154" spans="1:3" ht="15" thickBot="1">
      <c r="A154" s="255" t="s">
        <v>832</v>
      </c>
      <c r="B154" s="255" t="s">
        <v>833</v>
      </c>
      <c r="C154" s="252"/>
    </row>
    <row r="155" spans="1:3">
      <c r="A155" s="256" t="s">
        <v>752</v>
      </c>
      <c r="B155" s="256" t="s">
        <v>1158</v>
      </c>
      <c r="C155" s="257" t="s">
        <v>1368</v>
      </c>
    </row>
    <row r="157" spans="1:3">
      <c r="A157" s="28" t="s">
        <v>789</v>
      </c>
      <c r="B157" s="29"/>
      <c r="C157" s="30"/>
    </row>
    <row r="158" spans="1:3" ht="28.8">
      <c r="A158" s="11" t="s">
        <v>836</v>
      </c>
      <c r="B158" s="11" t="s">
        <v>1367</v>
      </c>
      <c r="C158" s="257" t="s">
        <v>1368</v>
      </c>
    </row>
    <row r="159" spans="1:3">
      <c r="A159" s="42" t="s">
        <v>832</v>
      </c>
      <c r="B159" s="42" t="s">
        <v>833</v>
      </c>
    </row>
    <row r="161" spans="1:3">
      <c r="A161" s="28" t="s">
        <v>790</v>
      </c>
      <c r="B161" s="29"/>
      <c r="C161" s="30"/>
    </row>
    <row r="162" spans="1:3">
      <c r="A162" s="11" t="s">
        <v>837</v>
      </c>
      <c r="B162" s="11" t="s">
        <v>1163</v>
      </c>
    </row>
  </sheetData>
  <mergeCells count="5">
    <mergeCell ref="X87:AA87"/>
    <mergeCell ref="A126:B126"/>
    <mergeCell ref="A144:B144"/>
    <mergeCell ref="A147:A148"/>
    <mergeCell ref="B147:B148"/>
  </mergeCells>
  <phoneticPr fontId="54" type="noConversion"/>
  <conditionalFormatting sqref="Y85">
    <cfRule type="cellIs" dxfId="114" priority="1" operator="equal">
      <formula>"ok"</formula>
    </cfRule>
  </conditionalFormatting>
  <dataValidations count="3">
    <dataValidation type="list" allowBlank="1" showInputMessage="1" showErrorMessage="1" sqref="B7:B11" xr:uid="{C4D67BC3-545E-459F-80AA-3F5ED7F59D71}">
      <formula1>"Yes, No"</formula1>
    </dataValidation>
    <dataValidation type="list" allowBlank="1" showInputMessage="1" showErrorMessage="1" sqref="G85:G87" xr:uid="{5D828B13-7FAE-4E87-B189-4F808E260BB8}">
      <formula1>tbl_reportingRelationship</formula1>
    </dataValidation>
    <dataValidation type="list" allowBlank="1" showInputMessage="1" showErrorMessage="1" sqref="B129" xr:uid="{46835D1E-9202-4C62-93C3-427361AD5E6C}">
      <formula1>tbl_sampling</formula1>
    </dataValidation>
  </dataValidations>
  <hyperlinks>
    <hyperlink ref="V85" r:id="rId1" display="xiongguohui@gktel.com.cn" xr:uid="{C4DF1AAC-84D2-410E-BD1B-29B33154E23A}"/>
    <hyperlink ref="V86" r:id="rId2" display="qianjiedi@gktel.com.cn" xr:uid="{3BF8EE80-0B0B-4914-B5FD-B0B52C060186}"/>
    <hyperlink ref="V87" r:id="rId3" display="fengxiaoling@aski.cc" xr:uid="{824680ED-E1E1-40B8-8063-0B19083CC111}"/>
    <hyperlink ref="X85" r:id="rId4" xr:uid="{AF44B2A9-3EBE-4C6F-9C3A-757B9F039DB7}"/>
    <hyperlink ref="V92:V95" r:id="rId5" display="atm1.email@gmail.com" xr:uid="{8E3489BF-6368-411A-A481-436C5A1A89CF}"/>
    <hyperlink ref="V92" r:id="rId6" xr:uid="{FBB06E73-1DE5-4B51-845E-51A57A7A051A}"/>
    <hyperlink ref="V93" r:id="rId7" xr:uid="{CC2CE451-ACCF-4989-9777-90D6582BE54E}"/>
    <hyperlink ref="V100" r:id="rId8" xr:uid="{93DAE6BB-3DE8-484F-B792-AD6FD6A551C7}"/>
    <hyperlink ref="V99" r:id="rId9" xr:uid="{42B238E5-62F6-4E94-BE79-FFF4CB433D8C}"/>
    <hyperlink ref="V98" r:id="rId10" xr:uid="{103DD34A-96EE-4B88-BDFC-F660045EC52E}"/>
    <hyperlink ref="V97" r:id="rId11" xr:uid="{792DF3B7-6B41-4202-9968-89C3DB64A1D6}"/>
    <hyperlink ref="V96" r:id="rId12" xr:uid="{35992308-DCA6-4B9C-994E-AC7EC9EEC67F}"/>
    <hyperlink ref="V93:V100" r:id="rId13" display="atm1.email@gmail.com" xr:uid="{365F5D48-5CFE-4164-8198-D65B94D1F627}"/>
    <hyperlink ref="V94" r:id="rId14" xr:uid="{63D4CD51-EBC7-44D2-8E95-AF46C1DBB077}"/>
    <hyperlink ref="V95" r:id="rId15" xr:uid="{124772E9-B9E0-45A0-908C-ECF941CBDCFD}"/>
    <hyperlink ref="V102" r:id="rId16" xr:uid="{A3938888-0262-44B9-96FD-00BD65598F9D}"/>
  </hyperlinks>
  <pageMargins left="0.7" right="0.7" top="0.75" bottom="0.75" header="0.3" footer="0.3"/>
  <pageSetup orientation="portrait" r:id="rId17"/>
  <legacyDrawing r:id="rId18"/>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9685584-6401-4A9A-AB80-2D2D30B9D1C1}">
  <sheetPr codeName="Sheet7">
    <tabColor theme="8" tint="0.79998168889431442"/>
  </sheetPr>
  <dimension ref="A1:C19"/>
  <sheetViews>
    <sheetView workbookViewId="0">
      <selection activeCell="B14" sqref="B14"/>
    </sheetView>
  </sheetViews>
  <sheetFormatPr defaultColWidth="8.6640625" defaultRowHeight="14.4"/>
  <cols>
    <col min="1" max="1" width="34.5546875" style="124" customWidth="1"/>
    <col min="2" max="2" width="40.6640625" style="124" customWidth="1"/>
    <col min="3" max="16384" width="8.6640625" style="124"/>
  </cols>
  <sheetData>
    <row r="1" spans="1:3" s="116" customFormat="1">
      <c r="A1" s="117" t="s">
        <v>586</v>
      </c>
      <c r="B1" s="99"/>
    </row>
    <row r="2" spans="1:3" s="116" customFormat="1">
      <c r="A2" s="29" t="s">
        <v>838</v>
      </c>
      <c r="B2" s="29"/>
      <c r="C2" s="53"/>
    </row>
    <row r="3" spans="1:3" s="116" customFormat="1">
      <c r="A3" s="116" t="s">
        <v>1369</v>
      </c>
    </row>
    <row r="4" spans="1:3" s="116" customFormat="1"/>
    <row r="5" spans="1:3" s="116" customFormat="1">
      <c r="A5" s="29" t="s">
        <v>839</v>
      </c>
      <c r="B5" s="29"/>
      <c r="C5" s="53"/>
    </row>
    <row r="6" spans="1:3" s="116" customFormat="1">
      <c r="A6" s="116" t="s">
        <v>1369</v>
      </c>
    </row>
    <row r="7" spans="1:3" s="116" customFormat="1"/>
    <row r="8" spans="1:3" s="116" customFormat="1" ht="28.8">
      <c r="A8" s="29" t="s">
        <v>840</v>
      </c>
      <c r="B8" s="29"/>
      <c r="C8" s="53"/>
    </row>
    <row r="9" spans="1:3" s="116" customFormat="1">
      <c r="A9" s="116" t="s">
        <v>1369</v>
      </c>
      <c r="B9" s="116" t="s">
        <v>1371</v>
      </c>
    </row>
    <row r="10" spans="1:3" s="116" customFormat="1"/>
    <row r="11" spans="1:3" s="116" customFormat="1">
      <c r="A11" s="29" t="s">
        <v>841</v>
      </c>
      <c r="B11" s="29"/>
      <c r="C11" s="53"/>
    </row>
    <row r="12" spans="1:3" s="116" customFormat="1"/>
    <row r="13" spans="1:3" s="116" customFormat="1"/>
    <row r="14" spans="1:3" s="116" customFormat="1">
      <c r="A14" s="29" t="s">
        <v>842</v>
      </c>
      <c r="B14" s="29"/>
      <c r="C14" s="53"/>
    </row>
    <row r="15" spans="1:3" s="116" customFormat="1" ht="28.8">
      <c r="A15" s="116" t="s">
        <v>1369</v>
      </c>
      <c r="B15" s="116" t="s">
        <v>1370</v>
      </c>
    </row>
    <row r="16" spans="1:3" s="116" customFormat="1"/>
    <row r="17" spans="1:3" s="116" customFormat="1">
      <c r="A17" s="29" t="s">
        <v>843</v>
      </c>
      <c r="B17" s="29"/>
      <c r="C17" s="53"/>
    </row>
    <row r="18" spans="1:3" s="116" customFormat="1"/>
    <row r="19" spans="1:3" s="116" customFormat="1"/>
  </sheetData>
  <phoneticPr fontId="54" type="noConversion"/>
  <pageMargins left="0.7" right="0.7" top="0.75" bottom="0.75" header="0.3" footer="0.3"/>
  <legacyDrawing r:id="rId1"/>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06CDDDA-FB67-46A2-A97A-86BD9DD32AC8}">
  <sheetPr codeName="Sheet8">
    <tabColor theme="8" tint="0.79998168889431442"/>
  </sheetPr>
  <dimension ref="A1:W269"/>
  <sheetViews>
    <sheetView workbookViewId="0">
      <selection activeCell="E4" sqref="E4"/>
    </sheetView>
  </sheetViews>
  <sheetFormatPr defaultColWidth="8.6640625" defaultRowHeight="14.4"/>
  <cols>
    <col min="1" max="1" width="50.33203125" style="116" customWidth="1"/>
    <col min="2" max="2" width="59.44140625" style="116" customWidth="1"/>
    <col min="3" max="3" width="17.33203125" style="116" customWidth="1"/>
    <col min="4" max="4" width="4.6640625" style="116" customWidth="1"/>
    <col min="5" max="5" width="34.6640625" style="116" customWidth="1"/>
    <col min="6" max="29" width="4.6640625" style="116" customWidth="1"/>
    <col min="30" max="16384" width="8.6640625" style="116"/>
  </cols>
  <sheetData>
    <row r="1" spans="1:3">
      <c r="A1" s="117" t="s">
        <v>791</v>
      </c>
      <c r="B1" s="99"/>
    </row>
    <row r="2" spans="1:3">
      <c r="A2" s="28" t="s">
        <v>792</v>
      </c>
      <c r="B2" s="29"/>
      <c r="C2" s="30"/>
    </row>
    <row r="3" spans="1:3" s="124" customFormat="1">
      <c r="A3" s="24" t="s">
        <v>794</v>
      </c>
      <c r="B3" s="116"/>
    </row>
    <row r="4" spans="1:3" s="124" customFormat="1" ht="43.2">
      <c r="A4" s="124" t="s">
        <v>588</v>
      </c>
      <c r="B4" s="116" t="s">
        <v>1372</v>
      </c>
    </row>
    <row r="5" spans="1:3" s="124" customFormat="1">
      <c r="A5" s="124" t="s">
        <v>589</v>
      </c>
      <c r="B5" s="116" t="s">
        <v>590</v>
      </c>
    </row>
    <row r="6" spans="1:3" s="124" customFormat="1">
      <c r="A6" s="124" t="s">
        <v>591</v>
      </c>
      <c r="B6" s="116" t="s">
        <v>590</v>
      </c>
    </row>
    <row r="7" spans="1:3" s="124" customFormat="1">
      <c r="B7" s="116"/>
    </row>
    <row r="8" spans="1:3" s="124" customFormat="1">
      <c r="A8" s="24" t="s">
        <v>795</v>
      </c>
      <c r="B8" s="116"/>
    </row>
    <row r="9" spans="1:3" s="124" customFormat="1" ht="28.8">
      <c r="A9" s="124" t="s">
        <v>588</v>
      </c>
      <c r="B9" s="116" t="s">
        <v>1373</v>
      </c>
    </row>
    <row r="10" spans="1:3" s="124" customFormat="1" ht="28.8">
      <c r="A10" s="124" t="s">
        <v>589</v>
      </c>
      <c r="B10" s="116" t="s">
        <v>736</v>
      </c>
    </row>
    <row r="11" spans="1:3" s="124" customFormat="1">
      <c r="A11" s="124" t="s">
        <v>591</v>
      </c>
      <c r="B11" s="116" t="s">
        <v>592</v>
      </c>
    </row>
    <row r="12" spans="1:3" s="124" customFormat="1">
      <c r="B12" s="116"/>
    </row>
    <row r="13" spans="1:3" s="124" customFormat="1">
      <c r="A13" s="24" t="s">
        <v>796</v>
      </c>
      <c r="B13" s="116"/>
    </row>
    <row r="14" spans="1:3" s="124" customFormat="1" ht="28.8">
      <c r="A14" s="124" t="s">
        <v>588</v>
      </c>
      <c r="B14" s="116" t="s">
        <v>1374</v>
      </c>
    </row>
    <row r="15" spans="1:3" s="124" customFormat="1">
      <c r="A15" s="124" t="s">
        <v>589</v>
      </c>
      <c r="B15" s="116" t="s">
        <v>737</v>
      </c>
    </row>
    <row r="16" spans="1:3" s="124" customFormat="1">
      <c r="A16" s="124" t="s">
        <v>591</v>
      </c>
      <c r="B16" s="116" t="s">
        <v>592</v>
      </c>
    </row>
    <row r="17" spans="1:3" s="124" customFormat="1">
      <c r="B17" s="116"/>
    </row>
    <row r="18" spans="1:3" s="124" customFormat="1">
      <c r="A18" s="24" t="s">
        <v>672</v>
      </c>
      <c r="B18" s="116"/>
    </row>
    <row r="19" spans="1:3" s="124" customFormat="1" ht="43.2">
      <c r="A19" s="124" t="s">
        <v>588</v>
      </c>
      <c r="B19" s="116" t="s">
        <v>1375</v>
      </c>
    </row>
    <row r="20" spans="1:3" s="124" customFormat="1">
      <c r="A20" s="124" t="s">
        <v>589</v>
      </c>
      <c r="B20" s="116" t="s">
        <v>593</v>
      </c>
    </row>
    <row r="21" spans="1:3" s="124" customFormat="1">
      <c r="A21" s="124" t="s">
        <v>591</v>
      </c>
      <c r="B21" s="116" t="s">
        <v>738</v>
      </c>
    </row>
    <row r="22" spans="1:3" s="124" customFormat="1">
      <c r="B22" s="116"/>
    </row>
    <row r="23" spans="1:3">
      <c r="A23" s="28" t="s">
        <v>793</v>
      </c>
      <c r="B23" s="29"/>
      <c r="C23" s="194"/>
    </row>
    <row r="24" spans="1:3" s="124" customFormat="1" ht="28.8">
      <c r="A24" s="124" t="s">
        <v>588</v>
      </c>
      <c r="B24" s="116" t="s">
        <v>1376</v>
      </c>
      <c r="C24" s="249"/>
    </row>
    <row r="25" spans="1:3" s="124" customFormat="1">
      <c r="B25" s="116"/>
      <c r="C25" s="249"/>
    </row>
    <row r="26" spans="1:3">
      <c r="A26" s="28" t="s">
        <v>799</v>
      </c>
      <c r="B26" s="29"/>
      <c r="C26" s="30"/>
    </row>
    <row r="27" spans="1:3" s="119" customFormat="1">
      <c r="A27" s="119" t="s">
        <v>604</v>
      </c>
      <c r="B27" s="120" t="s">
        <v>434</v>
      </c>
      <c r="C27" s="119" t="s">
        <v>384</v>
      </c>
    </row>
    <row r="28" spans="1:3" s="119" customFormat="1">
      <c r="A28" s="119" t="s">
        <v>605</v>
      </c>
      <c r="B28" s="116" t="s">
        <v>797</v>
      </c>
    </row>
    <row r="29" spans="1:3" s="119" customFormat="1">
      <c r="A29" s="119" t="s">
        <v>588</v>
      </c>
      <c r="B29" s="116" t="s">
        <v>798</v>
      </c>
    </row>
    <row r="30" spans="1:3" s="119" customFormat="1">
      <c r="A30" s="119" t="s">
        <v>589</v>
      </c>
      <c r="B30" s="116" t="s">
        <v>593</v>
      </c>
    </row>
    <row r="31" spans="1:3" s="119" customFormat="1">
      <c r="A31" s="119" t="s">
        <v>591</v>
      </c>
      <c r="B31" s="116" t="s">
        <v>592</v>
      </c>
    </row>
    <row r="32" spans="1:3" s="119" customFormat="1">
      <c r="B32" s="116"/>
    </row>
    <row r="33" spans="1:3" s="119" customFormat="1">
      <c r="B33" s="116"/>
    </row>
    <row r="34" spans="1:3" s="119" customFormat="1">
      <c r="A34" s="123" t="s">
        <v>603</v>
      </c>
      <c r="B34" s="116"/>
    </row>
    <row r="35" spans="1:3">
      <c r="A35" s="14"/>
    </row>
    <row r="36" spans="1:3">
      <c r="A36" s="117" t="s">
        <v>800</v>
      </c>
      <c r="B36" s="99"/>
    </row>
    <row r="37" spans="1:3">
      <c r="A37" s="28" t="s">
        <v>801</v>
      </c>
      <c r="B37" s="29"/>
      <c r="C37" s="30"/>
    </row>
    <row r="38" spans="1:3">
      <c r="A38" s="116" t="s">
        <v>606</v>
      </c>
      <c r="B38" s="120" t="s">
        <v>608</v>
      </c>
      <c r="C38" s="116" t="s">
        <v>384</v>
      </c>
    </row>
    <row r="39" spans="1:3" ht="43.2">
      <c r="A39" s="116" t="s">
        <v>382</v>
      </c>
      <c r="B39" s="116" t="s">
        <v>802</v>
      </c>
    </row>
    <row r="41" spans="1:3">
      <c r="A41" s="28" t="s">
        <v>803</v>
      </c>
      <c r="B41" s="29"/>
      <c r="C41" s="30"/>
    </row>
    <row r="42" spans="1:3">
      <c r="A42" s="116" t="s">
        <v>610</v>
      </c>
      <c r="B42" s="120" t="s">
        <v>613</v>
      </c>
      <c r="C42" s="116" t="s">
        <v>384</v>
      </c>
    </row>
    <row r="43" spans="1:3">
      <c r="A43" s="116" t="s">
        <v>611</v>
      </c>
    </row>
    <row r="44" spans="1:3">
      <c r="A44" s="116" t="s">
        <v>618</v>
      </c>
      <c r="B44" s="116" t="s">
        <v>619</v>
      </c>
    </row>
    <row r="45" spans="1:3" ht="43.2">
      <c r="A45" s="116" t="s">
        <v>382</v>
      </c>
      <c r="B45" s="116" t="s">
        <v>620</v>
      </c>
    </row>
    <row r="47" spans="1:3" s="119" customFormat="1">
      <c r="A47" s="123" t="s">
        <v>603</v>
      </c>
      <c r="B47" s="116"/>
    </row>
    <row r="49" spans="1:3">
      <c r="A49" s="28" t="s">
        <v>804</v>
      </c>
      <c r="B49" s="29"/>
      <c r="C49" s="30"/>
    </row>
    <row r="50" spans="1:3">
      <c r="A50" s="116" t="s">
        <v>622</v>
      </c>
      <c r="B50" s="120" t="s">
        <v>434</v>
      </c>
      <c r="C50" s="116" t="s">
        <v>384</v>
      </c>
    </row>
    <row r="51" spans="1:3">
      <c r="A51" s="116" t="s">
        <v>627</v>
      </c>
      <c r="B51" s="116" t="s">
        <v>628</v>
      </c>
    </row>
    <row r="52" spans="1:3">
      <c r="A52" s="116" t="s">
        <v>382</v>
      </c>
      <c r="B52" s="116" t="s">
        <v>739</v>
      </c>
    </row>
    <row r="54" spans="1:3">
      <c r="A54" s="28" t="s">
        <v>805</v>
      </c>
      <c r="B54" s="29"/>
    </row>
    <row r="55" spans="1:3">
      <c r="A55" s="116" t="s">
        <v>606</v>
      </c>
      <c r="B55" s="120" t="s">
        <v>625</v>
      </c>
      <c r="C55" s="116" t="s">
        <v>384</v>
      </c>
    </row>
    <row r="56" spans="1:3">
      <c r="A56" s="116" t="s">
        <v>629</v>
      </c>
      <c r="B56" s="116" t="s">
        <v>426</v>
      </c>
    </row>
    <row r="57" spans="1:3">
      <c r="A57" s="116" t="s">
        <v>382</v>
      </c>
      <c r="B57" s="116" t="s">
        <v>1190</v>
      </c>
    </row>
    <row r="59" spans="1:3">
      <c r="A59" s="28" t="s">
        <v>806</v>
      </c>
      <c r="B59" s="29"/>
      <c r="C59" s="30"/>
    </row>
    <row r="60" spans="1:3">
      <c r="A60" s="116" t="s">
        <v>630</v>
      </c>
      <c r="B60" s="116" t="s">
        <v>29</v>
      </c>
    </row>
    <row r="62" spans="1:3">
      <c r="A62" s="28" t="s">
        <v>807</v>
      </c>
      <c r="B62" s="29"/>
      <c r="C62" s="30"/>
    </row>
    <row r="63" spans="1:3">
      <c r="A63" s="116" t="s">
        <v>631</v>
      </c>
      <c r="B63" s="116" t="s">
        <v>740</v>
      </c>
    </row>
    <row r="64" spans="1:3">
      <c r="A64" s="116" t="s">
        <v>632</v>
      </c>
      <c r="B64" s="37">
        <f>Planning!B20</f>
        <v>44267</v>
      </c>
      <c r="C64" s="116" t="s">
        <v>959</v>
      </c>
    </row>
    <row r="65" spans="1:3">
      <c r="A65" s="116" t="s">
        <v>633</v>
      </c>
      <c r="B65" s="116" t="s">
        <v>741</v>
      </c>
    </row>
    <row r="67" spans="1:3">
      <c r="A67" s="116" t="s">
        <v>631</v>
      </c>
      <c r="B67" s="116" t="s">
        <v>742</v>
      </c>
    </row>
    <row r="68" spans="1:3">
      <c r="A68" s="116" t="s">
        <v>632</v>
      </c>
      <c r="B68" s="37">
        <f>Planning!B23</f>
        <v>44281</v>
      </c>
      <c r="C68" s="116" t="s">
        <v>959</v>
      </c>
    </row>
    <row r="69" spans="1:3" ht="28.8">
      <c r="A69" s="116" t="s">
        <v>633</v>
      </c>
      <c r="B69" s="116" t="s">
        <v>966</v>
      </c>
    </row>
    <row r="71" spans="1:3" s="119" customFormat="1">
      <c r="A71" s="123" t="s">
        <v>603</v>
      </c>
      <c r="B71" s="116"/>
    </row>
    <row r="73" spans="1:3">
      <c r="A73" s="28" t="s">
        <v>587</v>
      </c>
      <c r="B73" s="29"/>
      <c r="C73" s="30"/>
    </row>
    <row r="74" spans="1:3">
      <c r="A74" s="116" t="s">
        <v>587</v>
      </c>
      <c r="B74" s="116" t="s">
        <v>743</v>
      </c>
    </row>
    <row r="76" spans="1:3">
      <c r="A76" s="99" t="s">
        <v>808</v>
      </c>
      <c r="B76" s="99"/>
    </row>
    <row r="77" spans="1:3">
      <c r="A77" s="28" t="s">
        <v>808</v>
      </c>
      <c r="B77" s="29"/>
      <c r="C77" s="30"/>
    </row>
    <row r="78" spans="1:3">
      <c r="A78" s="116" t="s">
        <v>394</v>
      </c>
      <c r="B78" s="101" t="str">
        <f>_xlfn.CONCAT("Readiness review for ",B63)</f>
        <v>Readiness review for Version 1 of OE database</v>
      </c>
      <c r="C78" s="116" t="s">
        <v>999</v>
      </c>
    </row>
    <row r="79" spans="1:3">
      <c r="A79" s="116" t="s">
        <v>395</v>
      </c>
      <c r="B79" s="37">
        <f>Planning!B21</f>
        <v>44268</v>
      </c>
      <c r="C79" s="116" t="s">
        <v>959</v>
      </c>
    </row>
    <row r="80" spans="1:3">
      <c r="A80" s="116" t="s">
        <v>396</v>
      </c>
      <c r="B80" s="37">
        <f>B79</f>
        <v>44268</v>
      </c>
      <c r="C80" s="116" t="s">
        <v>999</v>
      </c>
    </row>
    <row r="81" spans="1:3" ht="43.2">
      <c r="A81" s="116" t="s">
        <v>744</v>
      </c>
      <c r="B81" s="116" t="s">
        <v>1377</v>
      </c>
    </row>
    <row r="82" spans="1:3" ht="43.2">
      <c r="A82" s="116" t="s">
        <v>745</v>
      </c>
      <c r="B82" s="116" t="s">
        <v>1378</v>
      </c>
    </row>
    <row r="83" spans="1:3">
      <c r="A83" s="116" t="s">
        <v>746</v>
      </c>
      <c r="B83" s="116" t="s">
        <v>1379</v>
      </c>
    </row>
    <row r="84" spans="1:3">
      <c r="A84" s="116" t="s">
        <v>747</v>
      </c>
      <c r="B84" s="116" t="s">
        <v>1380</v>
      </c>
    </row>
    <row r="85" spans="1:3">
      <c r="A85" s="116" t="s">
        <v>748</v>
      </c>
      <c r="B85" s="116" t="s">
        <v>743</v>
      </c>
    </row>
    <row r="86" spans="1:3">
      <c r="A86" s="116" t="s">
        <v>749</v>
      </c>
      <c r="B86" s="116" t="s">
        <v>388</v>
      </c>
    </row>
    <row r="88" spans="1:3">
      <c r="A88" s="116" t="s">
        <v>394</v>
      </c>
      <c r="B88" s="101" t="str">
        <f>_xlfn.CONCAT("Readiness review for ",B67)</f>
        <v>Readiness review for Version 2 of OE database</v>
      </c>
      <c r="C88" s="116" t="s">
        <v>999</v>
      </c>
    </row>
    <row r="89" spans="1:3">
      <c r="A89" s="116" t="s">
        <v>395</v>
      </c>
      <c r="B89" s="37">
        <f>Planning!B24</f>
        <v>44282</v>
      </c>
      <c r="C89" s="116" t="s">
        <v>959</v>
      </c>
    </row>
    <row r="90" spans="1:3">
      <c r="A90" s="116" t="s">
        <v>396</v>
      </c>
      <c r="B90" s="37">
        <f>B89</f>
        <v>44282</v>
      </c>
      <c r="C90" s="116" t="s">
        <v>999</v>
      </c>
    </row>
    <row r="91" spans="1:3" ht="43.2">
      <c r="A91" s="116" t="s">
        <v>744</v>
      </c>
      <c r="B91" s="116" t="s">
        <v>1377</v>
      </c>
    </row>
    <row r="92" spans="1:3" ht="57.6">
      <c r="A92" s="116" t="s">
        <v>745</v>
      </c>
      <c r="B92" s="118" t="s">
        <v>967</v>
      </c>
    </row>
    <row r="93" spans="1:3">
      <c r="A93" s="116" t="s">
        <v>746</v>
      </c>
      <c r="B93" s="116" t="s">
        <v>1379</v>
      </c>
    </row>
    <row r="94" spans="1:3" ht="86.4">
      <c r="A94" s="116" t="s">
        <v>747</v>
      </c>
      <c r="B94" s="116" t="s">
        <v>1138</v>
      </c>
    </row>
    <row r="95" spans="1:3">
      <c r="A95" s="116" t="s">
        <v>748</v>
      </c>
      <c r="B95" s="116" t="s">
        <v>743</v>
      </c>
    </row>
    <row r="96" spans="1:3">
      <c r="A96" s="116" t="s">
        <v>749</v>
      </c>
      <c r="B96" s="116" t="s">
        <v>388</v>
      </c>
    </row>
    <row r="98" spans="1:23" s="119" customFormat="1">
      <c r="A98" s="123" t="s">
        <v>603</v>
      </c>
      <c r="B98" s="116"/>
    </row>
    <row r="100" spans="1:23">
      <c r="A100" s="99" t="s">
        <v>809</v>
      </c>
      <c r="B100" s="99"/>
    </row>
    <row r="101" spans="1:23">
      <c r="A101" s="28" t="s">
        <v>810</v>
      </c>
      <c r="B101" s="29"/>
      <c r="C101" s="30"/>
    </row>
    <row r="102" spans="1:23" ht="36.450000000000003" customHeight="1">
      <c r="A102" s="456" t="s">
        <v>1424</v>
      </c>
      <c r="B102" s="456"/>
      <c r="C102" s="124"/>
      <c r="D102" s="124"/>
      <c r="E102" s="124"/>
      <c r="F102" s="124"/>
      <c r="G102" s="124"/>
      <c r="H102" s="124"/>
      <c r="I102" s="124"/>
      <c r="J102" s="124"/>
      <c r="K102" s="124"/>
      <c r="L102" s="124"/>
      <c r="M102" s="124"/>
      <c r="N102" s="124"/>
      <c r="O102" s="124"/>
      <c r="P102" s="124"/>
      <c r="Q102" s="124"/>
      <c r="R102" s="124"/>
      <c r="S102" s="124"/>
      <c r="T102" s="124"/>
      <c r="U102" s="124"/>
      <c r="V102" s="124"/>
      <c r="W102" s="124"/>
    </row>
    <row r="104" spans="1:23">
      <c r="A104" s="28" t="s">
        <v>811</v>
      </c>
      <c r="B104" s="29"/>
      <c r="C104" s="30"/>
    </row>
    <row r="105" spans="1:23" ht="28.8">
      <c r="A105" s="116" t="s">
        <v>635</v>
      </c>
      <c r="B105" s="120" t="s">
        <v>636</v>
      </c>
      <c r="C105" s="116" t="s">
        <v>384</v>
      </c>
    </row>
    <row r="106" spans="1:23" ht="28.8">
      <c r="A106" s="116" t="s">
        <v>640</v>
      </c>
      <c r="B106" s="120" t="s">
        <v>645</v>
      </c>
      <c r="C106" s="116" t="s">
        <v>384</v>
      </c>
    </row>
    <row r="107" spans="1:23">
      <c r="A107" s="116" t="s">
        <v>654</v>
      </c>
    </row>
    <row r="108" spans="1:23" ht="43.2">
      <c r="A108" s="116" t="s">
        <v>655</v>
      </c>
      <c r="B108" s="116" t="s">
        <v>757</v>
      </c>
    </row>
    <row r="109" spans="1:23">
      <c r="A109" s="116" t="s">
        <v>656</v>
      </c>
      <c r="B109" s="116" t="s">
        <v>758</v>
      </c>
    </row>
    <row r="111" spans="1:23">
      <c r="A111" s="116" t="s">
        <v>635</v>
      </c>
      <c r="B111" s="120" t="s">
        <v>637</v>
      </c>
      <c r="C111" s="116" t="s">
        <v>384</v>
      </c>
    </row>
    <row r="112" spans="1:23">
      <c r="A112" s="116" t="s">
        <v>640</v>
      </c>
      <c r="B112" s="120"/>
      <c r="C112" s="116" t="s">
        <v>384</v>
      </c>
    </row>
    <row r="113" spans="1:3">
      <c r="A113" s="116" t="s">
        <v>654</v>
      </c>
    </row>
    <row r="114" spans="1:3">
      <c r="A114" s="116" t="s">
        <v>655</v>
      </c>
      <c r="B114" s="116" t="s">
        <v>657</v>
      </c>
    </row>
    <row r="115" spans="1:3">
      <c r="A115" s="116" t="s">
        <v>656</v>
      </c>
      <c r="B115" s="116" t="s">
        <v>758</v>
      </c>
    </row>
    <row r="117" spans="1:3">
      <c r="A117" s="116" t="s">
        <v>635</v>
      </c>
      <c r="B117" s="120" t="s">
        <v>638</v>
      </c>
      <c r="C117" s="116" t="s">
        <v>384</v>
      </c>
    </row>
    <row r="118" spans="1:3">
      <c r="A118" s="116" t="s">
        <v>640</v>
      </c>
      <c r="B118" s="120"/>
      <c r="C118" s="116" t="s">
        <v>384</v>
      </c>
    </row>
    <row r="119" spans="1:3">
      <c r="A119" s="116" t="s">
        <v>654</v>
      </c>
    </row>
    <row r="120" spans="1:3" ht="28.8">
      <c r="A120" s="116" t="s">
        <v>655</v>
      </c>
      <c r="B120" s="116" t="s">
        <v>658</v>
      </c>
    </row>
    <row r="121" spans="1:3">
      <c r="A121" s="116" t="s">
        <v>656</v>
      </c>
      <c r="B121" s="116" t="s">
        <v>758</v>
      </c>
    </row>
    <row r="123" spans="1:3">
      <c r="A123" s="116" t="s">
        <v>635</v>
      </c>
      <c r="B123" s="120" t="s">
        <v>639</v>
      </c>
      <c r="C123" s="116" t="s">
        <v>384</v>
      </c>
    </row>
    <row r="124" spans="1:3" ht="28.8">
      <c r="A124" s="116" t="s">
        <v>640</v>
      </c>
      <c r="B124" s="120" t="s">
        <v>642</v>
      </c>
      <c r="C124" s="116" t="s">
        <v>384</v>
      </c>
    </row>
    <row r="125" spans="1:3">
      <c r="A125" s="116" t="s">
        <v>654</v>
      </c>
    </row>
    <row r="126" spans="1:3">
      <c r="A126" s="116" t="s">
        <v>655</v>
      </c>
      <c r="B126" s="116" t="s">
        <v>759</v>
      </c>
    </row>
    <row r="127" spans="1:3">
      <c r="A127" s="116" t="s">
        <v>656</v>
      </c>
      <c r="B127" s="116" t="s">
        <v>760</v>
      </c>
    </row>
    <row r="129" spans="1:3">
      <c r="A129" s="116" t="s">
        <v>635</v>
      </c>
      <c r="B129" s="120" t="s">
        <v>434</v>
      </c>
      <c r="C129" s="116" t="s">
        <v>384</v>
      </c>
    </row>
    <row r="130" spans="1:3" ht="28.8">
      <c r="A130" s="116" t="s">
        <v>640</v>
      </c>
      <c r="B130" s="120" t="s">
        <v>646</v>
      </c>
      <c r="C130" s="116" t="s">
        <v>384</v>
      </c>
    </row>
    <row r="131" spans="1:3">
      <c r="A131" s="116" t="s">
        <v>654</v>
      </c>
      <c r="B131" s="116" t="s">
        <v>1425</v>
      </c>
    </row>
    <row r="132" spans="1:3" ht="100.8">
      <c r="A132" s="116" t="s">
        <v>655</v>
      </c>
      <c r="B132" s="116" t="s">
        <v>1426</v>
      </c>
    </row>
    <row r="133" spans="1:3">
      <c r="A133" s="116" t="s">
        <v>656</v>
      </c>
      <c r="B133" s="116" t="s">
        <v>1427</v>
      </c>
    </row>
    <row r="135" spans="1:3">
      <c r="A135" s="19" t="s">
        <v>603</v>
      </c>
    </row>
    <row r="137" spans="1:3">
      <c r="A137" s="28" t="s">
        <v>812</v>
      </c>
      <c r="B137" s="29"/>
      <c r="C137" s="30"/>
    </row>
    <row r="138" spans="1:3">
      <c r="A138" s="116" t="s">
        <v>659</v>
      </c>
      <c r="B138" s="120" t="s">
        <v>662</v>
      </c>
      <c r="C138" s="116" t="s">
        <v>384</v>
      </c>
    </row>
    <row r="139" spans="1:3">
      <c r="A139" s="116" t="s">
        <v>667</v>
      </c>
      <c r="B139" s="120"/>
      <c r="C139" s="116" t="s">
        <v>384</v>
      </c>
    </row>
    <row r="140" spans="1:3">
      <c r="A140" s="116" t="s">
        <v>668</v>
      </c>
      <c r="B140" s="116" t="str">
        <f>IF('Agreement 3'!B23="","PLEASE SPECIFY",'Agreement 3'!B23)</f>
        <v>Conduct Maturity Level 5 appraisal in April 2021</v>
      </c>
    </row>
    <row r="142" spans="1:3">
      <c r="A142" s="19" t="s">
        <v>603</v>
      </c>
    </row>
    <row r="144" spans="1:3">
      <c r="A144" s="28" t="s">
        <v>813</v>
      </c>
      <c r="B144" s="29"/>
      <c r="C144" s="30"/>
    </row>
    <row r="145" spans="1:3">
      <c r="A145" s="14" t="s">
        <v>1428</v>
      </c>
      <c r="B145" s="14" t="s">
        <v>1609</v>
      </c>
    </row>
    <row r="146" spans="1:3">
      <c r="A146" s="116" t="s">
        <v>669</v>
      </c>
      <c r="B146" s="120" t="s">
        <v>420</v>
      </c>
      <c r="C146" s="116" t="s">
        <v>384</v>
      </c>
    </row>
    <row r="147" spans="1:3">
      <c r="A147" s="116" t="s">
        <v>675</v>
      </c>
    </row>
    <row r="148" spans="1:3" ht="28.8">
      <c r="A148" s="116" t="s">
        <v>676</v>
      </c>
      <c r="B148" s="116" t="s">
        <v>680</v>
      </c>
    </row>
    <row r="149" spans="1:3">
      <c r="A149" s="116" t="s">
        <v>677</v>
      </c>
      <c r="B149" s="120" t="s">
        <v>681</v>
      </c>
      <c r="C149" s="116" t="s">
        <v>384</v>
      </c>
    </row>
    <row r="150" spans="1:3" ht="57.6">
      <c r="A150" s="116" t="s">
        <v>678</v>
      </c>
      <c r="B150" s="116" t="s">
        <v>682</v>
      </c>
    </row>
    <row r="151" spans="1:3">
      <c r="A151" s="116" t="s">
        <v>679</v>
      </c>
      <c r="B151" s="120" t="s">
        <v>683</v>
      </c>
      <c r="C151" s="116" t="s">
        <v>384</v>
      </c>
    </row>
    <row r="153" spans="1:3">
      <c r="A153" s="14" t="s">
        <v>1429</v>
      </c>
      <c r="B153" s="14" t="s">
        <v>1610</v>
      </c>
    </row>
    <row r="154" spans="1:3">
      <c r="A154" s="116" t="s">
        <v>669</v>
      </c>
      <c r="B154" s="120" t="s">
        <v>434</v>
      </c>
      <c r="C154" s="116" t="s">
        <v>384</v>
      </c>
    </row>
    <row r="155" spans="1:3">
      <c r="A155" s="116" t="s">
        <v>675</v>
      </c>
      <c r="B155" s="116" t="s">
        <v>1611</v>
      </c>
    </row>
    <row r="156" spans="1:3" ht="28.8">
      <c r="A156" s="116" t="s">
        <v>676</v>
      </c>
      <c r="B156" s="116" t="s">
        <v>1612</v>
      </c>
    </row>
    <row r="157" spans="1:3">
      <c r="A157" s="116" t="s">
        <v>677</v>
      </c>
      <c r="B157" s="120" t="s">
        <v>684</v>
      </c>
      <c r="C157" s="116" t="s">
        <v>384</v>
      </c>
    </row>
    <row r="158" spans="1:3" ht="100.8">
      <c r="A158" s="116" t="s">
        <v>678</v>
      </c>
      <c r="B158" s="116" t="s">
        <v>1613</v>
      </c>
    </row>
    <row r="159" spans="1:3">
      <c r="A159" s="116" t="s">
        <v>679</v>
      </c>
      <c r="B159" s="120" t="s">
        <v>683</v>
      </c>
      <c r="C159" s="116" t="s">
        <v>384</v>
      </c>
    </row>
    <row r="161" spans="1:3">
      <c r="A161" s="14" t="s">
        <v>1430</v>
      </c>
      <c r="B161" s="14" t="s">
        <v>1614</v>
      </c>
    </row>
    <row r="162" spans="1:3">
      <c r="A162" s="116" t="s">
        <v>669</v>
      </c>
      <c r="B162" s="120" t="s">
        <v>434</v>
      </c>
      <c r="C162" s="116" t="s">
        <v>384</v>
      </c>
    </row>
    <row r="163" spans="1:3">
      <c r="A163" s="116" t="s">
        <v>675</v>
      </c>
      <c r="B163" s="116" t="s">
        <v>1431</v>
      </c>
    </row>
    <row r="164" spans="1:3" ht="43.2">
      <c r="A164" s="116" t="s">
        <v>676</v>
      </c>
      <c r="B164" s="116" t="s">
        <v>1432</v>
      </c>
    </row>
    <row r="165" spans="1:3">
      <c r="A165" s="116" t="s">
        <v>677</v>
      </c>
      <c r="B165" s="120" t="s">
        <v>684</v>
      </c>
      <c r="C165" s="116" t="s">
        <v>384</v>
      </c>
    </row>
    <row r="166" spans="1:3" ht="115.2">
      <c r="A166" s="116" t="s">
        <v>678</v>
      </c>
      <c r="B166" s="116" t="s">
        <v>1648</v>
      </c>
    </row>
    <row r="167" spans="1:3">
      <c r="A167" s="116" t="s">
        <v>679</v>
      </c>
      <c r="B167" s="120" t="s">
        <v>1433</v>
      </c>
      <c r="C167" s="116" t="s">
        <v>384</v>
      </c>
    </row>
    <row r="169" spans="1:3">
      <c r="A169" s="14" t="s">
        <v>1434</v>
      </c>
      <c r="B169" s="14" t="s">
        <v>1615</v>
      </c>
    </row>
    <row r="170" spans="1:3">
      <c r="A170" s="116" t="s">
        <v>669</v>
      </c>
      <c r="B170" s="120" t="s">
        <v>434</v>
      </c>
      <c r="C170" s="116" t="s">
        <v>384</v>
      </c>
    </row>
    <row r="171" spans="1:3">
      <c r="A171" s="116" t="s">
        <v>675</v>
      </c>
      <c r="B171" s="116" t="s">
        <v>1431</v>
      </c>
    </row>
    <row r="172" spans="1:3" ht="28.8">
      <c r="A172" s="116" t="s">
        <v>676</v>
      </c>
      <c r="B172" s="116" t="s">
        <v>1435</v>
      </c>
    </row>
    <row r="173" spans="1:3">
      <c r="A173" s="116" t="s">
        <v>677</v>
      </c>
      <c r="B173" s="120" t="s">
        <v>1436</v>
      </c>
      <c r="C173" s="116" t="s">
        <v>384</v>
      </c>
    </row>
    <row r="174" spans="1:3" ht="135.6" customHeight="1">
      <c r="A174" s="116" t="s">
        <v>678</v>
      </c>
      <c r="B174" s="116" t="s">
        <v>1649</v>
      </c>
    </row>
    <row r="175" spans="1:3">
      <c r="A175" s="116" t="s">
        <v>679</v>
      </c>
      <c r="B175" s="120" t="s">
        <v>1433</v>
      </c>
      <c r="C175" s="116" t="s">
        <v>384</v>
      </c>
    </row>
    <row r="177" spans="1:3">
      <c r="A177" s="14" t="s">
        <v>1437</v>
      </c>
      <c r="B177" s="14" t="s">
        <v>1616</v>
      </c>
    </row>
    <row r="178" spans="1:3">
      <c r="A178" s="116" t="s">
        <v>669</v>
      </c>
      <c r="B178" s="120" t="s">
        <v>672</v>
      </c>
      <c r="C178" s="116" t="s">
        <v>384</v>
      </c>
    </row>
    <row r="179" spans="1:3">
      <c r="A179" s="116" t="s">
        <v>675</v>
      </c>
    </row>
    <row r="180" spans="1:3" ht="43.2">
      <c r="A180" s="116" t="s">
        <v>676</v>
      </c>
      <c r="B180" s="116" t="s">
        <v>1438</v>
      </c>
    </row>
    <row r="181" spans="1:3">
      <c r="A181" s="116" t="s">
        <v>677</v>
      </c>
      <c r="B181" s="120" t="s">
        <v>1436</v>
      </c>
      <c r="C181" s="116" t="s">
        <v>384</v>
      </c>
    </row>
    <row r="182" spans="1:3" ht="144">
      <c r="A182" s="116" t="s">
        <v>678</v>
      </c>
      <c r="B182" s="116" t="s">
        <v>1650</v>
      </c>
    </row>
    <row r="183" spans="1:3">
      <c r="A183" s="116" t="s">
        <v>679</v>
      </c>
      <c r="B183" s="120" t="s">
        <v>1433</v>
      </c>
      <c r="C183" s="116" t="s">
        <v>384</v>
      </c>
    </row>
    <row r="185" spans="1:3" ht="28.8">
      <c r="A185" s="14" t="s">
        <v>1617</v>
      </c>
      <c r="B185" s="14" t="s">
        <v>1618</v>
      </c>
    </row>
    <row r="186" spans="1:3">
      <c r="A186" s="116" t="s">
        <v>669</v>
      </c>
      <c r="B186" s="120" t="s">
        <v>434</v>
      </c>
      <c r="C186" s="116" t="s">
        <v>384</v>
      </c>
    </row>
    <row r="187" spans="1:3">
      <c r="A187" s="116" t="s">
        <v>675</v>
      </c>
      <c r="B187" s="116" t="s">
        <v>1611</v>
      </c>
    </row>
    <row r="188" spans="1:3" ht="43.2">
      <c r="A188" s="116" t="s">
        <v>676</v>
      </c>
      <c r="B188" s="116" t="s">
        <v>1619</v>
      </c>
    </row>
    <row r="189" spans="1:3">
      <c r="A189" s="116" t="s">
        <v>677</v>
      </c>
      <c r="B189" s="120" t="s">
        <v>684</v>
      </c>
      <c r="C189" s="116" t="s">
        <v>384</v>
      </c>
    </row>
    <row r="190" spans="1:3" ht="115.2">
      <c r="A190" s="116" t="s">
        <v>678</v>
      </c>
      <c r="B190" s="116" t="s">
        <v>1620</v>
      </c>
    </row>
    <row r="191" spans="1:3">
      <c r="A191" s="116" t="s">
        <v>679</v>
      </c>
      <c r="B191" s="120" t="s">
        <v>1433</v>
      </c>
      <c r="C191" s="116" t="s">
        <v>384</v>
      </c>
    </row>
    <row r="194" spans="1:3">
      <c r="A194" s="14" t="s">
        <v>1621</v>
      </c>
      <c r="B194" s="14" t="s">
        <v>1622</v>
      </c>
    </row>
    <row r="195" spans="1:3">
      <c r="A195" s="116" t="s">
        <v>669</v>
      </c>
      <c r="B195" s="120" t="s">
        <v>434</v>
      </c>
      <c r="C195" s="116" t="s">
        <v>384</v>
      </c>
    </row>
    <row r="196" spans="1:3">
      <c r="A196" s="116" t="s">
        <v>675</v>
      </c>
      <c r="B196" s="116" t="s">
        <v>1611</v>
      </c>
    </row>
    <row r="197" spans="1:3" ht="28.8">
      <c r="A197" s="116" t="s">
        <v>676</v>
      </c>
      <c r="B197" s="116" t="s">
        <v>1623</v>
      </c>
    </row>
    <row r="198" spans="1:3">
      <c r="A198" s="116" t="s">
        <v>677</v>
      </c>
      <c r="B198" s="120" t="s">
        <v>1436</v>
      </c>
      <c r="C198" s="116" t="s">
        <v>384</v>
      </c>
    </row>
    <row r="199" spans="1:3" ht="43.2">
      <c r="A199" s="116" t="s">
        <v>678</v>
      </c>
      <c r="B199" s="116" t="s">
        <v>1624</v>
      </c>
    </row>
    <row r="200" spans="1:3">
      <c r="A200" s="116" t="s">
        <v>679</v>
      </c>
      <c r="B200" s="120" t="s">
        <v>1433</v>
      </c>
      <c r="C200" s="116" t="s">
        <v>384</v>
      </c>
    </row>
    <row r="202" spans="1:3">
      <c r="A202" s="14" t="s">
        <v>1625</v>
      </c>
      <c r="B202" s="14" t="s">
        <v>1626</v>
      </c>
    </row>
    <row r="203" spans="1:3">
      <c r="A203" s="116" t="s">
        <v>669</v>
      </c>
      <c r="B203" s="120" t="s">
        <v>434</v>
      </c>
      <c r="C203" s="116" t="s">
        <v>384</v>
      </c>
    </row>
    <row r="204" spans="1:3">
      <c r="A204" s="116" t="s">
        <v>675</v>
      </c>
      <c r="B204" s="116" t="s">
        <v>1611</v>
      </c>
    </row>
    <row r="205" spans="1:3" ht="28.8">
      <c r="A205" s="116" t="s">
        <v>676</v>
      </c>
      <c r="B205" s="116" t="s">
        <v>1627</v>
      </c>
    </row>
    <row r="206" spans="1:3">
      <c r="A206" s="116" t="s">
        <v>677</v>
      </c>
      <c r="B206" s="120" t="s">
        <v>684</v>
      </c>
      <c r="C206" s="116" t="s">
        <v>384</v>
      </c>
    </row>
    <row r="207" spans="1:3" ht="43.2">
      <c r="A207" s="116" t="s">
        <v>678</v>
      </c>
      <c r="B207" s="116" t="s">
        <v>1628</v>
      </c>
    </row>
    <row r="208" spans="1:3">
      <c r="A208" s="116" t="s">
        <v>679</v>
      </c>
      <c r="B208" s="120" t="s">
        <v>1433</v>
      </c>
      <c r="C208" s="116" t="s">
        <v>384</v>
      </c>
    </row>
    <row r="210" spans="1:3">
      <c r="A210" s="14" t="s">
        <v>1629</v>
      </c>
      <c r="B210" s="14" t="s">
        <v>1630</v>
      </c>
    </row>
    <row r="211" spans="1:3">
      <c r="A211" s="116" t="s">
        <v>669</v>
      </c>
      <c r="B211" s="120" t="s">
        <v>434</v>
      </c>
      <c r="C211" s="116" t="s">
        <v>384</v>
      </c>
    </row>
    <row r="212" spans="1:3">
      <c r="A212" s="116" t="s">
        <v>675</v>
      </c>
      <c r="B212" s="116" t="s">
        <v>1611</v>
      </c>
    </row>
    <row r="213" spans="1:3" ht="28.8">
      <c r="A213" s="116" t="s">
        <v>676</v>
      </c>
      <c r="B213" s="116" t="s">
        <v>1612</v>
      </c>
    </row>
    <row r="214" spans="1:3">
      <c r="A214" s="116" t="s">
        <v>677</v>
      </c>
      <c r="B214" s="120" t="s">
        <v>684</v>
      </c>
      <c r="C214" s="116" t="s">
        <v>384</v>
      </c>
    </row>
    <row r="215" spans="1:3" ht="100.8">
      <c r="A215" s="116" t="s">
        <v>678</v>
      </c>
      <c r="B215" s="116" t="s">
        <v>1613</v>
      </c>
    </row>
    <row r="216" spans="1:3">
      <c r="A216" s="116" t="s">
        <v>679</v>
      </c>
      <c r="B216" s="120" t="s">
        <v>683</v>
      </c>
      <c r="C216" s="116" t="s">
        <v>384</v>
      </c>
    </row>
    <row r="218" spans="1:3">
      <c r="A218" s="14" t="s">
        <v>1631</v>
      </c>
      <c r="B218" s="14" t="s">
        <v>1632</v>
      </c>
    </row>
    <row r="219" spans="1:3">
      <c r="A219" s="116" t="s">
        <v>669</v>
      </c>
      <c r="B219" s="120" t="s">
        <v>434</v>
      </c>
      <c r="C219" s="116" t="s">
        <v>384</v>
      </c>
    </row>
    <row r="220" spans="1:3">
      <c r="A220" s="116" t="s">
        <v>675</v>
      </c>
      <c r="B220" s="116" t="s">
        <v>1611</v>
      </c>
    </row>
    <row r="221" spans="1:3" ht="28.8">
      <c r="A221" s="116" t="s">
        <v>676</v>
      </c>
      <c r="B221" s="116" t="s">
        <v>1633</v>
      </c>
    </row>
    <row r="222" spans="1:3">
      <c r="A222" s="116" t="s">
        <v>677</v>
      </c>
      <c r="B222" s="120" t="s">
        <v>684</v>
      </c>
      <c r="C222" s="116" t="s">
        <v>384</v>
      </c>
    </row>
    <row r="223" spans="1:3" ht="129.6">
      <c r="A223" s="116" t="s">
        <v>678</v>
      </c>
      <c r="B223" s="116" t="s">
        <v>1634</v>
      </c>
    </row>
    <row r="224" spans="1:3">
      <c r="A224" s="116" t="s">
        <v>679</v>
      </c>
      <c r="B224" s="120" t="s">
        <v>1433</v>
      </c>
      <c r="C224" s="116" t="s">
        <v>384</v>
      </c>
    </row>
    <row r="226" spans="1:3">
      <c r="A226" s="14" t="s">
        <v>1635</v>
      </c>
      <c r="B226" s="14" t="s">
        <v>1636</v>
      </c>
    </row>
    <row r="227" spans="1:3">
      <c r="A227" s="116" t="s">
        <v>669</v>
      </c>
      <c r="B227" s="120" t="s">
        <v>434</v>
      </c>
      <c r="C227" s="116" t="s">
        <v>384</v>
      </c>
    </row>
    <row r="228" spans="1:3">
      <c r="A228" s="116" t="s">
        <v>675</v>
      </c>
      <c r="B228" s="116" t="s">
        <v>1611</v>
      </c>
    </row>
    <row r="229" spans="1:3">
      <c r="A229" s="116" t="s">
        <v>676</v>
      </c>
      <c r="B229" s="116" t="s">
        <v>1637</v>
      </c>
    </row>
    <row r="230" spans="1:3">
      <c r="A230" s="116" t="s">
        <v>677</v>
      </c>
      <c r="B230" s="120" t="s">
        <v>684</v>
      </c>
      <c r="C230" s="116" t="s">
        <v>384</v>
      </c>
    </row>
    <row r="231" spans="1:3" ht="43.2">
      <c r="A231" s="116" t="s">
        <v>678</v>
      </c>
      <c r="B231" s="116" t="s">
        <v>1638</v>
      </c>
    </row>
    <row r="232" spans="1:3">
      <c r="A232" s="116" t="s">
        <v>679</v>
      </c>
      <c r="B232" s="120" t="s">
        <v>683</v>
      </c>
      <c r="C232" s="116" t="s">
        <v>384</v>
      </c>
    </row>
    <row r="234" spans="1:3">
      <c r="A234" s="14" t="s">
        <v>1639</v>
      </c>
      <c r="B234" s="14" t="s">
        <v>1640</v>
      </c>
    </row>
    <row r="235" spans="1:3">
      <c r="A235" s="116" t="s">
        <v>669</v>
      </c>
      <c r="B235" s="120" t="s">
        <v>434</v>
      </c>
      <c r="C235" s="116" t="s">
        <v>384</v>
      </c>
    </row>
    <row r="236" spans="1:3">
      <c r="A236" s="116" t="s">
        <v>675</v>
      </c>
      <c r="B236" s="116" t="s">
        <v>1611</v>
      </c>
    </row>
    <row r="237" spans="1:3">
      <c r="A237" s="116" t="s">
        <v>676</v>
      </c>
      <c r="B237" s="116" t="s">
        <v>1641</v>
      </c>
    </row>
    <row r="238" spans="1:3">
      <c r="A238" s="116" t="s">
        <v>677</v>
      </c>
      <c r="B238" s="120" t="s">
        <v>684</v>
      </c>
      <c r="C238" s="116" t="s">
        <v>384</v>
      </c>
    </row>
    <row r="239" spans="1:3" ht="100.8">
      <c r="A239" s="116" t="s">
        <v>678</v>
      </c>
      <c r="B239" s="116" t="s">
        <v>1642</v>
      </c>
    </row>
    <row r="240" spans="1:3">
      <c r="A240" s="116" t="s">
        <v>679</v>
      </c>
      <c r="B240" s="120" t="s">
        <v>1433</v>
      </c>
      <c r="C240" s="116" t="s">
        <v>384</v>
      </c>
    </row>
    <row r="241" spans="1:3">
      <c r="C241" s="88"/>
    </row>
    <row r="242" spans="1:3">
      <c r="A242" s="19" t="s">
        <v>603</v>
      </c>
      <c r="C242" s="88"/>
    </row>
    <row r="244" spans="1:3">
      <c r="A244" s="28" t="s">
        <v>814</v>
      </c>
      <c r="B244" s="29"/>
      <c r="C244" s="30"/>
    </row>
    <row r="245" spans="1:3">
      <c r="A245" s="116" t="s">
        <v>685</v>
      </c>
      <c r="B245" s="120" t="s">
        <v>434</v>
      </c>
      <c r="C245" s="116" t="s">
        <v>384</v>
      </c>
    </row>
    <row r="246" spans="1:3">
      <c r="A246" s="116" t="s">
        <v>701</v>
      </c>
      <c r="B246" s="116" t="s">
        <v>29</v>
      </c>
    </row>
    <row r="247" spans="1:3">
      <c r="A247" s="116" t="s">
        <v>382</v>
      </c>
      <c r="B247" s="116" t="s">
        <v>1139</v>
      </c>
    </row>
    <row r="248" spans="1:3">
      <c r="A248" s="116" t="s">
        <v>702</v>
      </c>
      <c r="B248" s="120" t="s">
        <v>681</v>
      </c>
      <c r="C248" s="116" t="s">
        <v>384</v>
      </c>
    </row>
    <row r="249" spans="1:3">
      <c r="A249" s="116" t="s">
        <v>703</v>
      </c>
      <c r="B249" s="116" t="s">
        <v>1140</v>
      </c>
    </row>
    <row r="250" spans="1:3">
      <c r="A250" s="116" t="s">
        <v>704</v>
      </c>
      <c r="B250" s="120" t="s">
        <v>683</v>
      </c>
      <c r="C250" s="116" t="s">
        <v>384</v>
      </c>
    </row>
    <row r="252" spans="1:3">
      <c r="A252" s="19" t="s">
        <v>603</v>
      </c>
    </row>
    <row r="254" spans="1:3">
      <c r="A254" s="28" t="s">
        <v>815</v>
      </c>
      <c r="B254" s="29"/>
      <c r="C254" s="30"/>
    </row>
    <row r="255" spans="1:3">
      <c r="A255" s="116" t="s">
        <v>705</v>
      </c>
      <c r="B255" s="120" t="s">
        <v>707</v>
      </c>
      <c r="C255" s="116" t="s">
        <v>384</v>
      </c>
    </row>
    <row r="256" spans="1:3">
      <c r="A256" s="116" t="s">
        <v>710</v>
      </c>
    </row>
    <row r="257" spans="1:3" ht="28.8">
      <c r="A257" s="116" t="s">
        <v>711</v>
      </c>
      <c r="B257" s="116" t="s">
        <v>712</v>
      </c>
    </row>
    <row r="259" spans="1:3">
      <c r="A259" s="19" t="s">
        <v>603</v>
      </c>
    </row>
    <row r="261" spans="1:3">
      <c r="A261" s="28" t="s">
        <v>816</v>
      </c>
      <c r="B261" s="29"/>
      <c r="C261" s="30"/>
    </row>
    <row r="262" spans="1:3" ht="57.6">
      <c r="A262" s="258" t="s">
        <v>1171</v>
      </c>
      <c r="B262" s="120" t="s">
        <v>1170</v>
      </c>
      <c r="C262" s="116" t="s">
        <v>384</v>
      </c>
    </row>
    <row r="264" spans="1:3">
      <c r="A264" s="99" t="s">
        <v>817</v>
      </c>
      <c r="B264" s="99"/>
    </row>
    <row r="265" spans="1:3">
      <c r="A265" s="28" t="s">
        <v>818</v>
      </c>
      <c r="B265" s="29"/>
      <c r="C265" s="30"/>
    </row>
    <row r="266" spans="1:3" ht="72">
      <c r="A266" s="258" t="s">
        <v>1191</v>
      </c>
      <c r="B266" s="120" t="s">
        <v>1170</v>
      </c>
      <c r="C266" s="116" t="s">
        <v>384</v>
      </c>
    </row>
    <row r="269" spans="1:3">
      <c r="A269" s="28" t="s">
        <v>819</v>
      </c>
      <c r="B269" s="29"/>
      <c r="C269" s="30"/>
    </row>
  </sheetData>
  <mergeCells count="1">
    <mergeCell ref="A102:B102"/>
  </mergeCells>
  <phoneticPr fontId="54" type="noConversion"/>
  <dataValidations count="16">
    <dataValidation type="list" allowBlank="1" showInputMessage="1" showErrorMessage="1" sqref="B38" xr:uid="{8F4DF3BB-641E-4E70-B66F-C60C9EAB2AE6}">
      <formula1>tbl_CollectionApproach</formula1>
    </dataValidation>
    <dataValidation type="list" allowBlank="1" showInputMessage="1" showErrorMessage="1" sqref="B42" xr:uid="{4D75AB7D-423B-4F48-B846-48D987347404}">
      <formula1>tbl_collectiontechnique</formula1>
    </dataValidation>
    <dataValidation type="list" allowBlank="1" showInputMessage="1" showErrorMessage="1" sqref="B44" xr:uid="{42177538-7006-449C-9983-980488381357}">
      <formula1>"Artifacts, Affirmations, Artifacts and Affirmations"</formula1>
    </dataValidation>
    <dataValidation type="list" allowBlank="1" showInputMessage="1" showErrorMessage="1" sqref="B86 B96" xr:uid="{DC72EBB2-EEC5-4A36-80BE-26E11C79FF3F}">
      <formula1>"Yes, No"</formula1>
    </dataValidation>
    <dataValidation type="list" allowBlank="1" showInputMessage="1" showErrorMessage="1" sqref="B50" xr:uid="{CB4F04EC-F631-4397-BAFE-86425843D951}">
      <formula1>tbl_responsibleEntity</formula1>
    </dataValidation>
    <dataValidation type="list" allowBlank="1" showInputMessage="1" showErrorMessage="1" sqref="B55" xr:uid="{DCC217E8-E215-4EF8-B89F-EA9E872D027C}">
      <formula1>"ATL, Mini-team (subset of the full appraisal team), Appraisal Full Team, Other"</formula1>
    </dataValidation>
    <dataValidation type="list" allowBlank="1" showInputMessage="1" showErrorMessage="1" sqref="B262 B266" xr:uid="{01543A58-5416-4DA9-8AB1-690AC5AAC1DF}">
      <formula1>"Still to be done, Done"</formula1>
    </dataValidation>
    <dataValidation type="list" allowBlank="1" showInputMessage="1" showErrorMessage="1" sqref="B255" xr:uid="{82B66DE8-C2C5-4EB2-AD42-91D298998B44}">
      <formula1>tbl_followon</formula1>
    </dataValidation>
    <dataValidation type="list" allowBlank="1" showInputMessage="1" showErrorMessage="1" sqref="B245" xr:uid="{F11E45C5-A359-4B11-8B6A-D0E40F0569DB}">
      <formula1>tbl_COI</formula1>
    </dataValidation>
    <dataValidation type="list" allowBlank="1" showInputMessage="1" showErrorMessage="1" sqref="B250 B151 B167 B175 B183 B191 B200 B208 B216 B224 B232 B240 B159" xr:uid="{A91F2646-F018-4EB7-BB35-CC10D063D8BF}">
      <formula1>"Open, Closed, Realized"</formula1>
    </dataValidation>
    <dataValidation type="list" allowBlank="1" showInputMessage="1" showErrorMessage="1" sqref="B248 B149 B165 B173 B181 B189 B198 B206 B214 B222 B230 B238 B157" xr:uid="{5C52DC68-1A9F-4AAD-9BBF-EB70CC81E0AF}">
      <formula1>"High, Medium, Low"</formula1>
    </dataValidation>
    <dataValidation type="list" allowBlank="1" showInputMessage="1" showErrorMessage="1" sqref="B146 B162 B170 B178 B186 B195 B203 B211 B219 B227 B235 B154" xr:uid="{F288294E-140B-46D0-A558-3D396D336EFA}">
      <formula1>tbl_riskCategory</formula1>
    </dataValidation>
    <dataValidation type="list" allowBlank="1" showInputMessage="1" showErrorMessage="1" sqref="B138" xr:uid="{65084202-031C-408D-B429-25EE287BD1C9}">
      <formula1>tbl_constraints</formula1>
    </dataValidation>
    <dataValidation type="list" allowBlank="1" showInputMessage="1" showErrorMessage="1" sqref="B106 B112 B118 B124 B139 B130" xr:uid="{DF080203-A213-4B40-8A56-B8BBF19EA82D}">
      <formula1>tbl_equipment</formula1>
    </dataValidation>
    <dataValidation type="list" allowBlank="1" showInputMessage="1" showErrorMessage="1" sqref="B105 B111 B117 B123 B129" xr:uid="{0298398E-43DE-4F0E-ABCC-0DE503D606C5}">
      <formula1>tbl_logisticalRequirement</formula1>
    </dataValidation>
    <dataValidation type="list" allowBlank="1" showInputMessage="1" showErrorMessage="1" sqref="B27" xr:uid="{8E8F9AFF-F8BA-421D-8389-A09FAA4EB489}">
      <formula1>"Executive summary, Other"</formula1>
    </dataValidation>
  </dataValidations>
  <pageMargins left="0.7" right="0.7" top="0.75" bottom="0.75" header="0.3" footer="0.3"/>
  <pageSetup orientation="portrait" r:id="rId1"/>
  <legacyDrawing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C32C28C-5020-4E1F-8D04-598926704C7C}">
  <sheetPr codeName="Sheet18">
    <tabColor theme="8" tint="0.79998168889431442"/>
  </sheetPr>
  <dimension ref="A1:C7"/>
  <sheetViews>
    <sheetView workbookViewId="0"/>
  </sheetViews>
  <sheetFormatPr defaultColWidth="8.6640625" defaultRowHeight="14.4"/>
  <cols>
    <col min="1" max="1" width="50.33203125" style="116" customWidth="1"/>
    <col min="2" max="2" width="59.44140625" style="116" customWidth="1"/>
    <col min="3" max="3" width="17.33203125" style="116" customWidth="1"/>
    <col min="4" max="4" width="4.6640625" style="116" customWidth="1"/>
    <col min="5" max="5" width="34.6640625" style="116" customWidth="1"/>
    <col min="6" max="29" width="4.6640625" style="116" customWidth="1"/>
    <col min="30" max="16384" width="8.6640625" style="116"/>
  </cols>
  <sheetData>
    <row r="1" spans="1:3">
      <c r="A1" s="117" t="s">
        <v>1221</v>
      </c>
      <c r="B1" s="99"/>
    </row>
    <row r="2" spans="1:3">
      <c r="A2" s="28" t="s">
        <v>1222</v>
      </c>
      <c r="B2" s="29"/>
      <c r="C2" s="30"/>
    </row>
    <row r="3" spans="1:3" s="124" customFormat="1">
      <c r="A3" s="123" t="s">
        <v>1224</v>
      </c>
      <c r="B3" s="116"/>
    </row>
    <row r="4" spans="1:3" s="124" customFormat="1">
      <c r="B4" s="116"/>
    </row>
    <row r="5" spans="1:3">
      <c r="A5" s="28" t="s">
        <v>1223</v>
      </c>
      <c r="B5" s="29"/>
      <c r="C5" s="30"/>
    </row>
    <row r="6" spans="1:3" s="124" customFormat="1">
      <c r="A6" s="123" t="s">
        <v>1225</v>
      </c>
      <c r="B6" s="116"/>
    </row>
    <row r="7" spans="1:3" s="124" customFormat="1">
      <c r="B7" s="116"/>
    </row>
  </sheetData>
  <phoneticPr fontId="54" type="noConversion"/>
  <dataValidations count="1">
    <dataValidation type="list" allowBlank="1" showInputMessage="1" showErrorMessage="1" sqref="B6" xr:uid="{E657DA52-95F8-42D0-94D1-5B5D7B7E4A0A}">
      <formula1>tbl_AppraisalArtifacts</formula1>
    </dataValidation>
  </dataValidations>
  <pageMargins left="0.7" right="0.7" top="0.75" bottom="0.75" header="0.3" footer="0.3"/>
  <pageSetup orientation="portrait"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07ACBA1-F409-48CC-A94E-FCF5FF6C267A}">
  <sheetPr codeName="Sheet10">
    <tabColor theme="8" tint="0.79998168889431442"/>
  </sheetPr>
  <dimension ref="A1:C6"/>
  <sheetViews>
    <sheetView workbookViewId="0">
      <selection activeCell="B21" sqref="B20:B21"/>
    </sheetView>
  </sheetViews>
  <sheetFormatPr defaultColWidth="8.6640625" defaultRowHeight="14.4"/>
  <cols>
    <col min="1" max="1" width="50.33203125" style="116" customWidth="1"/>
    <col min="2" max="2" width="59.44140625" style="116" customWidth="1"/>
    <col min="3" max="3" width="17.33203125" style="116" customWidth="1"/>
    <col min="4" max="4" width="4.6640625" style="116" customWidth="1"/>
    <col min="5" max="5" width="34.6640625" style="116" customWidth="1"/>
    <col min="6" max="29" width="4.6640625" style="116" customWidth="1"/>
    <col min="30" max="16384" width="8.6640625" style="116"/>
  </cols>
  <sheetData>
    <row r="1" spans="1:3">
      <c r="A1" s="117" t="s">
        <v>1167</v>
      </c>
      <c r="B1" s="99"/>
    </row>
    <row r="2" spans="1:3">
      <c r="A2" s="28" t="s">
        <v>1168</v>
      </c>
      <c r="B2" s="29"/>
      <c r="C2" s="30"/>
    </row>
    <row r="3" spans="1:3" s="124" customFormat="1">
      <c r="A3" s="123" t="s">
        <v>1169</v>
      </c>
      <c r="B3" s="116"/>
    </row>
    <row r="4" spans="1:3" s="124" customFormat="1">
      <c r="B4" s="116"/>
    </row>
    <row r="5" spans="1:3">
      <c r="A5" s="28" t="s">
        <v>1165</v>
      </c>
      <c r="B5" s="29"/>
      <c r="C5" s="30"/>
    </row>
    <row r="6" spans="1:3">
      <c r="A6" s="116" t="s">
        <v>1663</v>
      </c>
    </row>
  </sheetData>
  <phoneticPr fontId="54" type="noConversion"/>
  <pageMargins left="0.7" right="0.7" top="0.75" bottom="0.75" header="0.3" footer="0.3"/>
  <pageSetup orientation="portrait" r:id="rId1"/>
  <drawing r:id="rId2"/>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205ED06-6A20-463F-81D8-65A6E46819FC}">
  <sheetPr codeName="Sheet17"/>
  <dimension ref="A1:G25"/>
  <sheetViews>
    <sheetView workbookViewId="0">
      <selection activeCell="C15" sqref="C15"/>
    </sheetView>
  </sheetViews>
  <sheetFormatPr defaultRowHeight="14.4"/>
  <cols>
    <col min="1" max="1" width="7.33203125" customWidth="1"/>
    <col min="2" max="2" width="23" customWidth="1"/>
    <col min="3" max="3" width="7.44140625" customWidth="1"/>
    <col min="4" max="4" width="23.33203125" customWidth="1"/>
    <col min="5" max="5" width="19.33203125" customWidth="1"/>
    <col min="6" max="6" width="8.44140625" bestFit="1" customWidth="1"/>
    <col min="7" max="7" width="8" bestFit="1" customWidth="1"/>
  </cols>
  <sheetData>
    <row r="1" spans="1:7">
      <c r="A1" t="s">
        <v>879</v>
      </c>
      <c r="B1" t="s">
        <v>905</v>
      </c>
      <c r="C1" t="s">
        <v>919</v>
      </c>
      <c r="D1" t="s">
        <v>920</v>
      </c>
      <c r="E1" t="s">
        <v>906</v>
      </c>
      <c r="F1" t="s">
        <v>921</v>
      </c>
      <c r="G1" t="s">
        <v>922</v>
      </c>
    </row>
    <row r="2" spans="1:7">
      <c r="A2" t="s">
        <v>896</v>
      </c>
      <c r="B2" t="s">
        <v>1530</v>
      </c>
      <c r="C2" t="s">
        <v>881</v>
      </c>
      <c r="D2" t="s">
        <v>1543</v>
      </c>
      <c r="E2" t="s">
        <v>1149</v>
      </c>
      <c r="F2" t="s">
        <v>896</v>
      </c>
      <c r="G2" t="s">
        <v>411</v>
      </c>
    </row>
    <row r="3" spans="1:7">
      <c r="A3" t="s">
        <v>896</v>
      </c>
      <c r="B3" t="s">
        <v>1530</v>
      </c>
      <c r="C3" t="s">
        <v>882</v>
      </c>
      <c r="D3" t="s">
        <v>1542</v>
      </c>
      <c r="E3" t="s">
        <v>911</v>
      </c>
      <c r="F3" t="s">
        <v>896</v>
      </c>
      <c r="G3" t="s">
        <v>411</v>
      </c>
    </row>
    <row r="4" spans="1:7">
      <c r="A4" t="s">
        <v>897</v>
      </c>
      <c r="B4" t="s">
        <v>1531</v>
      </c>
      <c r="C4" t="s">
        <v>883</v>
      </c>
      <c r="D4" t="s">
        <v>1546</v>
      </c>
      <c r="E4" t="s">
        <v>910</v>
      </c>
      <c r="F4" t="s">
        <v>897</v>
      </c>
      <c r="G4" t="s">
        <v>411</v>
      </c>
    </row>
    <row r="5" spans="1:7">
      <c r="A5" t="s">
        <v>897</v>
      </c>
      <c r="B5" t="s">
        <v>1531</v>
      </c>
      <c r="C5" t="s">
        <v>884</v>
      </c>
      <c r="D5" t="s">
        <v>1546</v>
      </c>
      <c r="E5" t="s">
        <v>910</v>
      </c>
      <c r="F5" t="s">
        <v>897</v>
      </c>
      <c r="G5" t="s">
        <v>411</v>
      </c>
    </row>
    <row r="6" spans="1:7">
      <c r="A6" t="s">
        <v>897</v>
      </c>
      <c r="B6" t="s">
        <v>1531</v>
      </c>
      <c r="C6" t="s">
        <v>885</v>
      </c>
      <c r="D6" t="s">
        <v>1548</v>
      </c>
      <c r="E6" t="s">
        <v>1149</v>
      </c>
      <c r="F6" t="s">
        <v>897</v>
      </c>
      <c r="G6" t="s">
        <v>411</v>
      </c>
    </row>
    <row r="7" spans="1:7">
      <c r="A7" t="s">
        <v>898</v>
      </c>
      <c r="B7" t="s">
        <v>1533</v>
      </c>
      <c r="C7" t="s">
        <v>890</v>
      </c>
      <c r="D7" t="s">
        <v>1555</v>
      </c>
      <c r="E7" t="s">
        <v>1356</v>
      </c>
      <c r="F7" t="s">
        <v>898</v>
      </c>
      <c r="G7" t="s">
        <v>411</v>
      </c>
    </row>
    <row r="8" spans="1:7">
      <c r="A8" t="s">
        <v>898</v>
      </c>
      <c r="B8" t="s">
        <v>1533</v>
      </c>
      <c r="C8" t="s">
        <v>891</v>
      </c>
      <c r="D8" t="s">
        <v>1555</v>
      </c>
      <c r="E8" t="s">
        <v>1356</v>
      </c>
      <c r="F8" t="s">
        <v>898</v>
      </c>
      <c r="G8" t="s">
        <v>411</v>
      </c>
    </row>
    <row r="9" spans="1:7">
      <c r="A9" t="s">
        <v>898</v>
      </c>
      <c r="B9" t="s">
        <v>1533</v>
      </c>
      <c r="C9" t="s">
        <v>892</v>
      </c>
      <c r="D9" t="s">
        <v>1555</v>
      </c>
      <c r="E9" t="s">
        <v>1356</v>
      </c>
      <c r="F9" t="s">
        <v>898</v>
      </c>
      <c r="G9" t="s">
        <v>411</v>
      </c>
    </row>
    <row r="10" spans="1:7">
      <c r="A10" t="s">
        <v>899</v>
      </c>
      <c r="B10" t="s">
        <v>1535</v>
      </c>
      <c r="C10" t="s">
        <v>889</v>
      </c>
      <c r="D10" t="s">
        <v>1560</v>
      </c>
      <c r="E10" t="s">
        <v>1356</v>
      </c>
      <c r="F10" t="s">
        <v>899</v>
      </c>
      <c r="G10" t="s">
        <v>411</v>
      </c>
    </row>
    <row r="11" spans="1:7">
      <c r="A11" t="s">
        <v>901</v>
      </c>
      <c r="B11" t="s">
        <v>1347</v>
      </c>
      <c r="C11" t="s">
        <v>751</v>
      </c>
      <c r="D11" t="s">
        <v>1561</v>
      </c>
      <c r="E11" t="s">
        <v>1355</v>
      </c>
      <c r="F11" t="s">
        <v>901</v>
      </c>
      <c r="G11" t="s">
        <v>411</v>
      </c>
    </row>
    <row r="12" spans="1:7">
      <c r="A12" t="s">
        <v>902</v>
      </c>
      <c r="B12" t="s">
        <v>1348</v>
      </c>
      <c r="C12" t="s">
        <v>893</v>
      </c>
      <c r="D12" t="s">
        <v>1657</v>
      </c>
      <c r="E12" t="s">
        <v>1656</v>
      </c>
      <c r="F12" t="s">
        <v>902</v>
      </c>
      <c r="G12" t="s">
        <v>411</v>
      </c>
    </row>
    <row r="13" spans="1:7">
      <c r="A13" t="s">
        <v>902</v>
      </c>
      <c r="B13" t="s">
        <v>1348</v>
      </c>
      <c r="C13" t="s">
        <v>894</v>
      </c>
      <c r="D13" t="s">
        <v>1562</v>
      </c>
      <c r="E13" t="s">
        <v>1357</v>
      </c>
      <c r="F13" t="s">
        <v>902</v>
      </c>
      <c r="G13" t="s">
        <v>411</v>
      </c>
    </row>
    <row r="14" spans="1:7">
      <c r="A14" t="s">
        <v>902</v>
      </c>
      <c r="B14" t="s">
        <v>1348</v>
      </c>
      <c r="C14" t="s">
        <v>886</v>
      </c>
      <c r="D14" t="s">
        <v>1657</v>
      </c>
      <c r="E14" t="s">
        <v>1656</v>
      </c>
      <c r="F14" t="s">
        <v>902</v>
      </c>
      <c r="G14" t="s">
        <v>411</v>
      </c>
    </row>
    <row r="15" spans="1:7">
      <c r="A15" t="s">
        <v>902</v>
      </c>
      <c r="B15" t="s">
        <v>1348</v>
      </c>
      <c r="C15" t="s">
        <v>887</v>
      </c>
      <c r="D15" t="s">
        <v>1562</v>
      </c>
      <c r="E15" t="s">
        <v>1357</v>
      </c>
      <c r="F15" t="s">
        <v>902</v>
      </c>
      <c r="G15" t="s">
        <v>411</v>
      </c>
    </row>
    <row r="16" spans="1:7">
      <c r="A16" t="s">
        <v>902</v>
      </c>
      <c r="B16" t="s">
        <v>1348</v>
      </c>
      <c r="C16" t="s">
        <v>888</v>
      </c>
      <c r="D16" t="s">
        <v>1562</v>
      </c>
      <c r="E16" t="s">
        <v>1357</v>
      </c>
      <c r="F16" t="s">
        <v>902</v>
      </c>
      <c r="G16" t="s">
        <v>411</v>
      </c>
    </row>
    <row r="17" spans="1:7">
      <c r="A17" t="s">
        <v>903</v>
      </c>
      <c r="B17" t="s">
        <v>1349</v>
      </c>
      <c r="C17" t="s">
        <v>753</v>
      </c>
      <c r="D17" t="s">
        <v>1563</v>
      </c>
      <c r="E17" t="s">
        <v>1354</v>
      </c>
      <c r="F17" t="s">
        <v>903</v>
      </c>
      <c r="G17" t="s">
        <v>411</v>
      </c>
    </row>
    <row r="18" spans="1:7">
      <c r="A18" t="s">
        <v>904</v>
      </c>
      <c r="B18" t="s">
        <v>1350</v>
      </c>
      <c r="C18" t="s">
        <v>835</v>
      </c>
      <c r="D18" t="s">
        <v>1564</v>
      </c>
      <c r="E18" t="s">
        <v>1238</v>
      </c>
      <c r="F18" t="s">
        <v>904</v>
      </c>
      <c r="G18" t="s">
        <v>411</v>
      </c>
    </row>
    <row r="19" spans="1:7">
      <c r="A19" t="s">
        <v>896</v>
      </c>
      <c r="B19" t="s">
        <v>1530</v>
      </c>
      <c r="C19" t="s">
        <v>882</v>
      </c>
      <c r="D19" t="s">
        <v>1543</v>
      </c>
      <c r="E19" t="s">
        <v>1149</v>
      </c>
      <c r="F19" t="s">
        <v>896</v>
      </c>
    </row>
    <row r="20" spans="1:7">
      <c r="A20" t="s">
        <v>897</v>
      </c>
      <c r="B20" t="s">
        <v>1531</v>
      </c>
      <c r="C20" t="s">
        <v>883</v>
      </c>
      <c r="D20" t="s">
        <v>1547</v>
      </c>
      <c r="E20" t="s">
        <v>911</v>
      </c>
      <c r="F20" t="s">
        <v>897</v>
      </c>
    </row>
    <row r="21" spans="1:7">
      <c r="A21" t="s">
        <v>897</v>
      </c>
      <c r="B21" t="s">
        <v>1531</v>
      </c>
      <c r="C21" t="s">
        <v>883</v>
      </c>
      <c r="D21" t="s">
        <v>1548</v>
      </c>
      <c r="E21" t="s">
        <v>1149</v>
      </c>
      <c r="F21" t="s">
        <v>897</v>
      </c>
    </row>
    <row r="22" spans="1:7">
      <c r="A22" t="s">
        <v>897</v>
      </c>
      <c r="B22" t="s">
        <v>1531</v>
      </c>
      <c r="C22" t="s">
        <v>883</v>
      </c>
      <c r="D22" t="s">
        <v>1550</v>
      </c>
      <c r="E22" t="s">
        <v>1356</v>
      </c>
      <c r="F22" t="s">
        <v>897</v>
      </c>
    </row>
    <row r="23" spans="1:7">
      <c r="A23" t="s">
        <v>897</v>
      </c>
      <c r="B23" t="s">
        <v>1531</v>
      </c>
      <c r="C23" t="s">
        <v>883</v>
      </c>
      <c r="D23" t="s">
        <v>1549</v>
      </c>
      <c r="E23" t="s">
        <v>1288</v>
      </c>
      <c r="F23" t="s">
        <v>897</v>
      </c>
    </row>
    <row r="24" spans="1:7">
      <c r="A24" t="s">
        <v>897</v>
      </c>
      <c r="B24" t="s">
        <v>1531</v>
      </c>
      <c r="C24" t="s">
        <v>885</v>
      </c>
      <c r="D24" t="s">
        <v>1549</v>
      </c>
      <c r="E24" t="s">
        <v>1288</v>
      </c>
      <c r="F24" t="s">
        <v>897</v>
      </c>
    </row>
    <row r="25" spans="1:7">
      <c r="A25" t="s">
        <v>902</v>
      </c>
      <c r="B25" t="s">
        <v>1348</v>
      </c>
      <c r="C25" t="s">
        <v>894</v>
      </c>
      <c r="D25" t="s">
        <v>1657</v>
      </c>
      <c r="E25" t="s">
        <v>1656</v>
      </c>
      <c r="F25" t="s">
        <v>902</v>
      </c>
    </row>
  </sheetData>
  <sortState xmlns:xlrd2="http://schemas.microsoft.com/office/spreadsheetml/2017/richdata2" ref="A2:G25">
    <sortCondition ref="G2:G25"/>
    <sortCondition ref="A2:A25"/>
    <sortCondition ref="C2:C25"/>
    <sortCondition ref="D2:D25"/>
  </sortState>
  <phoneticPr fontId="54" type="noConversion"/>
  <pageMargins left="0.7" right="0.7" top="0.75" bottom="0.75" header="0.3" footer="0.3"/>
  <pageSetup orientation="portrait" r:id="rId1"/>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5603B57-107E-438C-8CD3-B8380F53E0A8}">
  <sheetPr codeName="Sheet32">
    <tabColor theme="9" tint="0.79998168889431442"/>
  </sheetPr>
  <dimension ref="A3:M23"/>
  <sheetViews>
    <sheetView workbookViewId="0">
      <selection activeCell="N21" sqref="N21"/>
    </sheetView>
  </sheetViews>
  <sheetFormatPr defaultRowHeight="14.4"/>
  <cols>
    <col min="1" max="1" width="15.33203125" bestFit="1" customWidth="1"/>
    <col min="2" max="2" width="15.6640625" bestFit="1" customWidth="1"/>
    <col min="3" max="4" width="3" bestFit="1" customWidth="1"/>
    <col min="5" max="6" width="2.6640625" bestFit="1" customWidth="1"/>
    <col min="7" max="7" width="6.6640625" bestFit="1" customWidth="1"/>
    <col min="8" max="8" width="3" bestFit="1" customWidth="1"/>
    <col min="9" max="10" width="2.6640625" bestFit="1" customWidth="1"/>
    <col min="11" max="11" width="10.6640625" bestFit="1" customWidth="1"/>
  </cols>
  <sheetData>
    <row r="3" spans="1:13">
      <c r="A3" s="310" t="s">
        <v>913</v>
      </c>
      <c r="B3" s="310" t="s">
        <v>914</v>
      </c>
    </row>
    <row r="4" spans="1:13">
      <c r="A4" s="310" t="s">
        <v>915</v>
      </c>
      <c r="B4" s="318" t="s">
        <v>896</v>
      </c>
      <c r="C4" s="318" t="s">
        <v>897</v>
      </c>
      <c r="D4" s="318" t="s">
        <v>899</v>
      </c>
      <c r="E4" s="318" t="s">
        <v>901</v>
      </c>
      <c r="F4" s="318" t="s">
        <v>902</v>
      </c>
      <c r="G4" s="318" t="s">
        <v>916</v>
      </c>
      <c r="H4" s="318" t="s">
        <v>898</v>
      </c>
      <c r="I4" s="318" t="s">
        <v>903</v>
      </c>
      <c r="J4" s="318" t="s">
        <v>904</v>
      </c>
      <c r="K4" s="318" t="s">
        <v>917</v>
      </c>
    </row>
    <row r="5" spans="1:13">
      <c r="A5" s="308" t="s">
        <v>893</v>
      </c>
      <c r="B5" s="311"/>
      <c r="C5" s="311"/>
      <c r="D5" s="311"/>
      <c r="E5" s="311"/>
      <c r="F5" s="311">
        <v>1</v>
      </c>
      <c r="G5" s="311"/>
      <c r="H5" s="311"/>
      <c r="I5" s="311"/>
      <c r="J5" s="311"/>
      <c r="K5" s="311">
        <v>1</v>
      </c>
      <c r="M5" t="s">
        <v>893</v>
      </c>
    </row>
    <row r="6" spans="1:13">
      <c r="A6" s="308" t="s">
        <v>751</v>
      </c>
      <c r="B6" s="311"/>
      <c r="C6" s="311"/>
      <c r="D6" s="311"/>
      <c r="E6" s="311">
        <v>1</v>
      </c>
      <c r="F6" s="311"/>
      <c r="G6" s="311"/>
      <c r="H6" s="311"/>
      <c r="I6" s="311"/>
      <c r="J6" s="311"/>
      <c r="K6" s="311">
        <v>1</v>
      </c>
      <c r="M6" t="s">
        <v>751</v>
      </c>
    </row>
    <row r="7" spans="1:13">
      <c r="A7" s="308" t="s">
        <v>890</v>
      </c>
      <c r="B7" s="311"/>
      <c r="C7" s="311"/>
      <c r="D7" s="311"/>
      <c r="E7" s="311"/>
      <c r="F7" s="311"/>
      <c r="G7" s="311"/>
      <c r="H7" s="311">
        <v>1</v>
      </c>
      <c r="I7" s="311"/>
      <c r="J7" s="311"/>
      <c r="K7" s="311">
        <v>1</v>
      </c>
      <c r="M7" t="s">
        <v>890</v>
      </c>
    </row>
    <row r="8" spans="1:13">
      <c r="A8" s="308" t="s">
        <v>891</v>
      </c>
      <c r="B8" s="311"/>
      <c r="C8" s="311"/>
      <c r="D8" s="311"/>
      <c r="E8" s="311"/>
      <c r="F8" s="311"/>
      <c r="G8" s="311"/>
      <c r="H8" s="311">
        <v>1</v>
      </c>
      <c r="I8" s="311"/>
      <c r="J8" s="311"/>
      <c r="K8" s="311">
        <v>1</v>
      </c>
      <c r="M8" t="s">
        <v>891</v>
      </c>
    </row>
    <row r="9" spans="1:13">
      <c r="A9" s="308" t="s">
        <v>881</v>
      </c>
      <c r="B9" s="311">
        <v>1</v>
      </c>
      <c r="C9" s="311"/>
      <c r="D9" s="311"/>
      <c r="E9" s="311"/>
      <c r="F9" s="311"/>
      <c r="G9" s="311"/>
      <c r="H9" s="311"/>
      <c r="I9" s="311"/>
      <c r="J9" s="311"/>
      <c r="K9" s="311">
        <v>1</v>
      </c>
      <c r="M9" t="s">
        <v>881</v>
      </c>
    </row>
    <row r="10" spans="1:13">
      <c r="A10" s="308" t="s">
        <v>892</v>
      </c>
      <c r="B10" s="311"/>
      <c r="C10" s="311"/>
      <c r="D10" s="311"/>
      <c r="E10" s="311"/>
      <c r="F10" s="311"/>
      <c r="G10" s="311"/>
      <c r="H10" s="311">
        <v>1</v>
      </c>
      <c r="I10" s="311"/>
      <c r="J10" s="311"/>
      <c r="K10" s="311">
        <v>1</v>
      </c>
      <c r="M10" t="s">
        <v>892</v>
      </c>
    </row>
    <row r="11" spans="1:13">
      <c r="A11" s="308" t="s">
        <v>883</v>
      </c>
      <c r="B11" s="311"/>
      <c r="C11" s="311">
        <v>5</v>
      </c>
      <c r="D11" s="311"/>
      <c r="E11" s="311"/>
      <c r="F11" s="311"/>
      <c r="G11" s="311"/>
      <c r="H11" s="311"/>
      <c r="I11" s="311"/>
      <c r="J11" s="311"/>
      <c r="K11" s="311">
        <v>5</v>
      </c>
      <c r="M11" t="s">
        <v>883</v>
      </c>
    </row>
    <row r="12" spans="1:13">
      <c r="A12" s="308" t="s">
        <v>884</v>
      </c>
      <c r="B12" s="311"/>
      <c r="C12" s="311">
        <v>1</v>
      </c>
      <c r="D12" s="311"/>
      <c r="E12" s="311"/>
      <c r="F12" s="311"/>
      <c r="G12" s="311"/>
      <c r="H12" s="311"/>
      <c r="I12" s="311"/>
      <c r="J12" s="311"/>
      <c r="K12" s="311">
        <v>1</v>
      </c>
      <c r="M12" t="s">
        <v>884</v>
      </c>
    </row>
    <row r="13" spans="1:13">
      <c r="A13" s="308" t="s">
        <v>889</v>
      </c>
      <c r="B13" s="311"/>
      <c r="C13" s="311"/>
      <c r="D13" s="311">
        <v>1</v>
      </c>
      <c r="E13" s="311"/>
      <c r="F13" s="311"/>
      <c r="G13" s="311"/>
      <c r="H13" s="311"/>
      <c r="I13" s="311"/>
      <c r="J13" s="311"/>
      <c r="K13" s="311">
        <v>1</v>
      </c>
      <c r="M13" t="s">
        <v>889</v>
      </c>
    </row>
    <row r="14" spans="1:13">
      <c r="A14" s="308" t="s">
        <v>882</v>
      </c>
      <c r="B14" s="311">
        <v>2</v>
      </c>
      <c r="C14" s="311"/>
      <c r="D14" s="311"/>
      <c r="E14" s="311"/>
      <c r="F14" s="311"/>
      <c r="G14" s="311"/>
      <c r="H14" s="311"/>
      <c r="I14" s="311"/>
      <c r="J14" s="311"/>
      <c r="K14" s="311">
        <v>2</v>
      </c>
      <c r="M14" t="s">
        <v>882</v>
      </c>
    </row>
    <row r="15" spans="1:13">
      <c r="A15" s="308" t="s">
        <v>885</v>
      </c>
      <c r="B15" s="311"/>
      <c r="C15" s="311">
        <v>2</v>
      </c>
      <c r="D15" s="311"/>
      <c r="E15" s="311"/>
      <c r="F15" s="311"/>
      <c r="G15" s="311"/>
      <c r="H15" s="311"/>
      <c r="I15" s="311"/>
      <c r="J15" s="311"/>
      <c r="K15" s="311">
        <v>2</v>
      </c>
      <c r="M15" t="s">
        <v>885</v>
      </c>
    </row>
    <row r="16" spans="1:13">
      <c r="A16" s="308" t="s">
        <v>916</v>
      </c>
      <c r="B16" s="311"/>
      <c r="C16" s="311"/>
      <c r="D16" s="311"/>
      <c r="E16" s="311"/>
      <c r="F16" s="311"/>
      <c r="G16" s="311"/>
      <c r="H16" s="311"/>
      <c r="I16" s="311"/>
      <c r="J16" s="311"/>
      <c r="K16" s="311"/>
    </row>
    <row r="17" spans="1:13">
      <c r="A17" s="308" t="s">
        <v>886</v>
      </c>
      <c r="B17" s="311"/>
      <c r="C17" s="311"/>
      <c r="D17" s="311"/>
      <c r="E17" s="311"/>
      <c r="F17" s="311">
        <v>1</v>
      </c>
      <c r="G17" s="311"/>
      <c r="H17" s="311"/>
      <c r="I17" s="311"/>
      <c r="J17" s="311"/>
      <c r="K17" s="311">
        <v>1</v>
      </c>
      <c r="M17" t="s">
        <v>886</v>
      </c>
    </row>
    <row r="18" spans="1:13">
      <c r="A18" s="308" t="s">
        <v>887</v>
      </c>
      <c r="B18" s="311"/>
      <c r="C18" s="311"/>
      <c r="D18" s="311"/>
      <c r="E18" s="311"/>
      <c r="F18" s="311">
        <v>1</v>
      </c>
      <c r="G18" s="311"/>
      <c r="H18" s="311"/>
      <c r="I18" s="311"/>
      <c r="J18" s="311"/>
      <c r="K18" s="311">
        <v>1</v>
      </c>
      <c r="M18" t="s">
        <v>887</v>
      </c>
    </row>
    <row r="19" spans="1:13">
      <c r="A19" s="308" t="s">
        <v>888</v>
      </c>
      <c r="B19" s="311"/>
      <c r="C19" s="311"/>
      <c r="D19" s="311"/>
      <c r="E19" s="311"/>
      <c r="F19" s="311">
        <v>1</v>
      </c>
      <c r="G19" s="311"/>
      <c r="H19" s="311"/>
      <c r="I19" s="311"/>
      <c r="J19" s="311"/>
      <c r="K19" s="311">
        <v>1</v>
      </c>
      <c r="M19" t="s">
        <v>888</v>
      </c>
    </row>
    <row r="20" spans="1:13">
      <c r="A20" s="308" t="s">
        <v>753</v>
      </c>
      <c r="B20" s="311"/>
      <c r="C20" s="311"/>
      <c r="D20" s="311"/>
      <c r="E20" s="311"/>
      <c r="F20" s="311"/>
      <c r="G20" s="311"/>
      <c r="H20" s="311"/>
      <c r="I20" s="311">
        <v>1</v>
      </c>
      <c r="J20" s="311"/>
      <c r="K20" s="311">
        <v>1</v>
      </c>
      <c r="M20" t="s">
        <v>753</v>
      </c>
    </row>
    <row r="21" spans="1:13">
      <c r="A21" s="308" t="s">
        <v>835</v>
      </c>
      <c r="B21" s="311"/>
      <c r="C21" s="311"/>
      <c r="D21" s="311"/>
      <c r="E21" s="311"/>
      <c r="F21" s="311"/>
      <c r="G21" s="311"/>
      <c r="H21" s="311"/>
      <c r="I21" s="311"/>
      <c r="J21" s="311">
        <v>1</v>
      </c>
      <c r="K21" s="311">
        <v>1</v>
      </c>
      <c r="M21" t="s">
        <v>835</v>
      </c>
    </row>
    <row r="22" spans="1:13">
      <c r="A22" s="308" t="s">
        <v>894</v>
      </c>
      <c r="B22" s="311"/>
      <c r="C22" s="311"/>
      <c r="D22" s="311"/>
      <c r="E22" s="311"/>
      <c r="F22" s="311">
        <v>2</v>
      </c>
      <c r="G22" s="311"/>
      <c r="H22" s="311"/>
      <c r="I22" s="311"/>
      <c r="J22" s="311"/>
      <c r="K22" s="311">
        <v>2</v>
      </c>
      <c r="M22" t="s">
        <v>894</v>
      </c>
    </row>
    <row r="23" spans="1:13">
      <c r="A23" s="308" t="s">
        <v>917</v>
      </c>
      <c r="B23" s="311">
        <v>3</v>
      </c>
      <c r="C23" s="311">
        <v>8</v>
      </c>
      <c r="D23" s="311">
        <v>1</v>
      </c>
      <c r="E23" s="311">
        <v>1</v>
      </c>
      <c r="F23" s="311">
        <v>6</v>
      </c>
      <c r="G23" s="311"/>
      <c r="H23" s="311">
        <v>3</v>
      </c>
      <c r="I23" s="311">
        <v>1</v>
      </c>
      <c r="J23" s="311">
        <v>1</v>
      </c>
      <c r="K23" s="311">
        <v>24</v>
      </c>
      <c r="M23" t="s">
        <v>895</v>
      </c>
    </row>
  </sheetData>
  <phoneticPr fontId="54" type="noConversion"/>
  <pageMargins left="0.7" right="0.7" top="0.75" bottom="0.75" header="0.3" footer="0.3"/>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7DFE102-E177-47CF-AC3F-3D1F7AD1C7C3}">
  <sheetPr codeName="Sheet19">
    <tabColor theme="0" tint="-4.9989318521683403E-2"/>
    <pageSetUpPr fitToPage="1"/>
  </sheetPr>
  <dimension ref="A1:M18"/>
  <sheetViews>
    <sheetView workbookViewId="0">
      <selection activeCell="C15" sqref="C15"/>
    </sheetView>
  </sheetViews>
  <sheetFormatPr defaultColWidth="8.6640625" defaultRowHeight="14.4"/>
  <cols>
    <col min="1" max="1" width="7.33203125" style="124" customWidth="1"/>
    <col min="2" max="2" width="37" style="124" customWidth="1"/>
    <col min="3" max="3" width="5.44140625" style="127" bestFit="1" customWidth="1"/>
    <col min="4" max="4" width="30.44140625" style="124" customWidth="1"/>
    <col min="5" max="5" width="27.33203125" style="124" customWidth="1"/>
    <col min="6" max="6" width="8.6640625" style="127"/>
    <col min="7" max="7" width="8.33203125" style="64" bestFit="1" customWidth="1"/>
    <col min="8" max="8" width="34.33203125" style="124" bestFit="1" customWidth="1"/>
    <col min="9" max="9" width="8.44140625" style="124" bestFit="1" customWidth="1"/>
    <col min="10" max="16" width="9.44140625" style="124" customWidth="1"/>
    <col min="17" max="16384" width="8.6640625" style="124"/>
  </cols>
  <sheetData>
    <row r="1" spans="1:13" s="116" customFormat="1">
      <c r="A1" s="109" t="s">
        <v>879</v>
      </c>
      <c r="B1" s="146" t="s">
        <v>905</v>
      </c>
      <c r="C1" s="110" t="s">
        <v>919</v>
      </c>
      <c r="D1" s="109" t="s">
        <v>920</v>
      </c>
      <c r="E1" s="109" t="s">
        <v>906</v>
      </c>
      <c r="F1" s="110" t="s">
        <v>921</v>
      </c>
      <c r="G1" s="108" t="s">
        <v>922</v>
      </c>
      <c r="H1" s="109" t="s">
        <v>615</v>
      </c>
      <c r="I1" s="109" t="s">
        <v>924</v>
      </c>
      <c r="K1" s="315" t="s">
        <v>1293</v>
      </c>
      <c r="L1" s="315">
        <f>VALUE(RIGHT(Planning!B10,1))</f>
        <v>5</v>
      </c>
      <c r="M1" s="124" t="s">
        <v>1294</v>
      </c>
    </row>
    <row r="2" spans="1:13">
      <c r="A2" s="318" t="s">
        <v>896</v>
      </c>
      <c r="B2" s="318" t="s">
        <v>1530</v>
      </c>
      <c r="C2" s="318" t="s">
        <v>881</v>
      </c>
      <c r="D2" s="318" t="s">
        <v>1543</v>
      </c>
      <c r="E2" s="318" t="s">
        <v>1149</v>
      </c>
      <c r="F2" s="318" t="s">
        <v>896</v>
      </c>
      <c r="G2" s="318" t="s">
        <v>411</v>
      </c>
      <c r="H2" s="316" t="str">
        <f t="shared" ref="H2" si="0">VLOOKUP(E2,tbl_RolePAlookup,2,FALSE)</f>
        <v>[4] Engineering</v>
      </c>
      <c r="I2" s="426">
        <f t="shared" ref="I2" si="1">VLOOKUP(C2,tbl_PAcount,L$1+1,FALSE)</f>
        <v>10</v>
      </c>
    </row>
    <row r="3" spans="1:13">
      <c r="A3" s="318" t="s">
        <v>896</v>
      </c>
      <c r="B3" s="318" t="s">
        <v>1530</v>
      </c>
      <c r="C3" s="318" t="s">
        <v>882</v>
      </c>
      <c r="D3" s="318" t="s">
        <v>1542</v>
      </c>
      <c r="E3" s="318" t="s">
        <v>911</v>
      </c>
      <c r="F3" s="318" t="s">
        <v>896</v>
      </c>
      <c r="G3" s="318" t="s">
        <v>411</v>
      </c>
      <c r="H3" s="316" t="str">
        <f t="shared" ref="H3:H18" si="2">VLOOKUP(E3,tbl_RolePAlookup,2,FALSE)</f>
        <v>[4] Engineering</v>
      </c>
      <c r="I3" s="426">
        <f t="shared" ref="I3:I18" si="3">VLOOKUP(C3,tbl_PAcount,L$1+1,FALSE)</f>
        <v>10</v>
      </c>
    </row>
    <row r="4" spans="1:13">
      <c r="A4" s="318" t="s">
        <v>897</v>
      </c>
      <c r="B4" s="318" t="s">
        <v>1531</v>
      </c>
      <c r="C4" s="318" t="s">
        <v>883</v>
      </c>
      <c r="D4" s="318" t="s">
        <v>1546</v>
      </c>
      <c r="E4" s="318" t="s">
        <v>910</v>
      </c>
      <c r="F4" s="318" t="s">
        <v>897</v>
      </c>
      <c r="G4" s="318" t="s">
        <v>411</v>
      </c>
      <c r="H4" s="316" t="str">
        <f t="shared" si="2"/>
        <v>[4] Engineering</v>
      </c>
      <c r="I4" s="426">
        <f t="shared" si="3"/>
        <v>6</v>
      </c>
    </row>
    <row r="5" spans="1:13">
      <c r="A5" s="318" t="s">
        <v>897</v>
      </c>
      <c r="B5" s="318" t="s">
        <v>1531</v>
      </c>
      <c r="C5" s="318" t="s">
        <v>884</v>
      </c>
      <c r="D5" s="318" t="s">
        <v>1546</v>
      </c>
      <c r="E5" s="318" t="s">
        <v>910</v>
      </c>
      <c r="F5" s="318" t="s">
        <v>897</v>
      </c>
      <c r="G5" s="318" t="s">
        <v>411</v>
      </c>
      <c r="H5" s="316" t="str">
        <f t="shared" si="2"/>
        <v>[4] Engineering</v>
      </c>
      <c r="I5" s="426">
        <f t="shared" si="3"/>
        <v>14</v>
      </c>
    </row>
    <row r="6" spans="1:13">
      <c r="A6" s="318" t="s">
        <v>897</v>
      </c>
      <c r="B6" s="318" t="s">
        <v>1531</v>
      </c>
      <c r="C6" s="318" t="s">
        <v>885</v>
      </c>
      <c r="D6" s="318" t="s">
        <v>1548</v>
      </c>
      <c r="E6" s="318" t="s">
        <v>1149</v>
      </c>
      <c r="F6" s="318" t="s">
        <v>897</v>
      </c>
      <c r="G6" s="318" t="s">
        <v>411</v>
      </c>
      <c r="H6" s="316" t="str">
        <f t="shared" si="2"/>
        <v>[4] Engineering</v>
      </c>
      <c r="I6" s="426">
        <f t="shared" si="3"/>
        <v>7</v>
      </c>
    </row>
    <row r="7" spans="1:13">
      <c r="A7" s="318" t="s">
        <v>898</v>
      </c>
      <c r="B7" s="318" t="s">
        <v>1533</v>
      </c>
      <c r="C7" s="318" t="s">
        <v>890</v>
      </c>
      <c r="D7" s="318" t="s">
        <v>1555</v>
      </c>
      <c r="E7" s="318" t="s">
        <v>1356</v>
      </c>
      <c r="F7" s="318" t="s">
        <v>898</v>
      </c>
      <c r="G7" s="318" t="s">
        <v>411</v>
      </c>
      <c r="H7" s="316" t="str">
        <f t="shared" si="2"/>
        <v>[3] Project Management</v>
      </c>
      <c r="I7" s="426">
        <f t="shared" si="3"/>
        <v>6</v>
      </c>
    </row>
    <row r="8" spans="1:13">
      <c r="A8" s="318" t="s">
        <v>898</v>
      </c>
      <c r="B8" s="318" t="s">
        <v>1533</v>
      </c>
      <c r="C8" s="318" t="s">
        <v>891</v>
      </c>
      <c r="D8" s="318" t="s">
        <v>1555</v>
      </c>
      <c r="E8" s="318" t="s">
        <v>1356</v>
      </c>
      <c r="F8" s="318" t="s">
        <v>898</v>
      </c>
      <c r="G8" s="318" t="s">
        <v>411</v>
      </c>
      <c r="H8" s="316" t="str">
        <f t="shared" si="2"/>
        <v>[3] Project Management</v>
      </c>
      <c r="I8" s="426">
        <f t="shared" si="3"/>
        <v>10</v>
      </c>
    </row>
    <row r="9" spans="1:13">
      <c r="A9" s="318" t="s">
        <v>898</v>
      </c>
      <c r="B9" s="318" t="s">
        <v>1533</v>
      </c>
      <c r="C9" s="318" t="s">
        <v>892</v>
      </c>
      <c r="D9" s="318" t="s">
        <v>1555</v>
      </c>
      <c r="E9" s="318" t="s">
        <v>1356</v>
      </c>
      <c r="F9" s="318" t="s">
        <v>898</v>
      </c>
      <c r="G9" s="318" t="s">
        <v>411</v>
      </c>
      <c r="H9" s="316" t="str">
        <f t="shared" si="2"/>
        <v>[3] Project Management</v>
      </c>
      <c r="I9" s="426">
        <f t="shared" si="3"/>
        <v>15</v>
      </c>
    </row>
    <row r="10" spans="1:13">
      <c r="A10" s="318" t="s">
        <v>899</v>
      </c>
      <c r="B10" s="318" t="s">
        <v>1535</v>
      </c>
      <c r="C10" s="318" t="s">
        <v>889</v>
      </c>
      <c r="D10" s="318" t="s">
        <v>1560</v>
      </c>
      <c r="E10" s="318" t="s">
        <v>1356</v>
      </c>
      <c r="F10" s="318" t="s">
        <v>899</v>
      </c>
      <c r="G10" s="318" t="s">
        <v>411</v>
      </c>
      <c r="H10" s="316" t="str">
        <f t="shared" si="2"/>
        <v>[3] Project Management</v>
      </c>
      <c r="I10" s="426">
        <f t="shared" si="3"/>
        <v>8</v>
      </c>
    </row>
    <row r="11" spans="1:13">
      <c r="A11" s="318" t="s">
        <v>901</v>
      </c>
      <c r="B11" s="318" t="s">
        <v>1347</v>
      </c>
      <c r="C11" s="318" t="s">
        <v>751</v>
      </c>
      <c r="D11" s="318" t="s">
        <v>1561</v>
      </c>
      <c r="E11" s="318" t="s">
        <v>1355</v>
      </c>
      <c r="F11" s="318" t="s">
        <v>901</v>
      </c>
      <c r="G11" s="318" t="s">
        <v>411</v>
      </c>
      <c r="H11" s="316" t="str">
        <f t="shared" si="2"/>
        <v>[5] Configuration Management</v>
      </c>
      <c r="I11" s="426">
        <f t="shared" si="3"/>
        <v>7</v>
      </c>
    </row>
    <row r="12" spans="1:13">
      <c r="A12" s="318" t="s">
        <v>902</v>
      </c>
      <c r="B12" s="318" t="s">
        <v>1348</v>
      </c>
      <c r="C12" s="318" t="s">
        <v>893</v>
      </c>
      <c r="D12" s="318" t="s">
        <v>1657</v>
      </c>
      <c r="E12" s="318" t="s">
        <v>1656</v>
      </c>
      <c r="F12" s="318" t="s">
        <v>902</v>
      </c>
      <c r="G12" s="318" t="s">
        <v>411</v>
      </c>
      <c r="H12" s="316" t="str">
        <f t="shared" si="2"/>
        <v>[6] Process Management</v>
      </c>
      <c r="I12" s="426">
        <f t="shared" si="3"/>
        <v>11</v>
      </c>
    </row>
    <row r="13" spans="1:13">
      <c r="A13" s="318" t="s">
        <v>902</v>
      </c>
      <c r="B13" s="318" t="s">
        <v>1348</v>
      </c>
      <c r="C13" s="318" t="s">
        <v>894</v>
      </c>
      <c r="D13" s="318" t="s">
        <v>1562</v>
      </c>
      <c r="E13" s="318" t="s">
        <v>1357</v>
      </c>
      <c r="F13" s="318" t="s">
        <v>902</v>
      </c>
      <c r="G13" s="318" t="s">
        <v>411</v>
      </c>
      <c r="H13" s="316" t="str">
        <f t="shared" si="2"/>
        <v>[6] Process Management</v>
      </c>
      <c r="I13" s="426">
        <f t="shared" si="3"/>
        <v>8</v>
      </c>
    </row>
    <row r="14" spans="1:13">
      <c r="A14" s="318" t="s">
        <v>902</v>
      </c>
      <c r="B14" s="318" t="s">
        <v>1348</v>
      </c>
      <c r="C14" s="318" t="s">
        <v>886</v>
      </c>
      <c r="D14" s="318" t="s">
        <v>1657</v>
      </c>
      <c r="E14" s="318" t="s">
        <v>1656</v>
      </c>
      <c r="F14" s="318" t="s">
        <v>902</v>
      </c>
      <c r="G14" s="318" t="s">
        <v>411</v>
      </c>
      <c r="H14" s="316" t="str">
        <f t="shared" si="2"/>
        <v>[6] Process Management</v>
      </c>
      <c r="I14" s="426">
        <f t="shared" si="3"/>
        <v>22</v>
      </c>
    </row>
    <row r="15" spans="1:13">
      <c r="A15" s="318" t="s">
        <v>902</v>
      </c>
      <c r="B15" s="318" t="s">
        <v>1348</v>
      </c>
      <c r="C15" s="318" t="s">
        <v>887</v>
      </c>
      <c r="D15" s="318" t="s">
        <v>1562</v>
      </c>
      <c r="E15" s="318" t="s">
        <v>1357</v>
      </c>
      <c r="F15" s="318" t="s">
        <v>902</v>
      </c>
      <c r="G15" s="318" t="s">
        <v>411</v>
      </c>
      <c r="H15" s="316" t="str">
        <f t="shared" si="2"/>
        <v>[6] Process Management</v>
      </c>
      <c r="I15" s="426">
        <f t="shared" si="3"/>
        <v>11</v>
      </c>
    </row>
    <row r="16" spans="1:13">
      <c r="A16" s="318" t="s">
        <v>902</v>
      </c>
      <c r="B16" s="318" t="s">
        <v>1348</v>
      </c>
      <c r="C16" s="318" t="s">
        <v>888</v>
      </c>
      <c r="D16" s="318" t="s">
        <v>1562</v>
      </c>
      <c r="E16" s="318" t="s">
        <v>1357</v>
      </c>
      <c r="F16" s="318" t="s">
        <v>902</v>
      </c>
      <c r="G16" s="318" t="s">
        <v>411</v>
      </c>
      <c r="H16" s="316" t="str">
        <f t="shared" si="2"/>
        <v>[6] Process Management</v>
      </c>
      <c r="I16" s="426">
        <f t="shared" si="3"/>
        <v>11</v>
      </c>
    </row>
    <row r="17" spans="1:9">
      <c r="A17" s="318" t="s">
        <v>903</v>
      </c>
      <c r="B17" s="318" t="s">
        <v>1349</v>
      </c>
      <c r="C17" s="318" t="s">
        <v>753</v>
      </c>
      <c r="D17" s="318" t="s">
        <v>1563</v>
      </c>
      <c r="E17" s="318" t="s">
        <v>1354</v>
      </c>
      <c r="F17" s="318" t="s">
        <v>903</v>
      </c>
      <c r="G17" s="318" t="s">
        <v>411</v>
      </c>
      <c r="H17" s="316" t="str">
        <f t="shared" si="2"/>
        <v>[7] Organisational Training</v>
      </c>
      <c r="I17" s="426">
        <f t="shared" si="3"/>
        <v>9</v>
      </c>
    </row>
    <row r="18" spans="1:9">
      <c r="A18" s="318" t="s">
        <v>904</v>
      </c>
      <c r="B18" s="318" t="s">
        <v>1350</v>
      </c>
      <c r="C18" s="318" t="s">
        <v>835</v>
      </c>
      <c r="D18" s="318" t="s">
        <v>1564</v>
      </c>
      <c r="E18" s="318" t="s">
        <v>1238</v>
      </c>
      <c r="F18" s="318" t="s">
        <v>904</v>
      </c>
      <c r="G18" s="318" t="s">
        <v>411</v>
      </c>
      <c r="H18" s="316" t="str">
        <f t="shared" si="2"/>
        <v>[8] Process Quality Assurance</v>
      </c>
      <c r="I18" s="426">
        <f t="shared" si="3"/>
        <v>6</v>
      </c>
    </row>
  </sheetData>
  <sortState xmlns:xlrd2="http://schemas.microsoft.com/office/spreadsheetml/2017/richdata2" ref="A2:J10">
    <sortCondition ref="H2:H10"/>
    <sortCondition ref="B2:B10"/>
    <sortCondition ref="A2:A10"/>
    <sortCondition ref="E2:E10"/>
  </sortState>
  <phoneticPr fontId="54" type="noConversion"/>
  <pageMargins left="0.7" right="0.7" top="0.75" bottom="0.75" header="0.3" footer="0.3"/>
  <pageSetup paperSize="9" scale="87" fitToHeight="0" orientation="landscape" r:id="rId1"/>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B793E3D-0ADF-4835-9C33-1AC851597EF8}">
  <sheetPr>
    <tabColor theme="9" tint="0.79998168889431442"/>
  </sheetPr>
  <dimension ref="A1:J11"/>
  <sheetViews>
    <sheetView workbookViewId="0">
      <selection activeCell="J7" sqref="J7"/>
    </sheetView>
  </sheetViews>
  <sheetFormatPr defaultRowHeight="14.4"/>
  <cols>
    <col min="1" max="1" width="27.33203125" bestFit="1" customWidth="1"/>
    <col min="2" max="2" width="14.6640625" bestFit="1" customWidth="1"/>
    <col min="4" max="4" width="29.6640625" customWidth="1"/>
  </cols>
  <sheetData>
    <row r="1" spans="1:10">
      <c r="D1" s="315" t="s">
        <v>1293</v>
      </c>
      <c r="E1" s="315">
        <f>VALUE(RIGHT(Planning!B10,1))</f>
        <v>5</v>
      </c>
      <c r="F1" s="124" t="s">
        <v>1294</v>
      </c>
    </row>
    <row r="3" spans="1:10" ht="28.8">
      <c r="A3" s="310" t="s">
        <v>915</v>
      </c>
      <c r="B3" t="s">
        <v>1292</v>
      </c>
      <c r="D3" s="414" t="s">
        <v>1302</v>
      </c>
      <c r="E3" s="414" t="s">
        <v>924</v>
      </c>
      <c r="F3" s="415" t="s">
        <v>909</v>
      </c>
      <c r="G3" s="414" t="s">
        <v>1295</v>
      </c>
      <c r="H3" s="414" t="s">
        <v>1296</v>
      </c>
      <c r="I3" s="414" t="s">
        <v>1297</v>
      </c>
      <c r="J3" s="414" t="s">
        <v>1298</v>
      </c>
    </row>
    <row r="4" spans="1:10">
      <c r="A4" s="308" t="s">
        <v>986</v>
      </c>
      <c r="B4" s="311">
        <v>39</v>
      </c>
      <c r="D4" t="s">
        <v>986</v>
      </c>
      <c r="E4" s="311">
        <v>45</v>
      </c>
      <c r="F4">
        <f t="shared" ref="F4:F9" si="0">VLOOKUP($F$3,tbl_PAcount,$E$1+1,FALSE)</f>
        <v>6</v>
      </c>
      <c r="G4" s="317">
        <f>F4+E4</f>
        <v>51</v>
      </c>
      <c r="H4">
        <v>3</v>
      </c>
      <c r="I4" s="317">
        <f>H4*G4</f>
        <v>153</v>
      </c>
      <c r="J4" s="317">
        <f>I4/60</f>
        <v>2.5499999999999998</v>
      </c>
    </row>
    <row r="5" spans="1:10">
      <c r="A5" s="308" t="s">
        <v>987</v>
      </c>
      <c r="B5" s="311">
        <v>47</v>
      </c>
      <c r="D5" t="s">
        <v>987</v>
      </c>
      <c r="E5" s="311">
        <v>41</v>
      </c>
      <c r="F5" s="307">
        <f t="shared" si="0"/>
        <v>6</v>
      </c>
      <c r="G5" s="317">
        <f t="shared" ref="G5:G9" si="1">F5+E5</f>
        <v>47</v>
      </c>
      <c r="H5" s="307">
        <v>3</v>
      </c>
      <c r="I5" s="317">
        <f t="shared" ref="I5:I9" si="2">H5*G5</f>
        <v>141</v>
      </c>
      <c r="J5" s="317">
        <f t="shared" ref="J5:J9" si="3">I5/60</f>
        <v>2.35</v>
      </c>
    </row>
    <row r="6" spans="1:10">
      <c r="A6" s="308" t="s">
        <v>988</v>
      </c>
      <c r="B6" s="311">
        <v>7</v>
      </c>
      <c r="D6" t="s">
        <v>988</v>
      </c>
      <c r="E6" s="311">
        <v>7</v>
      </c>
      <c r="F6" s="307">
        <f t="shared" si="0"/>
        <v>6</v>
      </c>
      <c r="G6" s="317">
        <f t="shared" si="1"/>
        <v>13</v>
      </c>
      <c r="H6" s="307">
        <v>3</v>
      </c>
      <c r="I6" s="317">
        <f t="shared" si="2"/>
        <v>39</v>
      </c>
      <c r="J6" s="317">
        <f t="shared" si="3"/>
        <v>0.65</v>
      </c>
    </row>
    <row r="7" spans="1:10">
      <c r="A7" s="308" t="s">
        <v>989</v>
      </c>
      <c r="B7" s="311">
        <v>63</v>
      </c>
      <c r="D7" t="s">
        <v>989</v>
      </c>
      <c r="E7" s="311">
        <v>63</v>
      </c>
      <c r="F7" s="307">
        <f t="shared" si="0"/>
        <v>6</v>
      </c>
      <c r="G7" s="317">
        <f t="shared" si="1"/>
        <v>69</v>
      </c>
      <c r="H7" s="307">
        <v>3</v>
      </c>
      <c r="I7" s="317">
        <f t="shared" si="2"/>
        <v>207</v>
      </c>
      <c r="J7" s="317">
        <f t="shared" si="3"/>
        <v>3.45</v>
      </c>
    </row>
    <row r="8" spans="1:10">
      <c r="A8" s="308" t="s">
        <v>990</v>
      </c>
      <c r="B8" s="311">
        <v>9</v>
      </c>
      <c r="D8" t="s">
        <v>990</v>
      </c>
      <c r="E8" s="311">
        <v>9</v>
      </c>
      <c r="F8" s="307">
        <f t="shared" si="0"/>
        <v>6</v>
      </c>
      <c r="G8" s="317">
        <f t="shared" si="1"/>
        <v>15</v>
      </c>
      <c r="H8" s="307">
        <v>3</v>
      </c>
      <c r="I8" s="317">
        <f t="shared" si="2"/>
        <v>45</v>
      </c>
      <c r="J8" s="317">
        <f t="shared" si="3"/>
        <v>0.75</v>
      </c>
    </row>
    <row r="9" spans="1:10">
      <c r="A9" s="308" t="s">
        <v>995</v>
      </c>
      <c r="B9" s="311">
        <v>6</v>
      </c>
      <c r="D9" t="s">
        <v>995</v>
      </c>
      <c r="E9" s="311">
        <v>6</v>
      </c>
      <c r="F9" s="307">
        <f t="shared" si="0"/>
        <v>6</v>
      </c>
      <c r="G9" s="317">
        <f t="shared" si="1"/>
        <v>12</v>
      </c>
      <c r="H9" s="307">
        <v>3</v>
      </c>
      <c r="I9" s="317">
        <f t="shared" si="2"/>
        <v>36</v>
      </c>
      <c r="J9" s="317">
        <f t="shared" si="3"/>
        <v>0.6</v>
      </c>
    </row>
    <row r="10" spans="1:10">
      <c r="A10" s="308" t="s">
        <v>916</v>
      </c>
      <c r="B10" s="311"/>
    </row>
    <row r="11" spans="1:10">
      <c r="A11" s="308" t="s">
        <v>917</v>
      </c>
      <c r="B11" s="311">
        <v>171</v>
      </c>
    </row>
  </sheetData>
  <pageMargins left="0.7" right="0.7" top="0.75" bottom="0.75" header="0.3" footer="0.3"/>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C0DBF8E-0C16-466D-94F4-E0E2E666E900}">
  <sheetPr>
    <tabColor theme="5" tint="0.79998168889431442"/>
    <pageSetUpPr fitToPage="1"/>
  </sheetPr>
  <dimension ref="A1:T37"/>
  <sheetViews>
    <sheetView topLeftCell="A17" workbookViewId="0">
      <selection activeCell="A26" sqref="A1:R26"/>
    </sheetView>
  </sheetViews>
  <sheetFormatPr defaultRowHeight="16.05" customHeight="1"/>
  <cols>
    <col min="1" max="6" width="10.77734375" style="432" customWidth="1"/>
    <col min="7" max="16" width="16.77734375" style="432" customWidth="1"/>
    <col min="17" max="18" width="10.77734375" style="432" customWidth="1"/>
    <col min="19" max="19" width="14.77734375" style="432" customWidth="1"/>
    <col min="20" max="20" width="30.21875" style="432" customWidth="1"/>
    <col min="21" max="16384" width="8.88671875" style="432"/>
  </cols>
  <sheetData>
    <row r="1" spans="1:20" ht="16.05" customHeight="1">
      <c r="A1" s="431" t="str">
        <f>_xlfn.CONCAT(StartupInfo!B3," planned and actual onsite schedule")</f>
        <v>Software for Mars (Pty) Ltd planned and actual onsite schedule</v>
      </c>
      <c r="Q1" s="431"/>
    </row>
    <row r="3" spans="1:20" ht="19.95" customHeight="1">
      <c r="A3" s="462" t="str">
        <f>_xlfn.CONCAT("Week ",T8)</f>
        <v>Week 15</v>
      </c>
      <c r="B3" s="463"/>
      <c r="C3" s="433" t="s">
        <v>1681</v>
      </c>
      <c r="D3" s="434" t="s">
        <v>1682</v>
      </c>
      <c r="E3" s="433" t="s">
        <v>1681</v>
      </c>
      <c r="F3" s="434" t="s">
        <v>1682</v>
      </c>
      <c r="G3" s="433" t="s">
        <v>1681</v>
      </c>
      <c r="H3" s="434" t="s">
        <v>1682</v>
      </c>
      <c r="I3" s="433" t="s">
        <v>1681</v>
      </c>
      <c r="J3" s="434" t="s">
        <v>1682</v>
      </c>
      <c r="K3" s="433" t="s">
        <v>1681</v>
      </c>
      <c r="L3" s="434" t="s">
        <v>1682</v>
      </c>
      <c r="M3" s="433" t="s">
        <v>1681</v>
      </c>
      <c r="N3" s="434" t="s">
        <v>1682</v>
      </c>
      <c r="O3" s="433" t="s">
        <v>1681</v>
      </c>
      <c r="P3" s="434" t="s">
        <v>1682</v>
      </c>
      <c r="Q3" s="462" t="str">
        <f>_xlfn.CONCAT("Week ",AJ8)</f>
        <v xml:space="preserve">Week </v>
      </c>
      <c r="R3" s="463"/>
    </row>
    <row r="4" spans="1:20" ht="19.95" customHeight="1">
      <c r="A4" s="464"/>
      <c r="B4" s="465"/>
      <c r="C4" s="435">
        <f>C5</f>
        <v>44296</v>
      </c>
      <c r="D4" s="436">
        <f t="shared" ref="D4:P4" si="0">D5</f>
        <v>44296</v>
      </c>
      <c r="E4" s="435">
        <f t="shared" si="0"/>
        <v>44297</v>
      </c>
      <c r="F4" s="436">
        <f t="shared" si="0"/>
        <v>44297</v>
      </c>
      <c r="G4" s="435">
        <f t="shared" si="0"/>
        <v>44298</v>
      </c>
      <c r="H4" s="436">
        <f t="shared" si="0"/>
        <v>44298</v>
      </c>
      <c r="I4" s="435">
        <f t="shared" si="0"/>
        <v>44299</v>
      </c>
      <c r="J4" s="436">
        <f t="shared" si="0"/>
        <v>44299</v>
      </c>
      <c r="K4" s="435">
        <f t="shared" si="0"/>
        <v>44300</v>
      </c>
      <c r="L4" s="436">
        <f t="shared" si="0"/>
        <v>44300</v>
      </c>
      <c r="M4" s="435">
        <f t="shared" si="0"/>
        <v>44301</v>
      </c>
      <c r="N4" s="436">
        <f t="shared" si="0"/>
        <v>44301</v>
      </c>
      <c r="O4" s="435">
        <f t="shared" si="0"/>
        <v>44302</v>
      </c>
      <c r="P4" s="436">
        <f t="shared" si="0"/>
        <v>44302</v>
      </c>
      <c r="Q4" s="464"/>
      <c r="R4" s="465"/>
      <c r="T4" s="432">
        <f>C5</f>
        <v>44296</v>
      </c>
    </row>
    <row r="5" spans="1:20" ht="19.95" customHeight="1">
      <c r="A5" s="437" t="s">
        <v>1683</v>
      </c>
      <c r="B5" s="437" t="s">
        <v>1684</v>
      </c>
      <c r="C5" s="438">
        <f>Planning!B27</f>
        <v>44296</v>
      </c>
      <c r="D5" s="439">
        <f>C5</f>
        <v>44296</v>
      </c>
      <c r="E5" s="438">
        <f>C5+1</f>
        <v>44297</v>
      </c>
      <c r="F5" s="439">
        <f>D5+1</f>
        <v>44297</v>
      </c>
      <c r="G5" s="438">
        <f t="shared" ref="G5:P5" si="1">E5+1</f>
        <v>44298</v>
      </c>
      <c r="H5" s="439">
        <f t="shared" si="1"/>
        <v>44298</v>
      </c>
      <c r="I5" s="438">
        <f t="shared" si="1"/>
        <v>44299</v>
      </c>
      <c r="J5" s="439">
        <f t="shared" si="1"/>
        <v>44299</v>
      </c>
      <c r="K5" s="438">
        <f t="shared" si="1"/>
        <v>44300</v>
      </c>
      <c r="L5" s="439">
        <f t="shared" si="1"/>
        <v>44300</v>
      </c>
      <c r="M5" s="438">
        <f t="shared" si="1"/>
        <v>44301</v>
      </c>
      <c r="N5" s="439">
        <f t="shared" si="1"/>
        <v>44301</v>
      </c>
      <c r="O5" s="438">
        <f t="shared" si="1"/>
        <v>44302</v>
      </c>
      <c r="P5" s="439">
        <f t="shared" si="1"/>
        <v>44302</v>
      </c>
      <c r="Q5" s="437" t="s">
        <v>1683</v>
      </c>
      <c r="R5" s="437" t="s">
        <v>1684</v>
      </c>
      <c r="T5" s="432">
        <f>YEAR(T4)-1</f>
        <v>2020</v>
      </c>
    </row>
    <row r="6" spans="1:20" ht="19.95" customHeight="1">
      <c r="A6" s="440">
        <v>0.41666666666666669</v>
      </c>
      <c r="B6" s="440">
        <v>0.16666666666666666</v>
      </c>
      <c r="C6" s="495"/>
      <c r="D6" s="451"/>
      <c r="E6" s="495"/>
      <c r="F6" s="451"/>
      <c r="G6" s="441" t="s">
        <v>1685</v>
      </c>
      <c r="H6" s="451"/>
      <c r="I6" s="441" t="s">
        <v>1685</v>
      </c>
      <c r="J6" s="451"/>
      <c r="K6" s="441" t="s">
        <v>1685</v>
      </c>
      <c r="L6" s="451"/>
      <c r="M6" s="441" t="s">
        <v>1685</v>
      </c>
      <c r="N6" s="451"/>
      <c r="O6" s="441" t="s">
        <v>1685</v>
      </c>
      <c r="P6" s="451"/>
      <c r="Q6" s="440">
        <v>0.41666666666666669</v>
      </c>
      <c r="R6" s="440">
        <v>0.16666666666666666</v>
      </c>
      <c r="T6" s="432">
        <f>DATE(T5,12,31)</f>
        <v>44196</v>
      </c>
    </row>
    <row r="7" spans="1:20" ht="19.95" customHeight="1">
      <c r="A7" s="440">
        <v>0.4375</v>
      </c>
      <c r="B7" s="440">
        <v>0.1875</v>
      </c>
      <c r="C7" s="495"/>
      <c r="D7" s="452"/>
      <c r="E7" s="495"/>
      <c r="F7" s="452"/>
      <c r="G7" s="442" t="s">
        <v>1443</v>
      </c>
      <c r="H7" s="452"/>
      <c r="I7" s="501" t="s">
        <v>987</v>
      </c>
      <c r="J7" s="452"/>
      <c r="K7" s="481" t="s">
        <v>1686</v>
      </c>
      <c r="L7" s="452"/>
      <c r="M7" s="481" t="s">
        <v>991</v>
      </c>
      <c r="N7" s="452"/>
      <c r="O7" s="499" t="s">
        <v>1687</v>
      </c>
      <c r="P7" s="452"/>
      <c r="Q7" s="440">
        <v>0.4375</v>
      </c>
      <c r="R7" s="440">
        <v>0.1875</v>
      </c>
      <c r="T7" s="432">
        <f>T4-T6</f>
        <v>100</v>
      </c>
    </row>
    <row r="8" spans="1:20" ht="19.95" customHeight="1">
      <c r="A8" s="440">
        <v>0.45833333333333331</v>
      </c>
      <c r="B8" s="440">
        <v>0.20833333333333334</v>
      </c>
      <c r="C8" s="482" t="s">
        <v>1703</v>
      </c>
      <c r="D8" s="452"/>
      <c r="E8" s="482" t="s">
        <v>1703</v>
      </c>
      <c r="F8" s="452"/>
      <c r="G8" s="499" t="s">
        <v>1688</v>
      </c>
      <c r="H8" s="452"/>
      <c r="I8" s="501"/>
      <c r="J8" s="452"/>
      <c r="K8" s="481"/>
      <c r="L8" s="452"/>
      <c r="M8" s="481"/>
      <c r="N8" s="452"/>
      <c r="O8" s="499"/>
      <c r="P8" s="452"/>
      <c r="Q8" s="440">
        <v>0.45833333333333331</v>
      </c>
      <c r="R8" s="440">
        <v>0.20833333333333334</v>
      </c>
      <c r="T8" s="432">
        <f>ROUNDUP(T7/7,0)</f>
        <v>15</v>
      </c>
    </row>
    <row r="9" spans="1:20" ht="19.95" customHeight="1">
      <c r="A9" s="440">
        <v>0.47916666666666663</v>
      </c>
      <c r="B9" s="440">
        <v>0.22916666666666669</v>
      </c>
      <c r="C9" s="483"/>
      <c r="D9" s="452"/>
      <c r="E9" s="483"/>
      <c r="F9" s="452"/>
      <c r="G9" s="499"/>
      <c r="H9" s="452"/>
      <c r="I9" s="501"/>
      <c r="J9" s="452"/>
      <c r="K9" s="481"/>
      <c r="L9" s="452"/>
      <c r="M9" s="441" t="s">
        <v>609</v>
      </c>
      <c r="N9" s="452"/>
      <c r="O9" s="479" t="s">
        <v>1689</v>
      </c>
      <c r="P9" s="452"/>
      <c r="Q9" s="440">
        <v>0.47916666666666663</v>
      </c>
      <c r="R9" s="440">
        <v>0.22916666666666669</v>
      </c>
    </row>
    <row r="10" spans="1:20" ht="19.95" customHeight="1">
      <c r="A10" s="440">
        <v>0.49999999999999994</v>
      </c>
      <c r="B10" s="440">
        <v>0.25</v>
      </c>
      <c r="C10" s="483"/>
      <c r="D10" s="452"/>
      <c r="E10" s="483"/>
      <c r="F10" s="452"/>
      <c r="G10" s="502" t="s">
        <v>936</v>
      </c>
      <c r="H10" s="452"/>
      <c r="I10" s="500" t="s">
        <v>936</v>
      </c>
      <c r="J10" s="452"/>
      <c r="K10" s="500" t="s">
        <v>936</v>
      </c>
      <c r="L10" s="452"/>
      <c r="M10" s="500" t="s">
        <v>936</v>
      </c>
      <c r="N10" s="452"/>
      <c r="O10" s="479"/>
      <c r="P10" s="452"/>
      <c r="Q10" s="440">
        <v>0.49999999999999994</v>
      </c>
      <c r="R10" s="440">
        <v>0.25</v>
      </c>
    </row>
    <row r="11" spans="1:20" ht="19.95" customHeight="1">
      <c r="A11" s="440">
        <v>0.52083333333333326</v>
      </c>
      <c r="B11" s="440">
        <v>0.27083333333333331</v>
      </c>
      <c r="C11" s="483"/>
      <c r="D11" s="452"/>
      <c r="E11" s="483"/>
      <c r="F11" s="452"/>
      <c r="G11" s="503"/>
      <c r="H11" s="452"/>
      <c r="I11" s="500"/>
      <c r="J11" s="452"/>
      <c r="K11" s="500"/>
      <c r="L11" s="452"/>
      <c r="M11" s="500"/>
      <c r="N11" s="452"/>
      <c r="O11" s="500" t="s">
        <v>936</v>
      </c>
      <c r="P11" s="452"/>
      <c r="Q11" s="440">
        <v>0.52083333333333326</v>
      </c>
      <c r="R11" s="440">
        <v>0.27083333333333331</v>
      </c>
    </row>
    <row r="12" spans="1:20" ht="19.95" customHeight="1">
      <c r="A12" s="440">
        <v>0.54166666666666663</v>
      </c>
      <c r="B12" s="440">
        <v>0.29166666666666663</v>
      </c>
      <c r="C12" s="483"/>
      <c r="D12" s="452"/>
      <c r="E12" s="483"/>
      <c r="F12" s="452"/>
      <c r="G12" s="482" t="s">
        <v>1691</v>
      </c>
      <c r="H12" s="452"/>
      <c r="I12" s="481" t="s">
        <v>987</v>
      </c>
      <c r="J12" s="452"/>
      <c r="K12" s="481" t="s">
        <v>1686</v>
      </c>
      <c r="L12" s="452"/>
      <c r="M12" s="480" t="s">
        <v>1708</v>
      </c>
      <c r="N12" s="452"/>
      <c r="O12" s="500"/>
      <c r="P12" s="452"/>
      <c r="Q12" s="440">
        <v>0.54166666666666663</v>
      </c>
      <c r="R12" s="440">
        <v>0.29166666666666663</v>
      </c>
    </row>
    <row r="13" spans="1:20" ht="19.95" customHeight="1">
      <c r="A13" s="440">
        <v>0.5625</v>
      </c>
      <c r="B13" s="440">
        <v>0.31249999999999994</v>
      </c>
      <c r="C13" s="483"/>
      <c r="D13" s="452"/>
      <c r="E13" s="483"/>
      <c r="F13" s="452"/>
      <c r="G13" s="483"/>
      <c r="H13" s="452"/>
      <c r="I13" s="481"/>
      <c r="J13" s="452"/>
      <c r="K13" s="481"/>
      <c r="L13" s="452"/>
      <c r="M13" s="480"/>
      <c r="N13" s="452"/>
      <c r="O13" s="480" t="s">
        <v>1690</v>
      </c>
      <c r="P13" s="452"/>
      <c r="Q13" s="440">
        <v>0.5625</v>
      </c>
      <c r="R13" s="440">
        <v>0.31249999999999994</v>
      </c>
    </row>
    <row r="14" spans="1:20" ht="19.95" customHeight="1">
      <c r="A14" s="440">
        <v>0.58333333333333337</v>
      </c>
      <c r="B14" s="440">
        <v>0.33333333333333326</v>
      </c>
      <c r="C14" s="483"/>
      <c r="D14" s="452"/>
      <c r="E14" s="483"/>
      <c r="F14" s="452"/>
      <c r="G14" s="483"/>
      <c r="H14" s="452"/>
      <c r="I14" s="481"/>
      <c r="J14" s="452"/>
      <c r="K14" s="481"/>
      <c r="L14" s="452"/>
      <c r="M14" s="480"/>
      <c r="N14" s="452"/>
      <c r="O14" s="480"/>
      <c r="P14" s="452"/>
      <c r="Q14" s="440">
        <v>0.58333333333333337</v>
      </c>
      <c r="R14" s="440">
        <v>0.33333333333333326</v>
      </c>
    </row>
    <row r="15" spans="1:20" ht="19.95" customHeight="1">
      <c r="A15" s="440">
        <v>0.60416666666666674</v>
      </c>
      <c r="B15" s="440">
        <v>0.35416666666666657</v>
      </c>
      <c r="C15" s="483"/>
      <c r="D15" s="452"/>
      <c r="E15" s="483"/>
      <c r="F15" s="452"/>
      <c r="G15" s="483"/>
      <c r="H15" s="452"/>
      <c r="I15" s="481"/>
      <c r="J15" s="452"/>
      <c r="K15" s="481"/>
      <c r="L15" s="452"/>
      <c r="M15" s="480"/>
      <c r="N15" s="452"/>
      <c r="O15" s="480"/>
      <c r="P15" s="452"/>
      <c r="Q15" s="440">
        <v>0.60416666666666674</v>
      </c>
      <c r="R15" s="440">
        <v>0.35416666666666657</v>
      </c>
    </row>
    <row r="16" spans="1:20" ht="19.95" customHeight="1">
      <c r="A16" s="440">
        <v>0.62500000000000011</v>
      </c>
      <c r="B16" s="440">
        <v>0.37499999999999989</v>
      </c>
      <c r="C16" s="483"/>
      <c r="D16" s="452"/>
      <c r="E16" s="483"/>
      <c r="F16" s="452"/>
      <c r="G16" s="484"/>
      <c r="H16" s="452"/>
      <c r="I16" s="481"/>
      <c r="J16" s="452"/>
      <c r="K16" s="481"/>
      <c r="L16" s="452"/>
      <c r="M16" s="481" t="s">
        <v>1692</v>
      </c>
      <c r="N16" s="452"/>
      <c r="O16" s="479" t="s">
        <v>1711</v>
      </c>
      <c r="P16" s="452"/>
      <c r="Q16" s="440">
        <v>0.62500000000000011</v>
      </c>
      <c r="R16" s="440">
        <v>0.37499999999999989</v>
      </c>
    </row>
    <row r="17" spans="1:18" ht="19.95" customHeight="1">
      <c r="A17" s="440">
        <v>0.64583333333333348</v>
      </c>
      <c r="B17" s="440">
        <v>0.3958333333333332</v>
      </c>
      <c r="C17" s="483"/>
      <c r="D17" s="452"/>
      <c r="E17" s="483"/>
      <c r="F17" s="452"/>
      <c r="G17" s="441" t="s">
        <v>609</v>
      </c>
      <c r="H17" s="452"/>
      <c r="I17" s="480" t="s">
        <v>609</v>
      </c>
      <c r="J17" s="452"/>
      <c r="K17" s="481"/>
      <c r="L17" s="452"/>
      <c r="M17" s="481"/>
      <c r="N17" s="452"/>
      <c r="O17" s="479"/>
      <c r="P17" s="452"/>
      <c r="Q17" s="440">
        <v>0.64583333333333348</v>
      </c>
      <c r="R17" s="440">
        <v>0.3958333333333332</v>
      </c>
    </row>
    <row r="18" spans="1:18" ht="19.95" customHeight="1">
      <c r="A18" s="440">
        <v>0.66666666666666685</v>
      </c>
      <c r="B18" s="440">
        <v>0.41666666666666652</v>
      </c>
      <c r="C18" s="483"/>
      <c r="D18" s="452"/>
      <c r="E18" s="483"/>
      <c r="F18" s="452"/>
      <c r="G18" s="481" t="s">
        <v>1691</v>
      </c>
      <c r="H18" s="452"/>
      <c r="I18" s="480"/>
      <c r="J18" s="452"/>
      <c r="K18" s="441" t="s">
        <v>609</v>
      </c>
      <c r="L18" s="452"/>
      <c r="M18" s="480" t="s">
        <v>1710</v>
      </c>
      <c r="N18" s="452"/>
      <c r="O18" s="498" t="s">
        <v>1694</v>
      </c>
      <c r="P18" s="452"/>
      <c r="Q18" s="440">
        <v>0.66666666666666685</v>
      </c>
      <c r="R18" s="440">
        <v>0.41666666666666652</v>
      </c>
    </row>
    <row r="19" spans="1:18" ht="19.95" customHeight="1">
      <c r="A19" s="440">
        <v>0.68750000000000022</v>
      </c>
      <c r="B19" s="440">
        <v>0.43749999999999983</v>
      </c>
      <c r="C19" s="483"/>
      <c r="D19" s="452"/>
      <c r="E19" s="483"/>
      <c r="F19" s="452"/>
      <c r="G19" s="481"/>
      <c r="H19" s="452"/>
      <c r="I19" s="481" t="s">
        <v>1693</v>
      </c>
      <c r="J19" s="452"/>
      <c r="K19" s="481" t="s">
        <v>990</v>
      </c>
      <c r="L19" s="452"/>
      <c r="M19" s="480"/>
      <c r="N19" s="452"/>
      <c r="O19" s="498"/>
      <c r="P19" s="452"/>
      <c r="Q19" s="440">
        <v>0.68750000000000022</v>
      </c>
      <c r="R19" s="440">
        <v>0.43749999999999983</v>
      </c>
    </row>
    <row r="20" spans="1:18" ht="19.95" customHeight="1">
      <c r="A20" s="440">
        <v>0.70833333333333359</v>
      </c>
      <c r="B20" s="440">
        <v>0.45833333333333315</v>
      </c>
      <c r="C20" s="483"/>
      <c r="D20" s="452"/>
      <c r="E20" s="483"/>
      <c r="F20" s="452"/>
      <c r="G20" s="481"/>
      <c r="H20" s="452"/>
      <c r="I20" s="481"/>
      <c r="J20" s="452"/>
      <c r="K20" s="481"/>
      <c r="L20" s="452"/>
      <c r="M20" s="480"/>
      <c r="N20" s="452"/>
      <c r="O20" s="498"/>
      <c r="P20" s="452"/>
      <c r="Q20" s="440">
        <v>0.70833333333333359</v>
      </c>
      <c r="R20" s="440">
        <v>0.45833333333333315</v>
      </c>
    </row>
    <row r="21" spans="1:18" ht="19.95" customHeight="1">
      <c r="A21" s="440">
        <v>0.72916666666666696</v>
      </c>
      <c r="B21" s="440">
        <v>0.47916666666666646</v>
      </c>
      <c r="C21" s="484"/>
      <c r="D21" s="452"/>
      <c r="E21" s="484"/>
      <c r="F21" s="452"/>
      <c r="G21" s="496" t="s">
        <v>1706</v>
      </c>
      <c r="H21" s="452"/>
      <c r="I21" s="480" t="s">
        <v>1706</v>
      </c>
      <c r="J21" s="452"/>
      <c r="K21" s="480" t="s">
        <v>1706</v>
      </c>
      <c r="L21" s="452"/>
      <c r="M21" s="480"/>
      <c r="N21" s="452"/>
      <c r="O21" s="498"/>
      <c r="P21" s="452"/>
      <c r="Q21" s="440">
        <v>0.72916666666666696</v>
      </c>
      <c r="R21" s="440">
        <v>0.47916666666666646</v>
      </c>
    </row>
    <row r="22" spans="1:18" ht="19.95" customHeight="1">
      <c r="A22" s="440">
        <v>0.75000000000000033</v>
      </c>
      <c r="B22" s="440">
        <v>0.49999999999999978</v>
      </c>
      <c r="C22" s="496" t="s">
        <v>1709</v>
      </c>
      <c r="D22" s="452"/>
      <c r="E22" s="496" t="s">
        <v>1709</v>
      </c>
      <c r="F22" s="452"/>
      <c r="G22" s="497"/>
      <c r="H22" s="452"/>
      <c r="I22" s="480"/>
      <c r="J22" s="452"/>
      <c r="K22" s="480"/>
      <c r="L22" s="452"/>
      <c r="M22" s="480"/>
      <c r="N22" s="452"/>
      <c r="O22" s="485" t="s">
        <v>1707</v>
      </c>
      <c r="P22" s="452"/>
      <c r="Q22" s="440">
        <v>0.75000000000000033</v>
      </c>
      <c r="R22" s="440">
        <v>0.49999999999999978</v>
      </c>
    </row>
    <row r="23" spans="1:18" ht="19.95" customHeight="1">
      <c r="A23" s="440">
        <v>0.7708333333333337</v>
      </c>
      <c r="B23" s="440">
        <v>0.52083333333333315</v>
      </c>
      <c r="C23" s="497"/>
      <c r="D23" s="452"/>
      <c r="E23" s="497"/>
      <c r="F23" s="452"/>
      <c r="G23" s="492" t="s">
        <v>1707</v>
      </c>
      <c r="H23" s="452"/>
      <c r="I23" s="495" t="s">
        <v>1707</v>
      </c>
      <c r="J23" s="452"/>
      <c r="K23" s="495" t="s">
        <v>1707</v>
      </c>
      <c r="L23" s="452"/>
      <c r="M23" s="495" t="s">
        <v>1707</v>
      </c>
      <c r="N23" s="452"/>
      <c r="O23" s="485"/>
      <c r="P23" s="452"/>
      <c r="Q23" s="440">
        <v>0.7708333333333337</v>
      </c>
      <c r="R23" s="440">
        <v>0.52083333333333315</v>
      </c>
    </row>
    <row r="24" spans="1:18" ht="19.95" customHeight="1">
      <c r="A24" s="443">
        <v>0.79166666666666707</v>
      </c>
      <c r="B24" s="443">
        <v>0.54166666666666652</v>
      </c>
      <c r="C24" s="485" t="s">
        <v>1707</v>
      </c>
      <c r="D24" s="452"/>
      <c r="E24" s="485" t="s">
        <v>1707</v>
      </c>
      <c r="F24" s="452"/>
      <c r="G24" s="493"/>
      <c r="H24" s="452"/>
      <c r="I24" s="495"/>
      <c r="J24" s="452"/>
      <c r="K24" s="495"/>
      <c r="L24" s="452"/>
      <c r="M24" s="495"/>
      <c r="N24" s="452"/>
      <c r="O24" s="485"/>
      <c r="P24" s="452"/>
      <c r="Q24" s="443">
        <v>0.79166666666666707</v>
      </c>
      <c r="R24" s="443">
        <v>0.54166666666666652</v>
      </c>
    </row>
    <row r="25" spans="1:18" ht="19.95" customHeight="1">
      <c r="A25" s="443">
        <v>0.81250000000000044</v>
      </c>
      <c r="B25" s="443">
        <v>0.56249999999999989</v>
      </c>
      <c r="C25" s="485"/>
      <c r="D25" s="453"/>
      <c r="E25" s="485"/>
      <c r="F25" s="453"/>
      <c r="G25" s="494"/>
      <c r="H25" s="453"/>
      <c r="I25" s="495"/>
      <c r="J25" s="453"/>
      <c r="K25" s="495"/>
      <c r="L25" s="453"/>
      <c r="M25" s="495"/>
      <c r="N25" s="453"/>
      <c r="O25" s="485"/>
      <c r="P25" s="453"/>
      <c r="Q25" s="443">
        <v>0.81250000000000044</v>
      </c>
      <c r="R25" s="443">
        <v>0.56249999999999989</v>
      </c>
    </row>
    <row r="33" spans="2:18" ht="16.05" customHeight="1">
      <c r="B33" s="444" t="s">
        <v>846</v>
      </c>
      <c r="C33" s="444" t="s">
        <v>847</v>
      </c>
      <c r="D33" s="486" t="s">
        <v>1695</v>
      </c>
      <c r="E33" s="487"/>
      <c r="F33" s="487"/>
      <c r="G33" s="488"/>
      <c r="H33" s="444" t="s">
        <v>1696</v>
      </c>
      <c r="L33" s="489" t="s">
        <v>1705</v>
      </c>
      <c r="M33" s="490"/>
      <c r="N33" s="490"/>
      <c r="O33" s="491"/>
      <c r="R33" s="444" t="s">
        <v>846</v>
      </c>
    </row>
    <row r="34" spans="2:18" ht="16.05" customHeight="1">
      <c r="B34" s="445">
        <v>1</v>
      </c>
      <c r="C34" s="446">
        <f>Planning!B24</f>
        <v>44282</v>
      </c>
      <c r="D34" s="466" t="s">
        <v>1697</v>
      </c>
      <c r="E34" s="466"/>
      <c r="F34" s="466"/>
      <c r="G34" s="466"/>
      <c r="H34" s="447" t="s">
        <v>593</v>
      </c>
      <c r="L34" s="470" t="s">
        <v>1704</v>
      </c>
      <c r="M34" s="471"/>
      <c r="N34" s="471"/>
      <c r="O34" s="472"/>
      <c r="R34" s="445">
        <v>1</v>
      </c>
    </row>
    <row r="35" spans="2:18" ht="16.05" customHeight="1">
      <c r="B35" s="445" t="s">
        <v>1698</v>
      </c>
      <c r="C35" s="446">
        <f>G5</f>
        <v>44298</v>
      </c>
      <c r="D35" s="466" t="s">
        <v>1699</v>
      </c>
      <c r="E35" s="466"/>
      <c r="F35" s="466"/>
      <c r="G35" s="466"/>
      <c r="H35" s="447" t="s">
        <v>625</v>
      </c>
      <c r="L35" s="473" t="s">
        <v>1700</v>
      </c>
      <c r="M35" s="474"/>
      <c r="N35" s="474"/>
      <c r="O35" s="475"/>
      <c r="R35" s="445" t="s">
        <v>1698</v>
      </c>
    </row>
    <row r="36" spans="2:18" ht="16.05" customHeight="1">
      <c r="B36" s="445"/>
      <c r="C36" s="446"/>
      <c r="D36" s="466"/>
      <c r="E36" s="466"/>
      <c r="F36" s="466"/>
      <c r="G36" s="466"/>
      <c r="H36" s="447"/>
      <c r="L36" s="476" t="s">
        <v>1701</v>
      </c>
      <c r="M36" s="477"/>
      <c r="N36" s="477"/>
      <c r="O36" s="478"/>
      <c r="R36" s="445"/>
    </row>
    <row r="37" spans="2:18" ht="16.05" customHeight="1">
      <c r="B37" s="445"/>
      <c r="C37" s="446"/>
      <c r="D37" s="466"/>
      <c r="E37" s="466"/>
      <c r="F37" s="466"/>
      <c r="G37" s="466"/>
      <c r="H37" s="447"/>
      <c r="L37" s="467" t="s">
        <v>1702</v>
      </c>
      <c r="M37" s="468"/>
      <c r="N37" s="468"/>
      <c r="O37" s="469"/>
      <c r="R37" s="445"/>
    </row>
  </sheetData>
  <mergeCells count="52">
    <mergeCell ref="A3:B4"/>
    <mergeCell ref="C6:C7"/>
    <mergeCell ref="E6:E7"/>
    <mergeCell ref="I7:I9"/>
    <mergeCell ref="C22:C23"/>
    <mergeCell ref="E22:E23"/>
    <mergeCell ref="C8:C21"/>
    <mergeCell ref="E8:E21"/>
    <mergeCell ref="G10:G11"/>
    <mergeCell ref="G8:G9"/>
    <mergeCell ref="I10:I11"/>
    <mergeCell ref="O9:O10"/>
    <mergeCell ref="K7:K9"/>
    <mergeCell ref="M7:M8"/>
    <mergeCell ref="O7:O8"/>
    <mergeCell ref="K12:K17"/>
    <mergeCell ref="M12:M15"/>
    <mergeCell ref="O13:O15"/>
    <mergeCell ref="K10:K11"/>
    <mergeCell ref="M10:M11"/>
    <mergeCell ref="M16:M17"/>
    <mergeCell ref="O11:O12"/>
    <mergeCell ref="C24:C25"/>
    <mergeCell ref="E24:E25"/>
    <mergeCell ref="D33:G33"/>
    <mergeCell ref="L33:O33"/>
    <mergeCell ref="O22:O25"/>
    <mergeCell ref="G23:G25"/>
    <mergeCell ref="I23:I25"/>
    <mergeCell ref="K23:K25"/>
    <mergeCell ref="M23:M25"/>
    <mergeCell ref="G21:G22"/>
    <mergeCell ref="I21:I22"/>
    <mergeCell ref="K21:K22"/>
    <mergeCell ref="M18:M22"/>
    <mergeCell ref="O18:O21"/>
    <mergeCell ref="Q3:R4"/>
    <mergeCell ref="D37:G37"/>
    <mergeCell ref="L37:O37"/>
    <mergeCell ref="D34:G34"/>
    <mergeCell ref="L34:O34"/>
    <mergeCell ref="D35:G35"/>
    <mergeCell ref="L35:O35"/>
    <mergeCell ref="D36:G36"/>
    <mergeCell ref="L36:O36"/>
    <mergeCell ref="O16:O17"/>
    <mergeCell ref="I17:I18"/>
    <mergeCell ref="G18:G20"/>
    <mergeCell ref="I19:I20"/>
    <mergeCell ref="K19:K20"/>
    <mergeCell ref="G12:G16"/>
    <mergeCell ref="I12:I16"/>
  </mergeCells>
  <pageMargins left="0.7" right="0.7" top="0.75" bottom="0.75" header="0.3" footer="0.3"/>
  <pageSetup paperSize="9" scale="52" fitToHeight="0" orientation="landscape" r:id="rId1"/>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744F56F-6A03-4F3C-B519-CD0DF7ED9188}">
  <sheetPr codeName="Sheet22">
    <tabColor theme="5" tint="0.79998168889431442"/>
    <pageSetUpPr fitToPage="1"/>
  </sheetPr>
  <dimension ref="A1:R110"/>
  <sheetViews>
    <sheetView topLeftCell="A92" workbookViewId="0">
      <selection activeCell="C101" sqref="C101:E103"/>
    </sheetView>
  </sheetViews>
  <sheetFormatPr defaultColWidth="8.6640625" defaultRowHeight="14.4"/>
  <cols>
    <col min="1" max="2" width="10.44140625" style="8" customWidth="1"/>
    <col min="3" max="3" width="36.33203125" style="8" hidden="1" customWidth="1"/>
    <col min="4" max="4" width="47.33203125" style="8" customWidth="1"/>
    <col min="5" max="5" width="26.44140625" style="8" customWidth="1"/>
    <col min="6" max="7" width="10.44140625" style="8" customWidth="1"/>
    <col min="8" max="8" width="8.6640625" style="75"/>
    <col min="9" max="13" width="37.6640625" style="136" customWidth="1"/>
    <col min="14" max="16384" width="8.6640625" style="8"/>
  </cols>
  <sheetData>
    <row r="1" spans="1:16" ht="14.7" customHeight="1">
      <c r="A1" s="505" t="s">
        <v>1195</v>
      </c>
      <c r="B1" s="505"/>
      <c r="C1" s="505"/>
      <c r="D1" s="505"/>
      <c r="E1" s="505"/>
      <c r="F1" s="505"/>
      <c r="G1" s="505"/>
      <c r="H1" s="65"/>
      <c r="I1" s="139" t="s">
        <v>925</v>
      </c>
      <c r="J1" s="140" t="s">
        <v>926</v>
      </c>
      <c r="K1" s="134" t="s">
        <v>927</v>
      </c>
      <c r="L1" s="134" t="s">
        <v>928</v>
      </c>
      <c r="M1" s="135"/>
      <c r="N1" s="67"/>
      <c r="O1" s="67"/>
      <c r="P1" s="67"/>
    </row>
    <row r="2" spans="1:16" ht="14.7" customHeight="1">
      <c r="A2" s="506" t="str">
        <f>CONCATENATE(TEXT(Planning!B26,"[$-x-sysdate]dddd, mmmm dd, yyyy")," (Technology test)")</f>
        <v>Thursday, 08 April 2021 (Technology test)</v>
      </c>
      <c r="B2" s="506"/>
      <c r="C2" s="506"/>
      <c r="D2" s="506"/>
      <c r="E2" s="506"/>
      <c r="F2" s="506"/>
      <c r="G2" s="506"/>
      <c r="H2" s="65"/>
      <c r="I2" s="134"/>
      <c r="J2" s="134"/>
      <c r="K2" s="134"/>
      <c r="L2" s="135"/>
      <c r="M2" s="135"/>
      <c r="N2" s="67"/>
      <c r="O2" s="67"/>
      <c r="P2" s="67"/>
    </row>
    <row r="3" spans="1:16">
      <c r="A3" s="504" t="str">
        <f>J3</f>
        <v>Day 1-2</v>
      </c>
      <c r="B3" s="504"/>
      <c r="C3" s="507" t="str">
        <f>CONCATENATE(TEXT(I3,"[$-x-sysdate]dddd, mmmm dd, yyyy")," to ",TEXT(K3,"[$-x-sysdate]dddd, mmmm dd, yyyy"))</f>
        <v>Saturday, 10 April 2021 to Sunday, 11 April 2021</v>
      </c>
      <c r="D3" s="507"/>
      <c r="E3" s="507"/>
      <c r="F3" s="504" t="str">
        <f>A3</f>
        <v>Day 1-2</v>
      </c>
      <c r="G3" s="504"/>
      <c r="H3" s="65"/>
      <c r="I3" s="141">
        <f>Planning!B27</f>
        <v>44296</v>
      </c>
      <c r="J3" s="142" t="str">
        <f>_xlfn.CONCAT("Day 1-",L3)</f>
        <v>Day 1-2</v>
      </c>
      <c r="K3" s="143">
        <f>Planning!B27+Planning!B29-1</f>
        <v>44297</v>
      </c>
      <c r="L3" s="134">
        <f>K3-I3+1</f>
        <v>2</v>
      </c>
      <c r="M3" s="135"/>
      <c r="N3" s="67"/>
      <c r="O3" s="67"/>
      <c r="P3" s="67"/>
    </row>
    <row r="4" spans="1:16" ht="28.8">
      <c r="A4" s="504" t="s">
        <v>929</v>
      </c>
      <c r="B4" s="504"/>
      <c r="C4" s="68" t="str">
        <f>J11</f>
        <v>Mini team 1:ATM-5 / ATM-6 / ATM-7</v>
      </c>
      <c r="D4" s="68" t="str">
        <f>M11</f>
        <v>Full team: ATM-1 / ATM-2 / ATM-3 / ATM-4 /ATM-5 / ATM-6 / ATM-7 / ATM-8</v>
      </c>
      <c r="E4" s="68" t="str">
        <f>CONCATENATE("LA team: ",'Agreement 3'!B7," and ATMs if applicable")</f>
        <v>LA team: van Zyl, Pieter and ATMs if applicable</v>
      </c>
      <c r="F4" s="504" t="s">
        <v>930</v>
      </c>
      <c r="G4" s="504"/>
      <c r="H4" s="65"/>
      <c r="I4" s="141">
        <f>Planning!B30</f>
        <v>44298</v>
      </c>
      <c r="J4" s="142" t="str">
        <f>_xlfn.CONCAT("Day ",L4)</f>
        <v>Day 3</v>
      </c>
      <c r="K4" s="135"/>
      <c r="L4" s="144">
        <f>L3+1</f>
        <v>3</v>
      </c>
      <c r="M4" s="144"/>
      <c r="N4" s="69"/>
      <c r="O4" s="69"/>
      <c r="P4" s="69"/>
    </row>
    <row r="5" spans="1:16" ht="18" customHeight="1">
      <c r="A5" s="70">
        <v>0.41666666666666669</v>
      </c>
      <c r="B5" s="70">
        <v>0.45833333333333331</v>
      </c>
      <c r="C5" s="509" t="s">
        <v>931</v>
      </c>
      <c r="D5" s="509" t="s">
        <v>931</v>
      </c>
      <c r="E5" s="509" t="s">
        <v>932</v>
      </c>
      <c r="F5" s="70">
        <v>0.16666666666666666</v>
      </c>
      <c r="G5" s="70">
        <v>0.20833333333333331</v>
      </c>
      <c r="H5" s="65"/>
      <c r="I5" s="141">
        <f>I4+1</f>
        <v>44299</v>
      </c>
      <c r="J5" s="142" t="str">
        <f t="shared" ref="J5:J9" si="0">_xlfn.CONCAT("Day ",L5)</f>
        <v>Day 4</v>
      </c>
      <c r="K5" s="135"/>
      <c r="L5" s="144">
        <f t="shared" ref="L5:L9" si="1">L4+1</f>
        <v>4</v>
      </c>
      <c r="M5" s="144"/>
      <c r="N5" s="67"/>
      <c r="O5" s="67"/>
      <c r="P5" s="67"/>
    </row>
    <row r="6" spans="1:16" ht="18" customHeight="1">
      <c r="A6" s="70">
        <v>0.45833333333333298</v>
      </c>
      <c r="B6" s="70">
        <v>0.5</v>
      </c>
      <c r="C6" s="509"/>
      <c r="D6" s="509"/>
      <c r="E6" s="509"/>
      <c r="F6" s="70">
        <v>0.20833333333333331</v>
      </c>
      <c r="G6" s="70">
        <v>0.24999999999999997</v>
      </c>
      <c r="H6" s="65"/>
      <c r="I6" s="141">
        <f t="shared" ref="I6:I9" si="2">I5+1</f>
        <v>44300</v>
      </c>
      <c r="J6" s="142" t="str">
        <f t="shared" si="0"/>
        <v>Day 5</v>
      </c>
      <c r="K6" s="135"/>
      <c r="L6" s="144">
        <f t="shared" si="1"/>
        <v>5</v>
      </c>
      <c r="M6" s="135"/>
      <c r="N6" s="67"/>
      <c r="O6" s="67"/>
      <c r="P6" s="67"/>
    </row>
    <row r="7" spans="1:16" ht="18" customHeight="1">
      <c r="A7" s="70">
        <v>0.5</v>
      </c>
      <c r="B7" s="70">
        <v>0.54166666666666696</v>
      </c>
      <c r="C7" s="509"/>
      <c r="D7" s="509"/>
      <c r="E7" s="509"/>
      <c r="F7" s="70">
        <v>0.24999999999999997</v>
      </c>
      <c r="G7" s="70">
        <v>0.29166666666666663</v>
      </c>
      <c r="H7" s="65"/>
      <c r="I7" s="141">
        <f t="shared" si="2"/>
        <v>44301</v>
      </c>
      <c r="J7" s="142" t="str">
        <f t="shared" si="0"/>
        <v>Day 6</v>
      </c>
      <c r="K7" s="135"/>
      <c r="L7" s="144">
        <f t="shared" si="1"/>
        <v>6</v>
      </c>
      <c r="M7" s="135"/>
      <c r="N7" s="67"/>
      <c r="O7" s="67"/>
      <c r="P7" s="67"/>
    </row>
    <row r="8" spans="1:16" ht="18" customHeight="1">
      <c r="A8" s="70">
        <v>0.54166666666666696</v>
      </c>
      <c r="B8" s="70">
        <v>0.58333333333333404</v>
      </c>
      <c r="C8" s="509"/>
      <c r="D8" s="509"/>
      <c r="E8" s="509"/>
      <c r="F8" s="70">
        <v>0.29166666666666663</v>
      </c>
      <c r="G8" s="70">
        <v>0.33333333333333331</v>
      </c>
      <c r="H8" s="65"/>
      <c r="I8" s="141">
        <f t="shared" si="2"/>
        <v>44302</v>
      </c>
      <c r="J8" s="142" t="str">
        <f t="shared" si="0"/>
        <v>Day 7</v>
      </c>
      <c r="K8" s="135"/>
      <c r="L8" s="144">
        <f t="shared" si="1"/>
        <v>7</v>
      </c>
      <c r="M8" s="135"/>
      <c r="N8" s="67"/>
      <c r="O8" s="67"/>
      <c r="P8" s="67"/>
    </row>
    <row r="9" spans="1:16" ht="18" customHeight="1">
      <c r="A9" s="70">
        <v>0.58333333333333304</v>
      </c>
      <c r="B9" s="70">
        <v>0.625</v>
      </c>
      <c r="C9" s="509"/>
      <c r="D9" s="509"/>
      <c r="E9" s="509"/>
      <c r="F9" s="70">
        <v>0.33333333333333331</v>
      </c>
      <c r="G9" s="70">
        <v>0.375</v>
      </c>
      <c r="H9" s="65"/>
      <c r="I9" s="141">
        <f t="shared" si="2"/>
        <v>44303</v>
      </c>
      <c r="J9" s="142" t="str">
        <f t="shared" si="0"/>
        <v>Day 8</v>
      </c>
      <c r="K9" s="135"/>
      <c r="L9" s="144">
        <f t="shared" si="1"/>
        <v>8</v>
      </c>
      <c r="M9" s="135"/>
      <c r="N9" s="67"/>
      <c r="O9" s="67"/>
      <c r="P9" s="67"/>
    </row>
    <row r="10" spans="1:16" ht="18" customHeight="1">
      <c r="A10" s="70">
        <v>0.625</v>
      </c>
      <c r="B10" s="70">
        <v>0.66666666666666696</v>
      </c>
      <c r="C10" s="509"/>
      <c r="D10" s="509"/>
      <c r="E10" s="509"/>
      <c r="F10" s="70">
        <v>0.375</v>
      </c>
      <c r="G10" s="70">
        <v>0.41666666666666669</v>
      </c>
      <c r="H10" s="65"/>
      <c r="I10" s="143"/>
      <c r="J10" s="135"/>
      <c r="K10" s="135"/>
      <c r="L10" s="135"/>
      <c r="M10" s="135"/>
      <c r="N10" s="67"/>
      <c r="O10" s="67"/>
      <c r="P10" s="67"/>
    </row>
    <row r="11" spans="1:16" ht="18" customHeight="1">
      <c r="A11" s="70">
        <v>0.66666666666666696</v>
      </c>
      <c r="B11" s="70">
        <v>0.70833333333333337</v>
      </c>
      <c r="C11" s="509"/>
      <c r="D11" s="509"/>
      <c r="E11" s="509"/>
      <c r="F11" s="70">
        <v>0.41666666666666669</v>
      </c>
      <c r="G11" s="70">
        <v>0.45833333333333337</v>
      </c>
      <c r="H11" s="65"/>
      <c r="I11" s="134" t="s">
        <v>933</v>
      </c>
      <c r="J11" s="137" t="str">
        <f>_xlfn.CONCAT("Mini team 1:",I12," / ",I13," / ",I14)</f>
        <v>Mini team 1:ATM-5 / ATM-6 / ATM-7</v>
      </c>
      <c r="K11" s="138"/>
      <c r="L11" s="134" t="str">
        <f>'P1PA-SS'!B92</f>
        <v>ATM-1</v>
      </c>
      <c r="M11" s="137" t="str">
        <f>_xlfn.CONCAT("Full team: ",L11," / ",L12, " / ",L13," / ",L14," /",L15," / ",L16, " / ",L17," / ",L18)</f>
        <v>Full team: ATM-1 / ATM-2 / ATM-3 / ATM-4 /ATM-5 / ATM-6 / ATM-7 / ATM-8</v>
      </c>
      <c r="N11" s="67"/>
      <c r="O11" s="67"/>
      <c r="P11" s="67"/>
    </row>
    <row r="12" spans="1:16" ht="18" customHeight="1">
      <c r="A12" s="70">
        <v>0.70833333333333337</v>
      </c>
      <c r="B12" s="70">
        <v>0.75</v>
      </c>
      <c r="C12" s="509"/>
      <c r="D12" s="509"/>
      <c r="E12" s="509"/>
      <c r="F12" s="70">
        <v>0.45833333333333331</v>
      </c>
      <c r="G12" s="70">
        <v>0.5</v>
      </c>
      <c r="H12" s="65"/>
      <c r="I12" s="134" t="str">
        <f>'P1PA-SS'!B96</f>
        <v>ATM-5</v>
      </c>
      <c r="J12" s="138"/>
      <c r="K12" s="138"/>
      <c r="L12" s="134" t="str">
        <f>'P1PA-SS'!B93</f>
        <v>ATM-2</v>
      </c>
      <c r="M12" s="138"/>
      <c r="N12" s="67"/>
      <c r="O12" s="67"/>
      <c r="P12" s="67"/>
    </row>
    <row r="13" spans="1:16" ht="18" customHeight="1">
      <c r="A13" s="70">
        <v>0.75</v>
      </c>
      <c r="B13" s="70">
        <v>0.79166666666666663</v>
      </c>
      <c r="C13" s="509"/>
      <c r="D13" s="509"/>
      <c r="E13" s="509"/>
      <c r="F13" s="70">
        <v>0.5</v>
      </c>
      <c r="G13" s="70">
        <v>0.54166666666666663</v>
      </c>
      <c r="H13" s="65"/>
      <c r="I13" s="134" t="str">
        <f>'P1PA-SS'!B97</f>
        <v>ATM-6</v>
      </c>
      <c r="K13" s="137"/>
      <c r="L13" s="134" t="str">
        <f>'P1PA-SS'!B94</f>
        <v>ATM-3</v>
      </c>
      <c r="M13" s="138"/>
      <c r="N13" s="67"/>
      <c r="O13" s="67"/>
      <c r="P13" s="67"/>
    </row>
    <row r="14" spans="1:16">
      <c r="I14" s="134" t="str">
        <f>'P1PA-SS'!B98</f>
        <v>ATM-7</v>
      </c>
      <c r="K14" s="43"/>
      <c r="L14" s="134" t="str">
        <f>'P1PA-SS'!B95</f>
        <v>ATM-4</v>
      </c>
      <c r="M14" s="138"/>
    </row>
    <row r="15" spans="1:16">
      <c r="A15" s="510" t="str">
        <f>CONCATENATE("Schedule above includes ",Planning!B28," non-working day(s).")</f>
        <v>Schedule above includes 0 non-working day(s).</v>
      </c>
      <c r="B15" s="510"/>
      <c r="C15" s="510"/>
      <c r="D15" s="510"/>
      <c r="E15" s="510"/>
      <c r="F15" s="510"/>
      <c r="G15" s="510"/>
      <c r="H15" s="65"/>
      <c r="I15" s="134"/>
      <c r="K15" s="138"/>
      <c r="L15" s="134" t="str">
        <f>'P1PA-SS'!B96</f>
        <v>ATM-5</v>
      </c>
      <c r="M15" s="135"/>
      <c r="N15" s="67"/>
      <c r="O15" s="67"/>
      <c r="P15" s="67"/>
    </row>
    <row r="16" spans="1:16">
      <c r="A16" s="511" t="str">
        <f>J4</f>
        <v>Day 3</v>
      </c>
      <c r="B16" s="511"/>
      <c r="C16" s="512">
        <f>I4</f>
        <v>44298</v>
      </c>
      <c r="D16" s="512"/>
      <c r="E16" s="512"/>
      <c r="F16" s="511" t="str">
        <f>A16</f>
        <v>Day 3</v>
      </c>
      <c r="G16" s="511"/>
      <c r="H16" s="65"/>
      <c r="I16" s="134"/>
      <c r="K16" s="138"/>
      <c r="L16" s="134" t="str">
        <f>'P1PA-SS'!B97</f>
        <v>ATM-6</v>
      </c>
      <c r="M16" s="135"/>
      <c r="N16" s="67"/>
      <c r="O16" s="67"/>
      <c r="P16" s="67"/>
    </row>
    <row r="17" spans="1:18" ht="28.8">
      <c r="A17" s="511" t="s">
        <v>929</v>
      </c>
      <c r="B17" s="511"/>
      <c r="C17" s="71" t="str">
        <f>C4</f>
        <v>Mini team 1:ATM-5 / ATM-6 / ATM-7</v>
      </c>
      <c r="D17" s="71" t="str">
        <f>D4</f>
        <v>Full team: ATM-1 / ATM-2 / ATM-3 / ATM-4 /ATM-5 / ATM-6 / ATM-7 / ATM-8</v>
      </c>
      <c r="E17" s="71" t="str">
        <f>E4</f>
        <v>LA team: van Zyl, Pieter and ATMs if applicable</v>
      </c>
      <c r="F17" s="511" t="s">
        <v>930</v>
      </c>
      <c r="G17" s="511"/>
      <c r="H17" s="65"/>
      <c r="K17" s="138"/>
      <c r="L17" s="134" t="str">
        <f>'P1PA-SS'!B98</f>
        <v>ATM-7</v>
      </c>
      <c r="M17" s="134"/>
      <c r="N17" s="67"/>
      <c r="O17" s="66"/>
      <c r="P17" s="67"/>
    </row>
    <row r="18" spans="1:18" ht="18.600000000000001" customHeight="1">
      <c r="A18" s="70">
        <v>0.41666666666666669</v>
      </c>
      <c r="B18" s="70">
        <v>0.4375</v>
      </c>
      <c r="C18" s="72" t="s">
        <v>934</v>
      </c>
      <c r="D18" s="72" t="s">
        <v>934</v>
      </c>
      <c r="E18" s="72" t="s">
        <v>935</v>
      </c>
      <c r="F18" s="70">
        <v>0.16666666666666666</v>
      </c>
      <c r="G18" s="70">
        <v>0.1875</v>
      </c>
      <c r="H18" s="65"/>
      <c r="I18" s="134"/>
      <c r="J18" s="135"/>
      <c r="K18" s="135"/>
      <c r="L18" s="134" t="str">
        <f>'P1PA-SS'!B99</f>
        <v>ATM-8</v>
      </c>
      <c r="M18" s="135"/>
      <c r="N18" s="67"/>
      <c r="O18" s="67"/>
      <c r="P18" s="67"/>
    </row>
    <row r="19" spans="1:18" ht="18.600000000000001" customHeight="1">
      <c r="A19" s="70">
        <v>0.4375</v>
      </c>
      <c r="B19" s="70">
        <v>0.45833333333333331</v>
      </c>
      <c r="C19" s="513" t="s">
        <v>984</v>
      </c>
      <c r="D19" s="514"/>
      <c r="E19" s="515"/>
      <c r="F19" s="70">
        <v>0.1875</v>
      </c>
      <c r="G19" s="70">
        <v>0.20833333333333334</v>
      </c>
      <c r="H19" s="65"/>
      <c r="I19" s="134"/>
      <c r="J19" s="135"/>
      <c r="K19" s="135"/>
      <c r="L19" s="135"/>
      <c r="M19" s="135"/>
      <c r="N19" s="67"/>
      <c r="O19" s="67"/>
      <c r="P19" s="67"/>
    </row>
    <row r="20" spans="1:18" ht="18.600000000000001" customHeight="1">
      <c r="A20" s="70">
        <v>0.45833333333333331</v>
      </c>
      <c r="B20" s="70">
        <v>0.47916666666666669</v>
      </c>
      <c r="C20" s="516" t="s">
        <v>985</v>
      </c>
      <c r="D20" s="516"/>
      <c r="E20" s="516"/>
      <c r="F20" s="70">
        <v>0.20833333333333334</v>
      </c>
      <c r="G20" s="70">
        <v>0.22916666666666666</v>
      </c>
      <c r="H20" s="65"/>
      <c r="I20" s="134"/>
      <c r="J20" s="135"/>
      <c r="K20" s="135"/>
      <c r="L20" s="135"/>
      <c r="M20" s="135"/>
      <c r="N20" s="67"/>
      <c r="O20" s="67"/>
      <c r="P20" s="67"/>
    </row>
    <row r="21" spans="1:18" ht="18.600000000000001" customHeight="1">
      <c r="A21" s="70">
        <v>0.47916666666666669</v>
      </c>
      <c r="B21" s="70">
        <v>0.5</v>
      </c>
      <c r="C21" s="516"/>
      <c r="D21" s="516"/>
      <c r="E21" s="516"/>
      <c r="F21" s="70">
        <v>0.22916666666666666</v>
      </c>
      <c r="G21" s="70">
        <v>0.25</v>
      </c>
      <c r="H21" s="65"/>
      <c r="I21" s="135"/>
      <c r="J21" s="135"/>
      <c r="K21" s="135"/>
      <c r="L21" s="135"/>
      <c r="M21" s="135"/>
      <c r="N21" s="67"/>
      <c r="O21" s="67"/>
      <c r="P21" s="67"/>
    </row>
    <row r="22" spans="1:18" ht="18.600000000000001" customHeight="1">
      <c r="A22" s="70">
        <v>0.5</v>
      </c>
      <c r="B22" s="70">
        <v>0.52083333333333337</v>
      </c>
      <c r="C22" s="509" t="s">
        <v>936</v>
      </c>
      <c r="D22" s="509"/>
      <c r="E22" s="509"/>
      <c r="F22" s="70">
        <v>0.25</v>
      </c>
      <c r="G22" s="70">
        <v>0.27083333333333331</v>
      </c>
      <c r="H22" s="65"/>
      <c r="I22" s="135"/>
      <c r="J22" s="135"/>
      <c r="K22" s="135"/>
      <c r="L22" s="135"/>
      <c r="M22" s="135"/>
      <c r="N22" s="67"/>
      <c r="O22" s="67"/>
      <c r="P22" s="67"/>
    </row>
    <row r="23" spans="1:18" ht="18.600000000000001" customHeight="1">
      <c r="A23" s="70">
        <v>0.52083333333333337</v>
      </c>
      <c r="B23" s="70">
        <v>0.54166666666666663</v>
      </c>
      <c r="C23" s="509"/>
      <c r="D23" s="509"/>
      <c r="E23" s="509"/>
      <c r="F23" s="70">
        <v>0.27083333333333331</v>
      </c>
      <c r="G23" s="70">
        <v>0.29166666666666669</v>
      </c>
      <c r="H23" s="65"/>
      <c r="I23" s="135"/>
      <c r="J23" s="135"/>
      <c r="K23" s="144"/>
      <c r="L23" s="144"/>
      <c r="M23" s="144"/>
      <c r="N23" s="69"/>
      <c r="O23" s="69"/>
      <c r="P23" s="69"/>
    </row>
    <row r="24" spans="1:18" ht="18.600000000000001" customHeight="1">
      <c r="A24" s="70">
        <v>0.54166666666666663</v>
      </c>
      <c r="B24" s="70">
        <v>0.5625</v>
      </c>
      <c r="C24" s="508" t="s">
        <v>986</v>
      </c>
      <c r="D24" s="508"/>
      <c r="E24" s="508"/>
      <c r="F24" s="70">
        <v>0.29166666666666669</v>
      </c>
      <c r="G24" s="70">
        <v>0.3125</v>
      </c>
      <c r="H24" s="65"/>
      <c r="I24" s="135"/>
      <c r="J24" s="135"/>
      <c r="K24" s="144"/>
      <c r="L24" s="144"/>
      <c r="M24" s="144"/>
      <c r="N24" s="67"/>
      <c r="O24" s="67"/>
      <c r="P24" s="67"/>
    </row>
    <row r="25" spans="1:18" ht="18.600000000000001" customHeight="1">
      <c r="A25" s="70">
        <v>0.5625</v>
      </c>
      <c r="B25" s="70">
        <v>0.58333333333333337</v>
      </c>
      <c r="C25" s="508"/>
      <c r="D25" s="508"/>
      <c r="E25" s="508"/>
      <c r="F25" s="70">
        <v>0.3125</v>
      </c>
      <c r="G25" s="70">
        <v>0.33333333333333331</v>
      </c>
      <c r="H25" s="65"/>
      <c r="I25" s="135"/>
      <c r="J25" s="135"/>
      <c r="K25" s="135"/>
      <c r="L25" s="135"/>
      <c r="M25" s="135"/>
      <c r="N25" s="67"/>
      <c r="O25" s="67"/>
      <c r="P25" s="67"/>
    </row>
    <row r="26" spans="1:18" ht="18.600000000000001" customHeight="1">
      <c r="A26" s="70">
        <v>0.58333333333333337</v>
      </c>
      <c r="B26" s="70">
        <v>0.60416666666666663</v>
      </c>
      <c r="C26" s="508"/>
      <c r="D26" s="508"/>
      <c r="E26" s="508"/>
      <c r="F26" s="70">
        <v>0.33333333333333331</v>
      </c>
      <c r="G26" s="70">
        <v>0.35416666666666669</v>
      </c>
      <c r="H26" s="65"/>
      <c r="I26" s="135"/>
      <c r="J26" s="135"/>
      <c r="K26" s="135"/>
      <c r="L26" s="135"/>
      <c r="M26" s="135"/>
      <c r="N26" s="67"/>
      <c r="O26" s="67"/>
      <c r="P26" s="67"/>
    </row>
    <row r="27" spans="1:18" ht="18.600000000000001" customHeight="1">
      <c r="A27" s="70">
        <v>0.60416666666666663</v>
      </c>
      <c r="B27" s="70">
        <v>0.625</v>
      </c>
      <c r="C27" s="508"/>
      <c r="D27" s="508"/>
      <c r="E27" s="508"/>
      <c r="F27" s="70">
        <v>0.35416666666666669</v>
      </c>
      <c r="G27" s="70">
        <v>0.375</v>
      </c>
      <c r="H27" s="65"/>
      <c r="I27" s="135"/>
      <c r="J27" s="135"/>
      <c r="K27" s="135"/>
      <c r="L27" s="135"/>
      <c r="M27" s="135"/>
      <c r="N27" s="67"/>
      <c r="O27" s="67"/>
      <c r="P27" s="67"/>
    </row>
    <row r="28" spans="1:18" ht="18.600000000000001" customHeight="1">
      <c r="A28" s="70">
        <v>0.625</v>
      </c>
      <c r="B28" s="70">
        <v>0.64583333333333337</v>
      </c>
      <c r="C28" s="509" t="s">
        <v>937</v>
      </c>
      <c r="D28" s="509"/>
      <c r="E28" s="509"/>
      <c r="F28" s="70">
        <v>0.375</v>
      </c>
      <c r="G28" s="70">
        <v>0.39583333333333331</v>
      </c>
      <c r="H28" s="65"/>
      <c r="I28" s="135"/>
      <c r="J28" s="135"/>
      <c r="K28" s="135"/>
      <c r="L28" s="135"/>
      <c r="M28" s="135"/>
      <c r="N28" s="67"/>
      <c r="O28" s="67"/>
      <c r="P28" s="67"/>
    </row>
    <row r="29" spans="1:18" ht="18.600000000000001" customHeight="1">
      <c r="A29" s="70">
        <v>0.64583333333333337</v>
      </c>
      <c r="B29" s="70">
        <v>0.66666666666666663</v>
      </c>
      <c r="C29" s="508" t="s">
        <v>1665</v>
      </c>
      <c r="D29" s="508"/>
      <c r="E29" s="508"/>
      <c r="F29" s="70">
        <v>0.39583333333333331</v>
      </c>
      <c r="G29" s="70">
        <v>0.41666666666666669</v>
      </c>
      <c r="H29" s="65"/>
      <c r="I29" s="135"/>
      <c r="J29" s="135"/>
      <c r="K29" s="135"/>
      <c r="L29" s="135"/>
      <c r="M29" s="135"/>
      <c r="N29" s="67"/>
      <c r="O29" s="67"/>
      <c r="P29" s="67"/>
      <c r="R29" s="67"/>
    </row>
    <row r="30" spans="1:18" ht="18.600000000000001" customHeight="1">
      <c r="A30" s="70">
        <v>0.66666666666666663</v>
      </c>
      <c r="B30" s="70">
        <v>0.6875</v>
      </c>
      <c r="C30" s="508"/>
      <c r="D30" s="508"/>
      <c r="E30" s="508"/>
      <c r="F30" s="70">
        <v>0.41666666666666669</v>
      </c>
      <c r="G30" s="70">
        <v>0.4375</v>
      </c>
      <c r="H30" s="65"/>
      <c r="I30" s="135"/>
      <c r="J30" s="135"/>
      <c r="K30" s="135"/>
      <c r="L30" s="135"/>
      <c r="M30" s="135"/>
      <c r="N30" s="67"/>
      <c r="O30" s="67"/>
      <c r="P30" s="67"/>
      <c r="R30" s="73"/>
    </row>
    <row r="31" spans="1:18" ht="18.600000000000001" customHeight="1">
      <c r="A31" s="70">
        <v>0.6875</v>
      </c>
      <c r="B31" s="70">
        <v>0.70833333333333337</v>
      </c>
      <c r="C31" s="508"/>
      <c r="D31" s="508"/>
      <c r="E31" s="508"/>
      <c r="F31" s="70">
        <v>0.4375</v>
      </c>
      <c r="G31" s="70">
        <v>0.45833333333333331</v>
      </c>
      <c r="H31" s="65"/>
      <c r="I31" s="135"/>
      <c r="J31" s="135"/>
      <c r="K31" s="135"/>
      <c r="L31" s="135"/>
      <c r="M31" s="135"/>
      <c r="N31" s="67"/>
      <c r="O31" s="67"/>
      <c r="P31" s="67"/>
    </row>
    <row r="32" spans="1:18" ht="18.600000000000001" customHeight="1">
      <c r="A32" s="70">
        <v>0.70833333333333337</v>
      </c>
      <c r="B32" s="70">
        <v>0.72916666666666663</v>
      </c>
      <c r="C32" s="508"/>
      <c r="D32" s="508"/>
      <c r="E32" s="508"/>
      <c r="F32" s="70">
        <v>0.45833333333333331</v>
      </c>
      <c r="G32" s="70">
        <v>0.47916666666666669</v>
      </c>
      <c r="H32" s="65"/>
      <c r="I32" s="135"/>
      <c r="J32" s="135"/>
      <c r="K32" s="135"/>
      <c r="L32" s="135"/>
      <c r="M32" s="135"/>
      <c r="N32" s="67"/>
      <c r="O32" s="67"/>
      <c r="P32" s="67"/>
    </row>
    <row r="33" spans="1:16" ht="18.600000000000001" customHeight="1">
      <c r="A33" s="70">
        <v>0.72916666666666663</v>
      </c>
      <c r="B33" s="70">
        <v>0.75</v>
      </c>
      <c r="C33" s="509" t="s">
        <v>937</v>
      </c>
      <c r="D33" s="509"/>
      <c r="E33" s="509"/>
      <c r="F33" s="70">
        <v>0.47916666666666669</v>
      </c>
      <c r="G33" s="70">
        <v>0.5</v>
      </c>
      <c r="H33" s="65"/>
      <c r="I33" s="135"/>
      <c r="J33" s="135"/>
      <c r="K33" s="135"/>
      <c r="L33" s="135"/>
      <c r="M33" s="135"/>
      <c r="N33" s="67"/>
      <c r="O33" s="67"/>
      <c r="P33" s="67"/>
    </row>
    <row r="34" spans="1:16" ht="18.600000000000001" customHeight="1">
      <c r="A34" s="70">
        <v>0.75</v>
      </c>
      <c r="B34" s="70">
        <v>0.83333333333333337</v>
      </c>
      <c r="C34" s="509" t="s">
        <v>938</v>
      </c>
      <c r="D34" s="509"/>
      <c r="E34" s="509"/>
      <c r="F34" s="70">
        <v>0.5</v>
      </c>
      <c r="G34" s="70">
        <v>0.58333333333333337</v>
      </c>
      <c r="H34" s="65"/>
      <c r="I34" s="135"/>
      <c r="J34" s="135"/>
      <c r="K34" s="135"/>
      <c r="L34" s="135"/>
      <c r="M34" s="135"/>
      <c r="N34" s="67"/>
      <c r="O34" s="67"/>
      <c r="P34" s="67"/>
    </row>
    <row r="35" spans="1:16">
      <c r="A35" s="511" t="str">
        <f>J5</f>
        <v>Day 4</v>
      </c>
      <c r="B35" s="511"/>
      <c r="C35" s="512">
        <f>I5</f>
        <v>44299</v>
      </c>
      <c r="D35" s="512"/>
      <c r="E35" s="512"/>
      <c r="F35" s="511" t="str">
        <f>A35</f>
        <v>Day 4</v>
      </c>
      <c r="G35" s="511"/>
      <c r="H35" s="74"/>
    </row>
    <row r="36" spans="1:16" ht="28.8">
      <c r="A36" s="511" t="s">
        <v>929</v>
      </c>
      <c r="B36" s="511"/>
      <c r="C36" s="71" t="str">
        <f>C17</f>
        <v>Mini team 1:ATM-5 / ATM-6 / ATM-7</v>
      </c>
      <c r="D36" s="71" t="str">
        <f>D17</f>
        <v>Full team: ATM-1 / ATM-2 / ATM-3 / ATM-4 /ATM-5 / ATM-6 / ATM-7 / ATM-8</v>
      </c>
      <c r="E36" s="71" t="str">
        <f>E17</f>
        <v>LA team: van Zyl, Pieter and ATMs if applicable</v>
      </c>
      <c r="F36" s="511" t="s">
        <v>930</v>
      </c>
      <c r="G36" s="511"/>
      <c r="H36" s="74"/>
    </row>
    <row r="37" spans="1:16" ht="18" customHeight="1">
      <c r="A37" s="70">
        <v>0.41666666666666669</v>
      </c>
      <c r="B37" s="70">
        <v>0.4375</v>
      </c>
      <c r="C37" s="509" t="s">
        <v>937</v>
      </c>
      <c r="D37" s="509"/>
      <c r="E37" s="72" t="s">
        <v>935</v>
      </c>
      <c r="F37" s="70">
        <v>0.16666666666666666</v>
      </c>
      <c r="G37" s="70">
        <v>0.1875</v>
      </c>
      <c r="H37" s="74"/>
    </row>
    <row r="38" spans="1:16" ht="18" customHeight="1">
      <c r="A38" s="70">
        <v>0.4375</v>
      </c>
      <c r="B38" s="70">
        <v>0.45833333333333331</v>
      </c>
      <c r="C38" s="508" t="s">
        <v>987</v>
      </c>
      <c r="D38" s="508"/>
      <c r="E38" s="508"/>
      <c r="F38" s="70">
        <v>0.1875</v>
      </c>
      <c r="G38" s="70">
        <v>0.20833333333333334</v>
      </c>
      <c r="H38" s="74"/>
    </row>
    <row r="39" spans="1:16" ht="18" customHeight="1">
      <c r="A39" s="70">
        <v>0.45833333333333331</v>
      </c>
      <c r="B39" s="70">
        <v>0.47916666666666669</v>
      </c>
      <c r="C39" s="508"/>
      <c r="D39" s="508"/>
      <c r="E39" s="508"/>
      <c r="F39" s="70">
        <v>0.20833333333333334</v>
      </c>
      <c r="G39" s="70">
        <v>0.22916666666666666</v>
      </c>
      <c r="H39" s="74"/>
    </row>
    <row r="40" spans="1:16" ht="18" customHeight="1">
      <c r="A40" s="70">
        <v>0.47916666666666669</v>
      </c>
      <c r="B40" s="70">
        <v>0.5</v>
      </c>
      <c r="C40" s="508"/>
      <c r="D40" s="508"/>
      <c r="E40" s="508"/>
      <c r="F40" s="70">
        <v>0.22916666666666666</v>
      </c>
      <c r="G40" s="70">
        <v>0.25</v>
      </c>
      <c r="H40" s="74"/>
    </row>
    <row r="41" spans="1:16" ht="18" customHeight="1">
      <c r="A41" s="70">
        <v>0.5</v>
      </c>
      <c r="B41" s="70">
        <v>0.52083333333333337</v>
      </c>
      <c r="C41" s="509" t="s">
        <v>936</v>
      </c>
      <c r="D41" s="509"/>
      <c r="E41" s="509"/>
      <c r="F41" s="70">
        <v>0.25</v>
      </c>
      <c r="G41" s="70">
        <v>0.27083333333333331</v>
      </c>
      <c r="H41" s="74"/>
    </row>
    <row r="42" spans="1:16" ht="18" customHeight="1">
      <c r="A42" s="70">
        <v>0.52083333333333337</v>
      </c>
      <c r="B42" s="70">
        <v>0.54166666666666663</v>
      </c>
      <c r="C42" s="509"/>
      <c r="D42" s="509"/>
      <c r="E42" s="509"/>
      <c r="F42" s="70">
        <v>0.27083333333333331</v>
      </c>
      <c r="G42" s="70">
        <v>0.29166666666666669</v>
      </c>
      <c r="H42" s="74"/>
    </row>
    <row r="43" spans="1:16" ht="18" customHeight="1">
      <c r="A43" s="70">
        <v>0.54166666666666663</v>
      </c>
      <c r="B43" s="70">
        <v>0.5625</v>
      </c>
      <c r="C43" s="508" t="s">
        <v>1666</v>
      </c>
      <c r="D43" s="508"/>
      <c r="E43" s="508"/>
      <c r="F43" s="70">
        <v>0.29166666666666669</v>
      </c>
      <c r="G43" s="70">
        <v>0.3125</v>
      </c>
      <c r="H43" s="74"/>
    </row>
    <row r="44" spans="1:16" ht="18" customHeight="1">
      <c r="A44" s="70">
        <v>0.5625</v>
      </c>
      <c r="B44" s="70">
        <v>0.58333333333333337</v>
      </c>
      <c r="C44" s="508"/>
      <c r="D44" s="508"/>
      <c r="E44" s="508"/>
      <c r="F44" s="70">
        <v>0.3125</v>
      </c>
      <c r="G44" s="70">
        <v>0.33333333333333331</v>
      </c>
      <c r="H44" s="74"/>
    </row>
    <row r="45" spans="1:16" ht="18" customHeight="1">
      <c r="A45" s="70">
        <v>0.58333333333333337</v>
      </c>
      <c r="B45" s="70">
        <v>0.60416666666666663</v>
      </c>
      <c r="C45" s="508"/>
      <c r="D45" s="508"/>
      <c r="E45" s="508"/>
      <c r="F45" s="70">
        <v>0.33333333333333331</v>
      </c>
      <c r="G45" s="70">
        <v>0.35416666666666669</v>
      </c>
      <c r="H45" s="74"/>
    </row>
    <row r="46" spans="1:16" ht="18" customHeight="1">
      <c r="A46" s="70">
        <v>0.60416666666666663</v>
      </c>
      <c r="B46" s="70">
        <v>0.625</v>
      </c>
      <c r="C46" s="508"/>
      <c r="D46" s="508"/>
      <c r="E46" s="508"/>
      <c r="F46" s="70">
        <v>0.35416666666666669</v>
      </c>
      <c r="G46" s="70">
        <v>0.375</v>
      </c>
      <c r="H46" s="74"/>
    </row>
    <row r="47" spans="1:16" ht="18" customHeight="1">
      <c r="A47" s="70">
        <v>0.625</v>
      </c>
      <c r="B47" s="70">
        <v>0.64583333333333337</v>
      </c>
      <c r="C47" s="508"/>
      <c r="D47" s="508"/>
      <c r="E47" s="508"/>
      <c r="F47" s="70">
        <v>0.375</v>
      </c>
      <c r="G47" s="70">
        <v>0.39583333333333331</v>
      </c>
      <c r="H47" s="74"/>
    </row>
    <row r="48" spans="1:16" ht="18" customHeight="1">
      <c r="A48" s="70">
        <v>0.64583333333333337</v>
      </c>
      <c r="B48" s="70">
        <v>0.66666666666666663</v>
      </c>
      <c r="C48" s="509" t="s">
        <v>937</v>
      </c>
      <c r="D48" s="509"/>
      <c r="E48" s="509" t="s">
        <v>935</v>
      </c>
      <c r="F48" s="70">
        <v>0.39583333333333331</v>
      </c>
      <c r="G48" s="70">
        <v>0.41666666666666669</v>
      </c>
      <c r="H48" s="74"/>
    </row>
    <row r="49" spans="1:8" ht="18" customHeight="1">
      <c r="A49" s="70">
        <v>0.66666666666666663</v>
      </c>
      <c r="B49" s="70">
        <v>0.6875</v>
      </c>
      <c r="C49" s="509"/>
      <c r="D49" s="509"/>
      <c r="E49" s="509"/>
      <c r="F49" s="70">
        <v>0.41666666666666669</v>
      </c>
      <c r="G49" s="70">
        <v>0.4375</v>
      </c>
      <c r="H49" s="74"/>
    </row>
    <row r="50" spans="1:8" ht="18" customHeight="1">
      <c r="A50" s="70">
        <v>0.6875</v>
      </c>
      <c r="B50" s="70">
        <v>0.70833333333333337</v>
      </c>
      <c r="C50" s="508" t="s">
        <v>988</v>
      </c>
      <c r="D50" s="508"/>
      <c r="E50" s="508"/>
      <c r="F50" s="70">
        <v>0.4375</v>
      </c>
      <c r="G50" s="70">
        <v>0.45833333333333331</v>
      </c>
      <c r="H50" s="74"/>
    </row>
    <row r="51" spans="1:8" ht="18" customHeight="1">
      <c r="A51" s="70">
        <v>0.70833333333333337</v>
      </c>
      <c r="B51" s="70">
        <v>0.72916666666666663</v>
      </c>
      <c r="C51" s="508"/>
      <c r="D51" s="508"/>
      <c r="E51" s="508"/>
      <c r="F51" s="70">
        <v>0.45833333333333331</v>
      </c>
      <c r="G51" s="70">
        <v>0.47916666666666669</v>
      </c>
      <c r="H51" s="74"/>
    </row>
    <row r="52" spans="1:8" ht="18" customHeight="1">
      <c r="A52" s="70">
        <v>0.72916666666666663</v>
      </c>
      <c r="B52" s="70">
        <v>0.75</v>
      </c>
      <c r="C52" s="509" t="s">
        <v>937</v>
      </c>
      <c r="D52" s="509"/>
      <c r="E52" s="509"/>
      <c r="F52" s="70">
        <v>0.47916666666666669</v>
      </c>
      <c r="G52" s="70">
        <v>0.5</v>
      </c>
      <c r="H52" s="74"/>
    </row>
    <row r="53" spans="1:8" ht="18" customHeight="1">
      <c r="A53" s="70">
        <v>0.75</v>
      </c>
      <c r="B53" s="70">
        <v>0.83333333333333337</v>
      </c>
      <c r="C53" s="509" t="s">
        <v>938</v>
      </c>
      <c r="D53" s="509"/>
      <c r="E53" s="509"/>
      <c r="F53" s="70">
        <v>0.5</v>
      </c>
      <c r="G53" s="70">
        <v>0.58333333333333337</v>
      </c>
      <c r="H53" s="74"/>
    </row>
    <row r="54" spans="1:8">
      <c r="A54" s="504" t="str">
        <f>J6</f>
        <v>Day 5</v>
      </c>
      <c r="B54" s="504"/>
      <c r="C54" s="507">
        <f>I6</f>
        <v>44300</v>
      </c>
      <c r="D54" s="507"/>
      <c r="E54" s="507"/>
      <c r="F54" s="504" t="str">
        <f>A54</f>
        <v>Day 5</v>
      </c>
      <c r="G54" s="504"/>
      <c r="H54" s="74"/>
    </row>
    <row r="55" spans="1:8" ht="28.8">
      <c r="A55" s="504" t="s">
        <v>929</v>
      </c>
      <c r="B55" s="504"/>
      <c r="C55" s="68" t="str">
        <f>C36</f>
        <v>Mini team 1:ATM-5 / ATM-6 / ATM-7</v>
      </c>
      <c r="D55" s="68" t="str">
        <f>D36</f>
        <v>Full team: ATM-1 / ATM-2 / ATM-3 / ATM-4 /ATM-5 / ATM-6 / ATM-7 / ATM-8</v>
      </c>
      <c r="E55" s="68" t="str">
        <f>E36</f>
        <v>LA team: van Zyl, Pieter and ATMs if applicable</v>
      </c>
      <c r="F55" s="504" t="s">
        <v>930</v>
      </c>
      <c r="G55" s="504"/>
      <c r="H55" s="74"/>
    </row>
    <row r="56" spans="1:8" ht="18" customHeight="1">
      <c r="A56" s="70">
        <v>0.41666666666666669</v>
      </c>
      <c r="B56" s="70">
        <v>0.4375</v>
      </c>
      <c r="C56" s="509" t="s">
        <v>939</v>
      </c>
      <c r="D56" s="509"/>
      <c r="E56" s="72" t="s">
        <v>935</v>
      </c>
      <c r="F56" s="70">
        <v>0.16666666666666666</v>
      </c>
      <c r="G56" s="70">
        <v>0.1875</v>
      </c>
      <c r="H56" s="74"/>
    </row>
    <row r="57" spans="1:8" ht="18" customHeight="1">
      <c r="A57" s="70">
        <v>0.4375</v>
      </c>
      <c r="B57" s="70">
        <v>0.45833333333333331</v>
      </c>
      <c r="C57" s="508" t="s">
        <v>989</v>
      </c>
      <c r="D57" s="508"/>
      <c r="E57" s="508"/>
      <c r="F57" s="70">
        <v>0.1875</v>
      </c>
      <c r="G57" s="70">
        <v>0.20833333333333334</v>
      </c>
      <c r="H57" s="74"/>
    </row>
    <row r="58" spans="1:8" ht="18" customHeight="1">
      <c r="A58" s="70">
        <v>0.45833333333333331</v>
      </c>
      <c r="B58" s="70">
        <v>0.47916666666666669</v>
      </c>
      <c r="C58" s="508"/>
      <c r="D58" s="508"/>
      <c r="E58" s="508"/>
      <c r="F58" s="70">
        <v>0.20833333333333334</v>
      </c>
      <c r="G58" s="70">
        <v>0.22916666666666666</v>
      </c>
      <c r="H58" s="74"/>
    </row>
    <row r="59" spans="1:8" ht="18" customHeight="1">
      <c r="A59" s="70">
        <v>0.47916666666666669</v>
      </c>
      <c r="B59" s="70">
        <v>0.5</v>
      </c>
      <c r="C59" s="508"/>
      <c r="D59" s="508"/>
      <c r="E59" s="508"/>
      <c r="F59" s="70">
        <v>0.22916666666666666</v>
      </c>
      <c r="G59" s="70">
        <v>0.25</v>
      </c>
      <c r="H59" s="74"/>
    </row>
    <row r="60" spans="1:8" ht="18" customHeight="1">
      <c r="A60" s="70">
        <v>0.5</v>
      </c>
      <c r="B60" s="70">
        <v>0.52083333333333337</v>
      </c>
      <c r="C60" s="509" t="s">
        <v>936</v>
      </c>
      <c r="D60" s="509"/>
      <c r="E60" s="509"/>
      <c r="F60" s="70">
        <v>0.25</v>
      </c>
      <c r="G60" s="70">
        <v>0.27083333333333331</v>
      </c>
      <c r="H60" s="74"/>
    </row>
    <row r="61" spans="1:8" ht="18" customHeight="1">
      <c r="A61" s="70">
        <v>0.52083333333333337</v>
      </c>
      <c r="B61" s="70">
        <v>0.54166666666666663</v>
      </c>
      <c r="C61" s="509"/>
      <c r="D61" s="509"/>
      <c r="E61" s="509"/>
      <c r="F61" s="70">
        <v>0.27083333333333331</v>
      </c>
      <c r="G61" s="70">
        <v>0.29166666666666669</v>
      </c>
      <c r="H61" s="74"/>
    </row>
    <row r="62" spans="1:8" ht="18" customHeight="1">
      <c r="A62" s="70">
        <v>0.54166666666666663</v>
      </c>
      <c r="B62" s="70">
        <v>0.5625</v>
      </c>
      <c r="C62" s="508" t="s">
        <v>1667</v>
      </c>
      <c r="D62" s="508"/>
      <c r="E62" s="508"/>
      <c r="F62" s="70">
        <v>0.29166666666666669</v>
      </c>
      <c r="G62" s="70">
        <v>0.3125</v>
      </c>
      <c r="H62" s="74"/>
    </row>
    <row r="63" spans="1:8" ht="18" customHeight="1">
      <c r="A63" s="70">
        <v>0.5625</v>
      </c>
      <c r="B63" s="70">
        <v>0.58333333333333337</v>
      </c>
      <c r="C63" s="508"/>
      <c r="D63" s="508"/>
      <c r="E63" s="508"/>
      <c r="F63" s="70">
        <v>0.3125</v>
      </c>
      <c r="G63" s="70">
        <v>0.33333333333333331</v>
      </c>
      <c r="H63" s="74"/>
    </row>
    <row r="64" spans="1:8" ht="18" customHeight="1">
      <c r="A64" s="70">
        <v>0.58333333333333337</v>
      </c>
      <c r="B64" s="70">
        <v>0.60416666666666663</v>
      </c>
      <c r="C64" s="508"/>
      <c r="D64" s="508"/>
      <c r="E64" s="508"/>
      <c r="F64" s="70">
        <v>0.33333333333333331</v>
      </c>
      <c r="G64" s="70">
        <v>0.35416666666666669</v>
      </c>
      <c r="H64" s="74"/>
    </row>
    <row r="65" spans="1:8" ht="18" customHeight="1">
      <c r="A65" s="70">
        <v>0.60416666666666663</v>
      </c>
      <c r="B65" s="70">
        <v>0.625</v>
      </c>
      <c r="C65" s="508"/>
      <c r="D65" s="508"/>
      <c r="E65" s="508"/>
      <c r="F65" s="70">
        <v>0.35416666666666669</v>
      </c>
      <c r="G65" s="70">
        <v>0.375</v>
      </c>
      <c r="H65" s="74"/>
    </row>
    <row r="66" spans="1:8" ht="18" customHeight="1">
      <c r="A66" s="70">
        <v>0.625</v>
      </c>
      <c r="B66" s="70">
        <v>0.64583333333333337</v>
      </c>
      <c r="C66" s="508"/>
      <c r="D66" s="508"/>
      <c r="E66" s="508"/>
      <c r="F66" s="70">
        <v>0.375</v>
      </c>
      <c r="G66" s="70">
        <v>0.39583333333333331</v>
      </c>
      <c r="H66" s="74"/>
    </row>
    <row r="67" spans="1:8" ht="18" customHeight="1">
      <c r="A67" s="70">
        <v>0.64583333333333337</v>
      </c>
      <c r="B67" s="70">
        <v>0.66666666666666663</v>
      </c>
      <c r="C67" s="508"/>
      <c r="D67" s="508"/>
      <c r="E67" s="508"/>
      <c r="F67" s="70">
        <v>0.39583333333333331</v>
      </c>
      <c r="G67" s="70">
        <v>0.41666666666666669</v>
      </c>
      <c r="H67" s="74"/>
    </row>
    <row r="68" spans="1:8" ht="18" customHeight="1">
      <c r="A68" s="70">
        <v>0.66666666666666663</v>
      </c>
      <c r="B68" s="70">
        <v>0.6875</v>
      </c>
      <c r="C68" s="509" t="s">
        <v>937</v>
      </c>
      <c r="D68" s="509"/>
      <c r="E68" s="509"/>
      <c r="F68" s="70">
        <v>0.41666666666666669</v>
      </c>
      <c r="G68" s="70">
        <v>0.4375</v>
      </c>
      <c r="H68" s="74"/>
    </row>
    <row r="69" spans="1:8" ht="18" customHeight="1">
      <c r="A69" s="70">
        <v>0.6875</v>
      </c>
      <c r="B69" s="70">
        <v>0.70833333333333337</v>
      </c>
      <c r="C69" s="508" t="s">
        <v>990</v>
      </c>
      <c r="D69" s="508"/>
      <c r="E69" s="508"/>
      <c r="F69" s="70">
        <v>0.4375</v>
      </c>
      <c r="G69" s="70">
        <v>0.45833333333333331</v>
      </c>
      <c r="H69" s="74"/>
    </row>
    <row r="70" spans="1:8" ht="18" customHeight="1">
      <c r="A70" s="70">
        <v>0.70833333333333337</v>
      </c>
      <c r="B70" s="70">
        <v>0.72916666666666663</v>
      </c>
      <c r="C70" s="508"/>
      <c r="D70" s="508"/>
      <c r="E70" s="508"/>
      <c r="F70" s="70">
        <v>0.45833333333333331</v>
      </c>
      <c r="G70" s="70">
        <v>0.47916666666666669</v>
      </c>
      <c r="H70" s="74"/>
    </row>
    <row r="71" spans="1:8" ht="18" customHeight="1">
      <c r="A71" s="70">
        <v>0.72916666666666663</v>
      </c>
      <c r="B71" s="70">
        <v>0.75</v>
      </c>
      <c r="C71" s="509" t="s">
        <v>937</v>
      </c>
      <c r="D71" s="509"/>
      <c r="E71" s="509"/>
      <c r="F71" s="70">
        <v>0.47916666666666669</v>
      </c>
      <c r="G71" s="70">
        <v>0.5</v>
      </c>
      <c r="H71" s="74"/>
    </row>
    <row r="72" spans="1:8" ht="18" customHeight="1">
      <c r="A72" s="70">
        <v>0.75</v>
      </c>
      <c r="B72" s="70">
        <v>0.83333333333333337</v>
      </c>
      <c r="C72" s="509" t="s">
        <v>938</v>
      </c>
      <c r="D72" s="509"/>
      <c r="E72" s="509"/>
      <c r="F72" s="70">
        <v>0.5</v>
      </c>
      <c r="G72" s="70">
        <v>0.58333333333333337</v>
      </c>
      <c r="H72" s="74"/>
    </row>
    <row r="73" spans="1:8">
      <c r="A73" s="504" t="str">
        <f>J7</f>
        <v>Day 6</v>
      </c>
      <c r="B73" s="504"/>
      <c r="C73" s="507">
        <f>I7</f>
        <v>44301</v>
      </c>
      <c r="D73" s="507"/>
      <c r="E73" s="507"/>
      <c r="F73" s="504" t="str">
        <f>A73</f>
        <v>Day 6</v>
      </c>
      <c r="G73" s="504"/>
      <c r="H73" s="74"/>
    </row>
    <row r="74" spans="1:8" ht="28.8">
      <c r="A74" s="504" t="s">
        <v>929</v>
      </c>
      <c r="B74" s="504"/>
      <c r="C74" s="68" t="str">
        <f>C55</f>
        <v>Mini team 1:ATM-5 / ATM-6 / ATM-7</v>
      </c>
      <c r="D74" s="68" t="str">
        <f>D55</f>
        <v>Full team: ATM-1 / ATM-2 / ATM-3 / ATM-4 /ATM-5 / ATM-6 / ATM-7 / ATM-8</v>
      </c>
      <c r="E74" s="68" t="str">
        <f>E55</f>
        <v>LA team: van Zyl, Pieter and ATMs if applicable</v>
      </c>
      <c r="F74" s="504" t="s">
        <v>930</v>
      </c>
      <c r="G74" s="504"/>
      <c r="H74" s="74"/>
    </row>
    <row r="75" spans="1:8" ht="18" customHeight="1">
      <c r="A75" s="70">
        <v>0.41666666666666669</v>
      </c>
      <c r="B75" s="70">
        <v>0.4375</v>
      </c>
      <c r="C75" s="509" t="s">
        <v>937</v>
      </c>
      <c r="D75" s="509"/>
      <c r="E75" s="509"/>
      <c r="F75" s="70">
        <v>0.16666666666666666</v>
      </c>
      <c r="G75" s="70">
        <v>0.1875</v>
      </c>
      <c r="H75" s="74"/>
    </row>
    <row r="76" spans="1:8" ht="18" customHeight="1">
      <c r="A76" s="70">
        <v>0.4375</v>
      </c>
      <c r="B76" s="70">
        <v>0.45833333333333331</v>
      </c>
      <c r="C76" s="508" t="s">
        <v>991</v>
      </c>
      <c r="D76" s="508"/>
      <c r="E76" s="508"/>
      <c r="F76" s="70">
        <v>0.1875</v>
      </c>
      <c r="G76" s="70">
        <v>0.20833333333333334</v>
      </c>
      <c r="H76" s="74"/>
    </row>
    <row r="77" spans="1:8" ht="18" customHeight="1">
      <c r="A77" s="70">
        <v>0.45833333333333331</v>
      </c>
      <c r="B77" s="70">
        <v>0.47916666666666669</v>
      </c>
      <c r="C77" s="508"/>
      <c r="D77" s="508"/>
      <c r="E77" s="508"/>
      <c r="F77" s="70">
        <v>0.20833333333333334</v>
      </c>
      <c r="G77" s="70">
        <v>0.22916666666666666</v>
      </c>
      <c r="H77" s="74"/>
    </row>
    <row r="78" spans="1:8" ht="18" customHeight="1">
      <c r="A78" s="70">
        <v>0.47916666666666669</v>
      </c>
      <c r="B78" s="70">
        <v>0.5</v>
      </c>
      <c r="C78" s="509" t="s">
        <v>937</v>
      </c>
      <c r="D78" s="509"/>
      <c r="E78" s="509"/>
      <c r="F78" s="70">
        <v>0.22916666666666666</v>
      </c>
      <c r="G78" s="70">
        <v>0.25</v>
      </c>
      <c r="H78" s="74"/>
    </row>
    <row r="79" spans="1:8" ht="18" customHeight="1">
      <c r="A79" s="70">
        <v>0.5</v>
      </c>
      <c r="B79" s="70">
        <v>0.52083333333333337</v>
      </c>
      <c r="C79" s="509" t="s">
        <v>936</v>
      </c>
      <c r="D79" s="509"/>
      <c r="E79" s="509"/>
      <c r="F79" s="70">
        <v>0.25</v>
      </c>
      <c r="G79" s="70">
        <v>0.27083333333333331</v>
      </c>
      <c r="H79" s="74"/>
    </row>
    <row r="80" spans="1:8" ht="18" customHeight="1">
      <c r="A80" s="70">
        <v>0.52083333333333337</v>
      </c>
      <c r="B80" s="70">
        <v>0.54166666666666663</v>
      </c>
      <c r="C80" s="509"/>
      <c r="D80" s="509"/>
      <c r="E80" s="509"/>
      <c r="F80" s="70">
        <v>0.27083333333333331</v>
      </c>
      <c r="G80" s="70">
        <v>0.29166666666666669</v>
      </c>
      <c r="H80" s="74"/>
    </row>
    <row r="81" spans="1:8" ht="18" customHeight="1">
      <c r="A81" s="70">
        <v>0.54166666666666663</v>
      </c>
      <c r="B81" s="70">
        <v>0.5625</v>
      </c>
      <c r="C81" s="517" t="s">
        <v>940</v>
      </c>
      <c r="D81" s="517"/>
      <c r="E81" s="517"/>
      <c r="F81" s="70">
        <v>0.29166666666666669</v>
      </c>
      <c r="G81" s="70">
        <v>0.3125</v>
      </c>
      <c r="H81" s="74"/>
    </row>
    <row r="82" spans="1:8" ht="18" customHeight="1">
      <c r="A82" s="70">
        <v>0.5625</v>
      </c>
      <c r="B82" s="70">
        <v>0.58333333333333337</v>
      </c>
      <c r="C82" s="517"/>
      <c r="D82" s="517"/>
      <c r="E82" s="517"/>
      <c r="F82" s="70">
        <v>0.3125</v>
      </c>
      <c r="G82" s="70">
        <v>0.33333333333333331</v>
      </c>
      <c r="H82" s="74"/>
    </row>
    <row r="83" spans="1:8" ht="18" customHeight="1">
      <c r="A83" s="70">
        <v>0.58333333333333337</v>
      </c>
      <c r="B83" s="70">
        <v>0.60416666666666663</v>
      </c>
      <c r="C83" s="517"/>
      <c r="D83" s="517"/>
      <c r="E83" s="517"/>
      <c r="F83" s="70">
        <v>0.33333333333333331</v>
      </c>
      <c r="G83" s="70">
        <v>0.35416666666666669</v>
      </c>
      <c r="H83" s="74"/>
    </row>
    <row r="84" spans="1:8" ht="18" customHeight="1">
      <c r="A84" s="70">
        <v>0.60416666666666663</v>
      </c>
      <c r="B84" s="70">
        <v>0.625</v>
      </c>
      <c r="C84" s="517"/>
      <c r="D84" s="517"/>
      <c r="E84" s="517"/>
      <c r="F84" s="70">
        <v>0.35416666666666669</v>
      </c>
      <c r="G84" s="70">
        <v>0.375</v>
      </c>
      <c r="H84" s="74"/>
    </row>
    <row r="85" spans="1:8" ht="18" customHeight="1">
      <c r="A85" s="70">
        <v>0.625</v>
      </c>
      <c r="B85" s="70">
        <v>0.64583333333333337</v>
      </c>
      <c r="C85" s="508" t="s">
        <v>992</v>
      </c>
      <c r="D85" s="508"/>
      <c r="E85" s="508"/>
      <c r="F85" s="70">
        <v>0.375</v>
      </c>
      <c r="G85" s="70">
        <v>0.39583333333333331</v>
      </c>
      <c r="H85" s="74"/>
    </row>
    <row r="86" spans="1:8" ht="18" customHeight="1">
      <c r="A86" s="70">
        <v>0.64583333333333337</v>
      </c>
      <c r="B86" s="70">
        <v>0.66666666666666663</v>
      </c>
      <c r="C86" s="508"/>
      <c r="D86" s="508"/>
      <c r="E86" s="508"/>
      <c r="F86" s="70">
        <v>0.39583333333333331</v>
      </c>
      <c r="G86" s="70">
        <v>0.41666666666666669</v>
      </c>
      <c r="H86" s="74"/>
    </row>
    <row r="87" spans="1:8" ht="18" customHeight="1">
      <c r="A87" s="70">
        <v>0.66666666666666663</v>
      </c>
      <c r="B87" s="70">
        <v>0.6875</v>
      </c>
      <c r="C87" s="509" t="s">
        <v>937</v>
      </c>
      <c r="D87" s="509"/>
      <c r="E87" s="509"/>
      <c r="F87" s="70">
        <v>0.41666666666666669</v>
      </c>
      <c r="G87" s="70">
        <v>0.4375</v>
      </c>
      <c r="H87" s="74"/>
    </row>
    <row r="88" spans="1:8" ht="18" customHeight="1">
      <c r="A88" s="70">
        <v>0.6875</v>
      </c>
      <c r="B88" s="70">
        <v>0.70833333333333337</v>
      </c>
      <c r="C88" s="509"/>
      <c r="D88" s="509"/>
      <c r="E88" s="509"/>
      <c r="F88" s="70">
        <v>0.4375</v>
      </c>
      <c r="G88" s="70">
        <v>0.45833333333333331</v>
      </c>
      <c r="H88" s="74"/>
    </row>
    <row r="89" spans="1:8" ht="18" customHeight="1">
      <c r="A89" s="70">
        <v>0.70833333333333337</v>
      </c>
      <c r="B89" s="70">
        <v>0.72916666666666663</v>
      </c>
      <c r="C89" s="509"/>
      <c r="D89" s="509"/>
      <c r="E89" s="509"/>
      <c r="F89" s="70">
        <v>0.45833333333333331</v>
      </c>
      <c r="G89" s="70">
        <v>0.47916666666666669</v>
      </c>
      <c r="H89" s="74"/>
    </row>
    <row r="90" spans="1:8" ht="18" customHeight="1">
      <c r="A90" s="70">
        <v>0.72916666666666663</v>
      </c>
      <c r="B90" s="70">
        <v>0.75</v>
      </c>
      <c r="C90" s="509"/>
      <c r="D90" s="509"/>
      <c r="E90" s="509"/>
      <c r="F90" s="70">
        <v>0.47916666666666669</v>
      </c>
      <c r="G90" s="70">
        <v>0.5</v>
      </c>
      <c r="H90" s="74"/>
    </row>
    <row r="91" spans="1:8" ht="18" customHeight="1">
      <c r="A91" s="70">
        <v>0.75</v>
      </c>
      <c r="B91" s="70">
        <v>0.83333333333333337</v>
      </c>
      <c r="C91" s="509" t="s">
        <v>938</v>
      </c>
      <c r="D91" s="509"/>
      <c r="E91" s="509"/>
      <c r="F91" s="70">
        <v>0.5</v>
      </c>
      <c r="G91" s="70">
        <v>0.58333333333333337</v>
      </c>
      <c r="H91" s="74"/>
    </row>
    <row r="92" spans="1:8">
      <c r="A92" s="504" t="str">
        <f>J8</f>
        <v>Day 7</v>
      </c>
      <c r="B92" s="504"/>
      <c r="C92" s="507">
        <f>I8</f>
        <v>44302</v>
      </c>
      <c r="D92" s="507"/>
      <c r="E92" s="507"/>
      <c r="F92" s="504" t="str">
        <f>A92</f>
        <v>Day 7</v>
      </c>
      <c r="G92" s="504"/>
      <c r="H92" s="74"/>
    </row>
    <row r="93" spans="1:8" ht="28.8">
      <c r="A93" s="504" t="s">
        <v>929</v>
      </c>
      <c r="B93" s="504"/>
      <c r="C93" s="68" t="str">
        <f>C74</f>
        <v>Mini team 1:ATM-5 / ATM-6 / ATM-7</v>
      </c>
      <c r="D93" s="68" t="str">
        <f>D74</f>
        <v>Full team: ATM-1 / ATM-2 / ATM-3 / ATM-4 /ATM-5 / ATM-6 / ATM-7 / ATM-8</v>
      </c>
      <c r="E93" s="68" t="str">
        <f>E74</f>
        <v>LA team: van Zyl, Pieter and ATMs if applicable</v>
      </c>
      <c r="F93" s="504" t="s">
        <v>930</v>
      </c>
      <c r="G93" s="504"/>
      <c r="H93" s="74"/>
    </row>
    <row r="94" spans="1:8" ht="18" customHeight="1">
      <c r="A94" s="70">
        <v>0.41666666666666669</v>
      </c>
      <c r="B94" s="70">
        <v>0.4375</v>
      </c>
      <c r="C94" s="509" t="s">
        <v>937</v>
      </c>
      <c r="D94" s="509"/>
      <c r="E94" s="509"/>
      <c r="F94" s="70">
        <v>0.16666666666666666</v>
      </c>
      <c r="G94" s="70">
        <v>0.1875</v>
      </c>
      <c r="H94" s="74"/>
    </row>
    <row r="95" spans="1:8" ht="18" customHeight="1">
      <c r="A95" s="70">
        <v>0.4375</v>
      </c>
      <c r="B95" s="70">
        <v>0.45833333333333331</v>
      </c>
      <c r="C95" s="518" t="s">
        <v>993</v>
      </c>
      <c r="D95" s="519"/>
      <c r="E95" s="520"/>
      <c r="F95" s="70">
        <v>0.1875</v>
      </c>
      <c r="G95" s="70">
        <v>0.20833333333333334</v>
      </c>
      <c r="H95" s="74"/>
    </row>
    <row r="96" spans="1:8" ht="18" customHeight="1">
      <c r="A96" s="70">
        <v>0.45833333333333331</v>
      </c>
      <c r="B96" s="70">
        <v>0.47916666666666669</v>
      </c>
      <c r="C96" s="521"/>
      <c r="D96" s="522"/>
      <c r="E96" s="523"/>
      <c r="F96" s="70">
        <v>0.20833333333333334</v>
      </c>
      <c r="G96" s="70">
        <v>0.22916666666666666</v>
      </c>
      <c r="H96" s="74"/>
    </row>
    <row r="97" spans="1:8" ht="18" customHeight="1">
      <c r="A97" s="70">
        <v>0.47916666666666669</v>
      </c>
      <c r="B97" s="70">
        <v>0.5</v>
      </c>
      <c r="C97" s="518" t="s">
        <v>994</v>
      </c>
      <c r="D97" s="519"/>
      <c r="E97" s="520"/>
      <c r="F97" s="70">
        <v>0.22916666666666666</v>
      </c>
      <c r="G97" s="70">
        <v>0.25</v>
      </c>
      <c r="H97" s="74"/>
    </row>
    <row r="98" spans="1:8" ht="18" customHeight="1">
      <c r="A98" s="70">
        <v>0.5</v>
      </c>
      <c r="B98" s="70">
        <v>0.52083333333333337</v>
      </c>
      <c r="C98" s="521"/>
      <c r="D98" s="522"/>
      <c r="E98" s="523"/>
      <c r="F98" s="70">
        <v>0.25</v>
      </c>
      <c r="G98" s="70">
        <v>0.27083333333333331</v>
      </c>
      <c r="H98" s="74"/>
    </row>
    <row r="99" spans="1:8" ht="18" customHeight="1">
      <c r="A99" s="70">
        <v>0.52083333333333337</v>
      </c>
      <c r="B99" s="70">
        <v>0.54166666666666663</v>
      </c>
      <c r="C99" s="524" t="s">
        <v>936</v>
      </c>
      <c r="D99" s="525"/>
      <c r="E99" s="526"/>
      <c r="F99" s="70">
        <v>0.27083333333333331</v>
      </c>
      <c r="G99" s="70">
        <v>0.29166666666666669</v>
      </c>
      <c r="H99" s="74"/>
    </row>
    <row r="100" spans="1:8" ht="18" customHeight="1">
      <c r="A100" s="70">
        <v>0.54166666666666663</v>
      </c>
      <c r="B100" s="70">
        <v>0.5625</v>
      </c>
      <c r="C100" s="530"/>
      <c r="D100" s="531"/>
      <c r="E100" s="532"/>
      <c r="F100" s="70">
        <v>0.29166666666666669</v>
      </c>
      <c r="G100" s="70">
        <v>0.3125</v>
      </c>
      <c r="H100" s="74"/>
    </row>
    <row r="101" spans="1:8" ht="18" customHeight="1">
      <c r="A101" s="70">
        <v>0.5625</v>
      </c>
      <c r="B101" s="70">
        <v>0.58333333333333337</v>
      </c>
      <c r="C101" s="524" t="s">
        <v>1674</v>
      </c>
      <c r="D101" s="525"/>
      <c r="E101" s="526"/>
      <c r="F101" s="70">
        <v>0.3125</v>
      </c>
      <c r="G101" s="70">
        <v>0.33333333333333331</v>
      </c>
      <c r="H101" s="74"/>
    </row>
    <row r="102" spans="1:8" ht="18" customHeight="1">
      <c r="A102" s="70">
        <v>0.58333333333333337</v>
      </c>
      <c r="B102" s="70">
        <v>0.60416666666666663</v>
      </c>
      <c r="C102" s="527"/>
      <c r="D102" s="528"/>
      <c r="E102" s="529"/>
      <c r="F102" s="70">
        <v>0.33333333333333331</v>
      </c>
      <c r="G102" s="70">
        <v>0.35416666666666669</v>
      </c>
      <c r="H102" s="74"/>
    </row>
    <row r="103" spans="1:8" ht="18" customHeight="1">
      <c r="A103" s="70">
        <v>0.60416666666666663</v>
      </c>
      <c r="B103" s="70">
        <v>0.625</v>
      </c>
      <c r="C103" s="530"/>
      <c r="D103" s="531"/>
      <c r="E103" s="532"/>
      <c r="F103" s="70">
        <v>0.35416666666666669</v>
      </c>
      <c r="G103" s="70">
        <v>0.375</v>
      </c>
      <c r="H103" s="74"/>
    </row>
    <row r="104" spans="1:8" ht="18" customHeight="1">
      <c r="A104" s="70">
        <v>0.625</v>
      </c>
      <c r="B104" s="70">
        <v>0.64583333333333337</v>
      </c>
      <c r="C104" s="516" t="s">
        <v>1673</v>
      </c>
      <c r="D104" s="516"/>
      <c r="E104" s="516"/>
      <c r="F104" s="70">
        <v>0.375</v>
      </c>
      <c r="G104" s="70">
        <v>0.39583333333333331</v>
      </c>
      <c r="H104" s="74"/>
    </row>
    <row r="105" spans="1:8" ht="18" customHeight="1">
      <c r="A105" s="70">
        <v>0.64583333333333337</v>
      </c>
      <c r="B105" s="70">
        <v>0.66666666666666663</v>
      </c>
      <c r="C105" s="516"/>
      <c r="D105" s="516"/>
      <c r="E105" s="516"/>
      <c r="F105" s="70">
        <v>0.39583333333333331</v>
      </c>
      <c r="G105" s="70">
        <v>0.41666666666666669</v>
      </c>
      <c r="H105" s="74"/>
    </row>
    <row r="106" spans="1:8" ht="18" customHeight="1">
      <c r="A106" s="70">
        <v>0.66666666666666663</v>
      </c>
      <c r="B106" s="70">
        <v>0.6875</v>
      </c>
      <c r="C106" s="509" t="s">
        <v>941</v>
      </c>
      <c r="D106" s="509"/>
      <c r="E106" s="509"/>
      <c r="F106" s="70">
        <v>0.41666666666666669</v>
      </c>
      <c r="G106" s="70">
        <v>0.4375</v>
      </c>
      <c r="H106" s="74"/>
    </row>
    <row r="107" spans="1:8" ht="18" customHeight="1">
      <c r="A107" s="70">
        <v>0.6875</v>
      </c>
      <c r="B107" s="70">
        <v>0.70833333333333337</v>
      </c>
      <c r="C107" s="509"/>
      <c r="D107" s="509"/>
      <c r="E107" s="509"/>
      <c r="F107" s="70">
        <v>0.4375</v>
      </c>
      <c r="G107" s="70">
        <v>0.45833333333333331</v>
      </c>
      <c r="H107" s="74"/>
    </row>
    <row r="108" spans="1:8" ht="18" customHeight="1">
      <c r="A108" s="70">
        <v>0.70833333333333337</v>
      </c>
      <c r="B108" s="70">
        <v>0.72916666666666663</v>
      </c>
      <c r="C108" s="509" t="s">
        <v>942</v>
      </c>
      <c r="D108" s="509"/>
      <c r="E108" s="509"/>
      <c r="F108" s="70">
        <v>0.45833333333333331</v>
      </c>
      <c r="G108" s="70">
        <v>0.47916666666666669</v>
      </c>
      <c r="H108" s="74"/>
    </row>
    <row r="109" spans="1:8" ht="18" customHeight="1">
      <c r="A109" s="70">
        <v>0.72916666666666663</v>
      </c>
      <c r="B109" s="70">
        <v>0.75</v>
      </c>
      <c r="C109" s="509"/>
      <c r="D109" s="509"/>
      <c r="E109" s="509"/>
      <c r="F109" s="70">
        <v>0.47916666666666669</v>
      </c>
      <c r="G109" s="70">
        <v>0.5</v>
      </c>
      <c r="H109" s="74"/>
    </row>
    <row r="110" spans="1:8" ht="18" customHeight="1">
      <c r="A110" s="70">
        <v>0.75</v>
      </c>
      <c r="B110" s="70">
        <v>0.83333333333333337</v>
      </c>
      <c r="C110" s="509"/>
      <c r="D110" s="509"/>
      <c r="E110" s="509"/>
      <c r="F110" s="70">
        <v>0.5</v>
      </c>
      <c r="G110" s="70">
        <v>0.58333333333333337</v>
      </c>
      <c r="H110" s="74"/>
    </row>
  </sheetData>
  <mergeCells count="77">
    <mergeCell ref="C95:E96"/>
    <mergeCell ref="C94:E94"/>
    <mergeCell ref="C101:E103"/>
    <mergeCell ref="C99:E100"/>
    <mergeCell ref="C108:E110"/>
    <mergeCell ref="C104:E105"/>
    <mergeCell ref="C106:E107"/>
    <mergeCell ref="C97:E98"/>
    <mergeCell ref="A93:B93"/>
    <mergeCell ref="F93:G93"/>
    <mergeCell ref="C75:E75"/>
    <mergeCell ref="C76:E77"/>
    <mergeCell ref="C78:E78"/>
    <mergeCell ref="C79:E80"/>
    <mergeCell ref="C81:E84"/>
    <mergeCell ref="C85:E86"/>
    <mergeCell ref="C87:E90"/>
    <mergeCell ref="C91:E91"/>
    <mergeCell ref="A92:B92"/>
    <mergeCell ref="C92:E92"/>
    <mergeCell ref="F92:G92"/>
    <mergeCell ref="C72:E72"/>
    <mergeCell ref="A73:B73"/>
    <mergeCell ref="C73:E73"/>
    <mergeCell ref="F73:G73"/>
    <mergeCell ref="A74:B74"/>
    <mergeCell ref="F74:G74"/>
    <mergeCell ref="C71:E71"/>
    <mergeCell ref="A54:B54"/>
    <mergeCell ref="C54:E54"/>
    <mergeCell ref="F54:G54"/>
    <mergeCell ref="A55:B55"/>
    <mergeCell ref="F55:G55"/>
    <mergeCell ref="C56:D56"/>
    <mergeCell ref="C57:E59"/>
    <mergeCell ref="C60:E61"/>
    <mergeCell ref="C62:E67"/>
    <mergeCell ref="C68:E68"/>
    <mergeCell ref="C69:E70"/>
    <mergeCell ref="C53:E53"/>
    <mergeCell ref="F35:G35"/>
    <mergeCell ref="A36:B36"/>
    <mergeCell ref="F36:G36"/>
    <mergeCell ref="C37:D37"/>
    <mergeCell ref="C38:E40"/>
    <mergeCell ref="C41:E42"/>
    <mergeCell ref="C43:E47"/>
    <mergeCell ref="C48:D49"/>
    <mergeCell ref="E48:E49"/>
    <mergeCell ref="C50:E51"/>
    <mergeCell ref="C52:E52"/>
    <mergeCell ref="C28:E28"/>
    <mergeCell ref="C29:E32"/>
    <mergeCell ref="C33:E33"/>
    <mergeCell ref="C34:E34"/>
    <mergeCell ref="A35:B35"/>
    <mergeCell ref="C35:E35"/>
    <mergeCell ref="C24:E27"/>
    <mergeCell ref="C5:C13"/>
    <mergeCell ref="D5:D13"/>
    <mergeCell ref="E5:E13"/>
    <mergeCell ref="A15:G15"/>
    <mergeCell ref="A16:B16"/>
    <mergeCell ref="C16:E16"/>
    <mergeCell ref="F16:G16"/>
    <mergeCell ref="A17:B17"/>
    <mergeCell ref="F17:G17"/>
    <mergeCell ref="C19:E19"/>
    <mergeCell ref="C20:E21"/>
    <mergeCell ref="C22:E23"/>
    <mergeCell ref="A4:B4"/>
    <mergeCell ref="F4:G4"/>
    <mergeCell ref="A1:G1"/>
    <mergeCell ref="A2:G2"/>
    <mergeCell ref="A3:B3"/>
    <mergeCell ref="C3:E3"/>
    <mergeCell ref="F3:G3"/>
  </mergeCells>
  <phoneticPr fontId="54" type="noConversion"/>
  <pageMargins left="0.7" right="0.7" top="0.75" bottom="0.75" header="0.3" footer="0.3"/>
  <pageSetup paperSize="9" scale="62" fitToHeight="0" orientation="portrait" r:id="rId1"/>
  <rowBreaks count="5" manualBreakCount="5">
    <brk id="15" max="16383" man="1"/>
    <brk id="34" max="16383" man="1"/>
    <brk id="53" max="16383" man="1"/>
    <brk id="72" max="16383" man="1"/>
    <brk id="91" max="16383" man="1"/>
  </rowBreaks>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8D29FD1-4893-4109-AC99-1D2183EA84E6}">
  <sheetPr codeName="Sheet30">
    <tabColor theme="5" tint="0.79998168889431442"/>
    <pageSetUpPr fitToPage="1"/>
  </sheetPr>
  <dimension ref="A1:R110"/>
  <sheetViews>
    <sheetView topLeftCell="A100" workbookViewId="0">
      <selection activeCell="D112" sqref="D112"/>
    </sheetView>
  </sheetViews>
  <sheetFormatPr defaultColWidth="8.6640625" defaultRowHeight="14.4"/>
  <cols>
    <col min="1" max="2" width="10.44140625" style="8" customWidth="1"/>
    <col min="3" max="3" width="32.44140625" style="8" hidden="1" customWidth="1"/>
    <col min="4" max="4" width="47.33203125" style="8" customWidth="1"/>
    <col min="5" max="5" width="26.44140625" style="8" customWidth="1"/>
    <col min="6" max="7" width="10.44140625" style="8" customWidth="1"/>
    <col min="8" max="8" width="8.6640625" style="75"/>
    <col min="9" max="13" width="37.6640625" style="136" customWidth="1"/>
    <col min="14" max="16384" width="8.6640625" style="8"/>
  </cols>
  <sheetData>
    <row r="1" spans="1:16" ht="14.7" customHeight="1">
      <c r="A1" s="505" t="s">
        <v>1196</v>
      </c>
      <c r="B1" s="505"/>
      <c r="C1" s="505"/>
      <c r="D1" s="505"/>
      <c r="E1" s="505"/>
      <c r="F1" s="505"/>
      <c r="G1" s="505"/>
      <c r="H1" s="65"/>
      <c r="I1" s="139" t="s">
        <v>925</v>
      </c>
      <c r="J1" s="140" t="s">
        <v>926</v>
      </c>
      <c r="K1" s="134" t="s">
        <v>927</v>
      </c>
      <c r="L1" s="134" t="s">
        <v>928</v>
      </c>
      <c r="M1" s="135"/>
      <c r="N1" s="67"/>
      <c r="O1" s="67"/>
      <c r="P1" s="67"/>
    </row>
    <row r="2" spans="1:16" ht="14.7" customHeight="1">
      <c r="A2" s="506" t="str">
        <f>CONCATENATE(TEXT(Planning!B26,"[$-x-sysdate]dddd, mmmm dd, yyyy")," (Technology test)")</f>
        <v>Thursday, 08 April 2021 (Technology test)</v>
      </c>
      <c r="B2" s="506"/>
      <c r="C2" s="506"/>
      <c r="D2" s="506"/>
      <c r="E2" s="506"/>
      <c r="F2" s="506"/>
      <c r="G2" s="506"/>
      <c r="H2" s="65"/>
      <c r="I2" s="134"/>
      <c r="J2" s="134"/>
      <c r="K2" s="134"/>
      <c r="L2" s="135"/>
      <c r="M2" s="135"/>
      <c r="N2" s="67"/>
      <c r="O2" s="67"/>
      <c r="P2" s="67"/>
    </row>
    <row r="3" spans="1:16">
      <c r="A3" s="504" t="str">
        <f>J3</f>
        <v>Day 1-2</v>
      </c>
      <c r="B3" s="504"/>
      <c r="C3" s="507" t="str">
        <f>CONCATENATE(TEXT(I3,"[$-x-sysdate]dddd, mmmm dd, yyyy")," to ",TEXT(K3,"[$-x-sysdate]dddd, mmmm dd, yyyy"))</f>
        <v>Saturday, 10 April 2021 to Sunday, 11 April 2021</v>
      </c>
      <c r="D3" s="507"/>
      <c r="E3" s="507"/>
      <c r="F3" s="504" t="str">
        <f>A3</f>
        <v>Day 1-2</v>
      </c>
      <c r="G3" s="504"/>
      <c r="H3" s="65"/>
      <c r="I3" s="141">
        <f>Planning!B27</f>
        <v>44296</v>
      </c>
      <c r="J3" s="142" t="str">
        <f>_xlfn.CONCAT("Day 1-",L3)</f>
        <v>Day 1-2</v>
      </c>
      <c r="K3" s="143">
        <f>Planning!B27+Planning!B29-1</f>
        <v>44297</v>
      </c>
      <c r="L3" s="134">
        <f>K3-I3+1</f>
        <v>2</v>
      </c>
      <c r="M3" s="135"/>
      <c r="N3" s="67"/>
      <c r="O3" s="67"/>
      <c r="P3" s="67"/>
    </row>
    <row r="4" spans="1:16" ht="49.5" customHeight="1">
      <c r="A4" s="504" t="s">
        <v>929</v>
      </c>
      <c r="B4" s="504"/>
      <c r="C4" s="230" t="str">
        <f>'Schedule4-1P'!C4</f>
        <v>Mini team 1:ATM-5 / ATM-6 / ATM-7</v>
      </c>
      <c r="D4" s="230" t="str">
        <f>'Schedule4-1P'!D4</f>
        <v>Full team: ATM-1 / ATM-2 / ATM-3 / ATM-4 /ATM-5 / ATM-6 / ATM-7 / ATM-8</v>
      </c>
      <c r="E4" s="230" t="str">
        <f>'Schedule4-1P'!E4</f>
        <v>LA team: van Zyl, Pieter and ATMs if applicable</v>
      </c>
      <c r="F4" s="504" t="s">
        <v>930</v>
      </c>
      <c r="G4" s="504"/>
      <c r="H4" s="65"/>
      <c r="I4" s="141">
        <f>Planning!B30</f>
        <v>44298</v>
      </c>
      <c r="J4" s="142" t="str">
        <f>_xlfn.CONCAT("Day ",L4)</f>
        <v>Day 3</v>
      </c>
      <c r="K4" s="135"/>
      <c r="L4" s="144">
        <f>L3+1</f>
        <v>3</v>
      </c>
      <c r="M4" s="144"/>
      <c r="N4" s="69"/>
      <c r="O4" s="69"/>
      <c r="P4" s="69"/>
    </row>
    <row r="5" spans="1:16" ht="18" customHeight="1">
      <c r="A5" s="70">
        <v>0.41666666666666669</v>
      </c>
      <c r="B5" s="70">
        <v>0.45833333333333331</v>
      </c>
      <c r="C5" s="509" t="s">
        <v>931</v>
      </c>
      <c r="D5" s="509" t="s">
        <v>931</v>
      </c>
      <c r="E5" s="509" t="s">
        <v>932</v>
      </c>
      <c r="F5" s="70">
        <v>0.16666666666666666</v>
      </c>
      <c r="G5" s="70">
        <v>0.20833333333333331</v>
      </c>
      <c r="H5" s="65"/>
      <c r="I5" s="141">
        <f>I4+1</f>
        <v>44299</v>
      </c>
      <c r="J5" s="142" t="str">
        <f t="shared" ref="J5:J9" si="0">_xlfn.CONCAT("Day ",L5)</f>
        <v>Day 4</v>
      </c>
      <c r="K5" s="135"/>
      <c r="L5" s="144">
        <f t="shared" ref="L5:L9" si="1">L4+1</f>
        <v>4</v>
      </c>
      <c r="M5" s="144"/>
      <c r="N5" s="67"/>
      <c r="O5" s="67"/>
      <c r="P5" s="67"/>
    </row>
    <row r="6" spans="1:16" ht="18" customHeight="1">
      <c r="A6" s="70">
        <v>0.45833333333333298</v>
      </c>
      <c r="B6" s="70">
        <v>0.5</v>
      </c>
      <c r="C6" s="509"/>
      <c r="D6" s="509"/>
      <c r="E6" s="509"/>
      <c r="F6" s="70">
        <v>0.20833333333333331</v>
      </c>
      <c r="G6" s="70">
        <v>0.24999999999999997</v>
      </c>
      <c r="H6" s="65"/>
      <c r="I6" s="141">
        <f t="shared" ref="I6:I9" si="2">I5+1</f>
        <v>44300</v>
      </c>
      <c r="J6" s="142" t="str">
        <f t="shared" si="0"/>
        <v>Day 5</v>
      </c>
      <c r="K6" s="135"/>
      <c r="L6" s="144">
        <f t="shared" si="1"/>
        <v>5</v>
      </c>
      <c r="M6" s="135"/>
      <c r="N6" s="67"/>
      <c r="O6" s="67"/>
      <c r="P6" s="67"/>
    </row>
    <row r="7" spans="1:16" ht="18" customHeight="1">
      <c r="A7" s="70">
        <v>0.5</v>
      </c>
      <c r="B7" s="70">
        <v>0.54166666666666696</v>
      </c>
      <c r="C7" s="509"/>
      <c r="D7" s="509"/>
      <c r="E7" s="509"/>
      <c r="F7" s="70">
        <v>0.24999999999999997</v>
      </c>
      <c r="G7" s="70">
        <v>0.29166666666666663</v>
      </c>
      <c r="H7" s="65"/>
      <c r="I7" s="141">
        <f t="shared" si="2"/>
        <v>44301</v>
      </c>
      <c r="J7" s="142" t="str">
        <f t="shared" si="0"/>
        <v>Day 6</v>
      </c>
      <c r="K7" s="135"/>
      <c r="L7" s="144">
        <f t="shared" si="1"/>
        <v>6</v>
      </c>
      <c r="M7" s="135"/>
      <c r="N7" s="67"/>
      <c r="O7" s="67"/>
      <c r="P7" s="67"/>
    </row>
    <row r="8" spans="1:16" ht="18" customHeight="1">
      <c r="A8" s="70">
        <v>0.54166666666666696</v>
      </c>
      <c r="B8" s="70">
        <v>0.58333333333333404</v>
      </c>
      <c r="C8" s="509"/>
      <c r="D8" s="509"/>
      <c r="E8" s="509"/>
      <c r="F8" s="70">
        <v>0.29166666666666663</v>
      </c>
      <c r="G8" s="70">
        <v>0.33333333333333331</v>
      </c>
      <c r="H8" s="65"/>
      <c r="I8" s="141">
        <f t="shared" si="2"/>
        <v>44302</v>
      </c>
      <c r="J8" s="142" t="str">
        <f t="shared" si="0"/>
        <v>Day 7</v>
      </c>
      <c r="K8" s="135"/>
      <c r="L8" s="144">
        <f t="shared" si="1"/>
        <v>7</v>
      </c>
      <c r="M8" s="135"/>
      <c r="N8" s="67"/>
      <c r="O8" s="67"/>
      <c r="P8" s="67"/>
    </row>
    <row r="9" spans="1:16" ht="18" customHeight="1">
      <c r="A9" s="70">
        <v>0.58333333333333304</v>
      </c>
      <c r="B9" s="70">
        <v>0.625</v>
      </c>
      <c r="C9" s="509"/>
      <c r="D9" s="509"/>
      <c r="E9" s="509"/>
      <c r="F9" s="70">
        <v>0.33333333333333331</v>
      </c>
      <c r="G9" s="70">
        <v>0.375</v>
      </c>
      <c r="H9" s="65"/>
      <c r="I9" s="141">
        <f t="shared" si="2"/>
        <v>44303</v>
      </c>
      <c r="J9" s="142" t="str">
        <f t="shared" si="0"/>
        <v>Day 8</v>
      </c>
      <c r="K9" s="135"/>
      <c r="L9" s="144">
        <f t="shared" si="1"/>
        <v>8</v>
      </c>
      <c r="M9" s="135"/>
      <c r="N9" s="67"/>
      <c r="O9" s="67"/>
      <c r="P9" s="67"/>
    </row>
    <row r="10" spans="1:16" ht="18" customHeight="1">
      <c r="A10" s="70">
        <v>0.625</v>
      </c>
      <c r="B10" s="70">
        <v>0.66666666666666696</v>
      </c>
      <c r="C10" s="509"/>
      <c r="D10" s="509"/>
      <c r="E10" s="509"/>
      <c r="F10" s="70">
        <v>0.375</v>
      </c>
      <c r="G10" s="70">
        <v>0.41666666666666669</v>
      </c>
      <c r="H10" s="65"/>
      <c r="I10" s="143"/>
      <c r="J10" s="135"/>
      <c r="K10" s="135"/>
      <c r="L10" s="135"/>
      <c r="M10" s="135"/>
      <c r="N10" s="67"/>
      <c r="O10" s="67"/>
      <c r="P10" s="67"/>
    </row>
    <row r="11" spans="1:16" ht="18" customHeight="1">
      <c r="A11" s="70">
        <v>0.66666666666666696</v>
      </c>
      <c r="B11" s="70">
        <v>0.70833333333333337</v>
      </c>
      <c r="C11" s="509"/>
      <c r="D11" s="509"/>
      <c r="E11" s="509"/>
      <c r="F11" s="70">
        <v>0.41666666666666669</v>
      </c>
      <c r="G11" s="70">
        <v>0.45833333333333337</v>
      </c>
      <c r="H11" s="65"/>
      <c r="I11" s="134" t="s">
        <v>933</v>
      </c>
      <c r="J11" s="137" t="e">
        <f>_xlfn.CONCAT("Mini team 1:",I12," / ",I13," / ",I14)</f>
        <v>#REF!</v>
      </c>
      <c r="K11" s="138"/>
      <c r="L11" s="134" t="str">
        <f>'P1PA-SS'!B92</f>
        <v>ATM-1</v>
      </c>
      <c r="M11" s="137" t="str">
        <f>_xlfn.CONCAT("Full team: ",L11," / ",L12, " / ",L13," / ",L14," /",L15," / ",L16, " / ",L17," / ",L18)</f>
        <v>Full team: ATM-1 / ATM-2 / ATM-3 / ATM-4 /ATM-5 / ATM-6 / ATM-7 / ATM-8</v>
      </c>
      <c r="N11" s="67"/>
      <c r="O11" s="67"/>
      <c r="P11" s="67"/>
    </row>
    <row r="12" spans="1:16" ht="18" customHeight="1">
      <c r="A12" s="70">
        <v>0.70833333333333337</v>
      </c>
      <c r="B12" s="70">
        <v>0.75</v>
      </c>
      <c r="C12" s="509"/>
      <c r="D12" s="509"/>
      <c r="E12" s="509"/>
      <c r="F12" s="70">
        <v>0.45833333333333331</v>
      </c>
      <c r="G12" s="70">
        <v>0.5</v>
      </c>
      <c r="H12" s="65"/>
      <c r="I12" s="134" t="e">
        <f>'P1PA-SS'!#REF!</f>
        <v>#REF!</v>
      </c>
      <c r="J12" s="138"/>
      <c r="K12" s="138"/>
      <c r="L12" s="134" t="str">
        <f>'P1PA-SS'!B93</f>
        <v>ATM-2</v>
      </c>
      <c r="M12" s="138"/>
      <c r="N12" s="67"/>
      <c r="O12" s="67"/>
      <c r="P12" s="67"/>
    </row>
    <row r="13" spans="1:16" ht="18" customHeight="1">
      <c r="A13" s="70">
        <v>0.75</v>
      </c>
      <c r="B13" s="70">
        <v>0.79166666666666663</v>
      </c>
      <c r="C13" s="509"/>
      <c r="D13" s="509"/>
      <c r="E13" s="509"/>
      <c r="F13" s="70">
        <v>0.5</v>
      </c>
      <c r="G13" s="70">
        <v>0.54166666666666663</v>
      </c>
      <c r="H13" s="65"/>
      <c r="I13" s="134" t="str">
        <f>'P1PA-SS'!B96</f>
        <v>ATM-5</v>
      </c>
      <c r="K13" s="137"/>
      <c r="L13" s="134" t="str">
        <f>'P1PA-SS'!B94</f>
        <v>ATM-3</v>
      </c>
      <c r="M13" s="138"/>
      <c r="N13" s="67"/>
      <c r="O13" s="67"/>
      <c r="P13" s="67"/>
    </row>
    <row r="14" spans="1:16">
      <c r="I14" s="134"/>
      <c r="K14" s="43"/>
      <c r="L14" s="134" t="str">
        <f>'P1PA-SS'!B95</f>
        <v>ATM-4</v>
      </c>
      <c r="M14" s="138"/>
    </row>
    <row r="15" spans="1:16">
      <c r="A15" s="510" t="str">
        <f>CONCATENATE("Schedule above includes ",Planning!B28," non-working day(s).")</f>
        <v>Schedule above includes 0 non-working day(s).</v>
      </c>
      <c r="B15" s="510"/>
      <c r="C15" s="510"/>
      <c r="D15" s="510"/>
      <c r="E15" s="510"/>
      <c r="F15" s="510"/>
      <c r="G15" s="510"/>
      <c r="H15" s="65"/>
      <c r="K15" s="138"/>
      <c r="L15" s="134" t="str">
        <f>'P1PA-SS'!B96</f>
        <v>ATM-5</v>
      </c>
      <c r="M15" s="135"/>
      <c r="N15" s="67"/>
      <c r="O15" s="67"/>
      <c r="P15" s="67"/>
    </row>
    <row r="16" spans="1:16">
      <c r="A16" s="511" t="str">
        <f>J4</f>
        <v>Day 3</v>
      </c>
      <c r="B16" s="511"/>
      <c r="C16" s="512">
        <f>I4</f>
        <v>44298</v>
      </c>
      <c r="D16" s="512"/>
      <c r="E16" s="512"/>
      <c r="F16" s="511" t="str">
        <f>A16</f>
        <v>Day 3</v>
      </c>
      <c r="G16" s="511"/>
      <c r="H16" s="65"/>
      <c r="K16" s="138"/>
      <c r="L16" s="134" t="str">
        <f>'P1PA-SS'!B97</f>
        <v>ATM-6</v>
      </c>
      <c r="M16" s="135"/>
      <c r="N16" s="67"/>
      <c r="O16" s="67"/>
      <c r="P16" s="67"/>
    </row>
    <row r="17" spans="1:18" ht="28.8">
      <c r="A17" s="511" t="s">
        <v>929</v>
      </c>
      <c r="B17" s="511"/>
      <c r="C17" s="232" t="str">
        <f>C4</f>
        <v>Mini team 1:ATM-5 / ATM-6 / ATM-7</v>
      </c>
      <c r="D17" s="232" t="str">
        <f>D4</f>
        <v>Full team: ATM-1 / ATM-2 / ATM-3 / ATM-4 /ATM-5 / ATM-6 / ATM-7 / ATM-8</v>
      </c>
      <c r="E17" s="232" t="str">
        <f>E4</f>
        <v>LA team: van Zyl, Pieter and ATMs if applicable</v>
      </c>
      <c r="F17" s="511" t="s">
        <v>930</v>
      </c>
      <c r="G17" s="511"/>
      <c r="H17" s="65"/>
      <c r="K17" s="138"/>
      <c r="L17" s="134" t="str">
        <f>'P1PA-SS'!B98</f>
        <v>ATM-7</v>
      </c>
      <c r="M17" s="134"/>
      <c r="N17" s="67"/>
      <c r="O17" s="66"/>
      <c r="P17" s="67"/>
    </row>
    <row r="18" spans="1:18" ht="18.600000000000001" customHeight="1">
      <c r="A18" s="70">
        <v>0.41666666666666669</v>
      </c>
      <c r="B18" s="70">
        <v>0.4375</v>
      </c>
      <c r="C18" s="231" t="s">
        <v>934</v>
      </c>
      <c r="D18" s="231" t="s">
        <v>934</v>
      </c>
      <c r="E18" s="231" t="s">
        <v>935</v>
      </c>
      <c r="F18" s="70">
        <v>0.16666666666666666</v>
      </c>
      <c r="G18" s="70">
        <v>0.1875</v>
      </c>
      <c r="H18" s="65"/>
      <c r="I18" s="134"/>
      <c r="J18" s="135"/>
      <c r="K18" s="135"/>
      <c r="L18" s="134" t="str">
        <f>'P1PA-SS'!B99</f>
        <v>ATM-8</v>
      </c>
      <c r="M18" s="135"/>
      <c r="N18" s="67"/>
      <c r="O18" s="67"/>
      <c r="P18" s="67"/>
    </row>
    <row r="19" spans="1:18" ht="18.600000000000001" customHeight="1">
      <c r="A19" s="70">
        <v>0.4375</v>
      </c>
      <c r="B19" s="70">
        <v>0.45833333333333331</v>
      </c>
      <c r="C19" s="508" t="s">
        <v>984</v>
      </c>
      <c r="D19" s="508"/>
      <c r="E19" s="508"/>
      <c r="F19" s="70">
        <v>0.1875</v>
      </c>
      <c r="G19" s="70">
        <v>0.20833333333333334</v>
      </c>
      <c r="H19" s="65"/>
      <c r="I19" s="134"/>
      <c r="J19" s="135"/>
      <c r="K19" s="135"/>
      <c r="L19" s="135"/>
      <c r="M19" s="135"/>
      <c r="N19" s="67"/>
      <c r="O19" s="67"/>
      <c r="P19" s="67"/>
    </row>
    <row r="20" spans="1:18" ht="18.600000000000001" customHeight="1">
      <c r="A20" s="70">
        <v>0.45833333333333331</v>
      </c>
      <c r="B20" s="70">
        <v>0.47916666666666669</v>
      </c>
      <c r="C20" s="516" t="s">
        <v>985</v>
      </c>
      <c r="D20" s="516"/>
      <c r="E20" s="516"/>
      <c r="F20" s="70">
        <v>0.20833333333333334</v>
      </c>
      <c r="G20" s="70">
        <v>0.22916666666666666</v>
      </c>
      <c r="H20" s="65"/>
      <c r="I20" s="134"/>
      <c r="J20" s="135"/>
      <c r="K20" s="135"/>
      <c r="L20" s="135"/>
      <c r="M20" s="135"/>
      <c r="N20" s="67"/>
      <c r="O20" s="67"/>
      <c r="P20" s="67"/>
    </row>
    <row r="21" spans="1:18" ht="18.600000000000001" customHeight="1">
      <c r="A21" s="70">
        <v>0.47916666666666669</v>
      </c>
      <c r="B21" s="70">
        <v>0.5</v>
      </c>
      <c r="C21" s="516"/>
      <c r="D21" s="516"/>
      <c r="E21" s="516"/>
      <c r="F21" s="70">
        <v>0.22916666666666666</v>
      </c>
      <c r="G21" s="70">
        <v>0.25</v>
      </c>
      <c r="H21" s="65"/>
      <c r="I21" s="135"/>
      <c r="J21" s="135"/>
      <c r="K21" s="135"/>
      <c r="L21" s="135"/>
      <c r="M21" s="135"/>
      <c r="N21" s="67"/>
      <c r="O21" s="67"/>
      <c r="P21" s="67"/>
    </row>
    <row r="22" spans="1:18" ht="18.600000000000001" customHeight="1">
      <c r="A22" s="70">
        <v>0.5</v>
      </c>
      <c r="B22" s="70">
        <v>0.52083333333333337</v>
      </c>
      <c r="C22" s="509" t="s">
        <v>936</v>
      </c>
      <c r="D22" s="509"/>
      <c r="E22" s="509"/>
      <c r="F22" s="70">
        <v>0.25</v>
      </c>
      <c r="G22" s="70">
        <v>0.27083333333333331</v>
      </c>
      <c r="H22" s="65"/>
      <c r="I22" s="135"/>
      <c r="J22" s="135"/>
      <c r="K22" s="135"/>
      <c r="L22" s="135"/>
      <c r="M22" s="135"/>
      <c r="N22" s="67"/>
      <c r="O22" s="67"/>
      <c r="P22" s="67"/>
    </row>
    <row r="23" spans="1:18" ht="18.600000000000001" customHeight="1">
      <c r="A23" s="70">
        <v>0.52083333333333337</v>
      </c>
      <c r="B23" s="70">
        <v>0.54166666666666663</v>
      </c>
      <c r="C23" s="509"/>
      <c r="D23" s="509"/>
      <c r="E23" s="509"/>
      <c r="F23" s="70">
        <v>0.27083333333333331</v>
      </c>
      <c r="G23" s="70">
        <v>0.29166666666666669</v>
      </c>
      <c r="H23" s="65"/>
      <c r="I23" s="135"/>
      <c r="J23" s="135"/>
      <c r="K23" s="144"/>
      <c r="L23" s="144"/>
      <c r="M23" s="144"/>
      <c r="N23" s="69"/>
      <c r="O23" s="69"/>
      <c r="P23" s="69"/>
    </row>
    <row r="24" spans="1:18" ht="18.600000000000001" customHeight="1">
      <c r="A24" s="70">
        <v>0.54166666666666663</v>
      </c>
      <c r="B24" s="70">
        <v>0.5625</v>
      </c>
      <c r="C24" s="508" t="s">
        <v>986</v>
      </c>
      <c r="D24" s="508"/>
      <c r="E24" s="508"/>
      <c r="F24" s="70">
        <v>0.29166666666666669</v>
      </c>
      <c r="G24" s="70">
        <v>0.3125</v>
      </c>
      <c r="H24" s="65"/>
      <c r="I24" s="135"/>
      <c r="J24" s="135"/>
      <c r="K24" s="144"/>
      <c r="L24" s="144"/>
      <c r="M24" s="144"/>
      <c r="N24" s="67"/>
      <c r="O24" s="67"/>
      <c r="P24" s="67"/>
    </row>
    <row r="25" spans="1:18" ht="18.600000000000001" customHeight="1">
      <c r="A25" s="70">
        <v>0.5625</v>
      </c>
      <c r="B25" s="70">
        <v>0.58333333333333337</v>
      </c>
      <c r="C25" s="508"/>
      <c r="D25" s="508"/>
      <c r="E25" s="508"/>
      <c r="F25" s="70">
        <v>0.3125</v>
      </c>
      <c r="G25" s="70">
        <v>0.33333333333333331</v>
      </c>
      <c r="H25" s="65"/>
      <c r="I25" s="135"/>
      <c r="J25" s="135"/>
      <c r="K25" s="135"/>
      <c r="L25" s="135"/>
      <c r="M25" s="135"/>
      <c r="N25" s="67"/>
      <c r="O25" s="67"/>
      <c r="P25" s="67"/>
    </row>
    <row r="26" spans="1:18" ht="18.600000000000001" customHeight="1">
      <c r="A26" s="70">
        <v>0.58333333333333337</v>
      </c>
      <c r="B26" s="70">
        <v>0.60416666666666663</v>
      </c>
      <c r="C26" s="508"/>
      <c r="D26" s="508"/>
      <c r="E26" s="508"/>
      <c r="F26" s="70">
        <v>0.33333333333333331</v>
      </c>
      <c r="G26" s="70">
        <v>0.35416666666666669</v>
      </c>
      <c r="H26" s="65"/>
      <c r="I26" s="135"/>
      <c r="J26" s="135"/>
      <c r="K26" s="135"/>
      <c r="L26" s="135"/>
      <c r="M26" s="135"/>
      <c r="N26" s="67"/>
      <c r="O26" s="67"/>
      <c r="P26" s="67"/>
    </row>
    <row r="27" spans="1:18" ht="18.600000000000001" customHeight="1">
      <c r="A27" s="70">
        <v>0.60416666666666663</v>
      </c>
      <c r="B27" s="70">
        <v>0.625</v>
      </c>
      <c r="C27" s="508"/>
      <c r="D27" s="508"/>
      <c r="E27" s="508"/>
      <c r="F27" s="70">
        <v>0.35416666666666669</v>
      </c>
      <c r="G27" s="70">
        <v>0.375</v>
      </c>
      <c r="H27" s="65"/>
      <c r="I27" s="135"/>
      <c r="J27" s="135"/>
      <c r="K27" s="135"/>
      <c r="L27" s="135"/>
      <c r="M27" s="135"/>
      <c r="N27" s="67"/>
      <c r="O27" s="67"/>
      <c r="P27" s="67"/>
    </row>
    <row r="28" spans="1:18" ht="18.600000000000001" customHeight="1">
      <c r="A28" s="70">
        <v>0.625</v>
      </c>
      <c r="B28" s="70">
        <v>0.64583333333333337</v>
      </c>
      <c r="C28" s="509" t="s">
        <v>937</v>
      </c>
      <c r="D28" s="509"/>
      <c r="E28" s="509"/>
      <c r="F28" s="70">
        <v>0.375</v>
      </c>
      <c r="G28" s="70">
        <v>0.39583333333333331</v>
      </c>
      <c r="H28" s="65"/>
      <c r="I28" s="135"/>
      <c r="J28" s="135"/>
      <c r="K28" s="135"/>
      <c r="L28" s="135"/>
      <c r="M28" s="135"/>
      <c r="N28" s="67"/>
      <c r="O28" s="67"/>
      <c r="P28" s="67"/>
    </row>
    <row r="29" spans="1:18" ht="18.600000000000001" customHeight="1">
      <c r="A29" s="70">
        <v>0.64583333333333337</v>
      </c>
      <c r="B29" s="70">
        <v>0.66666666666666663</v>
      </c>
      <c r="C29" s="508" t="s">
        <v>986</v>
      </c>
      <c r="D29" s="508"/>
      <c r="E29" s="508"/>
      <c r="F29" s="70">
        <v>0.39583333333333331</v>
      </c>
      <c r="G29" s="70">
        <v>0.41666666666666669</v>
      </c>
      <c r="H29" s="65"/>
      <c r="I29" s="135"/>
      <c r="J29" s="135"/>
      <c r="K29" s="135"/>
      <c r="L29" s="135"/>
      <c r="M29" s="135"/>
      <c r="N29" s="67"/>
      <c r="O29" s="67"/>
      <c r="P29" s="67"/>
      <c r="R29" s="67"/>
    </row>
    <row r="30" spans="1:18" ht="18.600000000000001" customHeight="1">
      <c r="A30" s="70">
        <v>0.66666666666666663</v>
      </c>
      <c r="B30" s="70">
        <v>0.6875</v>
      </c>
      <c r="C30" s="508"/>
      <c r="D30" s="508"/>
      <c r="E30" s="508"/>
      <c r="F30" s="70">
        <v>0.41666666666666669</v>
      </c>
      <c r="G30" s="70">
        <v>0.4375</v>
      </c>
      <c r="H30" s="65"/>
      <c r="I30" s="135"/>
      <c r="J30" s="135"/>
      <c r="K30" s="135"/>
      <c r="L30" s="135"/>
      <c r="M30" s="135"/>
      <c r="N30" s="67"/>
      <c r="O30" s="67"/>
      <c r="P30" s="67"/>
      <c r="R30" s="73"/>
    </row>
    <row r="31" spans="1:18" ht="18.600000000000001" customHeight="1">
      <c r="A31" s="70">
        <v>0.6875</v>
      </c>
      <c r="B31" s="70">
        <v>0.70833333333333337</v>
      </c>
      <c r="C31" s="508"/>
      <c r="D31" s="508"/>
      <c r="E31" s="508"/>
      <c r="F31" s="70">
        <v>0.4375</v>
      </c>
      <c r="G31" s="70">
        <v>0.45833333333333331</v>
      </c>
      <c r="H31" s="65"/>
      <c r="I31" s="135"/>
      <c r="J31" s="135"/>
      <c r="K31" s="135"/>
      <c r="L31" s="135"/>
      <c r="M31" s="135"/>
      <c r="N31" s="67"/>
      <c r="O31" s="67"/>
      <c r="P31" s="67"/>
    </row>
    <row r="32" spans="1:18" ht="18.600000000000001" customHeight="1">
      <c r="A32" s="70">
        <v>0.70833333333333337</v>
      </c>
      <c r="B32" s="70">
        <v>0.72916666666666663</v>
      </c>
      <c r="C32" s="508"/>
      <c r="D32" s="508"/>
      <c r="E32" s="508"/>
      <c r="F32" s="70">
        <v>0.45833333333333331</v>
      </c>
      <c r="G32" s="70">
        <v>0.47916666666666669</v>
      </c>
      <c r="H32" s="65"/>
      <c r="I32" s="135"/>
      <c r="J32" s="135"/>
      <c r="K32" s="135"/>
      <c r="L32" s="135"/>
      <c r="M32" s="135"/>
      <c r="N32" s="67"/>
      <c r="O32" s="67"/>
      <c r="P32" s="67"/>
    </row>
    <row r="33" spans="1:16" ht="18.600000000000001" customHeight="1">
      <c r="A33" s="70">
        <v>0.72916666666666663</v>
      </c>
      <c r="B33" s="70">
        <v>0.75</v>
      </c>
      <c r="C33" s="509" t="s">
        <v>1122</v>
      </c>
      <c r="D33" s="509"/>
      <c r="E33" s="509"/>
      <c r="F33" s="70">
        <v>0.47916666666666669</v>
      </c>
      <c r="G33" s="70">
        <v>0.5</v>
      </c>
      <c r="H33" s="65"/>
      <c r="I33" s="135"/>
      <c r="J33" s="135"/>
      <c r="K33" s="135"/>
      <c r="L33" s="135"/>
      <c r="M33" s="135"/>
      <c r="N33" s="67"/>
      <c r="O33" s="67"/>
      <c r="P33" s="67"/>
    </row>
    <row r="34" spans="1:16" ht="18.600000000000001" customHeight="1">
      <c r="A34" s="70">
        <v>0.75</v>
      </c>
      <c r="B34" s="70">
        <v>0.83333333333333337</v>
      </c>
      <c r="C34" s="509" t="s">
        <v>938</v>
      </c>
      <c r="D34" s="509"/>
      <c r="E34" s="509"/>
      <c r="F34" s="70">
        <v>0.5</v>
      </c>
      <c r="G34" s="70">
        <v>0.58333333333333337</v>
      </c>
      <c r="H34" s="65"/>
      <c r="I34" s="135"/>
      <c r="J34" s="135"/>
      <c r="K34" s="135"/>
      <c r="L34" s="135"/>
      <c r="M34" s="135"/>
      <c r="N34" s="67"/>
      <c r="O34" s="67"/>
      <c r="P34" s="67"/>
    </row>
    <row r="35" spans="1:16">
      <c r="A35" s="511" t="str">
        <f>J5</f>
        <v>Day 4</v>
      </c>
      <c r="B35" s="511"/>
      <c r="C35" s="512">
        <f>I5</f>
        <v>44299</v>
      </c>
      <c r="D35" s="512"/>
      <c r="E35" s="512"/>
      <c r="F35" s="511" t="str">
        <f>A35</f>
        <v>Day 4</v>
      </c>
      <c r="G35" s="511"/>
      <c r="H35" s="74"/>
    </row>
    <row r="36" spans="1:16" ht="28.8">
      <c r="A36" s="511" t="s">
        <v>929</v>
      </c>
      <c r="B36" s="511"/>
      <c r="C36" s="232" t="str">
        <f>C17</f>
        <v>Mini team 1:ATM-5 / ATM-6 / ATM-7</v>
      </c>
      <c r="D36" s="232" t="str">
        <f>D17</f>
        <v>Full team: ATM-1 / ATM-2 / ATM-3 / ATM-4 /ATM-5 / ATM-6 / ATM-7 / ATM-8</v>
      </c>
      <c r="E36" s="232" t="str">
        <f>E17</f>
        <v>LA team: van Zyl, Pieter and ATMs if applicable</v>
      </c>
      <c r="F36" s="511" t="s">
        <v>930</v>
      </c>
      <c r="G36" s="511"/>
      <c r="H36" s="74"/>
    </row>
    <row r="37" spans="1:16" ht="18" customHeight="1">
      <c r="A37" s="70">
        <v>0.41666666666666669</v>
      </c>
      <c r="B37" s="70">
        <v>0.4375</v>
      </c>
      <c r="C37" s="509" t="s">
        <v>937</v>
      </c>
      <c r="D37" s="509"/>
      <c r="E37" s="231" t="s">
        <v>935</v>
      </c>
      <c r="F37" s="70">
        <v>0.16666666666666666</v>
      </c>
      <c r="G37" s="70">
        <v>0.1875</v>
      </c>
      <c r="H37" s="74"/>
    </row>
    <row r="38" spans="1:16" ht="18" customHeight="1">
      <c r="A38" s="70">
        <v>0.4375</v>
      </c>
      <c r="B38" s="70">
        <v>0.45833333333333331</v>
      </c>
      <c r="C38" s="508" t="s">
        <v>987</v>
      </c>
      <c r="D38" s="508"/>
      <c r="E38" s="508"/>
      <c r="F38" s="70">
        <v>0.1875</v>
      </c>
      <c r="G38" s="70">
        <v>0.20833333333333334</v>
      </c>
      <c r="H38" s="74"/>
    </row>
    <row r="39" spans="1:16" ht="18" customHeight="1">
      <c r="A39" s="70">
        <v>0.45833333333333331</v>
      </c>
      <c r="B39" s="70">
        <v>0.47916666666666669</v>
      </c>
      <c r="C39" s="508"/>
      <c r="D39" s="508"/>
      <c r="E39" s="508"/>
      <c r="F39" s="70">
        <v>0.20833333333333334</v>
      </c>
      <c r="G39" s="70">
        <v>0.22916666666666666</v>
      </c>
      <c r="H39" s="74"/>
    </row>
    <row r="40" spans="1:16" ht="18" customHeight="1">
      <c r="A40" s="70">
        <v>0.47916666666666669</v>
      </c>
      <c r="B40" s="70">
        <v>0.5</v>
      </c>
      <c r="C40" s="508"/>
      <c r="D40" s="508"/>
      <c r="E40" s="508"/>
      <c r="F40" s="70">
        <v>0.22916666666666666</v>
      </c>
      <c r="G40" s="70">
        <v>0.25</v>
      </c>
      <c r="H40" s="74"/>
    </row>
    <row r="41" spans="1:16" ht="18" customHeight="1">
      <c r="A41" s="70">
        <v>0.5</v>
      </c>
      <c r="B41" s="70">
        <v>0.52083333333333337</v>
      </c>
      <c r="C41" s="509" t="s">
        <v>936</v>
      </c>
      <c r="D41" s="509"/>
      <c r="E41" s="509"/>
      <c r="F41" s="70">
        <v>0.25</v>
      </c>
      <c r="G41" s="70">
        <v>0.27083333333333331</v>
      </c>
      <c r="H41" s="74"/>
    </row>
    <row r="42" spans="1:16" ht="18" customHeight="1">
      <c r="A42" s="70">
        <v>0.52083333333333337</v>
      </c>
      <c r="B42" s="70">
        <v>0.54166666666666663</v>
      </c>
      <c r="C42" s="509"/>
      <c r="D42" s="509"/>
      <c r="E42" s="509"/>
      <c r="F42" s="70">
        <v>0.27083333333333331</v>
      </c>
      <c r="G42" s="70">
        <v>0.29166666666666669</v>
      </c>
      <c r="H42" s="74"/>
    </row>
    <row r="43" spans="1:16" ht="18" customHeight="1">
      <c r="A43" s="70">
        <v>0.54166666666666663</v>
      </c>
      <c r="B43" s="70">
        <v>0.5625</v>
      </c>
      <c r="C43" s="508" t="s">
        <v>987</v>
      </c>
      <c r="D43" s="508"/>
      <c r="E43" s="508"/>
      <c r="F43" s="70">
        <v>0.29166666666666669</v>
      </c>
      <c r="G43" s="70">
        <v>0.3125</v>
      </c>
      <c r="H43" s="74"/>
    </row>
    <row r="44" spans="1:16" ht="18" customHeight="1">
      <c r="A44" s="70">
        <v>0.5625</v>
      </c>
      <c r="B44" s="70">
        <v>0.58333333333333337</v>
      </c>
      <c r="C44" s="508"/>
      <c r="D44" s="508"/>
      <c r="E44" s="508"/>
      <c r="F44" s="70">
        <v>0.3125</v>
      </c>
      <c r="G44" s="70">
        <v>0.33333333333333331</v>
      </c>
      <c r="H44" s="74"/>
    </row>
    <row r="45" spans="1:16" ht="18" customHeight="1">
      <c r="A45" s="70">
        <v>0.58333333333333337</v>
      </c>
      <c r="B45" s="70">
        <v>0.60416666666666663</v>
      </c>
      <c r="C45" s="508"/>
      <c r="D45" s="508"/>
      <c r="E45" s="508"/>
      <c r="F45" s="70">
        <v>0.33333333333333331</v>
      </c>
      <c r="G45" s="70">
        <v>0.35416666666666669</v>
      </c>
      <c r="H45" s="74"/>
    </row>
    <row r="46" spans="1:16" ht="18" customHeight="1">
      <c r="A46" s="70">
        <v>0.60416666666666663</v>
      </c>
      <c r="B46" s="70">
        <v>0.625</v>
      </c>
      <c r="C46" s="508"/>
      <c r="D46" s="508"/>
      <c r="E46" s="508"/>
      <c r="F46" s="70">
        <v>0.35416666666666669</v>
      </c>
      <c r="G46" s="70">
        <v>0.375</v>
      </c>
      <c r="H46" s="74"/>
    </row>
    <row r="47" spans="1:16" ht="18" customHeight="1">
      <c r="A47" s="70">
        <v>0.625</v>
      </c>
      <c r="B47" s="70">
        <v>0.64583333333333337</v>
      </c>
      <c r="C47" s="508"/>
      <c r="D47" s="508"/>
      <c r="E47" s="508"/>
      <c r="F47" s="70">
        <v>0.375</v>
      </c>
      <c r="G47" s="70">
        <v>0.39583333333333331</v>
      </c>
      <c r="H47" s="74"/>
    </row>
    <row r="48" spans="1:16" ht="18" customHeight="1">
      <c r="A48" s="70">
        <v>0.64583333333333337</v>
      </c>
      <c r="B48" s="70">
        <v>0.66666666666666663</v>
      </c>
      <c r="C48" s="509" t="s">
        <v>937</v>
      </c>
      <c r="D48" s="509"/>
      <c r="E48" s="509" t="s">
        <v>935</v>
      </c>
      <c r="F48" s="70">
        <v>0.39583333333333331</v>
      </c>
      <c r="G48" s="70">
        <v>0.41666666666666669</v>
      </c>
      <c r="H48" s="74"/>
    </row>
    <row r="49" spans="1:8" ht="18" customHeight="1">
      <c r="A49" s="70">
        <v>0.66666666666666663</v>
      </c>
      <c r="B49" s="70">
        <v>0.6875</v>
      </c>
      <c r="C49" s="509"/>
      <c r="D49" s="509"/>
      <c r="E49" s="509"/>
      <c r="F49" s="70">
        <v>0.41666666666666669</v>
      </c>
      <c r="G49" s="70">
        <v>0.4375</v>
      </c>
      <c r="H49" s="74"/>
    </row>
    <row r="50" spans="1:8" ht="18" customHeight="1">
      <c r="A50" s="70">
        <v>0.6875</v>
      </c>
      <c r="B50" s="70">
        <v>0.70833333333333337</v>
      </c>
      <c r="C50" s="508" t="s">
        <v>988</v>
      </c>
      <c r="D50" s="508"/>
      <c r="E50" s="508"/>
      <c r="F50" s="70">
        <v>0.4375</v>
      </c>
      <c r="G50" s="70">
        <v>0.45833333333333331</v>
      </c>
      <c r="H50" s="74"/>
    </row>
    <row r="51" spans="1:8" ht="18" customHeight="1">
      <c r="A51" s="70">
        <v>0.70833333333333337</v>
      </c>
      <c r="B51" s="70">
        <v>0.72916666666666663</v>
      </c>
      <c r="C51" s="508"/>
      <c r="D51" s="508"/>
      <c r="E51" s="508"/>
      <c r="F51" s="70">
        <v>0.45833333333333331</v>
      </c>
      <c r="G51" s="70">
        <v>0.47916666666666669</v>
      </c>
      <c r="H51" s="74"/>
    </row>
    <row r="52" spans="1:8" ht="18" customHeight="1">
      <c r="A52" s="70">
        <v>0.72916666666666663</v>
      </c>
      <c r="B52" s="70">
        <v>0.75</v>
      </c>
      <c r="C52" s="509" t="s">
        <v>1122</v>
      </c>
      <c r="D52" s="509"/>
      <c r="E52" s="509"/>
      <c r="F52" s="70">
        <v>0.47916666666666669</v>
      </c>
      <c r="G52" s="70">
        <v>0.5</v>
      </c>
      <c r="H52" s="74"/>
    </row>
    <row r="53" spans="1:8" ht="18" customHeight="1">
      <c r="A53" s="70">
        <v>0.75</v>
      </c>
      <c r="B53" s="70">
        <v>0.83333333333333337</v>
      </c>
      <c r="C53" s="509" t="s">
        <v>938</v>
      </c>
      <c r="D53" s="509"/>
      <c r="E53" s="509"/>
      <c r="F53" s="70">
        <v>0.5</v>
      </c>
      <c r="G53" s="70">
        <v>0.58333333333333337</v>
      </c>
      <c r="H53" s="74"/>
    </row>
    <row r="54" spans="1:8">
      <c r="A54" s="504" t="str">
        <f>J6</f>
        <v>Day 5</v>
      </c>
      <c r="B54" s="504"/>
      <c r="C54" s="507">
        <f>I6</f>
        <v>44300</v>
      </c>
      <c r="D54" s="507"/>
      <c r="E54" s="507"/>
      <c r="F54" s="504" t="str">
        <f>A54</f>
        <v>Day 5</v>
      </c>
      <c r="G54" s="504"/>
      <c r="H54" s="74"/>
    </row>
    <row r="55" spans="1:8" ht="28.8">
      <c r="A55" s="504" t="s">
        <v>929</v>
      </c>
      <c r="B55" s="504"/>
      <c r="C55" s="230" t="str">
        <f>C36</f>
        <v>Mini team 1:ATM-5 / ATM-6 / ATM-7</v>
      </c>
      <c r="D55" s="230" t="str">
        <f>D36</f>
        <v>Full team: ATM-1 / ATM-2 / ATM-3 / ATM-4 /ATM-5 / ATM-6 / ATM-7 / ATM-8</v>
      </c>
      <c r="E55" s="230" t="str">
        <f>E36</f>
        <v>LA team: van Zyl, Pieter and ATMs if applicable</v>
      </c>
      <c r="F55" s="504" t="s">
        <v>930</v>
      </c>
      <c r="G55" s="504"/>
      <c r="H55" s="74"/>
    </row>
    <row r="56" spans="1:8" ht="18" customHeight="1">
      <c r="A56" s="70">
        <v>0.41666666666666669</v>
      </c>
      <c r="B56" s="70">
        <v>0.4375</v>
      </c>
      <c r="C56" s="509" t="s">
        <v>939</v>
      </c>
      <c r="D56" s="509"/>
      <c r="E56" s="231" t="s">
        <v>935</v>
      </c>
      <c r="F56" s="70">
        <v>0.16666666666666666</v>
      </c>
      <c r="G56" s="70">
        <v>0.1875</v>
      </c>
      <c r="H56" s="74"/>
    </row>
    <row r="57" spans="1:8" ht="18" customHeight="1">
      <c r="A57" s="70">
        <v>0.4375</v>
      </c>
      <c r="B57" s="70">
        <v>0.45833333333333331</v>
      </c>
      <c r="C57" s="508" t="s">
        <v>989</v>
      </c>
      <c r="D57" s="508"/>
      <c r="E57" s="508"/>
      <c r="F57" s="70">
        <v>0.1875</v>
      </c>
      <c r="G57" s="70">
        <v>0.20833333333333334</v>
      </c>
      <c r="H57" s="74"/>
    </row>
    <row r="58" spans="1:8" ht="18" customHeight="1">
      <c r="A58" s="70">
        <v>0.45833333333333331</v>
      </c>
      <c r="B58" s="70">
        <v>0.47916666666666669</v>
      </c>
      <c r="C58" s="508"/>
      <c r="D58" s="508"/>
      <c r="E58" s="508"/>
      <c r="F58" s="70">
        <v>0.20833333333333334</v>
      </c>
      <c r="G58" s="70">
        <v>0.22916666666666666</v>
      </c>
      <c r="H58" s="74"/>
    </row>
    <row r="59" spans="1:8" ht="18" customHeight="1">
      <c r="A59" s="70">
        <v>0.47916666666666669</v>
      </c>
      <c r="B59" s="70">
        <v>0.5</v>
      </c>
      <c r="C59" s="508"/>
      <c r="D59" s="508"/>
      <c r="E59" s="508"/>
      <c r="F59" s="70">
        <v>0.22916666666666666</v>
      </c>
      <c r="G59" s="70">
        <v>0.25</v>
      </c>
      <c r="H59" s="74"/>
    </row>
    <row r="60" spans="1:8" ht="18" customHeight="1">
      <c r="A60" s="70">
        <v>0.5</v>
      </c>
      <c r="B60" s="70">
        <v>0.52083333333333337</v>
      </c>
      <c r="C60" s="509" t="s">
        <v>936</v>
      </c>
      <c r="D60" s="509"/>
      <c r="E60" s="509"/>
      <c r="F60" s="70">
        <v>0.25</v>
      </c>
      <c r="G60" s="70">
        <v>0.27083333333333331</v>
      </c>
      <c r="H60" s="74"/>
    </row>
    <row r="61" spans="1:8" ht="18" customHeight="1">
      <c r="A61" s="70">
        <v>0.52083333333333337</v>
      </c>
      <c r="B61" s="70">
        <v>0.54166666666666663</v>
      </c>
      <c r="C61" s="509"/>
      <c r="D61" s="509"/>
      <c r="E61" s="509"/>
      <c r="F61" s="70">
        <v>0.27083333333333331</v>
      </c>
      <c r="G61" s="70">
        <v>0.29166666666666669</v>
      </c>
      <c r="H61" s="74"/>
    </row>
    <row r="62" spans="1:8" ht="18" customHeight="1">
      <c r="A62" s="70">
        <v>0.54166666666666663</v>
      </c>
      <c r="B62" s="70">
        <v>0.5625</v>
      </c>
      <c r="C62" s="508" t="s">
        <v>989</v>
      </c>
      <c r="D62" s="508"/>
      <c r="E62" s="508"/>
      <c r="F62" s="70">
        <v>0.29166666666666669</v>
      </c>
      <c r="G62" s="70">
        <v>0.3125</v>
      </c>
      <c r="H62" s="74"/>
    </row>
    <row r="63" spans="1:8" ht="18" customHeight="1">
      <c r="A63" s="70">
        <v>0.5625</v>
      </c>
      <c r="B63" s="70">
        <v>0.58333333333333337</v>
      </c>
      <c r="C63" s="508"/>
      <c r="D63" s="508"/>
      <c r="E63" s="508"/>
      <c r="F63" s="70">
        <v>0.3125</v>
      </c>
      <c r="G63" s="70">
        <v>0.33333333333333331</v>
      </c>
      <c r="H63" s="74"/>
    </row>
    <row r="64" spans="1:8" ht="18" customHeight="1">
      <c r="A64" s="70">
        <v>0.58333333333333337</v>
      </c>
      <c r="B64" s="70">
        <v>0.60416666666666663</v>
      </c>
      <c r="C64" s="508"/>
      <c r="D64" s="508"/>
      <c r="E64" s="508"/>
      <c r="F64" s="70">
        <v>0.33333333333333331</v>
      </c>
      <c r="G64" s="70">
        <v>0.35416666666666669</v>
      </c>
      <c r="H64" s="74"/>
    </row>
    <row r="65" spans="1:8" ht="18" customHeight="1">
      <c r="A65" s="70">
        <v>0.60416666666666663</v>
      </c>
      <c r="B65" s="70">
        <v>0.625</v>
      </c>
      <c r="C65" s="508"/>
      <c r="D65" s="508"/>
      <c r="E65" s="508"/>
      <c r="F65" s="70">
        <v>0.35416666666666669</v>
      </c>
      <c r="G65" s="70">
        <v>0.375</v>
      </c>
      <c r="H65" s="74"/>
    </row>
    <row r="66" spans="1:8" ht="18" customHeight="1">
      <c r="A66" s="70">
        <v>0.625</v>
      </c>
      <c r="B66" s="70">
        <v>0.64583333333333337</v>
      </c>
      <c r="C66" s="508"/>
      <c r="D66" s="508"/>
      <c r="E66" s="508"/>
      <c r="F66" s="70">
        <v>0.375</v>
      </c>
      <c r="G66" s="70">
        <v>0.39583333333333331</v>
      </c>
      <c r="H66" s="74"/>
    </row>
    <row r="67" spans="1:8" ht="18" customHeight="1">
      <c r="A67" s="70">
        <v>0.64583333333333337</v>
      </c>
      <c r="B67" s="70">
        <v>0.66666666666666663</v>
      </c>
      <c r="C67" s="508"/>
      <c r="D67" s="508"/>
      <c r="E67" s="508"/>
      <c r="F67" s="70">
        <v>0.39583333333333331</v>
      </c>
      <c r="G67" s="70">
        <v>0.41666666666666669</v>
      </c>
      <c r="H67" s="74"/>
    </row>
    <row r="68" spans="1:8" ht="18" customHeight="1">
      <c r="A68" s="70">
        <v>0.66666666666666663</v>
      </c>
      <c r="B68" s="70">
        <v>0.6875</v>
      </c>
      <c r="C68" s="509" t="s">
        <v>937</v>
      </c>
      <c r="D68" s="509"/>
      <c r="E68" s="509"/>
      <c r="F68" s="70">
        <v>0.41666666666666669</v>
      </c>
      <c r="G68" s="70">
        <v>0.4375</v>
      </c>
      <c r="H68" s="74"/>
    </row>
    <row r="69" spans="1:8" ht="18" customHeight="1">
      <c r="A69" s="70">
        <v>0.6875</v>
      </c>
      <c r="B69" s="70">
        <v>0.70833333333333337</v>
      </c>
      <c r="C69" s="508" t="s">
        <v>990</v>
      </c>
      <c r="D69" s="508"/>
      <c r="E69" s="508"/>
      <c r="F69" s="70">
        <v>0.4375</v>
      </c>
      <c r="G69" s="70">
        <v>0.45833333333333331</v>
      </c>
      <c r="H69" s="74"/>
    </row>
    <row r="70" spans="1:8" ht="18" customHeight="1">
      <c r="A70" s="70">
        <v>0.70833333333333337</v>
      </c>
      <c r="B70" s="70">
        <v>0.72916666666666663</v>
      </c>
      <c r="C70" s="508"/>
      <c r="D70" s="508"/>
      <c r="E70" s="508"/>
      <c r="F70" s="70">
        <v>0.45833333333333331</v>
      </c>
      <c r="G70" s="70">
        <v>0.47916666666666669</v>
      </c>
      <c r="H70" s="74"/>
    </row>
    <row r="71" spans="1:8" ht="18" customHeight="1">
      <c r="A71" s="70">
        <v>0.72916666666666663</v>
      </c>
      <c r="B71" s="70">
        <v>0.75</v>
      </c>
      <c r="C71" s="539" t="s">
        <v>1121</v>
      </c>
      <c r="D71" s="540"/>
      <c r="E71" s="541"/>
      <c r="F71" s="70">
        <v>0.47916666666666669</v>
      </c>
      <c r="G71" s="70">
        <v>0.5</v>
      </c>
      <c r="H71" s="74"/>
    </row>
    <row r="72" spans="1:8" ht="18" customHeight="1">
      <c r="A72" s="70">
        <v>0.75</v>
      </c>
      <c r="B72" s="70">
        <v>0.83333333333333337</v>
      </c>
      <c r="C72" s="542"/>
      <c r="D72" s="543"/>
      <c r="E72" s="544"/>
      <c r="F72" s="70">
        <v>0.5</v>
      </c>
      <c r="G72" s="70">
        <v>0.58333333333333337</v>
      </c>
      <c r="H72" s="74"/>
    </row>
    <row r="73" spans="1:8">
      <c r="A73" s="504" t="str">
        <f>J7</f>
        <v>Day 6</v>
      </c>
      <c r="B73" s="504"/>
      <c r="C73" s="507">
        <f>I7</f>
        <v>44301</v>
      </c>
      <c r="D73" s="507"/>
      <c r="E73" s="507"/>
      <c r="F73" s="504" t="str">
        <f>A73</f>
        <v>Day 6</v>
      </c>
      <c r="G73" s="504"/>
      <c r="H73" s="74"/>
    </row>
    <row r="74" spans="1:8" ht="28.8">
      <c r="A74" s="504" t="s">
        <v>929</v>
      </c>
      <c r="B74" s="504"/>
      <c r="C74" s="230" t="str">
        <f>C55</f>
        <v>Mini team 1:ATM-5 / ATM-6 / ATM-7</v>
      </c>
      <c r="D74" s="230" t="str">
        <f>D55</f>
        <v>Full team: ATM-1 / ATM-2 / ATM-3 / ATM-4 /ATM-5 / ATM-6 / ATM-7 / ATM-8</v>
      </c>
      <c r="E74" s="230" t="str">
        <f>E55</f>
        <v>LA team: van Zyl, Pieter and ATMs if applicable</v>
      </c>
      <c r="F74" s="504" t="s">
        <v>930</v>
      </c>
      <c r="G74" s="504"/>
      <c r="H74" s="74"/>
    </row>
    <row r="75" spans="1:8" ht="18" customHeight="1">
      <c r="A75" s="70">
        <v>0.41666666666666669</v>
      </c>
      <c r="B75" s="70">
        <v>0.4375</v>
      </c>
      <c r="C75" s="509" t="s">
        <v>937</v>
      </c>
      <c r="D75" s="509"/>
      <c r="E75" s="509"/>
      <c r="F75" s="70">
        <v>0.16666666666666666</v>
      </c>
      <c r="G75" s="70">
        <v>0.1875</v>
      </c>
      <c r="H75" s="74"/>
    </row>
    <row r="76" spans="1:8" ht="18" customHeight="1">
      <c r="A76" s="70">
        <v>0.4375</v>
      </c>
      <c r="B76" s="70">
        <v>0.45833333333333331</v>
      </c>
      <c r="C76" s="508" t="s">
        <v>991</v>
      </c>
      <c r="D76" s="508"/>
      <c r="E76" s="508"/>
      <c r="F76" s="70">
        <v>0.1875</v>
      </c>
      <c r="G76" s="70">
        <v>0.20833333333333334</v>
      </c>
      <c r="H76" s="74"/>
    </row>
    <row r="77" spans="1:8" ht="18" customHeight="1">
      <c r="A77" s="70">
        <v>0.45833333333333331</v>
      </c>
      <c r="B77" s="70">
        <v>0.47916666666666669</v>
      </c>
      <c r="C77" s="508"/>
      <c r="D77" s="508"/>
      <c r="E77" s="508"/>
      <c r="F77" s="70">
        <v>0.20833333333333334</v>
      </c>
      <c r="G77" s="70">
        <v>0.22916666666666666</v>
      </c>
      <c r="H77" s="74"/>
    </row>
    <row r="78" spans="1:8" ht="18" customHeight="1">
      <c r="A78" s="70">
        <v>0.47916666666666669</v>
      </c>
      <c r="B78" s="70">
        <v>0.5</v>
      </c>
      <c r="C78" s="509" t="s">
        <v>937</v>
      </c>
      <c r="D78" s="509"/>
      <c r="E78" s="509"/>
      <c r="F78" s="70">
        <v>0.22916666666666666</v>
      </c>
      <c r="G78" s="70">
        <v>0.25</v>
      </c>
      <c r="H78" s="74"/>
    </row>
    <row r="79" spans="1:8" ht="18" customHeight="1">
      <c r="A79" s="70">
        <v>0.5</v>
      </c>
      <c r="B79" s="70">
        <v>0.52083333333333337</v>
      </c>
      <c r="C79" s="509" t="s">
        <v>936</v>
      </c>
      <c r="D79" s="509"/>
      <c r="E79" s="509"/>
      <c r="F79" s="70">
        <v>0.25</v>
      </c>
      <c r="G79" s="70">
        <v>0.27083333333333331</v>
      </c>
      <c r="H79" s="74"/>
    </row>
    <row r="80" spans="1:8" ht="18" customHeight="1">
      <c r="A80" s="70">
        <v>0.52083333333333337</v>
      </c>
      <c r="B80" s="70">
        <v>0.54166666666666663</v>
      </c>
      <c r="C80" s="509"/>
      <c r="D80" s="509"/>
      <c r="E80" s="509"/>
      <c r="F80" s="70">
        <v>0.27083333333333331</v>
      </c>
      <c r="G80" s="70">
        <v>0.29166666666666669</v>
      </c>
      <c r="H80" s="74"/>
    </row>
    <row r="81" spans="1:8" ht="18" customHeight="1">
      <c r="A81" s="70">
        <v>0.54166666666666663</v>
      </c>
      <c r="B81" s="70">
        <v>0.5625</v>
      </c>
      <c r="C81" s="539" t="s">
        <v>1121</v>
      </c>
      <c r="D81" s="540"/>
      <c r="E81" s="541"/>
      <c r="F81" s="70">
        <v>0.29166666666666669</v>
      </c>
      <c r="G81" s="70">
        <v>0.3125</v>
      </c>
      <c r="H81" s="74"/>
    </row>
    <row r="82" spans="1:8" ht="18" customHeight="1">
      <c r="A82" s="70">
        <v>0.5625</v>
      </c>
      <c r="B82" s="70">
        <v>0.58333333333333337</v>
      </c>
      <c r="C82" s="542"/>
      <c r="D82" s="543"/>
      <c r="E82" s="544"/>
      <c r="F82" s="70">
        <v>0.3125</v>
      </c>
      <c r="G82" s="70">
        <v>0.33333333333333331</v>
      </c>
      <c r="H82" s="74"/>
    </row>
    <row r="83" spans="1:8" ht="18" customHeight="1">
      <c r="A83" s="70">
        <v>0.58333333333333337</v>
      </c>
      <c r="B83" s="70">
        <v>0.60416666666666663</v>
      </c>
      <c r="C83" s="533" t="s">
        <v>940</v>
      </c>
      <c r="D83" s="534"/>
      <c r="E83" s="535"/>
      <c r="F83" s="70">
        <v>0.33333333333333331</v>
      </c>
      <c r="G83" s="70">
        <v>0.35416666666666669</v>
      </c>
      <c r="H83" s="74"/>
    </row>
    <row r="84" spans="1:8" ht="18" customHeight="1">
      <c r="A84" s="70">
        <v>0.60416666666666663</v>
      </c>
      <c r="B84" s="70">
        <v>0.625</v>
      </c>
      <c r="C84" s="536"/>
      <c r="D84" s="537"/>
      <c r="E84" s="538"/>
      <c r="F84" s="70">
        <v>0.35416666666666669</v>
      </c>
      <c r="G84" s="70">
        <v>0.375</v>
      </c>
      <c r="H84" s="74"/>
    </row>
    <row r="85" spans="1:8" ht="18" customHeight="1">
      <c r="A85" s="70">
        <v>0.625</v>
      </c>
      <c r="B85" s="70">
        <v>0.64583333333333337</v>
      </c>
      <c r="C85" s="508" t="s">
        <v>992</v>
      </c>
      <c r="D85" s="508"/>
      <c r="E85" s="508"/>
      <c r="F85" s="70">
        <v>0.375</v>
      </c>
      <c r="G85" s="70">
        <v>0.39583333333333331</v>
      </c>
      <c r="H85" s="74"/>
    </row>
    <row r="86" spans="1:8" ht="18" customHeight="1">
      <c r="A86" s="70">
        <v>0.64583333333333337</v>
      </c>
      <c r="B86" s="70">
        <v>0.66666666666666663</v>
      </c>
      <c r="C86" s="508"/>
      <c r="D86" s="508"/>
      <c r="E86" s="508"/>
      <c r="F86" s="70">
        <v>0.39583333333333331</v>
      </c>
      <c r="G86" s="70">
        <v>0.41666666666666669</v>
      </c>
      <c r="H86" s="74"/>
    </row>
    <row r="87" spans="1:8" ht="18" customHeight="1">
      <c r="A87" s="70">
        <v>0.66666666666666663</v>
      </c>
      <c r="B87" s="70">
        <v>0.6875</v>
      </c>
      <c r="C87" s="509" t="s">
        <v>937</v>
      </c>
      <c r="D87" s="509"/>
      <c r="E87" s="509"/>
      <c r="F87" s="70">
        <v>0.41666666666666669</v>
      </c>
      <c r="G87" s="70">
        <v>0.4375</v>
      </c>
      <c r="H87" s="74"/>
    </row>
    <row r="88" spans="1:8" ht="18" customHeight="1">
      <c r="A88" s="70">
        <v>0.6875</v>
      </c>
      <c r="B88" s="70">
        <v>0.70833333333333337</v>
      </c>
      <c r="C88" s="509"/>
      <c r="D88" s="509"/>
      <c r="E88" s="509"/>
      <c r="F88" s="70">
        <v>0.4375</v>
      </c>
      <c r="G88" s="70">
        <v>0.45833333333333331</v>
      </c>
      <c r="H88" s="74"/>
    </row>
    <row r="89" spans="1:8" ht="18" customHeight="1">
      <c r="A89" s="70">
        <v>0.70833333333333337</v>
      </c>
      <c r="B89" s="70">
        <v>0.72916666666666663</v>
      </c>
      <c r="C89" s="509"/>
      <c r="D89" s="509"/>
      <c r="E89" s="509"/>
      <c r="F89" s="70">
        <v>0.45833333333333331</v>
      </c>
      <c r="G89" s="70">
        <v>0.47916666666666669</v>
      </c>
      <c r="H89" s="74"/>
    </row>
    <row r="90" spans="1:8" ht="18" customHeight="1">
      <c r="A90" s="70">
        <v>0.72916666666666663</v>
      </c>
      <c r="B90" s="70">
        <v>0.75</v>
      </c>
      <c r="C90" s="509"/>
      <c r="D90" s="509"/>
      <c r="E90" s="509"/>
      <c r="F90" s="70">
        <v>0.47916666666666669</v>
      </c>
      <c r="G90" s="70">
        <v>0.5</v>
      </c>
      <c r="H90" s="74"/>
    </row>
    <row r="91" spans="1:8" ht="18" customHeight="1">
      <c r="A91" s="70">
        <v>0.75</v>
      </c>
      <c r="B91" s="70">
        <v>0.83333333333333337</v>
      </c>
      <c r="C91" s="509" t="s">
        <v>938</v>
      </c>
      <c r="D91" s="509"/>
      <c r="E91" s="509"/>
      <c r="F91" s="70">
        <v>0.5</v>
      </c>
      <c r="G91" s="70">
        <v>0.58333333333333337</v>
      </c>
      <c r="H91" s="74"/>
    </row>
    <row r="92" spans="1:8">
      <c r="A92" s="504" t="str">
        <f>J8</f>
        <v>Day 7</v>
      </c>
      <c r="B92" s="504"/>
      <c r="C92" s="507">
        <f>I8</f>
        <v>44302</v>
      </c>
      <c r="D92" s="507"/>
      <c r="E92" s="507"/>
      <c r="F92" s="504" t="str">
        <f>A92</f>
        <v>Day 7</v>
      </c>
      <c r="G92" s="504"/>
      <c r="H92" s="74"/>
    </row>
    <row r="93" spans="1:8" ht="28.8">
      <c r="A93" s="504" t="s">
        <v>929</v>
      </c>
      <c r="B93" s="504"/>
      <c r="C93" s="230" t="str">
        <f>C74</f>
        <v>Mini team 1:ATM-5 / ATM-6 / ATM-7</v>
      </c>
      <c r="D93" s="230" t="str">
        <f>D74</f>
        <v>Full team: ATM-1 / ATM-2 / ATM-3 / ATM-4 /ATM-5 / ATM-6 / ATM-7 / ATM-8</v>
      </c>
      <c r="E93" s="230" t="str">
        <f>E74</f>
        <v>LA team: van Zyl, Pieter and ATMs if applicable</v>
      </c>
      <c r="F93" s="504" t="s">
        <v>930</v>
      </c>
      <c r="G93" s="504"/>
      <c r="H93" s="74"/>
    </row>
    <row r="94" spans="1:8" ht="18" customHeight="1">
      <c r="A94" s="70">
        <v>0.41666666666666669</v>
      </c>
      <c r="B94" s="70">
        <v>0.4375</v>
      </c>
      <c r="C94" s="509" t="s">
        <v>937</v>
      </c>
      <c r="D94" s="509"/>
      <c r="E94" s="509"/>
      <c r="F94" s="70">
        <v>0.16666666666666666</v>
      </c>
      <c r="G94" s="70">
        <v>0.1875</v>
      </c>
      <c r="H94" s="74"/>
    </row>
    <row r="95" spans="1:8" ht="18" customHeight="1">
      <c r="A95" s="70">
        <v>0.4375</v>
      </c>
      <c r="B95" s="70">
        <v>0.45833333333333331</v>
      </c>
      <c r="C95" s="518" t="s">
        <v>993</v>
      </c>
      <c r="D95" s="519"/>
      <c r="E95" s="520"/>
      <c r="F95" s="70">
        <v>0.1875</v>
      </c>
      <c r="G95" s="70">
        <v>0.20833333333333334</v>
      </c>
      <c r="H95" s="74"/>
    </row>
    <row r="96" spans="1:8" ht="18" customHeight="1">
      <c r="A96" s="70">
        <v>0.45833333333333331</v>
      </c>
      <c r="B96" s="70">
        <v>0.47916666666666669</v>
      </c>
      <c r="C96" s="521"/>
      <c r="D96" s="522"/>
      <c r="E96" s="523"/>
      <c r="F96" s="70">
        <v>0.20833333333333334</v>
      </c>
      <c r="G96" s="70">
        <v>0.22916666666666666</v>
      </c>
      <c r="H96" s="74"/>
    </row>
    <row r="97" spans="1:8" ht="18" customHeight="1">
      <c r="A97" s="70">
        <v>0.47916666666666669</v>
      </c>
      <c r="B97" s="70">
        <v>0.5</v>
      </c>
      <c r="C97" s="518" t="s">
        <v>994</v>
      </c>
      <c r="D97" s="519"/>
      <c r="E97" s="520"/>
      <c r="F97" s="70">
        <v>0.22916666666666666</v>
      </c>
      <c r="G97" s="70">
        <v>0.25</v>
      </c>
      <c r="H97" s="74"/>
    </row>
    <row r="98" spans="1:8" ht="18" customHeight="1">
      <c r="A98" s="70">
        <v>0.5</v>
      </c>
      <c r="B98" s="70">
        <v>0.52083333333333337</v>
      </c>
      <c r="C98" s="521"/>
      <c r="D98" s="522"/>
      <c r="E98" s="523"/>
      <c r="F98" s="70">
        <v>0.25</v>
      </c>
      <c r="G98" s="70">
        <v>0.27083333333333331</v>
      </c>
      <c r="H98" s="74"/>
    </row>
    <row r="99" spans="1:8" ht="18" customHeight="1">
      <c r="A99" s="70">
        <v>0.52083333333333337</v>
      </c>
      <c r="B99" s="70">
        <v>0.54166666666666663</v>
      </c>
      <c r="C99" s="524" t="s">
        <v>936</v>
      </c>
      <c r="D99" s="525"/>
      <c r="E99" s="526"/>
      <c r="F99" s="70">
        <v>0.27083333333333331</v>
      </c>
      <c r="G99" s="70">
        <v>0.29166666666666669</v>
      </c>
      <c r="H99" s="74"/>
    </row>
    <row r="100" spans="1:8" ht="18" customHeight="1">
      <c r="A100" s="70">
        <v>0.54166666666666663</v>
      </c>
      <c r="B100" s="70">
        <v>0.5625</v>
      </c>
      <c r="C100" s="530"/>
      <c r="D100" s="531"/>
      <c r="E100" s="532"/>
      <c r="F100" s="70">
        <v>0.29166666666666669</v>
      </c>
      <c r="G100" s="70">
        <v>0.3125</v>
      </c>
      <c r="H100" s="74"/>
    </row>
    <row r="101" spans="1:8" ht="18" customHeight="1">
      <c r="A101" s="70">
        <v>0.5625</v>
      </c>
      <c r="B101" s="70">
        <v>0.58333333333333337</v>
      </c>
      <c r="C101" s="524" t="s">
        <v>1674</v>
      </c>
      <c r="D101" s="525"/>
      <c r="E101" s="526"/>
      <c r="F101" s="70">
        <v>0.3125</v>
      </c>
      <c r="G101" s="70">
        <v>0.33333333333333331</v>
      </c>
      <c r="H101" s="74"/>
    </row>
    <row r="102" spans="1:8" ht="18" customHeight="1">
      <c r="A102" s="70">
        <v>0.58333333333333337</v>
      </c>
      <c r="B102" s="70">
        <v>0.60416666666666663</v>
      </c>
      <c r="C102" s="527"/>
      <c r="D102" s="528"/>
      <c r="E102" s="529"/>
      <c r="F102" s="70">
        <v>0.33333333333333331</v>
      </c>
      <c r="G102" s="70">
        <v>0.35416666666666669</v>
      </c>
      <c r="H102" s="74"/>
    </row>
    <row r="103" spans="1:8" ht="18" customHeight="1">
      <c r="A103" s="70">
        <v>0.60416666666666663</v>
      </c>
      <c r="B103" s="70">
        <v>0.625</v>
      </c>
      <c r="C103" s="530"/>
      <c r="D103" s="531"/>
      <c r="E103" s="532"/>
      <c r="F103" s="70">
        <v>0.35416666666666669</v>
      </c>
      <c r="G103" s="70">
        <v>0.375</v>
      </c>
      <c r="H103" s="74"/>
    </row>
    <row r="104" spans="1:8" ht="18" customHeight="1">
      <c r="A104" s="70">
        <v>0.625</v>
      </c>
      <c r="B104" s="70">
        <v>0.64583333333333337</v>
      </c>
      <c r="C104" s="516" t="s">
        <v>1673</v>
      </c>
      <c r="D104" s="516"/>
      <c r="E104" s="516"/>
      <c r="F104" s="70">
        <v>0.375</v>
      </c>
      <c r="G104" s="70">
        <v>0.39583333333333331</v>
      </c>
      <c r="H104" s="74"/>
    </row>
    <row r="105" spans="1:8" ht="18" customHeight="1">
      <c r="A105" s="70">
        <v>0.64583333333333337</v>
      </c>
      <c r="B105" s="70">
        <v>0.66666666666666663</v>
      </c>
      <c r="C105" s="516"/>
      <c r="D105" s="516"/>
      <c r="E105" s="516"/>
      <c r="F105" s="70">
        <v>0.39583333333333331</v>
      </c>
      <c r="G105" s="70">
        <v>0.41666666666666669</v>
      </c>
      <c r="H105" s="74"/>
    </row>
    <row r="106" spans="1:8" ht="18" customHeight="1">
      <c r="A106" s="70">
        <v>0.66666666666666663</v>
      </c>
      <c r="B106" s="70">
        <v>0.6875</v>
      </c>
      <c r="C106" s="509" t="s">
        <v>941</v>
      </c>
      <c r="D106" s="509"/>
      <c r="E106" s="509"/>
      <c r="F106" s="70">
        <v>0.41666666666666669</v>
      </c>
      <c r="G106" s="70">
        <v>0.4375</v>
      </c>
      <c r="H106" s="74"/>
    </row>
    <row r="107" spans="1:8" ht="18" customHeight="1">
      <c r="A107" s="70">
        <v>0.6875</v>
      </c>
      <c r="B107" s="70">
        <v>0.70833333333333337</v>
      </c>
      <c r="C107" s="509"/>
      <c r="D107" s="509"/>
      <c r="E107" s="509"/>
      <c r="F107" s="70">
        <v>0.4375</v>
      </c>
      <c r="G107" s="70">
        <v>0.45833333333333331</v>
      </c>
      <c r="H107" s="74"/>
    </row>
    <row r="108" spans="1:8" ht="18" customHeight="1">
      <c r="A108" s="70">
        <v>0.70833333333333337</v>
      </c>
      <c r="B108" s="70">
        <v>0.72916666666666663</v>
      </c>
      <c r="C108" s="509" t="s">
        <v>942</v>
      </c>
      <c r="D108" s="509"/>
      <c r="E108" s="509"/>
      <c r="F108" s="70">
        <v>0.45833333333333331</v>
      </c>
      <c r="G108" s="70">
        <v>0.47916666666666669</v>
      </c>
      <c r="H108" s="74"/>
    </row>
    <row r="109" spans="1:8" ht="18" customHeight="1">
      <c r="A109" s="70">
        <v>0.72916666666666663</v>
      </c>
      <c r="B109" s="70">
        <v>0.75</v>
      </c>
      <c r="C109" s="509"/>
      <c r="D109" s="509"/>
      <c r="E109" s="509"/>
      <c r="F109" s="70">
        <v>0.47916666666666669</v>
      </c>
      <c r="G109" s="70">
        <v>0.5</v>
      </c>
      <c r="H109" s="74"/>
    </row>
    <row r="110" spans="1:8" ht="18" customHeight="1">
      <c r="A110" s="70">
        <v>0.75</v>
      </c>
      <c r="B110" s="70">
        <v>0.83333333333333337</v>
      </c>
      <c r="C110" s="509"/>
      <c r="D110" s="509"/>
      <c r="E110" s="509"/>
      <c r="F110" s="70">
        <v>0.5</v>
      </c>
      <c r="G110" s="70">
        <v>0.58333333333333337</v>
      </c>
      <c r="H110" s="74"/>
    </row>
  </sheetData>
  <mergeCells count="77">
    <mergeCell ref="C5:C13"/>
    <mergeCell ref="D5:D13"/>
    <mergeCell ref="E5:E13"/>
    <mergeCell ref="A15:G15"/>
    <mergeCell ref="A16:B16"/>
    <mergeCell ref="C16:E16"/>
    <mergeCell ref="F16:G16"/>
    <mergeCell ref="A4:B4"/>
    <mergeCell ref="F4:G4"/>
    <mergeCell ref="A1:G1"/>
    <mergeCell ref="A2:G2"/>
    <mergeCell ref="A3:B3"/>
    <mergeCell ref="C3:E3"/>
    <mergeCell ref="F3:G3"/>
    <mergeCell ref="A17:B17"/>
    <mergeCell ref="F17:G17"/>
    <mergeCell ref="C19:E19"/>
    <mergeCell ref="C20:E21"/>
    <mergeCell ref="C22:E23"/>
    <mergeCell ref="C28:E28"/>
    <mergeCell ref="C29:E32"/>
    <mergeCell ref="C33:E33"/>
    <mergeCell ref="C34:E34"/>
    <mergeCell ref="C24:E27"/>
    <mergeCell ref="A35:B35"/>
    <mergeCell ref="C35:E35"/>
    <mergeCell ref="C53:E53"/>
    <mergeCell ref="F35:G35"/>
    <mergeCell ref="A36:B36"/>
    <mergeCell ref="F36:G36"/>
    <mergeCell ref="C37:D37"/>
    <mergeCell ref="C38:E40"/>
    <mergeCell ref="C41:E42"/>
    <mergeCell ref="C43:E47"/>
    <mergeCell ref="C48:D49"/>
    <mergeCell ref="E48:E49"/>
    <mergeCell ref="C50:E51"/>
    <mergeCell ref="C52:E52"/>
    <mergeCell ref="A54:B54"/>
    <mergeCell ref="C54:E54"/>
    <mergeCell ref="F54:G54"/>
    <mergeCell ref="A55:B55"/>
    <mergeCell ref="F55:G55"/>
    <mergeCell ref="C56:D56"/>
    <mergeCell ref="C57:E59"/>
    <mergeCell ref="C60:E61"/>
    <mergeCell ref="C62:E67"/>
    <mergeCell ref="C68:E68"/>
    <mergeCell ref="C69:E70"/>
    <mergeCell ref="C71:E72"/>
    <mergeCell ref="A73:B73"/>
    <mergeCell ref="C73:E73"/>
    <mergeCell ref="F73:G73"/>
    <mergeCell ref="A74:B74"/>
    <mergeCell ref="F74:G74"/>
    <mergeCell ref="C75:E75"/>
    <mergeCell ref="C76:E77"/>
    <mergeCell ref="C78:E78"/>
    <mergeCell ref="C79:E80"/>
    <mergeCell ref="C85:E86"/>
    <mergeCell ref="A92:B92"/>
    <mergeCell ref="C92:E92"/>
    <mergeCell ref="F92:G92"/>
    <mergeCell ref="A93:B93"/>
    <mergeCell ref="F93:G93"/>
    <mergeCell ref="C108:E110"/>
    <mergeCell ref="C83:E84"/>
    <mergeCell ref="C81:E82"/>
    <mergeCell ref="C104:E105"/>
    <mergeCell ref="C106:E107"/>
    <mergeCell ref="C87:E90"/>
    <mergeCell ref="C91:E91"/>
    <mergeCell ref="C94:E94"/>
    <mergeCell ref="C95:E96"/>
    <mergeCell ref="C97:E98"/>
    <mergeCell ref="C99:E100"/>
    <mergeCell ref="C101:E103"/>
  </mergeCells>
  <phoneticPr fontId="54" type="noConversion"/>
  <pageMargins left="0.7" right="0.7" top="0.75" bottom="0.75" header="0.3" footer="0.3"/>
  <pageSetup paperSize="9" scale="65" fitToHeight="0" orientation="portrait" r:id="rId1"/>
  <rowBreaks count="5" manualBreakCount="5">
    <brk id="15" max="16383" man="1"/>
    <brk id="34" max="16383" man="1"/>
    <brk id="53" max="16383" man="1"/>
    <brk id="72" max="16383" man="1"/>
    <brk id="91" max="16383" man="1"/>
  </rowBreaks>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0AE508C-F10B-4B99-AF6D-922841CE60AB}">
  <sheetPr>
    <tabColor theme="5" tint="0.79998168889431442"/>
  </sheetPr>
  <dimension ref="A1:H39"/>
  <sheetViews>
    <sheetView topLeftCell="A25" workbookViewId="0">
      <selection activeCell="I32" sqref="I32"/>
    </sheetView>
  </sheetViews>
  <sheetFormatPr defaultColWidth="8.6640625" defaultRowHeight="14.4"/>
  <cols>
    <col min="1" max="16384" width="8.6640625" style="8"/>
  </cols>
  <sheetData>
    <row r="1" spans="1:8" ht="15" thickBot="1">
      <c r="A1" s="8" t="s">
        <v>1439</v>
      </c>
    </row>
    <row r="2" spans="1:8">
      <c r="A2" s="331" t="s">
        <v>1440</v>
      </c>
      <c r="B2" s="332">
        <f>Planning!B27</f>
        <v>44296</v>
      </c>
      <c r="C2" s="333">
        <f>B2+1</f>
        <v>44297</v>
      </c>
      <c r="D2" s="333">
        <f t="shared" ref="D2:G2" si="0">C2+1</f>
        <v>44298</v>
      </c>
      <c r="E2" s="333">
        <f t="shared" si="0"/>
        <v>44299</v>
      </c>
      <c r="F2" s="333">
        <f t="shared" si="0"/>
        <v>44300</v>
      </c>
      <c r="G2" s="333">
        <f t="shared" si="0"/>
        <v>44301</v>
      </c>
      <c r="H2" s="334" t="s">
        <v>1441</v>
      </c>
    </row>
    <row r="3" spans="1:8" ht="28.8">
      <c r="A3" s="335">
        <v>0.41666666666666702</v>
      </c>
      <c r="B3" s="545" t="s">
        <v>1442</v>
      </c>
      <c r="C3" s="336" t="s">
        <v>1443</v>
      </c>
      <c r="D3" s="337" t="s">
        <v>1444</v>
      </c>
      <c r="E3" s="337" t="s">
        <v>1444</v>
      </c>
      <c r="F3" s="546" t="s">
        <v>1445</v>
      </c>
      <c r="G3" s="546" t="s">
        <v>1446</v>
      </c>
      <c r="H3" s="338">
        <f t="shared" ref="H3:H19" si="1">+A3-0.25</f>
        <v>0.16666666666666702</v>
      </c>
    </row>
    <row r="4" spans="1:8">
      <c r="A4" s="335">
        <v>0.4375</v>
      </c>
      <c r="B4" s="545"/>
      <c r="C4" s="339" t="s">
        <v>1447</v>
      </c>
      <c r="D4" s="547" t="s">
        <v>1448</v>
      </c>
      <c r="E4" s="547" t="s">
        <v>1449</v>
      </c>
      <c r="F4" s="546"/>
      <c r="G4" s="546"/>
      <c r="H4" s="338">
        <f t="shared" si="1"/>
        <v>0.1875</v>
      </c>
    </row>
    <row r="5" spans="1:8">
      <c r="A5" s="335">
        <v>0.45833333333333398</v>
      </c>
      <c r="B5" s="548" t="s">
        <v>1450</v>
      </c>
      <c r="C5" s="549" t="s">
        <v>1451</v>
      </c>
      <c r="D5" s="547"/>
      <c r="E5" s="547"/>
      <c r="F5" s="546"/>
      <c r="G5" s="546"/>
      <c r="H5" s="338">
        <f t="shared" si="1"/>
        <v>0.20833333333333398</v>
      </c>
    </row>
    <row r="6" spans="1:8">
      <c r="A6" s="335">
        <v>0.47916666666666702</v>
      </c>
      <c r="B6" s="548"/>
      <c r="C6" s="549"/>
      <c r="D6" s="547"/>
      <c r="E6" s="547"/>
      <c r="F6" s="546"/>
      <c r="G6" s="336" t="s">
        <v>1447</v>
      </c>
      <c r="H6" s="338">
        <f t="shared" si="1"/>
        <v>0.22916666666666702</v>
      </c>
    </row>
    <row r="7" spans="1:8">
      <c r="A7" s="335">
        <v>0.5</v>
      </c>
      <c r="B7" s="548"/>
      <c r="C7" s="547" t="s">
        <v>1452</v>
      </c>
      <c r="D7" s="547"/>
      <c r="E7" s="547"/>
      <c r="F7" s="550" t="s">
        <v>936</v>
      </c>
      <c r="G7" s="550" t="s">
        <v>936</v>
      </c>
      <c r="H7" s="338">
        <f t="shared" si="1"/>
        <v>0.25</v>
      </c>
    </row>
    <row r="8" spans="1:8" ht="28.8">
      <c r="A8" s="335">
        <v>0.52083333333333404</v>
      </c>
      <c r="B8" s="340" t="s">
        <v>1442</v>
      </c>
      <c r="C8" s="547"/>
      <c r="D8" s="547"/>
      <c r="E8" s="547"/>
      <c r="F8" s="550"/>
      <c r="G8" s="550"/>
      <c r="H8" s="338">
        <f t="shared" si="1"/>
        <v>0.27083333333333404</v>
      </c>
    </row>
    <row r="9" spans="1:8">
      <c r="A9" s="335">
        <v>0.54166666666666696</v>
      </c>
      <c r="B9" s="551" t="s">
        <v>936</v>
      </c>
      <c r="C9" s="550" t="s">
        <v>936</v>
      </c>
      <c r="D9" s="550" t="s">
        <v>936</v>
      </c>
      <c r="E9" s="550" t="s">
        <v>936</v>
      </c>
      <c r="F9" s="336" t="s">
        <v>1447</v>
      </c>
      <c r="G9" s="549" t="s">
        <v>794</v>
      </c>
      <c r="H9" s="338">
        <f t="shared" si="1"/>
        <v>0.29166666666666696</v>
      </c>
    </row>
    <row r="10" spans="1:8">
      <c r="A10" s="335">
        <v>0.5625</v>
      </c>
      <c r="B10" s="551"/>
      <c r="C10" s="550"/>
      <c r="D10" s="550"/>
      <c r="E10" s="550"/>
      <c r="F10" s="549" t="s">
        <v>1453</v>
      </c>
      <c r="G10" s="549"/>
      <c r="H10" s="338">
        <f t="shared" si="1"/>
        <v>0.3125</v>
      </c>
    </row>
    <row r="11" spans="1:8">
      <c r="A11" s="335">
        <v>0.58333333333333304</v>
      </c>
      <c r="B11" s="545" t="s">
        <v>1454</v>
      </c>
      <c r="C11" s="547" t="s">
        <v>1455</v>
      </c>
      <c r="D11" s="547" t="s">
        <v>1456</v>
      </c>
      <c r="E11" s="547" t="s">
        <v>1457</v>
      </c>
      <c r="F11" s="549"/>
      <c r="G11" s="546" t="s">
        <v>1458</v>
      </c>
      <c r="H11" s="338">
        <f t="shared" si="1"/>
        <v>0.33333333333333304</v>
      </c>
    </row>
    <row r="12" spans="1:8">
      <c r="A12" s="335">
        <v>0.60416666666666696</v>
      </c>
      <c r="B12" s="545"/>
      <c r="C12" s="547"/>
      <c r="D12" s="547"/>
      <c r="E12" s="547"/>
      <c r="F12" s="549" t="s">
        <v>1459</v>
      </c>
      <c r="G12" s="546"/>
      <c r="H12" s="338">
        <f t="shared" si="1"/>
        <v>0.35416666666666696</v>
      </c>
    </row>
    <row r="13" spans="1:8">
      <c r="A13" s="335">
        <v>0.625</v>
      </c>
      <c r="B13" s="545"/>
      <c r="C13" s="547"/>
      <c r="D13" s="547" t="s">
        <v>1460</v>
      </c>
      <c r="E13" s="547"/>
      <c r="F13" s="549"/>
      <c r="G13" s="546"/>
      <c r="H13" s="338">
        <f t="shared" si="1"/>
        <v>0.375</v>
      </c>
    </row>
    <row r="14" spans="1:8">
      <c r="A14" s="335">
        <v>0.64583333333333304</v>
      </c>
      <c r="B14" s="545"/>
      <c r="C14" s="547"/>
      <c r="D14" s="547"/>
      <c r="E14" s="547"/>
      <c r="F14" s="546" t="s">
        <v>1446</v>
      </c>
      <c r="G14" s="552" t="s">
        <v>1461</v>
      </c>
      <c r="H14" s="338">
        <f t="shared" si="1"/>
        <v>0.39583333333333304</v>
      </c>
    </row>
    <row r="15" spans="1:8">
      <c r="A15" s="335">
        <v>0.66666666666666696</v>
      </c>
      <c r="B15" s="545"/>
      <c r="C15" s="339" t="s">
        <v>1447</v>
      </c>
      <c r="D15" s="547"/>
      <c r="E15" s="546" t="s">
        <v>1445</v>
      </c>
      <c r="F15" s="546"/>
      <c r="G15" s="552"/>
      <c r="H15" s="338">
        <f t="shared" si="1"/>
        <v>0.41666666666666696</v>
      </c>
    </row>
    <row r="16" spans="1:8">
      <c r="A16" s="335">
        <v>0.6875</v>
      </c>
      <c r="B16" s="545"/>
      <c r="C16" s="547" t="s">
        <v>1462</v>
      </c>
      <c r="D16" s="547" t="s">
        <v>1463</v>
      </c>
      <c r="E16" s="546"/>
      <c r="F16" s="546"/>
      <c r="G16" s="552"/>
      <c r="H16" s="338">
        <f t="shared" si="1"/>
        <v>0.4375</v>
      </c>
    </row>
    <row r="17" spans="1:8">
      <c r="A17" s="335">
        <v>0.70833333333333304</v>
      </c>
      <c r="B17" s="341" t="s">
        <v>1464</v>
      </c>
      <c r="C17" s="547"/>
      <c r="D17" s="547"/>
      <c r="E17" s="546"/>
      <c r="F17" s="546"/>
      <c r="G17" s="552"/>
      <c r="H17" s="338">
        <f t="shared" si="1"/>
        <v>0.45833333333333304</v>
      </c>
    </row>
    <row r="18" spans="1:8">
      <c r="A18" s="335">
        <v>0.72916666666666663</v>
      </c>
      <c r="B18" s="342" t="s">
        <v>1444</v>
      </c>
      <c r="C18" s="337" t="s">
        <v>1444</v>
      </c>
      <c r="D18" s="337" t="s">
        <v>1444</v>
      </c>
      <c r="E18" s="337" t="s">
        <v>1444</v>
      </c>
      <c r="F18" s="337" t="s">
        <v>1444</v>
      </c>
      <c r="G18" s="552"/>
      <c r="H18" s="338">
        <f t="shared" si="1"/>
        <v>0.47916666666666663</v>
      </c>
    </row>
    <row r="19" spans="1:8" ht="15" thickBot="1">
      <c r="A19" s="343">
        <v>0.75</v>
      </c>
      <c r="B19" s="553" t="s">
        <v>938</v>
      </c>
      <c r="C19" s="554"/>
      <c r="D19" s="554"/>
      <c r="E19" s="554"/>
      <c r="F19" s="554"/>
      <c r="G19" s="554"/>
      <c r="H19" s="344">
        <f t="shared" si="1"/>
        <v>0.5</v>
      </c>
    </row>
    <row r="21" spans="1:8" ht="15" thickBot="1">
      <c r="A21" s="8" t="s">
        <v>1465</v>
      </c>
    </row>
    <row r="22" spans="1:8">
      <c r="A22" s="331" t="s">
        <v>1440</v>
      </c>
      <c r="B22" s="332">
        <f>Planning!B27</f>
        <v>44296</v>
      </c>
      <c r="C22" s="332">
        <f>B22+1</f>
        <v>44297</v>
      </c>
      <c r="D22" s="332">
        <f t="shared" ref="D22:F22" si="2">C22+1</f>
        <v>44298</v>
      </c>
      <c r="E22" s="332">
        <f t="shared" si="2"/>
        <v>44299</v>
      </c>
      <c r="F22" s="332">
        <f t="shared" si="2"/>
        <v>44300</v>
      </c>
      <c r="G22" s="332">
        <f>F22+1</f>
        <v>44301</v>
      </c>
      <c r="H22" s="334" t="s">
        <v>1441</v>
      </c>
    </row>
    <row r="23" spans="1:8" ht="28.8">
      <c r="A23" s="335">
        <v>0.41666666666666702</v>
      </c>
      <c r="B23" s="545" t="s">
        <v>1442</v>
      </c>
      <c r="C23" s="336" t="s">
        <v>1443</v>
      </c>
      <c r="D23" s="337" t="s">
        <v>1444</v>
      </c>
      <c r="E23" s="337" t="s">
        <v>1444</v>
      </c>
      <c r="F23" s="555" t="s">
        <v>1445</v>
      </c>
      <c r="G23" s="555" t="s">
        <v>1446</v>
      </c>
      <c r="H23" s="338">
        <f t="shared" ref="H23:H39" si="3">+A23-0.25</f>
        <v>0.16666666666666702</v>
      </c>
    </row>
    <row r="24" spans="1:8">
      <c r="A24" s="335">
        <v>0.4375</v>
      </c>
      <c r="B24" s="545"/>
      <c r="C24" s="339" t="s">
        <v>1447</v>
      </c>
      <c r="D24" s="547" t="s">
        <v>1448</v>
      </c>
      <c r="E24" s="547" t="s">
        <v>1449</v>
      </c>
      <c r="F24" s="556"/>
      <c r="G24" s="556"/>
      <c r="H24" s="338">
        <f t="shared" si="3"/>
        <v>0.1875</v>
      </c>
    </row>
    <row r="25" spans="1:8">
      <c r="A25" s="335">
        <v>0.45833333333333398</v>
      </c>
      <c r="B25" s="548" t="s">
        <v>1450</v>
      </c>
      <c r="C25" s="549" t="s">
        <v>1451</v>
      </c>
      <c r="D25" s="547"/>
      <c r="E25" s="547"/>
      <c r="F25" s="556"/>
      <c r="G25" s="556"/>
      <c r="H25" s="338">
        <f t="shared" si="3"/>
        <v>0.20833333333333398</v>
      </c>
    </row>
    <row r="26" spans="1:8">
      <c r="A26" s="335">
        <v>0.47916666666666702</v>
      </c>
      <c r="B26" s="548"/>
      <c r="C26" s="549"/>
      <c r="D26" s="547"/>
      <c r="E26" s="547"/>
      <c r="F26" s="556"/>
      <c r="G26" s="556"/>
      <c r="H26" s="338">
        <f t="shared" si="3"/>
        <v>0.22916666666666702</v>
      </c>
    </row>
    <row r="27" spans="1:8">
      <c r="A27" s="335">
        <v>0.5</v>
      </c>
      <c r="B27" s="548"/>
      <c r="C27" s="547" t="s">
        <v>1452</v>
      </c>
      <c r="D27" s="547"/>
      <c r="E27" s="547"/>
      <c r="F27" s="556"/>
      <c r="G27" s="556"/>
      <c r="H27" s="338">
        <f t="shared" si="3"/>
        <v>0.25</v>
      </c>
    </row>
    <row r="28" spans="1:8" ht="28.8">
      <c r="A28" s="335">
        <v>0.52083333333333404</v>
      </c>
      <c r="B28" s="340" t="s">
        <v>1442</v>
      </c>
      <c r="C28" s="547"/>
      <c r="D28" s="547"/>
      <c r="E28" s="547"/>
      <c r="F28" s="557"/>
      <c r="G28" s="557"/>
      <c r="H28" s="338">
        <f t="shared" si="3"/>
        <v>0.27083333333333404</v>
      </c>
    </row>
    <row r="29" spans="1:8">
      <c r="A29" s="335">
        <v>0.54166666666666696</v>
      </c>
      <c r="B29" s="551" t="s">
        <v>936</v>
      </c>
      <c r="C29" s="550" t="s">
        <v>936</v>
      </c>
      <c r="D29" s="550" t="s">
        <v>936</v>
      </c>
      <c r="E29" s="550" t="s">
        <v>936</v>
      </c>
      <c r="F29" s="550" t="s">
        <v>936</v>
      </c>
      <c r="G29" s="550" t="s">
        <v>936</v>
      </c>
      <c r="H29" s="338">
        <f t="shared" si="3"/>
        <v>0.29166666666666696</v>
      </c>
    </row>
    <row r="30" spans="1:8">
      <c r="A30" s="335">
        <v>0.5625</v>
      </c>
      <c r="B30" s="551"/>
      <c r="C30" s="550"/>
      <c r="D30" s="550"/>
      <c r="E30" s="550"/>
      <c r="F30" s="550"/>
      <c r="G30" s="550"/>
      <c r="H30" s="338">
        <f t="shared" si="3"/>
        <v>0.3125</v>
      </c>
    </row>
    <row r="31" spans="1:8">
      <c r="A31" s="335">
        <v>0.58333333333333304</v>
      </c>
      <c r="B31" s="555" t="s">
        <v>1454</v>
      </c>
      <c r="C31" s="547" t="s">
        <v>1455</v>
      </c>
      <c r="D31" s="547" t="s">
        <v>1456</v>
      </c>
      <c r="E31" s="547" t="s">
        <v>1457</v>
      </c>
      <c r="F31" s="337" t="s">
        <v>1447</v>
      </c>
      <c r="G31" s="337" t="s">
        <v>1447</v>
      </c>
      <c r="H31" s="338">
        <f t="shared" si="3"/>
        <v>0.33333333333333304</v>
      </c>
    </row>
    <row r="32" spans="1:8">
      <c r="A32" s="335">
        <v>0.60416666666666696</v>
      </c>
      <c r="B32" s="556"/>
      <c r="C32" s="547"/>
      <c r="D32" s="547"/>
      <c r="E32" s="547"/>
      <c r="F32" s="549" t="s">
        <v>1453</v>
      </c>
      <c r="G32" s="549" t="s">
        <v>1672</v>
      </c>
      <c r="H32" s="338">
        <f t="shared" si="3"/>
        <v>0.35416666666666696</v>
      </c>
    </row>
    <row r="33" spans="1:8">
      <c r="A33" s="335">
        <v>0.625</v>
      </c>
      <c r="B33" s="556"/>
      <c r="C33" s="547"/>
      <c r="D33" s="547" t="s">
        <v>1460</v>
      </c>
      <c r="E33" s="547"/>
      <c r="F33" s="549"/>
      <c r="G33" s="549"/>
      <c r="H33" s="338">
        <f t="shared" si="3"/>
        <v>0.375</v>
      </c>
    </row>
    <row r="34" spans="1:8">
      <c r="A34" s="335">
        <v>0.64583333333333304</v>
      </c>
      <c r="B34" s="556"/>
      <c r="C34" s="547"/>
      <c r="D34" s="547"/>
      <c r="E34" s="547"/>
      <c r="F34" s="549" t="s">
        <v>1459</v>
      </c>
      <c r="G34" s="558" t="s">
        <v>1466</v>
      </c>
      <c r="H34" s="338">
        <f t="shared" si="3"/>
        <v>0.39583333333333304</v>
      </c>
    </row>
    <row r="35" spans="1:8">
      <c r="A35" s="335">
        <v>0.66666666666666696</v>
      </c>
      <c r="B35" s="557"/>
      <c r="C35" s="339" t="s">
        <v>1447</v>
      </c>
      <c r="D35" s="547"/>
      <c r="E35" s="546" t="s">
        <v>1445</v>
      </c>
      <c r="F35" s="549"/>
      <c r="G35" s="559"/>
      <c r="H35" s="338">
        <f t="shared" si="3"/>
        <v>0.41666666666666696</v>
      </c>
    </row>
    <row r="36" spans="1:8">
      <c r="A36" s="335">
        <v>0.6875</v>
      </c>
      <c r="B36" s="345" t="s">
        <v>1467</v>
      </c>
      <c r="C36" s="547" t="s">
        <v>1462</v>
      </c>
      <c r="D36" s="547" t="s">
        <v>1463</v>
      </c>
      <c r="E36" s="546"/>
      <c r="F36" s="555" t="s">
        <v>1446</v>
      </c>
      <c r="G36" s="558" t="s">
        <v>1468</v>
      </c>
      <c r="H36" s="338">
        <f t="shared" si="3"/>
        <v>0.4375</v>
      </c>
    </row>
    <row r="37" spans="1:8">
      <c r="A37" s="335">
        <v>0.70833333333333304</v>
      </c>
      <c r="B37" s="341" t="s">
        <v>1464</v>
      </c>
      <c r="C37" s="547"/>
      <c r="D37" s="547"/>
      <c r="E37" s="546"/>
      <c r="F37" s="557"/>
      <c r="G37" s="559"/>
      <c r="H37" s="338">
        <f t="shared" si="3"/>
        <v>0.45833333333333304</v>
      </c>
    </row>
    <row r="38" spans="1:8">
      <c r="A38" s="335">
        <v>0.72916666666666663</v>
      </c>
      <c r="B38" s="342" t="s">
        <v>1444</v>
      </c>
      <c r="C38" s="337" t="s">
        <v>1444</v>
      </c>
      <c r="D38" s="337" t="s">
        <v>1444</v>
      </c>
      <c r="E38" s="337" t="s">
        <v>1444</v>
      </c>
      <c r="F38" s="337" t="s">
        <v>1444</v>
      </c>
      <c r="G38" s="560"/>
      <c r="H38" s="338">
        <f t="shared" si="3"/>
        <v>0.47916666666666663</v>
      </c>
    </row>
    <row r="39" spans="1:8" ht="15" thickBot="1">
      <c r="A39" s="343">
        <v>0.75</v>
      </c>
      <c r="B39" s="553" t="s">
        <v>938</v>
      </c>
      <c r="C39" s="554"/>
      <c r="D39" s="554"/>
      <c r="E39" s="554"/>
      <c r="F39" s="554"/>
      <c r="G39" s="554"/>
      <c r="H39" s="344">
        <f t="shared" si="3"/>
        <v>0.5</v>
      </c>
    </row>
  </sheetData>
  <mergeCells count="58">
    <mergeCell ref="E35:E37"/>
    <mergeCell ref="C36:C37"/>
    <mergeCell ref="D36:D37"/>
    <mergeCell ref="F36:F37"/>
    <mergeCell ref="G36:G38"/>
    <mergeCell ref="B29:B30"/>
    <mergeCell ref="C29:C30"/>
    <mergeCell ref="D29:D30"/>
    <mergeCell ref="E29:E30"/>
    <mergeCell ref="B39:G39"/>
    <mergeCell ref="G29:G30"/>
    <mergeCell ref="B31:B35"/>
    <mergeCell ref="C31:C34"/>
    <mergeCell ref="D31:D32"/>
    <mergeCell ref="E31:E34"/>
    <mergeCell ref="F32:F33"/>
    <mergeCell ref="G32:G33"/>
    <mergeCell ref="D33:D35"/>
    <mergeCell ref="F34:F35"/>
    <mergeCell ref="G34:G35"/>
    <mergeCell ref="F29:F30"/>
    <mergeCell ref="C16:C17"/>
    <mergeCell ref="D16:D17"/>
    <mergeCell ref="B19:G19"/>
    <mergeCell ref="B23:B24"/>
    <mergeCell ref="F23:F28"/>
    <mergeCell ref="G23:G28"/>
    <mergeCell ref="D24:D28"/>
    <mergeCell ref="E24:E28"/>
    <mergeCell ref="B25:B27"/>
    <mergeCell ref="C25:C26"/>
    <mergeCell ref="C27:C28"/>
    <mergeCell ref="B9:B10"/>
    <mergeCell ref="C9:C10"/>
    <mergeCell ref="D9:D10"/>
    <mergeCell ref="E9:E10"/>
    <mergeCell ref="G9:G10"/>
    <mergeCell ref="F10:F11"/>
    <mergeCell ref="B11:B16"/>
    <mergeCell ref="C11:C14"/>
    <mergeCell ref="D11:D12"/>
    <mergeCell ref="E11:E14"/>
    <mergeCell ref="G11:G13"/>
    <mergeCell ref="F12:F13"/>
    <mergeCell ref="D13:D15"/>
    <mergeCell ref="F14:F17"/>
    <mergeCell ref="G14:G18"/>
    <mergeCell ref="E15:E17"/>
    <mergeCell ref="B3:B4"/>
    <mergeCell ref="F3:F6"/>
    <mergeCell ref="G3:G5"/>
    <mergeCell ref="D4:D8"/>
    <mergeCell ref="E4:E8"/>
    <mergeCell ref="B5:B7"/>
    <mergeCell ref="C5:C6"/>
    <mergeCell ref="C7:C8"/>
    <mergeCell ref="F7:F8"/>
    <mergeCell ref="G7:G8"/>
  </mergeCells>
  <pageMargins left="0.7" right="0.7" top="0.75" bottom="0.75" header="0.3" footer="0.3"/>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A0326D4-2E54-4656-8594-0BFCE3BD25B3}">
  <sheetPr codeName="Sheet3">
    <tabColor theme="7" tint="0.79998168889431442"/>
    <pageSetUpPr fitToPage="1"/>
  </sheetPr>
  <dimension ref="A1:X27"/>
  <sheetViews>
    <sheetView workbookViewId="0">
      <selection activeCell="O31" sqref="O31"/>
    </sheetView>
  </sheetViews>
  <sheetFormatPr defaultRowHeight="14.4"/>
  <cols>
    <col min="1" max="1" width="26.6640625" customWidth="1"/>
    <col min="2" max="2" width="19.33203125" style="128" customWidth="1"/>
    <col min="3" max="3" width="29.33203125" customWidth="1"/>
    <col min="4" max="4" width="4.44140625" style="127" customWidth="1"/>
    <col min="5" max="24" width="4.33203125" style="127" customWidth="1"/>
  </cols>
  <sheetData>
    <row r="1" spans="1:24" ht="50.7" customHeight="1">
      <c r="A1" t="s">
        <v>1016</v>
      </c>
      <c r="C1" t="s">
        <v>1017</v>
      </c>
      <c r="E1" s="147" t="s">
        <v>881</v>
      </c>
      <c r="F1" s="147" t="s">
        <v>882</v>
      </c>
      <c r="G1" s="147" t="s">
        <v>835</v>
      </c>
      <c r="H1" s="147" t="s">
        <v>883</v>
      </c>
      <c r="I1" s="147" t="s">
        <v>884</v>
      </c>
      <c r="J1" s="147" t="s">
        <v>885</v>
      </c>
      <c r="K1" s="147" t="s">
        <v>886</v>
      </c>
      <c r="L1" s="147" t="s">
        <v>887</v>
      </c>
      <c r="M1" s="147" t="s">
        <v>888</v>
      </c>
      <c r="N1" s="147" t="s">
        <v>889</v>
      </c>
      <c r="O1" s="147" t="s">
        <v>753</v>
      </c>
      <c r="P1" s="147" t="s">
        <v>890</v>
      </c>
      <c r="Q1" s="147" t="s">
        <v>891</v>
      </c>
      <c r="R1" s="147" t="s">
        <v>892</v>
      </c>
      <c r="S1" s="147" t="s">
        <v>893</v>
      </c>
      <c r="T1" s="147" t="s">
        <v>751</v>
      </c>
      <c r="U1" s="147" t="s">
        <v>894</v>
      </c>
      <c r="V1" s="147" t="s">
        <v>895</v>
      </c>
      <c r="W1" s="147" t="s">
        <v>908</v>
      </c>
      <c r="X1" s="147" t="s">
        <v>909</v>
      </c>
    </row>
    <row r="2" spans="1:24" s="318" customFormat="1">
      <c r="A2" s="318" t="str">
        <f>'Agreement 3'!A27</f>
        <v>Sponsor detail</v>
      </c>
      <c r="B2" s="130" t="str">
        <f>'Agreement 3'!B28</f>
        <v>Prof Kessler, Donald</v>
      </c>
      <c r="C2" s="130" t="str">
        <f>'Agreement 3'!B31</f>
        <v>donald.kessler@email.com</v>
      </c>
      <c r="D2" s="127"/>
      <c r="E2" s="185"/>
      <c r="F2" s="185"/>
      <c r="G2" s="185"/>
      <c r="H2" s="185"/>
      <c r="I2" s="185"/>
      <c r="J2" s="185"/>
      <c r="K2" s="185"/>
      <c r="L2" s="185"/>
      <c r="M2" s="185"/>
      <c r="N2" s="185"/>
      <c r="O2" s="185"/>
      <c r="P2" s="185"/>
      <c r="Q2" s="185"/>
      <c r="R2" s="185"/>
      <c r="S2" s="185"/>
      <c r="T2" s="185"/>
      <c r="U2" s="185"/>
      <c r="V2" s="185"/>
      <c r="W2" s="185"/>
      <c r="X2" s="185"/>
    </row>
    <row r="3" spans="1:24">
      <c r="A3" t="str">
        <f>'P1PA-SS'!A86</f>
        <v>OU Coordinator</v>
      </c>
      <c r="B3" s="130" t="str">
        <f>'P1PA-SS'!B86</f>
        <v>Miss Lake, Nathalie</v>
      </c>
      <c r="C3" s="128" t="str">
        <f>'P1PA-SS'!V86</f>
        <v>nathalie.lake@email.com</v>
      </c>
      <c r="E3" s="185"/>
      <c r="F3" s="185"/>
      <c r="G3" s="185"/>
      <c r="H3" s="185"/>
      <c r="I3" s="185"/>
      <c r="J3" s="185"/>
      <c r="K3" s="185"/>
      <c r="L3" s="185"/>
      <c r="M3" s="185"/>
      <c r="N3" s="185"/>
      <c r="O3" s="185"/>
      <c r="P3" s="185"/>
      <c r="Q3" s="185"/>
      <c r="R3" s="185"/>
      <c r="S3" s="185"/>
      <c r="T3" s="185"/>
      <c r="U3" s="185"/>
      <c r="V3" s="185"/>
      <c r="W3" s="185"/>
      <c r="X3" s="185"/>
    </row>
    <row r="4" spans="1:24">
      <c r="A4" s="128" t="str">
        <f>'P1PA-SS'!A87</f>
        <v>Registered Interpreter</v>
      </c>
      <c r="B4" s="130" t="str">
        <f>'P1PA-SS'!B87</f>
        <v>Miss Land, Barbara</v>
      </c>
      <c r="C4" s="128" t="str">
        <f>'P1PA-SS'!V87</f>
        <v>barbara.land@email.com</v>
      </c>
      <c r="E4" s="185"/>
      <c r="F4" s="185"/>
      <c r="G4" s="185"/>
      <c r="H4" s="185"/>
      <c r="I4" s="185"/>
      <c r="J4" s="185"/>
      <c r="K4" s="185"/>
      <c r="L4" s="185"/>
      <c r="M4" s="185"/>
      <c r="N4" s="185"/>
      <c r="O4" s="185"/>
      <c r="P4" s="185"/>
      <c r="Q4" s="185"/>
      <c r="R4" s="185"/>
      <c r="S4" s="185"/>
      <c r="T4" s="185"/>
      <c r="U4" s="185"/>
      <c r="V4" s="185"/>
      <c r="W4" s="185"/>
      <c r="X4" s="185"/>
    </row>
    <row r="5" spans="1:24" s="128" customFormat="1">
      <c r="B5" s="130"/>
      <c r="D5" s="127"/>
      <c r="E5" s="185"/>
      <c r="F5" s="185"/>
      <c r="G5" s="185"/>
      <c r="H5" s="185"/>
      <c r="I5" s="185"/>
      <c r="J5" s="185"/>
      <c r="K5" s="185"/>
      <c r="L5" s="185"/>
      <c r="M5" s="185"/>
      <c r="N5" s="185"/>
      <c r="O5" s="185"/>
      <c r="P5" s="185"/>
      <c r="Q5" s="185"/>
      <c r="R5" s="185"/>
      <c r="S5" s="185"/>
      <c r="T5" s="185"/>
      <c r="U5" s="185"/>
      <c r="V5" s="185"/>
      <c r="W5" s="185"/>
      <c r="X5" s="185"/>
    </row>
    <row r="6" spans="1:24" s="318" customFormat="1">
      <c r="A6" s="318" t="str">
        <f>'Agreement 3'!A6</f>
        <v>Lead appraiser</v>
      </c>
      <c r="B6" s="130" t="str">
        <f>'Agreement 3'!B7</f>
        <v>van Zyl, Pieter</v>
      </c>
      <c r="C6" s="130" t="str">
        <f>'Agreement 3'!B13</f>
        <v>pieter.vanzyl@demix.org</v>
      </c>
      <c r="D6" s="127"/>
      <c r="E6" s="185"/>
      <c r="F6" s="185"/>
      <c r="G6" s="185"/>
      <c r="H6" s="185"/>
      <c r="I6" s="185"/>
      <c r="J6" s="185"/>
      <c r="K6" s="185"/>
      <c r="L6" s="185"/>
      <c r="M6" s="185"/>
      <c r="N6" s="185"/>
      <c r="O6" s="185"/>
      <c r="P6" s="185"/>
      <c r="Q6" s="185"/>
      <c r="R6" s="185"/>
      <c r="S6" s="185"/>
      <c r="T6" s="185"/>
      <c r="U6" s="185"/>
      <c r="V6" s="185"/>
      <c r="W6" s="185"/>
      <c r="X6" s="185"/>
    </row>
    <row r="7" spans="1:24" s="318" customFormat="1">
      <c r="B7" s="130"/>
      <c r="D7" s="127"/>
      <c r="E7" s="185"/>
      <c r="F7" s="185"/>
      <c r="G7" s="185"/>
      <c r="H7" s="185"/>
      <c r="I7" s="185"/>
      <c r="J7" s="185"/>
      <c r="K7" s="185"/>
      <c r="L7" s="185"/>
      <c r="M7" s="185"/>
      <c r="N7" s="185"/>
      <c r="O7" s="185"/>
      <c r="P7" s="185"/>
      <c r="Q7" s="185"/>
      <c r="R7" s="185"/>
      <c r="S7" s="185"/>
      <c r="T7" s="185"/>
      <c r="U7" s="185"/>
      <c r="V7" s="185"/>
      <c r="W7" s="185"/>
      <c r="X7" s="185"/>
    </row>
    <row r="8" spans="1:24">
      <c r="A8" s="128" t="str">
        <f>'P1PA-SS'!A92</f>
        <v>Appraisal team member</v>
      </c>
      <c r="B8" s="130" t="str">
        <f>'P1PA-SS'!B92</f>
        <v>ATM-1</v>
      </c>
      <c r="C8" s="128" t="str">
        <f>'P1PA-SS'!V92</f>
        <v>atm1.email@gmail.com</v>
      </c>
      <c r="D8" s="127">
        <f>COUNTIF(E8:Y8,"x")</f>
        <v>4</v>
      </c>
      <c r="K8" s="418" t="s">
        <v>411</v>
      </c>
      <c r="S8" s="418" t="s">
        <v>411</v>
      </c>
      <c r="W8" s="281" t="s">
        <v>411</v>
      </c>
      <c r="X8" s="281" t="s">
        <v>411</v>
      </c>
    </row>
    <row r="9" spans="1:24">
      <c r="A9" s="128" t="str">
        <f>'P1PA-SS'!A93</f>
        <v>Appraisal team member</v>
      </c>
      <c r="B9" s="130" t="str">
        <f>'P1PA-SS'!B93</f>
        <v>ATM-2</v>
      </c>
      <c r="C9" s="128" t="str">
        <f>'P1PA-SS'!V93</f>
        <v>atm2.email@gmail.com</v>
      </c>
      <c r="D9" s="127">
        <f t="shared" ref="D9:D16" si="0">COUNTIF(E9:Y9,"x")</f>
        <v>2</v>
      </c>
      <c r="G9" s="281" t="s">
        <v>411</v>
      </c>
      <c r="J9" s="418" t="s">
        <v>411</v>
      </c>
    </row>
    <row r="10" spans="1:24">
      <c r="A10" s="128" t="str">
        <f>'P1PA-SS'!A94</f>
        <v>Appraisal team member</v>
      </c>
      <c r="B10" s="130" t="str">
        <f>'P1PA-SS'!B94</f>
        <v>ATM-3</v>
      </c>
      <c r="C10" s="128" t="str">
        <f>'P1PA-SS'!V94</f>
        <v>atm3.email@gmail.com</v>
      </c>
      <c r="D10" s="127">
        <f t="shared" si="0"/>
        <v>3</v>
      </c>
      <c r="H10" s="418" t="s">
        <v>411</v>
      </c>
      <c r="T10" s="418" t="s">
        <v>411</v>
      </c>
      <c r="U10" s="418" t="s">
        <v>411</v>
      </c>
    </row>
    <row r="11" spans="1:24" s="128" customFormat="1">
      <c r="A11" s="128" t="str">
        <f>'P1PA-SS'!A95</f>
        <v>Appraisal team member</v>
      </c>
      <c r="B11" s="130" t="str">
        <f>'P1PA-SS'!B95</f>
        <v>ATM-4</v>
      </c>
      <c r="C11" s="128" t="str">
        <f>'P1PA-SS'!V95</f>
        <v>atm4.email@gmail.com</v>
      </c>
      <c r="D11" s="127">
        <f t="shared" si="0"/>
        <v>5</v>
      </c>
      <c r="E11" s="418" t="s">
        <v>411</v>
      </c>
      <c r="F11" s="418" t="s">
        <v>411</v>
      </c>
      <c r="G11" s="127"/>
      <c r="H11" s="127"/>
      <c r="I11" s="418" t="s">
        <v>411</v>
      </c>
      <c r="J11" s="127"/>
      <c r="K11" s="127"/>
      <c r="L11" s="127"/>
      <c r="M11" s="127"/>
      <c r="N11" s="418" t="s">
        <v>411</v>
      </c>
      <c r="O11" s="418" t="s">
        <v>411</v>
      </c>
      <c r="P11" s="127"/>
      <c r="Q11" s="127"/>
      <c r="R11" s="127"/>
      <c r="S11" s="127"/>
      <c r="T11" s="127"/>
      <c r="U11" s="127"/>
      <c r="V11" s="127"/>
      <c r="W11" s="127"/>
      <c r="X11" s="127"/>
    </row>
    <row r="12" spans="1:24" s="128" customFormat="1">
      <c r="A12" s="128" t="str">
        <f>'P1PA-SS'!A96</f>
        <v>Appraisal team member</v>
      </c>
      <c r="B12" s="130" t="str">
        <f>'P1PA-SS'!B96</f>
        <v>ATM-5</v>
      </c>
      <c r="C12" s="128" t="str">
        <f>'P1PA-SS'!V96</f>
        <v>atm5.email@gmail.com</v>
      </c>
      <c r="D12" s="127">
        <f t="shared" si="0"/>
        <v>5</v>
      </c>
      <c r="E12" s="127"/>
      <c r="F12" s="127"/>
      <c r="G12" s="127"/>
      <c r="H12" s="127"/>
      <c r="I12" s="127"/>
      <c r="J12" s="127"/>
      <c r="K12" s="127"/>
      <c r="L12" s="418" t="s">
        <v>411</v>
      </c>
      <c r="M12" s="418" t="s">
        <v>411</v>
      </c>
      <c r="N12" s="127"/>
      <c r="O12" s="127"/>
      <c r="P12" s="418" t="s">
        <v>411</v>
      </c>
      <c r="Q12" s="418" t="s">
        <v>411</v>
      </c>
      <c r="R12" s="418" t="s">
        <v>411</v>
      </c>
      <c r="S12" s="127"/>
      <c r="T12" s="127"/>
      <c r="U12" s="127"/>
      <c r="V12" s="127"/>
      <c r="W12" s="127"/>
      <c r="X12" s="127"/>
    </row>
    <row r="13" spans="1:24" s="128" customFormat="1">
      <c r="A13" s="128" t="str">
        <f>'P1PA-SS'!A97</f>
        <v>Appraisal team member</v>
      </c>
      <c r="B13" s="130" t="str">
        <f>'P1PA-SS'!B97</f>
        <v>ATM-6</v>
      </c>
      <c r="C13" s="128" t="str">
        <f>'P1PA-SS'!V97</f>
        <v>atm6.email@gmail.com</v>
      </c>
      <c r="D13" s="127">
        <f t="shared" si="0"/>
        <v>5</v>
      </c>
      <c r="E13" s="127"/>
      <c r="F13" s="127"/>
      <c r="G13" s="127"/>
      <c r="H13" s="127"/>
      <c r="I13" s="127"/>
      <c r="J13" s="127"/>
      <c r="K13" s="127"/>
      <c r="L13" s="418" t="s">
        <v>411</v>
      </c>
      <c r="M13" s="418" t="s">
        <v>411</v>
      </c>
      <c r="N13" s="127"/>
      <c r="O13" s="127"/>
      <c r="P13" s="418" t="s">
        <v>411</v>
      </c>
      <c r="Q13" s="418" t="s">
        <v>411</v>
      </c>
      <c r="R13" s="418" t="s">
        <v>411</v>
      </c>
      <c r="S13" s="127"/>
      <c r="T13" s="127"/>
      <c r="U13" s="127"/>
      <c r="V13" s="127"/>
      <c r="W13" s="127"/>
      <c r="X13" s="127"/>
    </row>
    <row r="14" spans="1:24" s="128" customFormat="1">
      <c r="A14" s="128" t="str">
        <f>'P1PA-SS'!A98</f>
        <v>Appraisal team member</v>
      </c>
      <c r="B14" s="130" t="str">
        <f>'P1PA-SS'!B98</f>
        <v>ATM-7</v>
      </c>
      <c r="C14" s="128" t="str">
        <f>'P1PA-SS'!V98</f>
        <v>atm7.email@gmail.com</v>
      </c>
      <c r="D14" s="127">
        <f t="shared" si="0"/>
        <v>5</v>
      </c>
      <c r="E14" s="127"/>
      <c r="F14" s="127"/>
      <c r="G14" s="127"/>
      <c r="H14" s="127"/>
      <c r="I14" s="127"/>
      <c r="J14" s="127"/>
      <c r="K14" s="127"/>
      <c r="L14" s="418" t="s">
        <v>411</v>
      </c>
      <c r="M14" s="418" t="s">
        <v>411</v>
      </c>
      <c r="N14" s="127"/>
      <c r="O14" s="127"/>
      <c r="P14" s="418" t="s">
        <v>411</v>
      </c>
      <c r="Q14" s="418" t="s">
        <v>411</v>
      </c>
      <c r="R14" s="418" t="s">
        <v>411</v>
      </c>
      <c r="S14" s="127"/>
      <c r="T14" s="127"/>
      <c r="U14" s="127"/>
      <c r="V14" s="127"/>
      <c r="W14" s="127"/>
      <c r="X14" s="127"/>
    </row>
    <row r="15" spans="1:24" s="318" customFormat="1">
      <c r="A15" s="318" t="str">
        <f>'P1PA-SS'!A99</f>
        <v>Appraisal team member</v>
      </c>
      <c r="B15" s="130" t="str">
        <f>'P1PA-SS'!B99</f>
        <v>ATM-8</v>
      </c>
      <c r="C15" s="318" t="str">
        <f>'P1PA-SS'!V99</f>
        <v>atm8.email@gmail.com</v>
      </c>
      <c r="D15" s="127">
        <f t="shared" si="0"/>
        <v>0</v>
      </c>
      <c r="E15" s="127"/>
      <c r="F15" s="127"/>
      <c r="G15" s="127"/>
      <c r="H15" s="127"/>
      <c r="I15" s="127"/>
      <c r="J15" s="127"/>
      <c r="K15" s="127"/>
      <c r="L15" s="418"/>
      <c r="M15" s="418"/>
      <c r="N15" s="127"/>
      <c r="O15" s="127"/>
      <c r="P15" s="418"/>
      <c r="Q15" s="418"/>
      <c r="R15" s="418"/>
      <c r="S15" s="127"/>
      <c r="T15" s="127"/>
      <c r="U15" s="127"/>
      <c r="V15" s="127"/>
      <c r="W15" s="127"/>
      <c r="X15" s="127"/>
    </row>
    <row r="16" spans="1:24" s="318" customFormat="1">
      <c r="A16" s="318" t="str">
        <f>'P1PA-SS'!A100</f>
        <v>Appraisal team member</v>
      </c>
      <c r="B16" s="130" t="str">
        <f>'P1PA-SS'!B100</f>
        <v>ATM-9</v>
      </c>
      <c r="C16" s="318" t="str">
        <f>'P1PA-SS'!V100</f>
        <v>atm9.email@gmail.com</v>
      </c>
      <c r="D16" s="127">
        <f t="shared" si="0"/>
        <v>0</v>
      </c>
      <c r="E16" s="127"/>
      <c r="F16" s="127"/>
      <c r="G16" s="127"/>
      <c r="H16" s="127"/>
      <c r="I16" s="127"/>
      <c r="J16" s="127"/>
      <c r="K16" s="127"/>
      <c r="L16" s="418"/>
      <c r="M16" s="418"/>
      <c r="N16" s="127"/>
      <c r="O16" s="127"/>
      <c r="P16" s="418"/>
      <c r="Q16" s="418"/>
      <c r="R16" s="418"/>
      <c r="S16" s="127"/>
      <c r="T16" s="127"/>
      <c r="U16" s="127"/>
      <c r="V16" s="127"/>
      <c r="W16" s="127"/>
      <c r="X16" s="127"/>
    </row>
    <row r="17" spans="1:24" s="128" customFormat="1">
      <c r="B17" s="130"/>
      <c r="D17" s="127"/>
      <c r="E17" s="185">
        <f>COUNTIF(E8:E16,"x")</f>
        <v>1</v>
      </c>
      <c r="F17" s="185">
        <f t="shared" ref="F17:X17" si="1">COUNTIF(F8:F16,"x")</f>
        <v>1</v>
      </c>
      <c r="G17" s="185">
        <f t="shared" si="1"/>
        <v>1</v>
      </c>
      <c r="H17" s="185">
        <f t="shared" si="1"/>
        <v>1</v>
      </c>
      <c r="I17" s="185">
        <f t="shared" si="1"/>
        <v>1</v>
      </c>
      <c r="J17" s="185">
        <f t="shared" si="1"/>
        <v>1</v>
      </c>
      <c r="K17" s="185">
        <f t="shared" si="1"/>
        <v>1</v>
      </c>
      <c r="L17" s="185">
        <f t="shared" si="1"/>
        <v>3</v>
      </c>
      <c r="M17" s="185">
        <f t="shared" si="1"/>
        <v>3</v>
      </c>
      <c r="N17" s="185">
        <f t="shared" si="1"/>
        <v>1</v>
      </c>
      <c r="O17" s="185">
        <f t="shared" si="1"/>
        <v>1</v>
      </c>
      <c r="P17" s="185">
        <f t="shared" si="1"/>
        <v>3</v>
      </c>
      <c r="Q17" s="185">
        <f t="shared" si="1"/>
        <v>3</v>
      </c>
      <c r="R17" s="185">
        <f t="shared" si="1"/>
        <v>3</v>
      </c>
      <c r="S17" s="185">
        <f t="shared" si="1"/>
        <v>1</v>
      </c>
      <c r="T17" s="185">
        <f t="shared" si="1"/>
        <v>1</v>
      </c>
      <c r="U17" s="185">
        <f t="shared" si="1"/>
        <v>1</v>
      </c>
      <c r="V17" s="185">
        <f t="shared" si="1"/>
        <v>0</v>
      </c>
      <c r="W17" s="185">
        <f t="shared" si="1"/>
        <v>1</v>
      </c>
      <c r="X17" s="185">
        <f t="shared" si="1"/>
        <v>1</v>
      </c>
    </row>
    <row r="18" spans="1:24" s="128" customFormat="1" hidden="1">
      <c r="A18" s="128" t="str">
        <f>'P1PA-SS'!A100</f>
        <v>Appraisal team member</v>
      </c>
      <c r="B18" s="130" t="str">
        <f>'P1PA-SS'!B100</f>
        <v>ATM-9</v>
      </c>
      <c r="C18" s="128" t="str">
        <f>'P1PA-SS'!V100</f>
        <v>atm9.email@gmail.com</v>
      </c>
      <c r="D18" s="127">
        <f t="shared" ref="D18:D19" si="2">COUNTA(E18:X18)</f>
        <v>0</v>
      </c>
      <c r="E18" s="185"/>
      <c r="F18" s="185"/>
      <c r="G18" s="185"/>
      <c r="H18" s="185"/>
      <c r="I18" s="185"/>
      <c r="J18" s="185"/>
      <c r="K18" s="185"/>
      <c r="L18" s="185"/>
      <c r="M18" s="185"/>
      <c r="N18" s="185"/>
      <c r="O18" s="185"/>
      <c r="P18" s="185"/>
      <c r="Q18" s="185"/>
      <c r="R18" s="185"/>
      <c r="S18" s="185"/>
      <c r="T18" s="185"/>
      <c r="U18" s="185"/>
      <c r="V18" s="185"/>
      <c r="W18" s="185"/>
      <c r="X18" s="185"/>
    </row>
    <row r="19" spans="1:24" s="128" customFormat="1" hidden="1">
      <c r="A19" s="128">
        <f>'P1PA-SS'!A101</f>
        <v>0</v>
      </c>
      <c r="B19" s="130">
        <f>'P1PA-SS'!B101</f>
        <v>0</v>
      </c>
      <c r="C19" s="128">
        <f>'P1PA-SS'!V101</f>
        <v>0</v>
      </c>
      <c r="D19" s="127">
        <f t="shared" si="2"/>
        <v>0</v>
      </c>
      <c r="E19" s="185"/>
      <c r="F19" s="185"/>
      <c r="G19" s="185"/>
      <c r="H19" s="185"/>
      <c r="I19" s="185"/>
      <c r="J19" s="185"/>
      <c r="K19" s="185"/>
      <c r="L19" s="185"/>
      <c r="M19" s="185"/>
      <c r="N19" s="185"/>
      <c r="O19" s="185"/>
      <c r="P19" s="185"/>
      <c r="Q19" s="185"/>
      <c r="R19" s="185"/>
      <c r="S19" s="185"/>
      <c r="T19" s="185"/>
      <c r="U19" s="185"/>
      <c r="V19" s="185"/>
      <c r="W19" s="185"/>
      <c r="X19" s="185"/>
    </row>
    <row r="20" spans="1:24" s="128" customFormat="1" hidden="1">
      <c r="D20" s="127"/>
      <c r="E20" s="185"/>
      <c r="F20" s="185"/>
      <c r="G20" s="185"/>
      <c r="H20" s="185"/>
      <c r="I20" s="185"/>
      <c r="J20" s="185"/>
      <c r="K20" s="185"/>
      <c r="L20" s="185"/>
      <c r="M20" s="185"/>
      <c r="N20" s="185"/>
      <c r="O20" s="185"/>
      <c r="P20" s="185"/>
      <c r="Q20" s="185"/>
      <c r="R20" s="185"/>
      <c r="S20" s="185"/>
      <c r="T20" s="185"/>
      <c r="U20" s="185"/>
      <c r="V20" s="185"/>
      <c r="W20" s="185"/>
      <c r="X20" s="185"/>
    </row>
    <row r="21" spans="1:24" s="128" customFormat="1" hidden="1">
      <c r="D21" s="127"/>
      <c r="E21" s="185"/>
      <c r="F21" s="185"/>
      <c r="G21" s="185"/>
      <c r="H21" s="185"/>
      <c r="I21" s="185"/>
      <c r="J21" s="185"/>
      <c r="K21" s="185"/>
      <c r="L21" s="185"/>
      <c r="M21" s="185"/>
      <c r="N21" s="185"/>
      <c r="O21" s="185"/>
      <c r="P21" s="185"/>
      <c r="Q21" s="185"/>
      <c r="R21" s="185"/>
      <c r="S21" s="185"/>
      <c r="T21" s="185"/>
      <c r="U21" s="185"/>
      <c r="V21" s="185"/>
      <c r="W21" s="185"/>
      <c r="X21" s="185"/>
    </row>
    <row r="22" spans="1:24" hidden="1">
      <c r="A22" s="130" t="str">
        <f>'P1PA-SS'!B87</f>
        <v>Miss Land, Barbara</v>
      </c>
      <c r="B22" s="130"/>
      <c r="C22" s="130" t="str">
        <f>'P1PA-SS'!V87</f>
        <v>barbara.land@email.com</v>
      </c>
      <c r="E22" s="185"/>
      <c r="F22" s="185"/>
      <c r="G22" s="185"/>
      <c r="H22" s="185"/>
      <c r="I22" s="185"/>
      <c r="J22" s="185"/>
      <c r="K22" s="185"/>
      <c r="L22" s="185"/>
      <c r="M22" s="185"/>
      <c r="N22" s="185"/>
      <c r="O22" s="185"/>
      <c r="P22" s="185"/>
      <c r="Q22" s="185"/>
      <c r="R22" s="185"/>
      <c r="S22" s="185"/>
      <c r="T22" s="185"/>
      <c r="U22" s="185"/>
      <c r="V22" s="185"/>
      <c r="W22" s="185"/>
      <c r="X22" s="185"/>
    </row>
    <row r="23" spans="1:24">
      <c r="E23" s="185"/>
      <c r="F23" s="185"/>
      <c r="G23" s="185"/>
      <c r="H23" s="185"/>
      <c r="I23" s="185"/>
      <c r="J23" s="185"/>
      <c r="K23" s="185"/>
      <c r="L23" s="185"/>
      <c r="M23" s="185"/>
      <c r="N23" s="185"/>
      <c r="O23" s="185"/>
      <c r="P23" s="185"/>
      <c r="Q23" s="185"/>
      <c r="R23" s="185"/>
      <c r="S23" s="185"/>
      <c r="T23" s="185"/>
      <c r="U23" s="185"/>
      <c r="V23" s="185"/>
      <c r="W23" s="185"/>
      <c r="X23" s="185"/>
    </row>
    <row r="24" spans="1:24">
      <c r="C24" s="281" t="s">
        <v>1643</v>
      </c>
    </row>
    <row r="25" spans="1:24">
      <c r="C25" s="418" t="s">
        <v>1644</v>
      </c>
    </row>
    <row r="26" spans="1:24">
      <c r="C26" s="148" t="s">
        <v>1645</v>
      </c>
    </row>
    <row r="27" spans="1:24">
      <c r="C27" s="283" t="s">
        <v>1646</v>
      </c>
    </row>
  </sheetData>
  <phoneticPr fontId="54" type="noConversion"/>
  <pageMargins left="0.7" right="0.7" top="0.75" bottom="0.75" header="0.3" footer="0.3"/>
  <pageSetup scale="74" fitToHeight="0" orientation="landscape" r:id="rId1"/>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4C9A042-CE29-4370-A419-CF12CD527749}">
  <dimension ref="A1:V47"/>
  <sheetViews>
    <sheetView workbookViewId="0">
      <selection activeCell="B15" sqref="B15"/>
    </sheetView>
  </sheetViews>
  <sheetFormatPr defaultColWidth="8.6640625" defaultRowHeight="14.4"/>
  <cols>
    <col min="1" max="1" width="27.33203125" style="124" customWidth="1"/>
    <col min="2" max="2" width="65.6640625" style="124" customWidth="1"/>
    <col min="3" max="4" width="27.33203125" style="124" customWidth="1"/>
    <col min="5" max="16384" width="8.6640625" style="124"/>
  </cols>
  <sheetData>
    <row r="1" spans="1:22" s="116" customFormat="1">
      <c r="A1" s="117" t="s">
        <v>1422</v>
      </c>
      <c r="B1" s="117"/>
      <c r="C1" s="117"/>
      <c r="D1" s="117"/>
    </row>
    <row r="2" spans="1:22" s="116" customFormat="1">
      <c r="A2" s="28" t="s">
        <v>1411</v>
      </c>
      <c r="B2" s="29"/>
      <c r="C2" s="29"/>
      <c r="D2" s="29"/>
      <c r="E2" s="124"/>
      <c r="F2" s="124"/>
      <c r="G2" s="124"/>
      <c r="H2" s="124"/>
      <c r="I2" s="124"/>
      <c r="J2" s="124"/>
      <c r="K2" s="124"/>
      <c r="L2" s="124"/>
      <c r="M2" s="124"/>
      <c r="N2" s="124"/>
      <c r="O2" s="124"/>
      <c r="P2" s="124"/>
      <c r="Q2" s="124"/>
      <c r="R2" s="124"/>
      <c r="S2" s="124"/>
      <c r="T2" s="124"/>
      <c r="U2" s="124"/>
      <c r="V2" s="124"/>
    </row>
    <row r="3" spans="1:22">
      <c r="A3" s="124" t="s">
        <v>906</v>
      </c>
      <c r="B3" s="64" t="s">
        <v>1412</v>
      </c>
      <c r="C3" s="329" t="s">
        <v>1413</v>
      </c>
    </row>
    <row r="4" spans="1:22">
      <c r="A4" s="124" t="s">
        <v>625</v>
      </c>
      <c r="B4" s="64">
        <v>1</v>
      </c>
      <c r="C4" s="329" t="str">
        <f t="shared" ref="C4:C20" si="0">_xlfn.CONCAT(A4, " (",B4,")")</f>
        <v>ATL (1)</v>
      </c>
    </row>
    <row r="5" spans="1:22">
      <c r="A5" s="124" t="s">
        <v>1016</v>
      </c>
      <c r="B5" s="64">
        <v>4</v>
      </c>
      <c r="C5" s="329" t="str">
        <f t="shared" si="0"/>
        <v>ATM (4)</v>
      </c>
    </row>
    <row r="6" spans="1:22">
      <c r="A6" s="124" t="s">
        <v>751</v>
      </c>
      <c r="B6" s="64">
        <v>1</v>
      </c>
      <c r="C6" s="329" t="str">
        <f t="shared" si="0"/>
        <v>CM (1)</v>
      </c>
    </row>
    <row r="7" spans="1:22">
      <c r="A7" s="124" t="s">
        <v>1391</v>
      </c>
      <c r="B7" s="64">
        <v>6</v>
      </c>
      <c r="C7" s="329" t="str">
        <f t="shared" si="0"/>
        <v>Engineers (6)</v>
      </c>
    </row>
    <row r="8" spans="1:22">
      <c r="A8" s="124" t="s">
        <v>1410</v>
      </c>
      <c r="B8" s="64">
        <v>1</v>
      </c>
      <c r="C8" s="329" t="str">
        <f t="shared" si="0"/>
        <v>EPG (1)</v>
      </c>
    </row>
    <row r="9" spans="1:22">
      <c r="A9" s="124" t="s">
        <v>753</v>
      </c>
      <c r="B9" s="64">
        <v>1</v>
      </c>
      <c r="C9" s="329" t="str">
        <f t="shared" si="0"/>
        <v>OT (1)</v>
      </c>
    </row>
    <row r="10" spans="1:22">
      <c r="A10" s="124" t="s">
        <v>1415</v>
      </c>
      <c r="B10" s="64">
        <v>1</v>
      </c>
      <c r="C10" s="329" t="str">
        <f t="shared" si="0"/>
        <v>OUC (1)</v>
      </c>
    </row>
    <row r="11" spans="1:22">
      <c r="A11" s="124" t="s">
        <v>1398</v>
      </c>
      <c r="B11" s="64">
        <v>2</v>
      </c>
      <c r="C11" s="329" t="str">
        <f t="shared" si="0"/>
        <v>PMs (2)</v>
      </c>
    </row>
    <row r="12" spans="1:22">
      <c r="A12" s="124" t="s">
        <v>752</v>
      </c>
      <c r="B12" s="64">
        <v>1</v>
      </c>
      <c r="C12" s="329" t="str">
        <f t="shared" si="0"/>
        <v>PPQA (1)</v>
      </c>
    </row>
    <row r="13" spans="1:22">
      <c r="A13" s="124" t="s">
        <v>1414</v>
      </c>
      <c r="B13" s="64">
        <v>2</v>
      </c>
      <c r="C13" s="329" t="str">
        <f t="shared" si="0"/>
        <v>SM (2)</v>
      </c>
    </row>
    <row r="14" spans="1:22">
      <c r="A14" s="124" t="s">
        <v>593</v>
      </c>
      <c r="B14" s="64">
        <v>1</v>
      </c>
      <c r="C14" s="329" t="str">
        <f t="shared" si="0"/>
        <v>Sponsor (1)</v>
      </c>
    </row>
    <row r="15" spans="1:22">
      <c r="A15" s="124" t="s">
        <v>1416</v>
      </c>
      <c r="B15" s="64">
        <v>1</v>
      </c>
      <c r="C15" s="329" t="str">
        <f t="shared" si="0"/>
        <v>RI (1)</v>
      </c>
    </row>
    <row r="16" spans="1:22">
      <c r="A16" s="124" t="s">
        <v>1417</v>
      </c>
      <c r="B16" s="329">
        <f>B7+B6</f>
        <v>7</v>
      </c>
      <c r="C16" s="329" t="str">
        <f t="shared" si="0"/>
        <v>ParticipantsPrelim1 (7)</v>
      </c>
    </row>
    <row r="17" spans="1:22">
      <c r="A17" s="124" t="s">
        <v>1418</v>
      </c>
      <c r="B17" s="329">
        <f>B8+B9+B11+B12</f>
        <v>5</v>
      </c>
      <c r="C17" s="329" t="str">
        <f t="shared" si="0"/>
        <v>ParticipantsPrelim2 (5)</v>
      </c>
    </row>
    <row r="18" spans="1:22">
      <c r="A18" s="124" t="s">
        <v>1421</v>
      </c>
      <c r="B18" s="64">
        <v>5</v>
      </c>
      <c r="C18" s="329" t="str">
        <f t="shared" si="0"/>
        <v>ParticipantsTechTest (5)</v>
      </c>
    </row>
    <row r="19" spans="1:22">
      <c r="A19" s="124" t="s">
        <v>1419</v>
      </c>
      <c r="B19" s="329">
        <f>B13+B12+B11+B10+B9+B7+B6+B5</f>
        <v>18</v>
      </c>
      <c r="C19" s="329" t="str">
        <f t="shared" si="0"/>
        <v>ParticipantsOpen (18)</v>
      </c>
    </row>
    <row r="20" spans="1:22">
      <c r="A20" s="124" t="s">
        <v>1420</v>
      </c>
      <c r="B20" s="329">
        <f>B14+B13+B12+B11+B10+B8+B7+B6</f>
        <v>15</v>
      </c>
      <c r="C20" s="329" t="str">
        <f t="shared" si="0"/>
        <v>ParticipantsFinal (15)</v>
      </c>
    </row>
    <row r="21" spans="1:22" s="237" customFormat="1">
      <c r="B21" s="330"/>
      <c r="C21" s="330"/>
    </row>
    <row r="22" spans="1:22" s="116" customFormat="1">
      <c r="A22" s="28" t="s">
        <v>1423</v>
      </c>
      <c r="B22" s="29"/>
      <c r="C22" s="29"/>
      <c r="D22" s="29"/>
      <c r="E22" s="124"/>
      <c r="F22" s="124"/>
      <c r="G22" s="124"/>
      <c r="H22" s="124"/>
      <c r="I22" s="124"/>
      <c r="J22" s="124"/>
      <c r="K22" s="124"/>
      <c r="L22" s="124"/>
      <c r="M22" s="124"/>
      <c r="N22" s="124"/>
      <c r="O22" s="124"/>
      <c r="P22" s="124"/>
      <c r="Q22" s="124"/>
      <c r="R22" s="124"/>
      <c r="S22" s="124"/>
      <c r="T22" s="124"/>
      <c r="U22" s="124"/>
      <c r="V22" s="124"/>
    </row>
    <row r="23" spans="1:22" s="116" customFormat="1">
      <c r="A23" s="14" t="s">
        <v>1381</v>
      </c>
      <c r="B23" s="14" t="s">
        <v>1382</v>
      </c>
      <c r="C23" s="14" t="s">
        <v>1383</v>
      </c>
      <c r="D23" s="14" t="s">
        <v>1384</v>
      </c>
    </row>
    <row r="24" spans="1:22">
      <c r="A24" s="124" t="s">
        <v>1385</v>
      </c>
      <c r="B24" s="86" t="str">
        <f>C4</f>
        <v>ATL (1)</v>
      </c>
      <c r="C24" s="124" t="s">
        <v>1386</v>
      </c>
      <c r="D24" s="124">
        <v>120</v>
      </c>
    </row>
    <row r="25" spans="1:22">
      <c r="A25" s="124" t="s">
        <v>1385</v>
      </c>
      <c r="B25" s="86" t="str">
        <f>C5</f>
        <v>ATM (4)</v>
      </c>
      <c r="C25" s="124" t="s">
        <v>1386</v>
      </c>
      <c r="D25" s="124">
        <v>8</v>
      </c>
    </row>
    <row r="26" spans="1:22">
      <c r="A26" s="124" t="s">
        <v>1387</v>
      </c>
      <c r="B26" s="86" t="str">
        <f>_xlfn.CONCAT(C4,", ",C5,", ",C15)</f>
        <v>ATL (1), ATM (4), RI (1)</v>
      </c>
      <c r="C26" s="124" t="s">
        <v>1388</v>
      </c>
      <c r="D26" s="124">
        <v>8</v>
      </c>
    </row>
    <row r="27" spans="1:22">
      <c r="A27" s="124" t="s">
        <v>751</v>
      </c>
      <c r="B27" s="86" t="str">
        <f>_xlfn.CONCAT(B26,", ",C6)</f>
        <v>ATL (1), ATM (4), RI (1), CM (1)</v>
      </c>
      <c r="C27" s="124" t="s">
        <v>615</v>
      </c>
      <c r="D27" s="124">
        <v>1</v>
      </c>
    </row>
    <row r="28" spans="1:22">
      <c r="A28" s="124" t="s">
        <v>1389</v>
      </c>
      <c r="B28" s="86" t="str">
        <f>B26</f>
        <v>ATL (1), ATM (4), RI (1)</v>
      </c>
      <c r="C28" s="124" t="s">
        <v>1390</v>
      </c>
      <c r="D28" s="124">
        <v>12</v>
      </c>
    </row>
    <row r="29" spans="1:22">
      <c r="A29" s="124" t="s">
        <v>1391</v>
      </c>
      <c r="B29" s="86" t="str">
        <f>_xlfn.CONCAT(B26,", ",C7)</f>
        <v>ATL (1), ATM (4), RI (1), Engineers (6)</v>
      </c>
      <c r="C29" s="124" t="s">
        <v>615</v>
      </c>
      <c r="D29" s="124">
        <v>3</v>
      </c>
    </row>
    <row r="30" spans="1:22">
      <c r="A30" s="124" t="s">
        <v>750</v>
      </c>
      <c r="B30" s="86" t="str">
        <f>_xlfn.CONCAT(B26,", ",C8)</f>
        <v>ATL (1), ATM (4), RI (1), EPG (1)</v>
      </c>
      <c r="C30" s="124" t="s">
        <v>615</v>
      </c>
      <c r="D30" s="124">
        <v>3</v>
      </c>
    </row>
    <row r="31" spans="1:22">
      <c r="A31" s="124" t="s">
        <v>756</v>
      </c>
      <c r="B31" s="86" t="str">
        <f>_xlfn.CONCAT(C20,", ",B25)</f>
        <v>ParticipantsFinal (15), ATM (4)</v>
      </c>
      <c r="C31" s="124" t="s">
        <v>756</v>
      </c>
      <c r="D31" s="124">
        <v>1</v>
      </c>
    </row>
    <row r="32" spans="1:22">
      <c r="A32" s="124" t="s">
        <v>1392</v>
      </c>
      <c r="B32" s="86" t="str">
        <f>B26</f>
        <v>ATL (1), ATM (4), RI (1)</v>
      </c>
      <c r="C32" s="124" t="s">
        <v>1393</v>
      </c>
      <c r="D32" s="124">
        <v>24</v>
      </c>
    </row>
    <row r="33" spans="1:4">
      <c r="A33" s="124" t="s">
        <v>1394</v>
      </c>
      <c r="B33" s="86" t="str">
        <f>_xlfn.CONCAT(C4,", ",C15,", ",C10,", ",C8)</f>
        <v>ATL (1), RI (1), OUC (1), EPG (1)</v>
      </c>
      <c r="C33" s="124" t="s">
        <v>1395</v>
      </c>
      <c r="D33" s="124">
        <v>40</v>
      </c>
    </row>
    <row r="34" spans="1:4">
      <c r="A34" s="124" t="s">
        <v>1396</v>
      </c>
      <c r="B34" s="86" t="str">
        <f>_xlfn.CONCAT(C4,", ",C15,", ",C10,", ",C8)</f>
        <v>ATL (1), RI (1), OUC (1), EPG (1)</v>
      </c>
      <c r="C34" s="124" t="s">
        <v>1395</v>
      </c>
      <c r="D34" s="124">
        <v>120</v>
      </c>
    </row>
    <row r="35" spans="1:4">
      <c r="A35" s="124" t="s">
        <v>634</v>
      </c>
      <c r="B35" s="86" t="str">
        <f>_xlfn.CONCAT(B26,", ",C19,", ",C14)</f>
        <v>ATL (1), ATM (4), RI (1), ParticipantsOpen (18), Sponsor (1)</v>
      </c>
      <c r="C35" s="124" t="s">
        <v>1397</v>
      </c>
      <c r="D35" s="124">
        <v>1</v>
      </c>
    </row>
    <row r="36" spans="1:4">
      <c r="A36" s="124" t="s">
        <v>753</v>
      </c>
      <c r="B36" s="86" t="str">
        <f>_xlfn.CONCAT(B26,", ",C9)</f>
        <v>ATL (1), ATM (4), RI (1), OT (1)</v>
      </c>
      <c r="C36" s="124" t="s">
        <v>615</v>
      </c>
      <c r="D36" s="124">
        <v>1</v>
      </c>
    </row>
    <row r="37" spans="1:4">
      <c r="A37" s="124" t="s">
        <v>1398</v>
      </c>
      <c r="B37" s="86" t="str">
        <f>_xlfn.CONCAT(B26,", ",C11)</f>
        <v>ATL (1), ATM (4), RI (1), PMs (2)</v>
      </c>
      <c r="C37" s="124" t="s">
        <v>615</v>
      </c>
      <c r="D37" s="124">
        <v>3</v>
      </c>
    </row>
    <row r="38" spans="1:4">
      <c r="A38" s="124" t="s">
        <v>752</v>
      </c>
      <c r="B38" s="86" t="str">
        <f>_xlfn.CONCAT(B26,", ",C12)</f>
        <v>ATL (1), ATM (4), RI (1), PPQA (1)</v>
      </c>
      <c r="C38" s="124" t="s">
        <v>615</v>
      </c>
      <c r="D38" s="124">
        <v>1</v>
      </c>
    </row>
    <row r="39" spans="1:4">
      <c r="A39" s="124" t="s">
        <v>1399</v>
      </c>
      <c r="B39" s="86" t="str">
        <f>_xlfn.CONCAT(B26,", ",C16)</f>
        <v>ATL (1), ATM (4), RI (1), ParticipantsPrelim1 (7)</v>
      </c>
      <c r="C39" s="124" t="s">
        <v>755</v>
      </c>
      <c r="D39" s="124">
        <v>1</v>
      </c>
    </row>
    <row r="40" spans="1:4">
      <c r="A40" s="124" t="s">
        <v>1400</v>
      </c>
      <c r="B40" s="86" t="str">
        <f>_xlfn.CONCAT(B26,", ",C17)</f>
        <v>ATL (1), ATM (4), RI (1), ParticipantsPrelim2 (5)</v>
      </c>
      <c r="C40" s="124" t="s">
        <v>755</v>
      </c>
      <c r="D40" s="124">
        <v>1</v>
      </c>
    </row>
    <row r="41" spans="1:4">
      <c r="A41" s="124" t="s">
        <v>1401</v>
      </c>
      <c r="B41" s="86" t="str">
        <f>B26</f>
        <v>ATL (1), ATM (4), RI (1)</v>
      </c>
      <c r="C41" s="124" t="s">
        <v>1402</v>
      </c>
      <c r="D41" s="124">
        <v>4</v>
      </c>
    </row>
    <row r="42" spans="1:4">
      <c r="A42" s="124" t="s">
        <v>1403</v>
      </c>
      <c r="B42" s="86" t="str">
        <f>B26</f>
        <v>ATL (1), ATM (4), RI (1)</v>
      </c>
      <c r="C42" s="124" t="s">
        <v>1402</v>
      </c>
      <c r="D42" s="124">
        <v>8</v>
      </c>
    </row>
    <row r="43" spans="1:4">
      <c r="A43" s="124" t="s">
        <v>1404</v>
      </c>
      <c r="B43" s="86" t="str">
        <f>_xlfn.CONCAT(B26,", ",C20,", ",C14)</f>
        <v>ATL (1), ATM (4), RI (1), ParticipantsFinal (15), Sponsor (1)</v>
      </c>
      <c r="C43" s="124" t="s">
        <v>1405</v>
      </c>
      <c r="D43" s="124">
        <v>4</v>
      </c>
    </row>
    <row r="44" spans="1:4">
      <c r="A44" s="124" t="s">
        <v>931</v>
      </c>
      <c r="B44" s="86" t="str">
        <f>B26</f>
        <v>ATL (1), ATM (4), RI (1)</v>
      </c>
      <c r="C44" s="124" t="s">
        <v>1406</v>
      </c>
      <c r="D44" s="124">
        <v>18</v>
      </c>
    </row>
    <row r="45" spans="1:4">
      <c r="A45" s="124" t="s">
        <v>1407</v>
      </c>
      <c r="B45" s="86" t="str">
        <f>_xlfn.CONCAT(B26,", ",C13)</f>
        <v>ATL (1), ATM (4), RI (1), SM (2)</v>
      </c>
      <c r="C45" s="124" t="s">
        <v>615</v>
      </c>
      <c r="D45" s="124">
        <v>1</v>
      </c>
    </row>
    <row r="46" spans="1:4">
      <c r="A46" s="124" t="s">
        <v>1408</v>
      </c>
      <c r="B46" s="86" t="str">
        <f>_xlfn.CONCAT(B26,", ",C14)</f>
        <v>ATL (1), ATM (4), RI (1), Sponsor (1)</v>
      </c>
      <c r="C46" s="124" t="s">
        <v>1386</v>
      </c>
      <c r="D46" s="124">
        <v>5</v>
      </c>
    </row>
    <row r="47" spans="1:4">
      <c r="A47" s="124" t="s">
        <v>1409</v>
      </c>
      <c r="B47" s="86" t="str">
        <f>_xlfn.CONCAT(B26,", ",C18)</f>
        <v>ATL (1), ATM (4), RI (1), ParticipantsTechTest (5)</v>
      </c>
      <c r="C47" s="124" t="s">
        <v>1409</v>
      </c>
      <c r="D47" s="124">
        <v>1</v>
      </c>
    </row>
  </sheetData>
  <sortState xmlns:xlrd2="http://schemas.microsoft.com/office/spreadsheetml/2017/richdata2" ref="A4:D15">
    <sortCondition ref="A4:A15"/>
  </sortState>
  <pageMargins left="0.7" right="0.7" top="0.75" bottom="0.75" header="0.3" footer="0.3"/>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14F864F-0949-4B4C-B12C-C627FC3C56B2}">
  <dimension ref="A1:P5"/>
  <sheetViews>
    <sheetView workbookViewId="0">
      <selection activeCell="D18" sqref="D18"/>
    </sheetView>
  </sheetViews>
  <sheetFormatPr defaultRowHeight="14.4"/>
  <cols>
    <col min="1" max="3" width="13.6640625" customWidth="1"/>
    <col min="4" max="4" width="54.44140625" customWidth="1"/>
    <col min="5" max="9" width="13.6640625" customWidth="1"/>
    <col min="10" max="10" width="16.6640625" customWidth="1"/>
    <col min="11" max="21" width="13.6640625" customWidth="1"/>
  </cols>
  <sheetData>
    <row r="1" spans="1:16" ht="86.4">
      <c r="A1" t="s">
        <v>1324</v>
      </c>
      <c r="B1" t="s">
        <v>1307</v>
      </c>
      <c r="C1" s="282" t="s">
        <v>1308</v>
      </c>
      <c r="D1" t="s">
        <v>1325</v>
      </c>
      <c r="E1" t="s">
        <v>1326</v>
      </c>
      <c r="F1" s="282" t="s">
        <v>1311</v>
      </c>
      <c r="G1" s="282" t="s">
        <v>1312</v>
      </c>
      <c r="H1" t="s">
        <v>1327</v>
      </c>
      <c r="I1" t="s">
        <v>1328</v>
      </c>
      <c r="J1" t="s">
        <v>1329</v>
      </c>
      <c r="K1" t="s">
        <v>31</v>
      </c>
      <c r="L1" t="s">
        <v>32</v>
      </c>
      <c r="M1" t="s">
        <v>33</v>
      </c>
      <c r="N1" t="s">
        <v>34</v>
      </c>
      <c r="O1" t="s">
        <v>35</v>
      </c>
      <c r="P1" t="s">
        <v>17</v>
      </c>
    </row>
    <row r="2" spans="1:16">
      <c r="A2" t="s">
        <v>1347</v>
      </c>
      <c r="B2" t="s">
        <v>1331</v>
      </c>
      <c r="C2">
        <v>1</v>
      </c>
      <c r="D2" t="s">
        <v>1537</v>
      </c>
      <c r="E2" t="s">
        <v>388</v>
      </c>
      <c r="H2" t="s">
        <v>1345</v>
      </c>
      <c r="I2" t="s">
        <v>388</v>
      </c>
      <c r="J2" t="s">
        <v>1561</v>
      </c>
      <c r="K2" t="s">
        <v>1593</v>
      </c>
      <c r="L2" t="s">
        <v>1592</v>
      </c>
      <c r="M2" t="s">
        <v>1580</v>
      </c>
      <c r="N2" t="s">
        <v>1581</v>
      </c>
      <c r="O2" t="s">
        <v>1597</v>
      </c>
      <c r="P2" t="s">
        <v>18</v>
      </c>
    </row>
    <row r="3" spans="1:16">
      <c r="A3" t="s">
        <v>1348</v>
      </c>
      <c r="B3" t="s">
        <v>1331</v>
      </c>
      <c r="C3">
        <v>2</v>
      </c>
      <c r="D3" t="s">
        <v>1538</v>
      </c>
      <c r="E3" t="s">
        <v>388</v>
      </c>
      <c r="H3" t="s">
        <v>1345</v>
      </c>
      <c r="I3" t="s">
        <v>388</v>
      </c>
      <c r="J3" t="s">
        <v>1562</v>
      </c>
      <c r="K3" t="s">
        <v>1593</v>
      </c>
      <c r="L3" t="s">
        <v>1592</v>
      </c>
      <c r="M3" t="s">
        <v>1580</v>
      </c>
      <c r="N3" t="s">
        <v>1581</v>
      </c>
      <c r="O3" t="s">
        <v>1597</v>
      </c>
      <c r="P3" t="s">
        <v>18</v>
      </c>
    </row>
    <row r="4" spans="1:16">
      <c r="A4" t="s">
        <v>1349</v>
      </c>
      <c r="B4" t="s">
        <v>1331</v>
      </c>
      <c r="C4">
        <v>1</v>
      </c>
      <c r="D4" t="s">
        <v>1539</v>
      </c>
      <c r="E4" t="s">
        <v>388</v>
      </c>
      <c r="H4" t="s">
        <v>1345</v>
      </c>
      <c r="I4" t="s">
        <v>388</v>
      </c>
      <c r="J4" t="s">
        <v>1563</v>
      </c>
      <c r="K4" t="s">
        <v>1593</v>
      </c>
      <c r="L4" t="s">
        <v>1592</v>
      </c>
      <c r="M4" t="s">
        <v>1580</v>
      </c>
      <c r="N4" t="s">
        <v>1581</v>
      </c>
      <c r="O4" t="s">
        <v>1597</v>
      </c>
      <c r="P4" t="s">
        <v>18</v>
      </c>
    </row>
    <row r="5" spans="1:16">
      <c r="A5" t="s">
        <v>1350</v>
      </c>
      <c r="B5" t="s">
        <v>1331</v>
      </c>
      <c r="C5">
        <v>1</v>
      </c>
      <c r="D5" t="s">
        <v>1540</v>
      </c>
      <c r="E5" t="s">
        <v>388</v>
      </c>
      <c r="H5" t="s">
        <v>1345</v>
      </c>
      <c r="I5" t="s">
        <v>388</v>
      </c>
      <c r="J5" t="s">
        <v>1564</v>
      </c>
      <c r="K5" t="s">
        <v>1593</v>
      </c>
      <c r="L5" t="s">
        <v>1592</v>
      </c>
      <c r="M5" t="s">
        <v>1580</v>
      </c>
      <c r="N5" t="s">
        <v>1581</v>
      </c>
      <c r="O5" t="s">
        <v>1597</v>
      </c>
      <c r="P5" t="s">
        <v>18</v>
      </c>
    </row>
  </sheetData>
  <pageMargins left="0.7" right="0.7" top="0.75" bottom="0.75" header="0.3" footer="0.3"/>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158040D-D590-431D-837C-D1C7E9C2A4F8}">
  <dimension ref="A1:T5"/>
  <sheetViews>
    <sheetView workbookViewId="0">
      <selection activeCell="I2" sqref="I2"/>
    </sheetView>
  </sheetViews>
  <sheetFormatPr defaultRowHeight="24" customHeight="1"/>
  <cols>
    <col min="4" max="4" width="34.6640625" customWidth="1"/>
    <col min="11" max="11" width="12.6640625" bestFit="1" customWidth="1"/>
    <col min="12" max="12" width="15.5546875" bestFit="1" customWidth="1"/>
  </cols>
  <sheetData>
    <row r="1" spans="1:20" ht="24" customHeight="1">
      <c r="A1" t="s">
        <v>1306</v>
      </c>
      <c r="B1" t="s">
        <v>1307</v>
      </c>
      <c r="C1" s="282" t="s">
        <v>1308</v>
      </c>
      <c r="D1" t="s">
        <v>1309</v>
      </c>
      <c r="E1" t="s">
        <v>1310</v>
      </c>
      <c r="F1" s="282" t="s">
        <v>1311</v>
      </c>
      <c r="G1" s="282" t="s">
        <v>1312</v>
      </c>
      <c r="H1" t="s">
        <v>1313</v>
      </c>
      <c r="I1" s="282" t="s">
        <v>1314</v>
      </c>
      <c r="J1" s="282" t="s">
        <v>1315</v>
      </c>
      <c r="K1" s="282" t="s">
        <v>1316</v>
      </c>
      <c r="L1" s="282" t="s">
        <v>1317</v>
      </c>
      <c r="M1" t="s">
        <v>1318</v>
      </c>
      <c r="N1" s="282" t="s">
        <v>1319</v>
      </c>
      <c r="O1" t="s">
        <v>1320</v>
      </c>
      <c r="P1" t="s">
        <v>32</v>
      </c>
      <c r="Q1" t="s">
        <v>1321</v>
      </c>
      <c r="R1" t="s">
        <v>34</v>
      </c>
      <c r="S1" t="s">
        <v>35</v>
      </c>
      <c r="T1" t="s">
        <v>1322</v>
      </c>
    </row>
    <row r="2" spans="1:20" ht="24" customHeight="1">
      <c r="A2" t="s">
        <v>1530</v>
      </c>
      <c r="C2">
        <v>5</v>
      </c>
      <c r="D2" t="s">
        <v>1529</v>
      </c>
      <c r="E2" t="s">
        <v>388</v>
      </c>
      <c r="H2" t="s">
        <v>1345</v>
      </c>
      <c r="I2" t="s">
        <v>1334</v>
      </c>
      <c r="J2" t="s">
        <v>1144</v>
      </c>
      <c r="K2" s="322">
        <v>44021</v>
      </c>
      <c r="L2" s="322">
        <v>44260</v>
      </c>
      <c r="M2" t="s">
        <v>388</v>
      </c>
      <c r="N2" t="s">
        <v>1545</v>
      </c>
      <c r="O2" t="s">
        <v>1593</v>
      </c>
      <c r="P2" t="s">
        <v>1592</v>
      </c>
      <c r="Q2" t="s">
        <v>1580</v>
      </c>
      <c r="R2" t="s">
        <v>1581</v>
      </c>
      <c r="S2" t="s">
        <v>1597</v>
      </c>
      <c r="T2" t="s">
        <v>18</v>
      </c>
    </row>
    <row r="3" spans="1:20" ht="24" customHeight="1">
      <c r="A3" t="s">
        <v>1531</v>
      </c>
      <c r="C3">
        <v>5</v>
      </c>
      <c r="D3" t="s">
        <v>1532</v>
      </c>
      <c r="E3" t="s">
        <v>388</v>
      </c>
      <c r="H3" t="s">
        <v>1345</v>
      </c>
      <c r="I3" t="s">
        <v>1334</v>
      </c>
      <c r="J3" t="s">
        <v>1144</v>
      </c>
      <c r="K3" s="322">
        <v>44086</v>
      </c>
      <c r="L3" s="322">
        <v>44258</v>
      </c>
      <c r="M3" t="s">
        <v>388</v>
      </c>
      <c r="N3" t="s">
        <v>1550</v>
      </c>
      <c r="O3" t="s">
        <v>1593</v>
      </c>
      <c r="P3" t="s">
        <v>1592</v>
      </c>
      <c r="Q3" t="s">
        <v>1580</v>
      </c>
      <c r="R3" t="s">
        <v>1581</v>
      </c>
      <c r="S3" t="s">
        <v>1597</v>
      </c>
      <c r="T3" t="s">
        <v>18</v>
      </c>
    </row>
    <row r="4" spans="1:20" ht="24" customHeight="1">
      <c r="A4" t="s">
        <v>1533</v>
      </c>
      <c r="C4">
        <v>5</v>
      </c>
      <c r="D4" t="s">
        <v>1534</v>
      </c>
      <c r="E4" t="s">
        <v>388</v>
      </c>
      <c r="H4" t="s">
        <v>1345</v>
      </c>
      <c r="I4" t="s">
        <v>1334</v>
      </c>
      <c r="J4" t="s">
        <v>1144</v>
      </c>
      <c r="K4" s="322">
        <v>44062</v>
      </c>
      <c r="L4" s="322">
        <v>44247</v>
      </c>
      <c r="M4" t="s">
        <v>388</v>
      </c>
      <c r="N4" t="s">
        <v>1555</v>
      </c>
      <c r="O4" t="s">
        <v>1593</v>
      </c>
      <c r="P4" t="s">
        <v>1592</v>
      </c>
      <c r="Q4" t="s">
        <v>1580</v>
      </c>
      <c r="R4" t="s">
        <v>1581</v>
      </c>
      <c r="S4" t="s">
        <v>1597</v>
      </c>
      <c r="T4" t="s">
        <v>18</v>
      </c>
    </row>
    <row r="5" spans="1:20" ht="24" customHeight="1">
      <c r="A5" t="s">
        <v>1535</v>
      </c>
      <c r="C5">
        <v>5</v>
      </c>
      <c r="D5" t="s">
        <v>1536</v>
      </c>
      <c r="E5" t="s">
        <v>388</v>
      </c>
      <c r="H5" t="s">
        <v>1345</v>
      </c>
      <c r="I5" t="s">
        <v>1334</v>
      </c>
      <c r="J5" t="s">
        <v>1144</v>
      </c>
      <c r="K5" s="322">
        <v>44116</v>
      </c>
      <c r="L5" s="322">
        <v>44265</v>
      </c>
      <c r="M5" t="s">
        <v>388</v>
      </c>
      <c r="N5" t="s">
        <v>1560</v>
      </c>
      <c r="O5" t="s">
        <v>1593</v>
      </c>
      <c r="P5" t="s">
        <v>1592</v>
      </c>
      <c r="Q5" t="s">
        <v>1580</v>
      </c>
      <c r="R5" t="s">
        <v>1581</v>
      </c>
      <c r="S5" t="s">
        <v>1597</v>
      </c>
      <c r="T5" t="s">
        <v>18</v>
      </c>
    </row>
  </sheetData>
  <pageMargins left="0.7" right="0.7" top="0.75" bottom="0.75" header="0.3" footer="0.3"/>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3B3010A-FBC7-4D28-8DE1-FC307AD86FBC}">
  <dimension ref="A1:C11"/>
  <sheetViews>
    <sheetView workbookViewId="0">
      <selection activeCell="B21" sqref="B21"/>
    </sheetView>
  </sheetViews>
  <sheetFormatPr defaultRowHeight="14.4"/>
  <cols>
    <col min="1" max="3" width="35.33203125" customWidth="1"/>
  </cols>
  <sheetData>
    <row r="1" spans="1:3">
      <c r="A1" t="s">
        <v>1284</v>
      </c>
      <c r="B1" t="s">
        <v>1285</v>
      </c>
      <c r="C1" t="s">
        <v>1286</v>
      </c>
    </row>
    <row r="2" spans="1:3">
      <c r="A2" t="s">
        <v>1543</v>
      </c>
      <c r="B2" t="s">
        <v>1149</v>
      </c>
      <c r="C2" t="s">
        <v>1345</v>
      </c>
    </row>
    <row r="3" spans="1:3">
      <c r="A3" t="s">
        <v>1542</v>
      </c>
      <c r="B3" t="s">
        <v>911</v>
      </c>
      <c r="C3" t="s">
        <v>1345</v>
      </c>
    </row>
    <row r="4" spans="1:3">
      <c r="A4" t="s">
        <v>1546</v>
      </c>
      <c r="B4" t="s">
        <v>910</v>
      </c>
      <c r="C4" t="s">
        <v>1345</v>
      </c>
    </row>
    <row r="5" spans="1:3">
      <c r="A5" t="s">
        <v>1548</v>
      </c>
      <c r="B5" t="s">
        <v>1149</v>
      </c>
      <c r="C5" t="s">
        <v>1345</v>
      </c>
    </row>
    <row r="6" spans="1:3">
      <c r="A6" t="s">
        <v>1555</v>
      </c>
      <c r="B6" t="s">
        <v>1356</v>
      </c>
      <c r="C6" t="s">
        <v>1345</v>
      </c>
    </row>
    <row r="7" spans="1:3">
      <c r="A7" t="s">
        <v>1560</v>
      </c>
      <c r="B7" t="s">
        <v>1356</v>
      </c>
      <c r="C7" t="s">
        <v>1345</v>
      </c>
    </row>
    <row r="8" spans="1:3">
      <c r="A8" t="s">
        <v>1561</v>
      </c>
      <c r="B8" t="s">
        <v>1355</v>
      </c>
      <c r="C8" t="s">
        <v>1345</v>
      </c>
    </row>
    <row r="9" spans="1:3">
      <c r="A9" t="s">
        <v>1562</v>
      </c>
      <c r="B9" t="s">
        <v>1357</v>
      </c>
      <c r="C9" t="s">
        <v>1345</v>
      </c>
    </row>
    <row r="10" spans="1:3">
      <c r="A10" t="s">
        <v>1563</v>
      </c>
      <c r="B10" t="s">
        <v>1354</v>
      </c>
      <c r="C10" t="s">
        <v>1345</v>
      </c>
    </row>
    <row r="11" spans="1:3">
      <c r="A11" t="s">
        <v>1564</v>
      </c>
      <c r="B11" t="s">
        <v>1238</v>
      </c>
      <c r="C11" t="s">
        <v>1345</v>
      </c>
    </row>
  </sheetData>
  <sortState xmlns:xlrd2="http://schemas.microsoft.com/office/spreadsheetml/2017/richdata2" ref="A2:C12">
    <sortCondition ref="A2:A12"/>
  </sortState>
  <pageMargins left="0.7" right="0.7" top="0.75" bottom="0.75" header="0.3" footer="0.3"/>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3FB60C2-02FE-4132-B41A-21EF9FB400DD}">
  <dimension ref="A1:I11"/>
  <sheetViews>
    <sheetView workbookViewId="0">
      <selection activeCell="K34" sqref="K34"/>
    </sheetView>
  </sheetViews>
  <sheetFormatPr defaultRowHeight="14.4"/>
  <cols>
    <col min="1" max="1" width="35.6640625" customWidth="1"/>
    <col min="2" max="10" width="8.33203125" customWidth="1"/>
  </cols>
  <sheetData>
    <row r="1" spans="1:9">
      <c r="A1" t="s">
        <v>920</v>
      </c>
      <c r="B1" t="s">
        <v>1530</v>
      </c>
      <c r="C1" t="s">
        <v>1531</v>
      </c>
      <c r="D1" t="s">
        <v>1533</v>
      </c>
      <c r="E1" t="s">
        <v>1535</v>
      </c>
      <c r="F1" t="s">
        <v>1347</v>
      </c>
      <c r="G1" t="s">
        <v>1348</v>
      </c>
      <c r="H1" t="s">
        <v>1349</v>
      </c>
      <c r="I1" t="s">
        <v>1350</v>
      </c>
    </row>
    <row r="2" spans="1:9">
      <c r="A2" t="s">
        <v>1543</v>
      </c>
      <c r="B2" t="s">
        <v>1303</v>
      </c>
    </row>
    <row r="3" spans="1:9">
      <c r="A3" t="s">
        <v>1542</v>
      </c>
      <c r="B3" t="s">
        <v>1303</v>
      </c>
    </row>
    <row r="4" spans="1:9">
      <c r="A4" t="s">
        <v>1546</v>
      </c>
      <c r="C4" t="s">
        <v>1303</v>
      </c>
    </row>
    <row r="5" spans="1:9">
      <c r="A5" t="s">
        <v>1548</v>
      </c>
      <c r="C5" t="s">
        <v>1303</v>
      </c>
    </row>
    <row r="6" spans="1:9">
      <c r="A6" t="s">
        <v>1555</v>
      </c>
      <c r="D6" t="s">
        <v>1303</v>
      </c>
    </row>
    <row r="7" spans="1:9">
      <c r="A7" t="s">
        <v>1560</v>
      </c>
      <c r="E7" t="s">
        <v>1303</v>
      </c>
    </row>
    <row r="8" spans="1:9">
      <c r="A8" t="s">
        <v>1561</v>
      </c>
      <c r="F8" t="s">
        <v>1303</v>
      </c>
    </row>
    <row r="9" spans="1:9">
      <c r="A9" t="s">
        <v>1562</v>
      </c>
      <c r="G9" t="s">
        <v>1303</v>
      </c>
    </row>
    <row r="10" spans="1:9">
      <c r="A10" t="s">
        <v>1563</v>
      </c>
      <c r="H10" t="s">
        <v>1303</v>
      </c>
    </row>
    <row r="11" spans="1:9">
      <c r="A11" t="s">
        <v>1564</v>
      </c>
      <c r="I11" t="s">
        <v>1303</v>
      </c>
    </row>
  </sheetData>
  <pageMargins left="0.7" right="0.7" top="0.75" bottom="0.75" header="0.3" footer="0.3"/>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5C6FBA6-9CEE-429C-83EB-7F4224CD7FE6}">
  <dimension ref="A1:T11"/>
  <sheetViews>
    <sheetView workbookViewId="0">
      <selection activeCell="G25" sqref="G25"/>
    </sheetView>
  </sheetViews>
  <sheetFormatPr defaultRowHeight="14.4"/>
  <cols>
    <col min="1" max="1" width="33.33203125" customWidth="1"/>
    <col min="2" max="20" width="6.33203125" customWidth="1"/>
  </cols>
  <sheetData>
    <row r="1" spans="1:20">
      <c r="A1" t="s">
        <v>920</v>
      </c>
      <c r="B1" t="s">
        <v>884</v>
      </c>
      <c r="C1" t="s">
        <v>835</v>
      </c>
      <c r="D1" t="s">
        <v>885</v>
      </c>
      <c r="E1" t="s">
        <v>883</v>
      </c>
      <c r="F1" t="s">
        <v>882</v>
      </c>
      <c r="G1" t="s">
        <v>881</v>
      </c>
      <c r="H1" t="s">
        <v>890</v>
      </c>
      <c r="I1" t="s">
        <v>892</v>
      </c>
      <c r="J1" t="s">
        <v>891</v>
      </c>
      <c r="K1" t="s">
        <v>889</v>
      </c>
      <c r="L1" t="s">
        <v>753</v>
      </c>
      <c r="M1" t="s">
        <v>893</v>
      </c>
      <c r="N1" t="s">
        <v>894</v>
      </c>
      <c r="O1" t="s">
        <v>751</v>
      </c>
      <c r="P1" t="s">
        <v>888</v>
      </c>
      <c r="Q1" t="s">
        <v>887</v>
      </c>
      <c r="R1" t="s">
        <v>886</v>
      </c>
      <c r="S1" t="s">
        <v>908</v>
      </c>
      <c r="T1" t="s">
        <v>909</v>
      </c>
    </row>
    <row r="2" spans="1:20">
      <c r="A2" t="s">
        <v>1543</v>
      </c>
      <c r="D2" t="s">
        <v>1303</v>
      </c>
      <c r="E2" t="s">
        <v>1303</v>
      </c>
      <c r="F2" t="s">
        <v>1303</v>
      </c>
      <c r="G2" t="s">
        <v>1303</v>
      </c>
    </row>
    <row r="3" spans="1:20">
      <c r="A3" t="s">
        <v>1542</v>
      </c>
      <c r="E3" t="s">
        <v>1303</v>
      </c>
      <c r="F3" t="s">
        <v>1303</v>
      </c>
    </row>
    <row r="4" spans="1:20">
      <c r="A4" t="s">
        <v>1546</v>
      </c>
      <c r="B4" t="s">
        <v>1303</v>
      </c>
      <c r="E4" t="s">
        <v>1303</v>
      </c>
    </row>
    <row r="5" spans="1:20">
      <c r="A5" t="s">
        <v>1548</v>
      </c>
      <c r="D5" t="s">
        <v>1303</v>
      </c>
      <c r="E5" t="s">
        <v>1303</v>
      </c>
      <c r="F5" t="s">
        <v>1303</v>
      </c>
      <c r="G5" t="s">
        <v>1303</v>
      </c>
    </row>
    <row r="6" spans="1:20">
      <c r="A6" t="s">
        <v>1555</v>
      </c>
      <c r="E6" t="s">
        <v>1303</v>
      </c>
      <c r="H6" t="s">
        <v>1303</v>
      </c>
      <c r="I6" t="s">
        <v>1303</v>
      </c>
      <c r="J6" t="s">
        <v>1303</v>
      </c>
      <c r="K6" t="s">
        <v>1303</v>
      </c>
      <c r="M6" t="s">
        <v>1303</v>
      </c>
      <c r="N6" t="s">
        <v>1303</v>
      </c>
    </row>
    <row r="7" spans="1:20">
      <c r="A7" t="s">
        <v>1560</v>
      </c>
      <c r="E7" t="s">
        <v>1303</v>
      </c>
      <c r="H7" t="s">
        <v>1303</v>
      </c>
      <c r="I7" t="s">
        <v>1303</v>
      </c>
      <c r="J7" t="s">
        <v>1303</v>
      </c>
      <c r="K7" t="s">
        <v>1303</v>
      </c>
      <c r="M7" t="s">
        <v>1303</v>
      </c>
      <c r="N7" t="s">
        <v>1303</v>
      </c>
    </row>
    <row r="8" spans="1:20">
      <c r="A8" t="s">
        <v>1561</v>
      </c>
      <c r="O8" t="s">
        <v>1303</v>
      </c>
    </row>
    <row r="9" spans="1:20">
      <c r="A9" t="s">
        <v>1562</v>
      </c>
      <c r="M9" t="s">
        <v>1303</v>
      </c>
      <c r="N9" t="s">
        <v>1303</v>
      </c>
      <c r="P9" t="s">
        <v>1303</v>
      </c>
      <c r="Q9" t="s">
        <v>1303</v>
      </c>
      <c r="R9" t="s">
        <v>1303</v>
      </c>
    </row>
    <row r="10" spans="1:20">
      <c r="A10" t="s">
        <v>1563</v>
      </c>
      <c r="L10" t="s">
        <v>1303</v>
      </c>
    </row>
    <row r="11" spans="1:20">
      <c r="A11" t="s">
        <v>1564</v>
      </c>
      <c r="C11" t="s">
        <v>1303</v>
      </c>
    </row>
  </sheetData>
  <pageMargins left="0.7" right="0.7" top="0.75" bottom="0.75" header="0.3" footer="0.3"/>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29653C2-4B0E-40F2-B228-A10F42D6D88B}">
  <sheetPr codeName="Sheet34"/>
  <dimension ref="B2:AB89"/>
  <sheetViews>
    <sheetView zoomScale="70" zoomScaleNormal="70" workbookViewId="0">
      <selection activeCell="AD38" sqref="AD38"/>
    </sheetView>
  </sheetViews>
  <sheetFormatPr defaultColWidth="8.6640625" defaultRowHeight="14.4"/>
  <cols>
    <col min="1" max="22" width="8.6640625" style="195"/>
    <col min="23" max="23" width="8.6640625" style="195" hidden="1" customWidth="1"/>
    <col min="24" max="26" width="8.6640625" style="195"/>
    <col min="27" max="27" width="11.77734375" style="195" customWidth="1"/>
    <col min="28" max="28" width="8.6640625" style="195" customWidth="1"/>
    <col min="29" max="16384" width="8.6640625" style="195"/>
  </cols>
  <sheetData>
    <row r="2" spans="2:28" ht="93.6">
      <c r="B2" s="574" t="s">
        <v>1080</v>
      </c>
      <c r="C2" s="574" t="s">
        <v>1081</v>
      </c>
      <c r="D2" s="568" t="s">
        <v>1082</v>
      </c>
      <c r="E2" s="570"/>
      <c r="F2" s="571" t="s">
        <v>1083</v>
      </c>
      <c r="G2" s="573"/>
      <c r="H2" s="568" t="s">
        <v>1084</v>
      </c>
      <c r="I2" s="569"/>
      <c r="J2" s="569"/>
      <c r="K2" s="570"/>
      <c r="L2" s="571" t="s">
        <v>1085</v>
      </c>
      <c r="M2" s="572"/>
      <c r="N2" s="573"/>
      <c r="O2" s="209" t="s">
        <v>1086</v>
      </c>
      <c r="P2" s="210" t="s">
        <v>1087</v>
      </c>
      <c r="Q2" s="568" t="s">
        <v>1088</v>
      </c>
      <c r="R2" s="569"/>
      <c r="S2" s="570"/>
      <c r="T2" s="571" t="s">
        <v>1089</v>
      </c>
      <c r="U2" s="572"/>
      <c r="V2" s="573"/>
      <c r="W2" s="206" t="s">
        <v>1090</v>
      </c>
    </row>
    <row r="3" spans="2:28" ht="15.6">
      <c r="B3" s="575"/>
      <c r="C3" s="575"/>
      <c r="D3" s="284" t="s">
        <v>908</v>
      </c>
      <c r="E3" s="284" t="s">
        <v>909</v>
      </c>
      <c r="F3" s="285" t="s">
        <v>882</v>
      </c>
      <c r="G3" s="285" t="s">
        <v>881</v>
      </c>
      <c r="H3" s="284" t="s">
        <v>883</v>
      </c>
      <c r="I3" s="284" t="s">
        <v>885</v>
      </c>
      <c r="J3" s="284" t="s">
        <v>835</v>
      </c>
      <c r="K3" s="284" t="s">
        <v>884</v>
      </c>
      <c r="L3" s="285" t="s">
        <v>888</v>
      </c>
      <c r="M3" s="285" t="s">
        <v>887</v>
      </c>
      <c r="N3" s="285" t="s">
        <v>886</v>
      </c>
      <c r="O3" s="284" t="s">
        <v>889</v>
      </c>
      <c r="P3" s="285" t="s">
        <v>753</v>
      </c>
      <c r="Q3" s="284" t="s">
        <v>891</v>
      </c>
      <c r="R3" s="284" t="s">
        <v>892</v>
      </c>
      <c r="S3" s="284" t="s">
        <v>890</v>
      </c>
      <c r="T3" s="285" t="s">
        <v>893</v>
      </c>
      <c r="U3" s="285" t="s">
        <v>894</v>
      </c>
      <c r="V3" s="285" t="s">
        <v>751</v>
      </c>
      <c r="W3" s="206" t="s">
        <v>895</v>
      </c>
    </row>
    <row r="4" spans="2:28" ht="12" customHeight="1">
      <c r="B4" s="202"/>
      <c r="C4" s="202"/>
      <c r="D4" s="202"/>
      <c r="E4" s="202"/>
      <c r="F4" s="202"/>
      <c r="G4" s="202"/>
      <c r="H4" s="202"/>
      <c r="I4" s="202"/>
      <c r="J4" s="202"/>
      <c r="K4" s="202"/>
      <c r="L4" s="202"/>
      <c r="M4" s="202"/>
      <c r="N4" s="202"/>
      <c r="O4" s="202"/>
      <c r="P4" s="202"/>
      <c r="Q4" s="202"/>
      <c r="R4" s="202"/>
      <c r="S4" s="202"/>
      <c r="T4" s="202"/>
      <c r="U4" s="202"/>
      <c r="V4" s="202"/>
      <c r="W4" s="196"/>
    </row>
    <row r="5" spans="2:28" ht="15" customHeight="1">
      <c r="B5" s="565" t="s">
        <v>1091</v>
      </c>
      <c r="C5" s="213"/>
      <c r="D5" s="287"/>
      <c r="E5" s="287"/>
      <c r="F5" s="287"/>
      <c r="G5" s="287"/>
      <c r="H5" s="287"/>
      <c r="I5" s="287"/>
      <c r="J5" s="287"/>
      <c r="K5" s="287"/>
      <c r="L5" s="287"/>
      <c r="M5" s="287"/>
      <c r="N5" s="287"/>
      <c r="O5" s="287"/>
      <c r="P5" s="287"/>
      <c r="Q5" s="287"/>
      <c r="R5" s="287"/>
      <c r="S5" s="287"/>
      <c r="T5" s="287"/>
      <c r="U5" s="287"/>
      <c r="V5" s="287"/>
      <c r="W5" s="196" t="s">
        <v>1096</v>
      </c>
      <c r="Z5" s="450" t="s">
        <v>1714</v>
      </c>
    </row>
    <row r="6" spans="2:28" ht="15" customHeight="1">
      <c r="B6" s="566"/>
      <c r="C6" s="285">
        <v>1.1000000000000001</v>
      </c>
      <c r="D6" s="288"/>
      <c r="E6" s="288"/>
      <c r="F6" s="288"/>
      <c r="G6" s="288"/>
      <c r="H6" s="288"/>
      <c r="I6" s="288"/>
      <c r="J6" s="288"/>
      <c r="K6" s="288"/>
      <c r="L6" s="288"/>
      <c r="M6" s="288"/>
      <c r="N6" s="288"/>
      <c r="O6" s="288"/>
      <c r="P6" s="288"/>
      <c r="Q6" s="288"/>
      <c r="R6" s="288"/>
      <c r="S6" s="288"/>
      <c r="T6" s="288"/>
      <c r="U6" s="288"/>
      <c r="V6" s="288"/>
      <c r="W6" s="196" t="s">
        <v>1094</v>
      </c>
    </row>
    <row r="7" spans="2:28" ht="15" customHeight="1">
      <c r="B7" s="566"/>
      <c r="C7" s="285">
        <v>1.2</v>
      </c>
      <c r="D7" s="288"/>
      <c r="E7" s="288"/>
      <c r="F7" s="288"/>
      <c r="G7" s="288"/>
      <c r="H7" s="288"/>
      <c r="I7" s="288"/>
      <c r="J7" s="288"/>
      <c r="K7" s="288"/>
      <c r="L7" s="288"/>
      <c r="M7" s="288"/>
      <c r="N7" s="288"/>
      <c r="O7" s="288"/>
      <c r="P7" s="288"/>
      <c r="Q7" s="288"/>
      <c r="R7" s="288"/>
      <c r="S7" s="288"/>
      <c r="T7" s="288"/>
      <c r="U7" s="288"/>
      <c r="V7" s="288"/>
      <c r="W7" s="196" t="s">
        <v>912</v>
      </c>
      <c r="Z7" s="195" t="s">
        <v>1712</v>
      </c>
      <c r="AB7" s="449" t="s">
        <v>1095</v>
      </c>
    </row>
    <row r="8" spans="2:28" ht="15" customHeight="1">
      <c r="B8" s="567"/>
      <c r="C8" s="285">
        <v>1.3</v>
      </c>
      <c r="D8" s="288"/>
      <c r="E8" s="288"/>
      <c r="F8" s="288"/>
      <c r="G8" s="288"/>
      <c r="H8" s="288"/>
      <c r="I8" s="288"/>
      <c r="J8" s="288"/>
      <c r="K8" s="288"/>
      <c r="L8" s="288"/>
      <c r="M8" s="288"/>
      <c r="N8" s="288"/>
      <c r="O8" s="288"/>
      <c r="P8" s="288"/>
      <c r="Q8" s="288"/>
      <c r="R8" s="288"/>
      <c r="S8" s="288"/>
      <c r="T8" s="288"/>
      <c r="U8" s="288"/>
      <c r="V8" s="288"/>
      <c r="W8" s="196" t="s">
        <v>1093</v>
      </c>
      <c r="Z8" s="195" t="s">
        <v>1713</v>
      </c>
      <c r="AB8" s="449" t="s">
        <v>1096</v>
      </c>
    </row>
    <row r="9" spans="2:28" ht="15" customHeight="1">
      <c r="B9" s="202"/>
      <c r="C9" s="202"/>
      <c r="D9" s="202"/>
      <c r="E9" s="202"/>
      <c r="F9" s="202"/>
      <c r="G9" s="202"/>
      <c r="H9" s="202"/>
      <c r="I9" s="202"/>
      <c r="J9" s="202"/>
      <c r="K9" s="202"/>
      <c r="L9" s="202"/>
      <c r="M9" s="202"/>
      <c r="N9" s="202"/>
      <c r="O9" s="202"/>
      <c r="P9" s="202"/>
      <c r="Q9" s="202"/>
      <c r="R9" s="202"/>
      <c r="S9" s="202"/>
      <c r="T9" s="202"/>
      <c r="U9" s="202"/>
      <c r="V9" s="202"/>
      <c r="W9" s="196" t="s">
        <v>1093</v>
      </c>
    </row>
    <row r="10" spans="2:28" ht="15" customHeight="1">
      <c r="B10" s="565" t="s">
        <v>1097</v>
      </c>
      <c r="C10" s="213"/>
      <c r="D10" s="286"/>
      <c r="E10" s="286"/>
      <c r="F10" s="286"/>
      <c r="G10" s="286"/>
      <c r="H10" s="286"/>
      <c r="I10" s="286"/>
      <c r="J10" s="286"/>
      <c r="K10" s="286"/>
      <c r="L10" s="286"/>
      <c r="M10" s="286"/>
      <c r="N10" s="286"/>
      <c r="O10" s="286"/>
      <c r="P10" s="286"/>
      <c r="Q10" s="286"/>
      <c r="R10" s="286"/>
      <c r="S10" s="286"/>
      <c r="T10" s="286"/>
      <c r="U10" s="286"/>
      <c r="V10" s="286"/>
      <c r="W10" s="207"/>
      <c r="Z10" s="450" t="s">
        <v>1720</v>
      </c>
    </row>
    <row r="11" spans="2:28" ht="15" customHeight="1">
      <c r="B11" s="566"/>
      <c r="C11" s="285">
        <v>2.1</v>
      </c>
      <c r="D11" s="213"/>
      <c r="E11" s="213"/>
      <c r="F11" s="213"/>
      <c r="G11" s="213"/>
      <c r="H11" s="213"/>
      <c r="I11" s="424" t="s">
        <v>1651</v>
      </c>
      <c r="J11" s="213"/>
      <c r="K11" s="213"/>
      <c r="L11" s="213"/>
      <c r="M11" s="213"/>
      <c r="N11" s="213"/>
      <c r="O11" s="213"/>
      <c r="P11" s="213"/>
      <c r="Q11" s="213"/>
      <c r="R11" s="213"/>
      <c r="S11" s="213"/>
      <c r="T11" s="213"/>
      <c r="U11" s="213"/>
      <c r="V11" s="213"/>
      <c r="W11" s="196"/>
    </row>
    <row r="12" spans="2:28" ht="15" customHeight="1">
      <c r="B12" s="566"/>
      <c r="C12" s="285">
        <v>2.2000000000000002</v>
      </c>
      <c r="D12" s="213"/>
      <c r="E12" s="213"/>
      <c r="F12" s="213"/>
      <c r="G12" s="213"/>
      <c r="H12" s="213"/>
      <c r="I12" s="213"/>
      <c r="J12" s="213"/>
      <c r="K12" s="213"/>
      <c r="L12" s="213"/>
      <c r="M12" s="213"/>
      <c r="N12" s="213"/>
      <c r="O12" s="213"/>
      <c r="P12" s="213"/>
      <c r="Q12" s="213"/>
      <c r="R12" s="213"/>
      <c r="S12" s="213"/>
      <c r="T12" s="213"/>
      <c r="U12" s="213"/>
      <c r="V12" s="213"/>
      <c r="W12" s="196" t="s">
        <v>1094</v>
      </c>
      <c r="Z12" s="195" t="s">
        <v>1715</v>
      </c>
      <c r="AB12" s="448" t="s">
        <v>1092</v>
      </c>
    </row>
    <row r="13" spans="2:28" ht="15" customHeight="1">
      <c r="B13" s="566"/>
      <c r="C13" s="285">
        <v>2.2999999999999998</v>
      </c>
      <c r="D13" s="213"/>
      <c r="E13" s="213"/>
      <c r="F13" s="213"/>
      <c r="G13" s="213"/>
      <c r="H13" s="213"/>
      <c r="I13" s="213"/>
      <c r="J13" s="213"/>
      <c r="K13" s="213"/>
      <c r="L13" s="213"/>
      <c r="M13" s="213"/>
      <c r="N13" s="213"/>
      <c r="O13" s="213"/>
      <c r="P13" s="213"/>
      <c r="Q13" s="213"/>
      <c r="R13" s="213"/>
      <c r="S13" s="213"/>
      <c r="T13" s="213"/>
      <c r="U13" s="213"/>
      <c r="V13" s="213"/>
      <c r="W13" s="196" t="s">
        <v>1094</v>
      </c>
      <c r="Z13" s="195" t="s">
        <v>1716</v>
      </c>
      <c r="AB13" s="448" t="s">
        <v>1093</v>
      </c>
    </row>
    <row r="14" spans="2:28" ht="15" customHeight="1">
      <c r="B14" s="566"/>
      <c r="C14" s="285">
        <v>2.4</v>
      </c>
      <c r="D14" s="213"/>
      <c r="E14" s="213"/>
      <c r="F14" s="213"/>
      <c r="G14" s="213"/>
      <c r="H14" s="213"/>
      <c r="I14" s="213"/>
      <c r="J14" s="213"/>
      <c r="K14" s="213"/>
      <c r="L14" s="213"/>
      <c r="M14" s="213"/>
      <c r="N14" s="213"/>
      <c r="O14" s="213"/>
      <c r="P14" s="213"/>
      <c r="Q14" s="213"/>
      <c r="R14" s="213"/>
      <c r="S14" s="213"/>
      <c r="T14" s="213"/>
      <c r="U14" s="213"/>
      <c r="V14" s="213"/>
      <c r="W14" s="196" t="s">
        <v>1092</v>
      </c>
      <c r="Z14" s="195" t="s">
        <v>1717</v>
      </c>
      <c r="AB14" s="448" t="s">
        <v>912</v>
      </c>
    </row>
    <row r="15" spans="2:28" ht="15" customHeight="1">
      <c r="B15" s="566"/>
      <c r="C15" s="285">
        <v>2.5</v>
      </c>
      <c r="D15" s="213"/>
      <c r="E15" s="213"/>
      <c r="F15" s="213"/>
      <c r="G15" s="213"/>
      <c r="H15" s="213"/>
      <c r="I15" s="213"/>
      <c r="J15" s="213"/>
      <c r="K15" s="213"/>
      <c r="L15" s="213"/>
      <c r="M15" s="213"/>
      <c r="N15" s="213"/>
      <c r="O15" s="213"/>
      <c r="P15" s="213"/>
      <c r="Q15" s="213"/>
      <c r="R15" s="213"/>
      <c r="S15" s="213"/>
      <c r="T15" s="213"/>
      <c r="U15" s="213"/>
      <c r="V15" s="213"/>
      <c r="W15" s="196" t="s">
        <v>1093</v>
      </c>
      <c r="Z15" s="195" t="s">
        <v>1718</v>
      </c>
      <c r="AB15" s="448" t="s">
        <v>1094</v>
      </c>
    </row>
    <row r="16" spans="2:28" ht="15" customHeight="1">
      <c r="B16" s="566"/>
      <c r="C16" s="285">
        <v>2.6</v>
      </c>
      <c r="D16" s="213"/>
      <c r="E16" s="213"/>
      <c r="F16" s="213"/>
      <c r="G16" s="213"/>
      <c r="H16" s="213"/>
      <c r="I16" s="213"/>
      <c r="J16" s="213"/>
      <c r="K16" s="213"/>
      <c r="L16" s="213"/>
      <c r="M16" s="213"/>
      <c r="N16" s="213"/>
      <c r="O16" s="213"/>
      <c r="P16" s="213"/>
      <c r="Q16" s="213"/>
      <c r="R16" s="213"/>
      <c r="S16" s="213"/>
      <c r="T16" s="213"/>
      <c r="U16" s="213"/>
      <c r="V16" s="213"/>
      <c r="W16" s="196"/>
      <c r="Z16" s="195" t="s">
        <v>1719</v>
      </c>
      <c r="AB16" s="448" t="s">
        <v>1098</v>
      </c>
    </row>
    <row r="17" spans="2:23" ht="15" customHeight="1">
      <c r="B17" s="566"/>
      <c r="C17" s="285">
        <v>2.7</v>
      </c>
      <c r="D17" s="213"/>
      <c r="E17" s="213"/>
      <c r="F17" s="213"/>
      <c r="G17" s="213"/>
      <c r="H17" s="213"/>
      <c r="I17" s="213"/>
      <c r="J17" s="213"/>
      <c r="K17" s="213"/>
      <c r="L17" s="213"/>
      <c r="M17" s="213"/>
      <c r="N17" s="213"/>
      <c r="O17" s="213"/>
      <c r="P17" s="213"/>
      <c r="Q17" s="213"/>
      <c r="R17" s="213"/>
      <c r="S17" s="213"/>
      <c r="T17" s="213"/>
      <c r="U17" s="213"/>
      <c r="V17" s="213"/>
      <c r="W17" s="196"/>
    </row>
    <row r="18" spans="2:23" ht="15" customHeight="1">
      <c r="B18" s="567"/>
      <c r="C18" s="285">
        <v>2.8</v>
      </c>
      <c r="D18" s="213"/>
      <c r="E18" s="213"/>
      <c r="F18" s="213"/>
      <c r="G18" s="213"/>
      <c r="H18" s="213"/>
      <c r="I18" s="213"/>
      <c r="J18" s="213"/>
      <c r="K18" s="213"/>
      <c r="L18" s="213"/>
      <c r="M18" s="213"/>
      <c r="N18" s="213"/>
      <c r="O18" s="213"/>
      <c r="P18" s="213"/>
      <c r="Q18" s="213"/>
      <c r="R18" s="213"/>
      <c r="S18" s="213"/>
      <c r="T18" s="213"/>
      <c r="U18" s="213"/>
      <c r="V18" s="213"/>
      <c r="W18" s="196"/>
    </row>
    <row r="19" spans="2:23" ht="15" customHeight="1">
      <c r="B19" s="202"/>
      <c r="C19" s="202"/>
      <c r="D19" s="202"/>
      <c r="E19" s="202"/>
      <c r="F19" s="202"/>
      <c r="G19" s="202"/>
      <c r="H19" s="202"/>
      <c r="I19" s="202"/>
      <c r="J19" s="202"/>
      <c r="K19" s="202"/>
      <c r="L19" s="202"/>
      <c r="M19" s="202"/>
      <c r="N19" s="202"/>
      <c r="O19" s="202"/>
      <c r="P19" s="202"/>
      <c r="Q19" s="202"/>
      <c r="R19" s="202"/>
      <c r="S19" s="202"/>
      <c r="T19" s="202"/>
      <c r="U19" s="202"/>
      <c r="V19" s="202"/>
      <c r="W19" s="196"/>
    </row>
    <row r="20" spans="2:23" ht="12" customHeight="1">
      <c r="B20" s="565" t="s">
        <v>1099</v>
      </c>
      <c r="C20" s="213"/>
      <c r="D20" s="286"/>
      <c r="E20" s="286"/>
      <c r="F20" s="286"/>
      <c r="G20" s="286"/>
      <c r="H20" s="286"/>
      <c r="I20" s="286"/>
      <c r="J20" s="286"/>
      <c r="K20" s="286"/>
      <c r="L20" s="286"/>
      <c r="M20" s="286"/>
      <c r="N20" s="286"/>
      <c r="O20" s="286"/>
      <c r="P20" s="286"/>
      <c r="Q20" s="286"/>
      <c r="R20" s="286"/>
      <c r="S20" s="286"/>
      <c r="T20" s="286"/>
      <c r="U20" s="286"/>
      <c r="V20" s="213"/>
      <c r="W20" s="207"/>
    </row>
    <row r="21" spans="2:23" ht="15.6">
      <c r="B21" s="566"/>
      <c r="C21" s="285">
        <v>3.1</v>
      </c>
      <c r="D21" s="213"/>
      <c r="E21" s="213"/>
      <c r="F21" s="213"/>
      <c r="G21" s="213"/>
      <c r="H21" s="213"/>
      <c r="I21" s="213"/>
      <c r="J21" s="213"/>
      <c r="K21" s="213"/>
      <c r="L21" s="213"/>
      <c r="M21" s="213"/>
      <c r="N21" s="213"/>
      <c r="O21" s="213"/>
      <c r="P21" s="213"/>
      <c r="Q21" s="213"/>
      <c r="R21" s="213"/>
      <c r="S21" s="213"/>
      <c r="T21" s="213"/>
      <c r="U21" s="213"/>
      <c r="V21" s="213"/>
      <c r="W21" s="196"/>
    </row>
    <row r="22" spans="2:23" ht="15.6">
      <c r="B22" s="566"/>
      <c r="C22" s="285">
        <v>3.2</v>
      </c>
      <c r="D22" s="213"/>
      <c r="E22" s="213"/>
      <c r="F22" s="213"/>
      <c r="G22" s="213"/>
      <c r="H22" s="213"/>
      <c r="I22" s="213"/>
      <c r="J22" s="213"/>
      <c r="K22" s="213"/>
      <c r="L22" s="213"/>
      <c r="M22" s="213"/>
      <c r="N22" s="213"/>
      <c r="O22" s="213"/>
      <c r="P22" s="213"/>
      <c r="Q22" s="213"/>
      <c r="R22" s="213"/>
      <c r="S22" s="213"/>
      <c r="T22" s="213"/>
      <c r="U22" s="213"/>
      <c r="V22" s="213"/>
      <c r="W22" s="196" t="s">
        <v>1094</v>
      </c>
    </row>
    <row r="23" spans="2:23" ht="15.6">
      <c r="B23" s="566"/>
      <c r="C23" s="285">
        <v>3.3</v>
      </c>
      <c r="D23" s="213"/>
      <c r="E23" s="213"/>
      <c r="F23" s="213"/>
      <c r="G23" s="213"/>
      <c r="H23" s="213"/>
      <c r="I23" s="213"/>
      <c r="J23" s="213"/>
      <c r="K23" s="213"/>
      <c r="L23" s="213"/>
      <c r="M23" s="213"/>
      <c r="N23" s="213"/>
      <c r="O23" s="213"/>
      <c r="P23" s="213"/>
      <c r="Q23" s="213"/>
      <c r="R23" s="213"/>
      <c r="S23" s="213"/>
      <c r="T23" s="213"/>
      <c r="U23" s="213"/>
      <c r="V23" s="213"/>
      <c r="W23" s="196" t="s">
        <v>1094</v>
      </c>
    </row>
    <row r="24" spans="2:23" ht="15.6">
      <c r="B24" s="566"/>
      <c r="C24" s="285">
        <v>3.4</v>
      </c>
      <c r="D24" s="213"/>
      <c r="E24" s="213"/>
      <c r="F24" s="213"/>
      <c r="G24" s="213"/>
      <c r="H24" s="213"/>
      <c r="I24" s="213"/>
      <c r="J24" s="213"/>
      <c r="K24" s="213"/>
      <c r="L24" s="213"/>
      <c r="M24" s="213"/>
      <c r="N24" s="213"/>
      <c r="O24" s="213"/>
      <c r="P24" s="213"/>
      <c r="Q24" s="213"/>
      <c r="R24" s="213"/>
      <c r="S24" s="213"/>
      <c r="T24" s="213"/>
      <c r="U24" s="213"/>
      <c r="V24" s="213"/>
      <c r="W24" s="196"/>
    </row>
    <row r="25" spans="2:23" ht="15.6">
      <c r="B25" s="566"/>
      <c r="C25" s="285">
        <v>3.5</v>
      </c>
      <c r="D25" s="213"/>
      <c r="E25" s="213"/>
      <c r="F25" s="213"/>
      <c r="G25" s="213"/>
      <c r="H25" s="213"/>
      <c r="I25" s="213"/>
      <c r="J25" s="213"/>
      <c r="K25" s="213"/>
      <c r="L25" s="213"/>
      <c r="M25" s="213"/>
      <c r="N25" s="213"/>
      <c r="O25" s="213"/>
      <c r="P25" s="213"/>
      <c r="Q25" s="213"/>
      <c r="R25" s="213"/>
      <c r="S25" s="213"/>
      <c r="T25" s="213"/>
      <c r="U25" s="213"/>
      <c r="V25" s="213"/>
      <c r="W25" s="196"/>
    </row>
    <row r="26" spans="2:23" ht="15.6">
      <c r="B26" s="566"/>
      <c r="C26" s="285">
        <v>3.6</v>
      </c>
      <c r="D26" s="213"/>
      <c r="E26" s="213"/>
      <c r="F26" s="213"/>
      <c r="G26" s="213"/>
      <c r="H26" s="213"/>
      <c r="I26" s="213"/>
      <c r="J26" s="213"/>
      <c r="K26" s="213"/>
      <c r="L26" s="213"/>
      <c r="M26" s="213"/>
      <c r="N26" s="213"/>
      <c r="O26" s="213"/>
      <c r="P26" s="213"/>
      <c r="Q26" s="213"/>
      <c r="R26" s="213"/>
      <c r="S26" s="213"/>
      <c r="T26" s="213"/>
      <c r="U26" s="213"/>
      <c r="V26" s="213"/>
      <c r="W26" s="196"/>
    </row>
    <row r="27" spans="2:23" ht="15.6">
      <c r="B27" s="567"/>
      <c r="C27" s="285">
        <v>3.7</v>
      </c>
      <c r="D27" s="213"/>
      <c r="E27" s="213"/>
      <c r="F27" s="213"/>
      <c r="G27" s="213"/>
      <c r="H27" s="213"/>
      <c r="I27" s="213"/>
      <c r="J27" s="213"/>
      <c r="K27" s="213"/>
      <c r="L27" s="213"/>
      <c r="M27" s="213"/>
      <c r="N27" s="213"/>
      <c r="O27" s="213"/>
      <c r="P27" s="213"/>
      <c r="Q27" s="213"/>
      <c r="R27" s="213"/>
      <c r="S27" s="213"/>
      <c r="T27" s="213"/>
      <c r="U27" s="213"/>
      <c r="V27" s="213"/>
      <c r="W27" s="196"/>
    </row>
    <row r="28" spans="2:23" ht="21">
      <c r="B28" s="202"/>
      <c r="C28" s="202"/>
      <c r="D28" s="202"/>
      <c r="E28" s="202"/>
      <c r="F28" s="202"/>
      <c r="G28" s="202"/>
      <c r="H28" s="202"/>
      <c r="I28" s="202"/>
      <c r="J28" s="202"/>
      <c r="K28" s="202"/>
      <c r="L28" s="202"/>
      <c r="M28" s="202"/>
      <c r="N28" s="202"/>
      <c r="O28" s="202"/>
      <c r="P28" s="202"/>
      <c r="Q28" s="202"/>
      <c r="R28" s="202"/>
      <c r="S28" s="202"/>
      <c r="T28" s="202"/>
      <c r="U28" s="202"/>
      <c r="V28" s="202"/>
      <c r="W28" s="196"/>
    </row>
    <row r="29" spans="2:23" ht="12" customHeight="1">
      <c r="B29" s="565" t="s">
        <v>1100</v>
      </c>
      <c r="C29" s="213"/>
      <c r="D29" s="286"/>
      <c r="E29" s="213"/>
      <c r="F29" s="213"/>
      <c r="G29" s="213"/>
      <c r="H29" s="213"/>
      <c r="I29" s="213"/>
      <c r="J29" s="213"/>
      <c r="K29" s="213"/>
      <c r="L29" s="286"/>
      <c r="M29" s="213"/>
      <c r="N29" s="286"/>
      <c r="O29" s="213"/>
      <c r="P29" s="213"/>
      <c r="Q29" s="213"/>
      <c r="R29" s="286"/>
      <c r="S29" s="213"/>
      <c r="T29" s="286"/>
      <c r="U29" s="213"/>
      <c r="V29" s="213"/>
      <c r="W29" s="207"/>
    </row>
    <row r="30" spans="2:23" ht="15.6">
      <c r="B30" s="566"/>
      <c r="C30" s="285">
        <v>4.0999999999999996</v>
      </c>
      <c r="D30" s="213"/>
      <c r="E30" s="213"/>
      <c r="F30" s="213"/>
      <c r="G30" s="213"/>
      <c r="H30" s="213"/>
      <c r="I30" s="213"/>
      <c r="J30" s="213"/>
      <c r="K30" s="213"/>
      <c r="L30" s="213"/>
      <c r="M30" s="213"/>
      <c r="N30" s="213"/>
      <c r="O30" s="213"/>
      <c r="P30" s="213"/>
      <c r="Q30" s="213"/>
      <c r="R30" s="213"/>
      <c r="S30" s="213"/>
      <c r="T30" s="213"/>
      <c r="U30" s="213"/>
      <c r="V30" s="213"/>
      <c r="W30" s="196"/>
    </row>
    <row r="31" spans="2:23" ht="15.6">
      <c r="B31" s="566"/>
      <c r="C31" s="285">
        <v>4.2</v>
      </c>
      <c r="D31" s="213"/>
      <c r="E31" s="213"/>
      <c r="F31" s="213"/>
      <c r="G31" s="213"/>
      <c r="H31" s="213"/>
      <c r="I31" s="213"/>
      <c r="J31" s="213"/>
      <c r="K31" s="213"/>
      <c r="L31" s="213"/>
      <c r="M31" s="213"/>
      <c r="N31" s="213"/>
      <c r="O31" s="213"/>
      <c r="P31" s="213"/>
      <c r="Q31" s="213"/>
      <c r="R31" s="213"/>
      <c r="S31" s="213"/>
      <c r="T31" s="213"/>
      <c r="U31" s="213"/>
      <c r="V31" s="213"/>
      <c r="W31" s="196" t="s">
        <v>1094</v>
      </c>
    </row>
    <row r="32" spans="2:23" ht="15.6">
      <c r="B32" s="566"/>
      <c r="C32" s="285">
        <v>4.3</v>
      </c>
      <c r="D32" s="213"/>
      <c r="E32" s="213"/>
      <c r="F32" s="213"/>
      <c r="G32" s="213"/>
      <c r="H32" s="213"/>
      <c r="I32" s="213"/>
      <c r="J32" s="213"/>
      <c r="K32" s="213"/>
      <c r="L32" s="213"/>
      <c r="M32" s="213"/>
      <c r="N32" s="213"/>
      <c r="O32" s="213"/>
      <c r="P32" s="213"/>
      <c r="Q32" s="213"/>
      <c r="R32" s="213"/>
      <c r="S32" s="213"/>
      <c r="T32" s="213"/>
      <c r="U32" s="213"/>
      <c r="V32" s="213"/>
      <c r="W32" s="196"/>
    </row>
    <row r="33" spans="2:23" ht="15.6">
      <c r="B33" s="566"/>
      <c r="C33" s="285">
        <v>4.4000000000000004</v>
      </c>
      <c r="D33" s="213"/>
      <c r="E33" s="213"/>
      <c r="F33" s="213"/>
      <c r="G33" s="213"/>
      <c r="H33" s="213"/>
      <c r="I33" s="213"/>
      <c r="J33" s="213"/>
      <c r="K33" s="213"/>
      <c r="L33" s="213"/>
      <c r="M33" s="213"/>
      <c r="N33" s="213"/>
      <c r="O33" s="213"/>
      <c r="P33" s="213"/>
      <c r="Q33" s="213"/>
      <c r="R33" s="213"/>
      <c r="S33" s="213"/>
      <c r="T33" s="213"/>
      <c r="U33" s="213"/>
      <c r="V33" s="213"/>
      <c r="W33" s="196"/>
    </row>
    <row r="34" spans="2:23" ht="15.6">
      <c r="B34" s="567"/>
      <c r="C34" s="285">
        <v>4.5</v>
      </c>
      <c r="D34" s="213"/>
      <c r="E34" s="213"/>
      <c r="F34" s="213"/>
      <c r="G34" s="213"/>
      <c r="H34" s="213"/>
      <c r="I34" s="213"/>
      <c r="J34" s="213"/>
      <c r="K34" s="213"/>
      <c r="L34" s="213"/>
      <c r="M34" s="213"/>
      <c r="N34" s="213"/>
      <c r="O34" s="213"/>
      <c r="P34" s="213"/>
      <c r="Q34" s="213"/>
      <c r="R34" s="213"/>
      <c r="S34" s="213"/>
      <c r="T34" s="213"/>
      <c r="U34" s="213"/>
      <c r="V34" s="213"/>
      <c r="W34" s="196"/>
    </row>
    <row r="35" spans="2:23" ht="21">
      <c r="B35" s="202"/>
      <c r="C35" s="202"/>
      <c r="D35" s="202"/>
      <c r="E35" s="202"/>
      <c r="F35" s="202"/>
      <c r="G35" s="202"/>
      <c r="H35" s="202"/>
      <c r="I35" s="202"/>
      <c r="J35" s="202"/>
      <c r="K35" s="202"/>
      <c r="L35" s="202"/>
      <c r="M35" s="202"/>
      <c r="N35" s="202"/>
      <c r="O35" s="202"/>
      <c r="P35" s="202"/>
      <c r="Q35" s="202"/>
      <c r="R35" s="202"/>
      <c r="S35" s="202"/>
      <c r="T35" s="202"/>
      <c r="U35" s="202"/>
      <c r="V35" s="202"/>
      <c r="W35" s="196"/>
    </row>
    <row r="36" spans="2:23" ht="12" customHeight="1">
      <c r="B36" s="561" t="s">
        <v>1101</v>
      </c>
      <c r="C36" s="213"/>
      <c r="D36" s="213"/>
      <c r="E36" s="213"/>
      <c r="F36" s="213"/>
      <c r="G36" s="213"/>
      <c r="H36" s="213"/>
      <c r="I36" s="213"/>
      <c r="J36" s="213"/>
      <c r="K36" s="213"/>
      <c r="L36" s="213"/>
      <c r="M36" s="213"/>
      <c r="N36" s="286"/>
      <c r="O36" s="213"/>
      <c r="P36" s="213"/>
      <c r="Q36" s="213"/>
      <c r="R36" s="213"/>
      <c r="S36" s="213"/>
      <c r="T36" s="286"/>
      <c r="U36" s="213"/>
      <c r="V36" s="213"/>
      <c r="W36" s="207"/>
    </row>
    <row r="37" spans="2:23" ht="15.6">
      <c r="B37" s="561"/>
      <c r="C37" s="212">
        <v>5.0999999999999996</v>
      </c>
      <c r="D37" s="213"/>
      <c r="E37" s="213"/>
      <c r="F37" s="213"/>
      <c r="G37" s="213"/>
      <c r="H37" s="213"/>
      <c r="I37" s="213"/>
      <c r="J37" s="213"/>
      <c r="K37" s="213"/>
      <c r="L37" s="213"/>
      <c r="M37" s="213"/>
      <c r="N37" s="213"/>
      <c r="O37" s="213"/>
      <c r="P37" s="213"/>
      <c r="Q37" s="213"/>
      <c r="R37" s="213"/>
      <c r="S37" s="213"/>
      <c r="T37" s="213"/>
      <c r="U37" s="213"/>
      <c r="V37" s="213"/>
      <c r="W37" s="196"/>
    </row>
    <row r="38" spans="2:23" ht="15.6">
      <c r="B38" s="561"/>
      <c r="C38" s="212">
        <v>5.2</v>
      </c>
      <c r="D38" s="213"/>
      <c r="E38" s="213"/>
      <c r="F38" s="213"/>
      <c r="G38" s="213"/>
      <c r="H38" s="213"/>
      <c r="I38" s="213"/>
      <c r="J38" s="213"/>
      <c r="K38" s="213"/>
      <c r="L38" s="213"/>
      <c r="M38" s="213"/>
      <c r="N38" s="213"/>
      <c r="O38" s="213"/>
      <c r="P38" s="213"/>
      <c r="Q38" s="213"/>
      <c r="R38" s="213"/>
      <c r="S38" s="213"/>
      <c r="T38" s="213"/>
      <c r="U38" s="213"/>
      <c r="V38" s="213"/>
      <c r="W38" s="196"/>
    </row>
    <row r="39" spans="2:23" ht="15.6">
      <c r="B39" s="561"/>
      <c r="C39" s="212">
        <v>5.3</v>
      </c>
      <c r="D39" s="213"/>
      <c r="E39" s="213"/>
      <c r="F39" s="213"/>
      <c r="G39" s="213"/>
      <c r="H39" s="213"/>
      <c r="I39" s="213"/>
      <c r="J39" s="213"/>
      <c r="K39" s="213"/>
      <c r="L39" s="213"/>
      <c r="M39" s="213"/>
      <c r="N39" s="213"/>
      <c r="O39" s="213"/>
      <c r="P39" s="213"/>
      <c r="Q39" s="213"/>
      <c r="R39" s="213"/>
      <c r="S39" s="213"/>
      <c r="T39" s="213"/>
      <c r="U39" s="213"/>
      <c r="V39" s="213"/>
      <c r="W39" s="196"/>
    </row>
    <row r="40" spans="2:23" ht="21">
      <c r="B40" s="202"/>
      <c r="C40" s="202"/>
      <c r="D40" s="202"/>
      <c r="E40" s="202"/>
      <c r="F40" s="202"/>
      <c r="G40" s="202"/>
      <c r="H40" s="202"/>
      <c r="I40" s="202"/>
      <c r="J40" s="202"/>
      <c r="K40" s="202"/>
      <c r="L40" s="202"/>
      <c r="M40" s="202"/>
      <c r="N40" s="202"/>
      <c r="O40" s="202"/>
      <c r="P40" s="202"/>
      <c r="Q40" s="202"/>
      <c r="R40" s="202"/>
      <c r="S40" s="202"/>
      <c r="T40" s="202"/>
      <c r="U40" s="202"/>
      <c r="V40" s="202"/>
      <c r="W40" s="196"/>
    </row>
    <row r="41" spans="2:23" ht="12" customHeight="1">
      <c r="W41" s="208"/>
    </row>
    <row r="47" spans="2:23">
      <c r="B47" s="195" t="s">
        <v>1107</v>
      </c>
      <c r="C47" s="195" t="s">
        <v>1107</v>
      </c>
      <c r="D47" s="195" t="s">
        <v>1107</v>
      </c>
      <c r="E47" s="195" t="s">
        <v>1107</v>
      </c>
      <c r="F47" s="195" t="s">
        <v>1107</v>
      </c>
      <c r="G47" s="195" t="s">
        <v>1107</v>
      </c>
      <c r="H47" s="195" t="s">
        <v>1107</v>
      </c>
      <c r="I47" s="195" t="s">
        <v>1107</v>
      </c>
      <c r="J47" s="195" t="s">
        <v>1107</v>
      </c>
      <c r="K47" s="195" t="s">
        <v>1107</v>
      </c>
      <c r="L47" s="195" t="s">
        <v>1107</v>
      </c>
      <c r="M47" s="195" t="s">
        <v>1107</v>
      </c>
      <c r="N47" s="195" t="s">
        <v>1107</v>
      </c>
      <c r="O47" s="195" t="s">
        <v>1107</v>
      </c>
      <c r="P47" s="195" t="s">
        <v>1107</v>
      </c>
      <c r="Q47" s="195" t="s">
        <v>1107</v>
      </c>
      <c r="R47" s="195" t="s">
        <v>1107</v>
      </c>
      <c r="S47" s="195" t="s">
        <v>1107</v>
      </c>
      <c r="T47" s="195" t="s">
        <v>1107</v>
      </c>
      <c r="U47" s="195" t="s">
        <v>1107</v>
      </c>
      <c r="V47" s="195" t="s">
        <v>1107</v>
      </c>
    </row>
    <row r="48" spans="2:23">
      <c r="W48" s="195" t="s">
        <v>1107</v>
      </c>
    </row>
    <row r="49" spans="2:28" ht="49.8">
      <c r="B49" s="564" t="s">
        <v>1080</v>
      </c>
      <c r="C49" s="564" t="s">
        <v>1081</v>
      </c>
      <c r="D49" s="562" t="s">
        <v>1082</v>
      </c>
      <c r="E49" s="562"/>
      <c r="F49" s="563" t="s">
        <v>1083</v>
      </c>
      <c r="G49" s="563"/>
      <c r="H49" s="562" t="s">
        <v>1084</v>
      </c>
      <c r="I49" s="562"/>
      <c r="J49" s="562"/>
      <c r="K49" s="562"/>
      <c r="L49" s="563" t="s">
        <v>1085</v>
      </c>
      <c r="M49" s="563"/>
      <c r="N49" s="563"/>
      <c r="O49" s="209" t="s">
        <v>1086</v>
      </c>
      <c r="P49" s="210" t="s">
        <v>1087</v>
      </c>
      <c r="Q49" s="562" t="s">
        <v>1088</v>
      </c>
      <c r="R49" s="562"/>
      <c r="S49" s="562"/>
      <c r="T49" s="563" t="s">
        <v>1089</v>
      </c>
      <c r="U49" s="563"/>
      <c r="V49" s="563"/>
    </row>
    <row r="50" spans="2:28" ht="93.6">
      <c r="B50" s="564"/>
      <c r="C50" s="564"/>
      <c r="D50" s="211" t="s">
        <v>908</v>
      </c>
      <c r="E50" s="211" t="s">
        <v>909</v>
      </c>
      <c r="F50" s="212" t="s">
        <v>882</v>
      </c>
      <c r="G50" s="212" t="s">
        <v>881</v>
      </c>
      <c r="H50" s="211" t="s">
        <v>883</v>
      </c>
      <c r="I50" s="211" t="s">
        <v>885</v>
      </c>
      <c r="J50" s="211" t="s">
        <v>835</v>
      </c>
      <c r="K50" s="211" t="s">
        <v>884</v>
      </c>
      <c r="L50" s="212" t="s">
        <v>888</v>
      </c>
      <c r="M50" s="212" t="s">
        <v>887</v>
      </c>
      <c r="N50" s="212" t="s">
        <v>886</v>
      </c>
      <c r="O50" s="211" t="s">
        <v>889</v>
      </c>
      <c r="P50" s="212" t="s">
        <v>753</v>
      </c>
      <c r="Q50" s="211" t="s">
        <v>891</v>
      </c>
      <c r="R50" s="211" t="s">
        <v>892</v>
      </c>
      <c r="S50" s="211" t="s">
        <v>890</v>
      </c>
      <c r="T50" s="212" t="s">
        <v>893</v>
      </c>
      <c r="U50" s="212" t="s">
        <v>894</v>
      </c>
      <c r="V50" s="212" t="s">
        <v>751</v>
      </c>
      <c r="W50" s="206" t="s">
        <v>1090</v>
      </c>
    </row>
    <row r="51" spans="2:28" ht="21">
      <c r="B51" s="202"/>
      <c r="C51" s="202"/>
      <c r="D51" s="202"/>
      <c r="E51" s="202"/>
      <c r="F51" s="202"/>
      <c r="G51" s="202"/>
      <c r="H51" s="202"/>
      <c r="I51" s="202"/>
      <c r="J51" s="202"/>
      <c r="K51" s="202"/>
      <c r="L51" s="202"/>
      <c r="M51" s="202"/>
      <c r="N51" s="202"/>
      <c r="O51" s="202"/>
      <c r="P51" s="202"/>
      <c r="Q51" s="202"/>
      <c r="R51" s="202"/>
      <c r="S51" s="202"/>
      <c r="T51" s="202"/>
      <c r="U51" s="202"/>
      <c r="V51" s="202"/>
      <c r="W51" s="206" t="s">
        <v>895</v>
      </c>
    </row>
    <row r="52" spans="2:28" ht="12" customHeight="1">
      <c r="B52" s="565" t="s">
        <v>1091</v>
      </c>
      <c r="C52" s="213"/>
      <c r="D52" s="213" t="s">
        <v>1095</v>
      </c>
      <c r="E52" s="213" t="s">
        <v>1095</v>
      </c>
      <c r="F52" s="213" t="s">
        <v>1095</v>
      </c>
      <c r="G52" s="213" t="s">
        <v>1095</v>
      </c>
      <c r="H52" s="213" t="s">
        <v>1095</v>
      </c>
      <c r="I52" s="213" t="s">
        <v>1095</v>
      </c>
      <c r="J52" s="213" t="s">
        <v>1095</v>
      </c>
      <c r="K52" s="213" t="s">
        <v>1095</v>
      </c>
      <c r="L52" s="213" t="s">
        <v>1095</v>
      </c>
      <c r="M52" s="213" t="s">
        <v>1095</v>
      </c>
      <c r="N52" s="213" t="s">
        <v>1095</v>
      </c>
      <c r="O52" s="213" t="s">
        <v>1095</v>
      </c>
      <c r="P52" s="213" t="s">
        <v>1095</v>
      </c>
      <c r="Q52" s="213" t="s">
        <v>1095</v>
      </c>
      <c r="R52" s="213" t="s">
        <v>1095</v>
      </c>
      <c r="S52" s="213" t="s">
        <v>1095</v>
      </c>
      <c r="T52" s="213" t="s">
        <v>1095</v>
      </c>
      <c r="U52" s="213" t="s">
        <v>1095</v>
      </c>
      <c r="V52" s="213" t="s">
        <v>1095</v>
      </c>
      <c r="W52" s="196"/>
    </row>
    <row r="53" spans="2:28" ht="15.6">
      <c r="B53" s="566"/>
      <c r="C53" s="212">
        <v>1.1000000000000001</v>
      </c>
      <c r="D53" s="213" t="s">
        <v>1092</v>
      </c>
      <c r="E53" s="213" t="s">
        <v>1092</v>
      </c>
      <c r="F53" s="213" t="s">
        <v>1092</v>
      </c>
      <c r="G53" s="213" t="s">
        <v>1092</v>
      </c>
      <c r="H53" s="213" t="s">
        <v>1092</v>
      </c>
      <c r="I53" s="213" t="s">
        <v>1092</v>
      </c>
      <c r="J53" s="213" t="s">
        <v>1092</v>
      </c>
      <c r="K53" s="213" t="s">
        <v>1092</v>
      </c>
      <c r="L53" s="213" t="s">
        <v>1092</v>
      </c>
      <c r="M53" s="213" t="s">
        <v>1092</v>
      </c>
      <c r="N53" s="213" t="s">
        <v>1092</v>
      </c>
      <c r="O53" s="213" t="s">
        <v>1092</v>
      </c>
      <c r="P53" s="213" t="s">
        <v>1092</v>
      </c>
      <c r="Q53" s="213" t="s">
        <v>1092</v>
      </c>
      <c r="R53" s="213" t="s">
        <v>1092</v>
      </c>
      <c r="S53" s="213" t="s">
        <v>1092</v>
      </c>
      <c r="T53" s="213" t="s">
        <v>1092</v>
      </c>
      <c r="U53" s="213" t="s">
        <v>1092</v>
      </c>
      <c r="V53" s="213" t="s">
        <v>1092</v>
      </c>
      <c r="W53" s="196" t="s">
        <v>1096</v>
      </c>
    </row>
    <row r="54" spans="2:28" ht="15.6">
      <c r="B54" s="566"/>
      <c r="C54" s="212">
        <v>1.2</v>
      </c>
      <c r="D54" s="213"/>
      <c r="E54" s="213"/>
      <c r="F54" s="213"/>
      <c r="G54" s="213"/>
      <c r="H54" s="213"/>
      <c r="I54" s="213" t="s">
        <v>1092</v>
      </c>
      <c r="J54" s="213"/>
      <c r="K54" s="213"/>
      <c r="L54" s="213" t="s">
        <v>1092</v>
      </c>
      <c r="M54" s="213"/>
      <c r="N54" s="213" t="s">
        <v>1092</v>
      </c>
      <c r="O54" s="213"/>
      <c r="P54" s="213"/>
      <c r="Q54" s="213" t="s">
        <v>1092</v>
      </c>
      <c r="R54" s="213" t="s">
        <v>1092</v>
      </c>
      <c r="S54" s="213"/>
      <c r="T54" s="213"/>
      <c r="U54" s="213" t="s">
        <v>1092</v>
      </c>
      <c r="V54" s="213"/>
      <c r="W54" s="196" t="s">
        <v>1094</v>
      </c>
      <c r="Z54" s="195" t="s">
        <v>1092</v>
      </c>
      <c r="AB54" s="195" t="s">
        <v>1095</v>
      </c>
    </row>
    <row r="55" spans="2:28" ht="15.6">
      <c r="B55" s="567"/>
      <c r="C55" s="212">
        <v>1.3</v>
      </c>
      <c r="D55" s="213"/>
      <c r="E55" s="213"/>
      <c r="F55" s="213"/>
      <c r="G55" s="213"/>
      <c r="H55" s="213"/>
      <c r="I55" s="213"/>
      <c r="J55" s="213"/>
      <c r="K55" s="213"/>
      <c r="L55" s="213" t="s">
        <v>1092</v>
      </c>
      <c r="M55" s="213"/>
      <c r="N55" s="213"/>
      <c r="O55" s="213"/>
      <c r="P55" s="213"/>
      <c r="Q55" s="213"/>
      <c r="R55" s="213"/>
      <c r="S55" s="213"/>
      <c r="T55" s="213"/>
      <c r="U55" s="213"/>
      <c r="V55" s="213"/>
      <c r="W55" s="196" t="s">
        <v>912</v>
      </c>
      <c r="Z55" s="195" t="s">
        <v>1093</v>
      </c>
      <c r="AB55" s="195" t="s">
        <v>1096</v>
      </c>
    </row>
    <row r="56" spans="2:28" ht="21">
      <c r="B56" s="202"/>
      <c r="C56" s="202"/>
      <c r="D56" s="202"/>
      <c r="E56" s="202"/>
      <c r="F56" s="202"/>
      <c r="G56" s="202"/>
      <c r="H56" s="202"/>
      <c r="I56" s="202"/>
      <c r="J56" s="202"/>
      <c r="K56" s="202"/>
      <c r="L56" s="202"/>
      <c r="M56" s="202"/>
      <c r="N56" s="202"/>
      <c r="O56" s="202"/>
      <c r="P56" s="202"/>
      <c r="Q56" s="202"/>
      <c r="R56" s="202"/>
      <c r="S56" s="202"/>
      <c r="T56" s="202"/>
      <c r="U56" s="202"/>
      <c r="V56" s="202"/>
      <c r="W56" s="196" t="s">
        <v>1093</v>
      </c>
      <c r="Z56" s="195" t="s">
        <v>912</v>
      </c>
    </row>
    <row r="57" spans="2:28" ht="15.6">
      <c r="B57" s="561" t="s">
        <v>1097</v>
      </c>
      <c r="C57" s="213"/>
      <c r="D57" s="213" t="s">
        <v>1095</v>
      </c>
      <c r="E57" s="213" t="s">
        <v>1095</v>
      </c>
      <c r="F57" s="213" t="s">
        <v>1095</v>
      </c>
      <c r="G57" s="213" t="s">
        <v>1095</v>
      </c>
      <c r="H57" s="213" t="s">
        <v>1095</v>
      </c>
      <c r="I57" s="213" t="s">
        <v>1095</v>
      </c>
      <c r="J57" s="213" t="s">
        <v>1095</v>
      </c>
      <c r="K57" s="213" t="s">
        <v>1095</v>
      </c>
      <c r="L57" s="213" t="s">
        <v>1095</v>
      </c>
      <c r="M57" s="213" t="s">
        <v>1095</v>
      </c>
      <c r="N57" s="213" t="s">
        <v>1095</v>
      </c>
      <c r="O57" s="213" t="s">
        <v>1095</v>
      </c>
      <c r="P57" s="213" t="s">
        <v>1095</v>
      </c>
      <c r="Q57" s="213" t="s">
        <v>1095</v>
      </c>
      <c r="R57" s="213" t="s">
        <v>1095</v>
      </c>
      <c r="S57" s="213" t="s">
        <v>1095</v>
      </c>
      <c r="T57" s="213" t="s">
        <v>1095</v>
      </c>
      <c r="U57" s="213" t="s">
        <v>1095</v>
      </c>
      <c r="V57" s="213" t="s">
        <v>1095</v>
      </c>
      <c r="W57" s="196" t="s">
        <v>1093</v>
      </c>
      <c r="Z57" s="195" t="s">
        <v>912</v>
      </c>
    </row>
    <row r="58" spans="2:28" ht="12" customHeight="1">
      <c r="B58" s="561"/>
      <c r="C58" s="212">
        <v>2.1</v>
      </c>
      <c r="D58" s="213" t="s">
        <v>1092</v>
      </c>
      <c r="E58" s="213" t="s">
        <v>1093</v>
      </c>
      <c r="F58" s="213" t="s">
        <v>1092</v>
      </c>
      <c r="G58" s="213" t="s">
        <v>1092</v>
      </c>
      <c r="H58" s="213" t="s">
        <v>1092</v>
      </c>
      <c r="I58" s="213" t="s">
        <v>1092</v>
      </c>
      <c r="J58" s="213" t="s">
        <v>1092</v>
      </c>
      <c r="K58" s="213" t="s">
        <v>1092</v>
      </c>
      <c r="L58" s="213" t="s">
        <v>1092</v>
      </c>
      <c r="M58" s="213" t="s">
        <v>1092</v>
      </c>
      <c r="N58" s="213" t="s">
        <v>1092</v>
      </c>
      <c r="O58" s="213" t="s">
        <v>1093</v>
      </c>
      <c r="P58" s="213" t="s">
        <v>1092</v>
      </c>
      <c r="Q58" s="213" t="s">
        <v>1092</v>
      </c>
      <c r="R58" s="213" t="s">
        <v>1092</v>
      </c>
      <c r="S58" s="213" t="s">
        <v>1092</v>
      </c>
      <c r="T58" s="213" t="s">
        <v>1092</v>
      </c>
      <c r="U58" s="213" t="s">
        <v>1092</v>
      </c>
      <c r="V58" s="213" t="s">
        <v>1092</v>
      </c>
      <c r="W58" s="207"/>
      <c r="Z58" s="195" t="s">
        <v>1094</v>
      </c>
    </row>
    <row r="59" spans="2:28" ht="15.6">
      <c r="B59" s="561"/>
      <c r="C59" s="212">
        <v>2.2000000000000002</v>
      </c>
      <c r="D59" s="213" t="s">
        <v>1092</v>
      </c>
      <c r="E59" s="213" t="s">
        <v>1092</v>
      </c>
      <c r="F59" s="213" t="s">
        <v>1092</v>
      </c>
      <c r="G59" s="213" t="s">
        <v>1092</v>
      </c>
      <c r="H59" s="213" t="s">
        <v>1092</v>
      </c>
      <c r="I59" s="213" t="s">
        <v>1092</v>
      </c>
      <c r="J59" s="213" t="s">
        <v>1092</v>
      </c>
      <c r="K59" s="213" t="s">
        <v>1092</v>
      </c>
      <c r="L59" s="213" t="s">
        <v>1092</v>
      </c>
      <c r="M59" s="213" t="s">
        <v>1092</v>
      </c>
      <c r="N59" s="213" t="s">
        <v>1092</v>
      </c>
      <c r="O59" s="213" t="s">
        <v>1092</v>
      </c>
      <c r="P59" s="213" t="s">
        <v>1092</v>
      </c>
      <c r="Q59" s="213" t="s">
        <v>1092</v>
      </c>
      <c r="R59" s="213" t="s">
        <v>1092</v>
      </c>
      <c r="S59" s="213" t="s">
        <v>1092</v>
      </c>
      <c r="T59" s="213" t="s">
        <v>1092</v>
      </c>
      <c r="U59" s="213" t="s">
        <v>1092</v>
      </c>
      <c r="V59" s="213" t="s">
        <v>1092</v>
      </c>
      <c r="W59" s="196"/>
      <c r="Z59" s="195" t="s">
        <v>1098</v>
      </c>
    </row>
    <row r="60" spans="2:28" ht="15.6">
      <c r="B60" s="561"/>
      <c r="C60" s="212">
        <v>2.2999999999999998</v>
      </c>
      <c r="D60" s="213" t="s">
        <v>1092</v>
      </c>
      <c r="E60" s="213"/>
      <c r="F60" s="213" t="s">
        <v>1092</v>
      </c>
      <c r="G60" s="213" t="s">
        <v>1092</v>
      </c>
      <c r="H60" s="213" t="s">
        <v>1092</v>
      </c>
      <c r="I60" s="213" t="s">
        <v>1092</v>
      </c>
      <c r="J60" s="213" t="s">
        <v>1092</v>
      </c>
      <c r="K60" s="213" t="s">
        <v>1092</v>
      </c>
      <c r="L60" s="213"/>
      <c r="M60" s="213" t="s">
        <v>1092</v>
      </c>
      <c r="N60" s="213" t="s">
        <v>1092</v>
      </c>
      <c r="O60" s="213"/>
      <c r="P60" s="213"/>
      <c r="Q60" s="213" t="s">
        <v>1092</v>
      </c>
      <c r="R60" s="213" t="s">
        <v>1092</v>
      </c>
      <c r="S60" s="213" t="s">
        <v>1092</v>
      </c>
      <c r="T60" s="213"/>
      <c r="U60" s="213" t="s">
        <v>1092</v>
      </c>
      <c r="V60" s="213" t="s">
        <v>1092</v>
      </c>
      <c r="W60" s="196" t="s">
        <v>1094</v>
      </c>
    </row>
    <row r="61" spans="2:28" ht="15.6">
      <c r="B61" s="561"/>
      <c r="C61" s="212">
        <v>2.4</v>
      </c>
      <c r="D61" s="213" t="s">
        <v>1092</v>
      </c>
      <c r="E61" s="213"/>
      <c r="F61" s="213"/>
      <c r="G61" s="213" t="s">
        <v>1092</v>
      </c>
      <c r="H61" s="213" t="s">
        <v>1092</v>
      </c>
      <c r="I61" s="213"/>
      <c r="J61" s="213" t="s">
        <v>1092</v>
      </c>
      <c r="K61" s="213" t="s">
        <v>1092</v>
      </c>
      <c r="L61" s="213"/>
      <c r="M61" s="213"/>
      <c r="N61" s="213" t="s">
        <v>1092</v>
      </c>
      <c r="O61" s="213"/>
      <c r="P61" s="213"/>
      <c r="Q61" s="213" t="s">
        <v>1092</v>
      </c>
      <c r="R61" s="213" t="s">
        <v>1092</v>
      </c>
      <c r="S61" s="213" t="s">
        <v>1092</v>
      </c>
      <c r="T61" s="213"/>
      <c r="U61" s="213" t="s">
        <v>1092</v>
      </c>
      <c r="V61" s="213" t="s">
        <v>1092</v>
      </c>
      <c r="W61" s="196" t="s">
        <v>1094</v>
      </c>
    </row>
    <row r="62" spans="2:28" ht="15.6">
      <c r="B62" s="561"/>
      <c r="C62" s="212">
        <v>2.5</v>
      </c>
      <c r="D62" s="213"/>
      <c r="E62" s="213"/>
      <c r="F62" s="213"/>
      <c r="G62" s="213" t="s">
        <v>1092</v>
      </c>
      <c r="H62" s="213"/>
      <c r="I62" s="213"/>
      <c r="J62" s="213"/>
      <c r="K62" s="213" t="s">
        <v>1092</v>
      </c>
      <c r="L62" s="213"/>
      <c r="M62" s="213"/>
      <c r="N62" s="213" t="s">
        <v>1092</v>
      </c>
      <c r="O62" s="213"/>
      <c r="P62" s="213"/>
      <c r="Q62" s="213"/>
      <c r="R62" s="213" t="s">
        <v>1092</v>
      </c>
      <c r="S62" s="213"/>
      <c r="T62" s="213"/>
      <c r="U62" s="213" t="s">
        <v>1092</v>
      </c>
      <c r="V62" s="213" t="s">
        <v>1092</v>
      </c>
      <c r="W62" s="196" t="s">
        <v>1092</v>
      </c>
    </row>
    <row r="63" spans="2:28" ht="15.6">
      <c r="B63" s="561"/>
      <c r="C63" s="212">
        <v>2.6</v>
      </c>
      <c r="D63" s="213"/>
      <c r="E63" s="213"/>
      <c r="F63" s="213"/>
      <c r="G63" s="213" t="s">
        <v>1092</v>
      </c>
      <c r="H63" s="213"/>
      <c r="I63" s="213"/>
      <c r="J63" s="213"/>
      <c r="K63" s="213" t="s">
        <v>1092</v>
      </c>
      <c r="L63" s="213"/>
      <c r="M63" s="213"/>
      <c r="N63" s="213" t="s">
        <v>1092</v>
      </c>
      <c r="O63" s="213"/>
      <c r="P63" s="213"/>
      <c r="Q63" s="213"/>
      <c r="R63" s="213" t="s">
        <v>1092</v>
      </c>
      <c r="S63" s="213"/>
      <c r="T63" s="213"/>
      <c r="U63" s="213"/>
      <c r="V63" s="213"/>
      <c r="W63" s="196" t="s">
        <v>1093</v>
      </c>
    </row>
    <row r="64" spans="2:28" ht="15.6">
      <c r="B64" s="561"/>
      <c r="C64" s="212">
        <v>2.7</v>
      </c>
      <c r="D64" s="213"/>
      <c r="E64" s="213"/>
      <c r="F64" s="213"/>
      <c r="G64" s="213"/>
      <c r="H64" s="213"/>
      <c r="I64" s="213"/>
      <c r="J64" s="213"/>
      <c r="K64" s="213"/>
      <c r="L64" s="213"/>
      <c r="M64" s="213"/>
      <c r="N64" s="213"/>
      <c r="O64" s="213"/>
      <c r="P64" s="213"/>
      <c r="Q64" s="213"/>
      <c r="R64" s="213" t="s">
        <v>1092</v>
      </c>
      <c r="S64" s="213"/>
      <c r="T64" s="213"/>
      <c r="U64" s="213"/>
      <c r="V64" s="213"/>
      <c r="W64" s="196"/>
    </row>
    <row r="65" spans="2:23" ht="15.6">
      <c r="B65" s="561"/>
      <c r="C65" s="212">
        <v>2.8</v>
      </c>
      <c r="D65" s="213"/>
      <c r="E65" s="213"/>
      <c r="F65" s="213"/>
      <c r="G65" s="213"/>
      <c r="H65" s="213"/>
      <c r="I65" s="213"/>
      <c r="J65" s="213"/>
      <c r="K65" s="213"/>
      <c r="L65" s="213"/>
      <c r="M65" s="213"/>
      <c r="N65" s="213"/>
      <c r="O65" s="213"/>
      <c r="P65" s="213"/>
      <c r="Q65" s="213"/>
      <c r="R65" s="213" t="s">
        <v>1092</v>
      </c>
      <c r="S65" s="213"/>
      <c r="T65" s="213"/>
      <c r="U65" s="213"/>
      <c r="V65" s="213"/>
      <c r="W65" s="196"/>
    </row>
    <row r="66" spans="2:23" ht="21">
      <c r="B66" s="202"/>
      <c r="C66" s="202"/>
      <c r="D66" s="202"/>
      <c r="E66" s="202"/>
      <c r="F66" s="202"/>
      <c r="G66" s="202"/>
      <c r="H66" s="202"/>
      <c r="I66" s="202"/>
      <c r="J66" s="202"/>
      <c r="K66" s="202"/>
      <c r="L66" s="202"/>
      <c r="M66" s="202"/>
      <c r="N66" s="202"/>
      <c r="O66" s="202"/>
      <c r="P66" s="202"/>
      <c r="Q66" s="202"/>
      <c r="R66" s="202"/>
      <c r="S66" s="202"/>
      <c r="T66" s="202"/>
      <c r="U66" s="202"/>
      <c r="V66" s="202"/>
      <c r="W66" s="196"/>
    </row>
    <row r="67" spans="2:23" ht="15.6">
      <c r="B67" s="561" t="s">
        <v>1099</v>
      </c>
      <c r="C67" s="213"/>
      <c r="D67" s="213" t="s">
        <v>1096</v>
      </c>
      <c r="E67" s="213" t="s">
        <v>1095</v>
      </c>
      <c r="F67" s="213" t="s">
        <v>1095</v>
      </c>
      <c r="G67" s="213" t="s">
        <v>1095</v>
      </c>
      <c r="H67" s="213" t="s">
        <v>1095</v>
      </c>
      <c r="I67" s="213" t="s">
        <v>1095</v>
      </c>
      <c r="J67" s="213" t="s">
        <v>1096</v>
      </c>
      <c r="K67" s="213" t="s">
        <v>1095</v>
      </c>
      <c r="L67" s="213" t="s">
        <v>1095</v>
      </c>
      <c r="M67" s="213" t="s">
        <v>1095</v>
      </c>
      <c r="N67" s="213" t="s">
        <v>1095</v>
      </c>
      <c r="O67" s="213" t="s">
        <v>1095</v>
      </c>
      <c r="P67" s="213" t="s">
        <v>1095</v>
      </c>
      <c r="Q67" s="213" t="s">
        <v>1095</v>
      </c>
      <c r="R67" s="213" t="s">
        <v>1095</v>
      </c>
      <c r="S67" s="213" t="s">
        <v>1095</v>
      </c>
      <c r="T67" s="213" t="s">
        <v>1095</v>
      </c>
      <c r="U67" s="213" t="s">
        <v>1095</v>
      </c>
      <c r="V67" s="213"/>
      <c r="W67" s="196"/>
    </row>
    <row r="68" spans="2:23" ht="12" customHeight="1">
      <c r="B68" s="561"/>
      <c r="C68" s="212">
        <v>3.1</v>
      </c>
      <c r="D68" s="213" t="s">
        <v>1092</v>
      </c>
      <c r="E68" s="213" t="s">
        <v>1092</v>
      </c>
      <c r="F68" s="213" t="s">
        <v>1092</v>
      </c>
      <c r="G68" s="213" t="s">
        <v>1092</v>
      </c>
      <c r="H68" s="213" t="s">
        <v>1092</v>
      </c>
      <c r="I68" s="213" t="s">
        <v>1092</v>
      </c>
      <c r="J68" s="213" t="s">
        <v>912</v>
      </c>
      <c r="K68" s="213" t="s">
        <v>1092</v>
      </c>
      <c r="L68" s="213" t="s">
        <v>1092</v>
      </c>
      <c r="M68" s="213" t="s">
        <v>1092</v>
      </c>
      <c r="N68" s="213" t="s">
        <v>1092</v>
      </c>
      <c r="O68" s="213" t="s">
        <v>1092</v>
      </c>
      <c r="P68" s="213" t="s">
        <v>1092</v>
      </c>
      <c r="Q68" s="213" t="s">
        <v>1092</v>
      </c>
      <c r="R68" s="213" t="s">
        <v>1092</v>
      </c>
      <c r="S68" s="213" t="s">
        <v>1093</v>
      </c>
      <c r="T68" s="213" t="s">
        <v>1092</v>
      </c>
      <c r="U68" s="213" t="s">
        <v>1092</v>
      </c>
      <c r="V68" s="213"/>
      <c r="W68" s="207"/>
    </row>
    <row r="69" spans="2:23" ht="15.6">
      <c r="B69" s="561"/>
      <c r="C69" s="212">
        <v>3.2</v>
      </c>
      <c r="D69" s="213" t="s">
        <v>912</v>
      </c>
      <c r="E69" s="213" t="s">
        <v>1092</v>
      </c>
      <c r="F69" s="213" t="s">
        <v>1092</v>
      </c>
      <c r="G69" s="213" t="s">
        <v>1092</v>
      </c>
      <c r="H69" s="213"/>
      <c r="I69" s="213" t="s">
        <v>1092</v>
      </c>
      <c r="J69" s="213"/>
      <c r="K69" s="213" t="s">
        <v>1092</v>
      </c>
      <c r="L69" s="213" t="s">
        <v>1092</v>
      </c>
      <c r="M69" s="213" t="s">
        <v>1092</v>
      </c>
      <c r="N69" s="213" t="s">
        <v>1092</v>
      </c>
      <c r="O69" s="213" t="s">
        <v>1092</v>
      </c>
      <c r="P69" s="213" t="s">
        <v>1092</v>
      </c>
      <c r="Q69" s="213" t="s">
        <v>1092</v>
      </c>
      <c r="R69" s="213" t="s">
        <v>1092</v>
      </c>
      <c r="S69" s="213" t="s">
        <v>1092</v>
      </c>
      <c r="T69" s="213" t="s">
        <v>1092</v>
      </c>
      <c r="U69" s="213"/>
      <c r="V69" s="213"/>
      <c r="W69" s="196"/>
    </row>
    <row r="70" spans="2:23" ht="15.6">
      <c r="B70" s="561"/>
      <c r="C70" s="212">
        <v>3.3</v>
      </c>
      <c r="D70" s="213"/>
      <c r="E70" s="213" t="s">
        <v>1092</v>
      </c>
      <c r="F70" s="213" t="s">
        <v>1092</v>
      </c>
      <c r="G70" s="213" t="s">
        <v>1092</v>
      </c>
      <c r="H70" s="213"/>
      <c r="I70" s="213"/>
      <c r="J70" s="213"/>
      <c r="K70" s="213" t="s">
        <v>1092</v>
      </c>
      <c r="L70" s="213" t="s">
        <v>1092</v>
      </c>
      <c r="M70" s="213" t="s">
        <v>1092</v>
      </c>
      <c r="N70" s="213" t="s">
        <v>1092</v>
      </c>
      <c r="O70" s="213" t="s">
        <v>1092</v>
      </c>
      <c r="P70" s="213" t="s">
        <v>1092</v>
      </c>
      <c r="Q70" s="213" t="s">
        <v>1092</v>
      </c>
      <c r="R70" s="213" t="s">
        <v>1092</v>
      </c>
      <c r="S70" s="213"/>
      <c r="T70" s="213" t="s">
        <v>1092</v>
      </c>
      <c r="U70" s="213"/>
      <c r="V70" s="213"/>
      <c r="W70" s="196" t="s">
        <v>1094</v>
      </c>
    </row>
    <row r="71" spans="2:23" ht="15.6">
      <c r="B71" s="561"/>
      <c r="C71" s="212">
        <v>3.4</v>
      </c>
      <c r="D71" s="213"/>
      <c r="E71" s="213"/>
      <c r="F71" s="213" t="s">
        <v>1092</v>
      </c>
      <c r="G71" s="213"/>
      <c r="H71" s="213"/>
      <c r="I71" s="213"/>
      <c r="J71" s="213"/>
      <c r="K71" s="213" t="s">
        <v>1092</v>
      </c>
      <c r="L71" s="213" t="s">
        <v>1092</v>
      </c>
      <c r="M71" s="213" t="s">
        <v>1092</v>
      </c>
      <c r="N71" s="213" t="s">
        <v>1092</v>
      </c>
      <c r="O71" s="213" t="s">
        <v>1092</v>
      </c>
      <c r="P71" s="213" t="s">
        <v>1092</v>
      </c>
      <c r="Q71" s="213" t="s">
        <v>1092</v>
      </c>
      <c r="R71" s="213" t="s">
        <v>1093</v>
      </c>
      <c r="S71" s="213"/>
      <c r="T71" s="213" t="s">
        <v>1092</v>
      </c>
      <c r="U71" s="213"/>
      <c r="V71" s="213"/>
      <c r="W71" s="196" t="s">
        <v>1094</v>
      </c>
    </row>
    <row r="72" spans="2:23" ht="15.6">
      <c r="B72" s="561"/>
      <c r="C72" s="212">
        <v>3.5</v>
      </c>
      <c r="D72" s="213"/>
      <c r="E72" s="213"/>
      <c r="F72" s="213" t="s">
        <v>1092</v>
      </c>
      <c r="G72" s="213"/>
      <c r="H72" s="213"/>
      <c r="I72" s="213"/>
      <c r="J72" s="213"/>
      <c r="K72" s="213" t="s">
        <v>1092</v>
      </c>
      <c r="L72" s="213" t="s">
        <v>1092</v>
      </c>
      <c r="M72" s="213" t="s">
        <v>1092</v>
      </c>
      <c r="N72" s="213" t="s">
        <v>1092</v>
      </c>
      <c r="O72" s="213" t="s">
        <v>1092</v>
      </c>
      <c r="P72" s="213" t="s">
        <v>1092</v>
      </c>
      <c r="Q72" s="213"/>
      <c r="R72" s="213"/>
      <c r="S72" s="213"/>
      <c r="T72" s="213" t="s">
        <v>1092</v>
      </c>
      <c r="U72" s="213"/>
      <c r="V72" s="213"/>
      <c r="W72" s="196"/>
    </row>
    <row r="73" spans="2:23" ht="15.6">
      <c r="B73" s="561"/>
      <c r="C73" s="212">
        <v>3.6</v>
      </c>
      <c r="D73" s="213"/>
      <c r="E73" s="213"/>
      <c r="F73" s="213" t="s">
        <v>1092</v>
      </c>
      <c r="G73" s="213"/>
      <c r="H73" s="213"/>
      <c r="I73" s="213"/>
      <c r="J73" s="213"/>
      <c r="K73" s="213" t="s">
        <v>1092</v>
      </c>
      <c r="L73" s="213" t="s">
        <v>1092</v>
      </c>
      <c r="M73" s="213" t="s">
        <v>1093</v>
      </c>
      <c r="N73" s="213" t="s">
        <v>1092</v>
      </c>
      <c r="O73" s="213"/>
      <c r="P73" s="213" t="s">
        <v>1092</v>
      </c>
      <c r="Q73" s="213"/>
      <c r="R73" s="213"/>
      <c r="S73" s="213"/>
      <c r="T73" s="213"/>
      <c r="U73" s="213"/>
      <c r="V73" s="213"/>
      <c r="W73" s="196"/>
    </row>
    <row r="74" spans="2:23" ht="15.6">
      <c r="B74" s="561"/>
      <c r="C74" s="212">
        <v>3.7</v>
      </c>
      <c r="D74" s="213"/>
      <c r="E74" s="213"/>
      <c r="F74" s="213"/>
      <c r="G74" s="213"/>
      <c r="H74" s="213"/>
      <c r="I74" s="213"/>
      <c r="J74" s="213"/>
      <c r="K74" s="213" t="s">
        <v>1092</v>
      </c>
      <c r="L74" s="213"/>
      <c r="M74" s="213" t="s">
        <v>1092</v>
      </c>
      <c r="N74" s="213"/>
      <c r="O74" s="213"/>
      <c r="P74" s="213" t="s">
        <v>1092</v>
      </c>
      <c r="Q74" s="213"/>
      <c r="R74" s="213"/>
      <c r="S74" s="213"/>
      <c r="T74" s="213"/>
      <c r="U74" s="213"/>
      <c r="V74" s="213"/>
      <c r="W74" s="196"/>
    </row>
    <row r="75" spans="2:23" ht="21">
      <c r="B75" s="202"/>
      <c r="C75" s="202"/>
      <c r="D75" s="202"/>
      <c r="E75" s="202"/>
      <c r="F75" s="202"/>
      <c r="G75" s="202"/>
      <c r="H75" s="202"/>
      <c r="I75" s="202"/>
      <c r="J75" s="202"/>
      <c r="K75" s="202"/>
      <c r="L75" s="202"/>
      <c r="M75" s="202"/>
      <c r="N75" s="202"/>
      <c r="O75" s="202"/>
      <c r="P75" s="202"/>
      <c r="Q75" s="202"/>
      <c r="R75" s="202"/>
      <c r="S75" s="202"/>
      <c r="T75" s="202"/>
      <c r="U75" s="202"/>
      <c r="V75" s="202"/>
      <c r="W75" s="196"/>
    </row>
    <row r="76" spans="2:23" ht="15.6">
      <c r="B76" s="561" t="s">
        <v>1100</v>
      </c>
      <c r="C76" s="213"/>
      <c r="D76" s="213" t="s">
        <v>1096</v>
      </c>
      <c r="E76" s="213"/>
      <c r="F76" s="213"/>
      <c r="G76" s="213"/>
      <c r="H76" s="213"/>
      <c r="I76" s="213"/>
      <c r="J76" s="213"/>
      <c r="K76" s="213"/>
      <c r="L76" s="213" t="s">
        <v>1095</v>
      </c>
      <c r="M76" s="213"/>
      <c r="N76" s="213" t="s">
        <v>1095</v>
      </c>
      <c r="O76" s="213"/>
      <c r="P76" s="213"/>
      <c r="Q76" s="213"/>
      <c r="R76" s="213" t="s">
        <v>1095</v>
      </c>
      <c r="S76" s="213"/>
      <c r="T76" s="213" t="s">
        <v>1095</v>
      </c>
      <c r="U76" s="213"/>
      <c r="V76" s="213"/>
      <c r="W76" s="196"/>
    </row>
    <row r="77" spans="2:23" ht="12" customHeight="1">
      <c r="B77" s="561"/>
      <c r="C77" s="212">
        <v>4.0999999999999996</v>
      </c>
      <c r="D77" s="213" t="s">
        <v>1092</v>
      </c>
      <c r="E77" s="213"/>
      <c r="F77" s="213"/>
      <c r="G77" s="213"/>
      <c r="H77" s="213"/>
      <c r="I77" s="213"/>
      <c r="J77" s="213"/>
      <c r="K77" s="213"/>
      <c r="L77" s="213" t="s">
        <v>1092</v>
      </c>
      <c r="M77" s="213"/>
      <c r="N77" s="213" t="s">
        <v>1092</v>
      </c>
      <c r="O77" s="213"/>
      <c r="P77" s="213"/>
      <c r="Q77" s="213"/>
      <c r="R77" s="213" t="s">
        <v>1092</v>
      </c>
      <c r="S77" s="213"/>
      <c r="T77" s="213" t="s">
        <v>1092</v>
      </c>
      <c r="U77" s="213"/>
      <c r="V77" s="213"/>
      <c r="W77" s="207"/>
    </row>
    <row r="78" spans="2:23" ht="15.6">
      <c r="B78" s="561"/>
      <c r="C78" s="212">
        <v>4.2</v>
      </c>
      <c r="D78" s="213"/>
      <c r="E78" s="213"/>
      <c r="F78" s="213"/>
      <c r="G78" s="213"/>
      <c r="H78" s="213"/>
      <c r="I78" s="213"/>
      <c r="J78" s="213"/>
      <c r="K78" s="213"/>
      <c r="L78" s="213"/>
      <c r="M78" s="213"/>
      <c r="N78" s="213" t="s">
        <v>1092</v>
      </c>
      <c r="O78" s="213"/>
      <c r="P78" s="213"/>
      <c r="Q78" s="213"/>
      <c r="R78" s="213"/>
      <c r="S78" s="213"/>
      <c r="T78" s="213" t="s">
        <v>1092</v>
      </c>
      <c r="U78" s="213"/>
      <c r="V78" s="213"/>
      <c r="W78" s="196"/>
    </row>
    <row r="79" spans="2:23" ht="15.6">
      <c r="B79" s="561"/>
      <c r="C79" s="212">
        <v>4.3</v>
      </c>
      <c r="D79" s="213"/>
      <c r="E79" s="213"/>
      <c r="F79" s="213"/>
      <c r="G79" s="213"/>
      <c r="H79" s="213"/>
      <c r="I79" s="213"/>
      <c r="J79" s="213"/>
      <c r="K79" s="213"/>
      <c r="L79" s="213"/>
      <c r="M79" s="213"/>
      <c r="N79" s="213" t="s">
        <v>1092</v>
      </c>
      <c r="O79" s="213"/>
      <c r="P79" s="213"/>
      <c r="Q79" s="213"/>
      <c r="R79" s="213"/>
      <c r="S79" s="213"/>
      <c r="T79" s="213"/>
      <c r="U79" s="213"/>
      <c r="V79" s="213"/>
      <c r="W79" s="196" t="s">
        <v>1094</v>
      </c>
    </row>
    <row r="80" spans="2:23" ht="15.6">
      <c r="B80" s="561"/>
      <c r="C80" s="212">
        <v>4.4000000000000004</v>
      </c>
      <c r="D80" s="213"/>
      <c r="E80" s="213"/>
      <c r="F80" s="213"/>
      <c r="G80" s="213"/>
      <c r="H80" s="213"/>
      <c r="I80" s="213"/>
      <c r="J80" s="213"/>
      <c r="K80" s="213"/>
      <c r="L80" s="213"/>
      <c r="M80" s="213"/>
      <c r="N80" s="213" t="s">
        <v>1092</v>
      </c>
      <c r="O80" s="213"/>
      <c r="P80" s="213"/>
      <c r="Q80" s="213"/>
      <c r="R80" s="213"/>
      <c r="S80" s="213"/>
      <c r="T80" s="213"/>
      <c r="U80" s="213"/>
      <c r="V80" s="213"/>
      <c r="W80" s="196"/>
    </row>
    <row r="81" spans="2:23" ht="15.6">
      <c r="B81" s="561"/>
      <c r="C81" s="212">
        <v>4.5</v>
      </c>
      <c r="D81" s="213"/>
      <c r="E81" s="213"/>
      <c r="F81" s="213"/>
      <c r="G81" s="213"/>
      <c r="H81" s="213"/>
      <c r="I81" s="213"/>
      <c r="J81" s="213"/>
      <c r="K81" s="213"/>
      <c r="L81" s="213"/>
      <c r="M81" s="213"/>
      <c r="N81" s="213" t="s">
        <v>1092</v>
      </c>
      <c r="O81" s="213"/>
      <c r="P81" s="213"/>
      <c r="Q81" s="213"/>
      <c r="R81" s="213"/>
      <c r="S81" s="213"/>
      <c r="T81" s="213"/>
      <c r="U81" s="213"/>
      <c r="V81" s="213"/>
      <c r="W81" s="196"/>
    </row>
    <row r="82" spans="2:23" ht="21">
      <c r="B82" s="202"/>
      <c r="C82" s="202"/>
      <c r="D82" s="202"/>
      <c r="E82" s="202"/>
      <c r="F82" s="202"/>
      <c r="G82" s="202"/>
      <c r="H82" s="202"/>
      <c r="I82" s="202"/>
      <c r="J82" s="202"/>
      <c r="K82" s="202"/>
      <c r="L82" s="202"/>
      <c r="M82" s="202"/>
      <c r="N82" s="202"/>
      <c r="O82" s="202"/>
      <c r="P82" s="202"/>
      <c r="Q82" s="202"/>
      <c r="R82" s="202"/>
      <c r="S82" s="202"/>
      <c r="T82" s="202"/>
      <c r="U82" s="202"/>
      <c r="V82" s="202"/>
      <c r="W82" s="196"/>
    </row>
    <row r="83" spans="2:23" ht="15.6">
      <c r="B83" s="561" t="s">
        <v>1101</v>
      </c>
      <c r="C83" s="213"/>
      <c r="D83" s="213"/>
      <c r="E83" s="213"/>
      <c r="F83" s="213"/>
      <c r="G83" s="213"/>
      <c r="H83" s="213"/>
      <c r="I83" s="213"/>
      <c r="J83" s="213"/>
      <c r="K83" s="213"/>
      <c r="L83" s="213"/>
      <c r="M83" s="213"/>
      <c r="N83" s="213" t="s">
        <v>1095</v>
      </c>
      <c r="O83" s="213"/>
      <c r="P83" s="213"/>
      <c r="Q83" s="213"/>
      <c r="R83" s="213"/>
      <c r="S83" s="213"/>
      <c r="T83" s="213" t="s">
        <v>1095</v>
      </c>
      <c r="U83" s="213"/>
      <c r="V83" s="213"/>
      <c r="W83" s="196"/>
    </row>
    <row r="84" spans="2:23" ht="12" customHeight="1">
      <c r="B84" s="561"/>
      <c r="C84" s="212">
        <v>5.0999999999999996</v>
      </c>
      <c r="D84" s="213"/>
      <c r="E84" s="213"/>
      <c r="F84" s="213"/>
      <c r="G84" s="213"/>
      <c r="H84" s="213"/>
      <c r="I84" s="213"/>
      <c r="J84" s="213"/>
      <c r="K84" s="213"/>
      <c r="L84" s="213"/>
      <c r="M84" s="213"/>
      <c r="N84" s="213" t="s">
        <v>1092</v>
      </c>
      <c r="O84" s="213"/>
      <c r="P84" s="213"/>
      <c r="Q84" s="213"/>
      <c r="R84" s="213"/>
      <c r="S84" s="213"/>
      <c r="T84" s="213" t="s">
        <v>1092</v>
      </c>
      <c r="U84" s="213"/>
      <c r="V84" s="213"/>
      <c r="W84" s="207"/>
    </row>
    <row r="85" spans="2:23" ht="15.6">
      <c r="B85" s="561"/>
      <c r="C85" s="212">
        <v>5.2</v>
      </c>
      <c r="D85" s="213"/>
      <c r="E85" s="213"/>
      <c r="F85" s="213"/>
      <c r="G85" s="213"/>
      <c r="H85" s="213"/>
      <c r="I85" s="213"/>
      <c r="J85" s="213"/>
      <c r="K85" s="213"/>
      <c r="L85" s="213"/>
      <c r="M85" s="213"/>
      <c r="N85" s="213" t="s">
        <v>1092</v>
      </c>
      <c r="O85" s="213"/>
      <c r="P85" s="213"/>
      <c r="Q85" s="213"/>
      <c r="R85" s="213"/>
      <c r="S85" s="213"/>
      <c r="T85" s="213"/>
      <c r="U85" s="213"/>
      <c r="V85" s="213"/>
      <c r="W85" s="196"/>
    </row>
    <row r="86" spans="2:23" ht="15.6">
      <c r="B86" s="561"/>
      <c r="C86" s="212">
        <v>5.3</v>
      </c>
      <c r="D86" s="213"/>
      <c r="E86" s="213"/>
      <c r="F86" s="213"/>
      <c r="G86" s="213"/>
      <c r="H86" s="213"/>
      <c r="I86" s="213"/>
      <c r="J86" s="213"/>
      <c r="K86" s="213"/>
      <c r="L86" s="213"/>
      <c r="M86" s="213"/>
      <c r="N86" s="213" t="s">
        <v>1092</v>
      </c>
      <c r="O86" s="213"/>
      <c r="P86" s="213"/>
      <c r="Q86" s="213"/>
      <c r="R86" s="213"/>
      <c r="S86" s="213"/>
      <c r="T86" s="213"/>
      <c r="U86" s="213"/>
      <c r="V86" s="213"/>
      <c r="W86" s="196"/>
    </row>
    <row r="87" spans="2:23" ht="21">
      <c r="B87" s="202"/>
      <c r="C87" s="202"/>
      <c r="D87" s="202"/>
      <c r="E87" s="202"/>
      <c r="F87" s="202"/>
      <c r="G87" s="202"/>
      <c r="H87" s="202"/>
      <c r="I87" s="202"/>
      <c r="J87" s="202"/>
      <c r="K87" s="202"/>
      <c r="L87" s="202"/>
      <c r="M87" s="202"/>
      <c r="N87" s="202"/>
      <c r="O87" s="202"/>
      <c r="P87" s="202"/>
      <c r="Q87" s="202"/>
      <c r="R87" s="202"/>
      <c r="S87" s="202"/>
      <c r="T87" s="202"/>
      <c r="U87" s="202"/>
      <c r="V87" s="202"/>
      <c r="W87" s="196"/>
    </row>
    <row r="88" spans="2:23" ht="15.6">
      <c r="W88" s="196"/>
    </row>
    <row r="89" spans="2:23" ht="12" customHeight="1">
      <c r="W89" s="208"/>
    </row>
  </sheetData>
  <mergeCells count="26">
    <mergeCell ref="Q2:S2"/>
    <mergeCell ref="T2:V2"/>
    <mergeCell ref="B10:B18"/>
    <mergeCell ref="B20:B27"/>
    <mergeCell ref="B29:B34"/>
    <mergeCell ref="B2:B3"/>
    <mergeCell ref="C2:C3"/>
    <mergeCell ref="D2:E2"/>
    <mergeCell ref="F2:G2"/>
    <mergeCell ref="H2:K2"/>
    <mergeCell ref="L2:N2"/>
    <mergeCell ref="B5:B8"/>
    <mergeCell ref="B36:B39"/>
    <mergeCell ref="B67:B74"/>
    <mergeCell ref="B49:B50"/>
    <mergeCell ref="C49:C50"/>
    <mergeCell ref="D49:E49"/>
    <mergeCell ref="B52:B55"/>
    <mergeCell ref="B76:B81"/>
    <mergeCell ref="B83:B86"/>
    <mergeCell ref="H49:K49"/>
    <mergeCell ref="L49:N49"/>
    <mergeCell ref="T49:V49"/>
    <mergeCell ref="B57:B65"/>
    <mergeCell ref="F49:G49"/>
    <mergeCell ref="Q49:S49"/>
  </mergeCells>
  <phoneticPr fontId="54" type="noConversion"/>
  <conditionalFormatting sqref="W4:W41">
    <cfRule type="cellIs" dxfId="113" priority="118" operator="equal">
      <formula>"S"</formula>
    </cfRule>
    <cfRule type="cellIs" dxfId="112" priority="119" stopIfTrue="1" operator="equal">
      <formula>"FM"</formula>
    </cfRule>
    <cfRule type="cellIs" dxfId="111" priority="120" stopIfTrue="1" operator="equal">
      <formula>"LM"</formula>
    </cfRule>
    <cfRule type="cellIs" dxfId="110" priority="121" stopIfTrue="1" operator="equal">
      <formula>"PM"</formula>
    </cfRule>
    <cfRule type="cellIs" dxfId="109" priority="167" stopIfTrue="1" operator="equal">
      <formula>"DM"</formula>
    </cfRule>
  </conditionalFormatting>
  <conditionalFormatting sqref="C5">
    <cfRule type="cellIs" dxfId="108" priority="108" operator="equal">
      <formula>"S"</formula>
    </cfRule>
    <cfRule type="cellIs" dxfId="107" priority="109" stopIfTrue="1" operator="equal">
      <formula>"FM"</formula>
    </cfRule>
    <cfRule type="cellIs" dxfId="106" priority="110" stopIfTrue="1" operator="equal">
      <formula>"LM"</formula>
    </cfRule>
    <cfRule type="cellIs" dxfId="105" priority="111" stopIfTrue="1" operator="equal">
      <formula>"PM"</formula>
    </cfRule>
    <cfRule type="cellIs" dxfId="104" priority="112" stopIfTrue="1" operator="equal">
      <formula>"DM"</formula>
    </cfRule>
  </conditionalFormatting>
  <conditionalFormatting sqref="C10">
    <cfRule type="cellIs" dxfId="103" priority="103" operator="equal">
      <formula>"S"</formula>
    </cfRule>
    <cfRule type="cellIs" dxfId="102" priority="104" stopIfTrue="1" operator="equal">
      <formula>"FM"</formula>
    </cfRule>
    <cfRule type="cellIs" dxfId="101" priority="105" stopIfTrue="1" operator="equal">
      <formula>"LM"</formula>
    </cfRule>
    <cfRule type="cellIs" dxfId="100" priority="106" stopIfTrue="1" operator="equal">
      <formula>"PM"</formula>
    </cfRule>
    <cfRule type="cellIs" dxfId="99" priority="107" stopIfTrue="1" operator="equal">
      <formula>"DM"</formula>
    </cfRule>
  </conditionalFormatting>
  <conditionalFormatting sqref="C20">
    <cfRule type="cellIs" dxfId="98" priority="98" operator="equal">
      <formula>"S"</formula>
    </cfRule>
    <cfRule type="cellIs" dxfId="97" priority="99" stopIfTrue="1" operator="equal">
      <formula>"FM"</formula>
    </cfRule>
    <cfRule type="cellIs" dxfId="96" priority="100" stopIfTrue="1" operator="equal">
      <formula>"LM"</formula>
    </cfRule>
    <cfRule type="cellIs" dxfId="95" priority="101" stopIfTrue="1" operator="equal">
      <formula>"PM"</formula>
    </cfRule>
    <cfRule type="cellIs" dxfId="94" priority="102" stopIfTrue="1" operator="equal">
      <formula>"DM"</formula>
    </cfRule>
  </conditionalFormatting>
  <conditionalFormatting sqref="C29">
    <cfRule type="cellIs" dxfId="93" priority="93" operator="equal">
      <formula>"S"</formula>
    </cfRule>
    <cfRule type="cellIs" dxfId="92" priority="94" stopIfTrue="1" operator="equal">
      <formula>"FM"</formula>
    </cfRule>
    <cfRule type="cellIs" dxfId="91" priority="95" stopIfTrue="1" operator="equal">
      <formula>"LM"</formula>
    </cfRule>
    <cfRule type="cellIs" dxfId="90" priority="96" stopIfTrue="1" operator="equal">
      <formula>"PM"</formula>
    </cfRule>
    <cfRule type="cellIs" dxfId="89" priority="97" stopIfTrue="1" operator="equal">
      <formula>"DM"</formula>
    </cfRule>
  </conditionalFormatting>
  <conditionalFormatting sqref="C36">
    <cfRule type="cellIs" dxfId="88" priority="88" operator="equal">
      <formula>"S"</formula>
    </cfRule>
    <cfRule type="cellIs" dxfId="87" priority="89" stopIfTrue="1" operator="equal">
      <formula>"FM"</formula>
    </cfRule>
    <cfRule type="cellIs" dxfId="86" priority="90" stopIfTrue="1" operator="equal">
      <formula>"LM"</formula>
    </cfRule>
    <cfRule type="cellIs" dxfId="85" priority="91" stopIfTrue="1" operator="equal">
      <formula>"PM"</formula>
    </cfRule>
    <cfRule type="cellIs" dxfId="84" priority="92" stopIfTrue="1" operator="equal">
      <formula>"DM"</formula>
    </cfRule>
  </conditionalFormatting>
  <conditionalFormatting sqref="D67:V74 D76:V81 D83:V86 W52:W89 D52:V65">
    <cfRule type="cellIs" dxfId="83" priority="57" stopIfTrue="1" operator="equal">
      <formula>"U"</formula>
    </cfRule>
    <cfRule type="cellIs" dxfId="82" priority="83" stopIfTrue="1" operator="equal">
      <formula>"S"</formula>
    </cfRule>
    <cfRule type="cellIs" dxfId="81" priority="84" stopIfTrue="1" operator="equal">
      <formula>"FM"</formula>
    </cfRule>
    <cfRule type="cellIs" dxfId="80" priority="85" stopIfTrue="1" operator="equal">
      <formula>"LM"</formula>
    </cfRule>
    <cfRule type="cellIs" dxfId="79" priority="86" stopIfTrue="1" operator="equal">
      <formula>"PM"</formula>
    </cfRule>
    <cfRule type="cellIs" dxfId="78" priority="87" stopIfTrue="1" operator="equal">
      <formula>"DM"</formula>
    </cfRule>
  </conditionalFormatting>
  <conditionalFormatting sqref="C52">
    <cfRule type="cellIs" dxfId="77" priority="78" operator="equal">
      <formula>"S"</formula>
    </cfRule>
    <cfRule type="cellIs" dxfId="76" priority="79" stopIfTrue="1" operator="equal">
      <formula>"FM"</formula>
    </cfRule>
    <cfRule type="cellIs" dxfId="75" priority="80" stopIfTrue="1" operator="equal">
      <formula>"LM"</formula>
    </cfRule>
    <cfRule type="cellIs" dxfId="74" priority="81" stopIfTrue="1" operator="equal">
      <formula>"PM"</formula>
    </cfRule>
    <cfRule type="cellIs" dxfId="73" priority="82" stopIfTrue="1" operator="equal">
      <formula>"DM"</formula>
    </cfRule>
  </conditionalFormatting>
  <conditionalFormatting sqref="C57">
    <cfRule type="cellIs" dxfId="72" priority="73" operator="equal">
      <formula>"S"</formula>
    </cfRule>
    <cfRule type="cellIs" dxfId="71" priority="74" stopIfTrue="1" operator="equal">
      <formula>"FM"</formula>
    </cfRule>
    <cfRule type="cellIs" dxfId="70" priority="75" stopIfTrue="1" operator="equal">
      <formula>"LM"</formula>
    </cfRule>
    <cfRule type="cellIs" dxfId="69" priority="76" stopIfTrue="1" operator="equal">
      <formula>"PM"</formula>
    </cfRule>
    <cfRule type="cellIs" dxfId="68" priority="77" stopIfTrue="1" operator="equal">
      <formula>"DM"</formula>
    </cfRule>
  </conditionalFormatting>
  <conditionalFormatting sqref="C67">
    <cfRule type="cellIs" dxfId="67" priority="68" operator="equal">
      <formula>"S"</formula>
    </cfRule>
    <cfRule type="cellIs" dxfId="66" priority="69" stopIfTrue="1" operator="equal">
      <formula>"FM"</formula>
    </cfRule>
    <cfRule type="cellIs" dxfId="65" priority="70" stopIfTrue="1" operator="equal">
      <formula>"LM"</formula>
    </cfRule>
    <cfRule type="cellIs" dxfId="64" priority="71" stopIfTrue="1" operator="equal">
      <formula>"PM"</formula>
    </cfRule>
    <cfRule type="cellIs" dxfId="63" priority="72" stopIfTrue="1" operator="equal">
      <formula>"DM"</formula>
    </cfRule>
  </conditionalFormatting>
  <conditionalFormatting sqref="C76">
    <cfRule type="cellIs" dxfId="62" priority="63" operator="equal">
      <formula>"S"</formula>
    </cfRule>
    <cfRule type="cellIs" dxfId="61" priority="64" stopIfTrue="1" operator="equal">
      <formula>"FM"</formula>
    </cfRule>
    <cfRule type="cellIs" dxfId="60" priority="65" stopIfTrue="1" operator="equal">
      <formula>"LM"</formula>
    </cfRule>
    <cfRule type="cellIs" dxfId="59" priority="66" stopIfTrue="1" operator="equal">
      <formula>"PM"</formula>
    </cfRule>
    <cfRule type="cellIs" dxfId="58" priority="67" stopIfTrue="1" operator="equal">
      <formula>"DM"</formula>
    </cfRule>
  </conditionalFormatting>
  <conditionalFormatting sqref="C83">
    <cfRule type="cellIs" dxfId="57" priority="58" operator="equal">
      <formula>"S"</formula>
    </cfRule>
    <cfRule type="cellIs" dxfId="56" priority="59" stopIfTrue="1" operator="equal">
      <formula>"FM"</formula>
    </cfRule>
    <cfRule type="cellIs" dxfId="55" priority="60" stopIfTrue="1" operator="equal">
      <formula>"LM"</formula>
    </cfRule>
    <cfRule type="cellIs" dxfId="54" priority="61" stopIfTrue="1" operator="equal">
      <formula>"PM"</formula>
    </cfRule>
    <cfRule type="cellIs" dxfId="53" priority="62" stopIfTrue="1" operator="equal">
      <formula>"DM"</formula>
    </cfRule>
  </conditionalFormatting>
  <conditionalFormatting sqref="D20:V22 D24:V27 D23:H23 J23:V23">
    <cfRule type="cellIs" dxfId="52" priority="42" operator="equal">
      <formula>"S"</formula>
    </cfRule>
    <cfRule type="cellIs" dxfId="51" priority="43" stopIfTrue="1" operator="equal">
      <formula>"FM"</formula>
    </cfRule>
    <cfRule type="cellIs" dxfId="50" priority="44" stopIfTrue="1" operator="equal">
      <formula>"LM"</formula>
    </cfRule>
    <cfRule type="cellIs" dxfId="49" priority="45" stopIfTrue="1" operator="equal">
      <formula>"PM"</formula>
    </cfRule>
    <cfRule type="cellIs" dxfId="48" priority="46" stopIfTrue="1" operator="equal">
      <formula>"DM"</formula>
    </cfRule>
  </conditionalFormatting>
  <conditionalFormatting sqref="D29:V34">
    <cfRule type="cellIs" dxfId="47" priority="37" operator="equal">
      <formula>"S"</formula>
    </cfRule>
    <cfRule type="cellIs" dxfId="46" priority="38" stopIfTrue="1" operator="equal">
      <formula>"FM"</formula>
    </cfRule>
    <cfRule type="cellIs" dxfId="45" priority="39" stopIfTrue="1" operator="equal">
      <formula>"LM"</formula>
    </cfRule>
    <cfRule type="cellIs" dxfId="44" priority="40" stopIfTrue="1" operator="equal">
      <formula>"PM"</formula>
    </cfRule>
    <cfRule type="cellIs" dxfId="43" priority="41" stopIfTrue="1" operator="equal">
      <formula>"DM"</formula>
    </cfRule>
  </conditionalFormatting>
  <conditionalFormatting sqref="D36:V39">
    <cfRule type="cellIs" dxfId="42" priority="32" operator="equal">
      <formula>"S"</formula>
    </cfRule>
    <cfRule type="cellIs" dxfId="41" priority="33" stopIfTrue="1" operator="equal">
      <formula>"FM"</formula>
    </cfRule>
    <cfRule type="cellIs" dxfId="40" priority="34" stopIfTrue="1" operator="equal">
      <formula>"LM"</formula>
    </cfRule>
    <cfRule type="cellIs" dxfId="39" priority="35" stopIfTrue="1" operator="equal">
      <formula>"PM"</formula>
    </cfRule>
    <cfRule type="cellIs" dxfId="38" priority="36" stopIfTrue="1" operator="equal">
      <formula>"DM"</formula>
    </cfRule>
  </conditionalFormatting>
  <conditionalFormatting sqref="D5:V8">
    <cfRule type="cellIs" dxfId="37" priority="22" operator="equal">
      <formula>"S"</formula>
    </cfRule>
    <cfRule type="cellIs" dxfId="36" priority="23" stopIfTrue="1" operator="equal">
      <formula>"FM"</formula>
    </cfRule>
    <cfRule type="cellIs" dxfId="35" priority="24" stopIfTrue="1" operator="equal">
      <formula>"LM"</formula>
    </cfRule>
    <cfRule type="cellIs" dxfId="34" priority="25" stopIfTrue="1" operator="equal">
      <formula>"PM"</formula>
    </cfRule>
    <cfRule type="cellIs" dxfId="33" priority="26" stopIfTrue="1" operator="equal">
      <formula>"DM"</formula>
    </cfRule>
  </conditionalFormatting>
  <conditionalFormatting sqref="D10:V18">
    <cfRule type="cellIs" dxfId="32" priority="17" operator="equal">
      <formula>"S"</formula>
    </cfRule>
    <cfRule type="cellIs" dxfId="31" priority="18" stopIfTrue="1" operator="equal">
      <formula>"FM"</formula>
    </cfRule>
    <cfRule type="cellIs" dxfId="30" priority="19" stopIfTrue="1" operator="equal">
      <formula>"LM"</formula>
    </cfRule>
    <cfRule type="cellIs" dxfId="29" priority="20" stopIfTrue="1" operator="equal">
      <formula>"PM"</formula>
    </cfRule>
    <cfRule type="cellIs" dxfId="28" priority="21" stopIfTrue="1" operator="equal">
      <formula>"DM"</formula>
    </cfRule>
  </conditionalFormatting>
  <conditionalFormatting sqref="I23">
    <cfRule type="cellIs" dxfId="27" priority="12" operator="equal">
      <formula>"S"</formula>
    </cfRule>
    <cfRule type="cellIs" dxfId="26" priority="13" stopIfTrue="1" operator="equal">
      <formula>"FM"</formula>
    </cfRule>
    <cfRule type="cellIs" dxfId="25" priority="14" stopIfTrue="1" operator="equal">
      <formula>"LM"</formula>
    </cfRule>
    <cfRule type="cellIs" dxfId="24" priority="15" stopIfTrue="1" operator="equal">
      <formula>"PM"</formula>
    </cfRule>
    <cfRule type="cellIs" dxfId="23" priority="16" stopIfTrue="1" operator="equal">
      <formula>"DM"</formula>
    </cfRule>
  </conditionalFormatting>
  <conditionalFormatting sqref="AB12:AB16">
    <cfRule type="cellIs" dxfId="22" priority="7" operator="equal">
      <formula>"S"</formula>
    </cfRule>
    <cfRule type="cellIs" dxfId="21" priority="8" stopIfTrue="1" operator="equal">
      <formula>"FM"</formula>
    </cfRule>
    <cfRule type="cellIs" dxfId="20" priority="9" stopIfTrue="1" operator="equal">
      <formula>"LM"</formula>
    </cfRule>
    <cfRule type="cellIs" dxfId="19" priority="10" stopIfTrue="1" operator="equal">
      <formula>"PM"</formula>
    </cfRule>
    <cfRule type="cellIs" dxfId="18" priority="11" stopIfTrue="1" operator="equal">
      <formula>"DM"</formula>
    </cfRule>
  </conditionalFormatting>
  <conditionalFormatting sqref="AB7:AB8">
    <cfRule type="cellIs" dxfId="17" priority="2" operator="equal">
      <formula>"S"</formula>
    </cfRule>
    <cfRule type="cellIs" dxfId="16" priority="3" stopIfTrue="1" operator="equal">
      <formula>"FM"</formula>
    </cfRule>
    <cfRule type="cellIs" dxfId="15" priority="4" stopIfTrue="1" operator="equal">
      <formula>"LM"</formula>
    </cfRule>
    <cfRule type="cellIs" dxfId="14" priority="5" stopIfTrue="1" operator="equal">
      <formula>"PM"</formula>
    </cfRule>
    <cfRule type="cellIs" dxfId="13" priority="6" stopIfTrue="1" operator="equal">
      <formula>"DM"</formula>
    </cfRule>
  </conditionalFormatting>
  <conditionalFormatting sqref="AB8">
    <cfRule type="cellIs" dxfId="12" priority="1" operator="equal">
      <formula>"U"</formula>
    </cfRule>
  </conditionalFormatting>
  <pageMargins left="0.7" right="0.7" top="0.75" bottom="0.75" header="0.3" footer="0.3"/>
  <pageSetup orientation="portrait" r:id="rId1"/>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E848977-C6B4-4A66-AEE9-4E880AE1061F}">
  <sheetPr codeName="Sheet13">
    <tabColor theme="5"/>
  </sheetPr>
  <dimension ref="A3:B26"/>
  <sheetViews>
    <sheetView workbookViewId="0"/>
  </sheetViews>
  <sheetFormatPr defaultRowHeight="14.4"/>
  <cols>
    <col min="1" max="1" width="41.44140625" bestFit="1" customWidth="1"/>
    <col min="2" max="2" width="15.33203125" bestFit="1" customWidth="1"/>
    <col min="3" max="3" width="20.6640625" bestFit="1" customWidth="1"/>
    <col min="4" max="4" width="8.44140625" bestFit="1" customWidth="1"/>
    <col min="5" max="5" width="9.6640625" bestFit="1" customWidth="1"/>
    <col min="6" max="6" width="14.44140625" bestFit="1" customWidth="1"/>
    <col min="7" max="7" width="18.33203125" bestFit="1" customWidth="1"/>
    <col min="8" max="8" width="14.6640625" bestFit="1" customWidth="1"/>
    <col min="9" max="9" width="20.6640625" bestFit="1" customWidth="1"/>
    <col min="10" max="10" width="7.33203125" bestFit="1" customWidth="1"/>
    <col min="11" max="11" width="6.6640625" bestFit="1" customWidth="1"/>
    <col min="12" max="12" width="10.6640625" bestFit="1" customWidth="1"/>
    <col min="13" max="13" width="14.6640625" bestFit="1" customWidth="1"/>
    <col min="14" max="14" width="7.33203125" bestFit="1" customWidth="1"/>
    <col min="15" max="15" width="7.44140625" bestFit="1" customWidth="1"/>
    <col min="16" max="16" width="20.6640625" bestFit="1" customWidth="1"/>
    <col min="17" max="17" width="7.44140625" bestFit="1" customWidth="1"/>
    <col min="18" max="18" width="18.33203125" bestFit="1" customWidth="1"/>
    <col min="19" max="19" width="7.44140625" bestFit="1" customWidth="1"/>
    <col min="20" max="20" width="14.44140625" bestFit="1" customWidth="1"/>
    <col min="21" max="21" width="7.44140625" bestFit="1" customWidth="1"/>
    <col min="22" max="22" width="20.6640625" bestFit="1" customWidth="1"/>
    <col min="23" max="23" width="7.44140625" bestFit="1" customWidth="1"/>
    <col min="24" max="24" width="8.44140625" bestFit="1" customWidth="1"/>
    <col min="25" max="25" width="11.44140625" bestFit="1" customWidth="1"/>
    <col min="26" max="26" width="10.6640625" bestFit="1" customWidth="1"/>
  </cols>
  <sheetData>
    <row r="3" spans="1:2">
      <c r="A3" s="310" t="s">
        <v>915</v>
      </c>
      <c r="B3" t="s">
        <v>913</v>
      </c>
    </row>
    <row r="4" spans="1:2">
      <c r="A4" s="308" t="s">
        <v>411</v>
      </c>
      <c r="B4" s="311">
        <v>17</v>
      </c>
    </row>
    <row r="5" spans="1:2">
      <c r="A5" s="125" t="s">
        <v>910</v>
      </c>
      <c r="B5" s="311">
        <v>2</v>
      </c>
    </row>
    <row r="6" spans="1:2">
      <c r="A6" s="280" t="s">
        <v>1546</v>
      </c>
      <c r="B6" s="311">
        <v>2</v>
      </c>
    </row>
    <row r="7" spans="1:2">
      <c r="A7" s="125" t="s">
        <v>1355</v>
      </c>
      <c r="B7" s="311">
        <v>1</v>
      </c>
    </row>
    <row r="8" spans="1:2">
      <c r="A8" s="280" t="s">
        <v>1561</v>
      </c>
      <c r="B8" s="311">
        <v>1</v>
      </c>
    </row>
    <row r="9" spans="1:2">
      <c r="A9" s="125" t="s">
        <v>911</v>
      </c>
      <c r="B9" s="311">
        <v>1</v>
      </c>
    </row>
    <row r="10" spans="1:2">
      <c r="A10" s="280" t="s">
        <v>1542</v>
      </c>
      <c r="B10" s="311">
        <v>1</v>
      </c>
    </row>
    <row r="11" spans="1:2">
      <c r="A11" s="125" t="s">
        <v>1149</v>
      </c>
      <c r="B11" s="311">
        <v>2</v>
      </c>
    </row>
    <row r="12" spans="1:2">
      <c r="A12" s="280" t="s">
        <v>1543</v>
      </c>
      <c r="B12" s="311">
        <v>1</v>
      </c>
    </row>
    <row r="13" spans="1:2">
      <c r="A13" s="280" t="s">
        <v>1548</v>
      </c>
      <c r="B13" s="311">
        <v>1</v>
      </c>
    </row>
    <row r="14" spans="1:2">
      <c r="A14" s="125" t="s">
        <v>1356</v>
      </c>
      <c r="B14" s="311">
        <v>4</v>
      </c>
    </row>
    <row r="15" spans="1:2">
      <c r="A15" s="280" t="s">
        <v>1555</v>
      </c>
      <c r="B15" s="311">
        <v>3</v>
      </c>
    </row>
    <row r="16" spans="1:2">
      <c r="A16" s="280" t="s">
        <v>1560</v>
      </c>
      <c r="B16" s="311">
        <v>1</v>
      </c>
    </row>
    <row r="17" spans="1:2">
      <c r="A17" s="125" t="s">
        <v>1238</v>
      </c>
      <c r="B17" s="311">
        <v>1</v>
      </c>
    </row>
    <row r="18" spans="1:2">
      <c r="A18" s="280" t="s">
        <v>1564</v>
      </c>
      <c r="B18" s="311">
        <v>1</v>
      </c>
    </row>
    <row r="19" spans="1:2">
      <c r="A19" s="125" t="s">
        <v>1354</v>
      </c>
      <c r="B19" s="311">
        <v>1</v>
      </c>
    </row>
    <row r="20" spans="1:2">
      <c r="A20" s="280" t="s">
        <v>1563</v>
      </c>
      <c r="B20" s="311">
        <v>1</v>
      </c>
    </row>
    <row r="21" spans="1:2">
      <c r="A21" s="125" t="s">
        <v>1357</v>
      </c>
      <c r="B21" s="311">
        <v>5</v>
      </c>
    </row>
    <row r="22" spans="1:2">
      <c r="A22" s="280" t="s">
        <v>1562</v>
      </c>
      <c r="B22" s="311">
        <v>5</v>
      </c>
    </row>
    <row r="23" spans="1:2">
      <c r="A23" s="308" t="s">
        <v>916</v>
      </c>
      <c r="B23" s="311"/>
    </row>
    <row r="24" spans="1:2">
      <c r="A24" s="125" t="s">
        <v>916</v>
      </c>
      <c r="B24" s="311"/>
    </row>
    <row r="25" spans="1:2">
      <c r="A25" s="280" t="s">
        <v>916</v>
      </c>
      <c r="B25" s="311"/>
    </row>
    <row r="26" spans="1:2">
      <c r="A26" s="308" t="s">
        <v>917</v>
      </c>
      <c r="B26" s="311">
        <v>17</v>
      </c>
    </row>
  </sheetData>
  <phoneticPr fontId="54" type="noConversion"/>
  <pageMargins left="0.7" right="0.7" top="0.75" bottom="0.75" header="0.3" footer="0.3"/>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BB7618D-055D-44B0-9C9E-EB445C700094}">
  <sheetPr codeName="Sheet24">
    <tabColor theme="5" tint="0.39997558519241921"/>
  </sheetPr>
  <dimension ref="A1:F33"/>
  <sheetViews>
    <sheetView workbookViewId="0"/>
  </sheetViews>
  <sheetFormatPr defaultRowHeight="14.4"/>
  <cols>
    <col min="1" max="1" width="36.33203125" bestFit="1" customWidth="1"/>
    <col min="2" max="2" width="10.6640625" bestFit="1" customWidth="1"/>
    <col min="3" max="3" width="3.6640625" bestFit="1" customWidth="1"/>
    <col min="4" max="4" width="4.44140625" bestFit="1" customWidth="1"/>
    <col min="5" max="6" width="3.6640625" bestFit="1" customWidth="1"/>
    <col min="7" max="7" width="5.44140625" bestFit="1" customWidth="1"/>
    <col min="8" max="8" width="3.33203125" bestFit="1" customWidth="1"/>
    <col min="9" max="9" width="4.44140625" bestFit="1" customWidth="1"/>
    <col min="10" max="10" width="4.6640625" bestFit="1" customWidth="1"/>
    <col min="11" max="11" width="2.44140625" bestFit="1" customWidth="1"/>
    <col min="12" max="12" width="5.44140625" bestFit="1" customWidth="1"/>
    <col min="13" max="13" width="4.44140625" bestFit="1" customWidth="1"/>
    <col min="14" max="14" width="3.33203125" bestFit="1" customWidth="1"/>
    <col min="15" max="15" width="5" bestFit="1" customWidth="1"/>
    <col min="16" max="16" width="4.33203125" bestFit="1" customWidth="1"/>
    <col min="17" max="17" width="2.6640625" bestFit="1" customWidth="1"/>
    <col min="18" max="18" width="3.44140625" bestFit="1" customWidth="1"/>
    <col min="19" max="19" width="6.6640625" bestFit="1" customWidth="1"/>
    <col min="20" max="20" width="10.6640625" bestFit="1" customWidth="1"/>
  </cols>
  <sheetData>
    <row r="1" spans="1:6" s="50" customFormat="1" ht="18">
      <c r="A1" s="112" t="s">
        <v>1005</v>
      </c>
      <c r="B1" s="116"/>
      <c r="C1" s="116"/>
      <c r="D1" s="116"/>
      <c r="E1" s="116"/>
      <c r="F1" s="116"/>
    </row>
    <row r="3" spans="1:6">
      <c r="A3" s="310" t="s">
        <v>915</v>
      </c>
    </row>
    <row r="4" spans="1:6">
      <c r="A4" s="308" t="s">
        <v>1546</v>
      </c>
    </row>
    <row r="5" spans="1:6">
      <c r="A5" s="125" t="s">
        <v>883</v>
      </c>
    </row>
    <row r="6" spans="1:6">
      <c r="A6" s="125" t="s">
        <v>884</v>
      </c>
    </row>
    <row r="7" spans="1:6">
      <c r="A7" s="308" t="s">
        <v>1561</v>
      </c>
    </row>
    <row r="8" spans="1:6">
      <c r="A8" s="125" t="s">
        <v>751</v>
      </c>
    </row>
    <row r="9" spans="1:6">
      <c r="A9" s="308" t="s">
        <v>1542</v>
      </c>
    </row>
    <row r="10" spans="1:6">
      <c r="A10" s="125" t="s">
        <v>882</v>
      </c>
    </row>
    <row r="11" spans="1:6">
      <c r="A11" s="308" t="s">
        <v>1543</v>
      </c>
    </row>
    <row r="12" spans="1:6">
      <c r="A12" s="125" t="s">
        <v>881</v>
      </c>
    </row>
    <row r="13" spans="1:6">
      <c r="A13" s="308" t="s">
        <v>1548</v>
      </c>
    </row>
    <row r="14" spans="1:6">
      <c r="A14" s="125" t="s">
        <v>885</v>
      </c>
    </row>
    <row r="15" spans="1:6">
      <c r="A15" s="308" t="s">
        <v>1564</v>
      </c>
    </row>
    <row r="16" spans="1:6">
      <c r="A16" s="125" t="s">
        <v>835</v>
      </c>
    </row>
    <row r="17" spans="1:1">
      <c r="A17" s="308" t="s">
        <v>1562</v>
      </c>
    </row>
    <row r="18" spans="1:1">
      <c r="A18" s="125" t="s">
        <v>893</v>
      </c>
    </row>
    <row r="19" spans="1:1">
      <c r="A19" s="125" t="s">
        <v>894</v>
      </c>
    </row>
    <row r="20" spans="1:1">
      <c r="A20" s="125" t="s">
        <v>886</v>
      </c>
    </row>
    <row r="21" spans="1:1">
      <c r="A21" s="125" t="s">
        <v>887</v>
      </c>
    </row>
    <row r="22" spans="1:1">
      <c r="A22" s="125" t="s">
        <v>888</v>
      </c>
    </row>
    <row r="23" spans="1:1">
      <c r="A23" s="308" t="s">
        <v>1555</v>
      </c>
    </row>
    <row r="24" spans="1:1">
      <c r="A24" s="125" t="s">
        <v>890</v>
      </c>
    </row>
    <row r="25" spans="1:1">
      <c r="A25" s="125" t="s">
        <v>891</v>
      </c>
    </row>
    <row r="26" spans="1:1">
      <c r="A26" s="125" t="s">
        <v>892</v>
      </c>
    </row>
    <row r="27" spans="1:1">
      <c r="A27" s="308" t="s">
        <v>1560</v>
      </c>
    </row>
    <row r="28" spans="1:1">
      <c r="A28" s="125" t="s">
        <v>889</v>
      </c>
    </row>
    <row r="29" spans="1:1">
      <c r="A29" s="308" t="s">
        <v>1563</v>
      </c>
    </row>
    <row r="30" spans="1:1">
      <c r="A30" s="125" t="s">
        <v>753</v>
      </c>
    </row>
    <row r="31" spans="1:1">
      <c r="A31" s="308" t="s">
        <v>916</v>
      </c>
    </row>
    <row r="32" spans="1:1">
      <c r="A32" s="125" t="s">
        <v>916</v>
      </c>
    </row>
    <row r="33" spans="1:1">
      <c r="A33" s="308" t="s">
        <v>917</v>
      </c>
    </row>
  </sheetData>
  <phoneticPr fontId="54" type="noConversion"/>
  <pageMargins left="0.7" right="0.7" top="0.75" bottom="0.75" header="0.3" footer="0.3"/>
  <pageSetup orientation="portrait" r:id="rId2"/>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2F87AB5-0D68-4188-BE16-4A6B36C73EE0}">
  <sheetPr codeName="Sheet251">
    <tabColor theme="5" tint="0.39997558519241921"/>
  </sheetPr>
  <dimension ref="A1:F24"/>
  <sheetViews>
    <sheetView workbookViewId="0"/>
  </sheetViews>
  <sheetFormatPr defaultRowHeight="14.4"/>
  <cols>
    <col min="1" max="1" width="38.6640625" bestFit="1" customWidth="1"/>
    <col min="2" max="2" width="15.33203125" bestFit="1" customWidth="1"/>
  </cols>
  <sheetData>
    <row r="1" spans="1:6" s="50" customFormat="1" ht="18">
      <c r="A1" s="112" t="s">
        <v>1004</v>
      </c>
      <c r="B1" s="116"/>
      <c r="C1" s="116"/>
      <c r="D1" s="116"/>
      <c r="E1" s="116"/>
      <c r="F1" s="116"/>
    </row>
    <row r="3" spans="1:6">
      <c r="A3" s="310" t="s">
        <v>915</v>
      </c>
    </row>
    <row r="4" spans="1:6">
      <c r="A4" s="308" t="s">
        <v>916</v>
      </c>
    </row>
    <row r="5" spans="1:6">
      <c r="A5" s="125" t="s">
        <v>916</v>
      </c>
    </row>
    <row r="6" spans="1:6">
      <c r="A6" s="308" t="s">
        <v>1530</v>
      </c>
    </row>
    <row r="7" spans="1:6">
      <c r="A7" s="125" t="s">
        <v>1543</v>
      </c>
    </row>
    <row r="8" spans="1:6">
      <c r="A8" s="125" t="s">
        <v>1542</v>
      </c>
    </row>
    <row r="9" spans="1:6">
      <c r="A9" s="308" t="s">
        <v>1531</v>
      </c>
    </row>
    <row r="10" spans="1:6">
      <c r="A10" s="125" t="s">
        <v>1546</v>
      </c>
    </row>
    <row r="11" spans="1:6">
      <c r="A11" s="125" t="s">
        <v>1548</v>
      </c>
    </row>
    <row r="12" spans="1:6">
      <c r="A12" s="308" t="s">
        <v>1533</v>
      </c>
    </row>
    <row r="13" spans="1:6">
      <c r="A13" s="125" t="s">
        <v>1555</v>
      </c>
    </row>
    <row r="14" spans="1:6">
      <c r="A14" s="308" t="s">
        <v>1535</v>
      </c>
    </row>
    <row r="15" spans="1:6">
      <c r="A15" s="125" t="s">
        <v>1560</v>
      </c>
    </row>
    <row r="16" spans="1:6">
      <c r="A16" s="308" t="s">
        <v>1347</v>
      </c>
    </row>
    <row r="17" spans="1:1">
      <c r="A17" s="125" t="s">
        <v>1561</v>
      </c>
    </row>
    <row r="18" spans="1:1">
      <c r="A18" s="308" t="s">
        <v>1348</v>
      </c>
    </row>
    <row r="19" spans="1:1">
      <c r="A19" s="125" t="s">
        <v>1562</v>
      </c>
    </row>
    <row r="20" spans="1:1">
      <c r="A20" s="308" t="s">
        <v>1349</v>
      </c>
    </row>
    <row r="21" spans="1:1">
      <c r="A21" s="125" t="s">
        <v>1563</v>
      </c>
    </row>
    <row r="22" spans="1:1">
      <c r="A22" s="308" t="s">
        <v>1350</v>
      </c>
    </row>
    <row r="23" spans="1:1">
      <c r="A23" s="125" t="s">
        <v>1564</v>
      </c>
    </row>
    <row r="24" spans="1:1">
      <c r="A24" s="308" t="s">
        <v>917</v>
      </c>
    </row>
  </sheetData>
  <phoneticPr fontId="54" type="noConversion"/>
  <pageMargins left="0.7" right="0.7" top="0.75" bottom="0.75" header="0.3" footer="0.3"/>
  <pageSetup orientation="portrait" r:id="rId2"/>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4B9BC9E-3073-405E-8C0B-7341BC3BCC1E}">
  <sheetPr codeName="Sheet26">
    <tabColor theme="5" tint="0.39997558519241921"/>
  </sheetPr>
  <dimension ref="A3:A22"/>
  <sheetViews>
    <sheetView workbookViewId="0"/>
  </sheetViews>
  <sheetFormatPr defaultRowHeight="14.4"/>
  <cols>
    <col min="1" max="1" width="38.6640625" bestFit="1" customWidth="1"/>
    <col min="2" max="2" width="15.33203125" bestFit="1" customWidth="1"/>
    <col min="3" max="3" width="11.44140625" bestFit="1" customWidth="1"/>
    <col min="4" max="4" width="13.6640625" bestFit="1" customWidth="1"/>
    <col min="5" max="5" width="13.44140625" bestFit="1" customWidth="1"/>
    <col min="6" max="6" width="10.44140625" bestFit="1" customWidth="1"/>
    <col min="7" max="7" width="11.33203125" bestFit="1" customWidth="1"/>
    <col min="8" max="8" width="9.44140625" bestFit="1" customWidth="1"/>
    <col min="9" max="9" width="9.6640625" bestFit="1" customWidth="1"/>
    <col min="10" max="11" width="7.44140625" bestFit="1" customWidth="1"/>
    <col min="12" max="13" width="9.44140625" bestFit="1" customWidth="1"/>
    <col min="14" max="14" width="6.6640625" bestFit="1" customWidth="1"/>
    <col min="15" max="15" width="10.6640625" bestFit="1" customWidth="1"/>
  </cols>
  <sheetData>
    <row r="3" spans="1:1">
      <c r="A3" s="310" t="s">
        <v>915</v>
      </c>
    </row>
    <row r="4" spans="1:1">
      <c r="A4" s="308" t="s">
        <v>916</v>
      </c>
    </row>
    <row r="5" spans="1:1">
      <c r="A5" s="125" t="s">
        <v>916</v>
      </c>
    </row>
    <row r="6" spans="1:1">
      <c r="A6" s="308" t="s">
        <v>986</v>
      </c>
    </row>
    <row r="7" spans="1:1">
      <c r="A7" s="125" t="s">
        <v>1555</v>
      </c>
    </row>
    <row r="8" spans="1:1">
      <c r="A8" s="125" t="s">
        <v>1560</v>
      </c>
    </row>
    <row r="9" spans="1:1">
      <c r="A9" s="308" t="s">
        <v>987</v>
      </c>
    </row>
    <row r="10" spans="1:1">
      <c r="A10" s="125" t="s">
        <v>1543</v>
      </c>
    </row>
    <row r="11" spans="1:1">
      <c r="A11" s="125" t="s">
        <v>1542</v>
      </c>
    </row>
    <row r="12" spans="1:1">
      <c r="A12" s="125" t="s">
        <v>1546</v>
      </c>
    </row>
    <row r="13" spans="1:1">
      <c r="A13" s="125" t="s">
        <v>1548</v>
      </c>
    </row>
    <row r="14" spans="1:1">
      <c r="A14" s="308" t="s">
        <v>988</v>
      </c>
    </row>
    <row r="15" spans="1:1">
      <c r="A15" s="125" t="s">
        <v>1561</v>
      </c>
    </row>
    <row r="16" spans="1:1">
      <c r="A16" s="308" t="s">
        <v>989</v>
      </c>
    </row>
    <row r="17" spans="1:1">
      <c r="A17" s="125" t="s">
        <v>1562</v>
      </c>
    </row>
    <row r="18" spans="1:1">
      <c r="A18" s="308" t="s">
        <v>990</v>
      </c>
    </row>
    <row r="19" spans="1:1">
      <c r="A19" s="125" t="s">
        <v>1563</v>
      </c>
    </row>
    <row r="20" spans="1:1">
      <c r="A20" s="308" t="s">
        <v>995</v>
      </c>
    </row>
    <row r="21" spans="1:1">
      <c r="A21" s="125" t="s">
        <v>1564</v>
      </c>
    </row>
    <row r="22" spans="1:1">
      <c r="A22" s="308" t="s">
        <v>917</v>
      </c>
    </row>
  </sheetData>
  <phoneticPr fontId="54" type="noConversion"/>
  <pageMargins left="0.7" right="0.7" top="0.75" bottom="0.75" header="0.3" footer="0.3"/>
  <pageSetup orientation="portrait" r:id="rId2"/>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0E0AD8D-7A95-4F26-A4A0-22D87D68592F}">
  <sheetPr codeName="Sheet25">
    <tabColor theme="0" tint="-4.9989318521683403E-2"/>
  </sheetPr>
  <dimension ref="A1:K19"/>
  <sheetViews>
    <sheetView workbookViewId="0">
      <selection activeCell="B4" sqref="B4:I4"/>
    </sheetView>
  </sheetViews>
  <sheetFormatPr defaultColWidth="9" defaultRowHeight="25.8"/>
  <cols>
    <col min="1" max="5" width="9" style="234"/>
    <col min="6" max="6" width="8.33203125" style="234" customWidth="1"/>
    <col min="7" max="9" width="18.33203125" style="234" customWidth="1"/>
    <col min="10" max="16384" width="9" style="234"/>
  </cols>
  <sheetData>
    <row r="1" spans="1:11" ht="23.25" customHeight="1">
      <c r="B1" s="419"/>
      <c r="C1" s="419"/>
      <c r="D1" s="419"/>
      <c r="E1" s="419"/>
      <c r="F1" s="419"/>
      <c r="G1" s="419"/>
      <c r="H1" s="419"/>
      <c r="I1" s="419"/>
      <c r="J1" s="419"/>
      <c r="K1" s="419"/>
    </row>
    <row r="2" spans="1:11" ht="23.7" customHeight="1">
      <c r="A2" s="419"/>
      <c r="B2" s="577" t="str">
        <f>StartupInfo!B3</f>
        <v>Software for Mars (Pty) Ltd</v>
      </c>
      <c r="C2" s="577"/>
      <c r="D2" s="577"/>
      <c r="E2" s="577"/>
      <c r="F2" s="577"/>
      <c r="G2" s="577"/>
      <c r="H2" s="577"/>
      <c r="I2" s="577"/>
      <c r="J2" s="419"/>
      <c r="K2" s="419"/>
    </row>
    <row r="3" spans="1:11" ht="19.5" customHeight="1">
      <c r="B3" s="577" t="str">
        <f>StartupInfo!B4</f>
        <v>Mars</v>
      </c>
      <c r="C3" s="577"/>
      <c r="D3" s="577"/>
      <c r="E3" s="577"/>
      <c r="F3" s="577"/>
      <c r="G3" s="577"/>
      <c r="H3" s="577"/>
      <c r="I3" s="577"/>
      <c r="J3" s="420"/>
      <c r="K3" s="235"/>
    </row>
    <row r="4" spans="1:11" ht="24" customHeight="1">
      <c r="A4" s="236"/>
      <c r="B4" s="578" t="str">
        <f>IF(StartupInfo!B20="","",StartupInfo!B20)</f>
        <v>R&amp;D Department</v>
      </c>
      <c r="C4" s="578"/>
      <c r="D4" s="578"/>
      <c r="E4" s="578"/>
      <c r="F4" s="578"/>
      <c r="G4" s="578"/>
      <c r="H4" s="578"/>
      <c r="I4" s="578"/>
    </row>
    <row r="5" spans="1:11">
      <c r="A5" s="236"/>
      <c r="B5" s="579" t="str">
        <f>IF(StartupInfo!B21="","",StartupInfo!B21)</f>
        <v/>
      </c>
      <c r="C5" s="579"/>
      <c r="D5" s="579"/>
      <c r="E5" s="579"/>
      <c r="F5" s="579"/>
      <c r="G5" s="579"/>
      <c r="H5" s="579"/>
      <c r="I5" s="579"/>
      <c r="J5" s="236"/>
      <c r="K5" s="236"/>
    </row>
    <row r="6" spans="1:11">
      <c r="A6" s="235"/>
      <c r="B6" s="420"/>
      <c r="C6" s="420"/>
      <c r="D6" s="420"/>
      <c r="E6" s="420"/>
      <c r="F6" s="420"/>
      <c r="G6" s="420"/>
      <c r="H6" s="420"/>
      <c r="I6" s="420"/>
      <c r="J6" s="420"/>
      <c r="K6" s="235"/>
    </row>
    <row r="7" spans="1:11" s="423" customFormat="1">
      <c r="A7" s="421"/>
      <c r="B7" s="580" t="str">
        <f>CONCATENATE("was rated on ",TEXT(Planning!B33,"dd mmmm yyyy")," at ",Planning!B10)</f>
        <v>was rated on 16 April 2021 at Maturity Level 5</v>
      </c>
      <c r="C7" s="580"/>
      <c r="D7" s="580"/>
      <c r="E7" s="580"/>
      <c r="F7" s="580"/>
      <c r="G7" s="580"/>
      <c r="H7" s="580"/>
      <c r="I7" s="580"/>
      <c r="J7" s="422"/>
      <c r="K7" s="421"/>
    </row>
    <row r="8" spans="1:11">
      <c r="A8" s="236"/>
      <c r="B8" s="236"/>
      <c r="C8" s="236"/>
      <c r="E8" s="581"/>
      <c r="F8" s="581"/>
      <c r="G8" s="581"/>
      <c r="H8" s="236"/>
      <c r="I8" s="236"/>
      <c r="J8" s="236"/>
      <c r="K8" s="236"/>
    </row>
    <row r="9" spans="1:11">
      <c r="A9" s="236"/>
      <c r="B9" s="236"/>
      <c r="C9" s="236"/>
      <c r="D9" s="236"/>
      <c r="E9" s="581"/>
      <c r="F9" s="581"/>
      <c r="G9" s="581"/>
      <c r="H9" s="236"/>
      <c r="I9" s="236"/>
      <c r="J9" s="236"/>
      <c r="K9" s="236"/>
    </row>
    <row r="10" spans="1:11">
      <c r="A10" s="236"/>
      <c r="B10" s="236"/>
      <c r="C10" s="236"/>
      <c r="D10" s="236"/>
      <c r="E10" s="236"/>
      <c r="F10" s="236"/>
      <c r="G10" s="236"/>
      <c r="H10" s="236"/>
      <c r="I10" s="236"/>
      <c r="J10" s="236"/>
      <c r="K10" s="236"/>
    </row>
    <row r="11" spans="1:11" ht="19.2" customHeight="1">
      <c r="A11" s="236"/>
      <c r="B11" s="236"/>
      <c r="C11" s="236"/>
      <c r="D11" s="236"/>
      <c r="E11" s="236"/>
      <c r="F11" s="582" t="str">
        <f>_xlfn.CONCAT("CAS ID",'Agreement 3'!B5)</f>
        <v>CAS ID53517</v>
      </c>
      <c r="G11" s="582"/>
      <c r="H11" s="582"/>
      <c r="I11" s="236"/>
      <c r="J11" s="236"/>
      <c r="K11" s="236"/>
    </row>
    <row r="12" spans="1:11" ht="19.2" customHeight="1">
      <c r="A12" s="236"/>
      <c r="B12" s="236"/>
      <c r="C12" s="236"/>
      <c r="D12" s="236"/>
      <c r="E12" s="236"/>
      <c r="F12" s="236"/>
      <c r="G12" s="236"/>
      <c r="H12" s="236"/>
      <c r="I12" s="236"/>
      <c r="J12" s="236"/>
      <c r="K12" s="236"/>
    </row>
    <row r="13" spans="1:11" ht="19.2" customHeight="1">
      <c r="A13" s="236"/>
      <c r="B13" s="236"/>
      <c r="C13" s="236"/>
      <c r="D13" s="236"/>
      <c r="E13" s="236"/>
      <c r="F13" s="236"/>
      <c r="G13" s="576" t="str">
        <f>'Agreement 3'!B7</f>
        <v>van Zyl, Pieter</v>
      </c>
      <c r="H13" s="576"/>
      <c r="I13" s="576"/>
      <c r="J13" s="236"/>
      <c r="K13" s="236"/>
    </row>
    <row r="14" spans="1:11">
      <c r="A14" s="236"/>
      <c r="B14" s="236"/>
      <c r="C14" s="236"/>
      <c r="D14" s="236"/>
      <c r="E14" s="236"/>
      <c r="F14" s="236"/>
      <c r="G14" s="576" t="str">
        <f>'Agreement 3'!B9</f>
        <v>CMMI V2.0 High Maturity Lead Appraiser</v>
      </c>
      <c r="H14" s="576"/>
      <c r="I14" s="576"/>
      <c r="J14" s="236"/>
      <c r="K14" s="236"/>
    </row>
    <row r="15" spans="1:11">
      <c r="A15" s="236"/>
      <c r="B15" s="236"/>
      <c r="C15" s="236"/>
      <c r="D15" s="236"/>
      <c r="E15" s="236"/>
      <c r="F15" s="236"/>
      <c r="G15" s="576" t="str">
        <f>'Agreement 3'!B11</f>
        <v>0500535-01</v>
      </c>
      <c r="H15" s="576"/>
      <c r="I15" s="576"/>
      <c r="J15" s="236"/>
      <c r="K15" s="236"/>
    </row>
    <row r="16" spans="1:11">
      <c r="A16" s="236"/>
      <c r="B16" s="236"/>
      <c r="C16" s="236"/>
      <c r="D16" s="236"/>
      <c r="E16" s="236"/>
      <c r="F16" s="236"/>
      <c r="G16" s="236"/>
      <c r="H16" s="236"/>
      <c r="I16" s="236"/>
      <c r="J16" s="236"/>
      <c r="K16" s="236"/>
    </row>
    <row r="19" spans="1:11">
      <c r="A19" s="236"/>
      <c r="B19" s="236"/>
      <c r="C19" s="236"/>
      <c r="D19" s="236"/>
      <c r="E19" s="236"/>
      <c r="F19" s="236"/>
      <c r="G19" s="236"/>
      <c r="H19" s="236"/>
      <c r="I19" s="236"/>
      <c r="J19" s="236"/>
      <c r="K19" s="236"/>
    </row>
  </sheetData>
  <mergeCells count="10">
    <mergeCell ref="G14:I14"/>
    <mergeCell ref="G15:I15"/>
    <mergeCell ref="G13:I13"/>
    <mergeCell ref="B2:I2"/>
    <mergeCell ref="B3:I3"/>
    <mergeCell ref="B4:I4"/>
    <mergeCell ref="B5:I5"/>
    <mergeCell ref="B7:I7"/>
    <mergeCell ref="E8:G9"/>
    <mergeCell ref="F11:H11"/>
  </mergeCells>
  <phoneticPr fontId="54" type="noConversion"/>
  <pageMargins left="0.7" right="0.7" top="0.75" bottom="0.75" header="0.3" footer="0.3"/>
  <pageSetup orientation="portrait" r:id="rId1"/>
</worksheet>
</file>

<file path=xl/worksheets/sheet4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2541BE5-B111-4034-9A95-F6FCED90DC21}">
  <sheetPr codeName="Sheet14">
    <tabColor theme="0" tint="-4.9989318521683403E-2"/>
  </sheetPr>
  <dimension ref="A1:AI68"/>
  <sheetViews>
    <sheetView topLeftCell="A22" workbookViewId="0">
      <selection activeCell="G23" sqref="G23"/>
    </sheetView>
  </sheetViews>
  <sheetFormatPr defaultColWidth="8.6640625" defaultRowHeight="14.4"/>
  <cols>
    <col min="1" max="1" width="40.6640625" style="128" customWidth="1"/>
    <col min="2" max="2" width="75.6640625" style="129" customWidth="1"/>
    <col min="3" max="3" width="40.6640625" style="159" customWidth="1"/>
    <col min="4" max="4" width="15.6640625" style="128" customWidth="1"/>
    <col min="5" max="5" width="14.44140625" style="8" customWidth="1"/>
    <col min="6" max="6" width="29.33203125" style="8" customWidth="1"/>
    <col min="7" max="7" width="42.6640625" style="8" bestFit="1" customWidth="1"/>
    <col min="8" max="8" width="29.33203125" style="8" customWidth="1"/>
    <col min="9" max="35" width="8.6640625" style="8"/>
    <col min="36" max="16384" width="8.6640625" style="128"/>
  </cols>
  <sheetData>
    <row r="1" spans="1:5" s="8" customFormat="1" ht="15" thickBot="1">
      <c r="A1" s="153"/>
      <c r="B1" s="153"/>
      <c r="C1" s="153"/>
      <c r="D1" s="128"/>
    </row>
    <row r="2" spans="1:5" s="8" customFormat="1">
      <c r="A2" s="154" t="s">
        <v>1032</v>
      </c>
      <c r="B2" s="155"/>
      <c r="C2" s="155"/>
      <c r="D2" s="156"/>
      <c r="E2" s="157"/>
    </row>
    <row r="3" spans="1:5" s="8" customFormat="1">
      <c r="A3" s="158"/>
      <c r="B3" s="159"/>
      <c r="C3" s="159"/>
      <c r="E3" s="160"/>
    </row>
    <row r="4" spans="1:5" s="8" customFormat="1" ht="21">
      <c r="A4" s="158"/>
      <c r="B4" s="161" t="s">
        <v>1108</v>
      </c>
      <c r="C4" s="159"/>
      <c r="E4" s="160"/>
    </row>
    <row r="5" spans="1:5" s="8" customFormat="1" ht="21">
      <c r="A5" s="158"/>
      <c r="B5" s="161" t="str">
        <f>'P1PA-SS'!B76</f>
        <v>CMMI Development V2.0 (CMMI-DEV) without SAM</v>
      </c>
      <c r="C5" s="159"/>
      <c r="E5" s="160"/>
    </row>
    <row r="6" spans="1:5" s="8" customFormat="1" ht="21">
      <c r="A6" s="158" t="s">
        <v>1033</v>
      </c>
      <c r="B6" s="161" t="str">
        <f>'P1PA-SS'!B75</f>
        <v>Maturity Level 5</v>
      </c>
      <c r="C6" s="159"/>
      <c r="E6" s="160"/>
    </row>
    <row r="7" spans="1:5" s="8" customFormat="1">
      <c r="A7" s="158"/>
      <c r="B7" s="162" t="str">
        <f>CONCATENATE("CAS ID: ",'Agreement 3'!B5)</f>
        <v>CAS ID: 53517</v>
      </c>
      <c r="C7" s="159"/>
      <c r="E7" s="160"/>
    </row>
    <row r="8" spans="1:5" s="8" customFormat="1">
      <c r="A8" s="158"/>
      <c r="B8" s="159"/>
      <c r="C8" s="159"/>
      <c r="E8" s="160"/>
    </row>
    <row r="9" spans="1:5" s="8" customFormat="1" ht="94.5" customHeight="1">
      <c r="A9" s="158"/>
      <c r="B9" s="163"/>
      <c r="C9" s="159"/>
      <c r="E9" s="160"/>
    </row>
    <row r="10" spans="1:5" s="8" customFormat="1">
      <c r="A10" s="158"/>
      <c r="B10" s="164" t="str">
        <f>CONCATENATE("Organisation: ",'Agreement 3'!B16)</f>
        <v>Organisation: Software for Mars (Pty) Ltd</v>
      </c>
      <c r="C10" s="159" t="s">
        <v>900</v>
      </c>
      <c r="E10" s="160"/>
    </row>
    <row r="11" spans="1:5" s="8" customFormat="1">
      <c r="A11" s="158"/>
      <c r="B11" s="164" t="str">
        <f>CONCATENATE("Organisation: ",'Agreement 3'!B17)</f>
        <v>Organisation: Mars</v>
      </c>
      <c r="C11" s="159"/>
      <c r="E11" s="160"/>
    </row>
    <row r="12" spans="1:5" s="8" customFormat="1">
      <c r="A12" s="158"/>
      <c r="B12" s="162" t="str">
        <f>CONCATENATE("Organisational Unit: ",StartupInfo!B20)</f>
        <v>Organisational Unit: R&amp;D Department</v>
      </c>
      <c r="C12" s="159"/>
      <c r="E12" s="160"/>
    </row>
    <row r="13" spans="1:5" s="8" customFormat="1" ht="15.6">
      <c r="A13" s="158"/>
      <c r="B13" s="165" t="str">
        <f>CONCATENATE("Sponsor: ",'Agreement 3'!B28)</f>
        <v>Sponsor: Prof Kessler, Donald</v>
      </c>
      <c r="C13" s="159"/>
      <c r="E13" s="160"/>
    </row>
    <row r="14" spans="1:5" s="8" customFormat="1" ht="15.6">
      <c r="A14" s="158"/>
      <c r="B14" s="166"/>
      <c r="C14" s="159"/>
      <c r="E14" s="160"/>
    </row>
    <row r="15" spans="1:5" s="8" customFormat="1" ht="15.6">
      <c r="A15" s="158"/>
      <c r="B15" s="166"/>
      <c r="C15" s="159"/>
      <c r="E15" s="160"/>
    </row>
    <row r="16" spans="1:5" s="8" customFormat="1" ht="21">
      <c r="A16" s="158"/>
      <c r="B16" s="168" t="str">
        <f>'Agreement 3'!B45</f>
        <v>Demix (Pty) Ltd</v>
      </c>
      <c r="C16" s="159"/>
      <c r="E16" s="160"/>
    </row>
    <row r="17" spans="1:9" s="8" customFormat="1" ht="15.6">
      <c r="A17" s="158"/>
      <c r="B17" s="165" t="str">
        <f>CONCATENATE("Lead Appraiser: ",'Agreement 3'!B7," ",'Agreement 3'!B11)</f>
        <v>Lead Appraiser: van Zyl, Pieter 0500535-01</v>
      </c>
      <c r="C17" s="159"/>
      <c r="E17" s="160"/>
    </row>
    <row r="18" spans="1:9" s="8" customFormat="1" ht="15.6">
      <c r="A18" s="158"/>
      <c r="B18" s="184" t="str">
        <f>'Agreement 3'!B9</f>
        <v>CMMI V2.0 High Maturity Lead Appraiser</v>
      </c>
      <c r="C18" s="159"/>
      <c r="E18" s="160"/>
    </row>
    <row r="19" spans="1:9" s="8" customFormat="1" ht="18">
      <c r="A19" s="158"/>
      <c r="B19" s="167"/>
      <c r="C19" s="159"/>
      <c r="E19" s="160"/>
    </row>
    <row r="20" spans="1:9" s="8" customFormat="1" ht="21">
      <c r="A20" s="158" t="s">
        <v>754</v>
      </c>
      <c r="B20" s="168">
        <f>Planning!B30</f>
        <v>44298</v>
      </c>
      <c r="C20" s="159"/>
      <c r="E20" s="160"/>
    </row>
    <row r="21" spans="1:9" s="8" customFormat="1" ht="21">
      <c r="A21" s="158" t="s">
        <v>755</v>
      </c>
      <c r="B21" s="168">
        <f>Planning!B32</f>
        <v>44302</v>
      </c>
      <c r="C21" s="159"/>
      <c r="E21" s="160"/>
      <c r="G21" s="169" t="s">
        <v>1034</v>
      </c>
    </row>
    <row r="22" spans="1:9" s="8" customFormat="1" ht="21">
      <c r="A22" s="158" t="s">
        <v>756</v>
      </c>
      <c r="B22" s="168">
        <f>Planning!B33</f>
        <v>44302</v>
      </c>
      <c r="C22" s="159"/>
      <c r="E22" s="160"/>
      <c r="G22" s="169"/>
    </row>
    <row r="23" spans="1:9" s="8" customFormat="1" ht="54">
      <c r="B23" s="168"/>
      <c r="C23" s="159"/>
      <c r="E23" s="160"/>
      <c r="G23" s="239" t="str">
        <f>_xlfn.CONCAT("Expiry benchmark", CHAR(13),CHAR(10),"appraisal",CHAR(13),CHAR(10),G24)</f>
        <v>Expiry benchmark_x000D_
appraisal_x000D_
16 Apr 2024</v>
      </c>
      <c r="H23" s="219"/>
      <c r="I23" s="218"/>
    </row>
    <row r="24" spans="1:9" s="8" customFormat="1" ht="23.4">
      <c r="A24" s="158" t="s">
        <v>874</v>
      </c>
      <c r="B24" s="276">
        <f>Planning!B26</f>
        <v>44294</v>
      </c>
      <c r="C24" s="159"/>
      <c r="E24" s="160"/>
      <c r="G24" s="240" t="str">
        <f>TEXT(DATE(YEAR(B22)+3,MONTH(B22),DAY(B22)),"dd mmm yyyy")</f>
        <v>16 Apr 2024</v>
      </c>
      <c r="H24" s="220"/>
      <c r="I24" s="218"/>
    </row>
    <row r="25" spans="1:9" s="8" customFormat="1" ht="23.4">
      <c r="A25" s="158"/>
      <c r="B25" s="276"/>
      <c r="C25" s="159"/>
      <c r="E25" s="160"/>
      <c r="G25" s="240"/>
      <c r="H25" s="220"/>
      <c r="I25" s="218"/>
    </row>
    <row r="26" spans="1:9" s="8" customFormat="1" ht="15.6">
      <c r="A26" s="170" t="s">
        <v>1035</v>
      </c>
      <c r="B26" s="279" t="s">
        <v>1036</v>
      </c>
      <c r="C26" s="277" t="s">
        <v>1037</v>
      </c>
      <c r="D26" s="171" t="s">
        <v>847</v>
      </c>
      <c r="E26" s="160"/>
      <c r="G26" s="172"/>
    </row>
    <row r="27" spans="1:9" s="8" customFormat="1" ht="15.6">
      <c r="A27" s="158"/>
      <c r="B27" s="278" t="s">
        <v>1679</v>
      </c>
      <c r="C27" s="173" t="s">
        <v>1038</v>
      </c>
      <c r="D27" s="174">
        <f>'P1PA-SS'!B70</f>
        <v>44315</v>
      </c>
      <c r="E27" s="160"/>
      <c r="G27" s="175" t="str">
        <f>G24</f>
        <v>16 Apr 2024</v>
      </c>
      <c r="H27" s="169" t="s">
        <v>1039</v>
      </c>
    </row>
    <row r="28" spans="1:9" s="8" customFormat="1" ht="15.6">
      <c r="A28" s="158"/>
      <c r="B28" s="173" t="s">
        <v>1040</v>
      </c>
      <c r="C28" s="173" t="s">
        <v>1041</v>
      </c>
      <c r="D28" s="174">
        <f>D27+14</f>
        <v>44329</v>
      </c>
      <c r="E28" s="160"/>
      <c r="G28" s="175"/>
    </row>
    <row r="29" spans="1:9" s="8" customFormat="1" ht="15.6">
      <c r="A29" s="158"/>
      <c r="B29" s="173" t="str">
        <f>CONCATENATE("Review with ",G31," on progress against the plan.")</f>
        <v>Review with EPG on progress against the plan.</v>
      </c>
      <c r="C29" s="173" t="str">
        <f>CONCATENATE("Sponsor and ",G31)</f>
        <v>Sponsor and EPG</v>
      </c>
      <c r="D29" s="174">
        <f>D28+14</f>
        <v>44343</v>
      </c>
      <c r="E29" s="160"/>
    </row>
    <row r="30" spans="1:9" s="8" customFormat="1" ht="15.6">
      <c r="A30" s="158"/>
      <c r="B30" s="176"/>
      <c r="C30" s="176"/>
      <c r="D30" s="176"/>
      <c r="E30" s="160"/>
    </row>
    <row r="31" spans="1:9" s="8" customFormat="1" ht="31.5" customHeight="1">
      <c r="A31" s="158"/>
      <c r="B31" s="583" t="s">
        <v>1678</v>
      </c>
      <c r="C31" s="583"/>
      <c r="D31" s="583"/>
      <c r="E31" s="160"/>
      <c r="G31" s="178" t="s">
        <v>1410</v>
      </c>
    </row>
    <row r="32" spans="1:9" s="8" customFormat="1" ht="18">
      <c r="A32" s="158"/>
      <c r="B32" s="167"/>
      <c r="C32" s="159"/>
      <c r="E32" s="160"/>
      <c r="G32" s="8" t="str">
        <f>Schedule2!C15</f>
        <v>PAD</v>
      </c>
    </row>
    <row r="33" spans="1:8" s="8" customFormat="1" ht="15.6">
      <c r="A33" s="158"/>
      <c r="B33" s="177" t="str">
        <f>B13</f>
        <v>Sponsor: Prof Kessler, Donald</v>
      </c>
      <c r="C33" s="430" t="str">
        <f>_xlfn.CONCAT(G31,": ",G33)</f>
        <v>EPG: Surname, Process manager2</v>
      </c>
      <c r="E33" s="160"/>
      <c r="G33" s="8" t="str">
        <f>VLOOKUP(G32,Schedule2!C2:D18,2,FALSE)</f>
        <v>Surname, Process manager2</v>
      </c>
      <c r="H33" s="169" t="s">
        <v>1680</v>
      </c>
    </row>
    <row r="34" spans="1:8" s="8" customFormat="1" ht="18">
      <c r="A34" s="158"/>
      <c r="B34" s="167"/>
      <c r="C34" s="159"/>
      <c r="E34" s="160"/>
      <c r="G34" s="429"/>
    </row>
    <row r="35" spans="1:8" s="8" customFormat="1" ht="18">
      <c r="A35" s="158"/>
      <c r="B35" s="167"/>
      <c r="C35" s="159"/>
      <c r="E35" s="160"/>
    </row>
    <row r="36" spans="1:8" s="8" customFormat="1" ht="18">
      <c r="A36" s="158"/>
      <c r="B36" s="167"/>
      <c r="C36" s="159"/>
      <c r="E36" s="160"/>
    </row>
    <row r="37" spans="1:8" s="8" customFormat="1" ht="18">
      <c r="A37" s="158"/>
      <c r="B37" s="167"/>
      <c r="C37" s="159"/>
      <c r="E37" s="160"/>
    </row>
    <row r="38" spans="1:8" s="8" customFormat="1" ht="18.600000000000001" thickBot="1">
      <c r="A38" s="179"/>
      <c r="B38" s="180"/>
      <c r="C38" s="181"/>
      <c r="D38" s="182"/>
      <c r="E38" s="183"/>
    </row>
    <row r="39" spans="1:8" s="8" customFormat="1" ht="18">
      <c r="B39" s="167"/>
      <c r="C39" s="159"/>
    </row>
    <row r="40" spans="1:8" s="8" customFormat="1" ht="18">
      <c r="B40" s="167"/>
      <c r="C40" s="159"/>
    </row>
    <row r="41" spans="1:8" s="8" customFormat="1" ht="18">
      <c r="B41" s="167"/>
      <c r="C41" s="159"/>
    </row>
    <row r="42" spans="1:8" s="8" customFormat="1" ht="18">
      <c r="B42" s="167"/>
      <c r="C42" s="159"/>
    </row>
    <row r="43" spans="1:8" s="8" customFormat="1" ht="18">
      <c r="B43" s="167"/>
      <c r="C43" s="159"/>
    </row>
    <row r="44" spans="1:8" s="8" customFormat="1" ht="18">
      <c r="B44" s="167"/>
      <c r="C44" s="159"/>
    </row>
    <row r="45" spans="1:8" s="8" customFormat="1" ht="18">
      <c r="B45" s="167"/>
      <c r="C45" s="159"/>
    </row>
    <row r="46" spans="1:8" s="8" customFormat="1" ht="18">
      <c r="B46" s="167"/>
      <c r="C46" s="159"/>
    </row>
    <row r="47" spans="1:8" s="8" customFormat="1" ht="18">
      <c r="B47" s="167"/>
      <c r="C47" s="159"/>
    </row>
    <row r="48" spans="1:8" s="8" customFormat="1" ht="18">
      <c r="B48" s="167"/>
      <c r="C48" s="159"/>
    </row>
    <row r="49" spans="2:3" s="8" customFormat="1" ht="18">
      <c r="B49" s="167"/>
      <c r="C49" s="159"/>
    </row>
    <row r="50" spans="2:3" s="8" customFormat="1" ht="18">
      <c r="B50" s="167"/>
      <c r="C50" s="159"/>
    </row>
    <row r="51" spans="2:3" s="8" customFormat="1" ht="18">
      <c r="B51" s="167"/>
      <c r="C51" s="159"/>
    </row>
    <row r="52" spans="2:3" s="8" customFormat="1" ht="18">
      <c r="B52" s="167"/>
      <c r="C52" s="159"/>
    </row>
    <row r="53" spans="2:3" s="8" customFormat="1" ht="18">
      <c r="B53" s="167"/>
      <c r="C53" s="159"/>
    </row>
    <row r="54" spans="2:3" s="8" customFormat="1" ht="18">
      <c r="B54" s="167"/>
      <c r="C54" s="159"/>
    </row>
    <row r="55" spans="2:3" s="8" customFormat="1" ht="18">
      <c r="B55" s="167"/>
      <c r="C55" s="159"/>
    </row>
    <row r="56" spans="2:3" s="8" customFormat="1" ht="18">
      <c r="B56" s="167"/>
      <c r="C56" s="159"/>
    </row>
    <row r="57" spans="2:3" s="8" customFormat="1" ht="18">
      <c r="B57" s="167"/>
      <c r="C57" s="159"/>
    </row>
    <row r="58" spans="2:3" s="8" customFormat="1" ht="18">
      <c r="B58" s="167"/>
      <c r="C58" s="159"/>
    </row>
    <row r="59" spans="2:3" s="8" customFormat="1" ht="18">
      <c r="B59" s="167"/>
      <c r="C59" s="159"/>
    </row>
    <row r="60" spans="2:3" s="8" customFormat="1" ht="18">
      <c r="B60" s="167"/>
      <c r="C60" s="159"/>
    </row>
    <row r="61" spans="2:3" s="8" customFormat="1" ht="18">
      <c r="B61" s="167"/>
      <c r="C61" s="159"/>
    </row>
    <row r="62" spans="2:3" s="8" customFormat="1" ht="18">
      <c r="B62" s="167"/>
      <c r="C62" s="159"/>
    </row>
    <row r="63" spans="2:3" s="8" customFormat="1" ht="18">
      <c r="B63" s="167"/>
      <c r="C63" s="159"/>
    </row>
    <row r="64" spans="2:3" s="8" customFormat="1" ht="18">
      <c r="B64" s="167"/>
      <c r="C64" s="159"/>
    </row>
    <row r="65" spans="2:3" s="8" customFormat="1" ht="18">
      <c r="B65" s="167"/>
      <c r="C65" s="159"/>
    </row>
    <row r="66" spans="2:3" s="8" customFormat="1" ht="18">
      <c r="B66" s="167"/>
      <c r="C66" s="159"/>
    </row>
    <row r="67" spans="2:3" s="8" customFormat="1" ht="18">
      <c r="B67" s="167"/>
      <c r="C67" s="159"/>
    </row>
    <row r="68" spans="2:3" s="8" customFormat="1" ht="18">
      <c r="B68" s="167"/>
      <c r="C68" s="159"/>
    </row>
  </sheetData>
  <mergeCells count="1">
    <mergeCell ref="B31:D31"/>
  </mergeCells>
  <phoneticPr fontId="54" type="noConversion"/>
  <pageMargins left="0.7" right="0.7" top="0.75" bottom="0.75" header="0.3" footer="0.3"/>
  <pageSetup paperSize="9" orientation="portrait" horizontalDpi="1200" verticalDpi="1200" r:id="rId1"/>
  <drawing r:id="rId2"/>
  <legacyDrawing r:id="rId3"/>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84BEDB8-F93D-45FF-BCBE-8710D8C3A54C}">
  <dimension ref="A1:J40"/>
  <sheetViews>
    <sheetView workbookViewId="0">
      <selection activeCell="B2" sqref="B2"/>
    </sheetView>
  </sheetViews>
  <sheetFormatPr defaultColWidth="8.6640625" defaultRowHeight="13.8"/>
  <cols>
    <col min="1" max="1" width="36.6640625" style="388" customWidth="1"/>
    <col min="2" max="2" width="83.44140625" style="388" customWidth="1"/>
    <col min="3" max="3" width="6.6640625" style="388" customWidth="1"/>
    <col min="4" max="4" width="48.44140625" style="388" customWidth="1"/>
    <col min="5" max="20" width="6.6640625" style="388" customWidth="1"/>
    <col min="21" max="21" width="5.6640625" style="388" customWidth="1"/>
    <col min="22" max="16384" width="8.6640625" style="388"/>
  </cols>
  <sheetData>
    <row r="1" spans="1:10">
      <c r="A1" s="384" t="s">
        <v>389</v>
      </c>
      <c r="B1" s="385" t="str">
        <f>IF(StartupInfo!B3="","",StartupInfo!B3)</f>
        <v>Software for Mars (Pty) Ltd</v>
      </c>
      <c r="D1" s="391"/>
      <c r="J1" s="392"/>
    </row>
    <row r="2" spans="1:10">
      <c r="A2" s="393" t="str">
        <f>IF(StartupInfo!A4="","",StartupInfo!A4)</f>
        <v>Indigenous name</v>
      </c>
      <c r="B2" s="385" t="str">
        <f>IF(StartupInfo!B4="","",StartupInfo!B4)</f>
        <v>Mars</v>
      </c>
      <c r="D2" s="391"/>
      <c r="J2" s="392"/>
    </row>
    <row r="3" spans="1:10">
      <c r="A3" s="393" t="str">
        <f>StartupInfo!A10</f>
        <v>Country</v>
      </c>
      <c r="B3" s="386" t="str">
        <f>IF(StartupInfo!B10="","",StartupInfo!B10)</f>
        <v>China</v>
      </c>
      <c r="D3" s="391"/>
      <c r="J3" s="392"/>
    </row>
    <row r="4" spans="1:10" ht="29.7" customHeight="1">
      <c r="A4" s="393" t="str">
        <f>StartupInfo!A11</f>
        <v>Organization main address including City, ZIP/Postal Code, and Country</v>
      </c>
      <c r="B4" s="387" t="str">
        <f>StartupInfo!B11</f>
        <v>Room 1, Dome 1, No. 1 First Street, Base Alpha City, Tharsis, Planet04, China</v>
      </c>
    </row>
    <row r="6" spans="1:10">
      <c r="A6" s="384" t="s">
        <v>972</v>
      </c>
      <c r="B6" s="385" t="str">
        <f>StartupInfo!B20</f>
        <v>R&amp;D Department</v>
      </c>
    </row>
    <row r="7" spans="1:10">
      <c r="A7" s="393" t="s">
        <v>973</v>
      </c>
      <c r="B7" s="386" t="str">
        <f>StartupInfo!B22</f>
        <v>The company provides space exploration services…</v>
      </c>
      <c r="D7" s="400" t="str">
        <f>StartupInfo!B26</f>
        <v xml:space="preserve">If address is different from the organisation, manually enter the address in StartupInfo/below, and unhide the new address in pptxLink1, so it displays in the pptx	  </v>
      </c>
    </row>
    <row r="8" spans="1:10" hidden="1">
      <c r="A8" s="393" t="s">
        <v>429</v>
      </c>
      <c r="B8" s="387" t="str">
        <f>IF(StartupInfo!B33="","",StartupInfo!B33)</f>
        <v>Room 1, Dome 1, No. 1 First Street, Base Alpha City, Tharsis, Planet04, China</v>
      </c>
    </row>
    <row r="9" spans="1:10">
      <c r="D9" s="427" t="str">
        <f>StartupInfo!B20</f>
        <v>R&amp;D Department</v>
      </c>
      <c r="E9" s="428" t="s">
        <v>1669</v>
      </c>
    </row>
    <row r="10" spans="1:10">
      <c r="A10" s="384" t="s">
        <v>975</v>
      </c>
      <c r="B10" s="385" t="str">
        <f>'Agreement 3'!B28</f>
        <v>Prof Kessler, Donald</v>
      </c>
    </row>
    <row r="11" spans="1:10">
      <c r="A11" s="393" t="s">
        <v>864</v>
      </c>
      <c r="B11" s="386" t="str">
        <f>'Agreement 3'!B29</f>
        <v>The Boss</v>
      </c>
    </row>
    <row r="12" spans="1:10">
      <c r="A12" s="393" t="s">
        <v>970</v>
      </c>
      <c r="B12" s="387" t="str">
        <f>StartupInfo!B39</f>
        <v>Internal</v>
      </c>
    </row>
    <row r="14" spans="1:10">
      <c r="A14" s="384" t="s">
        <v>971</v>
      </c>
      <c r="B14" s="385" t="str">
        <f>'Agreement 3'!B7</f>
        <v>van Zyl, Pieter</v>
      </c>
    </row>
    <row r="15" spans="1:10">
      <c r="A15" s="393" t="s">
        <v>976</v>
      </c>
      <c r="B15" s="386" t="str">
        <f>'Agreement 3'!B11</f>
        <v>0500535-01</v>
      </c>
    </row>
    <row r="16" spans="1:10">
      <c r="A16" s="393" t="s">
        <v>977</v>
      </c>
      <c r="B16" s="386" t="str">
        <f>'Agreement 3'!B8</f>
        <v>Demix (Pty) Ltd</v>
      </c>
    </row>
    <row r="17" spans="1:2">
      <c r="A17" s="393" t="s">
        <v>978</v>
      </c>
      <c r="B17" s="386" t="str">
        <f>'Agreement 3'!B45</f>
        <v>Demix (Pty) Ltd</v>
      </c>
    </row>
    <row r="18" spans="1:2">
      <c r="A18" s="393" t="s">
        <v>10</v>
      </c>
      <c r="B18" s="386" t="str">
        <f>'Agreement 3'!B13</f>
        <v>pieter.vanzyl@demix.org</v>
      </c>
    </row>
    <row r="20" spans="1:2">
      <c r="A20" s="384" t="s">
        <v>979</v>
      </c>
      <c r="B20" s="385" t="str">
        <f>_xlfn.CONCAT('Agreement 3'!B7," - ",'Agreement 3'!B8)</f>
        <v>van Zyl, Pieter - Demix (Pty) Ltd</v>
      </c>
    </row>
    <row r="21" spans="1:2">
      <c r="A21" s="393" t="s">
        <v>980</v>
      </c>
      <c r="B21" s="386" t="str">
        <f>_xlfn.CONCAT('P1PA-SS'!B92," - ",'P1PA-SS'!D92)</f>
        <v>ATM-1 - Demix (Pty) Ltd</v>
      </c>
    </row>
    <row r="22" spans="1:2">
      <c r="A22" s="393" t="s">
        <v>980</v>
      </c>
      <c r="B22" s="386" t="str">
        <f>_xlfn.CONCAT('P1PA-SS'!B93," - ",'P1PA-SS'!D93)</f>
        <v>ATM-2 - Demix (Pty) Ltd</v>
      </c>
    </row>
    <row r="23" spans="1:2">
      <c r="A23" s="393" t="s">
        <v>980</v>
      </c>
      <c r="B23" s="386" t="str">
        <f>_xlfn.CONCAT('P1PA-SS'!B94," - ",'P1PA-SS'!D94)</f>
        <v>ATM-3 - Demix (Pty) Ltd</v>
      </c>
    </row>
    <row r="24" spans="1:2">
      <c r="A24" s="393" t="s">
        <v>980</v>
      </c>
      <c r="B24" s="386" t="str">
        <f>_xlfn.CONCAT('P1PA-SS'!B95," - ",'P1PA-SS'!D95)</f>
        <v>ATM-4 - Demix (Pty) Ltd</v>
      </c>
    </row>
    <row r="25" spans="1:2">
      <c r="A25" s="393" t="s">
        <v>980</v>
      </c>
      <c r="B25" s="386" t="str">
        <f>_xlfn.CONCAT('P1PA-SS'!B96," - ",'P1PA-SS'!D96)</f>
        <v>ATM-5 - Demix (Pty) Ltd</v>
      </c>
    </row>
    <row r="26" spans="1:2">
      <c r="A26" s="393" t="s">
        <v>980</v>
      </c>
      <c r="B26" s="386" t="str">
        <f>_xlfn.CONCAT('P1PA-SS'!B97," - ",'P1PA-SS'!D97)</f>
        <v>ATM-6 - Demix (Pty) Ltd</v>
      </c>
    </row>
    <row r="27" spans="1:2">
      <c r="A27" s="393" t="s">
        <v>980</v>
      </c>
      <c r="B27" s="386" t="str">
        <f>_xlfn.CONCAT('P1PA-SS'!B98," - ",'P1PA-SS'!D98)</f>
        <v>ATM-7 - Demix (Pty) Ltd</v>
      </c>
    </row>
    <row r="28" spans="1:2">
      <c r="A28" s="393" t="s">
        <v>980</v>
      </c>
      <c r="B28" s="386" t="str">
        <f>_xlfn.CONCAT('P1PA-SS'!B99," - ",'P1PA-SS'!D99)</f>
        <v>ATM-8 - Demix (Pty) Ltd</v>
      </c>
    </row>
    <row r="29" spans="1:2">
      <c r="A29" s="393" t="s">
        <v>980</v>
      </c>
      <c r="B29" s="386" t="str">
        <f>_xlfn.CONCAT('P1PA-SS'!B100," - ",'P1PA-SS'!D100)</f>
        <v>ATM-9 - Demix (Pty) Ltd</v>
      </c>
    </row>
    <row r="30" spans="1:2">
      <c r="A30" s="393" t="s">
        <v>981</v>
      </c>
      <c r="B30" s="386" t="str">
        <f>_xlfn.CONCAT('Agreement 3'!B33," - ",'Agreement 3'!B34)</f>
        <v>Miss Lake, Nathalie - Software for Mars (Pty) Ltd</v>
      </c>
    </row>
    <row r="31" spans="1:2">
      <c r="A31" s="393" t="s">
        <v>27</v>
      </c>
      <c r="B31" s="386" t="str">
        <f>_xlfn.CONCAT('P1PA-SS'!B87," - ",'P1PA-SS'!D87)</f>
        <v>Miss Land, Barbara - Freelance</v>
      </c>
    </row>
    <row r="33" spans="1:2">
      <c r="A33" s="384" t="s">
        <v>1488</v>
      </c>
      <c r="B33" s="384" t="s">
        <v>382</v>
      </c>
    </row>
    <row r="34" spans="1:2" ht="31.95" customHeight="1">
      <c r="A34" s="393" t="s">
        <v>794</v>
      </c>
      <c r="B34" s="389" t="s">
        <v>1489</v>
      </c>
    </row>
    <row r="35" spans="1:2" ht="31.95" customHeight="1">
      <c r="A35" s="393" t="s">
        <v>1490</v>
      </c>
      <c r="B35" s="390" t="s">
        <v>1376</v>
      </c>
    </row>
    <row r="36" spans="1:2" ht="31.95" customHeight="1">
      <c r="A36" s="393" t="s">
        <v>795</v>
      </c>
      <c r="B36" s="390" t="s">
        <v>1373</v>
      </c>
    </row>
    <row r="37" spans="1:2" ht="31.95" customHeight="1">
      <c r="A37" s="393" t="s">
        <v>1491</v>
      </c>
      <c r="B37" s="390" t="s">
        <v>1374</v>
      </c>
    </row>
    <row r="38" spans="1:2" ht="31.95" customHeight="1">
      <c r="A38" s="393" t="s">
        <v>672</v>
      </c>
      <c r="B38" s="390" t="s">
        <v>1492</v>
      </c>
    </row>
    <row r="39" spans="1:2">
      <c r="A39" s="384" t="s">
        <v>1493</v>
      </c>
      <c r="B39" s="384" t="s">
        <v>382</v>
      </c>
    </row>
    <row r="40" spans="1:2" ht="34.950000000000003" customHeight="1">
      <c r="A40" s="393" t="s">
        <v>1494</v>
      </c>
      <c r="B40" s="390" t="s">
        <v>1495</v>
      </c>
    </row>
  </sheetData>
  <pageMargins left="0.7" right="0.7" top="0.75" bottom="0.75" header="0.3" footer="0.3"/>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F0EDCA5-B4E5-4548-9D03-BCD17E43C14E}">
  <dimension ref="A1:T35"/>
  <sheetViews>
    <sheetView workbookViewId="0">
      <selection sqref="A1:A4"/>
    </sheetView>
  </sheetViews>
  <sheetFormatPr defaultColWidth="8.6640625" defaultRowHeight="15.6"/>
  <cols>
    <col min="1" max="1" width="108.33203125" style="176" customWidth="1"/>
    <col min="2" max="19" width="6.6640625" style="382" customWidth="1"/>
    <col min="20" max="20" width="5.6640625" style="382" customWidth="1"/>
    <col min="21" max="16384" width="8.6640625" style="383"/>
  </cols>
  <sheetData>
    <row r="1" spans="1:1">
      <c r="A1" s="394" t="str">
        <f>Planning!A42</f>
        <v>Business objectives</v>
      </c>
    </row>
    <row r="2" spans="1:1" ht="46.8">
      <c r="A2" s="395" t="str">
        <f>Planning!B42</f>
        <v>[BO-1] Improve production efficiency to improve productivity 
[BO-2] Improve delivery capacity
[BO-3] Reduce Code Acceptance Defects</v>
      </c>
    </row>
    <row r="3" spans="1:1">
      <c r="A3" s="394" t="str">
        <f>Planning!A54</f>
        <v>Appraisal objectives</v>
      </c>
    </row>
    <row r="4" spans="1:1" ht="31.2">
      <c r="A4" s="395" t="str">
        <f>Planning!B54</f>
        <v>[A1]: In support of the business objectives, understand the current strength and weaknesses of the CMMI Maturity Level 5 practices within the organisation [BO-1, BO-2 &amp; BO-3].</v>
      </c>
    </row>
    <row r="6" spans="1:1">
      <c r="A6" s="381" t="str">
        <f>'P1PA-R'!A3</f>
        <v>Final Findings</v>
      </c>
    </row>
    <row r="7" spans="1:1" ht="31.2">
      <c r="A7" s="396" t="str">
        <f>'P1PA-R'!B4</f>
        <v>The Final Findings will be presented as a PowerPoint presentation on the last on-site day, highlighting the strengths and weaknesses identified.</v>
      </c>
    </row>
    <row r="9" spans="1:1">
      <c r="A9" s="381" t="str">
        <f>'P1PA-R'!A8</f>
        <v>Sampled Project and OSF-level Practice Characterization Worksheets</v>
      </c>
    </row>
    <row r="10" spans="1:1">
      <c r="A10" s="396" t="str">
        <f>'P1PA-R'!B9</f>
        <v>OSF-level Practice Characterization Worksheets and Matrix included in the Final Findings presentation.</v>
      </c>
    </row>
    <row r="12" spans="1:1">
      <c r="A12" s="381" t="str">
        <f>'P1PA-R'!A13</f>
        <v>Sampled Project and OSF-level Ratings Worksheets</v>
      </c>
    </row>
    <row r="13" spans="1:1">
      <c r="A13" s="396" t="str">
        <f>'P1PA-R'!B14</f>
        <v>OSF-level Practice Ratings Worksheets and Matrix included in the Final Findings presentation.</v>
      </c>
    </row>
    <row r="15" spans="1:1">
      <c r="A15" s="381" t="str">
        <f>'P1PA-R'!A23</f>
        <v>Performance Report Output</v>
      </c>
    </row>
    <row r="16" spans="1:1" ht="31.2">
      <c r="A16" s="396" t="str">
        <f>'P1PA-R'!B24</f>
        <v>The Performance Report records the Appraisal Team's consolidated judgment as to how performance is managed and improved in the OU.</v>
      </c>
    </row>
    <row r="18" spans="1:1">
      <c r="A18" s="381" t="str">
        <f>'P1PA-R'!A28</f>
        <v>Other Optional Output</v>
      </c>
    </row>
    <row r="19" spans="1:1">
      <c r="A19" s="396" t="str">
        <f>'P1PA-R'!B29</f>
        <v>Immediately follow-up actions after the final findings are presented.</v>
      </c>
    </row>
    <row r="30" spans="1:1">
      <c r="A30" s="381" t="str">
        <f>StartupInfo!B20</f>
        <v>R&amp;D Department</v>
      </c>
    </row>
    <row r="31" spans="1:1">
      <c r="A31" s="396" t="str">
        <f>StartupInfo!B22</f>
        <v>The company provides space exploration services…</v>
      </c>
    </row>
    <row r="33" spans="1:1">
      <c r="A33" s="381" t="str">
        <f>'P1PA-SS'!A128</f>
        <v>Sampling Factors</v>
      </c>
    </row>
    <row r="34" spans="1:1">
      <c r="A34" s="401" t="str">
        <f>'P1PA-SS'!B129</f>
        <v>Type of Work</v>
      </c>
    </row>
    <row r="35" spans="1:1">
      <c r="A35" s="402" t="str">
        <f>'P1PA-SS'!B131</f>
        <v>All development projects</v>
      </c>
    </row>
  </sheetData>
  <pageMargins left="0.7" right="0.7" top="0.75" bottom="0.75" header="0.3" footer="0.3"/>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D69E185-1AD5-4D4F-AB72-050A4E47AEAA}">
  <dimension ref="A2:P24"/>
  <sheetViews>
    <sheetView zoomScale="85" zoomScaleNormal="85" workbookViewId="0">
      <selection activeCell="A2" sqref="A2:I24"/>
    </sheetView>
  </sheetViews>
  <sheetFormatPr defaultColWidth="8.6640625" defaultRowHeight="14.4"/>
  <cols>
    <col min="1" max="1" width="38.33203125" style="357" customWidth="1"/>
    <col min="2" max="2" width="52.33203125" style="357" customWidth="1"/>
    <col min="3" max="3" width="10.6640625" style="357" customWidth="1"/>
    <col min="4" max="4" width="49.44140625" style="357" hidden="1" customWidth="1"/>
    <col min="5" max="10" width="8.6640625" style="357"/>
    <col min="11" max="11" width="2.44140625" style="357" customWidth="1"/>
    <col min="12" max="16384" width="8.6640625" style="357"/>
  </cols>
  <sheetData>
    <row r="2" spans="1:16" ht="13.2" customHeight="1">
      <c r="A2" s="586" t="str">
        <f>'P1PA-SS'!B76</f>
        <v>CMMI Development V2.0 (CMMI-DEV) without SAM</v>
      </c>
      <c r="B2" s="587"/>
      <c r="C2" s="587"/>
      <c r="D2" s="586"/>
      <c r="E2" s="587"/>
      <c r="F2" s="587"/>
      <c r="G2" s="587"/>
      <c r="H2" s="587"/>
      <c r="I2" s="587"/>
      <c r="L2" s="359" t="s">
        <v>1293</v>
      </c>
      <c r="M2" s="359">
        <f>VALUE(RIGHT(Planning!B10,1))</f>
        <v>5</v>
      </c>
      <c r="N2" s="347" t="s">
        <v>1294</v>
      </c>
    </row>
    <row r="3" spans="1:16" s="346" customFormat="1">
      <c r="A3" s="588" t="str">
        <f>'P1PA-SS'!B75</f>
        <v>Maturity Level 5</v>
      </c>
      <c r="B3" s="589"/>
      <c r="C3" s="589"/>
      <c r="D3" s="588"/>
      <c r="E3" s="589"/>
      <c r="F3" s="589"/>
      <c r="G3" s="589"/>
      <c r="H3" s="589"/>
      <c r="I3" s="589"/>
      <c r="J3" s="362"/>
      <c r="K3" s="357"/>
      <c r="L3" s="357"/>
      <c r="M3" s="357"/>
      <c r="N3" s="362"/>
      <c r="O3" s="362"/>
      <c r="P3" s="362"/>
    </row>
    <row r="4" spans="1:16">
      <c r="A4" s="363" t="s">
        <v>1469</v>
      </c>
      <c r="B4" s="363" t="s">
        <v>918</v>
      </c>
      <c r="C4" s="364" t="s">
        <v>1470</v>
      </c>
      <c r="D4" s="377" t="s">
        <v>918</v>
      </c>
      <c r="E4" s="378">
        <v>1</v>
      </c>
      <c r="F4" s="378">
        <v>2</v>
      </c>
      <c r="G4" s="378">
        <v>3</v>
      </c>
      <c r="H4" s="378">
        <v>4</v>
      </c>
      <c r="I4" s="378">
        <v>5</v>
      </c>
      <c r="M4" s="357" t="s">
        <v>1485</v>
      </c>
    </row>
    <row r="5" spans="1:16" ht="20.7" customHeight="1">
      <c r="A5" s="590" t="s">
        <v>1474</v>
      </c>
      <c r="B5" s="365" t="s">
        <v>1029</v>
      </c>
      <c r="C5" s="358">
        <f t="shared" ref="C5:C24" si="0">IF(M5&gt;=$M$2,$M$2,M5)</f>
        <v>3</v>
      </c>
      <c r="D5" s="379" t="s">
        <v>1029</v>
      </c>
      <c r="E5" s="380" t="str">
        <f>IF($C5&gt;=E$4,"x","")</f>
        <v>x</v>
      </c>
      <c r="F5" s="380" t="str">
        <f t="shared" ref="F5:I20" si="1">IF($C5&gt;=F$4,"x","")</f>
        <v>x</v>
      </c>
      <c r="G5" s="380" t="str">
        <f t="shared" si="1"/>
        <v>x</v>
      </c>
      <c r="H5" s="380" t="str">
        <f t="shared" si="1"/>
        <v/>
      </c>
      <c r="I5" s="380" t="str">
        <f t="shared" si="1"/>
        <v/>
      </c>
      <c r="M5" s="357">
        <v>3</v>
      </c>
    </row>
    <row r="6" spans="1:16" ht="20.7" customHeight="1">
      <c r="A6" s="590"/>
      <c r="B6" s="365" t="s">
        <v>1042</v>
      </c>
      <c r="C6" s="358">
        <f t="shared" si="0"/>
        <v>3</v>
      </c>
      <c r="D6" s="379" t="s">
        <v>1042</v>
      </c>
      <c r="E6" s="380" t="str">
        <f t="shared" ref="E6:I24" si="2">IF($C6&gt;=E$4,"x","")</f>
        <v>x</v>
      </c>
      <c r="F6" s="380" t="str">
        <f t="shared" si="1"/>
        <v>x</v>
      </c>
      <c r="G6" s="380" t="str">
        <f t="shared" si="1"/>
        <v>x</v>
      </c>
      <c r="H6" s="380" t="str">
        <f t="shared" si="1"/>
        <v/>
      </c>
      <c r="I6" s="380" t="str">
        <f t="shared" si="1"/>
        <v/>
      </c>
      <c r="M6" s="357">
        <v>3</v>
      </c>
    </row>
    <row r="7" spans="1:16" ht="20.7" customHeight="1">
      <c r="A7" s="590"/>
      <c r="B7" s="365" t="s">
        <v>1023</v>
      </c>
      <c r="C7" s="358">
        <f t="shared" si="0"/>
        <v>3</v>
      </c>
      <c r="D7" s="379" t="s">
        <v>1023</v>
      </c>
      <c r="E7" s="380" t="str">
        <f t="shared" si="2"/>
        <v>x</v>
      </c>
      <c r="F7" s="380" t="str">
        <f t="shared" si="1"/>
        <v>x</v>
      </c>
      <c r="G7" s="380" t="str">
        <f t="shared" si="1"/>
        <v>x</v>
      </c>
      <c r="H7" s="380" t="str">
        <f t="shared" si="1"/>
        <v/>
      </c>
      <c r="I7" s="380" t="str">
        <f t="shared" si="1"/>
        <v/>
      </c>
      <c r="M7" s="357">
        <v>3</v>
      </c>
    </row>
    <row r="8" spans="1:16" ht="20.7" customHeight="1">
      <c r="A8" s="590"/>
      <c r="B8" s="365" t="s">
        <v>1475</v>
      </c>
      <c r="C8" s="358">
        <f t="shared" si="0"/>
        <v>3</v>
      </c>
      <c r="D8" s="379" t="s">
        <v>1475</v>
      </c>
      <c r="E8" s="380" t="str">
        <f t="shared" si="2"/>
        <v>x</v>
      </c>
      <c r="F8" s="380" t="str">
        <f t="shared" si="1"/>
        <v>x</v>
      </c>
      <c r="G8" s="380" t="str">
        <f t="shared" si="1"/>
        <v>x</v>
      </c>
      <c r="H8" s="380" t="str">
        <f t="shared" si="1"/>
        <v/>
      </c>
      <c r="I8" s="380" t="str">
        <f t="shared" si="1"/>
        <v/>
      </c>
      <c r="M8" s="357">
        <v>3</v>
      </c>
    </row>
    <row r="9" spans="1:16" ht="20.7" customHeight="1">
      <c r="A9" s="591" t="s">
        <v>1477</v>
      </c>
      <c r="B9" s="366" t="s">
        <v>1030</v>
      </c>
      <c r="C9" s="358">
        <f t="shared" si="0"/>
        <v>3</v>
      </c>
      <c r="D9" s="379" t="s">
        <v>1030</v>
      </c>
      <c r="E9" s="380" t="str">
        <f t="shared" si="2"/>
        <v>x</v>
      </c>
      <c r="F9" s="380" t="str">
        <f t="shared" si="1"/>
        <v>x</v>
      </c>
      <c r="G9" s="380" t="str">
        <f t="shared" si="1"/>
        <v>x</v>
      </c>
      <c r="H9" s="380" t="str">
        <f t="shared" si="1"/>
        <v/>
      </c>
      <c r="I9" s="380" t="str">
        <f t="shared" si="1"/>
        <v/>
      </c>
      <c r="M9" s="357">
        <v>3</v>
      </c>
    </row>
    <row r="10" spans="1:16" ht="20.7" customHeight="1">
      <c r="A10" s="591"/>
      <c r="B10" s="366" t="s">
        <v>1031</v>
      </c>
      <c r="C10" s="358">
        <f t="shared" si="0"/>
        <v>3</v>
      </c>
      <c r="D10" s="379" t="s">
        <v>1031</v>
      </c>
      <c r="E10" s="380" t="str">
        <f t="shared" si="2"/>
        <v>x</v>
      </c>
      <c r="F10" s="380" t="str">
        <f t="shared" si="1"/>
        <v>x</v>
      </c>
      <c r="G10" s="380" t="str">
        <f t="shared" si="1"/>
        <v>x</v>
      </c>
      <c r="H10" s="380" t="str">
        <f t="shared" si="1"/>
        <v/>
      </c>
      <c r="I10" s="380" t="str">
        <f t="shared" si="1"/>
        <v/>
      </c>
      <c r="M10" s="357">
        <v>3</v>
      </c>
    </row>
    <row r="11" spans="1:16" ht="20.7" customHeight="1">
      <c r="A11" s="367" t="s">
        <v>1486</v>
      </c>
      <c r="B11" s="368" t="s">
        <v>1487</v>
      </c>
      <c r="C11" s="358">
        <f t="shared" si="0"/>
        <v>4</v>
      </c>
      <c r="D11" s="379" t="s">
        <v>1487</v>
      </c>
      <c r="E11" s="380" t="str">
        <f t="shared" si="2"/>
        <v>x</v>
      </c>
      <c r="F11" s="380" t="str">
        <f t="shared" si="1"/>
        <v>x</v>
      </c>
      <c r="G11" s="380" t="str">
        <f t="shared" si="1"/>
        <v>x</v>
      </c>
      <c r="H11" s="380" t="str">
        <f t="shared" si="1"/>
        <v>x</v>
      </c>
      <c r="I11" s="380" t="str">
        <f t="shared" si="1"/>
        <v/>
      </c>
      <c r="M11" s="357">
        <v>4</v>
      </c>
    </row>
    <row r="12" spans="1:16" ht="20.7" customHeight="1">
      <c r="A12" s="592" t="s">
        <v>1484</v>
      </c>
      <c r="B12" s="369" t="s">
        <v>1027</v>
      </c>
      <c r="C12" s="358">
        <f t="shared" si="0"/>
        <v>3</v>
      </c>
      <c r="D12" s="379" t="s">
        <v>1027</v>
      </c>
      <c r="E12" s="380" t="str">
        <f t="shared" si="2"/>
        <v>x</v>
      </c>
      <c r="F12" s="380" t="str">
        <f t="shared" si="1"/>
        <v>x</v>
      </c>
      <c r="G12" s="380" t="str">
        <f t="shared" si="1"/>
        <v>x</v>
      </c>
      <c r="H12" s="380" t="str">
        <f t="shared" si="1"/>
        <v/>
      </c>
      <c r="I12" s="380" t="str">
        <f t="shared" si="1"/>
        <v/>
      </c>
      <c r="M12" s="357">
        <v>3</v>
      </c>
    </row>
    <row r="13" spans="1:16" ht="20.7" customHeight="1">
      <c r="A13" s="592"/>
      <c r="B13" s="369" t="s">
        <v>1026</v>
      </c>
      <c r="C13" s="358">
        <f t="shared" si="0"/>
        <v>4</v>
      </c>
      <c r="D13" s="379" t="s">
        <v>1026</v>
      </c>
      <c r="E13" s="380" t="str">
        <f t="shared" si="2"/>
        <v>x</v>
      </c>
      <c r="F13" s="380" t="str">
        <f t="shared" si="1"/>
        <v>x</v>
      </c>
      <c r="G13" s="380" t="str">
        <f t="shared" si="1"/>
        <v>x</v>
      </c>
      <c r="H13" s="380" t="str">
        <f t="shared" si="1"/>
        <v>x</v>
      </c>
      <c r="I13" s="380" t="str">
        <f t="shared" si="1"/>
        <v/>
      </c>
      <c r="M13" s="357">
        <v>4</v>
      </c>
    </row>
    <row r="14" spans="1:16" ht="20.7" customHeight="1">
      <c r="A14" s="592"/>
      <c r="B14" s="369" t="s">
        <v>1478</v>
      </c>
      <c r="C14" s="358">
        <f t="shared" si="0"/>
        <v>3</v>
      </c>
      <c r="D14" s="379" t="s">
        <v>1478</v>
      </c>
      <c r="E14" s="380" t="str">
        <f t="shared" si="2"/>
        <v>x</v>
      </c>
      <c r="F14" s="380" t="str">
        <f t="shared" si="1"/>
        <v>x</v>
      </c>
      <c r="G14" s="380" t="str">
        <f t="shared" si="1"/>
        <v>x</v>
      </c>
      <c r="H14" s="380" t="str">
        <f t="shared" si="1"/>
        <v/>
      </c>
      <c r="I14" s="380" t="str">
        <f t="shared" si="1"/>
        <v/>
      </c>
      <c r="M14" s="357">
        <v>3</v>
      </c>
    </row>
    <row r="15" spans="1:16" ht="20.7" customHeight="1">
      <c r="A15" s="370" t="s">
        <v>1483</v>
      </c>
      <c r="B15" s="371" t="s">
        <v>1028</v>
      </c>
      <c r="C15" s="358">
        <f t="shared" si="0"/>
        <v>3</v>
      </c>
      <c r="D15" s="379" t="s">
        <v>1028</v>
      </c>
      <c r="E15" s="380" t="str">
        <f t="shared" si="2"/>
        <v>x</v>
      </c>
      <c r="F15" s="380" t="str">
        <f t="shared" si="1"/>
        <v>x</v>
      </c>
      <c r="G15" s="380" t="str">
        <f t="shared" si="1"/>
        <v>x</v>
      </c>
      <c r="H15" s="380" t="str">
        <f t="shared" si="1"/>
        <v/>
      </c>
      <c r="I15" s="380" t="str">
        <f t="shared" si="1"/>
        <v/>
      </c>
      <c r="M15" s="357">
        <v>3</v>
      </c>
    </row>
    <row r="16" spans="1:16" ht="20.7" customHeight="1">
      <c r="A16" s="372" t="s">
        <v>1482</v>
      </c>
      <c r="B16" s="373" t="s">
        <v>1020</v>
      </c>
      <c r="C16" s="358">
        <f t="shared" si="0"/>
        <v>3</v>
      </c>
      <c r="D16" s="379" t="s">
        <v>1020</v>
      </c>
      <c r="E16" s="380" t="str">
        <f t="shared" si="2"/>
        <v>x</v>
      </c>
      <c r="F16" s="380" t="str">
        <f t="shared" si="1"/>
        <v>x</v>
      </c>
      <c r="G16" s="380" t="str">
        <f t="shared" si="1"/>
        <v>x</v>
      </c>
      <c r="H16" s="380" t="str">
        <f t="shared" si="1"/>
        <v/>
      </c>
      <c r="I16" s="380" t="str">
        <f t="shared" si="1"/>
        <v/>
      </c>
      <c r="M16" s="357">
        <v>3</v>
      </c>
    </row>
    <row r="17" spans="1:13" ht="20.7" customHeight="1">
      <c r="A17" s="593" t="s">
        <v>1481</v>
      </c>
      <c r="B17" s="374" t="s">
        <v>1018</v>
      </c>
      <c r="C17" s="358">
        <f t="shared" si="0"/>
        <v>5</v>
      </c>
      <c r="D17" s="379" t="s">
        <v>1018</v>
      </c>
      <c r="E17" s="380" t="str">
        <f t="shared" si="2"/>
        <v>x</v>
      </c>
      <c r="F17" s="380" t="str">
        <f t="shared" si="1"/>
        <v>x</v>
      </c>
      <c r="G17" s="380" t="str">
        <f t="shared" si="1"/>
        <v>x</v>
      </c>
      <c r="H17" s="380" t="str">
        <f t="shared" si="1"/>
        <v>x</v>
      </c>
      <c r="I17" s="380" t="str">
        <f t="shared" si="1"/>
        <v>x</v>
      </c>
      <c r="M17" s="357">
        <v>5</v>
      </c>
    </row>
    <row r="18" spans="1:13" ht="20.7" customHeight="1">
      <c r="A18" s="593"/>
      <c r="B18" s="374" t="s">
        <v>1019</v>
      </c>
      <c r="C18" s="358">
        <f t="shared" si="0"/>
        <v>3</v>
      </c>
      <c r="D18" s="379" t="s">
        <v>1019</v>
      </c>
      <c r="E18" s="380" t="str">
        <f t="shared" si="2"/>
        <v>x</v>
      </c>
      <c r="F18" s="380" t="str">
        <f t="shared" si="1"/>
        <v>x</v>
      </c>
      <c r="G18" s="380" t="str">
        <f t="shared" si="1"/>
        <v>x</v>
      </c>
      <c r="H18" s="380" t="str">
        <f t="shared" si="1"/>
        <v/>
      </c>
      <c r="I18" s="380" t="str">
        <f t="shared" si="1"/>
        <v/>
      </c>
      <c r="M18" s="357">
        <v>3</v>
      </c>
    </row>
    <row r="19" spans="1:13" ht="20.7" customHeight="1">
      <c r="A19" s="593"/>
      <c r="B19" s="374" t="s">
        <v>1025</v>
      </c>
      <c r="C19" s="358">
        <f t="shared" si="0"/>
        <v>2</v>
      </c>
      <c r="D19" s="379" t="s">
        <v>1025</v>
      </c>
      <c r="E19" s="380" t="str">
        <f t="shared" si="2"/>
        <v>x</v>
      </c>
      <c r="F19" s="380" t="str">
        <f t="shared" si="1"/>
        <v>x</v>
      </c>
      <c r="G19" s="380" t="str">
        <f t="shared" si="1"/>
        <v/>
      </c>
      <c r="H19" s="380" t="str">
        <f t="shared" si="1"/>
        <v/>
      </c>
      <c r="I19" s="380" t="str">
        <f t="shared" si="1"/>
        <v/>
      </c>
      <c r="M19" s="357">
        <v>2</v>
      </c>
    </row>
    <row r="20" spans="1:13" ht="20.7" customHeight="1">
      <c r="A20" s="584" t="s">
        <v>1480</v>
      </c>
      <c r="B20" s="375" t="s">
        <v>1670</v>
      </c>
      <c r="C20" s="358">
        <f t="shared" si="0"/>
        <v>4</v>
      </c>
      <c r="D20" s="379" t="s">
        <v>1670</v>
      </c>
      <c r="E20" s="380" t="str">
        <f t="shared" si="2"/>
        <v>x</v>
      </c>
      <c r="F20" s="380" t="str">
        <f t="shared" si="1"/>
        <v>x</v>
      </c>
      <c r="G20" s="380" t="str">
        <f t="shared" si="1"/>
        <v>x</v>
      </c>
      <c r="H20" s="380" t="str">
        <f t="shared" si="1"/>
        <v>x</v>
      </c>
      <c r="I20" s="380" t="str">
        <f t="shared" si="1"/>
        <v/>
      </c>
      <c r="M20" s="357">
        <v>4</v>
      </c>
    </row>
    <row r="21" spans="1:13" ht="20.7" customHeight="1">
      <c r="A21" s="584"/>
      <c r="B21" s="375" t="s">
        <v>1479</v>
      </c>
      <c r="C21" s="358">
        <f t="shared" si="0"/>
        <v>3</v>
      </c>
      <c r="D21" s="379" t="s">
        <v>1479</v>
      </c>
      <c r="E21" s="380" t="str">
        <f t="shared" si="2"/>
        <v>x</v>
      </c>
      <c r="F21" s="380" t="str">
        <f t="shared" si="2"/>
        <v>x</v>
      </c>
      <c r="G21" s="380" t="str">
        <f t="shared" si="2"/>
        <v>x</v>
      </c>
      <c r="H21" s="380" t="str">
        <f t="shared" si="2"/>
        <v/>
      </c>
      <c r="I21" s="380" t="str">
        <f t="shared" si="2"/>
        <v/>
      </c>
      <c r="M21" s="357">
        <v>3</v>
      </c>
    </row>
    <row r="22" spans="1:13" ht="20.7" customHeight="1">
      <c r="A22" s="585" t="s">
        <v>1476</v>
      </c>
      <c r="B22" s="376" t="s">
        <v>1024</v>
      </c>
      <c r="C22" s="358">
        <f t="shared" si="0"/>
        <v>5</v>
      </c>
      <c r="D22" s="379" t="s">
        <v>1024</v>
      </c>
      <c r="E22" s="380" t="str">
        <f t="shared" si="2"/>
        <v>x</v>
      </c>
      <c r="F22" s="380" t="str">
        <f t="shared" si="2"/>
        <v>x</v>
      </c>
      <c r="G22" s="380" t="str">
        <f t="shared" si="2"/>
        <v>x</v>
      </c>
      <c r="H22" s="380" t="str">
        <f t="shared" si="2"/>
        <v>x</v>
      </c>
      <c r="I22" s="380" t="str">
        <f t="shared" si="2"/>
        <v>x</v>
      </c>
      <c r="M22" s="357">
        <v>5</v>
      </c>
    </row>
    <row r="23" spans="1:13" ht="20.7" customHeight="1">
      <c r="A23" s="585"/>
      <c r="B23" s="376" t="s">
        <v>1021</v>
      </c>
      <c r="C23" s="358">
        <f t="shared" si="0"/>
        <v>4</v>
      </c>
      <c r="D23" s="379" t="s">
        <v>1021</v>
      </c>
      <c r="E23" s="380" t="str">
        <f t="shared" si="2"/>
        <v>x</v>
      </c>
      <c r="F23" s="380" t="str">
        <f t="shared" si="2"/>
        <v>x</v>
      </c>
      <c r="G23" s="380" t="str">
        <f t="shared" si="2"/>
        <v>x</v>
      </c>
      <c r="H23" s="380" t="str">
        <f t="shared" si="2"/>
        <v>x</v>
      </c>
      <c r="I23" s="380" t="str">
        <f t="shared" si="2"/>
        <v/>
      </c>
      <c r="M23" s="357">
        <v>4</v>
      </c>
    </row>
    <row r="24" spans="1:13" ht="20.7" customHeight="1">
      <c r="A24" s="585"/>
      <c r="B24" s="376" t="s">
        <v>1022</v>
      </c>
      <c r="C24" s="358">
        <f t="shared" si="0"/>
        <v>3</v>
      </c>
      <c r="D24" s="379" t="s">
        <v>1022</v>
      </c>
      <c r="E24" s="380" t="str">
        <f t="shared" si="2"/>
        <v>x</v>
      </c>
      <c r="F24" s="380" t="str">
        <f t="shared" si="2"/>
        <v>x</v>
      </c>
      <c r="G24" s="380" t="str">
        <f t="shared" si="2"/>
        <v>x</v>
      </c>
      <c r="H24" s="380" t="str">
        <f t="shared" si="2"/>
        <v/>
      </c>
      <c r="I24" s="380" t="str">
        <f t="shared" si="2"/>
        <v/>
      </c>
      <c r="M24" s="357">
        <v>3</v>
      </c>
    </row>
  </sheetData>
  <mergeCells count="10">
    <mergeCell ref="D2:I2"/>
    <mergeCell ref="D3:I3"/>
    <mergeCell ref="A9:A10"/>
    <mergeCell ref="A12:A14"/>
    <mergeCell ref="A17:A19"/>
    <mergeCell ref="A20:A21"/>
    <mergeCell ref="A22:A24"/>
    <mergeCell ref="A2:C2"/>
    <mergeCell ref="A3:C3"/>
    <mergeCell ref="A5:A8"/>
  </mergeCells>
  <conditionalFormatting sqref="E5:I24">
    <cfRule type="cellIs" dxfId="11" priority="2" operator="equal">
      <formula>"x"</formula>
    </cfRule>
  </conditionalFormatting>
  <pageMargins left="0.7" right="0.7" top="0.75" bottom="0.75" header="0.3" footer="0.3"/>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843887A-C2C1-47A9-81E6-661E953808CD}">
  <dimension ref="A2:V24"/>
  <sheetViews>
    <sheetView topLeftCell="A10" workbookViewId="0">
      <selection activeCell="A10" sqref="A10:T27"/>
    </sheetView>
  </sheetViews>
  <sheetFormatPr defaultColWidth="8.6640625" defaultRowHeight="21"/>
  <cols>
    <col min="1" max="1" width="45.33203125" style="151" customWidth="1"/>
    <col min="2" max="3" width="18.33203125" style="151" customWidth="1"/>
    <col min="4" max="20" width="6.6640625" style="149" customWidth="1"/>
    <col min="21" max="21" width="6.6640625" style="149" hidden="1" customWidth="1"/>
    <col min="22" max="22" width="5.6640625" style="149" customWidth="1"/>
    <col min="23" max="16384" width="8.6640625" style="8"/>
  </cols>
  <sheetData>
    <row r="2" spans="1:22">
      <c r="A2" s="202" t="str">
        <f>'P1PA-SS'!A128</f>
        <v>Sampling Factors</v>
      </c>
      <c r="B2" s="242"/>
      <c r="C2" s="242"/>
    </row>
    <row r="3" spans="1:22">
      <c r="A3" s="204" t="str">
        <f>'P1PA-SS'!B129</f>
        <v>Type of Work</v>
      </c>
      <c r="B3" s="242"/>
      <c r="C3" s="242"/>
    </row>
    <row r="4" spans="1:22">
      <c r="A4" s="203" t="str">
        <f>'P1PA-SS'!B131</f>
        <v>All development projects</v>
      </c>
      <c r="B4" s="242"/>
      <c r="C4" s="242"/>
    </row>
    <row r="5" spans="1:22" ht="18">
      <c r="A5" s="242"/>
      <c r="B5" s="242"/>
      <c r="C5" s="242"/>
      <c r="D5" s="243"/>
      <c r="E5" s="243"/>
      <c r="F5" s="243"/>
      <c r="G5" s="243"/>
      <c r="H5" s="243"/>
      <c r="I5" s="243"/>
      <c r="J5" s="243"/>
      <c r="K5" s="243"/>
      <c r="L5" s="243"/>
      <c r="M5" s="243"/>
      <c r="N5" s="243"/>
      <c r="O5" s="243"/>
      <c r="P5" s="243"/>
      <c r="Q5" s="243"/>
      <c r="R5" s="243"/>
      <c r="S5" s="243"/>
      <c r="T5" s="243"/>
      <c r="U5" s="243"/>
    </row>
    <row r="6" spans="1:22" ht="18">
      <c r="A6" s="242"/>
      <c r="B6" s="242"/>
      <c r="C6" s="242"/>
      <c r="D6" s="243"/>
      <c r="E6" s="243"/>
      <c r="F6" s="243"/>
      <c r="G6" s="243"/>
      <c r="H6" s="243"/>
      <c r="I6" s="243"/>
      <c r="J6" s="243"/>
      <c r="K6" s="243"/>
      <c r="L6" s="243"/>
      <c r="M6" s="243"/>
      <c r="N6" s="243"/>
      <c r="O6" s="243"/>
      <c r="P6" s="243"/>
      <c r="Q6" s="243"/>
      <c r="R6" s="243"/>
      <c r="S6" s="243"/>
      <c r="T6" s="243"/>
      <c r="U6" s="243"/>
    </row>
    <row r="7" spans="1:22" ht="18">
      <c r="A7" s="242"/>
      <c r="B7" s="242"/>
      <c r="C7" s="242"/>
      <c r="D7" s="243"/>
      <c r="E7" s="243"/>
      <c r="F7" s="243"/>
      <c r="G7" s="243"/>
      <c r="H7" s="243"/>
      <c r="I7" s="243"/>
      <c r="J7" s="243"/>
      <c r="K7" s="243"/>
      <c r="L7" s="243"/>
      <c r="M7" s="243"/>
      <c r="N7" s="243"/>
      <c r="O7" s="243"/>
      <c r="P7" s="243"/>
      <c r="Q7" s="243"/>
      <c r="R7" s="243"/>
      <c r="S7" s="243"/>
      <c r="T7" s="243"/>
      <c r="U7" s="243"/>
    </row>
    <row r="8" spans="1:22" ht="18">
      <c r="A8" s="242"/>
      <c r="B8" s="242"/>
      <c r="C8" s="242"/>
      <c r="D8" s="243"/>
      <c r="E8" s="243"/>
      <c r="F8" s="243"/>
      <c r="G8" s="243"/>
      <c r="H8" s="243"/>
      <c r="I8" s="243"/>
      <c r="J8" s="243"/>
      <c r="K8" s="243"/>
      <c r="L8" s="243"/>
      <c r="M8" s="243"/>
      <c r="N8" s="243"/>
      <c r="O8" s="243"/>
      <c r="P8" s="243"/>
      <c r="Q8" s="243"/>
      <c r="R8" s="243"/>
      <c r="S8" s="243"/>
      <c r="T8" s="243"/>
      <c r="U8" s="243"/>
    </row>
    <row r="9" spans="1:22" ht="18">
      <c r="A9" s="242"/>
      <c r="B9" s="242"/>
      <c r="C9" s="242"/>
      <c r="D9" s="243"/>
      <c r="E9" s="243"/>
      <c r="F9" s="243"/>
      <c r="G9" s="243"/>
      <c r="H9" s="243"/>
      <c r="I9" s="243"/>
      <c r="J9" s="243"/>
      <c r="K9" s="243"/>
      <c r="L9" s="243"/>
      <c r="M9" s="243"/>
      <c r="N9" s="243"/>
      <c r="O9" s="243"/>
      <c r="P9" s="243"/>
      <c r="Q9" s="243"/>
      <c r="R9" s="243"/>
      <c r="S9" s="243"/>
      <c r="T9" s="243"/>
      <c r="U9" s="243"/>
    </row>
    <row r="10" spans="1:22" s="245" customFormat="1" ht="42">
      <c r="A10" s="202" t="str">
        <f>'Project&amp;Support'!A1</f>
        <v>Project and support function information and sample</v>
      </c>
      <c r="B10" s="202" t="str">
        <f>'Project&amp;Support'!H2</f>
        <v>Sub groups</v>
      </c>
      <c r="C10" s="202" t="str">
        <f>'Project&amp;Support'!I2</f>
        <v>Project/
Support</v>
      </c>
      <c r="D10" s="205" t="str">
        <f>'Project&amp;Support'!J2</f>
        <v>PI</v>
      </c>
      <c r="E10" s="205" t="str">
        <f>'Project&amp;Support'!K2</f>
        <v>TS</v>
      </c>
      <c r="F10" s="205" t="str">
        <f>'Project&amp;Support'!L2</f>
        <v>PQA</v>
      </c>
      <c r="G10" s="205" t="str">
        <f>'Project&amp;Support'!M2</f>
        <v>PR</v>
      </c>
      <c r="H10" s="205" t="str">
        <f>'Project&amp;Support'!N2</f>
        <v>RDM</v>
      </c>
      <c r="I10" s="205" t="str">
        <f>'Project&amp;Support'!O2</f>
        <v>VV</v>
      </c>
      <c r="J10" s="205" t="str">
        <f>'Project&amp;Support'!P2</f>
        <v>MPM</v>
      </c>
      <c r="K10" s="205" t="str">
        <f>'Project&amp;Support'!Q2</f>
        <v>PAD</v>
      </c>
      <c r="L10" s="205" t="str">
        <f>'Project&amp;Support'!R2</f>
        <v>PCM</v>
      </c>
      <c r="M10" s="205" t="str">
        <f>'Project&amp;Support'!S2</f>
        <v>RSK</v>
      </c>
      <c r="N10" s="205" t="str">
        <f>'Project&amp;Support'!T2</f>
        <v>OT</v>
      </c>
      <c r="O10" s="205" t="str">
        <f>'Project&amp;Support'!U2</f>
        <v>EST</v>
      </c>
      <c r="P10" s="205" t="str">
        <f>'Project&amp;Support'!V2</f>
        <v>MC</v>
      </c>
      <c r="Q10" s="205" t="str">
        <f>'Project&amp;Support'!W2</f>
        <v>PLAN</v>
      </c>
      <c r="R10" s="205" t="str">
        <f>'Project&amp;Support'!X2</f>
        <v>CAR</v>
      </c>
      <c r="S10" s="205" t="str">
        <f>'Project&amp;Support'!Y2</f>
        <v>CM</v>
      </c>
      <c r="T10" s="205" t="str">
        <f>'Project&amp;Support'!Z2</f>
        <v>DAR</v>
      </c>
      <c r="U10" s="205" t="str">
        <f>'Project&amp;Support'!AA2</f>
        <v>SAM</v>
      </c>
      <c r="V10" s="244"/>
    </row>
    <row r="11" spans="1:22" s="245" customFormat="1">
      <c r="A11" s="152" t="str">
        <f>'Project&amp;Support'!B3</f>
        <v>P1-Falcon9</v>
      </c>
      <c r="B11" s="152" t="str">
        <f>'Project&amp;Support'!H3</f>
        <v>All Projects</v>
      </c>
      <c r="C11" s="152" t="str">
        <f>'Project&amp;Support'!I3</f>
        <v>Project</v>
      </c>
      <c r="D11" s="246" t="str">
        <f>IF('Project&amp;Support'!J3&lt;&gt;"",'Project&amp;Support'!J3,"")</f>
        <v>S</v>
      </c>
      <c r="E11" s="246" t="str">
        <f>IF('Project&amp;Support'!K3&lt;&gt;"",'Project&amp;Support'!K3,"")</f>
        <v>S</v>
      </c>
      <c r="F11" s="246" t="str">
        <f>IF('Project&amp;Support'!L3&lt;&gt;"",'Project&amp;Support'!L3,"")</f>
        <v/>
      </c>
      <c r="G11" s="246" t="str">
        <f>IF('Project&amp;Support'!M3&lt;&gt;"",'Project&amp;Support'!M3,"")</f>
        <v/>
      </c>
      <c r="H11" s="246" t="str">
        <f>IF('Project&amp;Support'!N3&lt;&gt;"",'Project&amp;Support'!N3,"")</f>
        <v/>
      </c>
      <c r="I11" s="246" t="str">
        <f>IF('Project&amp;Support'!O3&lt;&gt;"",'Project&amp;Support'!O3,"")</f>
        <v/>
      </c>
      <c r="J11" s="246" t="str">
        <f>IF('Project&amp;Support'!P3&lt;&gt;"",'Project&amp;Support'!P3,"")</f>
        <v/>
      </c>
      <c r="K11" s="246" t="str">
        <f>IF('Project&amp;Support'!Q3&lt;&gt;"",'Project&amp;Support'!Q3,"")</f>
        <v/>
      </c>
      <c r="L11" s="246" t="str">
        <f>IF('Project&amp;Support'!R3&lt;&gt;"",'Project&amp;Support'!R3,"")</f>
        <v/>
      </c>
      <c r="M11" s="246" t="str">
        <f>IF('Project&amp;Support'!S3&lt;&gt;"",'Project&amp;Support'!S3,"")</f>
        <v/>
      </c>
      <c r="N11" s="246" t="str">
        <f>IF('Project&amp;Support'!T3&lt;&gt;"",'Project&amp;Support'!T3,"")</f>
        <v/>
      </c>
      <c r="O11" s="246" t="str">
        <f>IF('Project&amp;Support'!U3&lt;&gt;"",'Project&amp;Support'!U3,"")</f>
        <v/>
      </c>
      <c r="P11" s="246" t="str">
        <f>IF('Project&amp;Support'!V3&lt;&gt;"",'Project&amp;Support'!V3,"")</f>
        <v/>
      </c>
      <c r="Q11" s="246" t="str">
        <f>IF('Project&amp;Support'!W3&lt;&gt;"",'Project&amp;Support'!W3,"")</f>
        <v/>
      </c>
      <c r="R11" s="246" t="str">
        <f>IF('Project&amp;Support'!X3&lt;&gt;"",'Project&amp;Support'!X3,"")</f>
        <v/>
      </c>
      <c r="S11" s="246" t="str">
        <f>IF('Project&amp;Support'!Y3&lt;&gt;"",'Project&amp;Support'!Y3,"")</f>
        <v/>
      </c>
      <c r="T11" s="246" t="str">
        <f>IF('Project&amp;Support'!Z3&lt;&gt;"",'Project&amp;Support'!Z3,"")</f>
        <v/>
      </c>
      <c r="U11" s="246" t="str">
        <f>IF('Project&amp;Support'!AA3&lt;&gt;"",'Project&amp;Support'!AA3,"")</f>
        <v/>
      </c>
      <c r="V11" s="244"/>
    </row>
    <row r="12" spans="1:22" s="245" customFormat="1">
      <c r="A12" s="152" t="str">
        <f>'Project&amp;Support'!B4</f>
        <v>P2-Raptor</v>
      </c>
      <c r="B12" s="152" t="str">
        <f>'Project&amp;Support'!H4</f>
        <v>All Projects</v>
      </c>
      <c r="C12" s="152" t="str">
        <f>'Project&amp;Support'!I4</f>
        <v>Project</v>
      </c>
      <c r="D12" s="246" t="str">
        <f>IF('Project&amp;Support'!J4&lt;&gt;"",'Project&amp;Support'!J4,"")</f>
        <v/>
      </c>
      <c r="E12" s="246" t="str">
        <f>IF('Project&amp;Support'!K4&lt;&gt;"",'Project&amp;Support'!K4,"")</f>
        <v/>
      </c>
      <c r="F12" s="246" t="str">
        <f>IF('Project&amp;Support'!L4&lt;&gt;"",'Project&amp;Support'!L4,"")</f>
        <v/>
      </c>
      <c r="G12" s="246" t="str">
        <f>IF('Project&amp;Support'!M4&lt;&gt;"",'Project&amp;Support'!M4,"")</f>
        <v>S</v>
      </c>
      <c r="H12" s="246" t="str">
        <f>IF('Project&amp;Support'!N4&lt;&gt;"",'Project&amp;Support'!N4,"")</f>
        <v>S</v>
      </c>
      <c r="I12" s="246" t="str">
        <f>IF('Project&amp;Support'!O4&lt;&gt;"",'Project&amp;Support'!O4,"")</f>
        <v>S</v>
      </c>
      <c r="J12" s="246" t="str">
        <f>IF('Project&amp;Support'!P4&lt;&gt;"",'Project&amp;Support'!P4,"")</f>
        <v/>
      </c>
      <c r="K12" s="246" t="str">
        <f>IF('Project&amp;Support'!Q4&lt;&gt;"",'Project&amp;Support'!Q4,"")</f>
        <v/>
      </c>
      <c r="L12" s="246" t="str">
        <f>IF('Project&amp;Support'!R4&lt;&gt;"",'Project&amp;Support'!R4,"")</f>
        <v/>
      </c>
      <c r="M12" s="246" t="str">
        <f>IF('Project&amp;Support'!S4&lt;&gt;"",'Project&amp;Support'!S4,"")</f>
        <v/>
      </c>
      <c r="N12" s="246" t="str">
        <f>IF('Project&amp;Support'!T4&lt;&gt;"",'Project&amp;Support'!T4,"")</f>
        <v/>
      </c>
      <c r="O12" s="246" t="str">
        <f>IF('Project&amp;Support'!U4&lt;&gt;"",'Project&amp;Support'!U4,"")</f>
        <v/>
      </c>
      <c r="P12" s="246" t="str">
        <f>IF('Project&amp;Support'!V4&lt;&gt;"",'Project&amp;Support'!V4,"")</f>
        <v/>
      </c>
      <c r="Q12" s="246" t="str">
        <f>IF('Project&amp;Support'!W4&lt;&gt;"",'Project&amp;Support'!W4,"")</f>
        <v/>
      </c>
      <c r="R12" s="246" t="str">
        <f>IF('Project&amp;Support'!X4&lt;&gt;"",'Project&amp;Support'!X4,"")</f>
        <v/>
      </c>
      <c r="S12" s="246" t="str">
        <f>IF('Project&amp;Support'!Y4&lt;&gt;"",'Project&amp;Support'!Y4,"")</f>
        <v/>
      </c>
      <c r="T12" s="246" t="str">
        <f>IF('Project&amp;Support'!Z4&lt;&gt;"",'Project&amp;Support'!Z4,"")</f>
        <v/>
      </c>
      <c r="U12" s="246" t="str">
        <f>IF('Project&amp;Support'!AA4&lt;&gt;"",'Project&amp;Support'!AA4,"")</f>
        <v/>
      </c>
      <c r="V12" s="244"/>
    </row>
    <row r="13" spans="1:22" s="245" customFormat="1">
      <c r="A13" s="152" t="str">
        <f>'Project&amp;Support'!B5</f>
        <v>P3-Starship</v>
      </c>
      <c r="B13" s="152" t="str">
        <f>'Project&amp;Support'!H5</f>
        <v>All Projects</v>
      </c>
      <c r="C13" s="152" t="str">
        <f>'Project&amp;Support'!I5</f>
        <v>Project</v>
      </c>
      <c r="D13" s="246" t="str">
        <f>IF('Project&amp;Support'!J5&lt;&gt;"",'Project&amp;Support'!J5,"")</f>
        <v/>
      </c>
      <c r="E13" s="246" t="str">
        <f>IF('Project&amp;Support'!K5&lt;&gt;"",'Project&amp;Support'!K5,"")</f>
        <v/>
      </c>
      <c r="F13" s="246" t="str">
        <f>IF('Project&amp;Support'!L5&lt;&gt;"",'Project&amp;Support'!L5,"")</f>
        <v/>
      </c>
      <c r="G13" s="246" t="str">
        <f>IF('Project&amp;Support'!M5&lt;&gt;"",'Project&amp;Support'!M5,"")</f>
        <v/>
      </c>
      <c r="H13" s="246" t="str">
        <f>IF('Project&amp;Support'!N5&lt;&gt;"",'Project&amp;Support'!N5,"")</f>
        <v/>
      </c>
      <c r="I13" s="246" t="str">
        <f>IF('Project&amp;Support'!O5&lt;&gt;"",'Project&amp;Support'!O5,"")</f>
        <v/>
      </c>
      <c r="J13" s="246" t="str">
        <f>IF('Project&amp;Support'!P5&lt;&gt;"",'Project&amp;Support'!P5,"")</f>
        <v/>
      </c>
      <c r="K13" s="246" t="str">
        <f>IF('Project&amp;Support'!Q5&lt;&gt;"",'Project&amp;Support'!Q5,"")</f>
        <v/>
      </c>
      <c r="L13" s="246" t="str">
        <f>IF('Project&amp;Support'!R5&lt;&gt;"",'Project&amp;Support'!R5,"")</f>
        <v/>
      </c>
      <c r="M13" s="246" t="str">
        <f>IF('Project&amp;Support'!S5&lt;&gt;"",'Project&amp;Support'!S5,"")</f>
        <v/>
      </c>
      <c r="N13" s="246" t="str">
        <f>IF('Project&amp;Support'!T5&lt;&gt;"",'Project&amp;Support'!T5,"")</f>
        <v/>
      </c>
      <c r="O13" s="246" t="str">
        <f>IF('Project&amp;Support'!U5&lt;&gt;"",'Project&amp;Support'!U5,"")</f>
        <v>S</v>
      </c>
      <c r="P13" s="246" t="str">
        <f>IF('Project&amp;Support'!V5&lt;&gt;"",'Project&amp;Support'!V5,"")</f>
        <v>S</v>
      </c>
      <c r="Q13" s="246" t="str">
        <f>IF('Project&amp;Support'!W5&lt;&gt;"",'Project&amp;Support'!W5,"")</f>
        <v>S</v>
      </c>
      <c r="R13" s="246" t="str">
        <f>IF('Project&amp;Support'!X5&lt;&gt;"",'Project&amp;Support'!X5,"")</f>
        <v/>
      </c>
      <c r="S13" s="246" t="str">
        <f>IF('Project&amp;Support'!Y5&lt;&gt;"",'Project&amp;Support'!Y5,"")</f>
        <v/>
      </c>
      <c r="T13" s="246" t="str">
        <f>IF('Project&amp;Support'!Z5&lt;&gt;"",'Project&amp;Support'!Z5,"")</f>
        <v/>
      </c>
      <c r="U13" s="246" t="str">
        <f>IF('Project&amp;Support'!AA5&lt;&gt;"",'Project&amp;Support'!AA5,"")</f>
        <v/>
      </c>
      <c r="V13" s="244"/>
    </row>
    <row r="14" spans="1:22" s="245" customFormat="1">
      <c r="A14" s="152" t="str">
        <f>'Project&amp;Support'!B6</f>
        <v>P4-SupperHeavy</v>
      </c>
      <c r="B14" s="152" t="str">
        <f>'Project&amp;Support'!H6</f>
        <v>All Projects</v>
      </c>
      <c r="C14" s="152" t="str">
        <f>'Project&amp;Support'!I6</f>
        <v>Project</v>
      </c>
      <c r="D14" s="246" t="str">
        <f>IF('Project&amp;Support'!J6&lt;&gt;"",'Project&amp;Support'!J6,"")</f>
        <v/>
      </c>
      <c r="E14" s="246" t="str">
        <f>IF('Project&amp;Support'!K6&lt;&gt;"",'Project&amp;Support'!K6,"")</f>
        <v/>
      </c>
      <c r="F14" s="246" t="str">
        <f>IF('Project&amp;Support'!L6&lt;&gt;"",'Project&amp;Support'!L6,"")</f>
        <v/>
      </c>
      <c r="G14" s="246" t="str">
        <f>IF('Project&amp;Support'!M6&lt;&gt;"",'Project&amp;Support'!M6,"")</f>
        <v/>
      </c>
      <c r="H14" s="246" t="str">
        <f>IF('Project&amp;Support'!N6&lt;&gt;"",'Project&amp;Support'!N6,"")</f>
        <v/>
      </c>
      <c r="I14" s="246" t="str">
        <f>IF('Project&amp;Support'!O6&lt;&gt;"",'Project&amp;Support'!O6,"")</f>
        <v/>
      </c>
      <c r="J14" s="246" t="str">
        <f>IF('Project&amp;Support'!P6&lt;&gt;"",'Project&amp;Support'!P6,"")</f>
        <v/>
      </c>
      <c r="K14" s="246" t="str">
        <f>IF('Project&amp;Support'!Q6&lt;&gt;"",'Project&amp;Support'!Q6,"")</f>
        <v/>
      </c>
      <c r="L14" s="246" t="str">
        <f>IF('Project&amp;Support'!R6&lt;&gt;"",'Project&amp;Support'!R6,"")</f>
        <v/>
      </c>
      <c r="M14" s="246" t="str">
        <f>IF('Project&amp;Support'!S6&lt;&gt;"",'Project&amp;Support'!S6,"")</f>
        <v>S</v>
      </c>
      <c r="N14" s="246" t="str">
        <f>IF('Project&amp;Support'!T6&lt;&gt;"",'Project&amp;Support'!T6,"")</f>
        <v/>
      </c>
      <c r="O14" s="246" t="str">
        <f>IF('Project&amp;Support'!U6&lt;&gt;"",'Project&amp;Support'!U6,"")</f>
        <v/>
      </c>
      <c r="P14" s="246" t="str">
        <f>IF('Project&amp;Support'!V6&lt;&gt;"",'Project&amp;Support'!V6,"")</f>
        <v/>
      </c>
      <c r="Q14" s="246" t="str">
        <f>IF('Project&amp;Support'!W6&lt;&gt;"",'Project&amp;Support'!W6,"")</f>
        <v/>
      </c>
      <c r="R14" s="246" t="str">
        <f>IF('Project&amp;Support'!X6&lt;&gt;"",'Project&amp;Support'!X6,"")</f>
        <v/>
      </c>
      <c r="S14" s="246" t="str">
        <f>IF('Project&amp;Support'!Y6&lt;&gt;"",'Project&amp;Support'!Y6,"")</f>
        <v/>
      </c>
      <c r="T14" s="246" t="str">
        <f>IF('Project&amp;Support'!Z6&lt;&gt;"",'Project&amp;Support'!Z6,"")</f>
        <v/>
      </c>
      <c r="U14" s="246" t="str">
        <f>IF('Project&amp;Support'!AA6&lt;&gt;"",'Project&amp;Support'!AA6,"")</f>
        <v/>
      </c>
      <c r="V14" s="244"/>
    </row>
    <row r="15" spans="1:22" s="245" customFormat="1" hidden="1">
      <c r="A15" s="152"/>
      <c r="B15" s="152"/>
      <c r="C15" s="152"/>
      <c r="D15" s="246"/>
      <c r="E15" s="246"/>
      <c r="F15" s="246"/>
      <c r="G15" s="246"/>
      <c r="H15" s="246"/>
      <c r="I15" s="246"/>
      <c r="J15" s="246"/>
      <c r="K15" s="246"/>
      <c r="L15" s="246"/>
      <c r="M15" s="246"/>
      <c r="N15" s="246"/>
      <c r="O15" s="246"/>
      <c r="P15" s="246"/>
      <c r="Q15" s="246"/>
      <c r="R15" s="246"/>
      <c r="S15" s="246"/>
      <c r="T15" s="246"/>
      <c r="U15" s="246"/>
      <c r="V15" s="244"/>
    </row>
    <row r="16" spans="1:22" s="245" customFormat="1" hidden="1">
      <c r="A16" s="152"/>
      <c r="B16" s="152"/>
      <c r="C16" s="152"/>
      <c r="D16" s="246"/>
      <c r="E16" s="246"/>
      <c r="F16" s="246"/>
      <c r="G16" s="246"/>
      <c r="H16" s="246"/>
      <c r="I16" s="246"/>
      <c r="J16" s="246"/>
      <c r="K16" s="246"/>
      <c r="L16" s="246"/>
      <c r="M16" s="246"/>
      <c r="N16" s="246"/>
      <c r="O16" s="246"/>
      <c r="P16" s="246"/>
      <c r="Q16" s="246"/>
      <c r="R16" s="246"/>
      <c r="S16" s="246"/>
      <c r="T16" s="246"/>
      <c r="U16" s="246"/>
      <c r="V16" s="244"/>
    </row>
    <row r="17" spans="1:22" s="245" customFormat="1" hidden="1">
      <c r="A17" s="152"/>
      <c r="B17" s="152"/>
      <c r="C17" s="152"/>
      <c r="D17" s="246"/>
      <c r="E17" s="246"/>
      <c r="F17" s="246"/>
      <c r="G17" s="246"/>
      <c r="H17" s="246"/>
      <c r="I17" s="246"/>
      <c r="J17" s="246"/>
      <c r="K17" s="246"/>
      <c r="L17" s="246"/>
      <c r="M17" s="246"/>
      <c r="N17" s="246"/>
      <c r="O17" s="246"/>
      <c r="P17" s="246"/>
      <c r="Q17" s="246"/>
      <c r="R17" s="246"/>
      <c r="S17" s="246"/>
      <c r="T17" s="246"/>
      <c r="U17" s="246"/>
      <c r="V17" s="244"/>
    </row>
    <row r="18" spans="1:22" s="245" customFormat="1" hidden="1">
      <c r="A18" s="152"/>
      <c r="B18" s="152"/>
      <c r="C18" s="152"/>
      <c r="D18" s="246"/>
      <c r="E18" s="246"/>
      <c r="F18" s="246"/>
      <c r="G18" s="246"/>
      <c r="H18" s="246"/>
      <c r="I18" s="246"/>
      <c r="J18" s="246"/>
      <c r="K18" s="246"/>
      <c r="L18" s="246"/>
      <c r="M18" s="246"/>
      <c r="N18" s="246"/>
      <c r="O18" s="246"/>
      <c r="P18" s="246"/>
      <c r="Q18" s="246"/>
      <c r="R18" s="246"/>
      <c r="S18" s="246"/>
      <c r="T18" s="246"/>
      <c r="U18" s="246"/>
      <c r="V18" s="244"/>
    </row>
    <row r="19" spans="1:22" s="245" customFormat="1">
      <c r="A19" s="152" t="str">
        <f>'Project&amp;Support'!B7</f>
        <v>S1-CM</v>
      </c>
      <c r="B19" s="152" t="str">
        <f>'Project&amp;Support'!H7</f>
        <v>All Projects</v>
      </c>
      <c r="C19" s="152" t="str">
        <f>'Project&amp;Support'!I7</f>
        <v>Support</v>
      </c>
      <c r="D19" s="246" t="str">
        <f>IF('Project&amp;Support'!J7&lt;&gt;"",'Project&amp;Support'!J7,"")</f>
        <v/>
      </c>
      <c r="E19" s="246" t="str">
        <f>IF('Project&amp;Support'!K7&lt;&gt;"",'Project&amp;Support'!K7,"")</f>
        <v/>
      </c>
      <c r="F19" s="246" t="str">
        <f>IF('Project&amp;Support'!L7&lt;&gt;"",'Project&amp;Support'!L7,"")</f>
        <v/>
      </c>
      <c r="G19" s="246" t="str">
        <f>IF('Project&amp;Support'!M7&lt;&gt;"",'Project&amp;Support'!M7,"")</f>
        <v/>
      </c>
      <c r="H19" s="246" t="str">
        <f>IF('Project&amp;Support'!N7&lt;&gt;"",'Project&amp;Support'!N7,"")</f>
        <v/>
      </c>
      <c r="I19" s="246" t="str">
        <f>IF('Project&amp;Support'!O7&lt;&gt;"",'Project&amp;Support'!O7,"")</f>
        <v/>
      </c>
      <c r="J19" s="246" t="str">
        <f>IF('Project&amp;Support'!P7&lt;&gt;"",'Project&amp;Support'!P7,"")</f>
        <v/>
      </c>
      <c r="K19" s="246" t="str">
        <f>IF('Project&amp;Support'!Q7&lt;&gt;"",'Project&amp;Support'!Q7,"")</f>
        <v/>
      </c>
      <c r="L19" s="246" t="str">
        <f>IF('Project&amp;Support'!R7&lt;&gt;"",'Project&amp;Support'!R7,"")</f>
        <v/>
      </c>
      <c r="M19" s="246" t="str">
        <f>IF('Project&amp;Support'!S7&lt;&gt;"",'Project&amp;Support'!S7,"")</f>
        <v/>
      </c>
      <c r="N19" s="246" t="str">
        <f>IF('Project&amp;Support'!T7&lt;&gt;"",'Project&amp;Support'!T7,"")</f>
        <v/>
      </c>
      <c r="O19" s="246" t="str">
        <f>IF('Project&amp;Support'!U7&lt;&gt;"",'Project&amp;Support'!U7,"")</f>
        <v/>
      </c>
      <c r="P19" s="246" t="str">
        <f>IF('Project&amp;Support'!V7&lt;&gt;"",'Project&amp;Support'!V7,"")</f>
        <v/>
      </c>
      <c r="Q19" s="246" t="str">
        <f>IF('Project&amp;Support'!W7&lt;&gt;"",'Project&amp;Support'!W7,"")</f>
        <v/>
      </c>
      <c r="R19" s="246" t="str">
        <f>IF('Project&amp;Support'!X7&lt;&gt;"",'Project&amp;Support'!X7,"")</f>
        <v/>
      </c>
      <c r="S19" s="246" t="str">
        <f>IF('Project&amp;Support'!Y7&lt;&gt;"",'Project&amp;Support'!Y7,"")</f>
        <v>s</v>
      </c>
      <c r="T19" s="246" t="str">
        <f>IF('Project&amp;Support'!Z7&lt;&gt;"",'Project&amp;Support'!Z7,"")</f>
        <v/>
      </c>
      <c r="U19" s="246" t="str">
        <f>IF('Project&amp;Support'!AA7&lt;&gt;"",'Project&amp;Support'!AA7,"")</f>
        <v/>
      </c>
      <c r="V19" s="244"/>
    </row>
    <row r="20" spans="1:22" s="245" customFormat="1">
      <c r="A20" s="152" t="str">
        <f>'Project&amp;Support'!B8</f>
        <v>S2-EPG-MA</v>
      </c>
      <c r="B20" s="152" t="str">
        <f>'Project&amp;Support'!H8</f>
        <v>All Projects</v>
      </c>
      <c r="C20" s="152" t="str">
        <f>'Project&amp;Support'!I8</f>
        <v>Support</v>
      </c>
      <c r="D20" s="246" t="str">
        <f>IF('Project&amp;Support'!J8&lt;&gt;"",'Project&amp;Support'!J8,"")</f>
        <v/>
      </c>
      <c r="E20" s="246" t="str">
        <f>IF('Project&amp;Support'!K8&lt;&gt;"",'Project&amp;Support'!K8,"")</f>
        <v/>
      </c>
      <c r="F20" s="246" t="str">
        <f>IF('Project&amp;Support'!L8&lt;&gt;"",'Project&amp;Support'!L8,"")</f>
        <v/>
      </c>
      <c r="G20" s="246" t="str">
        <f>IF('Project&amp;Support'!M8&lt;&gt;"",'Project&amp;Support'!M8,"")</f>
        <v/>
      </c>
      <c r="H20" s="246" t="str">
        <f>IF('Project&amp;Support'!N8&lt;&gt;"",'Project&amp;Support'!N8,"")</f>
        <v/>
      </c>
      <c r="I20" s="246" t="str">
        <f>IF('Project&amp;Support'!O8&lt;&gt;"",'Project&amp;Support'!O8,"")</f>
        <v/>
      </c>
      <c r="J20" s="246" t="str">
        <f>IF('Project&amp;Support'!P8&lt;&gt;"",'Project&amp;Support'!P8,"")</f>
        <v>s</v>
      </c>
      <c r="K20" s="246" t="str">
        <f>IF('Project&amp;Support'!Q8&lt;&gt;"",'Project&amp;Support'!Q8,"")</f>
        <v>s</v>
      </c>
      <c r="L20" s="246" t="str">
        <f>IF('Project&amp;Support'!R8&lt;&gt;"",'Project&amp;Support'!R8,"")</f>
        <v>s</v>
      </c>
      <c r="M20" s="246" t="str">
        <f>IF('Project&amp;Support'!S8&lt;&gt;"",'Project&amp;Support'!S8,"")</f>
        <v/>
      </c>
      <c r="N20" s="246" t="str">
        <f>IF('Project&amp;Support'!T8&lt;&gt;"",'Project&amp;Support'!T8,"")</f>
        <v/>
      </c>
      <c r="O20" s="246" t="str">
        <f>IF('Project&amp;Support'!U8&lt;&gt;"",'Project&amp;Support'!U8,"")</f>
        <v/>
      </c>
      <c r="P20" s="246" t="str">
        <f>IF('Project&amp;Support'!V8&lt;&gt;"",'Project&amp;Support'!V8,"")</f>
        <v/>
      </c>
      <c r="Q20" s="246" t="str">
        <f>IF('Project&amp;Support'!W8&lt;&gt;"",'Project&amp;Support'!W8,"")</f>
        <v/>
      </c>
      <c r="R20" s="246" t="str">
        <f>IF('Project&amp;Support'!X8&lt;&gt;"",'Project&amp;Support'!X8,"")</f>
        <v>s</v>
      </c>
      <c r="S20" s="246" t="str">
        <f>IF('Project&amp;Support'!Y8&lt;&gt;"",'Project&amp;Support'!Y8,"")</f>
        <v/>
      </c>
      <c r="T20" s="246" t="str">
        <f>IF('Project&amp;Support'!Z8&lt;&gt;"",'Project&amp;Support'!Z8,"")</f>
        <v>s</v>
      </c>
      <c r="U20" s="246" t="str">
        <f>IF('Project&amp;Support'!AA8&lt;&gt;"",'Project&amp;Support'!AA8,"")</f>
        <v/>
      </c>
      <c r="V20" s="244"/>
    </row>
    <row r="21" spans="1:22" s="245" customFormat="1">
      <c r="A21" s="152" t="str">
        <f>'Project&amp;Support'!B9</f>
        <v>S3-HR</v>
      </c>
      <c r="B21" s="152" t="str">
        <f>'Project&amp;Support'!H9</f>
        <v>All Projects</v>
      </c>
      <c r="C21" s="152" t="str">
        <f>'Project&amp;Support'!I9</f>
        <v>Support</v>
      </c>
      <c r="D21" s="246" t="str">
        <f>IF('Project&amp;Support'!J9&lt;&gt;"",'Project&amp;Support'!J9,"")</f>
        <v/>
      </c>
      <c r="E21" s="246" t="str">
        <f>IF('Project&amp;Support'!K9&lt;&gt;"",'Project&amp;Support'!K9,"")</f>
        <v/>
      </c>
      <c r="F21" s="246" t="str">
        <f>IF('Project&amp;Support'!L9&lt;&gt;"",'Project&amp;Support'!L9,"")</f>
        <v/>
      </c>
      <c r="G21" s="246" t="str">
        <f>IF('Project&amp;Support'!M9&lt;&gt;"",'Project&amp;Support'!M9,"")</f>
        <v/>
      </c>
      <c r="H21" s="246" t="str">
        <f>IF('Project&amp;Support'!N9&lt;&gt;"",'Project&amp;Support'!N9,"")</f>
        <v/>
      </c>
      <c r="I21" s="246" t="str">
        <f>IF('Project&amp;Support'!O9&lt;&gt;"",'Project&amp;Support'!O9,"")</f>
        <v/>
      </c>
      <c r="J21" s="246" t="str">
        <f>IF('Project&amp;Support'!P9&lt;&gt;"",'Project&amp;Support'!P9,"")</f>
        <v/>
      </c>
      <c r="K21" s="246" t="str">
        <f>IF('Project&amp;Support'!Q9&lt;&gt;"",'Project&amp;Support'!Q9,"")</f>
        <v/>
      </c>
      <c r="L21" s="246" t="str">
        <f>IF('Project&amp;Support'!R9&lt;&gt;"",'Project&amp;Support'!R9,"")</f>
        <v/>
      </c>
      <c r="M21" s="246" t="str">
        <f>IF('Project&amp;Support'!S9&lt;&gt;"",'Project&amp;Support'!S9,"")</f>
        <v/>
      </c>
      <c r="N21" s="246" t="str">
        <f>IF('Project&amp;Support'!T9&lt;&gt;"",'Project&amp;Support'!T9,"")</f>
        <v>s</v>
      </c>
      <c r="O21" s="246" t="str">
        <f>IF('Project&amp;Support'!U9&lt;&gt;"",'Project&amp;Support'!U9,"")</f>
        <v/>
      </c>
      <c r="P21" s="246" t="str">
        <f>IF('Project&amp;Support'!V9&lt;&gt;"",'Project&amp;Support'!V9,"")</f>
        <v/>
      </c>
      <c r="Q21" s="246" t="str">
        <f>IF('Project&amp;Support'!W9&lt;&gt;"",'Project&amp;Support'!W9,"")</f>
        <v/>
      </c>
      <c r="R21" s="246" t="str">
        <f>IF('Project&amp;Support'!X9&lt;&gt;"",'Project&amp;Support'!X9,"")</f>
        <v/>
      </c>
      <c r="S21" s="246" t="str">
        <f>IF('Project&amp;Support'!Y9&lt;&gt;"",'Project&amp;Support'!Y9,"")</f>
        <v/>
      </c>
      <c r="T21" s="246" t="str">
        <f>IF('Project&amp;Support'!Z9&lt;&gt;"",'Project&amp;Support'!Z9,"")</f>
        <v/>
      </c>
      <c r="U21" s="246" t="str">
        <f>IF('Project&amp;Support'!AA9&lt;&gt;"",'Project&amp;Support'!AA9,"")</f>
        <v/>
      </c>
      <c r="V21" s="244"/>
    </row>
    <row r="22" spans="1:22" s="245" customFormat="1">
      <c r="A22" s="152" t="str">
        <f>'Project&amp;Support'!B10</f>
        <v>S4-PPQA</v>
      </c>
      <c r="B22" s="152" t="str">
        <f>'Project&amp;Support'!H10</f>
        <v>All Projects</v>
      </c>
      <c r="C22" s="152" t="str">
        <f>'Project&amp;Support'!I10</f>
        <v>Support</v>
      </c>
      <c r="D22" s="246" t="str">
        <f>IF('Project&amp;Support'!J10&lt;&gt;"",'Project&amp;Support'!J10,"")</f>
        <v/>
      </c>
      <c r="E22" s="246" t="str">
        <f>IF('Project&amp;Support'!K10&lt;&gt;"",'Project&amp;Support'!K10,"")</f>
        <v/>
      </c>
      <c r="F22" s="246" t="str">
        <f>IF('Project&amp;Support'!L10&lt;&gt;"",'Project&amp;Support'!L10,"")</f>
        <v>s</v>
      </c>
      <c r="G22" s="246" t="str">
        <f>IF('Project&amp;Support'!M10&lt;&gt;"",'Project&amp;Support'!M10,"")</f>
        <v/>
      </c>
      <c r="H22" s="246" t="str">
        <f>IF('Project&amp;Support'!N10&lt;&gt;"",'Project&amp;Support'!N10,"")</f>
        <v/>
      </c>
      <c r="I22" s="246" t="str">
        <f>IF('Project&amp;Support'!O10&lt;&gt;"",'Project&amp;Support'!O10,"")</f>
        <v/>
      </c>
      <c r="J22" s="246" t="str">
        <f>IF('Project&amp;Support'!P10&lt;&gt;"",'Project&amp;Support'!P10,"")</f>
        <v/>
      </c>
      <c r="K22" s="246" t="str">
        <f>IF('Project&amp;Support'!Q10&lt;&gt;"",'Project&amp;Support'!Q10,"")</f>
        <v/>
      </c>
      <c r="L22" s="246" t="str">
        <f>IF('Project&amp;Support'!R10&lt;&gt;"",'Project&amp;Support'!R10,"")</f>
        <v/>
      </c>
      <c r="M22" s="246" t="str">
        <f>IF('Project&amp;Support'!S10&lt;&gt;"",'Project&amp;Support'!S10,"")</f>
        <v/>
      </c>
      <c r="N22" s="246" t="str">
        <f>IF('Project&amp;Support'!T10&lt;&gt;"",'Project&amp;Support'!T10,"")</f>
        <v/>
      </c>
      <c r="O22" s="246" t="str">
        <f>IF('Project&amp;Support'!U10&lt;&gt;"",'Project&amp;Support'!U10,"")</f>
        <v/>
      </c>
      <c r="P22" s="246" t="str">
        <f>IF('Project&amp;Support'!V10&lt;&gt;"",'Project&amp;Support'!V10,"")</f>
        <v/>
      </c>
      <c r="Q22" s="246" t="str">
        <f>IF('Project&amp;Support'!W10&lt;&gt;"",'Project&amp;Support'!W10,"")</f>
        <v/>
      </c>
      <c r="R22" s="246" t="str">
        <f>IF('Project&amp;Support'!X10&lt;&gt;"",'Project&amp;Support'!X10,"")</f>
        <v/>
      </c>
      <c r="S22" s="246" t="str">
        <f>IF('Project&amp;Support'!Y10&lt;&gt;"",'Project&amp;Support'!Y10,"")</f>
        <v/>
      </c>
      <c r="T22" s="246" t="str">
        <f>IF('Project&amp;Support'!Z10&lt;&gt;"",'Project&amp;Support'!Z10,"")</f>
        <v/>
      </c>
      <c r="U22" s="246" t="str">
        <f>IF('Project&amp;Support'!AA10&lt;&gt;"",'Project&amp;Support'!AA10,"")</f>
        <v/>
      </c>
      <c r="V22" s="244"/>
    </row>
    <row r="23" spans="1:22" s="245" customFormat="1">
      <c r="A23" s="151"/>
      <c r="B23" s="151"/>
      <c r="C23" s="151"/>
      <c r="D23" s="244"/>
      <c r="E23" s="244"/>
      <c r="F23" s="244"/>
      <c r="G23" s="244"/>
      <c r="H23" s="244"/>
      <c r="I23" s="244"/>
      <c r="J23" s="244"/>
      <c r="K23" s="244"/>
      <c r="L23" s="244"/>
      <c r="M23" s="244"/>
      <c r="N23" s="244"/>
      <c r="O23" s="244"/>
      <c r="P23" s="244"/>
      <c r="Q23" s="244"/>
      <c r="R23" s="244"/>
      <c r="S23" s="244"/>
      <c r="T23" s="244"/>
      <c r="U23" s="244"/>
      <c r="V23" s="244"/>
    </row>
    <row r="24" spans="1:22">
      <c r="D24" s="246" t="s">
        <v>1164</v>
      </c>
      <c r="E24" s="233" t="s">
        <v>1200</v>
      </c>
      <c r="G24" s="246" t="s">
        <v>1173</v>
      </c>
      <c r="H24" s="149" t="s">
        <v>1201</v>
      </c>
    </row>
  </sheetData>
  <conditionalFormatting sqref="V10">
    <cfRule type="cellIs" dxfId="10" priority="11" operator="equal">
      <formula>"x"</formula>
    </cfRule>
    <cfRule type="cellIs" dxfId="9" priority="12" operator="equal">
      <formula>0</formula>
    </cfRule>
  </conditionalFormatting>
  <conditionalFormatting sqref="D23:T23 G24 D24">
    <cfRule type="cellIs" dxfId="8" priority="8" operator="equal">
      <formula>"s"</formula>
    </cfRule>
    <cfRule type="cellIs" dxfId="7" priority="9" operator="equal">
      <formula>"a"</formula>
    </cfRule>
    <cfRule type="cellIs" dxfId="6" priority="10" operator="equal">
      <formula>0</formula>
    </cfRule>
  </conditionalFormatting>
  <conditionalFormatting sqref="U23">
    <cfRule type="cellIs" dxfId="5" priority="4" operator="equal">
      <formula>"s"</formula>
    </cfRule>
    <cfRule type="cellIs" dxfId="4" priority="5" operator="equal">
      <formula>"a"</formula>
    </cfRule>
    <cfRule type="cellIs" dxfId="3" priority="6" operator="equal">
      <formula>0</formula>
    </cfRule>
  </conditionalFormatting>
  <conditionalFormatting sqref="D11:U22">
    <cfRule type="cellIs" dxfId="2" priority="1" operator="equal">
      <formula>"s"</formula>
    </cfRule>
    <cfRule type="cellIs" dxfId="1" priority="2" operator="equal">
      <formula>"a"</formula>
    </cfRule>
    <cfRule type="cellIs" dxfId="0" priority="3" operator="equal">
      <formula>0</formula>
    </cfRule>
  </conditionalFormatting>
  <pageMargins left="0.7" right="0.7" top="0.75" bottom="0.75" header="0.3" footer="0.3"/>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5E0F830-8247-4CD5-A4CD-EE82D0397927}">
  <dimension ref="A1:E22"/>
  <sheetViews>
    <sheetView topLeftCell="A4" workbookViewId="0">
      <selection activeCell="A15" sqref="A15:E21"/>
    </sheetView>
  </sheetViews>
  <sheetFormatPr defaultColWidth="8.6640625" defaultRowHeight="14.4"/>
  <cols>
    <col min="1" max="1" width="14.33203125" style="8" customWidth="1"/>
    <col min="2" max="2" width="25.6640625" style="8" customWidth="1"/>
    <col min="3" max="3" width="20.6640625" style="8" customWidth="1"/>
    <col min="4" max="4" width="84.6640625" style="8" customWidth="1"/>
    <col min="5" max="5" width="17.6640625" style="8" customWidth="1"/>
    <col min="6" max="16384" width="8.6640625" style="8"/>
  </cols>
  <sheetData>
    <row r="1" spans="1:5" ht="21">
      <c r="A1" s="202" t="s">
        <v>1115</v>
      </c>
      <c r="B1" s="202" t="s">
        <v>1117</v>
      </c>
      <c r="C1" s="225" t="s">
        <v>1116</v>
      </c>
      <c r="D1" s="202" t="s">
        <v>382</v>
      </c>
      <c r="E1" s="202" t="s">
        <v>1120</v>
      </c>
    </row>
    <row r="2" spans="1:5" ht="63" customHeight="1">
      <c r="A2" s="597" t="str">
        <f>_xlfn.CONCAT('P1PA-SS'!B139,"(",'P1PA-SS'!B140,")")</f>
        <v>All projects(AP)</v>
      </c>
      <c r="B2" s="227" t="str">
        <f>'Project&amp;Support'!B3</f>
        <v>P1-Falcon9</v>
      </c>
      <c r="C2" s="228">
        <f>'Project&amp;Support'!AB3</f>
        <v>10</v>
      </c>
      <c r="D2" s="227" t="str">
        <f>'Project&amp;Support'!C3</f>
        <v>Falcon project description</v>
      </c>
      <c r="E2" s="597" t="str">
        <f>_xlfn.CONCAT(StartupInfo!B5,", ",StartupInfo!B6,", ",StartupInfo!B7,CHAR(13),CHAR(10),StartupInfo!B8,", ",StartupInfo!B9)</f>
        <v>Room 1, Dome 1, No. 1 First Street, Base Alpha City_x000D_
Tharsis, Planet04</v>
      </c>
    </row>
    <row r="3" spans="1:5" ht="63" customHeight="1">
      <c r="A3" s="597"/>
      <c r="B3" s="227" t="str">
        <f>'Project&amp;Support'!B4</f>
        <v>P2-Raptor</v>
      </c>
      <c r="C3" s="228">
        <f>'Project&amp;Support'!AB4</f>
        <v>11</v>
      </c>
      <c r="D3" s="227" t="str">
        <f>'Project&amp;Support'!C4</f>
        <v>Raptor project description</v>
      </c>
      <c r="E3" s="597"/>
    </row>
    <row r="4" spans="1:5" ht="63" customHeight="1">
      <c r="A4" s="597"/>
      <c r="B4" s="227" t="str">
        <f>'Project&amp;Support'!B5</f>
        <v>P3-Starship</v>
      </c>
      <c r="C4" s="228">
        <f>'Project&amp;Support'!AB5</f>
        <v>9</v>
      </c>
      <c r="D4" s="227" t="str">
        <f>'Project&amp;Support'!C5</f>
        <v>Startship project description</v>
      </c>
      <c r="E4" s="597"/>
    </row>
    <row r="5" spans="1:5" ht="63" customHeight="1">
      <c r="A5" s="597"/>
      <c r="B5" s="227" t="str">
        <f>'Project&amp;Support'!B6</f>
        <v>P4-SupperHeavy</v>
      </c>
      <c r="C5" s="228">
        <f>'Project&amp;Support'!AB6</f>
        <v>7</v>
      </c>
      <c r="D5" s="227" t="str">
        <f>'Project&amp;Support'!C6</f>
        <v>Super Heavy description</v>
      </c>
      <c r="E5" s="597"/>
    </row>
    <row r="6" spans="1:5" ht="42" hidden="1">
      <c r="A6" s="597"/>
      <c r="B6" s="227" t="s">
        <v>1671</v>
      </c>
      <c r="C6" s="228">
        <f>'Project&amp;Support'!AB7</f>
        <v>1</v>
      </c>
      <c r="D6" s="227" t="str">
        <f>'Project&amp;Support'!C7</f>
        <v>The Configuration Management (CM) function, manages baselines for projects and the organisation.</v>
      </c>
      <c r="E6" s="597"/>
    </row>
    <row r="7" spans="1:5" ht="105" hidden="1">
      <c r="A7" s="597"/>
      <c r="B7" s="227" t="str">
        <f>'Project&amp;Support'!B8</f>
        <v>S2-EPG-MA</v>
      </c>
      <c r="C7" s="228">
        <f>'Project&amp;Support'!AB8</f>
        <v>1</v>
      </c>
      <c r="D7" s="227" t="str">
        <f>'Project&amp;Support'!C8</f>
        <v>The Engineering Process Group (EPG)/Measurement Analysis (MA) team provides process management capability including establishing processes, standards, process measurements, process performance models, performance management baselines and directing its implementation and adoption.</v>
      </c>
      <c r="E7" s="597"/>
    </row>
    <row r="8" spans="1:5" ht="63" hidden="1">
      <c r="A8" s="597"/>
      <c r="B8" s="227" t="str">
        <f>'Project&amp;Support'!B9</f>
        <v>S3-HR</v>
      </c>
      <c r="C8" s="228">
        <f>'Project&amp;Support'!AB9</f>
        <v>1</v>
      </c>
      <c r="D8" s="227" t="str">
        <f>'Project&amp;Support'!C9</f>
        <v>The Human Resources (HR) function is responsible for training, skills and knowledge management. It maintains the records of staff training and training evaluation.</v>
      </c>
      <c r="E8" s="597"/>
    </row>
    <row r="9" spans="1:5" ht="42" hidden="1">
      <c r="A9" s="597"/>
      <c r="B9" s="227" t="str">
        <f>'Project&amp;Support'!B10</f>
        <v>S4-PPQA</v>
      </c>
      <c r="C9" s="228">
        <f>'Project&amp;Support'!AB10</f>
        <v>1</v>
      </c>
      <c r="D9" s="227" t="str">
        <f>'Project&amp;Support'!C10</f>
        <v xml:space="preserve">The Process and Product Quality Assurance (PPQA) team manage and performs process quality assurance. </v>
      </c>
      <c r="E9" s="597"/>
    </row>
    <row r="10" spans="1:5" ht="21" hidden="1">
      <c r="A10" s="597"/>
      <c r="B10" s="227">
        <f>'Project&amp;Support'!B11</f>
        <v>0</v>
      </c>
      <c r="C10" s="228">
        <f>'Project&amp;Support'!AB11</f>
        <v>0</v>
      </c>
      <c r="D10" s="227">
        <f>'Project&amp;Support'!C11</f>
        <v>0</v>
      </c>
      <c r="E10" s="597"/>
    </row>
    <row r="11" spans="1:5" ht="21" hidden="1">
      <c r="A11" s="597"/>
      <c r="B11" s="227">
        <f>'Project&amp;Support'!B12</f>
        <v>0</v>
      </c>
      <c r="C11" s="228">
        <f>'Project&amp;Support'!AB12</f>
        <v>0</v>
      </c>
      <c r="D11" s="227">
        <f>'Project&amp;Support'!C12</f>
        <v>0</v>
      </c>
      <c r="E11" s="597"/>
    </row>
    <row r="12" spans="1:5">
      <c r="A12" s="222"/>
      <c r="B12" s="222"/>
      <c r="C12" s="221"/>
      <c r="D12" s="222"/>
      <c r="E12" s="222"/>
    </row>
    <row r="13" spans="1:5">
      <c r="A13" s="222"/>
      <c r="B13" s="222"/>
      <c r="C13" s="221"/>
      <c r="D13" s="222"/>
      <c r="E13" s="222"/>
    </row>
    <row r="14" spans="1:5">
      <c r="A14" s="222"/>
      <c r="B14" s="222"/>
      <c r="C14" s="221"/>
      <c r="D14" s="222"/>
      <c r="E14" s="222"/>
    </row>
    <row r="15" spans="1:5" ht="21">
      <c r="A15" s="202" t="s">
        <v>1115</v>
      </c>
      <c r="B15" s="202" t="s">
        <v>1118</v>
      </c>
      <c r="C15" s="225" t="s">
        <v>1116</v>
      </c>
      <c r="D15" s="202" t="s">
        <v>382</v>
      </c>
      <c r="E15" s="202"/>
    </row>
    <row r="16" spans="1:5" ht="42">
      <c r="A16" s="594" t="s">
        <v>1119</v>
      </c>
      <c r="B16" s="227" t="str">
        <f>'Project&amp;Support'!B7</f>
        <v>S1-CM</v>
      </c>
      <c r="C16" s="229">
        <f>'Project&amp;Support'!AB7</f>
        <v>1</v>
      </c>
      <c r="D16" s="227" t="str">
        <f>'Project&amp;Support'!C7</f>
        <v>The Configuration Management (CM) function, manages baselines for projects and the organisation.</v>
      </c>
      <c r="E16" s="598" t="str">
        <f>StartupInfo!B11</f>
        <v>Room 1, Dome 1, No. 1 First Street, Base Alpha City, Tharsis, Planet04, China</v>
      </c>
    </row>
    <row r="17" spans="1:5" ht="105">
      <c r="A17" s="595"/>
      <c r="B17" s="227" t="str">
        <f>'Project&amp;Support'!B8</f>
        <v>S2-EPG-MA</v>
      </c>
      <c r="C17" s="229">
        <f>'Project&amp;Support'!AB8</f>
        <v>1</v>
      </c>
      <c r="D17" s="227" t="str">
        <f>'Project&amp;Support'!C8</f>
        <v>The Engineering Process Group (EPG)/Measurement Analysis (MA) team provides process management capability including establishing processes, standards, process measurements, process performance models, performance management baselines and directing its implementation and adoption.</v>
      </c>
      <c r="E17" s="599"/>
    </row>
    <row r="18" spans="1:5" ht="63">
      <c r="A18" s="595"/>
      <c r="B18" s="227" t="str">
        <f>'Project&amp;Support'!B9</f>
        <v>S3-HR</v>
      </c>
      <c r="C18" s="229">
        <f>'Project&amp;Support'!AB9</f>
        <v>1</v>
      </c>
      <c r="D18" s="227" t="str">
        <f>'Project&amp;Support'!C9</f>
        <v>The Human Resources (HR) function is responsible for training, skills and knowledge management. It maintains the records of staff training and training evaluation.</v>
      </c>
      <c r="E18" s="599"/>
    </row>
    <row r="19" spans="1:5" ht="42">
      <c r="A19" s="595"/>
      <c r="B19" s="227" t="str">
        <f>'Project&amp;Support'!B10</f>
        <v>S4-PPQA</v>
      </c>
      <c r="C19" s="229">
        <f>'Project&amp;Support'!AB10</f>
        <v>1</v>
      </c>
      <c r="D19" s="227" t="str">
        <f>'Project&amp;Support'!C10</f>
        <v xml:space="preserve">The Process and Product Quality Assurance (PPQA) team manage and performs process quality assurance. </v>
      </c>
      <c r="E19" s="599"/>
    </row>
    <row r="20" spans="1:5" ht="126" hidden="1" customHeight="1">
      <c r="A20" s="595"/>
      <c r="B20" s="227">
        <f>'Project&amp;Support'!B11</f>
        <v>0</v>
      </c>
      <c r="C20" s="229">
        <f>'Project&amp;Support'!AB11</f>
        <v>0</v>
      </c>
      <c r="D20" s="227">
        <f>'Project&amp;Support'!C11</f>
        <v>0</v>
      </c>
      <c r="E20" s="599"/>
    </row>
    <row r="21" spans="1:5" ht="126" hidden="1" customHeight="1">
      <c r="A21" s="596"/>
      <c r="B21" s="227">
        <f>'Project&amp;Support'!B12</f>
        <v>0</v>
      </c>
      <c r="C21" s="229">
        <f>'Project&amp;Support'!AB12</f>
        <v>0</v>
      </c>
      <c r="D21" s="227">
        <f>'Project&amp;Support'!C12</f>
        <v>0</v>
      </c>
      <c r="E21" s="600"/>
    </row>
    <row r="22" spans="1:5">
      <c r="A22" s="224"/>
      <c r="B22" s="223"/>
      <c r="C22" s="226"/>
      <c r="D22" s="223"/>
      <c r="E22" s="223"/>
    </row>
  </sheetData>
  <mergeCells count="4">
    <mergeCell ref="A16:A21"/>
    <mergeCell ref="E2:E11"/>
    <mergeCell ref="A2:A11"/>
    <mergeCell ref="E16:E21"/>
  </mergeCells>
  <pageMargins left="0.7" right="0.7" top="0.75" bottom="0.75" header="0.3" footer="0.3"/>
</worksheet>
</file>

<file path=xl/worksheets/sheet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56CE741-82FB-4B8A-B633-2D097A774BFE}">
  <dimension ref="B2:E13"/>
  <sheetViews>
    <sheetView topLeftCell="B1" workbookViewId="0">
      <selection activeCell="B16" sqref="B16"/>
    </sheetView>
  </sheetViews>
  <sheetFormatPr defaultColWidth="8.6640625" defaultRowHeight="15.6"/>
  <cols>
    <col min="1" max="1" width="8.6640625" style="383"/>
    <col min="2" max="2" width="39.6640625" style="383" customWidth="1"/>
    <col min="3" max="3" width="40.33203125" style="383" customWidth="1"/>
    <col min="4" max="4" width="64.33203125" style="383" customWidth="1"/>
    <col min="5" max="5" width="39.6640625" style="383" customWidth="1"/>
    <col min="6" max="16384" width="8.6640625" style="383"/>
  </cols>
  <sheetData>
    <row r="2" spans="2:5">
      <c r="B2" s="381" t="s">
        <v>1102</v>
      </c>
      <c r="C2" s="381" t="s">
        <v>1103</v>
      </c>
      <c r="D2" s="381" t="s">
        <v>1104</v>
      </c>
      <c r="E2" s="381" t="s">
        <v>847</v>
      </c>
    </row>
    <row r="3" spans="2:5" s="217" customFormat="1" ht="30" customHeight="1">
      <c r="B3" s="403" t="s">
        <v>593</v>
      </c>
      <c r="C3" s="403" t="str">
        <f>'Agreement 3'!B28</f>
        <v>Prof Kessler, Donald</v>
      </c>
      <c r="D3" s="403"/>
      <c r="E3" s="404">
        <f>'P1PA-SS'!B69</f>
        <v>44302</v>
      </c>
    </row>
    <row r="4" spans="2:5" s="217" customFormat="1" ht="30" customHeight="1">
      <c r="B4" s="403" t="s">
        <v>1106</v>
      </c>
      <c r="C4" s="403" t="str">
        <f>'Agreement 3'!B7</f>
        <v>van Zyl, Pieter</v>
      </c>
      <c r="D4" s="403"/>
      <c r="E4" s="404">
        <f>E3</f>
        <v>44302</v>
      </c>
    </row>
    <row r="5" spans="2:5" s="217" customFormat="1" ht="30" customHeight="1">
      <c r="B5" s="403" t="s">
        <v>1105</v>
      </c>
      <c r="C5" s="403" t="str">
        <f>'P1PA-SS'!B92</f>
        <v>ATM-1</v>
      </c>
      <c r="D5" s="403"/>
      <c r="E5" s="404">
        <f>E4</f>
        <v>44302</v>
      </c>
    </row>
    <row r="6" spans="2:5" s="217" customFormat="1" ht="30" customHeight="1">
      <c r="B6" s="403" t="s">
        <v>1105</v>
      </c>
      <c r="C6" s="403" t="str">
        <f>'P1PA-SS'!B93</f>
        <v>ATM-2</v>
      </c>
      <c r="D6" s="403"/>
      <c r="E6" s="404">
        <f>E5</f>
        <v>44302</v>
      </c>
    </row>
    <row r="7" spans="2:5" s="217" customFormat="1" ht="30" customHeight="1">
      <c r="B7" s="403" t="s">
        <v>1105</v>
      </c>
      <c r="C7" s="403" t="str">
        <f>'P1PA-SS'!B94</f>
        <v>ATM-3</v>
      </c>
      <c r="D7" s="403"/>
      <c r="E7" s="404">
        <f t="shared" ref="E7:E13" si="0">E6</f>
        <v>44302</v>
      </c>
    </row>
    <row r="8" spans="2:5" s="217" customFormat="1" ht="30" customHeight="1">
      <c r="B8" s="403" t="s">
        <v>1105</v>
      </c>
      <c r="C8" s="403" t="str">
        <f>'P1PA-SS'!B95</f>
        <v>ATM-4</v>
      </c>
      <c r="D8" s="403"/>
      <c r="E8" s="404">
        <f t="shared" si="0"/>
        <v>44302</v>
      </c>
    </row>
    <row r="9" spans="2:5" s="217" customFormat="1" ht="30" customHeight="1">
      <c r="B9" s="403" t="s">
        <v>1105</v>
      </c>
      <c r="C9" s="403" t="str">
        <f>'P1PA-SS'!B96</f>
        <v>ATM-5</v>
      </c>
      <c r="D9" s="403"/>
      <c r="E9" s="404">
        <f t="shared" si="0"/>
        <v>44302</v>
      </c>
    </row>
    <row r="10" spans="2:5" s="217" customFormat="1" ht="30" customHeight="1">
      <c r="B10" s="403" t="s">
        <v>1105</v>
      </c>
      <c r="C10" s="403" t="str">
        <f>'P1PA-SS'!B97</f>
        <v>ATM-6</v>
      </c>
      <c r="D10" s="403"/>
      <c r="E10" s="404">
        <f t="shared" si="0"/>
        <v>44302</v>
      </c>
    </row>
    <row r="11" spans="2:5" s="217" customFormat="1" ht="30" customHeight="1">
      <c r="B11" s="403" t="s">
        <v>1105</v>
      </c>
      <c r="C11" s="403" t="str">
        <f>'P1PA-SS'!B98</f>
        <v>ATM-7</v>
      </c>
      <c r="D11" s="403"/>
      <c r="E11" s="404">
        <f t="shared" si="0"/>
        <v>44302</v>
      </c>
    </row>
    <row r="12" spans="2:5" s="217" customFormat="1" ht="30" customHeight="1">
      <c r="B12" s="403" t="s">
        <v>1105</v>
      </c>
      <c r="C12" s="403" t="str">
        <f>'P1PA-SS'!B99</f>
        <v>ATM-8</v>
      </c>
      <c r="D12" s="403"/>
      <c r="E12" s="404">
        <f t="shared" si="0"/>
        <v>44302</v>
      </c>
    </row>
    <row r="13" spans="2:5" s="217" customFormat="1" ht="30" customHeight="1">
      <c r="B13" s="403" t="s">
        <v>1105</v>
      </c>
      <c r="C13" s="403" t="str">
        <f>'P1PA-SS'!B100</f>
        <v>ATM-9</v>
      </c>
      <c r="D13" s="403"/>
      <c r="E13" s="404">
        <f t="shared" si="0"/>
        <v>44302</v>
      </c>
    </row>
  </sheetData>
  <pageMargins left="0.7" right="0.7" top="0.75" bottom="0.75" header="0.3" footer="0.3"/>
</worksheet>
</file>

<file path=xl/worksheets/sheet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CE05204-AB92-4FF2-87F0-EC94900FE18F}">
  <dimension ref="B1:M108"/>
  <sheetViews>
    <sheetView topLeftCell="B1" workbookViewId="0">
      <selection activeCell="B2" sqref="B2:D16"/>
    </sheetView>
  </sheetViews>
  <sheetFormatPr defaultColWidth="8.6640625" defaultRowHeight="15.6"/>
  <cols>
    <col min="1" max="1" width="8.6640625" style="383"/>
    <col min="2" max="2" width="9.44140625" style="383" customWidth="1"/>
    <col min="3" max="3" width="54.5546875" style="217" customWidth="1"/>
    <col min="4" max="4" width="61" style="217" customWidth="1"/>
    <col min="5" max="16384" width="8.6640625" style="383"/>
  </cols>
  <sheetData>
    <row r="1" spans="2:13">
      <c r="E1" s="382"/>
      <c r="F1" s="382"/>
      <c r="G1" s="382"/>
      <c r="H1" s="382"/>
      <c r="I1" s="382"/>
      <c r="J1" s="382"/>
      <c r="K1" s="382"/>
      <c r="L1" s="382"/>
      <c r="M1" s="382"/>
    </row>
    <row r="2" spans="2:13">
      <c r="B2" s="601" t="s">
        <v>1112</v>
      </c>
      <c r="C2" s="602"/>
      <c r="D2" s="602"/>
      <c r="E2" s="382"/>
      <c r="F2" s="382"/>
      <c r="G2" s="382"/>
      <c r="H2" s="382"/>
      <c r="I2" s="382"/>
      <c r="J2" s="382"/>
      <c r="K2" s="382"/>
      <c r="L2" s="382"/>
      <c r="M2" s="382"/>
    </row>
    <row r="3" spans="2:13" ht="31.2">
      <c r="B3" s="408">
        <v>1</v>
      </c>
      <c r="C3" s="403" t="s">
        <v>1202</v>
      </c>
      <c r="D3" s="403" t="s">
        <v>1203</v>
      </c>
    </row>
    <row r="4" spans="2:13" ht="31.2">
      <c r="B4" s="408">
        <v>2</v>
      </c>
      <c r="C4" s="403" t="s">
        <v>1204</v>
      </c>
      <c r="D4" s="403" t="s">
        <v>1205</v>
      </c>
    </row>
    <row r="5" spans="2:13" ht="31.2">
      <c r="B5" s="408">
        <v>3</v>
      </c>
      <c r="C5" s="403" t="s">
        <v>1206</v>
      </c>
      <c r="D5" s="403" t="s">
        <v>1207</v>
      </c>
    </row>
    <row r="6" spans="2:13">
      <c r="B6" s="408">
        <v>4</v>
      </c>
      <c r="C6" s="403" t="s">
        <v>1113</v>
      </c>
      <c r="D6" s="403" t="s">
        <v>1114</v>
      </c>
    </row>
    <row r="7" spans="2:13" ht="31.2">
      <c r="B7" s="408">
        <v>5</v>
      </c>
      <c r="C7" s="403" t="s">
        <v>1208</v>
      </c>
      <c r="D7" s="403" t="s">
        <v>1209</v>
      </c>
    </row>
    <row r="8" spans="2:13" hidden="1">
      <c r="B8" s="408">
        <v>6</v>
      </c>
      <c r="C8" s="403"/>
      <c r="D8" s="403"/>
    </row>
    <row r="9" spans="2:13" hidden="1">
      <c r="B9" s="408">
        <v>7</v>
      </c>
      <c r="C9" s="403"/>
      <c r="D9" s="403"/>
    </row>
    <row r="10" spans="2:13" hidden="1">
      <c r="B10" s="408">
        <v>8</v>
      </c>
      <c r="C10" s="403"/>
      <c r="D10" s="403"/>
    </row>
    <row r="11" spans="2:13" hidden="1">
      <c r="B11" s="408">
        <v>9</v>
      </c>
      <c r="C11" s="403"/>
      <c r="D11" s="403"/>
    </row>
    <row r="12" spans="2:13" hidden="1">
      <c r="B12" s="408">
        <v>10</v>
      </c>
      <c r="C12" s="403"/>
      <c r="D12" s="403"/>
    </row>
    <row r="13" spans="2:13" hidden="1">
      <c r="B13" s="408">
        <v>11</v>
      </c>
      <c r="C13" s="403"/>
      <c r="D13" s="403"/>
    </row>
    <row r="14" spans="2:13" hidden="1">
      <c r="B14" s="408">
        <v>12</v>
      </c>
      <c r="C14" s="403"/>
      <c r="D14" s="403"/>
    </row>
    <row r="15" spans="2:13" hidden="1">
      <c r="B15" s="408">
        <v>13</v>
      </c>
      <c r="C15" s="403"/>
      <c r="D15" s="403"/>
    </row>
    <row r="16" spans="2:13" hidden="1">
      <c r="B16" s="408">
        <v>14</v>
      </c>
      <c r="C16" s="403"/>
      <c r="D16" s="403"/>
    </row>
    <row r="17" spans="2:4">
      <c r="B17" s="216"/>
      <c r="D17" s="405"/>
    </row>
    <row r="18" spans="2:4">
      <c r="B18" s="601" t="s">
        <v>1111</v>
      </c>
      <c r="C18" s="602"/>
      <c r="D18" s="602"/>
    </row>
    <row r="19" spans="2:4" ht="31.2">
      <c r="B19" s="408">
        <v>1</v>
      </c>
      <c r="C19" s="403" t="s">
        <v>1210</v>
      </c>
      <c r="D19" s="403" t="s">
        <v>1211</v>
      </c>
    </row>
    <row r="20" spans="2:4" ht="46.8">
      <c r="B20" s="408">
        <v>2</v>
      </c>
      <c r="C20" s="403" t="s">
        <v>1212</v>
      </c>
      <c r="D20" s="403" t="s">
        <v>1213</v>
      </c>
    </row>
    <row r="21" spans="2:4" ht="46.8">
      <c r="B21" s="408">
        <v>3</v>
      </c>
      <c r="C21" s="403" t="s">
        <v>1214</v>
      </c>
      <c r="D21" s="403" t="s">
        <v>1215</v>
      </c>
    </row>
    <row r="22" spans="2:4" ht="46.8">
      <c r="B22" s="408">
        <v>4</v>
      </c>
      <c r="C22" s="403" t="s">
        <v>1216</v>
      </c>
      <c r="D22" s="403" t="s">
        <v>1217</v>
      </c>
    </row>
    <row r="23" spans="2:4" ht="46.8">
      <c r="B23" s="408">
        <v>5</v>
      </c>
      <c r="C23" s="403" t="s">
        <v>1218</v>
      </c>
      <c r="D23" s="403" t="s">
        <v>1219</v>
      </c>
    </row>
    <row r="24" spans="2:4" hidden="1">
      <c r="B24" s="408">
        <v>6</v>
      </c>
      <c r="C24" s="403"/>
      <c r="D24" s="403"/>
    </row>
    <row r="25" spans="2:4" hidden="1">
      <c r="B25" s="408">
        <v>7</v>
      </c>
      <c r="C25" s="403"/>
      <c r="D25" s="403"/>
    </row>
    <row r="26" spans="2:4" hidden="1">
      <c r="B26" s="408">
        <v>8</v>
      </c>
      <c r="C26" s="403"/>
      <c r="D26" s="403"/>
    </row>
    <row r="27" spans="2:4" hidden="1">
      <c r="B27" s="408">
        <v>9</v>
      </c>
      <c r="C27" s="403"/>
      <c r="D27" s="403"/>
    </row>
    <row r="28" spans="2:4" hidden="1">
      <c r="B28" s="408">
        <v>10</v>
      </c>
      <c r="C28" s="403"/>
      <c r="D28" s="403"/>
    </row>
    <row r="29" spans="2:4" hidden="1">
      <c r="B29" s="408">
        <v>11</v>
      </c>
      <c r="C29" s="403"/>
      <c r="D29" s="403"/>
    </row>
    <row r="30" spans="2:4" hidden="1">
      <c r="B30" s="408">
        <v>12</v>
      </c>
      <c r="C30" s="403"/>
      <c r="D30" s="403"/>
    </row>
    <row r="31" spans="2:4" hidden="1">
      <c r="B31" s="408">
        <v>13</v>
      </c>
      <c r="C31" s="403"/>
      <c r="D31" s="403"/>
    </row>
    <row r="32" spans="2:4" hidden="1">
      <c r="B32" s="408">
        <v>14</v>
      </c>
      <c r="C32" s="403"/>
      <c r="D32" s="403"/>
    </row>
    <row r="33" spans="2:4">
      <c r="B33" s="215"/>
      <c r="C33" s="409"/>
      <c r="D33" s="406"/>
    </row>
    <row r="95" spans="2:4" s="407" customFormat="1">
      <c r="B95" s="383"/>
      <c r="C95" s="217"/>
      <c r="D95" s="217"/>
    </row>
    <row r="96" spans="2:4" s="407" customFormat="1">
      <c r="B96" s="383"/>
      <c r="C96" s="217"/>
      <c r="D96" s="217"/>
    </row>
    <row r="107" spans="2:4">
      <c r="B107" s="407"/>
      <c r="C107" s="405"/>
      <c r="D107" s="405"/>
    </row>
    <row r="108" spans="2:4">
      <c r="B108" s="407"/>
      <c r="C108" s="405"/>
      <c r="D108" s="405"/>
    </row>
  </sheetData>
  <mergeCells count="2">
    <mergeCell ref="B2:D2"/>
    <mergeCell ref="B18:D18"/>
  </mergeCells>
  <pageMargins left="0.7" right="0.7" top="0.75" bottom="0.75" header="0.3" footer="0.3"/>
</worksheet>
</file>

<file path=xl/worksheets/sheet4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00F873B-9EB2-4945-A9B1-21D1087A2049}">
  <sheetPr codeName="Sheet9"/>
  <dimension ref="B2:AN258"/>
  <sheetViews>
    <sheetView topLeftCell="W1" workbookViewId="0">
      <selection activeCell="AN5" sqref="AN5:AN6"/>
    </sheetView>
  </sheetViews>
  <sheetFormatPr defaultRowHeight="14.4"/>
  <cols>
    <col min="2" max="2" width="22.44140625" customWidth="1"/>
    <col min="4" max="4" width="45.44140625" customWidth="1"/>
    <col min="5" max="5" width="14.44140625" customWidth="1"/>
    <col min="6" max="6" width="16.6640625" customWidth="1"/>
    <col min="18" max="18" width="21" customWidth="1"/>
    <col min="37" max="37" width="10.6640625" customWidth="1"/>
  </cols>
  <sheetData>
    <row r="2" spans="2:40">
      <c r="B2" s="9" t="s">
        <v>289</v>
      </c>
    </row>
    <row r="4" spans="2:40">
      <c r="B4" s="10" t="s">
        <v>17</v>
      </c>
      <c r="D4" s="10" t="s">
        <v>292</v>
      </c>
      <c r="F4" s="10" t="s">
        <v>405</v>
      </c>
      <c r="H4" s="10" t="s">
        <v>413</v>
      </c>
      <c r="J4" s="10" t="s">
        <v>421</v>
      </c>
      <c r="L4" s="10" t="s">
        <v>428</v>
      </c>
      <c r="N4" s="10" t="s">
        <v>438</v>
      </c>
      <c r="P4" s="10" t="s">
        <v>582</v>
      </c>
      <c r="R4" s="10" t="s">
        <v>606</v>
      </c>
      <c r="T4" s="10" t="s">
        <v>610</v>
      </c>
      <c r="V4" s="10" t="s">
        <v>622</v>
      </c>
      <c r="X4" s="10" t="s">
        <v>635</v>
      </c>
      <c r="Z4" s="10" t="s">
        <v>640</v>
      </c>
      <c r="AB4" s="10" t="s">
        <v>666</v>
      </c>
      <c r="AD4" s="10" t="s">
        <v>669</v>
      </c>
      <c r="AF4" s="10" t="s">
        <v>686</v>
      </c>
      <c r="AH4" s="10" t="s">
        <v>705</v>
      </c>
      <c r="AJ4" s="25" t="s">
        <v>728</v>
      </c>
      <c r="AL4" s="25" t="s">
        <v>1165</v>
      </c>
      <c r="AN4" s="25" t="s">
        <v>1652</v>
      </c>
    </row>
    <row r="5" spans="2:40">
      <c r="B5" t="s">
        <v>36</v>
      </c>
      <c r="D5" t="s">
        <v>293</v>
      </c>
      <c r="E5" t="s">
        <v>411</v>
      </c>
      <c r="F5" t="s">
        <v>406</v>
      </c>
      <c r="H5" t="s">
        <v>414</v>
      </c>
      <c r="J5" t="s">
        <v>422</v>
      </c>
      <c r="L5" t="s">
        <v>429</v>
      </c>
      <c r="N5" t="s">
        <v>443</v>
      </c>
      <c r="P5" t="s">
        <v>583</v>
      </c>
      <c r="R5" t="s">
        <v>607</v>
      </c>
      <c r="T5" s="16" t="s">
        <v>612</v>
      </c>
      <c r="V5" t="s">
        <v>623</v>
      </c>
      <c r="X5" t="s">
        <v>636</v>
      </c>
      <c r="Z5" t="s">
        <v>641</v>
      </c>
      <c r="AB5" t="s">
        <v>660</v>
      </c>
      <c r="AD5" t="s">
        <v>420</v>
      </c>
      <c r="AF5" t="s">
        <v>687</v>
      </c>
      <c r="AH5" t="s">
        <v>706</v>
      </c>
      <c r="AJ5" s="16" t="s">
        <v>729</v>
      </c>
      <c r="AL5" t="s">
        <v>794</v>
      </c>
      <c r="AN5" t="s">
        <v>735</v>
      </c>
    </row>
    <row r="6" spans="2:40">
      <c r="B6" t="s">
        <v>272</v>
      </c>
      <c r="D6" t="s">
        <v>294</v>
      </c>
      <c r="E6" t="s">
        <v>411</v>
      </c>
      <c r="F6" t="s">
        <v>407</v>
      </c>
      <c r="H6" t="s">
        <v>415</v>
      </c>
      <c r="J6" t="s">
        <v>423</v>
      </c>
      <c r="L6" t="s">
        <v>430</v>
      </c>
      <c r="N6" t="s">
        <v>444</v>
      </c>
      <c r="P6" t="s">
        <v>584</v>
      </c>
      <c r="R6" t="s">
        <v>608</v>
      </c>
      <c r="T6" s="16" t="s">
        <v>613</v>
      </c>
      <c r="V6" t="s">
        <v>624</v>
      </c>
      <c r="X6" t="s">
        <v>637</v>
      </c>
      <c r="Z6" t="s">
        <v>642</v>
      </c>
      <c r="AB6" t="s">
        <v>661</v>
      </c>
      <c r="AD6" t="s">
        <v>670</v>
      </c>
      <c r="AF6" t="s">
        <v>700</v>
      </c>
      <c r="AH6" t="s">
        <v>707</v>
      </c>
      <c r="AJ6" s="16" t="s">
        <v>730</v>
      </c>
      <c r="AL6" t="s">
        <v>795</v>
      </c>
      <c r="AN6" t="s">
        <v>1008</v>
      </c>
    </row>
    <row r="7" spans="2:40">
      <c r="B7" t="s">
        <v>37</v>
      </c>
      <c r="D7" t="s">
        <v>295</v>
      </c>
      <c r="E7" t="s">
        <v>411</v>
      </c>
      <c r="F7" t="s">
        <v>408</v>
      </c>
      <c r="H7" t="s">
        <v>416</v>
      </c>
      <c r="J7" t="s">
        <v>424</v>
      </c>
      <c r="L7" t="s">
        <v>431</v>
      </c>
      <c r="N7" t="s">
        <v>445</v>
      </c>
      <c r="P7" t="s">
        <v>585</v>
      </c>
      <c r="R7" t="s">
        <v>609</v>
      </c>
      <c r="T7" s="16" t="s">
        <v>614</v>
      </c>
      <c r="V7" t="s">
        <v>625</v>
      </c>
      <c r="X7" t="s">
        <v>638</v>
      </c>
      <c r="Z7" t="s">
        <v>643</v>
      </c>
      <c r="AB7" t="s">
        <v>662</v>
      </c>
      <c r="AD7" t="s">
        <v>671</v>
      </c>
      <c r="AF7" t="s">
        <v>688</v>
      </c>
      <c r="AH7" t="s">
        <v>708</v>
      </c>
      <c r="AJ7" s="16" t="s">
        <v>731</v>
      </c>
      <c r="AL7" t="s">
        <v>796</v>
      </c>
    </row>
    <row r="8" spans="2:40">
      <c r="B8" t="s">
        <v>38</v>
      </c>
      <c r="D8" t="s">
        <v>296</v>
      </c>
      <c r="E8" t="s">
        <v>411</v>
      </c>
      <c r="F8" t="s">
        <v>409</v>
      </c>
      <c r="H8" t="s">
        <v>417</v>
      </c>
      <c r="J8" t="s">
        <v>425</v>
      </c>
      <c r="L8" t="s">
        <v>432</v>
      </c>
      <c r="N8" t="s">
        <v>446</v>
      </c>
      <c r="T8" s="16" t="s">
        <v>615</v>
      </c>
      <c r="V8" t="s">
        <v>626</v>
      </c>
      <c r="X8" t="s">
        <v>639</v>
      </c>
      <c r="Z8" t="s">
        <v>644</v>
      </c>
      <c r="AB8" t="s">
        <v>663</v>
      </c>
      <c r="AD8" t="s">
        <v>672</v>
      </c>
      <c r="AF8" t="s">
        <v>689</v>
      </c>
      <c r="AH8" t="s">
        <v>709</v>
      </c>
      <c r="AJ8" s="16" t="s">
        <v>733</v>
      </c>
      <c r="AL8" t="s">
        <v>672</v>
      </c>
    </row>
    <row r="9" spans="2:40">
      <c r="B9" t="s">
        <v>39</v>
      </c>
      <c r="D9" t="s">
        <v>297</v>
      </c>
      <c r="E9" t="s">
        <v>411</v>
      </c>
      <c r="F9" t="s">
        <v>410</v>
      </c>
      <c r="H9" t="s">
        <v>418</v>
      </c>
      <c r="L9" t="s">
        <v>433</v>
      </c>
      <c r="N9" t="s">
        <v>447</v>
      </c>
      <c r="T9" s="16" t="s">
        <v>616</v>
      </c>
      <c r="V9" t="s">
        <v>434</v>
      </c>
      <c r="X9" t="s">
        <v>434</v>
      </c>
      <c r="Z9" t="s">
        <v>645</v>
      </c>
      <c r="AB9" t="s">
        <v>664</v>
      </c>
      <c r="AD9" t="s">
        <v>673</v>
      </c>
      <c r="AF9" t="s">
        <v>690</v>
      </c>
      <c r="AH9" t="s">
        <v>434</v>
      </c>
      <c r="AJ9" s="16" t="s">
        <v>732</v>
      </c>
      <c r="AL9" t="s">
        <v>1166</v>
      </c>
    </row>
    <row r="10" spans="2:40">
      <c r="B10" t="s">
        <v>40</v>
      </c>
      <c r="D10" t="s">
        <v>298</v>
      </c>
      <c r="E10" t="s">
        <v>411</v>
      </c>
      <c r="L10" t="s">
        <v>434</v>
      </c>
      <c r="N10" t="s">
        <v>448</v>
      </c>
      <c r="T10" s="16" t="s">
        <v>617</v>
      </c>
      <c r="Z10" t="s">
        <v>646</v>
      </c>
      <c r="AB10" t="s">
        <v>665</v>
      </c>
      <c r="AD10" t="s">
        <v>674</v>
      </c>
      <c r="AF10" t="s">
        <v>691</v>
      </c>
      <c r="AJ10" s="16" t="s">
        <v>434</v>
      </c>
      <c r="AL10" t="s">
        <v>434</v>
      </c>
    </row>
    <row r="11" spans="2:40">
      <c r="B11" t="s">
        <v>41</v>
      </c>
      <c r="D11" t="s">
        <v>299</v>
      </c>
      <c r="E11" t="s">
        <v>411</v>
      </c>
      <c r="N11" t="s">
        <v>449</v>
      </c>
      <c r="T11" s="16" t="s">
        <v>434</v>
      </c>
      <c r="Z11" t="s">
        <v>647</v>
      </c>
      <c r="AB11" t="s">
        <v>434</v>
      </c>
      <c r="AD11" t="s">
        <v>434</v>
      </c>
      <c r="AF11" t="s">
        <v>692</v>
      </c>
    </row>
    <row r="12" spans="2:40">
      <c r="B12" t="s">
        <v>42</v>
      </c>
      <c r="D12" t="s">
        <v>300</v>
      </c>
      <c r="E12" t="s">
        <v>411</v>
      </c>
      <c r="N12" t="s">
        <v>450</v>
      </c>
      <c r="Z12" t="s">
        <v>648</v>
      </c>
      <c r="AF12" t="s">
        <v>693</v>
      </c>
    </row>
    <row r="13" spans="2:40">
      <c r="B13" t="s">
        <v>43</v>
      </c>
      <c r="D13" t="s">
        <v>301</v>
      </c>
      <c r="E13" t="s">
        <v>411</v>
      </c>
      <c r="N13" t="s">
        <v>451</v>
      </c>
      <c r="Z13" t="s">
        <v>649</v>
      </c>
      <c r="AF13" t="s">
        <v>694</v>
      </c>
    </row>
    <row r="14" spans="2:40">
      <c r="B14" t="s">
        <v>273</v>
      </c>
      <c r="D14" t="s">
        <v>302</v>
      </c>
      <c r="E14" t="s">
        <v>411</v>
      </c>
      <c r="N14" t="s">
        <v>452</v>
      </c>
      <c r="Z14" t="s">
        <v>650</v>
      </c>
      <c r="AF14" t="s">
        <v>695</v>
      </c>
    </row>
    <row r="15" spans="2:40">
      <c r="B15" t="s">
        <v>44</v>
      </c>
      <c r="D15" t="s">
        <v>303</v>
      </c>
      <c r="E15" t="s">
        <v>411</v>
      </c>
      <c r="N15" t="s">
        <v>453</v>
      </c>
      <c r="Z15" t="s">
        <v>651</v>
      </c>
      <c r="AF15" t="s">
        <v>696</v>
      </c>
    </row>
    <row r="16" spans="2:40">
      <c r="B16" t="s">
        <v>45</v>
      </c>
      <c r="D16" t="s">
        <v>304</v>
      </c>
      <c r="E16" t="s">
        <v>411</v>
      </c>
      <c r="N16" t="s">
        <v>454</v>
      </c>
      <c r="Z16" t="s">
        <v>652</v>
      </c>
      <c r="AF16" t="s">
        <v>697</v>
      </c>
    </row>
    <row r="17" spans="2:32">
      <c r="B17" t="s">
        <v>46</v>
      </c>
      <c r="D17" t="s">
        <v>305</v>
      </c>
      <c r="E17" t="s">
        <v>411</v>
      </c>
      <c r="N17" t="s">
        <v>455</v>
      </c>
      <c r="Z17" t="s">
        <v>653</v>
      </c>
      <c r="AF17" t="s">
        <v>698</v>
      </c>
    </row>
    <row r="18" spans="2:32">
      <c r="B18" t="s">
        <v>47</v>
      </c>
      <c r="D18" t="s">
        <v>306</v>
      </c>
      <c r="E18" t="s">
        <v>411</v>
      </c>
      <c r="N18" t="s">
        <v>456</v>
      </c>
      <c r="AF18" t="s">
        <v>699</v>
      </c>
    </row>
    <row r="19" spans="2:32">
      <c r="B19" t="s">
        <v>48</v>
      </c>
      <c r="D19" t="s">
        <v>307</v>
      </c>
      <c r="E19" t="s">
        <v>411</v>
      </c>
      <c r="N19" t="s">
        <v>457</v>
      </c>
      <c r="AF19" t="s">
        <v>434</v>
      </c>
    </row>
    <row r="20" spans="2:32">
      <c r="B20" t="s">
        <v>49</v>
      </c>
      <c r="D20" t="s">
        <v>308</v>
      </c>
      <c r="E20" t="s">
        <v>411</v>
      </c>
      <c r="N20" t="s">
        <v>458</v>
      </c>
    </row>
    <row r="21" spans="2:32">
      <c r="B21" t="s">
        <v>50</v>
      </c>
      <c r="D21" t="s">
        <v>309</v>
      </c>
      <c r="E21" t="s">
        <v>411</v>
      </c>
      <c r="N21" t="s">
        <v>459</v>
      </c>
    </row>
    <row r="22" spans="2:32">
      <c r="B22" t="s">
        <v>51</v>
      </c>
      <c r="D22" t="s">
        <v>310</v>
      </c>
      <c r="E22" t="s">
        <v>411</v>
      </c>
      <c r="N22" t="s">
        <v>460</v>
      </c>
    </row>
    <row r="23" spans="2:32">
      <c r="B23" t="s">
        <v>52</v>
      </c>
      <c r="D23" t="s">
        <v>311</v>
      </c>
      <c r="E23" t="s">
        <v>411</v>
      </c>
      <c r="N23" t="s">
        <v>461</v>
      </c>
    </row>
    <row r="24" spans="2:32">
      <c r="B24" t="s">
        <v>53</v>
      </c>
      <c r="D24" t="s">
        <v>312</v>
      </c>
      <c r="E24" t="s">
        <v>411</v>
      </c>
      <c r="N24" t="s">
        <v>462</v>
      </c>
    </row>
    <row r="25" spans="2:32">
      <c r="B25" t="s">
        <v>54</v>
      </c>
      <c r="D25" t="s">
        <v>313</v>
      </c>
      <c r="E25" t="s">
        <v>411</v>
      </c>
      <c r="N25" t="s">
        <v>463</v>
      </c>
    </row>
    <row r="26" spans="2:32">
      <c r="B26" t="s">
        <v>55</v>
      </c>
      <c r="D26" t="s">
        <v>314</v>
      </c>
      <c r="E26" t="s">
        <v>411</v>
      </c>
      <c r="N26" t="s">
        <v>464</v>
      </c>
    </row>
    <row r="27" spans="2:32">
      <c r="B27" t="s">
        <v>56</v>
      </c>
      <c r="D27" t="s">
        <v>315</v>
      </c>
      <c r="E27" t="s">
        <v>411</v>
      </c>
      <c r="N27" t="s">
        <v>465</v>
      </c>
    </row>
    <row r="28" spans="2:32">
      <c r="B28" t="s">
        <v>57</v>
      </c>
      <c r="D28" t="s">
        <v>316</v>
      </c>
      <c r="E28" t="s">
        <v>411</v>
      </c>
      <c r="N28" t="s">
        <v>466</v>
      </c>
    </row>
    <row r="29" spans="2:32">
      <c r="B29" t="s">
        <v>58</v>
      </c>
      <c r="D29" t="s">
        <v>317</v>
      </c>
      <c r="E29" t="s">
        <v>411</v>
      </c>
      <c r="N29" t="s">
        <v>467</v>
      </c>
    </row>
    <row r="30" spans="2:32">
      <c r="B30" t="s">
        <v>59</v>
      </c>
      <c r="D30" t="s">
        <v>318</v>
      </c>
      <c r="E30" t="s">
        <v>411</v>
      </c>
      <c r="N30" t="s">
        <v>468</v>
      </c>
    </row>
    <row r="31" spans="2:32">
      <c r="B31" t="s">
        <v>60</v>
      </c>
      <c r="D31" t="s">
        <v>319</v>
      </c>
      <c r="E31" t="s">
        <v>411</v>
      </c>
      <c r="N31" t="s">
        <v>469</v>
      </c>
    </row>
    <row r="32" spans="2:32">
      <c r="B32" t="s">
        <v>61</v>
      </c>
      <c r="D32" t="s">
        <v>320</v>
      </c>
      <c r="E32" t="s">
        <v>411</v>
      </c>
      <c r="N32" t="s">
        <v>470</v>
      </c>
    </row>
    <row r="33" spans="2:31">
      <c r="B33" t="s">
        <v>274</v>
      </c>
      <c r="D33" t="s">
        <v>321</v>
      </c>
      <c r="E33" t="s">
        <v>411</v>
      </c>
      <c r="N33" t="s">
        <v>471</v>
      </c>
    </row>
    <row r="34" spans="2:31">
      <c r="B34" t="s">
        <v>62</v>
      </c>
      <c r="D34" t="s">
        <v>322</v>
      </c>
      <c r="E34" t="s">
        <v>411</v>
      </c>
      <c r="N34" t="s">
        <v>472</v>
      </c>
    </row>
    <row r="35" spans="2:31">
      <c r="B35" t="s">
        <v>63</v>
      </c>
      <c r="D35" t="s">
        <v>323</v>
      </c>
      <c r="E35" t="s">
        <v>411</v>
      </c>
      <c r="N35" t="s">
        <v>473</v>
      </c>
    </row>
    <row r="36" spans="2:31">
      <c r="B36" t="s">
        <v>64</v>
      </c>
      <c r="D36" t="s">
        <v>324</v>
      </c>
      <c r="E36" t="s">
        <v>411</v>
      </c>
      <c r="N36" t="s">
        <v>474</v>
      </c>
      <c r="U36" s="76" t="s">
        <v>944</v>
      </c>
      <c r="V36" s="76">
        <v>1</v>
      </c>
      <c r="W36" s="76">
        <v>2</v>
      </c>
      <c r="X36" s="76">
        <v>3</v>
      </c>
      <c r="Y36" s="76">
        <v>4</v>
      </c>
      <c r="Z36" s="76">
        <v>5</v>
      </c>
    </row>
    <row r="37" spans="2:31">
      <c r="B37" t="s">
        <v>65</v>
      </c>
      <c r="D37" t="s">
        <v>325</v>
      </c>
      <c r="E37" t="s">
        <v>411</v>
      </c>
      <c r="N37" t="s">
        <v>475</v>
      </c>
      <c r="U37" t="s">
        <v>893</v>
      </c>
      <c r="V37">
        <f t="shared" ref="V37:V56" si="0">AA37</f>
        <v>1</v>
      </c>
      <c r="W37">
        <f t="shared" ref="W37:Z56" si="1">V37+AB37</f>
        <v>3</v>
      </c>
      <c r="X37">
        <f t="shared" si="1"/>
        <v>8</v>
      </c>
      <c r="Y37">
        <f t="shared" si="1"/>
        <v>10</v>
      </c>
      <c r="Z37">
        <f>Y37+AE37</f>
        <v>11</v>
      </c>
      <c r="AA37">
        <v>1</v>
      </c>
      <c r="AB37">
        <v>2</v>
      </c>
      <c r="AC37">
        <v>5</v>
      </c>
      <c r="AD37">
        <v>2</v>
      </c>
      <c r="AE37">
        <v>1</v>
      </c>
    </row>
    <row r="38" spans="2:31">
      <c r="B38" t="s">
        <v>66</v>
      </c>
      <c r="D38" t="s">
        <v>326</v>
      </c>
      <c r="E38" t="s">
        <v>411</v>
      </c>
      <c r="N38" t="s">
        <v>476</v>
      </c>
      <c r="U38" t="s">
        <v>751</v>
      </c>
      <c r="V38">
        <f t="shared" si="0"/>
        <v>1</v>
      </c>
      <c r="W38">
        <f t="shared" si="1"/>
        <v>7</v>
      </c>
      <c r="X38">
        <f t="shared" si="1"/>
        <v>7</v>
      </c>
      <c r="Y38">
        <f t="shared" si="1"/>
        <v>7</v>
      </c>
      <c r="Z38">
        <f t="shared" si="1"/>
        <v>7</v>
      </c>
      <c r="AA38">
        <v>1</v>
      </c>
      <c r="AB38">
        <v>6</v>
      </c>
    </row>
    <row r="39" spans="2:31">
      <c r="B39" t="s">
        <v>67</v>
      </c>
      <c r="D39" t="s">
        <v>327</v>
      </c>
      <c r="E39" t="s">
        <v>411</v>
      </c>
      <c r="N39" t="s">
        <v>477</v>
      </c>
      <c r="U39" t="s">
        <v>894</v>
      </c>
      <c r="V39">
        <f t="shared" si="0"/>
        <v>2</v>
      </c>
      <c r="W39">
        <f t="shared" si="1"/>
        <v>7</v>
      </c>
      <c r="X39">
        <f t="shared" si="1"/>
        <v>8</v>
      </c>
      <c r="Y39">
        <f t="shared" si="1"/>
        <v>8</v>
      </c>
      <c r="Z39">
        <f t="shared" si="1"/>
        <v>8</v>
      </c>
      <c r="AA39">
        <v>2</v>
      </c>
      <c r="AB39">
        <v>5</v>
      </c>
      <c r="AC39">
        <v>1</v>
      </c>
    </row>
    <row r="40" spans="2:31">
      <c r="B40" t="s">
        <v>68</v>
      </c>
      <c r="D40" t="s">
        <v>328</v>
      </c>
      <c r="E40" t="s">
        <v>411</v>
      </c>
      <c r="N40" t="s">
        <v>478</v>
      </c>
      <c r="U40" t="s">
        <v>890</v>
      </c>
      <c r="V40">
        <f t="shared" si="0"/>
        <v>1</v>
      </c>
      <c r="W40">
        <f t="shared" si="1"/>
        <v>4</v>
      </c>
      <c r="X40">
        <f t="shared" si="1"/>
        <v>6</v>
      </c>
      <c r="Y40">
        <f t="shared" si="1"/>
        <v>6</v>
      </c>
      <c r="Z40">
        <f t="shared" si="1"/>
        <v>6</v>
      </c>
      <c r="AA40">
        <v>1</v>
      </c>
      <c r="AB40">
        <v>3</v>
      </c>
      <c r="AC40">
        <v>2</v>
      </c>
    </row>
    <row r="41" spans="2:31">
      <c r="B41" t="s">
        <v>69</v>
      </c>
      <c r="D41" t="s">
        <v>329</v>
      </c>
      <c r="E41" t="s">
        <v>411</v>
      </c>
      <c r="N41" t="s">
        <v>479</v>
      </c>
      <c r="U41" t="s">
        <v>908</v>
      </c>
      <c r="V41">
        <f t="shared" si="0"/>
        <v>1</v>
      </c>
      <c r="W41">
        <f t="shared" si="1"/>
        <v>5</v>
      </c>
      <c r="X41">
        <f t="shared" si="1"/>
        <v>7</v>
      </c>
      <c r="Y41">
        <f t="shared" si="1"/>
        <v>8</v>
      </c>
      <c r="Z41">
        <f t="shared" si="1"/>
        <v>8</v>
      </c>
      <c r="AA41">
        <v>1</v>
      </c>
      <c r="AB41">
        <v>4</v>
      </c>
      <c r="AC41">
        <v>2</v>
      </c>
      <c r="AD41">
        <v>1</v>
      </c>
    </row>
    <row r="42" spans="2:31">
      <c r="B42" t="s">
        <v>70</v>
      </c>
      <c r="D42" t="s">
        <v>330</v>
      </c>
      <c r="E42" t="s">
        <v>411</v>
      </c>
      <c r="N42" t="s">
        <v>480</v>
      </c>
      <c r="U42" t="s">
        <v>909</v>
      </c>
      <c r="V42">
        <f t="shared" si="0"/>
        <v>1</v>
      </c>
      <c r="W42">
        <f t="shared" si="1"/>
        <v>3</v>
      </c>
      <c r="X42">
        <f t="shared" si="1"/>
        <v>6</v>
      </c>
      <c r="Y42">
        <f t="shared" si="1"/>
        <v>6</v>
      </c>
      <c r="Z42">
        <f t="shared" si="1"/>
        <v>6</v>
      </c>
      <c r="AA42">
        <v>1</v>
      </c>
      <c r="AB42">
        <v>2</v>
      </c>
      <c r="AC42">
        <v>3</v>
      </c>
    </row>
    <row r="43" spans="2:31">
      <c r="B43" t="s">
        <v>71</v>
      </c>
      <c r="D43" t="s">
        <v>331</v>
      </c>
      <c r="E43" t="s">
        <v>411</v>
      </c>
      <c r="N43" t="s">
        <v>481</v>
      </c>
      <c r="U43" t="s">
        <v>891</v>
      </c>
      <c r="V43">
        <f t="shared" si="0"/>
        <v>2</v>
      </c>
      <c r="W43">
        <f t="shared" si="1"/>
        <v>6</v>
      </c>
      <c r="X43">
        <f t="shared" si="1"/>
        <v>10</v>
      </c>
      <c r="Y43">
        <f t="shared" si="1"/>
        <v>10</v>
      </c>
      <c r="Z43">
        <f t="shared" si="1"/>
        <v>10</v>
      </c>
      <c r="AA43">
        <v>2</v>
      </c>
      <c r="AB43">
        <v>4</v>
      </c>
      <c r="AC43">
        <v>4</v>
      </c>
    </row>
    <row r="44" spans="2:31">
      <c r="B44" t="s">
        <v>72</v>
      </c>
      <c r="D44" t="s">
        <v>332</v>
      </c>
      <c r="E44" t="s">
        <v>411</v>
      </c>
      <c r="N44" t="s">
        <v>482</v>
      </c>
      <c r="U44" t="s">
        <v>886</v>
      </c>
      <c r="V44">
        <f t="shared" si="0"/>
        <v>2</v>
      </c>
      <c r="W44">
        <f t="shared" si="1"/>
        <v>8</v>
      </c>
      <c r="X44">
        <f t="shared" si="1"/>
        <v>14</v>
      </c>
      <c r="Y44">
        <f t="shared" si="1"/>
        <v>19</v>
      </c>
      <c r="Z44">
        <f t="shared" si="1"/>
        <v>22</v>
      </c>
      <c r="AA44">
        <v>2</v>
      </c>
      <c r="AB44">
        <v>6</v>
      </c>
      <c r="AC44">
        <v>6</v>
      </c>
      <c r="AD44">
        <v>5</v>
      </c>
      <c r="AE44">
        <v>3</v>
      </c>
    </row>
    <row r="45" spans="2:31">
      <c r="B45" t="s">
        <v>73</v>
      </c>
      <c r="D45" t="s">
        <v>333</v>
      </c>
      <c r="E45" t="s">
        <v>411</v>
      </c>
      <c r="N45" t="s">
        <v>483</v>
      </c>
      <c r="U45" t="s">
        <v>753</v>
      </c>
      <c r="V45">
        <f t="shared" si="0"/>
        <v>1</v>
      </c>
      <c r="W45">
        <f t="shared" si="1"/>
        <v>3</v>
      </c>
      <c r="X45">
        <f t="shared" si="1"/>
        <v>9</v>
      </c>
      <c r="Y45">
        <f t="shared" si="1"/>
        <v>9</v>
      </c>
      <c r="Z45">
        <f t="shared" si="1"/>
        <v>9</v>
      </c>
      <c r="AA45">
        <v>1</v>
      </c>
      <c r="AB45">
        <v>2</v>
      </c>
      <c r="AC45">
        <v>6</v>
      </c>
    </row>
    <row r="46" spans="2:31">
      <c r="B46" t="s">
        <v>74</v>
      </c>
      <c r="D46" t="s">
        <v>334</v>
      </c>
      <c r="E46" t="s">
        <v>411</v>
      </c>
      <c r="N46" t="s">
        <v>484</v>
      </c>
      <c r="U46" t="s">
        <v>887</v>
      </c>
      <c r="V46">
        <f t="shared" si="0"/>
        <v>1</v>
      </c>
      <c r="W46">
        <f t="shared" si="1"/>
        <v>4</v>
      </c>
      <c r="X46">
        <f t="shared" si="1"/>
        <v>11</v>
      </c>
      <c r="Y46">
        <f t="shared" si="1"/>
        <v>11</v>
      </c>
      <c r="Z46">
        <f t="shared" si="1"/>
        <v>11</v>
      </c>
      <c r="AA46">
        <v>1</v>
      </c>
      <c r="AB46">
        <v>3</v>
      </c>
      <c r="AC46">
        <v>7</v>
      </c>
    </row>
    <row r="47" spans="2:31">
      <c r="B47" t="s">
        <v>75</v>
      </c>
      <c r="D47" t="s">
        <v>335</v>
      </c>
      <c r="E47" t="s">
        <v>411</v>
      </c>
      <c r="N47" t="s">
        <v>485</v>
      </c>
      <c r="U47" t="s">
        <v>888</v>
      </c>
      <c r="V47">
        <f t="shared" si="0"/>
        <v>3</v>
      </c>
      <c r="W47">
        <f t="shared" si="1"/>
        <v>5</v>
      </c>
      <c r="X47">
        <f t="shared" si="1"/>
        <v>11</v>
      </c>
      <c r="Y47">
        <f t="shared" si="1"/>
        <v>11</v>
      </c>
      <c r="Z47">
        <f t="shared" si="1"/>
        <v>11</v>
      </c>
      <c r="AA47">
        <v>3</v>
      </c>
      <c r="AB47">
        <v>2</v>
      </c>
      <c r="AC47">
        <v>6</v>
      </c>
    </row>
    <row r="48" spans="2:31">
      <c r="B48" t="s">
        <v>76</v>
      </c>
      <c r="D48" t="s">
        <v>336</v>
      </c>
      <c r="E48" t="s">
        <v>411</v>
      </c>
      <c r="N48" t="s">
        <v>486</v>
      </c>
      <c r="U48" t="s">
        <v>881</v>
      </c>
      <c r="V48">
        <f t="shared" si="0"/>
        <v>1</v>
      </c>
      <c r="W48">
        <f t="shared" si="1"/>
        <v>7</v>
      </c>
      <c r="X48">
        <f t="shared" si="1"/>
        <v>10</v>
      </c>
      <c r="Y48">
        <f t="shared" si="1"/>
        <v>10</v>
      </c>
      <c r="Z48">
        <f t="shared" si="1"/>
        <v>10</v>
      </c>
      <c r="AA48">
        <v>1</v>
      </c>
      <c r="AB48">
        <v>6</v>
      </c>
      <c r="AC48">
        <v>3</v>
      </c>
    </row>
    <row r="49" spans="2:30">
      <c r="B49" t="s">
        <v>77</v>
      </c>
      <c r="D49" t="s">
        <v>337</v>
      </c>
      <c r="E49" t="s">
        <v>411</v>
      </c>
      <c r="N49" t="s">
        <v>487</v>
      </c>
      <c r="U49" t="s">
        <v>892</v>
      </c>
      <c r="V49">
        <f t="shared" si="0"/>
        <v>2</v>
      </c>
      <c r="W49">
        <f t="shared" si="1"/>
        <v>10</v>
      </c>
      <c r="X49">
        <f t="shared" si="1"/>
        <v>14</v>
      </c>
      <c r="Y49">
        <f t="shared" si="1"/>
        <v>15</v>
      </c>
      <c r="Z49">
        <f t="shared" si="1"/>
        <v>15</v>
      </c>
      <c r="AA49">
        <v>2</v>
      </c>
      <c r="AB49">
        <v>8</v>
      </c>
      <c r="AC49">
        <v>4</v>
      </c>
      <c r="AD49">
        <v>1</v>
      </c>
    </row>
    <row r="50" spans="2:30">
      <c r="B50" t="s">
        <v>275</v>
      </c>
      <c r="D50" t="s">
        <v>338</v>
      </c>
      <c r="E50" t="s">
        <v>411</v>
      </c>
      <c r="N50" t="s">
        <v>488</v>
      </c>
      <c r="U50" t="s">
        <v>835</v>
      </c>
      <c r="V50">
        <f t="shared" si="0"/>
        <v>1</v>
      </c>
      <c r="W50">
        <f t="shared" si="1"/>
        <v>5</v>
      </c>
      <c r="X50">
        <f t="shared" si="1"/>
        <v>6</v>
      </c>
      <c r="Y50">
        <f t="shared" si="1"/>
        <v>6</v>
      </c>
      <c r="Z50">
        <f t="shared" si="1"/>
        <v>6</v>
      </c>
      <c r="AA50">
        <v>1</v>
      </c>
      <c r="AB50">
        <v>4</v>
      </c>
      <c r="AC50">
        <v>1</v>
      </c>
    </row>
    <row r="51" spans="2:30">
      <c r="B51" t="s">
        <v>78</v>
      </c>
      <c r="D51" t="s">
        <v>339</v>
      </c>
      <c r="E51" t="s">
        <v>411</v>
      </c>
      <c r="N51" t="s">
        <v>581</v>
      </c>
      <c r="U51" t="s">
        <v>883</v>
      </c>
      <c r="V51">
        <f t="shared" si="0"/>
        <v>1</v>
      </c>
      <c r="W51">
        <f t="shared" si="1"/>
        <v>5</v>
      </c>
      <c r="X51">
        <f t="shared" si="1"/>
        <v>6</v>
      </c>
      <c r="Y51">
        <f t="shared" si="1"/>
        <v>6</v>
      </c>
      <c r="Z51">
        <f t="shared" si="1"/>
        <v>6</v>
      </c>
      <c r="AA51">
        <v>1</v>
      </c>
      <c r="AB51">
        <v>4</v>
      </c>
      <c r="AC51">
        <v>1</v>
      </c>
    </row>
    <row r="52" spans="2:30">
      <c r="B52" t="s">
        <v>79</v>
      </c>
      <c r="D52" t="s">
        <v>340</v>
      </c>
      <c r="E52" t="s">
        <v>411</v>
      </c>
      <c r="N52" t="s">
        <v>580</v>
      </c>
      <c r="U52" t="s">
        <v>884</v>
      </c>
      <c r="V52">
        <f t="shared" si="0"/>
        <v>1</v>
      </c>
      <c r="W52">
        <f t="shared" si="1"/>
        <v>7</v>
      </c>
      <c r="X52">
        <f t="shared" si="1"/>
        <v>14</v>
      </c>
      <c r="Y52">
        <f t="shared" si="1"/>
        <v>14</v>
      </c>
      <c r="Z52">
        <f t="shared" si="1"/>
        <v>14</v>
      </c>
      <c r="AA52">
        <v>1</v>
      </c>
      <c r="AB52">
        <v>6</v>
      </c>
      <c r="AC52">
        <v>7</v>
      </c>
    </row>
    <row r="53" spans="2:30">
      <c r="B53" t="s">
        <v>18</v>
      </c>
      <c r="D53" t="s">
        <v>341</v>
      </c>
      <c r="E53" t="s">
        <v>411</v>
      </c>
      <c r="N53" t="s">
        <v>579</v>
      </c>
      <c r="U53" t="s">
        <v>889</v>
      </c>
      <c r="V53">
        <f t="shared" si="0"/>
        <v>1</v>
      </c>
      <c r="W53">
        <f t="shared" si="1"/>
        <v>3</v>
      </c>
      <c r="X53">
        <f t="shared" si="1"/>
        <v>8</v>
      </c>
      <c r="Y53">
        <f t="shared" si="1"/>
        <v>8</v>
      </c>
      <c r="Z53">
        <f t="shared" si="1"/>
        <v>8</v>
      </c>
      <c r="AA53">
        <v>1</v>
      </c>
      <c r="AB53">
        <v>2</v>
      </c>
      <c r="AC53">
        <v>5</v>
      </c>
    </row>
    <row r="54" spans="2:30">
      <c r="B54" t="s">
        <v>80</v>
      </c>
      <c r="D54" t="s">
        <v>342</v>
      </c>
      <c r="E54" t="s">
        <v>411</v>
      </c>
      <c r="N54" t="s">
        <v>578</v>
      </c>
      <c r="U54" t="s">
        <v>895</v>
      </c>
      <c r="V54">
        <f t="shared" si="0"/>
        <v>3</v>
      </c>
      <c r="W54">
        <f t="shared" si="1"/>
        <v>7</v>
      </c>
      <c r="X54">
        <f t="shared" si="1"/>
        <v>9</v>
      </c>
      <c r="Y54">
        <f t="shared" si="1"/>
        <v>9</v>
      </c>
      <c r="Z54">
        <f t="shared" si="1"/>
        <v>9</v>
      </c>
      <c r="AA54">
        <v>3</v>
      </c>
      <c r="AB54">
        <v>4</v>
      </c>
      <c r="AC54">
        <v>2</v>
      </c>
    </row>
    <row r="55" spans="2:30">
      <c r="B55" t="s">
        <v>81</v>
      </c>
      <c r="D55" t="s">
        <v>343</v>
      </c>
      <c r="E55" t="s">
        <v>411</v>
      </c>
      <c r="N55" t="s">
        <v>577</v>
      </c>
      <c r="U55" t="s">
        <v>882</v>
      </c>
      <c r="V55">
        <f t="shared" si="0"/>
        <v>1</v>
      </c>
      <c r="W55">
        <f t="shared" si="1"/>
        <v>4</v>
      </c>
      <c r="X55">
        <f t="shared" si="1"/>
        <v>10</v>
      </c>
      <c r="Y55">
        <f t="shared" si="1"/>
        <v>10</v>
      </c>
      <c r="Z55">
        <f t="shared" si="1"/>
        <v>10</v>
      </c>
      <c r="AA55">
        <v>1</v>
      </c>
      <c r="AB55">
        <v>3</v>
      </c>
      <c r="AC55">
        <v>6</v>
      </c>
    </row>
    <row r="56" spans="2:30">
      <c r="B56" t="s">
        <v>82</v>
      </c>
      <c r="D56" t="s">
        <v>344</v>
      </c>
      <c r="E56" t="s">
        <v>411</v>
      </c>
      <c r="N56" t="s">
        <v>576</v>
      </c>
      <c r="U56" t="s">
        <v>885</v>
      </c>
      <c r="V56">
        <f t="shared" si="0"/>
        <v>2</v>
      </c>
      <c r="W56">
        <f t="shared" si="1"/>
        <v>5</v>
      </c>
      <c r="X56">
        <f t="shared" si="1"/>
        <v>7</v>
      </c>
      <c r="Y56">
        <f t="shared" si="1"/>
        <v>7</v>
      </c>
      <c r="Z56">
        <f t="shared" si="1"/>
        <v>7</v>
      </c>
      <c r="AA56">
        <v>2</v>
      </c>
      <c r="AB56">
        <v>3</v>
      </c>
      <c r="AC56">
        <v>2</v>
      </c>
    </row>
    <row r="57" spans="2:30">
      <c r="B57" t="s">
        <v>83</v>
      </c>
      <c r="D57" t="s">
        <v>345</v>
      </c>
      <c r="E57" t="s">
        <v>411</v>
      </c>
      <c r="N57" t="s">
        <v>575</v>
      </c>
    </row>
    <row r="58" spans="2:30">
      <c r="B58" t="s">
        <v>84</v>
      </c>
      <c r="D58" t="s">
        <v>346</v>
      </c>
      <c r="E58" t="s">
        <v>411</v>
      </c>
      <c r="N58" t="s">
        <v>574</v>
      </c>
    </row>
    <row r="59" spans="2:30">
      <c r="B59" t="s">
        <v>85</v>
      </c>
      <c r="D59" t="s">
        <v>347</v>
      </c>
      <c r="E59" t="s">
        <v>411</v>
      </c>
      <c r="N59" t="s">
        <v>573</v>
      </c>
    </row>
    <row r="60" spans="2:30">
      <c r="B60" t="s">
        <v>86</v>
      </c>
      <c r="D60" t="s">
        <v>348</v>
      </c>
      <c r="E60" t="s">
        <v>411</v>
      </c>
      <c r="N60" t="s">
        <v>572</v>
      </c>
    </row>
    <row r="61" spans="2:30">
      <c r="B61" t="s">
        <v>87</v>
      </c>
      <c r="D61" t="s">
        <v>349</v>
      </c>
      <c r="E61" t="s">
        <v>411</v>
      </c>
      <c r="N61" t="s">
        <v>571</v>
      </c>
    </row>
    <row r="62" spans="2:30">
      <c r="B62" t="s">
        <v>285</v>
      </c>
      <c r="D62" t="s">
        <v>350</v>
      </c>
      <c r="E62" t="s">
        <v>411</v>
      </c>
      <c r="N62" t="s">
        <v>570</v>
      </c>
    </row>
    <row r="63" spans="2:30">
      <c r="B63" t="s">
        <v>88</v>
      </c>
      <c r="D63" t="s">
        <v>351</v>
      </c>
      <c r="E63" t="s">
        <v>411</v>
      </c>
      <c r="N63" t="s">
        <v>569</v>
      </c>
    </row>
    <row r="64" spans="2:30">
      <c r="B64" t="s">
        <v>89</v>
      </c>
      <c r="D64" t="s">
        <v>352</v>
      </c>
      <c r="E64" t="s">
        <v>411</v>
      </c>
      <c r="N64" t="s">
        <v>568</v>
      </c>
    </row>
    <row r="65" spans="2:14">
      <c r="B65" t="s">
        <v>284</v>
      </c>
      <c r="D65" t="s">
        <v>353</v>
      </c>
      <c r="E65" t="s">
        <v>411</v>
      </c>
      <c r="N65" t="s">
        <v>567</v>
      </c>
    </row>
    <row r="66" spans="2:14">
      <c r="B66" t="s">
        <v>90</v>
      </c>
      <c r="D66" t="s">
        <v>354</v>
      </c>
      <c r="E66" t="s">
        <v>411</v>
      </c>
      <c r="N66" t="s">
        <v>566</v>
      </c>
    </row>
    <row r="67" spans="2:14">
      <c r="B67" t="s">
        <v>91</v>
      </c>
      <c r="D67" t="s">
        <v>355</v>
      </c>
      <c r="E67" t="s">
        <v>411</v>
      </c>
      <c r="N67" t="s">
        <v>565</v>
      </c>
    </row>
    <row r="68" spans="2:14">
      <c r="B68" t="s">
        <v>92</v>
      </c>
      <c r="D68" t="s">
        <v>356</v>
      </c>
      <c r="E68" t="s">
        <v>411</v>
      </c>
      <c r="N68" t="s">
        <v>564</v>
      </c>
    </row>
    <row r="69" spans="2:14">
      <c r="B69" t="s">
        <v>93</v>
      </c>
      <c r="D69" t="s">
        <v>357</v>
      </c>
      <c r="E69" t="s">
        <v>411</v>
      </c>
      <c r="N69" t="s">
        <v>563</v>
      </c>
    </row>
    <row r="70" spans="2:14">
      <c r="B70" t="s">
        <v>94</v>
      </c>
      <c r="D70" t="s">
        <v>358</v>
      </c>
      <c r="E70" t="s">
        <v>411</v>
      </c>
      <c r="N70" t="s">
        <v>562</v>
      </c>
    </row>
    <row r="71" spans="2:14">
      <c r="B71" t="s">
        <v>95</v>
      </c>
      <c r="D71" t="s">
        <v>359</v>
      </c>
      <c r="E71" t="s">
        <v>411</v>
      </c>
      <c r="N71" t="s">
        <v>561</v>
      </c>
    </row>
    <row r="72" spans="2:14">
      <c r="B72" t="s">
        <v>96</v>
      </c>
      <c r="D72" t="s">
        <v>360</v>
      </c>
      <c r="E72" t="s">
        <v>411</v>
      </c>
      <c r="N72" t="s">
        <v>560</v>
      </c>
    </row>
    <row r="73" spans="2:14">
      <c r="B73" t="s">
        <v>97</v>
      </c>
      <c r="D73" t="s">
        <v>361</v>
      </c>
      <c r="E73" t="s">
        <v>411</v>
      </c>
      <c r="N73" t="s">
        <v>559</v>
      </c>
    </row>
    <row r="74" spans="2:14">
      <c r="B74" t="s">
        <v>98</v>
      </c>
      <c r="D74" t="s">
        <v>362</v>
      </c>
      <c r="E74" t="s">
        <v>411</v>
      </c>
      <c r="N74" t="s">
        <v>558</v>
      </c>
    </row>
    <row r="75" spans="2:14">
      <c r="B75" t="s">
        <v>99</v>
      </c>
      <c r="D75" t="s">
        <v>363</v>
      </c>
      <c r="E75" t="s">
        <v>411</v>
      </c>
      <c r="N75" t="s">
        <v>557</v>
      </c>
    </row>
    <row r="76" spans="2:14">
      <c r="B76" t="s">
        <v>100</v>
      </c>
      <c r="D76" t="s">
        <v>364</v>
      </c>
      <c r="E76" t="s">
        <v>411</v>
      </c>
      <c r="N76" t="s">
        <v>556</v>
      </c>
    </row>
    <row r="77" spans="2:14">
      <c r="B77" t="s">
        <v>101</v>
      </c>
      <c r="D77" t="s">
        <v>365</v>
      </c>
      <c r="E77" t="s">
        <v>411</v>
      </c>
      <c r="N77" t="s">
        <v>555</v>
      </c>
    </row>
    <row r="78" spans="2:14">
      <c r="B78" t="s">
        <v>102</v>
      </c>
      <c r="D78" t="s">
        <v>366</v>
      </c>
      <c r="E78" t="s">
        <v>411</v>
      </c>
      <c r="N78" t="s">
        <v>554</v>
      </c>
    </row>
    <row r="79" spans="2:14">
      <c r="B79" t="s">
        <v>103</v>
      </c>
      <c r="D79" t="s">
        <v>367</v>
      </c>
      <c r="E79" t="s">
        <v>411</v>
      </c>
      <c r="N79" t="s">
        <v>553</v>
      </c>
    </row>
    <row r="80" spans="2:14">
      <c r="B80" t="s">
        <v>104</v>
      </c>
      <c r="D80" t="s">
        <v>368</v>
      </c>
      <c r="E80" t="s">
        <v>411</v>
      </c>
      <c r="N80" t="s">
        <v>552</v>
      </c>
    </row>
    <row r="81" spans="2:14">
      <c r="B81" t="s">
        <v>105</v>
      </c>
      <c r="D81" t="s">
        <v>369</v>
      </c>
      <c r="E81" t="s">
        <v>411</v>
      </c>
      <c r="N81" t="s">
        <v>551</v>
      </c>
    </row>
    <row r="82" spans="2:14">
      <c r="B82" t="s">
        <v>106</v>
      </c>
      <c r="D82" t="s">
        <v>370</v>
      </c>
      <c r="E82" t="s">
        <v>411</v>
      </c>
      <c r="N82" t="s">
        <v>550</v>
      </c>
    </row>
    <row r="83" spans="2:14">
      <c r="B83" t="s">
        <v>107</v>
      </c>
      <c r="D83" t="s">
        <v>371</v>
      </c>
      <c r="E83" t="s">
        <v>411</v>
      </c>
      <c r="N83" t="s">
        <v>549</v>
      </c>
    </row>
    <row r="84" spans="2:14">
      <c r="B84" t="s">
        <v>108</v>
      </c>
      <c r="D84" t="s">
        <v>372</v>
      </c>
      <c r="E84" t="s">
        <v>411</v>
      </c>
      <c r="N84" t="s">
        <v>548</v>
      </c>
    </row>
    <row r="85" spans="2:14">
      <c r="B85" t="s">
        <v>109</v>
      </c>
      <c r="D85" t="s">
        <v>373</v>
      </c>
      <c r="E85" t="s">
        <v>411</v>
      </c>
      <c r="N85" t="s">
        <v>547</v>
      </c>
    </row>
    <row r="86" spans="2:14">
      <c r="B86" t="s">
        <v>110</v>
      </c>
      <c r="D86" t="s">
        <v>374</v>
      </c>
      <c r="E86" t="s">
        <v>411</v>
      </c>
      <c r="N86" t="s">
        <v>546</v>
      </c>
    </row>
    <row r="87" spans="2:14">
      <c r="B87" t="s">
        <v>111</v>
      </c>
      <c r="D87" t="s">
        <v>375</v>
      </c>
      <c r="E87" t="s">
        <v>411</v>
      </c>
      <c r="N87" t="s">
        <v>545</v>
      </c>
    </row>
    <row r="88" spans="2:14">
      <c r="B88" t="s">
        <v>112</v>
      </c>
      <c r="D88" t="s">
        <v>376</v>
      </c>
      <c r="E88" t="s">
        <v>411</v>
      </c>
      <c r="N88" t="s">
        <v>544</v>
      </c>
    </row>
    <row r="89" spans="2:14">
      <c r="B89" t="s">
        <v>113</v>
      </c>
      <c r="D89" t="s">
        <v>377</v>
      </c>
      <c r="E89" t="s">
        <v>411</v>
      </c>
      <c r="N89" t="s">
        <v>543</v>
      </c>
    </row>
    <row r="90" spans="2:14">
      <c r="B90" t="s">
        <v>114</v>
      </c>
      <c r="D90" t="s">
        <v>378</v>
      </c>
      <c r="E90" t="s">
        <v>411</v>
      </c>
      <c r="N90" t="s">
        <v>542</v>
      </c>
    </row>
    <row r="91" spans="2:14">
      <c r="B91" t="s">
        <v>115</v>
      </c>
      <c r="D91" t="s">
        <v>379</v>
      </c>
      <c r="E91" t="s">
        <v>411</v>
      </c>
      <c r="N91" t="s">
        <v>541</v>
      </c>
    </row>
    <row r="92" spans="2:14">
      <c r="B92" t="s">
        <v>116</v>
      </c>
      <c r="D92" t="s">
        <v>380</v>
      </c>
      <c r="E92" t="s">
        <v>411</v>
      </c>
      <c r="N92" t="s">
        <v>540</v>
      </c>
    </row>
    <row r="93" spans="2:14">
      <c r="B93" t="s">
        <v>117</v>
      </c>
      <c r="N93" t="s">
        <v>539</v>
      </c>
    </row>
    <row r="94" spans="2:14">
      <c r="B94" t="s">
        <v>118</v>
      </c>
      <c r="N94" t="s">
        <v>538</v>
      </c>
    </row>
    <row r="95" spans="2:14">
      <c r="B95" t="s">
        <v>119</v>
      </c>
      <c r="N95" t="s">
        <v>537</v>
      </c>
    </row>
    <row r="96" spans="2:14">
      <c r="B96" t="s">
        <v>120</v>
      </c>
      <c r="N96" t="s">
        <v>536</v>
      </c>
    </row>
    <row r="97" spans="2:14">
      <c r="B97" t="s">
        <v>121</v>
      </c>
      <c r="N97" t="s">
        <v>535</v>
      </c>
    </row>
    <row r="98" spans="2:14">
      <c r="B98" t="s">
        <v>122</v>
      </c>
      <c r="N98" t="s">
        <v>534</v>
      </c>
    </row>
    <row r="99" spans="2:14">
      <c r="B99" t="s">
        <v>123</v>
      </c>
      <c r="N99" t="s">
        <v>533</v>
      </c>
    </row>
    <row r="100" spans="2:14">
      <c r="B100" t="s">
        <v>124</v>
      </c>
      <c r="N100" t="s">
        <v>532</v>
      </c>
    </row>
    <row r="101" spans="2:14">
      <c r="B101" t="s">
        <v>125</v>
      </c>
      <c r="N101" t="s">
        <v>531</v>
      </c>
    </row>
    <row r="102" spans="2:14">
      <c r="B102" t="s">
        <v>126</v>
      </c>
      <c r="N102" t="s">
        <v>530</v>
      </c>
    </row>
    <row r="103" spans="2:14">
      <c r="B103" t="s">
        <v>127</v>
      </c>
      <c r="N103" t="s">
        <v>529</v>
      </c>
    </row>
    <row r="104" spans="2:14">
      <c r="B104" t="s">
        <v>128</v>
      </c>
      <c r="N104" t="s">
        <v>528</v>
      </c>
    </row>
    <row r="105" spans="2:14">
      <c r="B105" t="s">
        <v>129</v>
      </c>
      <c r="N105" t="s">
        <v>527</v>
      </c>
    </row>
    <row r="106" spans="2:14">
      <c r="B106" t="s">
        <v>130</v>
      </c>
      <c r="N106" t="s">
        <v>526</v>
      </c>
    </row>
    <row r="107" spans="2:14">
      <c r="B107" t="s">
        <v>131</v>
      </c>
      <c r="N107" t="s">
        <v>525</v>
      </c>
    </row>
    <row r="108" spans="2:14">
      <c r="B108" t="s">
        <v>132</v>
      </c>
      <c r="N108" t="s">
        <v>524</v>
      </c>
    </row>
    <row r="109" spans="2:14">
      <c r="B109" t="s">
        <v>133</v>
      </c>
      <c r="N109" t="s">
        <v>523</v>
      </c>
    </row>
    <row r="110" spans="2:14">
      <c r="B110" t="s">
        <v>134</v>
      </c>
      <c r="N110" t="s">
        <v>522</v>
      </c>
    </row>
    <row r="111" spans="2:14">
      <c r="B111" t="s">
        <v>135</v>
      </c>
      <c r="N111" t="s">
        <v>521</v>
      </c>
    </row>
    <row r="112" spans="2:14">
      <c r="B112" t="s">
        <v>136</v>
      </c>
      <c r="N112" t="s">
        <v>520</v>
      </c>
    </row>
    <row r="113" spans="2:14">
      <c r="B113" t="s">
        <v>137</v>
      </c>
      <c r="N113" t="s">
        <v>519</v>
      </c>
    </row>
    <row r="114" spans="2:14">
      <c r="B114" t="s">
        <v>138</v>
      </c>
      <c r="N114" t="s">
        <v>518</v>
      </c>
    </row>
    <row r="115" spans="2:14">
      <c r="B115" t="s">
        <v>139</v>
      </c>
      <c r="N115" t="s">
        <v>517</v>
      </c>
    </row>
    <row r="116" spans="2:14">
      <c r="B116" t="s">
        <v>140</v>
      </c>
      <c r="N116" t="s">
        <v>516</v>
      </c>
    </row>
    <row r="117" spans="2:14">
      <c r="B117" t="s">
        <v>141</v>
      </c>
      <c r="N117" t="s">
        <v>515</v>
      </c>
    </row>
    <row r="118" spans="2:14">
      <c r="B118" t="s">
        <v>142</v>
      </c>
      <c r="N118" t="s">
        <v>514</v>
      </c>
    </row>
    <row r="119" spans="2:14">
      <c r="B119" t="s">
        <v>143</v>
      </c>
      <c r="N119" t="s">
        <v>513</v>
      </c>
    </row>
    <row r="120" spans="2:14">
      <c r="B120" t="s">
        <v>144</v>
      </c>
      <c r="N120" t="s">
        <v>512</v>
      </c>
    </row>
    <row r="121" spans="2:14">
      <c r="B121" t="s">
        <v>145</v>
      </c>
      <c r="N121" t="s">
        <v>511</v>
      </c>
    </row>
    <row r="122" spans="2:14">
      <c r="B122" t="s">
        <v>146</v>
      </c>
      <c r="N122" t="s">
        <v>510</v>
      </c>
    </row>
    <row r="123" spans="2:14">
      <c r="B123" t="s">
        <v>147</v>
      </c>
      <c r="N123" t="s">
        <v>509</v>
      </c>
    </row>
    <row r="124" spans="2:14">
      <c r="B124" t="s">
        <v>148</v>
      </c>
      <c r="N124" t="s">
        <v>508</v>
      </c>
    </row>
    <row r="125" spans="2:14">
      <c r="B125" t="s">
        <v>149</v>
      </c>
      <c r="N125" t="s">
        <v>507</v>
      </c>
    </row>
    <row r="126" spans="2:14">
      <c r="B126" t="s">
        <v>150</v>
      </c>
      <c r="N126" t="s">
        <v>506</v>
      </c>
    </row>
    <row r="127" spans="2:14">
      <c r="B127" t="s">
        <v>151</v>
      </c>
      <c r="N127" t="s">
        <v>505</v>
      </c>
    </row>
    <row r="128" spans="2:14">
      <c r="B128" t="s">
        <v>152</v>
      </c>
      <c r="N128" t="s">
        <v>504</v>
      </c>
    </row>
    <row r="129" spans="2:14">
      <c r="B129" t="s">
        <v>153</v>
      </c>
      <c r="N129" t="s">
        <v>503</v>
      </c>
    </row>
    <row r="130" spans="2:14">
      <c r="B130" t="s">
        <v>154</v>
      </c>
      <c r="N130" t="s">
        <v>502</v>
      </c>
    </row>
    <row r="131" spans="2:14">
      <c r="B131" t="s">
        <v>155</v>
      </c>
      <c r="N131" t="s">
        <v>501</v>
      </c>
    </row>
    <row r="132" spans="2:14">
      <c r="B132" t="s">
        <v>156</v>
      </c>
      <c r="N132" t="s">
        <v>500</v>
      </c>
    </row>
    <row r="133" spans="2:14">
      <c r="B133" t="s">
        <v>157</v>
      </c>
      <c r="N133" t="s">
        <v>499</v>
      </c>
    </row>
    <row r="134" spans="2:14">
      <c r="B134" t="s">
        <v>158</v>
      </c>
      <c r="N134" t="s">
        <v>498</v>
      </c>
    </row>
    <row r="135" spans="2:14">
      <c r="B135" t="s">
        <v>159</v>
      </c>
      <c r="N135" t="s">
        <v>497</v>
      </c>
    </row>
    <row r="136" spans="2:14">
      <c r="B136" t="s">
        <v>160</v>
      </c>
      <c r="N136" t="s">
        <v>496</v>
      </c>
    </row>
    <row r="137" spans="2:14">
      <c r="B137" t="s">
        <v>161</v>
      </c>
      <c r="N137" t="s">
        <v>495</v>
      </c>
    </row>
    <row r="138" spans="2:14">
      <c r="B138" t="s">
        <v>162</v>
      </c>
      <c r="N138" t="s">
        <v>494</v>
      </c>
    </row>
    <row r="139" spans="2:14">
      <c r="B139" t="s">
        <v>163</v>
      </c>
      <c r="N139" t="s">
        <v>493</v>
      </c>
    </row>
    <row r="140" spans="2:14">
      <c r="B140" t="s">
        <v>164</v>
      </c>
      <c r="N140" t="s">
        <v>492</v>
      </c>
    </row>
    <row r="141" spans="2:14">
      <c r="B141" t="s">
        <v>165</v>
      </c>
      <c r="N141" t="s">
        <v>491</v>
      </c>
    </row>
    <row r="142" spans="2:14">
      <c r="B142" t="s">
        <v>166</v>
      </c>
      <c r="N142" t="s">
        <v>490</v>
      </c>
    </row>
    <row r="143" spans="2:14">
      <c r="B143" t="s">
        <v>167</v>
      </c>
      <c r="N143" t="s">
        <v>489</v>
      </c>
    </row>
    <row r="144" spans="2:14">
      <c r="B144" t="s">
        <v>168</v>
      </c>
    </row>
    <row r="145" spans="2:2">
      <c r="B145" t="s">
        <v>169</v>
      </c>
    </row>
    <row r="146" spans="2:2">
      <c r="B146" t="s">
        <v>170</v>
      </c>
    </row>
    <row r="147" spans="2:2">
      <c r="B147" t="s">
        <v>171</v>
      </c>
    </row>
    <row r="148" spans="2:2">
      <c r="B148" t="s">
        <v>172</v>
      </c>
    </row>
    <row r="149" spans="2:2">
      <c r="B149" t="s">
        <v>173</v>
      </c>
    </row>
    <row r="150" spans="2:2">
      <c r="B150" t="s">
        <v>174</v>
      </c>
    </row>
    <row r="151" spans="2:2">
      <c r="B151" t="s">
        <v>175</v>
      </c>
    </row>
    <row r="152" spans="2:2">
      <c r="B152" t="s">
        <v>176</v>
      </c>
    </row>
    <row r="153" spans="2:2">
      <c r="B153" t="s">
        <v>177</v>
      </c>
    </row>
    <row r="154" spans="2:2">
      <c r="B154" t="s">
        <v>178</v>
      </c>
    </row>
    <row r="155" spans="2:2">
      <c r="B155" t="s">
        <v>179</v>
      </c>
    </row>
    <row r="156" spans="2:2">
      <c r="B156" t="s">
        <v>180</v>
      </c>
    </row>
    <row r="157" spans="2:2">
      <c r="B157" t="s">
        <v>181</v>
      </c>
    </row>
    <row r="158" spans="2:2">
      <c r="B158" t="s">
        <v>182</v>
      </c>
    </row>
    <row r="159" spans="2:2">
      <c r="B159" t="s">
        <v>183</v>
      </c>
    </row>
    <row r="160" spans="2:2">
      <c r="B160" t="s">
        <v>184</v>
      </c>
    </row>
    <row r="161" spans="2:2">
      <c r="B161" t="s">
        <v>185</v>
      </c>
    </row>
    <row r="162" spans="2:2">
      <c r="B162" t="s">
        <v>186</v>
      </c>
    </row>
    <row r="163" spans="2:2">
      <c r="B163" t="s">
        <v>187</v>
      </c>
    </row>
    <row r="164" spans="2:2">
      <c r="B164" t="s">
        <v>188</v>
      </c>
    </row>
    <row r="165" spans="2:2">
      <c r="B165" t="s">
        <v>189</v>
      </c>
    </row>
    <row r="166" spans="2:2">
      <c r="B166" t="s">
        <v>190</v>
      </c>
    </row>
    <row r="167" spans="2:2">
      <c r="B167" t="s">
        <v>191</v>
      </c>
    </row>
    <row r="168" spans="2:2">
      <c r="B168" t="s">
        <v>192</v>
      </c>
    </row>
    <row r="169" spans="2:2">
      <c r="B169" t="s">
        <v>193</v>
      </c>
    </row>
    <row r="170" spans="2:2">
      <c r="B170" t="s">
        <v>194</v>
      </c>
    </row>
    <row r="171" spans="2:2">
      <c r="B171" t="s">
        <v>195</v>
      </c>
    </row>
    <row r="172" spans="2:2">
      <c r="B172" t="s">
        <v>196</v>
      </c>
    </row>
    <row r="173" spans="2:2">
      <c r="B173" t="s">
        <v>197</v>
      </c>
    </row>
    <row r="174" spans="2:2">
      <c r="B174" t="s">
        <v>198</v>
      </c>
    </row>
    <row r="175" spans="2:2">
      <c r="B175" t="s">
        <v>199</v>
      </c>
    </row>
    <row r="176" spans="2:2">
      <c r="B176" t="s">
        <v>200</v>
      </c>
    </row>
    <row r="177" spans="2:2">
      <c r="B177" t="s">
        <v>201</v>
      </c>
    </row>
    <row r="178" spans="2:2">
      <c r="B178" t="s">
        <v>202</v>
      </c>
    </row>
    <row r="179" spans="2:2">
      <c r="B179" t="s">
        <v>203</v>
      </c>
    </row>
    <row r="180" spans="2:2">
      <c r="B180" t="s">
        <v>204</v>
      </c>
    </row>
    <row r="181" spans="2:2">
      <c r="B181" t="s">
        <v>205</v>
      </c>
    </row>
    <row r="182" spans="2:2">
      <c r="B182" t="s">
        <v>206</v>
      </c>
    </row>
    <row r="183" spans="2:2">
      <c r="B183" t="s">
        <v>207</v>
      </c>
    </row>
    <row r="184" spans="2:2">
      <c r="B184" t="s">
        <v>208</v>
      </c>
    </row>
    <row r="185" spans="2:2">
      <c r="B185" t="s">
        <v>209</v>
      </c>
    </row>
    <row r="186" spans="2:2">
      <c r="B186" t="s">
        <v>210</v>
      </c>
    </row>
    <row r="187" spans="2:2">
      <c r="B187" t="s">
        <v>211</v>
      </c>
    </row>
    <row r="188" spans="2:2">
      <c r="B188" t="s">
        <v>286</v>
      </c>
    </row>
    <row r="189" spans="2:2">
      <c r="B189" t="s">
        <v>212</v>
      </c>
    </row>
    <row r="190" spans="2:2">
      <c r="B190" t="s">
        <v>213</v>
      </c>
    </row>
    <row r="191" spans="2:2">
      <c r="B191" t="s">
        <v>214</v>
      </c>
    </row>
    <row r="192" spans="2:2">
      <c r="B192" t="s">
        <v>215</v>
      </c>
    </row>
    <row r="193" spans="2:2">
      <c r="B193" t="s">
        <v>216</v>
      </c>
    </row>
    <row r="194" spans="2:2">
      <c r="B194" t="s">
        <v>287</v>
      </c>
    </row>
    <row r="195" spans="2:2">
      <c r="B195" t="s">
        <v>217</v>
      </c>
    </row>
    <row r="196" spans="2:2">
      <c r="B196" t="s">
        <v>218</v>
      </c>
    </row>
    <row r="197" spans="2:2">
      <c r="B197" t="s">
        <v>219</v>
      </c>
    </row>
    <row r="198" spans="2:2">
      <c r="B198" t="s">
        <v>220</v>
      </c>
    </row>
    <row r="199" spans="2:2">
      <c r="B199" t="s">
        <v>221</v>
      </c>
    </row>
    <row r="200" spans="2:2">
      <c r="B200" t="s">
        <v>222</v>
      </c>
    </row>
    <row r="201" spans="2:2">
      <c r="B201" t="s">
        <v>223</v>
      </c>
    </row>
    <row r="202" spans="2:2">
      <c r="B202" t="s">
        <v>224</v>
      </c>
    </row>
    <row r="203" spans="2:2">
      <c r="B203" t="s">
        <v>225</v>
      </c>
    </row>
    <row r="204" spans="2:2">
      <c r="B204" t="s">
        <v>226</v>
      </c>
    </row>
    <row r="205" spans="2:2">
      <c r="B205" t="s">
        <v>227</v>
      </c>
    </row>
    <row r="206" spans="2:2">
      <c r="B206" t="s">
        <v>228</v>
      </c>
    </row>
    <row r="207" spans="2:2">
      <c r="B207" t="s">
        <v>276</v>
      </c>
    </row>
    <row r="208" spans="2:2">
      <c r="B208" t="s">
        <v>229</v>
      </c>
    </row>
    <row r="209" spans="2:2">
      <c r="B209" t="s">
        <v>230</v>
      </c>
    </row>
    <row r="210" spans="2:2">
      <c r="B210" t="s">
        <v>231</v>
      </c>
    </row>
    <row r="211" spans="2:2">
      <c r="B211" t="s">
        <v>232</v>
      </c>
    </row>
    <row r="212" spans="2:2">
      <c r="B212" t="s">
        <v>288</v>
      </c>
    </row>
    <row r="213" spans="2:2">
      <c r="B213" t="s">
        <v>233</v>
      </c>
    </row>
    <row r="214" spans="2:2">
      <c r="B214" t="s">
        <v>277</v>
      </c>
    </row>
    <row r="215" spans="2:2">
      <c r="B215" t="s">
        <v>234</v>
      </c>
    </row>
    <row r="216" spans="2:2">
      <c r="B216" t="s">
        <v>235</v>
      </c>
    </row>
    <row r="217" spans="2:2">
      <c r="B217" t="s">
        <v>278</v>
      </c>
    </row>
    <row r="218" spans="2:2">
      <c r="B218" t="s">
        <v>279</v>
      </c>
    </row>
    <row r="219" spans="2:2">
      <c r="B219" t="s">
        <v>236</v>
      </c>
    </row>
    <row r="220" spans="2:2">
      <c r="B220" t="s">
        <v>237</v>
      </c>
    </row>
    <row r="221" spans="2:2">
      <c r="B221" t="s">
        <v>280</v>
      </c>
    </row>
    <row r="222" spans="2:2">
      <c r="B222" t="s">
        <v>238</v>
      </c>
    </row>
    <row r="223" spans="2:2">
      <c r="B223" t="s">
        <v>239</v>
      </c>
    </row>
    <row r="224" spans="2:2">
      <c r="B224" t="s">
        <v>240</v>
      </c>
    </row>
    <row r="225" spans="2:2">
      <c r="B225" t="s">
        <v>241</v>
      </c>
    </row>
    <row r="226" spans="2:2">
      <c r="B226" t="s">
        <v>242</v>
      </c>
    </row>
    <row r="227" spans="2:2">
      <c r="B227" t="s">
        <v>243</v>
      </c>
    </row>
    <row r="228" spans="2:2">
      <c r="B228" t="s">
        <v>244</v>
      </c>
    </row>
    <row r="229" spans="2:2">
      <c r="B229" t="s">
        <v>245</v>
      </c>
    </row>
    <row r="230" spans="2:2">
      <c r="B230" t="s">
        <v>246</v>
      </c>
    </row>
    <row r="231" spans="2:2">
      <c r="B231" t="s">
        <v>247</v>
      </c>
    </row>
    <row r="232" spans="2:2">
      <c r="B232" t="s">
        <v>248</v>
      </c>
    </row>
    <row r="233" spans="2:2">
      <c r="B233" t="s">
        <v>249</v>
      </c>
    </row>
    <row r="234" spans="2:2">
      <c r="B234" t="s">
        <v>281</v>
      </c>
    </row>
    <row r="235" spans="2:2">
      <c r="B235" t="s">
        <v>250</v>
      </c>
    </row>
    <row r="236" spans="2:2">
      <c r="B236" t="s">
        <v>251</v>
      </c>
    </row>
    <row r="237" spans="2:2">
      <c r="B237" t="s">
        <v>252</v>
      </c>
    </row>
    <row r="238" spans="2:2">
      <c r="B238" t="s">
        <v>253</v>
      </c>
    </row>
    <row r="239" spans="2:2">
      <c r="B239" t="s">
        <v>282</v>
      </c>
    </row>
    <row r="240" spans="2:2">
      <c r="B240" t="s">
        <v>254</v>
      </c>
    </row>
    <row r="241" spans="2:2">
      <c r="B241" t="s">
        <v>255</v>
      </c>
    </row>
    <row r="242" spans="2:2">
      <c r="B242" t="s">
        <v>256</v>
      </c>
    </row>
    <row r="243" spans="2:2">
      <c r="B243" t="s">
        <v>257</v>
      </c>
    </row>
    <row r="244" spans="2:2">
      <c r="B244" t="s">
        <v>258</v>
      </c>
    </row>
    <row r="245" spans="2:2">
      <c r="B245" t="s">
        <v>259</v>
      </c>
    </row>
    <row r="246" spans="2:2">
      <c r="B246" t="s">
        <v>260</v>
      </c>
    </row>
    <row r="247" spans="2:2">
      <c r="B247" t="s">
        <v>261</v>
      </c>
    </row>
    <row r="248" spans="2:2">
      <c r="B248" t="s">
        <v>262</v>
      </c>
    </row>
    <row r="249" spans="2:2">
      <c r="B249" t="s">
        <v>263</v>
      </c>
    </row>
    <row r="250" spans="2:2">
      <c r="B250" t="s">
        <v>264</v>
      </c>
    </row>
    <row r="251" spans="2:2">
      <c r="B251" t="s">
        <v>265</v>
      </c>
    </row>
    <row r="252" spans="2:2">
      <c r="B252" t="s">
        <v>266</v>
      </c>
    </row>
    <row r="253" spans="2:2">
      <c r="B253" t="s">
        <v>267</v>
      </c>
    </row>
    <row r="254" spans="2:2">
      <c r="B254" t="s">
        <v>283</v>
      </c>
    </row>
    <row r="255" spans="2:2">
      <c r="B255" t="s">
        <v>268</v>
      </c>
    </row>
    <row r="256" spans="2:2">
      <c r="B256" t="s">
        <v>269</v>
      </c>
    </row>
    <row r="257" spans="2:2">
      <c r="B257" t="s">
        <v>270</v>
      </c>
    </row>
    <row r="258" spans="2:2">
      <c r="B258" t="s">
        <v>271</v>
      </c>
    </row>
  </sheetData>
  <sortState xmlns:xlrd2="http://schemas.microsoft.com/office/spreadsheetml/2017/richdata2" ref="AL5:AL10">
    <sortCondition ref="AL5:AL10"/>
  </sortState>
  <phoneticPr fontId="54" type="noConversion"/>
  <hyperlinks>
    <hyperlink ref="B2" r:id="rId1" xr:uid="{3B99F441-F71E-49AF-8036-478E13C4781D}"/>
  </hyperlinks>
  <pageMargins left="0.7" right="0.7" top="0.75" bottom="0.75" header="0.3" footer="0.3"/>
</worksheet>
</file>

<file path=xl/worksheets/sheet4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6302922-BA09-4A38-82FE-94FAF7F5E96F}">
  <dimension ref="A1:C23"/>
  <sheetViews>
    <sheetView workbookViewId="0"/>
  </sheetViews>
  <sheetFormatPr defaultColWidth="8.6640625" defaultRowHeight="14.4"/>
  <cols>
    <col min="1" max="1" width="13.33203125" style="124" customWidth="1"/>
    <col min="2" max="3" width="25.6640625" style="124" customWidth="1"/>
    <col min="4" max="16384" width="8.6640625" style="124"/>
  </cols>
  <sheetData>
    <row r="1" spans="1:3">
      <c r="A1" s="124" t="s">
        <v>1304</v>
      </c>
    </row>
    <row r="2" spans="1:3">
      <c r="A2" s="124" t="s">
        <v>1305</v>
      </c>
      <c r="B2" s="124" t="s">
        <v>1332</v>
      </c>
      <c r="C2" s="124" t="s">
        <v>1333</v>
      </c>
    </row>
    <row r="3" spans="1:3">
      <c r="A3" s="124" t="s">
        <v>884</v>
      </c>
      <c r="B3" s="124" t="s">
        <v>1324</v>
      </c>
      <c r="C3" s="124" t="s">
        <v>1306</v>
      </c>
    </row>
    <row r="4" spans="1:3">
      <c r="A4" s="124" t="s">
        <v>835</v>
      </c>
      <c r="B4" s="124" t="s">
        <v>1307</v>
      </c>
      <c r="C4" s="124" t="s">
        <v>1307</v>
      </c>
    </row>
    <row r="5" spans="1:3">
      <c r="A5" s="124" t="s">
        <v>885</v>
      </c>
      <c r="B5" s="124" t="s">
        <v>1308</v>
      </c>
      <c r="C5" s="124" t="s">
        <v>1308</v>
      </c>
    </row>
    <row r="6" spans="1:3">
      <c r="A6" s="124" t="s">
        <v>883</v>
      </c>
      <c r="B6" s="124" t="s">
        <v>1325</v>
      </c>
      <c r="C6" s="124" t="s">
        <v>1309</v>
      </c>
    </row>
    <row r="7" spans="1:3">
      <c r="A7" s="124" t="s">
        <v>882</v>
      </c>
      <c r="B7" s="124" t="s">
        <v>1326</v>
      </c>
      <c r="C7" s="124" t="s">
        <v>1310</v>
      </c>
    </row>
    <row r="8" spans="1:3">
      <c r="A8" s="124" t="s">
        <v>881</v>
      </c>
      <c r="B8" s="124" t="s">
        <v>1311</v>
      </c>
      <c r="C8" s="124" t="s">
        <v>1311</v>
      </c>
    </row>
    <row r="9" spans="1:3">
      <c r="A9" s="124" t="s">
        <v>890</v>
      </c>
      <c r="B9" s="124" t="s">
        <v>1312</v>
      </c>
      <c r="C9" s="124" t="s">
        <v>1312</v>
      </c>
    </row>
    <row r="10" spans="1:3">
      <c r="A10" s="124" t="s">
        <v>892</v>
      </c>
      <c r="B10" s="124" t="s">
        <v>1327</v>
      </c>
      <c r="C10" s="124" t="s">
        <v>1313</v>
      </c>
    </row>
    <row r="11" spans="1:3">
      <c r="A11" s="124" t="s">
        <v>891</v>
      </c>
      <c r="B11" s="124" t="s">
        <v>1328</v>
      </c>
      <c r="C11" s="124" t="s">
        <v>1314</v>
      </c>
    </row>
    <row r="12" spans="1:3">
      <c r="A12" s="124" t="s">
        <v>889</v>
      </c>
      <c r="B12" s="124" t="s">
        <v>1329</v>
      </c>
      <c r="C12" s="124" t="s">
        <v>1315</v>
      </c>
    </row>
    <row r="13" spans="1:3">
      <c r="A13" s="124" t="s">
        <v>753</v>
      </c>
      <c r="B13" s="124" t="s">
        <v>31</v>
      </c>
      <c r="C13" s="124" t="s">
        <v>1316</v>
      </c>
    </row>
    <row r="14" spans="1:3">
      <c r="A14" s="124" t="s">
        <v>893</v>
      </c>
      <c r="B14" s="124" t="s">
        <v>32</v>
      </c>
      <c r="C14" s="124" t="s">
        <v>1317</v>
      </c>
    </row>
    <row r="15" spans="1:3">
      <c r="A15" s="124" t="s">
        <v>894</v>
      </c>
      <c r="B15" s="124" t="s">
        <v>33</v>
      </c>
      <c r="C15" s="124" t="s">
        <v>1318</v>
      </c>
    </row>
    <row r="16" spans="1:3">
      <c r="A16" s="124" t="s">
        <v>751</v>
      </c>
      <c r="B16" s="124" t="s">
        <v>34</v>
      </c>
      <c r="C16" s="124" t="s">
        <v>1319</v>
      </c>
    </row>
    <row r="17" spans="1:3">
      <c r="A17" s="124" t="s">
        <v>888</v>
      </c>
      <c r="B17" s="124" t="s">
        <v>35</v>
      </c>
      <c r="C17" s="124" t="s">
        <v>1320</v>
      </c>
    </row>
    <row r="18" spans="1:3">
      <c r="A18" s="124" t="s">
        <v>887</v>
      </c>
      <c r="B18" s="124" t="s">
        <v>17</v>
      </c>
      <c r="C18" s="124" t="s">
        <v>32</v>
      </c>
    </row>
    <row r="19" spans="1:3">
      <c r="A19" s="124" t="s">
        <v>886</v>
      </c>
      <c r="B19" s="124" t="s">
        <v>1330</v>
      </c>
      <c r="C19" s="124" t="s">
        <v>1321</v>
      </c>
    </row>
    <row r="20" spans="1:3">
      <c r="A20" s="124" t="s">
        <v>908</v>
      </c>
      <c r="C20" s="124" t="s">
        <v>34</v>
      </c>
    </row>
    <row r="21" spans="1:3">
      <c r="A21" s="124" t="s">
        <v>909</v>
      </c>
      <c r="C21" s="124" t="s">
        <v>35</v>
      </c>
    </row>
    <row r="22" spans="1:3">
      <c r="C22" s="124" t="s">
        <v>1322</v>
      </c>
    </row>
    <row r="23" spans="1:3">
      <c r="C23" s="124" t="s">
        <v>1323</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p:properties xmlns:p="http://schemas.microsoft.com/office/2006/metadata/properties" xmlns:xsi="http://www.w3.org/2001/XMLSchema-instance" xmlns:pc="http://schemas.microsoft.com/office/infopath/2007/PartnerControls">
  <documentManagement/>
</p:properties>
</file>

<file path=customXml/item3.xml><?xml version="1.0" encoding="utf-8"?>
<ct:contentTypeSchema xmlns:ct="http://schemas.microsoft.com/office/2006/metadata/contentType" xmlns:ma="http://schemas.microsoft.com/office/2006/metadata/properties/metaAttributes" ct:_="" ma:_="" ma:contentTypeName="Document" ma:contentTypeID="0x0101001F513751AC33344AB32CFD2920EFE649" ma:contentTypeVersion="11" ma:contentTypeDescription="Create a new document." ma:contentTypeScope="" ma:versionID="683516f7d70434a0e4dbd6c476be8d5b">
  <xsd:schema xmlns:xsd="http://www.w3.org/2001/XMLSchema" xmlns:xs="http://www.w3.org/2001/XMLSchema" xmlns:p="http://schemas.microsoft.com/office/2006/metadata/properties" xmlns:ns2="72e3a154-4955-46c3-9573-e9dec3e1f195" xmlns:ns3="ec500478-62e0-46fc-87f1-cfa988e486b4" targetNamespace="http://schemas.microsoft.com/office/2006/metadata/properties" ma:root="true" ma:fieldsID="cf4a15c6a1eec5dbba94230cc6a50510" ns2:_="" ns3:_="">
    <xsd:import namespace="72e3a154-4955-46c3-9573-e9dec3e1f195"/>
    <xsd:import namespace="ec500478-62e0-46fc-87f1-cfa988e486b4"/>
    <xsd:element name="properties">
      <xsd:complexType>
        <xsd:sequence>
          <xsd:element name="documentManagement">
            <xsd:complexType>
              <xsd:all>
                <xsd:element ref="ns2:MediaServiceMetadata" minOccurs="0"/>
                <xsd:element ref="ns2:MediaServiceFastMetadata" minOccurs="0"/>
                <xsd:element ref="ns2:MediaServiceAutoTags" minOccurs="0"/>
                <xsd:element ref="ns2:MediaServiceOCR" minOccurs="0"/>
                <xsd:element ref="ns2:MediaServiceGenerationTime" minOccurs="0"/>
                <xsd:element ref="ns2:MediaServiceEventHashCode" minOccurs="0"/>
                <xsd:element ref="ns2:MediaServiceAutoKeyPoints" minOccurs="0"/>
                <xsd:element ref="ns2:MediaServiceKeyPoints" minOccurs="0"/>
                <xsd:element ref="ns3:SharedWithUsers" minOccurs="0"/>
                <xsd:element ref="ns3:SharedWithDetails" minOccurs="0"/>
                <xsd:element ref="ns2:MediaServiceDateTaken"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72e3a154-4955-46c3-9573-e9dec3e1f195"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Tags" ma:index="10" nillable="true" ma:displayName="Tags" ma:internalName="MediaServiceAutoTags" ma:readOnly="true">
      <xsd:simpleType>
        <xsd:restriction base="dms:Text"/>
      </xsd:simpleType>
    </xsd:element>
    <xsd:element name="MediaServiceOCR" ma:index="11" nillable="true" ma:displayName="Extracted Text" ma:internalName="MediaServiceOCR" ma:readOnly="true">
      <xsd:simpleType>
        <xsd:restriction base="dms:Note">
          <xsd:maxLength value="255"/>
        </xsd:restriction>
      </xsd:simpleType>
    </xsd:element>
    <xsd:element name="MediaServiceGenerationTime" ma:index="12" nillable="true" ma:displayName="MediaServiceGenerationTime" ma:hidden="true" ma:internalName="MediaServiceGenerationTime" ma:readOnly="true">
      <xsd:simpleType>
        <xsd:restriction base="dms:Text"/>
      </xsd:simpleType>
    </xsd:element>
    <xsd:element name="MediaServiceEventHashCode" ma:index="13" nillable="true" ma:displayName="MediaServiceEventHashCode" ma:hidden="true" ma:internalName="MediaServiceEventHashCode" ma:readOnly="true">
      <xsd:simpleType>
        <xsd:restriction base="dms:Text"/>
      </xsd:simpleType>
    </xsd:element>
    <xsd:element name="MediaServiceAutoKeyPoints" ma:index="14" nillable="true" ma:displayName="MediaServiceAutoKeyPoints" ma:hidden="true" ma:internalName="MediaServiceAutoKeyPoints" ma:readOnly="true">
      <xsd:simpleType>
        <xsd:restriction base="dms:Note"/>
      </xsd:simpleType>
    </xsd:element>
    <xsd:element name="MediaServiceKeyPoints" ma:index="15" nillable="true" ma:displayName="KeyPoints" ma:internalName="MediaServiceKeyPoints" ma:readOnly="true">
      <xsd:simpleType>
        <xsd:restriction base="dms:Note">
          <xsd:maxLength value="255"/>
        </xsd:restriction>
      </xsd:simpleType>
    </xsd:element>
    <xsd:element name="MediaServiceDateTaken" ma:index="18" nillable="true" ma:displayName="MediaServiceDateTaken" ma:hidden="true" ma:internalName="MediaServiceDateTaken" ma:readOnly="true">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ec500478-62e0-46fc-87f1-cfa988e486b4" elementFormDefault="qualified">
    <xsd:import namespace="http://schemas.microsoft.com/office/2006/documentManagement/types"/>
    <xsd:import namespace="http://schemas.microsoft.com/office/infopath/2007/PartnerControls"/>
    <xsd:element name="SharedWithUsers" ma:index="16"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7"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7A148512-6BC5-4C28-9682-34F7D085C54B}">
  <ds:schemaRefs>
    <ds:schemaRef ds:uri="http://schemas.microsoft.com/sharepoint/v3/contenttype/forms"/>
  </ds:schemaRefs>
</ds:datastoreItem>
</file>

<file path=customXml/itemProps2.xml><?xml version="1.0" encoding="utf-8"?>
<ds:datastoreItem xmlns:ds="http://schemas.openxmlformats.org/officeDocument/2006/customXml" ds:itemID="{41716C53-4EA1-4C26-8807-9A61F8DDF271}">
  <ds:schemaRefs>
    <ds:schemaRef ds:uri="http://schemas.microsoft.com/office/2006/metadata/properties"/>
    <ds:schemaRef ds:uri="http://purl.org/dc/elements/1.1/"/>
    <ds:schemaRef ds:uri="http://schemas.microsoft.com/office/2006/documentManagement/types"/>
    <ds:schemaRef ds:uri="http://purl.org/dc/terms/"/>
    <ds:schemaRef ds:uri="ec500478-62e0-46fc-87f1-cfa988e486b4"/>
    <ds:schemaRef ds:uri="http://schemas.microsoft.com/office/infopath/2007/PartnerControls"/>
    <ds:schemaRef ds:uri="http://purl.org/dc/dcmitype/"/>
    <ds:schemaRef ds:uri="http://schemas.openxmlformats.org/package/2006/metadata/core-properties"/>
    <ds:schemaRef ds:uri="72e3a154-4955-46c3-9573-e9dec3e1f195"/>
    <ds:schemaRef ds:uri="http://www.w3.org/XML/1998/namespace"/>
  </ds:schemaRefs>
</ds:datastoreItem>
</file>

<file path=customXml/itemProps3.xml><?xml version="1.0" encoding="utf-8"?>
<ds:datastoreItem xmlns:ds="http://schemas.openxmlformats.org/officeDocument/2006/customXml" ds:itemID="{4FC96C87-1E7F-4C84-96EE-D73096841C84}">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72e3a154-4955-46c3-9573-e9dec3e1f195"/>
    <ds:schemaRef ds:uri="ec500478-62e0-46fc-87f1-cfa988e486b4"/>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49</vt:i4>
      </vt:variant>
      <vt:variant>
        <vt:lpstr>Named Ranges</vt:lpstr>
      </vt:variant>
      <vt:variant>
        <vt:i4>34</vt:i4>
      </vt:variant>
    </vt:vector>
  </HeadingPairs>
  <TitlesOfParts>
    <vt:vector size="83" baseType="lpstr">
      <vt:lpstr>Copyright</vt:lpstr>
      <vt:lpstr>Release</vt:lpstr>
      <vt:lpstr>Guide</vt:lpstr>
      <vt:lpstr>Control</vt:lpstr>
      <vt:lpstr>Agreement 3</vt:lpstr>
      <vt:lpstr>Planning</vt:lpstr>
      <vt:lpstr>StartupInfo</vt:lpstr>
      <vt:lpstr>Project&amp;Support</vt:lpstr>
      <vt:lpstr>Staff</vt:lpstr>
      <vt:lpstr>StaffGuide</vt:lpstr>
      <vt:lpstr>PvtProjectFTEs</vt:lpstr>
      <vt:lpstr>PvtStaffDistinct</vt:lpstr>
      <vt:lpstr>PvtPACheck</vt:lpstr>
      <vt:lpstr>P1PA-SS</vt:lpstr>
      <vt:lpstr>P1PA-RSG</vt:lpstr>
      <vt:lpstr>P1PA-R</vt:lpstr>
      <vt:lpstr>P2CA</vt:lpstr>
      <vt:lpstr>P3RF</vt:lpstr>
      <vt:lpstr>Schedule</vt:lpstr>
      <vt:lpstr>PvtCheck1</vt:lpstr>
      <vt:lpstr>Schedule2</vt:lpstr>
      <vt:lpstr>PvtEffort</vt:lpstr>
      <vt:lpstr>ScheduleISACA</vt:lpstr>
      <vt:lpstr>Schedule4-1P</vt:lpstr>
      <vt:lpstr>Schedule4-1A</vt:lpstr>
      <vt:lpstr>Schedule4-2</vt:lpstr>
      <vt:lpstr>ATM_PA</vt:lpstr>
      <vt:lpstr>C_Resource_Estimates</vt:lpstr>
      <vt:lpstr>C_Support</vt:lpstr>
      <vt:lpstr>C_Projects</vt:lpstr>
      <vt:lpstr>C_OUParticipants</vt:lpstr>
      <vt:lpstr>C_OUProjects</vt:lpstr>
      <vt:lpstr>C_OUPracticeAreas</vt:lpstr>
      <vt:lpstr>OULC</vt:lpstr>
      <vt:lpstr>PvtPartDistinct</vt:lpstr>
      <vt:lpstr>PvtPart_PA</vt:lpstr>
      <vt:lpstr>PvtPart_PrjSup</vt:lpstr>
      <vt:lpstr>PvtPart_Session</vt:lpstr>
      <vt:lpstr>pptxCertificate</vt:lpstr>
      <vt:lpstr>pptxCover</vt:lpstr>
      <vt:lpstr>pptxLink1</vt:lpstr>
      <vt:lpstr>pptxLink2</vt:lpstr>
      <vt:lpstr>pptxLink3</vt:lpstr>
      <vt:lpstr>pptxLink4</vt:lpstr>
      <vt:lpstr>pptxLink5</vt:lpstr>
      <vt:lpstr>pptxLink6</vt:lpstr>
      <vt:lpstr>pptxLink7</vt:lpstr>
      <vt:lpstr>Tables</vt:lpstr>
      <vt:lpstr>BASE</vt:lpstr>
      <vt:lpstr>ATM_PA!Print_Area</vt:lpstr>
      <vt:lpstr>'Project&amp;Support'!Print_Area</vt:lpstr>
      <vt:lpstr>PvtStaffDistinct!Print_Area</vt:lpstr>
      <vt:lpstr>Schedule2!Print_Area</vt:lpstr>
      <vt:lpstr>'Schedule4-1A'!Print_Area</vt:lpstr>
      <vt:lpstr>'Schedule4-1P'!Print_Area</vt:lpstr>
      <vt:lpstr>ScheduleISACA!Print_Area</vt:lpstr>
      <vt:lpstr>Staff!Print_Area</vt:lpstr>
      <vt:lpstr>StaffGuide!Print_Area</vt:lpstr>
      <vt:lpstr>StartupInfo!Print_Area</vt:lpstr>
      <vt:lpstr>Staff!Print_Titles</vt:lpstr>
      <vt:lpstr>StaffGuide!Print_Titles</vt:lpstr>
      <vt:lpstr>tbl_Affiliation</vt:lpstr>
      <vt:lpstr>tbl_AppraisalArtifacts</vt:lpstr>
      <vt:lpstr>tbl_appraisalrole</vt:lpstr>
      <vt:lpstr>tbl_COI</vt:lpstr>
      <vt:lpstr>tbl_CollectionApproach</vt:lpstr>
      <vt:lpstr>tbl_collectiontechnique</vt:lpstr>
      <vt:lpstr>tbl_constraints</vt:lpstr>
      <vt:lpstr>tbl_country</vt:lpstr>
      <vt:lpstr>tbl_equipment</vt:lpstr>
      <vt:lpstr>tbl_followon</vt:lpstr>
      <vt:lpstr>tbl_isic</vt:lpstr>
      <vt:lpstr>tbl_logisticalRequirement</vt:lpstr>
      <vt:lpstr>tbl_modelview</vt:lpstr>
      <vt:lpstr>tbl_PAcount</vt:lpstr>
      <vt:lpstr>tbl_projectNames</vt:lpstr>
      <vt:lpstr>tbl_reportingRelationship</vt:lpstr>
      <vt:lpstr>tbl_responsibleEntity</vt:lpstr>
      <vt:lpstr>tbl_riskCategory</vt:lpstr>
      <vt:lpstr>tbl_RolePAlookup</vt:lpstr>
      <vt:lpstr>tbl_sampling</vt:lpstr>
      <vt:lpstr>tbl_target</vt:lpstr>
      <vt:lpstr>tbl_timezone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User</dc:creator>
  <cp:lastModifiedBy>Pieter van Zyl</cp:lastModifiedBy>
  <cp:lastPrinted>2022-04-16T05:54:11Z</cp:lastPrinted>
  <dcterms:created xsi:type="dcterms:W3CDTF">2020-09-22T13:41:36Z</dcterms:created>
  <dcterms:modified xsi:type="dcterms:W3CDTF">2022-04-25T16:00:37Z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0x0101001F513751AC33344AB32CFD2920EFE649</vt:lpwstr>
  </property>
</Properties>
</file>