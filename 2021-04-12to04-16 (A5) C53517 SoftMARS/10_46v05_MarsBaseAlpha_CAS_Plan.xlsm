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2B4DC38F-C977-4A16-BFA0-6AA6BF7ECFE7}" xr6:coauthVersionLast="46" xr6:coauthVersionMax="46" xr10:uidLastSave="{00000000-0000-0000-0000-000000000000}"/>
  <bookViews>
    <workbookView xWindow="-110" yWindow="-110" windowWidth="19420" windowHeight="10420" firstSheet="1" activeTab="6"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28" r:id="rId51"/>
    <pivotCache cacheId="29" r:id="rId52"/>
    <pivotCache cacheId="30" r:id="rId53"/>
    <pivotCache cacheId="31" r:id="rId54"/>
    <pivotCache cacheId="32" r:id="rId55"/>
    <pivotCache cacheId="33"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G13" i="46"/>
  <c r="G12" i="46"/>
  <c r="G11" i="46"/>
  <c r="G9" i="46"/>
  <c r="E6" i="46"/>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<sst xmlns="http://schemas.openxmlformats.org/spreadsheetml/2006/main" count="4742" uniqueCount="1721">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</sst>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1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2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4" t="s">
        <v>1543</v>
      </c>
      <c r="D44" s="353" t="s">
        <v>1542</v>
      </c>
      <c r="H44" s="352" t="s">
        <v>1093</v>
      </c>
      <c r="I44" s="352"/>
      <c r="J44" s="352"/>
      <c r="K44" s="352"/>
      <c r="L44" s="352"/>
    </row>
    <row r="63" spans="2:19">
      <c r="B63" s="355" t="s">
        <v>1095</v>
      </c>
      <c r="C63" s="355"/>
      <c r="D63" s="356" t="s">
        <v>1096</v>
      </c>
      <c r="F63" s="357" t="s">
        <v>1098</v>
      </c>
      <c r="G63" s="357"/>
      <c r="H63" s="357"/>
      <c r="I63" s="357"/>
      <c r="K63" s="358" t="s">
        <v>1544</v>
      </c>
      <c r="L63" s="358"/>
      <c r="M63" s="358"/>
      <c r="N63" s="358"/>
      <c r="P63" s="360" t="s">
        <v>1094</v>
      </c>
      <c r="Q63" s="359"/>
      <c r="R63" s="359"/>
      <c r="S63" s="359"/>
    </row>
    <row r="83" spans="6:8">
      <c r="F83" s="365" t="s">
        <v>1558</v>
      </c>
      <c r="G83" s="365"/>
      <c r="H83" s="36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6" t="s">
        <v>1273</v>
      </c>
      <c r="B1" s="296"/>
    </row>
    <row r="2" spans="1:2" ht="43.5">
      <c r="A2" s="117" t="s">
        <v>1274</v>
      </c>
      <c r="B2" s="117" t="s">
        <v>1275</v>
      </c>
    </row>
    <row r="3" spans="1:2">
      <c r="B3" s="297" t="s">
        <v>1276</v>
      </c>
    </row>
    <row r="4" spans="1:2">
      <c r="B4" s="298" t="s">
        <v>1277</v>
      </c>
    </row>
    <row r="5" spans="1:2" ht="29">
      <c r="B5" s="299" t="s">
        <v>1278</v>
      </c>
    </row>
    <row r="7" spans="1:2" ht="72.5">
      <c r="A7" s="117" t="s">
        <v>1279</v>
      </c>
      <c r="B7" s="117" t="s">
        <v>1280</v>
      </c>
    </row>
    <row r="9" spans="1:2" ht="29">
      <c r="A9" s="117" t="s">
        <v>1281</v>
      </c>
      <c r="B9" s="117" t="s">
        <v>1282</v>
      </c>
    </row>
    <row r="11" spans="1:2">
      <c r="A11" s="296" t="s">
        <v>1283</v>
      </c>
      <c r="B11" s="296"/>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6"/>
      <c r="B2" s="104" t="s">
        <v>1673</v>
      </c>
      <c r="C2" s="104" t="s">
        <v>1674</v>
      </c>
      <c r="D2" s="104" t="s">
        <v>1326</v>
      </c>
      <c r="E2" s="104" t="s">
        <v>1327</v>
      </c>
      <c r="F2" s="104" t="s">
        <v>1336</v>
      </c>
      <c r="G2" s="104" t="s">
        <v>1328</v>
      </c>
      <c r="H2" s="104" t="s">
        <v>1210</v>
      </c>
      <c r="AD2" s="317"/>
      <c r="AE2" s="317"/>
      <c r="AF2" s="317"/>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7"/>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300"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300">
        <v>44174</v>
      </c>
    </row>
    <row r="23" spans="1:2">
      <c r="A23" s="2" t="s">
        <v>21</v>
      </c>
      <c r="B23" s="301" t="s">
        <v>1654</v>
      </c>
    </row>
    <row r="24" spans="1:2">
      <c r="A24" s="2" t="s">
        <v>22</v>
      </c>
      <c r="B24" s="301">
        <v>44302</v>
      </c>
    </row>
    <row r="25" spans="1:2">
      <c r="A25" s="2" t="s">
        <v>23</v>
      </c>
      <c r="B25" s="300">
        <v>44298</v>
      </c>
    </row>
    <row r="26" spans="1:2">
      <c r="A26" s="2" t="s">
        <v>24</v>
      </c>
      <c r="B26" s="301">
        <v>44302</v>
      </c>
    </row>
    <row r="27" spans="1:2">
      <c r="A27" s="5" t="s">
        <v>25</v>
      </c>
      <c r="B27" s="22"/>
    </row>
    <row r="28" spans="1:2">
      <c r="A28" s="2" t="s">
        <v>4</v>
      </c>
      <c r="B28" s="300" t="s">
        <v>1655</v>
      </c>
    </row>
    <row r="29" spans="1:2">
      <c r="A29" s="2" t="s">
        <v>7</v>
      </c>
      <c r="B29" s="300" t="s">
        <v>1656</v>
      </c>
    </row>
    <row r="30" spans="1:2">
      <c r="A30" s="2" t="s">
        <v>9</v>
      </c>
      <c r="B30" s="300" t="s">
        <v>1593</v>
      </c>
    </row>
    <row r="31" spans="1:2">
      <c r="A31" s="2" t="s">
        <v>10</v>
      </c>
      <c r="B31" s="27" t="s">
        <v>1657</v>
      </c>
    </row>
    <row r="32" spans="1:2">
      <c r="A32" s="5" t="s">
        <v>26</v>
      </c>
      <c r="B32" s="5"/>
    </row>
    <row r="33" spans="1:5">
      <c r="A33" s="2" t="s">
        <v>4</v>
      </c>
      <c r="B33" s="328" t="s">
        <v>1658</v>
      </c>
    </row>
    <row r="34" spans="1:5">
      <c r="A34" s="2" t="s">
        <v>5</v>
      </c>
      <c r="B34" s="415" t="str">
        <f>B16</f>
        <v>Software for Mars (Pty) Ltd</v>
      </c>
      <c r="C34" t="s">
        <v>1006</v>
      </c>
    </row>
    <row r="35" spans="1:5">
      <c r="A35" s="2" t="s">
        <v>9</v>
      </c>
      <c r="B35" s="329" t="s">
        <v>1594</v>
      </c>
    </row>
    <row r="36" spans="1:5">
      <c r="A36" s="2" t="s">
        <v>10</v>
      </c>
      <c r="B36" s="330" t="s">
        <v>1659</v>
      </c>
    </row>
    <row r="37" spans="1:5">
      <c r="A37" s="5" t="s">
        <v>27</v>
      </c>
      <c r="B37" s="5"/>
    </row>
    <row r="38" spans="1:5">
      <c r="A38" s="2" t="s">
        <v>4</v>
      </c>
      <c r="B38" s="415" t="s">
        <v>1660</v>
      </c>
    </row>
    <row r="39" spans="1:5">
      <c r="A39" s="2" t="s">
        <v>5</v>
      </c>
      <c r="B39" s="300" t="s">
        <v>1379</v>
      </c>
    </row>
    <row r="40" spans="1:5">
      <c r="A40" s="2" t="s">
        <v>7</v>
      </c>
      <c r="B40" s="300" t="s">
        <v>424</v>
      </c>
    </row>
    <row r="41" spans="1:5">
      <c r="A41" s="2" t="s">
        <v>9</v>
      </c>
      <c r="B41" s="301"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8"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41">
        <f>B35+B32</f>
        <v>44302</v>
      </c>
      <c r="C36" s="117" t="s">
        <v>1006</v>
      </c>
    </row>
    <row r="37" spans="1:4" s="117" customFormat="1" ht="15.5">
      <c r="A37" s="117" t="s">
        <v>1381</v>
      </c>
      <c r="B37" s="50">
        <v>14</v>
      </c>
    </row>
    <row r="38" spans="1:4" s="117" customFormat="1">
      <c r="A38" s="117" t="s">
        <v>1135</v>
      </c>
      <c r="B38" s="241">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40" t="s">
        <v>1238</v>
      </c>
      <c r="C43" s="120" t="s">
        <v>885</v>
      </c>
      <c r="D43" s="125" t="s">
        <v>1086</v>
      </c>
    </row>
    <row r="44" spans="1:4" s="120" customFormat="1" ht="43.5">
      <c r="A44" s="120" t="s">
        <v>595</v>
      </c>
      <c r="B44" s="89" t="s">
        <v>1382</v>
      </c>
      <c r="C44" s="120" t="s">
        <v>885</v>
      </c>
      <c r="D44" s="125" t="s">
        <v>1086</v>
      </c>
    </row>
    <row r="45" spans="1:4" s="120" customFormat="1">
      <c r="A45" s="120" t="s">
        <v>596</v>
      </c>
      <c r="B45" s="240"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40"/>
    </row>
    <row r="54" spans="1:3" s="50" customFormat="1" ht="46.5">
      <c r="A54" s="50" t="s">
        <v>1083</v>
      </c>
      <c r="B54" s="422"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abSelected="1" zoomScale="85" zoomScaleNormal="85" workbookViewId="0">
      <selection activeCell="D9" sqref="D9"/>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3"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9"/>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6" t="s">
        <v>1668</v>
      </c>
      <c r="C23" s="308"/>
    </row>
    <row r="24" spans="1:3" ht="31">
      <c r="A24" s="50" t="s">
        <v>863</v>
      </c>
      <c r="B24" s="54" t="s">
        <v>347</v>
      </c>
      <c r="C24" s="49" t="s">
        <v>384</v>
      </c>
    </row>
    <row r="25" spans="1:3">
      <c r="A25" s="50" t="s">
        <v>864</v>
      </c>
      <c r="B25" s="50">
        <v>2481632</v>
      </c>
    </row>
    <row r="26" spans="1:3" ht="46.5">
      <c r="A26" s="50" t="s">
        <v>980</v>
      </c>
      <c r="B26" s="331"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2" t="s">
        <v>1189</v>
      </c>
      <c r="AC1" s="425" t="s">
        <v>1190</v>
      </c>
      <c r="AD1" s="425"/>
      <c r="AE1" s="425"/>
      <c r="AF1" s="425"/>
      <c r="AG1" s="425"/>
      <c r="AH1" s="425"/>
      <c r="AI1" s="425"/>
    </row>
    <row r="2" spans="1:35" s="404" customFormat="1" ht="68">
      <c r="A2" s="402" t="s">
        <v>881</v>
      </c>
      <c r="B2" s="402" t="s">
        <v>13</v>
      </c>
      <c r="C2" s="402" t="s">
        <v>382</v>
      </c>
      <c r="D2" s="402" t="s">
        <v>882</v>
      </c>
      <c r="E2" s="402" t="s">
        <v>1150</v>
      </c>
      <c r="F2" s="403" t="s">
        <v>1151</v>
      </c>
      <c r="G2" s="403" t="s">
        <v>1152</v>
      </c>
      <c r="H2" s="402" t="s">
        <v>1568</v>
      </c>
      <c r="I2" s="263" t="s">
        <v>1571</v>
      </c>
      <c r="J2" s="264" t="s">
        <v>883</v>
      </c>
      <c r="K2" s="264" t="s">
        <v>884</v>
      </c>
      <c r="L2" s="264" t="s">
        <v>836</v>
      </c>
      <c r="M2" s="264" t="s">
        <v>885</v>
      </c>
      <c r="N2" s="264" t="s">
        <v>886</v>
      </c>
      <c r="O2" s="264" t="s">
        <v>887</v>
      </c>
      <c r="P2" s="264" t="s">
        <v>888</v>
      </c>
      <c r="Q2" s="264" t="s">
        <v>889</v>
      </c>
      <c r="R2" s="264" t="s">
        <v>890</v>
      </c>
      <c r="S2" s="264" t="s">
        <v>891</v>
      </c>
      <c r="T2" s="264" t="s">
        <v>753</v>
      </c>
      <c r="U2" s="264" t="s">
        <v>892</v>
      </c>
      <c r="V2" s="264" t="s">
        <v>893</v>
      </c>
      <c r="W2" s="264" t="s">
        <v>894</v>
      </c>
      <c r="X2" s="264" t="s">
        <v>895</v>
      </c>
      <c r="Y2" s="264" t="s">
        <v>751</v>
      </c>
      <c r="Z2" s="264" t="s">
        <v>896</v>
      </c>
      <c r="AA2" s="264" t="s">
        <v>897</v>
      </c>
      <c r="AB2" s="263"/>
      <c r="AC2" s="265" t="s">
        <v>1191</v>
      </c>
      <c r="AD2" s="265" t="s">
        <v>1192</v>
      </c>
      <c r="AE2" s="265" t="s">
        <v>1193</v>
      </c>
      <c r="AF2" s="265" t="s">
        <v>1194</v>
      </c>
      <c r="AG2" s="265" t="s">
        <v>1195</v>
      </c>
      <c r="AH2" s="265" t="s">
        <v>1160</v>
      </c>
      <c r="AI2" s="266" t="s">
        <v>1196</v>
      </c>
    </row>
    <row r="3" spans="1:35" s="267" customFormat="1" ht="13">
      <c r="A3" s="268" t="s">
        <v>898</v>
      </c>
      <c r="B3" s="267" t="s">
        <v>1602</v>
      </c>
      <c r="C3" s="268" t="s">
        <v>1601</v>
      </c>
      <c r="D3" s="268" t="s">
        <v>1153</v>
      </c>
      <c r="E3" s="268" t="s">
        <v>1394</v>
      </c>
      <c r="F3" s="269">
        <v>44021</v>
      </c>
      <c r="G3" s="269">
        <v>44260</v>
      </c>
      <c r="H3" s="268" t="s">
        <v>1396</v>
      </c>
      <c r="I3" s="270" t="s">
        <v>1569</v>
      </c>
      <c r="J3" s="271" t="s">
        <v>1104</v>
      </c>
      <c r="K3" s="271" t="s">
        <v>1104</v>
      </c>
      <c r="L3" s="271"/>
      <c r="M3" s="271"/>
      <c r="N3" s="271"/>
      <c r="O3" s="271"/>
      <c r="P3" s="271"/>
      <c r="Q3" s="271"/>
      <c r="R3" s="271"/>
      <c r="S3" s="271"/>
      <c r="T3" s="271"/>
      <c r="U3" s="271"/>
      <c r="V3" s="271"/>
      <c r="W3" s="271"/>
      <c r="X3" s="271"/>
      <c r="Y3" s="271"/>
      <c r="Z3" s="271"/>
      <c r="AA3" s="271"/>
      <c r="AB3" s="270">
        <v>10</v>
      </c>
      <c r="AC3" s="272" t="s">
        <v>1340</v>
      </c>
      <c r="AD3" s="272"/>
      <c r="AE3" s="272"/>
      <c r="AF3" s="272"/>
      <c r="AG3" s="272"/>
      <c r="AH3" s="272"/>
      <c r="AI3" s="273"/>
    </row>
    <row r="4" spans="1:35" s="267" customFormat="1" ht="13">
      <c r="A4" s="268" t="s">
        <v>899</v>
      </c>
      <c r="B4" s="267" t="s">
        <v>1603</v>
      </c>
      <c r="C4" s="268" t="s">
        <v>1604</v>
      </c>
      <c r="D4" s="268" t="s">
        <v>1153</v>
      </c>
      <c r="E4" s="302" t="s">
        <v>1394</v>
      </c>
      <c r="F4" s="274">
        <v>44086</v>
      </c>
      <c r="G4" s="274">
        <v>44258</v>
      </c>
      <c r="H4" s="268" t="s">
        <v>1396</v>
      </c>
      <c r="I4" s="270" t="s">
        <v>1569</v>
      </c>
      <c r="J4" s="271"/>
      <c r="K4" s="271"/>
      <c r="L4" s="271"/>
      <c r="M4" s="271" t="s">
        <v>1104</v>
      </c>
      <c r="N4" s="271" t="s">
        <v>1104</v>
      </c>
      <c r="O4" s="271" t="s">
        <v>1104</v>
      </c>
      <c r="P4" s="271"/>
      <c r="Q4" s="271"/>
      <c r="R4" s="271"/>
      <c r="S4" s="271"/>
      <c r="T4" s="271"/>
      <c r="U4" s="271"/>
      <c r="V4" s="271"/>
      <c r="W4" s="271"/>
      <c r="X4" s="271"/>
      <c r="Y4" s="271"/>
      <c r="Z4" s="271"/>
      <c r="AA4" s="271"/>
      <c r="AB4" s="270">
        <v>11</v>
      </c>
      <c r="AC4" s="272" t="s">
        <v>1340</v>
      </c>
      <c r="AD4" s="272"/>
      <c r="AE4" s="272"/>
      <c r="AF4" s="272"/>
      <c r="AG4" s="272"/>
      <c r="AH4" s="272"/>
      <c r="AI4" s="273"/>
    </row>
    <row r="5" spans="1:35" s="267" customFormat="1" ht="13">
      <c r="A5" s="268" t="s">
        <v>900</v>
      </c>
      <c r="B5" s="267" t="s">
        <v>1605</v>
      </c>
      <c r="C5" s="268" t="s">
        <v>1606</v>
      </c>
      <c r="D5" s="268" t="s">
        <v>1153</v>
      </c>
      <c r="E5" s="302" t="s">
        <v>1394</v>
      </c>
      <c r="F5" s="274">
        <v>44062</v>
      </c>
      <c r="G5" s="274">
        <v>44247</v>
      </c>
      <c r="H5" s="268" t="s">
        <v>1396</v>
      </c>
      <c r="I5" s="270" t="s">
        <v>1569</v>
      </c>
      <c r="J5" s="271"/>
      <c r="K5" s="271"/>
      <c r="L5" s="271"/>
      <c r="M5" s="271"/>
      <c r="N5" s="271"/>
      <c r="O5" s="271"/>
      <c r="P5" s="271"/>
      <c r="Q5" s="271"/>
      <c r="R5" s="271"/>
      <c r="S5" s="271"/>
      <c r="T5" s="271"/>
      <c r="U5" s="271" t="s">
        <v>1104</v>
      </c>
      <c r="V5" s="271" t="s">
        <v>1104</v>
      </c>
      <c r="W5" s="271" t="s">
        <v>1104</v>
      </c>
      <c r="X5" s="271"/>
      <c r="Y5" s="271"/>
      <c r="Z5" s="271"/>
      <c r="AA5" s="271"/>
      <c r="AB5" s="270">
        <v>9</v>
      </c>
      <c r="AC5" s="272"/>
      <c r="AD5" s="272" t="s">
        <v>1340</v>
      </c>
      <c r="AE5" s="272"/>
      <c r="AF5" s="272"/>
      <c r="AG5" s="272"/>
      <c r="AH5" s="272"/>
      <c r="AI5" s="273"/>
    </row>
    <row r="6" spans="1:35" s="267" customFormat="1" ht="13">
      <c r="A6" s="268" t="s">
        <v>901</v>
      </c>
      <c r="B6" s="267" t="s">
        <v>1607</v>
      </c>
      <c r="C6" s="274" t="s">
        <v>1608</v>
      </c>
      <c r="D6" s="268" t="s">
        <v>1153</v>
      </c>
      <c r="E6" s="302" t="s">
        <v>1394</v>
      </c>
      <c r="F6" s="274" t="s">
        <v>1395</v>
      </c>
      <c r="G6" s="274">
        <v>44265</v>
      </c>
      <c r="H6" s="302" t="s">
        <v>1396</v>
      </c>
      <c r="I6" s="270" t="s">
        <v>1569</v>
      </c>
      <c r="J6" s="271"/>
      <c r="K6" s="271"/>
      <c r="L6" s="271"/>
      <c r="M6" s="271"/>
      <c r="N6" s="271"/>
      <c r="O6" s="271"/>
      <c r="P6" s="271"/>
      <c r="Q6" s="271"/>
      <c r="R6" s="271"/>
      <c r="S6" s="271" t="s">
        <v>1104</v>
      </c>
      <c r="T6" s="271"/>
      <c r="U6" s="271"/>
      <c r="V6" s="271"/>
      <c r="W6" s="271"/>
      <c r="X6" s="271"/>
      <c r="Y6" s="271"/>
      <c r="Z6" s="271"/>
      <c r="AA6" s="271"/>
      <c r="AB6" s="270">
        <v>7</v>
      </c>
      <c r="AC6" s="272"/>
      <c r="AD6" s="272" t="s">
        <v>411</v>
      </c>
      <c r="AE6" s="272"/>
      <c r="AF6" s="272"/>
      <c r="AG6" s="272"/>
      <c r="AH6" s="272"/>
      <c r="AI6" s="273"/>
    </row>
    <row r="7" spans="1:35" s="267" customFormat="1" ht="26">
      <c r="A7" s="276" t="s">
        <v>903</v>
      </c>
      <c r="B7" s="276" t="s">
        <v>1390</v>
      </c>
      <c r="C7" s="276" t="s">
        <v>1609</v>
      </c>
      <c r="D7" s="276" t="s">
        <v>1154</v>
      </c>
      <c r="E7" s="277"/>
      <c r="F7" s="278"/>
      <c r="G7" s="278"/>
      <c r="H7" s="302" t="s">
        <v>1396</v>
      </c>
      <c r="I7" s="271" t="s">
        <v>952</v>
      </c>
      <c r="J7" s="271"/>
      <c r="K7" s="271"/>
      <c r="L7" s="271"/>
      <c r="M7" s="271"/>
      <c r="N7" s="271"/>
      <c r="O7" s="271"/>
      <c r="P7" s="271"/>
      <c r="Q7" s="271"/>
      <c r="R7" s="271"/>
      <c r="S7" s="271"/>
      <c r="T7" s="271"/>
      <c r="U7" s="271"/>
      <c r="V7" s="271"/>
      <c r="W7" s="271"/>
      <c r="X7" s="271"/>
      <c r="Y7" s="271" t="s">
        <v>1174</v>
      </c>
      <c r="Z7" s="271"/>
      <c r="AA7" s="271"/>
      <c r="AB7" s="275">
        <v>1</v>
      </c>
      <c r="AC7" s="272"/>
      <c r="AD7" s="272"/>
      <c r="AE7" s="272" t="s">
        <v>411</v>
      </c>
      <c r="AF7" s="272"/>
      <c r="AG7" s="272"/>
      <c r="AH7" s="272"/>
      <c r="AI7" s="273"/>
    </row>
    <row r="8" spans="1:35" s="267" customFormat="1" ht="65">
      <c r="A8" s="276" t="s">
        <v>904</v>
      </c>
      <c r="B8" s="276" t="s">
        <v>1391</v>
      </c>
      <c r="C8" s="276" t="s">
        <v>1610</v>
      </c>
      <c r="D8" s="276" t="s">
        <v>1154</v>
      </c>
      <c r="E8" s="277"/>
      <c r="F8" s="278"/>
      <c r="G8" s="278"/>
      <c r="H8" s="302" t="s">
        <v>1396</v>
      </c>
      <c r="I8" s="271" t="s">
        <v>952</v>
      </c>
      <c r="J8" s="271"/>
      <c r="K8" s="271"/>
      <c r="L8" s="271"/>
      <c r="M8" s="271"/>
      <c r="N8" s="271"/>
      <c r="O8" s="271"/>
      <c r="P8" s="271" t="s">
        <v>1174</v>
      </c>
      <c r="Q8" s="271" t="s">
        <v>1174</v>
      </c>
      <c r="R8" s="271" t="s">
        <v>1174</v>
      </c>
      <c r="S8" s="271"/>
      <c r="T8" s="271"/>
      <c r="U8" s="271"/>
      <c r="V8" s="271"/>
      <c r="W8" s="271"/>
      <c r="X8" s="271" t="s">
        <v>1174</v>
      </c>
      <c r="Y8" s="271"/>
      <c r="Z8" s="271" t="s">
        <v>1174</v>
      </c>
      <c r="AA8" s="271"/>
      <c r="AB8" s="275">
        <v>1</v>
      </c>
      <c r="AC8" s="272"/>
      <c r="AD8" s="272"/>
      <c r="AE8" s="272"/>
      <c r="AF8" s="272" t="s">
        <v>411</v>
      </c>
      <c r="AG8" s="272"/>
      <c r="AH8" s="272"/>
      <c r="AI8" s="273"/>
    </row>
    <row r="9" spans="1:35" s="267" customFormat="1" ht="39">
      <c r="A9" s="276" t="s">
        <v>905</v>
      </c>
      <c r="B9" s="276" t="s">
        <v>1392</v>
      </c>
      <c r="C9" s="276" t="s">
        <v>1611</v>
      </c>
      <c r="D9" s="276" t="s">
        <v>1154</v>
      </c>
      <c r="E9" s="277"/>
      <c r="F9" s="278"/>
      <c r="G9" s="278"/>
      <c r="H9" s="302" t="s">
        <v>1396</v>
      </c>
      <c r="I9" s="271" t="s">
        <v>952</v>
      </c>
      <c r="J9" s="271"/>
      <c r="K9" s="271"/>
      <c r="L9" s="271"/>
      <c r="M9" s="271"/>
      <c r="N9" s="271"/>
      <c r="O9" s="271"/>
      <c r="P9" s="271"/>
      <c r="Q9" s="271"/>
      <c r="R9" s="271"/>
      <c r="S9" s="271"/>
      <c r="T9" s="271" t="s">
        <v>1174</v>
      </c>
      <c r="U9" s="271"/>
      <c r="V9" s="271"/>
      <c r="W9" s="271"/>
      <c r="X9" s="271"/>
      <c r="Y9" s="271"/>
      <c r="Z9" s="271"/>
      <c r="AA9" s="271"/>
      <c r="AB9" s="275">
        <v>1</v>
      </c>
      <c r="AC9" s="272"/>
      <c r="AD9" s="272"/>
      <c r="AE9" s="272"/>
      <c r="AF9" s="272"/>
      <c r="AG9" s="272" t="s">
        <v>411</v>
      </c>
      <c r="AH9" s="272"/>
      <c r="AI9" s="273"/>
    </row>
    <row r="10" spans="1:35" s="267" customFormat="1" ht="26">
      <c r="A10" s="276" t="s">
        <v>906</v>
      </c>
      <c r="B10" s="276" t="s">
        <v>1393</v>
      </c>
      <c r="C10" s="276" t="s">
        <v>1612</v>
      </c>
      <c r="D10" s="276" t="s">
        <v>1154</v>
      </c>
      <c r="E10" s="277"/>
      <c r="F10" s="278"/>
      <c r="G10" s="278"/>
      <c r="H10" s="302" t="s">
        <v>1396</v>
      </c>
      <c r="I10" s="271" t="s">
        <v>952</v>
      </c>
      <c r="J10" s="271"/>
      <c r="K10" s="271"/>
      <c r="L10" s="271" t="s">
        <v>1174</v>
      </c>
      <c r="M10" s="271"/>
      <c r="N10" s="271"/>
      <c r="O10" s="271"/>
      <c r="P10" s="271"/>
      <c r="Q10" s="271"/>
      <c r="R10" s="271"/>
      <c r="S10" s="271"/>
      <c r="T10" s="271"/>
      <c r="U10" s="271"/>
      <c r="V10" s="271"/>
      <c r="W10" s="271"/>
      <c r="X10" s="271"/>
      <c r="Y10" s="271"/>
      <c r="Z10" s="271"/>
      <c r="AA10" s="271"/>
      <c r="AB10" s="275">
        <v>1</v>
      </c>
      <c r="AC10" s="272"/>
      <c r="AD10" s="272"/>
      <c r="AE10" s="272"/>
      <c r="AF10" s="272"/>
      <c r="AG10" s="272"/>
      <c r="AH10" s="272" t="s">
        <v>411</v>
      </c>
      <c r="AI10" s="273"/>
    </row>
    <row r="23" spans="3:3">
      <c r="C23" s="423"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4" t="s">
        <v>1022</v>
      </c>
      <c r="B1" s="305"/>
      <c r="C1" s="306"/>
      <c r="D1" s="307"/>
      <c r="E1" s="315"/>
      <c r="F1" s="262">
        <f t="shared" ref="F1:Y1" si="0">COUNTIF(F3:F1048576,"=x")</f>
        <v>5</v>
      </c>
      <c r="G1" s="262">
        <f t="shared" si="0"/>
        <v>1</v>
      </c>
      <c r="H1" s="262">
        <f t="shared" si="0"/>
        <v>5</v>
      </c>
      <c r="I1" s="262">
        <f t="shared" si="0"/>
        <v>4</v>
      </c>
      <c r="J1" s="262">
        <f t="shared" si="0"/>
        <v>0</v>
      </c>
      <c r="K1" s="262">
        <f t="shared" si="0"/>
        <v>0</v>
      </c>
      <c r="L1" s="262">
        <f t="shared" si="0"/>
        <v>1</v>
      </c>
      <c r="M1" s="262">
        <f t="shared" si="0"/>
        <v>4</v>
      </c>
      <c r="N1" s="262">
        <f t="shared" si="0"/>
        <v>1</v>
      </c>
      <c r="O1" s="262">
        <f t="shared" si="0"/>
        <v>20</v>
      </c>
      <c r="P1" s="262">
        <f t="shared" si="0"/>
        <v>4</v>
      </c>
      <c r="Q1" s="262">
        <f t="shared" si="0"/>
        <v>1</v>
      </c>
      <c r="R1" s="262">
        <f t="shared" si="0"/>
        <v>1</v>
      </c>
      <c r="S1" s="262">
        <f t="shared" si="0"/>
        <v>1</v>
      </c>
      <c r="T1" s="262">
        <f t="shared" si="0"/>
        <v>4</v>
      </c>
      <c r="U1" s="262">
        <f t="shared" si="0"/>
        <v>4</v>
      </c>
      <c r="V1" s="262">
        <f t="shared" si="0"/>
        <v>4</v>
      </c>
      <c r="W1" s="262">
        <f t="shared" si="0"/>
        <v>8</v>
      </c>
      <c r="X1" s="262">
        <f t="shared" si="0"/>
        <v>8</v>
      </c>
      <c r="Y1" s="262">
        <f t="shared" si="0"/>
        <v>0</v>
      </c>
    </row>
    <row r="2" spans="1:26" s="60" customFormat="1">
      <c r="A2" s="292" t="s">
        <v>881</v>
      </c>
      <c r="B2" s="292" t="s">
        <v>907</v>
      </c>
      <c r="C2" s="292" t="s">
        <v>13</v>
      </c>
      <c r="D2" s="292" t="s">
        <v>908</v>
      </c>
      <c r="E2" s="292" t="s">
        <v>909</v>
      </c>
      <c r="F2" s="293" t="s">
        <v>895</v>
      </c>
      <c r="G2" s="293" t="s">
        <v>751</v>
      </c>
      <c r="H2" s="293" t="s">
        <v>896</v>
      </c>
      <c r="I2" s="293" t="s">
        <v>892</v>
      </c>
      <c r="J2" s="293" t="s">
        <v>910</v>
      </c>
      <c r="K2" s="293" t="s">
        <v>911</v>
      </c>
      <c r="L2" s="293" t="s">
        <v>888</v>
      </c>
      <c r="M2" s="293" t="s">
        <v>893</v>
      </c>
      <c r="N2" s="293" t="s">
        <v>753</v>
      </c>
      <c r="O2" s="293" t="s">
        <v>885</v>
      </c>
      <c r="P2" s="293" t="s">
        <v>894</v>
      </c>
      <c r="Q2" s="293" t="s">
        <v>889</v>
      </c>
      <c r="R2" s="293" t="s">
        <v>890</v>
      </c>
      <c r="S2" s="293" t="s">
        <v>836</v>
      </c>
      <c r="T2" s="293" t="s">
        <v>883</v>
      </c>
      <c r="U2" s="293" t="s">
        <v>886</v>
      </c>
      <c r="V2" s="293" t="s">
        <v>891</v>
      </c>
      <c r="W2" s="293" t="s">
        <v>884</v>
      </c>
      <c r="X2" s="293" t="s">
        <v>887</v>
      </c>
      <c r="Y2" s="293" t="s">
        <v>897</v>
      </c>
    </row>
    <row r="3" spans="1:26" s="312" customFormat="1">
      <c r="A3" s="325" t="s">
        <v>898</v>
      </c>
      <c r="B3" s="417" t="str">
        <f t="shared" ref="B3:B26" si="1">VLOOKUP(A3,tbl_projectNames,2,FALSE)</f>
        <v>P1-Falcon9</v>
      </c>
      <c r="C3" s="325" t="s">
        <v>1613</v>
      </c>
      <c r="D3" s="324" t="s">
        <v>912</v>
      </c>
      <c r="E3" s="332" t="str">
        <f t="shared" ref="E3:E26" si="2">_xlfn.CONCAT(D3," function in OU")</f>
        <v>Analyst function in OU</v>
      </c>
      <c r="F3" s="294"/>
      <c r="G3" s="294"/>
      <c r="H3" s="294"/>
      <c r="I3" s="294"/>
      <c r="J3" s="294"/>
      <c r="K3" s="294"/>
      <c r="L3" s="294"/>
      <c r="M3" s="294"/>
      <c r="N3" s="294"/>
      <c r="O3" s="294" t="s">
        <v>411</v>
      </c>
      <c r="P3" s="294"/>
      <c r="Q3" s="294"/>
      <c r="R3" s="294"/>
      <c r="S3" s="294"/>
      <c r="T3" s="294"/>
      <c r="U3" s="294" t="s">
        <v>411</v>
      </c>
      <c r="V3" s="294"/>
      <c r="W3" s="294"/>
      <c r="X3" s="294"/>
      <c r="Y3" s="294"/>
      <c r="Z3" s="63"/>
    </row>
    <row r="4" spans="1:26" s="312" customFormat="1">
      <c r="A4" s="325" t="s">
        <v>898</v>
      </c>
      <c r="B4" s="417" t="str">
        <f t="shared" si="1"/>
        <v>P1-Falcon9</v>
      </c>
      <c r="C4" s="325" t="s">
        <v>1614</v>
      </c>
      <c r="D4" s="324" t="s">
        <v>913</v>
      </c>
      <c r="E4" s="332" t="str">
        <f t="shared" si="2"/>
        <v>Designer function in OU</v>
      </c>
      <c r="F4" s="294"/>
      <c r="G4" s="294"/>
      <c r="H4" s="294"/>
      <c r="I4" s="294"/>
      <c r="J4" s="294"/>
      <c r="K4" s="294"/>
      <c r="L4" s="294"/>
      <c r="M4" s="294"/>
      <c r="N4" s="294"/>
      <c r="O4" s="294" t="s">
        <v>411</v>
      </c>
      <c r="P4" s="294"/>
      <c r="Q4" s="294"/>
      <c r="R4" s="294"/>
      <c r="S4" s="294"/>
      <c r="T4" s="294"/>
      <c r="U4" s="294"/>
      <c r="V4" s="294"/>
      <c r="W4" s="294" t="s">
        <v>411</v>
      </c>
      <c r="X4" s="294"/>
      <c r="Y4" s="294"/>
      <c r="Z4" s="63"/>
    </row>
    <row r="5" spans="1:26" s="312" customFormat="1">
      <c r="A5" s="325" t="s">
        <v>898</v>
      </c>
      <c r="B5" s="417" t="str">
        <f t="shared" si="1"/>
        <v>P1-Falcon9</v>
      </c>
      <c r="C5" s="325" t="s">
        <v>1615</v>
      </c>
      <c r="D5" s="324" t="s">
        <v>1158</v>
      </c>
      <c r="E5" s="332" t="str">
        <f t="shared" si="2"/>
        <v>Developer function in OU</v>
      </c>
      <c r="F5" s="294"/>
      <c r="G5" s="294"/>
      <c r="H5" s="294"/>
      <c r="I5" s="294"/>
      <c r="J5" s="294"/>
      <c r="K5" s="294"/>
      <c r="L5" s="294"/>
      <c r="M5" s="294"/>
      <c r="N5" s="294"/>
      <c r="O5" s="294" t="s">
        <v>411</v>
      </c>
      <c r="P5" s="294"/>
      <c r="Q5" s="294"/>
      <c r="R5" s="294"/>
      <c r="S5" s="294"/>
      <c r="T5" s="294" t="s">
        <v>411</v>
      </c>
      <c r="U5" s="294"/>
      <c r="V5" s="294"/>
      <c r="W5" s="294" t="s">
        <v>411</v>
      </c>
      <c r="X5" s="294" t="s">
        <v>411</v>
      </c>
      <c r="Y5" s="294"/>
      <c r="Z5" s="63"/>
    </row>
    <row r="6" spans="1:26" s="312" customFormat="1">
      <c r="A6" s="325" t="s">
        <v>898</v>
      </c>
      <c r="B6" s="417" t="str">
        <f t="shared" si="1"/>
        <v>P1-Falcon9</v>
      </c>
      <c r="C6" s="325" t="s">
        <v>1616</v>
      </c>
      <c r="D6" s="324" t="s">
        <v>1312</v>
      </c>
      <c r="E6" s="332" t="str">
        <f t="shared" si="2"/>
        <v>Tester function in OU</v>
      </c>
      <c r="F6" s="294"/>
      <c r="G6" s="294"/>
      <c r="H6" s="294"/>
      <c r="I6" s="294"/>
      <c r="J6" s="294"/>
      <c r="K6" s="294"/>
      <c r="L6" s="294"/>
      <c r="M6" s="294"/>
      <c r="N6" s="294"/>
      <c r="O6" s="294" t="s">
        <v>411</v>
      </c>
      <c r="P6" s="294"/>
      <c r="Q6" s="294"/>
      <c r="R6" s="294"/>
      <c r="S6" s="294"/>
      <c r="T6" s="294"/>
      <c r="U6" s="294"/>
      <c r="V6" s="294"/>
      <c r="W6" s="294"/>
      <c r="X6" s="294" t="s">
        <v>411</v>
      </c>
      <c r="Y6" s="294"/>
      <c r="Z6" s="63"/>
    </row>
    <row r="7" spans="1:26" s="312" customFormat="1">
      <c r="A7" s="325" t="s">
        <v>898</v>
      </c>
      <c r="B7" s="417" t="str">
        <f t="shared" si="1"/>
        <v>P1-Falcon9</v>
      </c>
      <c r="C7" s="325" t="s">
        <v>1617</v>
      </c>
      <c r="D7" s="325" t="s">
        <v>1424</v>
      </c>
      <c r="E7" s="332" t="str">
        <f t="shared" si="2"/>
        <v>Project Manager function in OU</v>
      </c>
      <c r="F7" s="294" t="s">
        <v>411</v>
      </c>
      <c r="G7" s="294"/>
      <c r="H7" s="294" t="s">
        <v>411</v>
      </c>
      <c r="I7" s="294" t="s">
        <v>411</v>
      </c>
      <c r="J7" s="294"/>
      <c r="K7" s="294"/>
      <c r="L7" s="294"/>
      <c r="M7" s="294" t="s">
        <v>411</v>
      </c>
      <c r="N7" s="294"/>
      <c r="O7" s="294" t="s">
        <v>411</v>
      </c>
      <c r="P7" s="294" t="s">
        <v>411</v>
      </c>
      <c r="Q7" s="294"/>
      <c r="R7" s="294"/>
      <c r="S7" s="294"/>
      <c r="T7" s="294"/>
      <c r="U7" s="294"/>
      <c r="V7" s="294" t="s">
        <v>411</v>
      </c>
      <c r="W7" s="294"/>
      <c r="X7" s="294"/>
      <c r="Y7" s="294"/>
      <c r="Z7" s="63"/>
    </row>
    <row r="8" spans="1:26" s="312" customFormat="1">
      <c r="A8" s="325" t="s">
        <v>899</v>
      </c>
      <c r="B8" s="417" t="str">
        <f t="shared" si="1"/>
        <v>P2-Raptor</v>
      </c>
      <c r="C8" s="325" t="s">
        <v>1618</v>
      </c>
      <c r="D8" s="325" t="s">
        <v>912</v>
      </c>
      <c r="E8" s="332" t="str">
        <f t="shared" si="2"/>
        <v>Analyst function in OU</v>
      </c>
      <c r="F8" s="294"/>
      <c r="G8" s="294"/>
      <c r="H8" s="294"/>
      <c r="I8" s="294"/>
      <c r="J8" s="294"/>
      <c r="K8" s="294"/>
      <c r="L8" s="294"/>
      <c r="M8" s="294"/>
      <c r="N8" s="294"/>
      <c r="O8" s="294" t="s">
        <v>411</v>
      </c>
      <c r="P8" s="294"/>
      <c r="Q8" s="294"/>
      <c r="R8" s="294"/>
      <c r="S8" s="294"/>
      <c r="T8" s="294"/>
      <c r="U8" s="294" t="s">
        <v>411</v>
      </c>
      <c r="V8" s="294"/>
      <c r="W8" s="294"/>
      <c r="X8" s="294"/>
      <c r="Y8" s="294"/>
      <c r="Z8" s="63"/>
    </row>
    <row r="9" spans="1:26" s="312" customFormat="1">
      <c r="A9" s="325" t="s">
        <v>899</v>
      </c>
      <c r="B9" s="417" t="str">
        <f t="shared" si="1"/>
        <v>P2-Raptor</v>
      </c>
      <c r="C9" s="325" t="s">
        <v>1619</v>
      </c>
      <c r="D9" s="325" t="s">
        <v>913</v>
      </c>
      <c r="E9" s="332" t="str">
        <f t="shared" si="2"/>
        <v>Designer function in OU</v>
      </c>
      <c r="F9" s="294"/>
      <c r="G9" s="294"/>
      <c r="H9" s="294"/>
      <c r="I9" s="294"/>
      <c r="J9" s="294"/>
      <c r="K9" s="294"/>
      <c r="L9" s="294"/>
      <c r="M9" s="294"/>
      <c r="N9" s="294"/>
      <c r="O9" s="294" t="s">
        <v>411</v>
      </c>
      <c r="P9" s="294"/>
      <c r="Q9" s="294"/>
      <c r="R9" s="294"/>
      <c r="S9" s="294"/>
      <c r="T9" s="294"/>
      <c r="U9" s="294"/>
      <c r="V9" s="294"/>
      <c r="W9" s="294" t="s">
        <v>411</v>
      </c>
      <c r="X9" s="294"/>
      <c r="Y9" s="294"/>
      <c r="Z9" s="63"/>
    </row>
    <row r="10" spans="1:26" s="312" customFormat="1">
      <c r="A10" s="323" t="s">
        <v>899</v>
      </c>
      <c r="B10" s="417" t="str">
        <f t="shared" si="1"/>
        <v>P2-Raptor</v>
      </c>
      <c r="C10" s="325" t="s">
        <v>1620</v>
      </c>
      <c r="D10" s="323" t="s">
        <v>1158</v>
      </c>
      <c r="E10" s="332" t="str">
        <f t="shared" si="2"/>
        <v>Developer function in OU</v>
      </c>
      <c r="F10" s="294"/>
      <c r="G10" s="294"/>
      <c r="H10" s="294"/>
      <c r="I10" s="294"/>
      <c r="J10" s="294"/>
      <c r="K10" s="294"/>
      <c r="L10" s="294"/>
      <c r="M10" s="294"/>
      <c r="N10" s="294"/>
      <c r="O10" s="294" t="s">
        <v>411</v>
      </c>
      <c r="P10" s="294"/>
      <c r="Q10" s="294"/>
      <c r="R10" s="294"/>
      <c r="S10" s="294"/>
      <c r="T10" s="294" t="s">
        <v>411</v>
      </c>
      <c r="U10" s="294"/>
      <c r="V10" s="294"/>
      <c r="W10" s="294" t="s">
        <v>411</v>
      </c>
      <c r="X10" s="294" t="s">
        <v>411</v>
      </c>
      <c r="Y10" s="294"/>
      <c r="Z10" s="63"/>
    </row>
    <row r="11" spans="1:26" s="312" customFormat="1">
      <c r="A11" s="325" t="s">
        <v>899</v>
      </c>
      <c r="B11" s="417" t="str">
        <f t="shared" si="1"/>
        <v>P2-Raptor</v>
      </c>
      <c r="C11" s="325" t="s">
        <v>1621</v>
      </c>
      <c r="D11" s="325" t="s">
        <v>1312</v>
      </c>
      <c r="E11" s="332" t="str">
        <f t="shared" si="2"/>
        <v>Tester function in OU</v>
      </c>
      <c r="F11" s="294"/>
      <c r="G11" s="294"/>
      <c r="H11" s="294"/>
      <c r="I11" s="294"/>
      <c r="J11" s="294"/>
      <c r="K11" s="294"/>
      <c r="L11" s="294"/>
      <c r="M11" s="294"/>
      <c r="N11" s="294"/>
      <c r="O11" s="294" t="s">
        <v>411</v>
      </c>
      <c r="P11" s="294"/>
      <c r="Q11" s="294"/>
      <c r="R11" s="294"/>
      <c r="S11" s="294"/>
      <c r="T11" s="294"/>
      <c r="U11" s="294"/>
      <c r="V11" s="294"/>
      <c r="W11" s="294"/>
      <c r="X11" s="294" t="s">
        <v>411</v>
      </c>
      <c r="Y11" s="294"/>
      <c r="Z11" s="63"/>
    </row>
    <row r="12" spans="1:26" s="312" customFormat="1">
      <c r="A12" s="325" t="s">
        <v>899</v>
      </c>
      <c r="B12" s="417" t="str">
        <f t="shared" si="1"/>
        <v>P2-Raptor</v>
      </c>
      <c r="C12" s="325" t="s">
        <v>1622</v>
      </c>
      <c r="D12" s="325" t="s">
        <v>1424</v>
      </c>
      <c r="E12" s="332" t="str">
        <f t="shared" si="2"/>
        <v>Project Manager function in OU</v>
      </c>
      <c r="F12" s="294" t="s">
        <v>411</v>
      </c>
      <c r="G12" s="294"/>
      <c r="H12" s="294" t="s">
        <v>411</v>
      </c>
      <c r="I12" s="294" t="s">
        <v>411</v>
      </c>
      <c r="J12" s="294"/>
      <c r="K12" s="294"/>
      <c r="L12" s="294"/>
      <c r="M12" s="294" t="s">
        <v>411</v>
      </c>
      <c r="N12" s="294"/>
      <c r="O12" s="294" t="s">
        <v>411</v>
      </c>
      <c r="P12" s="294" t="s">
        <v>411</v>
      </c>
      <c r="Q12" s="294"/>
      <c r="R12" s="294"/>
      <c r="S12" s="294"/>
      <c r="T12" s="294"/>
      <c r="U12" s="294"/>
      <c r="V12" s="294" t="s">
        <v>411</v>
      </c>
      <c r="W12" s="294"/>
      <c r="X12" s="294"/>
      <c r="Y12" s="294"/>
      <c r="Z12" s="63"/>
    </row>
    <row r="13" spans="1:26" s="312" customFormat="1">
      <c r="A13" s="325" t="s">
        <v>900</v>
      </c>
      <c r="B13" s="417" t="str">
        <f t="shared" si="1"/>
        <v>P3-Starship</v>
      </c>
      <c r="C13" s="325" t="s">
        <v>1623</v>
      </c>
      <c r="D13" s="325" t="s">
        <v>912</v>
      </c>
      <c r="E13" s="332" t="str">
        <f t="shared" si="2"/>
        <v>Analyst function in OU</v>
      </c>
      <c r="F13" s="294"/>
      <c r="G13" s="294"/>
      <c r="H13" s="294"/>
      <c r="I13" s="294"/>
      <c r="J13" s="294"/>
      <c r="K13" s="294"/>
      <c r="L13" s="294"/>
      <c r="M13" s="294"/>
      <c r="N13" s="294"/>
      <c r="O13" s="294" t="s">
        <v>411</v>
      </c>
      <c r="P13" s="294"/>
      <c r="Q13" s="294"/>
      <c r="R13" s="294"/>
      <c r="S13" s="294"/>
      <c r="T13" s="294"/>
      <c r="U13" s="294" t="s">
        <v>411</v>
      </c>
      <c r="V13" s="294"/>
      <c r="W13" s="294"/>
      <c r="X13" s="294"/>
      <c r="Y13" s="294"/>
      <c r="Z13" s="63"/>
    </row>
    <row r="14" spans="1:26" s="312" customFormat="1">
      <c r="A14" s="325" t="s">
        <v>900</v>
      </c>
      <c r="B14" s="417" t="str">
        <f t="shared" si="1"/>
        <v>P3-Starship</v>
      </c>
      <c r="C14" s="325" t="s">
        <v>1624</v>
      </c>
      <c r="D14" s="325" t="s">
        <v>913</v>
      </c>
      <c r="E14" s="332" t="str">
        <f t="shared" si="2"/>
        <v>Designer function in OU</v>
      </c>
      <c r="F14" s="294"/>
      <c r="G14" s="294"/>
      <c r="H14" s="294"/>
      <c r="I14" s="294"/>
      <c r="J14" s="294"/>
      <c r="K14" s="294"/>
      <c r="L14" s="294"/>
      <c r="M14" s="294"/>
      <c r="N14" s="294"/>
      <c r="O14" s="294" t="s">
        <v>411</v>
      </c>
      <c r="P14" s="294"/>
      <c r="Q14" s="294"/>
      <c r="R14" s="294"/>
      <c r="S14" s="294"/>
      <c r="T14" s="294"/>
      <c r="U14" s="294"/>
      <c r="V14" s="294"/>
      <c r="W14" s="294" t="s">
        <v>411</v>
      </c>
      <c r="X14" s="294"/>
      <c r="Y14" s="294"/>
      <c r="Z14" s="63"/>
    </row>
    <row r="15" spans="1:26" s="312" customFormat="1">
      <c r="A15" s="325" t="s">
        <v>900</v>
      </c>
      <c r="B15" s="417" t="str">
        <f t="shared" si="1"/>
        <v>P3-Starship</v>
      </c>
      <c r="C15" s="325" t="s">
        <v>1625</v>
      </c>
      <c r="D15" s="325" t="s">
        <v>1158</v>
      </c>
      <c r="E15" s="332" t="str">
        <f t="shared" si="2"/>
        <v>Developer function in OU</v>
      </c>
      <c r="F15" s="294"/>
      <c r="G15" s="294"/>
      <c r="H15" s="294"/>
      <c r="I15" s="294"/>
      <c r="J15" s="294"/>
      <c r="K15" s="294"/>
      <c r="L15" s="294"/>
      <c r="M15" s="294"/>
      <c r="N15" s="294"/>
      <c r="O15" s="294" t="s">
        <v>411</v>
      </c>
      <c r="P15" s="294"/>
      <c r="Q15" s="294"/>
      <c r="R15" s="294"/>
      <c r="S15" s="294"/>
      <c r="T15" s="294" t="s">
        <v>411</v>
      </c>
      <c r="U15" s="294"/>
      <c r="V15" s="294"/>
      <c r="W15" s="294" t="s">
        <v>411</v>
      </c>
      <c r="X15" s="294" t="s">
        <v>411</v>
      </c>
      <c r="Y15" s="294"/>
      <c r="Z15" s="63"/>
    </row>
    <row r="16" spans="1:26" s="312" customFormat="1">
      <c r="A16" s="325" t="s">
        <v>900</v>
      </c>
      <c r="B16" s="417" t="str">
        <f t="shared" si="1"/>
        <v>P3-Starship</v>
      </c>
      <c r="C16" s="325" t="s">
        <v>1626</v>
      </c>
      <c r="D16" s="325" t="s">
        <v>1312</v>
      </c>
      <c r="E16" s="332" t="str">
        <f t="shared" si="2"/>
        <v>Tester function in OU</v>
      </c>
      <c r="F16" s="294"/>
      <c r="G16" s="294"/>
      <c r="H16" s="294"/>
      <c r="I16" s="294"/>
      <c r="J16" s="294"/>
      <c r="K16" s="294"/>
      <c r="L16" s="294"/>
      <c r="M16" s="294"/>
      <c r="N16" s="294"/>
      <c r="O16" s="294" t="s">
        <v>411</v>
      </c>
      <c r="P16" s="294"/>
      <c r="Q16" s="294"/>
      <c r="R16" s="294"/>
      <c r="S16" s="294"/>
      <c r="T16" s="294"/>
      <c r="U16" s="294"/>
      <c r="V16" s="294"/>
      <c r="W16" s="294"/>
      <c r="X16" s="294" t="s">
        <v>411</v>
      </c>
      <c r="Y16" s="294"/>
      <c r="Z16" s="63"/>
    </row>
    <row r="17" spans="1:26" s="312" customFormat="1">
      <c r="A17" s="325" t="s">
        <v>900</v>
      </c>
      <c r="B17" s="417" t="str">
        <f t="shared" si="1"/>
        <v>P3-Starship</v>
      </c>
      <c r="C17" s="325" t="s">
        <v>1627</v>
      </c>
      <c r="D17" s="325" t="s">
        <v>1424</v>
      </c>
      <c r="E17" s="332" t="str">
        <f t="shared" si="2"/>
        <v>Project Manager function in OU</v>
      </c>
      <c r="F17" s="294" t="s">
        <v>411</v>
      </c>
      <c r="G17" s="294"/>
      <c r="H17" s="294" t="s">
        <v>411</v>
      </c>
      <c r="I17" s="294" t="s">
        <v>411</v>
      </c>
      <c r="J17" s="294"/>
      <c r="K17" s="294"/>
      <c r="L17" s="294"/>
      <c r="M17" s="294" t="s">
        <v>411</v>
      </c>
      <c r="N17" s="294"/>
      <c r="O17" s="294" t="s">
        <v>411</v>
      </c>
      <c r="P17" s="294" t="s">
        <v>411</v>
      </c>
      <c r="Q17" s="294"/>
      <c r="R17" s="294"/>
      <c r="S17" s="294"/>
      <c r="T17" s="294"/>
      <c r="U17" s="294"/>
      <c r="V17" s="294" t="s">
        <v>411</v>
      </c>
      <c r="W17" s="294"/>
      <c r="X17" s="294"/>
      <c r="Y17" s="294"/>
      <c r="Z17" s="63"/>
    </row>
    <row r="18" spans="1:26" s="312" customFormat="1">
      <c r="A18" s="323" t="s">
        <v>1388</v>
      </c>
      <c r="B18" s="417" t="str">
        <f t="shared" si="1"/>
        <v>P4-SupperHeavy</v>
      </c>
      <c r="C18" s="325" t="s">
        <v>1628</v>
      </c>
      <c r="D18" s="323" t="s">
        <v>912</v>
      </c>
      <c r="E18" s="332" t="str">
        <f t="shared" si="2"/>
        <v>Analyst function in OU</v>
      </c>
      <c r="F18" s="294"/>
      <c r="G18" s="294"/>
      <c r="H18" s="294"/>
      <c r="I18" s="294"/>
      <c r="J18" s="294"/>
      <c r="K18" s="294"/>
      <c r="L18" s="294"/>
      <c r="M18" s="294"/>
      <c r="N18" s="294"/>
      <c r="O18" s="294" t="s">
        <v>411</v>
      </c>
      <c r="P18" s="294"/>
      <c r="Q18" s="294"/>
      <c r="R18" s="294"/>
      <c r="S18" s="294"/>
      <c r="T18" s="294"/>
      <c r="U18" s="294" t="s">
        <v>411</v>
      </c>
      <c r="V18" s="294"/>
      <c r="W18" s="294"/>
      <c r="X18" s="294"/>
      <c r="Y18" s="294"/>
      <c r="Z18" s="63"/>
    </row>
    <row r="19" spans="1:26" s="312" customFormat="1">
      <c r="A19" s="323" t="s">
        <v>1388</v>
      </c>
      <c r="B19" s="417" t="str">
        <f t="shared" si="1"/>
        <v>P4-SupperHeavy</v>
      </c>
      <c r="C19" s="325" t="s">
        <v>1629</v>
      </c>
      <c r="D19" s="323" t="s">
        <v>913</v>
      </c>
      <c r="E19" s="332" t="str">
        <f t="shared" si="2"/>
        <v>Designer function in OU</v>
      </c>
      <c r="F19" s="294"/>
      <c r="G19" s="294"/>
      <c r="H19" s="294"/>
      <c r="I19" s="294"/>
      <c r="J19" s="294"/>
      <c r="K19" s="294"/>
      <c r="L19" s="294"/>
      <c r="M19" s="294"/>
      <c r="N19" s="294"/>
      <c r="O19" s="294" t="s">
        <v>411</v>
      </c>
      <c r="P19" s="294"/>
      <c r="Q19" s="294"/>
      <c r="R19" s="294"/>
      <c r="S19" s="294"/>
      <c r="T19" s="294"/>
      <c r="U19" s="294"/>
      <c r="V19" s="294"/>
      <c r="W19" s="294" t="s">
        <v>411</v>
      </c>
      <c r="X19" s="294"/>
      <c r="Y19" s="294"/>
      <c r="Z19" s="63"/>
    </row>
    <row r="20" spans="1:26" s="312" customFormat="1">
      <c r="A20" s="323" t="s">
        <v>1388</v>
      </c>
      <c r="B20" s="417" t="str">
        <f t="shared" si="1"/>
        <v>P4-SupperHeavy</v>
      </c>
      <c r="C20" s="325" t="s">
        <v>1630</v>
      </c>
      <c r="D20" s="323" t="s">
        <v>1158</v>
      </c>
      <c r="E20" s="332" t="str">
        <f t="shared" si="2"/>
        <v>Developer function in OU</v>
      </c>
      <c r="F20" s="294"/>
      <c r="G20" s="294"/>
      <c r="H20" s="294"/>
      <c r="I20" s="294"/>
      <c r="J20" s="294"/>
      <c r="K20" s="294"/>
      <c r="L20" s="294"/>
      <c r="M20" s="294"/>
      <c r="N20" s="294"/>
      <c r="O20" s="294" t="s">
        <v>411</v>
      </c>
      <c r="P20" s="294"/>
      <c r="Q20" s="294"/>
      <c r="R20" s="294"/>
      <c r="S20" s="294"/>
      <c r="T20" s="294" t="s">
        <v>411</v>
      </c>
      <c r="U20" s="294"/>
      <c r="V20" s="294"/>
      <c r="W20" s="294" t="s">
        <v>411</v>
      </c>
      <c r="X20" s="294" t="s">
        <v>411</v>
      </c>
      <c r="Y20" s="294"/>
      <c r="Z20" s="63"/>
    </row>
    <row r="21" spans="1:26" s="312" customFormat="1">
      <c r="A21" s="323" t="s">
        <v>1388</v>
      </c>
      <c r="B21" s="417" t="str">
        <f t="shared" si="1"/>
        <v>P4-SupperHeavy</v>
      </c>
      <c r="C21" s="325" t="s">
        <v>1631</v>
      </c>
      <c r="D21" s="323" t="s">
        <v>1312</v>
      </c>
      <c r="E21" s="332" t="str">
        <f t="shared" si="2"/>
        <v>Tester function in OU</v>
      </c>
      <c r="F21" s="294"/>
      <c r="G21" s="294"/>
      <c r="H21" s="294"/>
      <c r="I21" s="294"/>
      <c r="J21" s="294"/>
      <c r="K21" s="294"/>
      <c r="L21" s="294"/>
      <c r="M21" s="294"/>
      <c r="N21" s="294"/>
      <c r="O21" s="294" t="s">
        <v>411</v>
      </c>
      <c r="P21" s="294"/>
      <c r="Q21" s="294"/>
      <c r="R21" s="294"/>
      <c r="S21" s="294"/>
      <c r="T21" s="294"/>
      <c r="U21" s="294"/>
      <c r="V21" s="294"/>
      <c r="W21" s="294"/>
      <c r="X21" s="294" t="s">
        <v>411</v>
      </c>
      <c r="Y21" s="294"/>
      <c r="Z21" s="63"/>
    </row>
    <row r="22" spans="1:26" s="312" customFormat="1">
      <c r="A22" s="325" t="s">
        <v>1388</v>
      </c>
      <c r="B22" s="417" t="str">
        <f t="shared" si="1"/>
        <v>P4-SupperHeavy</v>
      </c>
      <c r="C22" s="325" t="s">
        <v>1632</v>
      </c>
      <c r="D22" s="325" t="s">
        <v>1424</v>
      </c>
      <c r="E22" s="332" t="str">
        <f t="shared" si="2"/>
        <v>Project Manager function in OU</v>
      </c>
      <c r="F22" s="294" t="s">
        <v>411</v>
      </c>
      <c r="G22" s="294"/>
      <c r="H22" s="294" t="s">
        <v>411</v>
      </c>
      <c r="I22" s="294" t="s">
        <v>411</v>
      </c>
      <c r="J22" s="294"/>
      <c r="K22" s="294"/>
      <c r="L22" s="294"/>
      <c r="M22" s="294" t="s">
        <v>411</v>
      </c>
      <c r="N22" s="294"/>
      <c r="O22" s="294" t="s">
        <v>411</v>
      </c>
      <c r="P22" s="294" t="s">
        <v>411</v>
      </c>
      <c r="Q22" s="294"/>
      <c r="R22" s="294"/>
      <c r="S22" s="294"/>
      <c r="T22" s="294"/>
      <c r="U22" s="294"/>
      <c r="V22" s="294" t="s">
        <v>411</v>
      </c>
      <c r="W22" s="294"/>
      <c r="X22" s="294"/>
      <c r="Y22" s="294"/>
      <c r="Z22" s="63"/>
    </row>
    <row r="23" spans="1:26" s="312" customFormat="1">
      <c r="A23" s="325" t="s">
        <v>903</v>
      </c>
      <c r="B23" s="417" t="str">
        <f t="shared" si="1"/>
        <v>S1-CM</v>
      </c>
      <c r="C23" s="325" t="s">
        <v>1633</v>
      </c>
      <c r="D23" s="325" t="s">
        <v>1423</v>
      </c>
      <c r="E23" s="332" t="str">
        <f t="shared" si="2"/>
        <v>Configuration Manager function in OU</v>
      </c>
      <c r="F23" s="294"/>
      <c r="G23" s="294" t="s">
        <v>411</v>
      </c>
      <c r="H23" s="294"/>
      <c r="I23" s="294"/>
      <c r="J23" s="294"/>
      <c r="K23" s="294"/>
      <c r="L23" s="294"/>
      <c r="M23" s="294"/>
      <c r="N23" s="294"/>
      <c r="O23" s="294"/>
      <c r="P23" s="294"/>
      <c r="Q23" s="294"/>
      <c r="R23" s="294"/>
      <c r="S23" s="294"/>
      <c r="T23" s="294"/>
      <c r="U23" s="294"/>
      <c r="V23" s="294"/>
      <c r="W23" s="294"/>
      <c r="X23" s="294"/>
      <c r="Y23" s="294"/>
      <c r="Z23" s="63"/>
    </row>
    <row r="24" spans="1:26" s="312" customFormat="1">
      <c r="A24" s="325" t="s">
        <v>904</v>
      </c>
      <c r="B24" s="417" t="str">
        <f t="shared" si="1"/>
        <v>S2-EPG-MA</v>
      </c>
      <c r="C24" s="325" t="s">
        <v>1634</v>
      </c>
      <c r="D24" s="323" t="s">
        <v>1425</v>
      </c>
      <c r="E24" s="332" t="str">
        <f t="shared" si="2"/>
        <v>Process manager function in OU</v>
      </c>
      <c r="F24" s="294" t="s">
        <v>411</v>
      </c>
      <c r="G24" s="294"/>
      <c r="H24" s="294" t="s">
        <v>411</v>
      </c>
      <c r="I24" s="294"/>
      <c r="J24" s="294"/>
      <c r="K24" s="294"/>
      <c r="L24" s="294" t="s">
        <v>411</v>
      </c>
      <c r="M24" s="294"/>
      <c r="N24" s="294"/>
      <c r="O24" s="294"/>
      <c r="P24" s="294"/>
      <c r="Q24" s="294" t="s">
        <v>411</v>
      </c>
      <c r="R24" s="294" t="s">
        <v>411</v>
      </c>
      <c r="S24" s="294"/>
      <c r="T24" s="294"/>
      <c r="U24" s="294"/>
      <c r="V24" s="294"/>
      <c r="W24" s="294"/>
      <c r="X24" s="294"/>
      <c r="Y24" s="294"/>
      <c r="Z24" s="63"/>
    </row>
    <row r="25" spans="1:26" s="312" customFormat="1">
      <c r="A25" s="325" t="s">
        <v>905</v>
      </c>
      <c r="B25" s="417" t="str">
        <f t="shared" si="1"/>
        <v>S3-HR</v>
      </c>
      <c r="C25" s="325" t="s">
        <v>1635</v>
      </c>
      <c r="D25" s="325" t="s">
        <v>1422</v>
      </c>
      <c r="E25" s="332" t="str">
        <f t="shared" si="2"/>
        <v>Training Manager function in OU</v>
      </c>
      <c r="F25" s="294"/>
      <c r="G25" s="294"/>
      <c r="H25" s="294"/>
      <c r="I25" s="294"/>
      <c r="J25" s="294"/>
      <c r="K25" s="294"/>
      <c r="L25" s="294"/>
      <c r="M25" s="294"/>
      <c r="N25" s="294" t="s">
        <v>411</v>
      </c>
      <c r="O25" s="294"/>
      <c r="P25" s="294"/>
      <c r="Q25" s="294"/>
      <c r="R25" s="294"/>
      <c r="S25" s="294"/>
      <c r="T25" s="294"/>
      <c r="U25" s="294"/>
      <c r="V25" s="294"/>
      <c r="W25" s="294"/>
      <c r="X25" s="294"/>
      <c r="Y25" s="294"/>
      <c r="Z25" s="63"/>
    </row>
    <row r="26" spans="1:26" s="312" customFormat="1">
      <c r="A26" s="325" t="s">
        <v>906</v>
      </c>
      <c r="B26" s="417" t="str">
        <f t="shared" si="1"/>
        <v>S4-PPQA</v>
      </c>
      <c r="C26" s="325" t="s">
        <v>1636</v>
      </c>
      <c r="D26" s="325" t="s">
        <v>1257</v>
      </c>
      <c r="E26" s="332" t="str">
        <f t="shared" si="2"/>
        <v>Process Assurance Manager function in OU</v>
      </c>
      <c r="F26" s="294"/>
      <c r="G26" s="294"/>
      <c r="H26" s="294"/>
      <c r="I26" s="294"/>
      <c r="J26" s="294"/>
      <c r="K26" s="294"/>
      <c r="L26" s="294"/>
      <c r="M26" s="294"/>
      <c r="N26" s="294"/>
      <c r="O26" s="294"/>
      <c r="P26" s="294"/>
      <c r="Q26" s="294"/>
      <c r="R26" s="294"/>
      <c r="S26" s="294" t="s">
        <v>411</v>
      </c>
      <c r="T26" s="294"/>
      <c r="U26" s="294"/>
      <c r="V26" s="294"/>
      <c r="W26" s="294"/>
      <c r="X26" s="294"/>
      <c r="Y26" s="294"/>
      <c r="Z26" s="63"/>
    </row>
    <row r="27" spans="1:26" s="312" customFormat="1">
      <c r="A27" s="325"/>
      <c r="B27" s="325"/>
      <c r="C27" s="325"/>
      <c r="D27" s="325"/>
      <c r="E27" s="324"/>
      <c r="F27" s="294"/>
      <c r="G27" s="294"/>
      <c r="H27" s="294"/>
      <c r="I27" s="294"/>
      <c r="J27" s="294"/>
      <c r="K27" s="294"/>
      <c r="L27" s="294"/>
      <c r="M27" s="294"/>
      <c r="N27" s="294"/>
      <c r="O27" s="294"/>
      <c r="P27" s="294"/>
      <c r="Q27" s="294"/>
      <c r="R27" s="294"/>
      <c r="S27" s="294"/>
      <c r="T27" s="294"/>
      <c r="U27" s="294"/>
      <c r="V27" s="294"/>
      <c r="W27" s="294"/>
      <c r="X27" s="294"/>
      <c r="Y27" s="294"/>
      <c r="Z27" s="63"/>
    </row>
    <row r="28" spans="1:26">
      <c r="E28" s="309"/>
      <c r="Z28" s="312"/>
    </row>
    <row r="29" spans="1:26">
      <c r="A29" s="312"/>
      <c r="B29" s="312"/>
      <c r="C29" s="312"/>
      <c r="D29" s="312"/>
      <c r="E29" s="309"/>
      <c r="Z29" s="312"/>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3" t="s">
        <v>946</v>
      </c>
      <c r="B3" s="313" t="s">
        <v>916</v>
      </c>
    </row>
    <row r="4" spans="1:12">
      <c r="A4" s="313" t="s">
        <v>917</v>
      </c>
      <c r="B4" s="322" t="s">
        <v>898</v>
      </c>
      <c r="C4" s="322" t="s">
        <v>899</v>
      </c>
      <c r="D4" s="322" t="s">
        <v>900</v>
      </c>
      <c r="E4" s="322" t="s">
        <v>1388</v>
      </c>
      <c r="F4" s="322" t="s">
        <v>903</v>
      </c>
      <c r="G4" s="322" t="s">
        <v>904</v>
      </c>
      <c r="H4" s="322" t="s">
        <v>1324</v>
      </c>
      <c r="I4" s="322" t="s">
        <v>905</v>
      </c>
      <c r="J4" s="322" t="s">
        <v>906</v>
      </c>
      <c r="K4" s="322" t="s">
        <v>918</v>
      </c>
      <c r="L4" s="322" t="s">
        <v>919</v>
      </c>
    </row>
    <row r="5" spans="1:12">
      <c r="A5" s="311" t="s">
        <v>918</v>
      </c>
      <c r="B5" s="314"/>
      <c r="C5" s="314"/>
      <c r="D5" s="314"/>
      <c r="E5" s="314"/>
      <c r="F5" s="314"/>
      <c r="G5" s="314"/>
      <c r="H5" s="314"/>
      <c r="I5" s="314"/>
      <c r="J5" s="314"/>
      <c r="K5" s="314"/>
      <c r="L5" s="314"/>
    </row>
    <row r="6" spans="1:12">
      <c r="A6" s="311" t="s">
        <v>1325</v>
      </c>
      <c r="B6" s="314"/>
      <c r="C6" s="314"/>
      <c r="D6" s="314"/>
      <c r="E6" s="314"/>
      <c r="F6" s="314"/>
      <c r="G6" s="314"/>
      <c r="H6" s="314">
        <v>1</v>
      </c>
      <c r="I6" s="314"/>
      <c r="J6" s="314"/>
      <c r="K6" s="314"/>
      <c r="L6" s="314">
        <v>1</v>
      </c>
    </row>
    <row r="7" spans="1:12">
      <c r="A7" s="311" t="s">
        <v>1385</v>
      </c>
      <c r="B7" s="314">
        <v>5</v>
      </c>
      <c r="C7" s="314"/>
      <c r="D7" s="314"/>
      <c r="E7" s="314"/>
      <c r="F7" s="314"/>
      <c r="G7" s="314"/>
      <c r="H7" s="314"/>
      <c r="I7" s="314"/>
      <c r="J7" s="314"/>
      <c r="K7" s="314"/>
      <c r="L7" s="314">
        <v>5</v>
      </c>
    </row>
    <row r="8" spans="1:12">
      <c r="A8" s="311" t="s">
        <v>1386</v>
      </c>
      <c r="B8" s="314"/>
      <c r="C8" s="314">
        <v>5</v>
      </c>
      <c r="D8" s="314"/>
      <c r="E8" s="314"/>
      <c r="F8" s="314"/>
      <c r="G8" s="314"/>
      <c r="H8" s="314"/>
      <c r="I8" s="314"/>
      <c r="J8" s="314"/>
      <c r="K8" s="314"/>
      <c r="L8" s="314">
        <v>5</v>
      </c>
    </row>
    <row r="9" spans="1:12">
      <c r="A9" s="311" t="s">
        <v>1387</v>
      </c>
      <c r="B9" s="314"/>
      <c r="C9" s="314"/>
      <c r="D9" s="314">
        <v>5</v>
      </c>
      <c r="E9" s="314"/>
      <c r="F9" s="314"/>
      <c r="G9" s="314"/>
      <c r="H9" s="314"/>
      <c r="I9" s="314"/>
      <c r="J9" s="314"/>
      <c r="K9" s="314"/>
      <c r="L9" s="314">
        <v>5</v>
      </c>
    </row>
    <row r="10" spans="1:12">
      <c r="A10" s="311" t="s">
        <v>1389</v>
      </c>
      <c r="B10" s="314"/>
      <c r="C10" s="314"/>
      <c r="D10" s="314"/>
      <c r="E10" s="314">
        <v>5</v>
      </c>
      <c r="F10" s="314"/>
      <c r="G10" s="314"/>
      <c r="H10" s="314"/>
      <c r="I10" s="314"/>
      <c r="J10" s="314"/>
      <c r="K10" s="314"/>
      <c r="L10" s="314">
        <v>5</v>
      </c>
    </row>
    <row r="11" spans="1:12">
      <c r="A11" s="311" t="s">
        <v>1390</v>
      </c>
      <c r="B11" s="314"/>
      <c r="C11" s="314"/>
      <c r="D11" s="314"/>
      <c r="E11" s="314"/>
      <c r="F11" s="314">
        <v>1</v>
      </c>
      <c r="G11" s="314"/>
      <c r="H11" s="314"/>
      <c r="I11" s="314"/>
      <c r="J11" s="314"/>
      <c r="K11" s="314"/>
      <c r="L11" s="314">
        <v>1</v>
      </c>
    </row>
    <row r="12" spans="1:12">
      <c r="A12" s="311" t="s">
        <v>1391</v>
      </c>
      <c r="B12" s="314"/>
      <c r="C12" s="314"/>
      <c r="D12" s="314"/>
      <c r="E12" s="314"/>
      <c r="F12" s="314"/>
      <c r="G12" s="314">
        <v>1</v>
      </c>
      <c r="H12" s="314"/>
      <c r="I12" s="314"/>
      <c r="J12" s="314"/>
      <c r="K12" s="314"/>
      <c r="L12" s="314">
        <v>1</v>
      </c>
    </row>
    <row r="13" spans="1:12">
      <c r="A13" s="311" t="s">
        <v>1392</v>
      </c>
      <c r="B13" s="314"/>
      <c r="C13" s="314"/>
      <c r="D13" s="314"/>
      <c r="E13" s="314"/>
      <c r="F13" s="314"/>
      <c r="G13" s="314"/>
      <c r="H13" s="314"/>
      <c r="I13" s="314">
        <v>1</v>
      </c>
      <c r="J13" s="314"/>
      <c r="K13" s="314"/>
      <c r="L13" s="314">
        <v>1</v>
      </c>
    </row>
    <row r="14" spans="1:12">
      <c r="A14" s="311" t="s">
        <v>1393</v>
      </c>
      <c r="B14" s="314"/>
      <c r="C14" s="314"/>
      <c r="D14" s="314"/>
      <c r="E14" s="314"/>
      <c r="F14" s="314"/>
      <c r="G14" s="314"/>
      <c r="H14" s="314"/>
      <c r="I14" s="314"/>
      <c r="J14" s="314">
        <v>1</v>
      </c>
      <c r="K14" s="314"/>
      <c r="L14" s="314">
        <v>1</v>
      </c>
    </row>
    <row r="15" spans="1:12">
      <c r="A15" s="311" t="s">
        <v>919</v>
      </c>
      <c r="B15" s="314">
        <v>5</v>
      </c>
      <c r="C15" s="314">
        <v>5</v>
      </c>
      <c r="D15" s="314">
        <v>5</v>
      </c>
      <c r="E15" s="314">
        <v>5</v>
      </c>
      <c r="F15" s="314">
        <v>1</v>
      </c>
      <c r="G15" s="314">
        <v>1</v>
      </c>
      <c r="H15" s="314">
        <v>1</v>
      </c>
      <c r="I15" s="314">
        <v>1</v>
      </c>
      <c r="J15" s="314">
        <v>1</v>
      </c>
      <c r="K15" s="314"/>
      <c r="L15" s="314">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3" t="s">
        <v>917</v>
      </c>
      <c r="B3" t="s">
        <v>915</v>
      </c>
    </row>
    <row r="4" spans="1:14" hidden="1">
      <c r="A4" s="311" t="s">
        <v>918</v>
      </c>
      <c r="B4" s="314"/>
    </row>
    <row r="5" spans="1:14">
      <c r="A5" s="311" t="s">
        <v>1397</v>
      </c>
      <c r="B5" s="314">
        <v>1</v>
      </c>
    </row>
    <row r="6" spans="1:14">
      <c r="A6" s="311" t="s">
        <v>1398</v>
      </c>
      <c r="B6" s="314">
        <v>1</v>
      </c>
    </row>
    <row r="7" spans="1:14">
      <c r="A7" s="311" t="s">
        <v>1399</v>
      </c>
      <c r="B7" s="314">
        <v>1</v>
      </c>
    </row>
    <row r="8" spans="1:14">
      <c r="A8" s="311" t="s">
        <v>1400</v>
      </c>
      <c r="B8" s="314">
        <v>1</v>
      </c>
    </row>
    <row r="9" spans="1:14">
      <c r="A9" s="311" t="s">
        <v>1401</v>
      </c>
      <c r="B9" s="314">
        <v>1</v>
      </c>
    </row>
    <row r="10" spans="1:14">
      <c r="A10" s="311" t="s">
        <v>1402</v>
      </c>
      <c r="B10" s="314">
        <v>1</v>
      </c>
    </row>
    <row r="11" spans="1:14">
      <c r="A11" s="311" t="s">
        <v>1403</v>
      </c>
      <c r="B11" s="314">
        <v>1</v>
      </c>
    </row>
    <row r="12" spans="1:14">
      <c r="A12" s="311" t="s">
        <v>1404</v>
      </c>
      <c r="B12" s="314">
        <v>1</v>
      </c>
    </row>
    <row r="13" spans="1:14">
      <c r="A13" s="311" t="s">
        <v>1405</v>
      </c>
      <c r="B13" s="314">
        <v>1</v>
      </c>
    </row>
    <row r="14" spans="1:14">
      <c r="A14" s="311" t="s">
        <v>1406</v>
      </c>
      <c r="B14" s="314">
        <v>1</v>
      </c>
    </row>
    <row r="15" spans="1:14">
      <c r="A15" s="311" t="s">
        <v>1407</v>
      </c>
      <c r="B15" s="314">
        <v>1</v>
      </c>
    </row>
    <row r="16" spans="1:14">
      <c r="A16" s="311" t="s">
        <v>1408</v>
      </c>
      <c r="B16" s="314">
        <v>1</v>
      </c>
    </row>
    <row r="17" spans="1:2">
      <c r="A17" s="311" t="s">
        <v>1409</v>
      </c>
      <c r="B17" s="314">
        <v>1</v>
      </c>
    </row>
    <row r="18" spans="1:2">
      <c r="A18" s="311" t="s">
        <v>1410</v>
      </c>
      <c r="B18" s="314">
        <v>1</v>
      </c>
    </row>
    <row r="19" spans="1:2">
      <c r="A19" s="311" t="s">
        <v>1411</v>
      </c>
      <c r="B19" s="314">
        <v>1</v>
      </c>
    </row>
    <row r="20" spans="1:2">
      <c r="A20" s="311" t="s">
        <v>1412</v>
      </c>
      <c r="B20" s="314">
        <v>1</v>
      </c>
    </row>
    <row r="21" spans="1:2">
      <c r="A21" s="311" t="s">
        <v>1413</v>
      </c>
      <c r="B21" s="314">
        <v>1</v>
      </c>
    </row>
    <row r="22" spans="1:2">
      <c r="A22" s="311" t="s">
        <v>1414</v>
      </c>
      <c r="B22" s="314">
        <v>1</v>
      </c>
    </row>
    <row r="23" spans="1:2">
      <c r="A23" s="311" t="s">
        <v>1415</v>
      </c>
      <c r="B23" s="314">
        <v>1</v>
      </c>
    </row>
    <row r="24" spans="1:2">
      <c r="A24" s="311" t="s">
        <v>1416</v>
      </c>
      <c r="B24" s="314">
        <v>1</v>
      </c>
    </row>
    <row r="25" spans="1:2">
      <c r="A25" s="311" t="s">
        <v>1417</v>
      </c>
      <c r="B25" s="314">
        <v>1</v>
      </c>
    </row>
    <row r="26" spans="1:2">
      <c r="A26" s="311" t="s">
        <v>1418</v>
      </c>
      <c r="B26" s="314">
        <v>1</v>
      </c>
    </row>
    <row r="27" spans="1:2">
      <c r="A27" s="311" t="s">
        <v>1419</v>
      </c>
      <c r="B27" s="314">
        <v>1</v>
      </c>
    </row>
    <row r="28" spans="1:2">
      <c r="A28" s="311" t="s">
        <v>1420</v>
      </c>
      <c r="B28" s="314">
        <v>1</v>
      </c>
    </row>
    <row r="29" spans="1:2">
      <c r="A29" s="311" t="s">
        <v>1421</v>
      </c>
      <c r="B29" s="314">
        <v>1</v>
      </c>
    </row>
    <row r="30" spans="1:2">
      <c r="A30" s="311" t="s">
        <v>919</v>
      </c>
      <c r="B30" s="314">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3" t="s">
        <v>917</v>
      </c>
      <c r="B3" t="s">
        <v>925</v>
      </c>
    </row>
    <row r="4" spans="1:2">
      <c r="A4" s="311" t="s">
        <v>895</v>
      </c>
      <c r="B4" s="314">
        <v>1</v>
      </c>
    </row>
    <row r="5" spans="1:2">
      <c r="A5" s="311" t="s">
        <v>751</v>
      </c>
      <c r="B5" s="314">
        <v>1</v>
      </c>
    </row>
    <row r="6" spans="1:2">
      <c r="A6" s="311" t="s">
        <v>896</v>
      </c>
      <c r="B6" s="314">
        <v>1</v>
      </c>
    </row>
    <row r="7" spans="1:2">
      <c r="A7" s="311" t="s">
        <v>892</v>
      </c>
      <c r="B7" s="314">
        <v>1</v>
      </c>
    </row>
    <row r="8" spans="1:2">
      <c r="A8" s="311" t="s">
        <v>893</v>
      </c>
      <c r="B8" s="314">
        <v>1</v>
      </c>
    </row>
    <row r="9" spans="1:2">
      <c r="A9" s="311" t="s">
        <v>888</v>
      </c>
      <c r="B9" s="314">
        <v>1</v>
      </c>
    </row>
    <row r="10" spans="1:2">
      <c r="A10" s="311" t="s">
        <v>753</v>
      </c>
      <c r="B10" s="314">
        <v>1</v>
      </c>
    </row>
    <row r="11" spans="1:2">
      <c r="A11" s="311" t="s">
        <v>889</v>
      </c>
      <c r="B11" s="314">
        <v>1</v>
      </c>
    </row>
    <row r="12" spans="1:2">
      <c r="A12" s="311" t="s">
        <v>890</v>
      </c>
      <c r="B12" s="314">
        <v>1</v>
      </c>
    </row>
    <row r="13" spans="1:2">
      <c r="A13" s="311" t="s">
        <v>883</v>
      </c>
      <c r="B13" s="314">
        <v>1</v>
      </c>
    </row>
    <row r="14" spans="1:2">
      <c r="A14" s="311" t="s">
        <v>894</v>
      </c>
      <c r="B14" s="314">
        <v>1</v>
      </c>
    </row>
    <row r="15" spans="1:2">
      <c r="A15" s="311" t="s">
        <v>836</v>
      </c>
      <c r="B15" s="314">
        <v>1</v>
      </c>
    </row>
    <row r="16" spans="1:2">
      <c r="A16" s="311" t="s">
        <v>885</v>
      </c>
      <c r="B16" s="314">
        <v>1</v>
      </c>
    </row>
    <row r="17" spans="1:2">
      <c r="A17" s="311" t="s">
        <v>886</v>
      </c>
      <c r="B17" s="314">
        <v>1</v>
      </c>
    </row>
    <row r="18" spans="1:2">
      <c r="A18" s="311" t="s">
        <v>891</v>
      </c>
      <c r="B18" s="314">
        <v>1</v>
      </c>
    </row>
    <row r="19" spans="1:2">
      <c r="A19" s="311" t="s">
        <v>884</v>
      </c>
      <c r="B19" s="314">
        <v>1</v>
      </c>
    </row>
    <row r="20" spans="1:2">
      <c r="A20" s="311" t="s">
        <v>887</v>
      </c>
      <c r="B20" s="314">
        <v>1</v>
      </c>
    </row>
    <row r="21" spans="1:2">
      <c r="A21" s="311" t="s">
        <v>918</v>
      </c>
      <c r="B21" s="314"/>
    </row>
    <row r="22" spans="1:2">
      <c r="A22" s="311" t="s">
        <v>919</v>
      </c>
      <c r="B22" s="314">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2" t="s">
        <v>1676</v>
      </c>
    </row>
    <row r="11" spans="1:3">
      <c r="A11" s="11" t="s">
        <v>823</v>
      </c>
    </row>
    <row r="12" spans="1:3" ht="43.5">
      <c r="A12" s="11" t="s">
        <v>821</v>
      </c>
      <c r="B12" s="11" t="s">
        <v>1198</v>
      </c>
      <c r="C12" s="252"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2"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50"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51"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6"/>
      <c r="Y87" s="426"/>
      <c r="Z87" s="426"/>
      <c r="AA87" s="426"/>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4"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5"/>
    </row>
    <row r="92" spans="1:36" s="117" customFormat="1">
      <c r="A92" s="117" t="s">
        <v>1114</v>
      </c>
      <c r="B92" s="244"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5"/>
    </row>
    <row r="93" spans="1:36" s="117" customFormat="1">
      <c r="A93" s="117" t="s">
        <v>1114</v>
      </c>
      <c r="B93" s="244"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5"/>
    </row>
    <row r="94" spans="1:36" s="117" customFormat="1">
      <c r="A94" s="117" t="s">
        <v>1114</v>
      </c>
      <c r="B94" s="244"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5"/>
    </row>
    <row r="95" spans="1:36" s="117" customFormat="1">
      <c r="A95" s="117" t="s">
        <v>1114</v>
      </c>
      <c r="B95" s="244"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5"/>
    </row>
    <row r="96" spans="1:36" s="117" customFormat="1">
      <c r="A96" s="117" t="s">
        <v>1114</v>
      </c>
      <c r="B96" s="244"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5"/>
    </row>
    <row r="97" spans="1:27" s="117" customFormat="1">
      <c r="A97" s="117" t="s">
        <v>1114</v>
      </c>
      <c r="B97" s="244"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5"/>
    </row>
    <row r="98" spans="1:27" s="117" customFormat="1">
      <c r="A98" s="117" t="s">
        <v>1114</v>
      </c>
      <c r="B98" s="244"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5"/>
    </row>
    <row r="99" spans="1:27" s="117" customFormat="1">
      <c r="A99" s="117" t="s">
        <v>1114</v>
      </c>
      <c r="B99" s="244"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5"/>
    </row>
    <row r="100" spans="1:27" s="117" customFormat="1">
      <c r="B100" s="244"/>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5"/>
    </row>
    <row r="101" spans="1:27" s="117" customFormat="1">
      <c r="A101" s="244" t="s">
        <v>975</v>
      </c>
      <c r="B101" s="244"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5"/>
    </row>
    <row r="102" spans="1:27" s="117" customFormat="1">
      <c r="A102" s="117" t="s">
        <v>974</v>
      </c>
      <c r="B102" s="244"/>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5"/>
    </row>
    <row r="103" spans="1:27" s="117" customFormat="1">
      <c r="A103" s="117" t="s">
        <v>952</v>
      </c>
      <c r="B103" s="244"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5"/>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27" t="s">
        <v>1429</v>
      </c>
      <c r="B125" s="427"/>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28" t="s">
        <v>832</v>
      </c>
      <c r="B143" s="428"/>
    </row>
    <row r="145" spans="1:3">
      <c r="A145" s="253" t="s">
        <v>788</v>
      </c>
      <c r="B145" s="254"/>
      <c r="C145" s="255"/>
    </row>
    <row r="146" spans="1:3">
      <c r="A146" s="429" t="s">
        <v>789</v>
      </c>
      <c r="B146" s="431"/>
      <c r="C146" s="256" t="s">
        <v>1166</v>
      </c>
    </row>
    <row r="147" spans="1:3" ht="15" thickBot="1">
      <c r="A147" s="430"/>
      <c r="B147" s="432"/>
      <c r="C147" s="256" t="s">
        <v>1169</v>
      </c>
    </row>
    <row r="148" spans="1:3">
      <c r="A148" s="257" t="s">
        <v>751</v>
      </c>
      <c r="B148" s="257" t="s">
        <v>1167</v>
      </c>
      <c r="C148" s="255"/>
    </row>
    <row r="149" spans="1:3" ht="15" thickBot="1">
      <c r="A149" s="258" t="s">
        <v>833</v>
      </c>
      <c r="B149" s="258" t="s">
        <v>834</v>
      </c>
      <c r="C149" s="255"/>
    </row>
    <row r="150" spans="1:3">
      <c r="A150" s="259" t="s">
        <v>750</v>
      </c>
      <c r="B150" s="259" t="s">
        <v>1170</v>
      </c>
      <c r="C150" s="255"/>
    </row>
    <row r="151" spans="1:3" ht="15" thickBot="1">
      <c r="A151" s="258" t="s">
        <v>833</v>
      </c>
      <c r="B151" s="258" t="s">
        <v>834</v>
      </c>
      <c r="C151" s="255"/>
    </row>
    <row r="152" spans="1:3">
      <c r="A152" s="259" t="s">
        <v>835</v>
      </c>
      <c r="B152" s="259" t="s">
        <v>1171</v>
      </c>
      <c r="C152" s="255"/>
    </row>
    <row r="153" spans="1:3" ht="15" thickBot="1">
      <c r="A153" s="258" t="s">
        <v>833</v>
      </c>
      <c r="B153" s="258" t="s">
        <v>834</v>
      </c>
      <c r="C153" s="255"/>
    </row>
    <row r="154" spans="1:3">
      <c r="A154" s="259" t="s">
        <v>752</v>
      </c>
      <c r="B154" s="259" t="s">
        <v>1168</v>
      </c>
      <c r="C154" s="260" t="s">
        <v>1436</v>
      </c>
    </row>
    <row r="156" spans="1:3">
      <c r="A156" s="28" t="s">
        <v>790</v>
      </c>
      <c r="B156" s="29"/>
      <c r="C156" s="30"/>
    </row>
    <row r="157" spans="1:3" ht="29">
      <c r="A157" s="11" t="s">
        <v>837</v>
      </c>
      <c r="B157" s="11" t="s">
        <v>1435</v>
      </c>
      <c r="C157" s="260"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2"/>
    </row>
    <row r="25" spans="1:3" s="125" customFormat="1">
      <c r="B25" s="117"/>
      <c r="C25" s="252"/>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27" t="s">
        <v>1492</v>
      </c>
      <c r="B102" s="42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61" t="s">
        <v>1186</v>
      </c>
      <c r="B262" s="121" t="s">
        <v>1185</v>
      </c>
      <c r="C262" s="117" t="s">
        <v>384</v>
      </c>
    </row>
    <row r="264" spans="1:3">
      <c r="A264" s="100" t="s">
        <v>818</v>
      </c>
      <c r="B264" s="100"/>
    </row>
    <row r="265" spans="1:3">
      <c r="A265" s="28" t="s">
        <v>819</v>
      </c>
      <c r="B265" s="29"/>
      <c r="C265" s="30"/>
    </row>
    <row r="266" spans="1:3" ht="87">
      <c r="A266" s="261"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3" t="s">
        <v>915</v>
      </c>
      <c r="B3" s="313" t="s">
        <v>916</v>
      </c>
    </row>
    <row r="4" spans="1:13">
      <c r="A4" s="313" t="s">
        <v>917</v>
      </c>
      <c r="B4" s="322" t="s">
        <v>898</v>
      </c>
      <c r="C4" s="322" t="s">
        <v>899</v>
      </c>
      <c r="D4" s="322" t="s">
        <v>901</v>
      </c>
      <c r="E4" s="322" t="s">
        <v>903</v>
      </c>
      <c r="F4" s="322" t="s">
        <v>904</v>
      </c>
      <c r="G4" s="322" t="s">
        <v>918</v>
      </c>
      <c r="H4" s="322" t="s">
        <v>900</v>
      </c>
      <c r="I4" s="322" t="s">
        <v>905</v>
      </c>
      <c r="J4" s="322" t="s">
        <v>906</v>
      </c>
      <c r="K4" s="322" t="s">
        <v>919</v>
      </c>
    </row>
    <row r="5" spans="1:13">
      <c r="A5" s="311" t="s">
        <v>895</v>
      </c>
      <c r="B5" s="314"/>
      <c r="C5" s="314"/>
      <c r="D5" s="314"/>
      <c r="E5" s="314"/>
      <c r="F5" s="314">
        <v>1</v>
      </c>
      <c r="G5" s="314"/>
      <c r="H5" s="314"/>
      <c r="I5" s="314"/>
      <c r="J5" s="314"/>
      <c r="K5" s="314">
        <v>1</v>
      </c>
      <c r="M5" t="s">
        <v>895</v>
      </c>
    </row>
    <row r="6" spans="1:13">
      <c r="A6" s="311" t="s">
        <v>751</v>
      </c>
      <c r="B6" s="314"/>
      <c r="C6" s="314"/>
      <c r="D6" s="314"/>
      <c r="E6" s="314">
        <v>1</v>
      </c>
      <c r="F6" s="314"/>
      <c r="G6" s="314"/>
      <c r="H6" s="314"/>
      <c r="I6" s="314"/>
      <c r="J6" s="314"/>
      <c r="K6" s="314">
        <v>1</v>
      </c>
      <c r="M6" t="s">
        <v>751</v>
      </c>
    </row>
    <row r="7" spans="1:13">
      <c r="A7" s="311" t="s">
        <v>892</v>
      </c>
      <c r="B7" s="314"/>
      <c r="C7" s="314"/>
      <c r="D7" s="314"/>
      <c r="E7" s="314"/>
      <c r="F7" s="314"/>
      <c r="G7" s="314"/>
      <c r="H7" s="314">
        <v>1</v>
      </c>
      <c r="I7" s="314"/>
      <c r="J7" s="314"/>
      <c r="K7" s="314">
        <v>1</v>
      </c>
      <c r="M7" t="s">
        <v>892</v>
      </c>
    </row>
    <row r="8" spans="1:13">
      <c r="A8" s="311" t="s">
        <v>893</v>
      </c>
      <c r="B8" s="314"/>
      <c r="C8" s="314"/>
      <c r="D8" s="314"/>
      <c r="E8" s="314"/>
      <c r="F8" s="314"/>
      <c r="G8" s="314"/>
      <c r="H8" s="314">
        <v>1</v>
      </c>
      <c r="I8" s="314"/>
      <c r="J8" s="314"/>
      <c r="K8" s="314">
        <v>1</v>
      </c>
      <c r="M8" t="s">
        <v>893</v>
      </c>
    </row>
    <row r="9" spans="1:13">
      <c r="A9" s="311" t="s">
        <v>883</v>
      </c>
      <c r="B9" s="314">
        <v>1</v>
      </c>
      <c r="C9" s="314"/>
      <c r="D9" s="314"/>
      <c r="E9" s="314"/>
      <c r="F9" s="314"/>
      <c r="G9" s="314"/>
      <c r="H9" s="314"/>
      <c r="I9" s="314"/>
      <c r="J9" s="314"/>
      <c r="K9" s="314">
        <v>1</v>
      </c>
      <c r="M9" t="s">
        <v>883</v>
      </c>
    </row>
    <row r="10" spans="1:13">
      <c r="A10" s="311" t="s">
        <v>894</v>
      </c>
      <c r="B10" s="314"/>
      <c r="C10" s="314"/>
      <c r="D10" s="314"/>
      <c r="E10" s="314"/>
      <c r="F10" s="314"/>
      <c r="G10" s="314"/>
      <c r="H10" s="314">
        <v>1</v>
      </c>
      <c r="I10" s="314"/>
      <c r="J10" s="314"/>
      <c r="K10" s="314">
        <v>1</v>
      </c>
      <c r="M10" t="s">
        <v>894</v>
      </c>
    </row>
    <row r="11" spans="1:13">
      <c r="A11" s="311" t="s">
        <v>885</v>
      </c>
      <c r="B11" s="314"/>
      <c r="C11" s="314">
        <v>5</v>
      </c>
      <c r="D11" s="314"/>
      <c r="E11" s="314"/>
      <c r="F11" s="314"/>
      <c r="G11" s="314"/>
      <c r="H11" s="314"/>
      <c r="I11" s="314"/>
      <c r="J11" s="314"/>
      <c r="K11" s="314">
        <v>5</v>
      </c>
      <c r="M11" t="s">
        <v>885</v>
      </c>
    </row>
    <row r="12" spans="1:13">
      <c r="A12" s="311" t="s">
        <v>886</v>
      </c>
      <c r="B12" s="314"/>
      <c r="C12" s="314">
        <v>1</v>
      </c>
      <c r="D12" s="314"/>
      <c r="E12" s="314"/>
      <c r="F12" s="314"/>
      <c r="G12" s="314"/>
      <c r="H12" s="314"/>
      <c r="I12" s="314"/>
      <c r="J12" s="314"/>
      <c r="K12" s="314">
        <v>1</v>
      </c>
      <c r="M12" t="s">
        <v>886</v>
      </c>
    </row>
    <row r="13" spans="1:13">
      <c r="A13" s="311" t="s">
        <v>891</v>
      </c>
      <c r="B13" s="314"/>
      <c r="C13" s="314"/>
      <c r="D13" s="314">
        <v>1</v>
      </c>
      <c r="E13" s="314"/>
      <c r="F13" s="314"/>
      <c r="G13" s="314"/>
      <c r="H13" s="314"/>
      <c r="I13" s="314"/>
      <c r="J13" s="314"/>
      <c r="K13" s="314">
        <v>1</v>
      </c>
      <c r="M13" t="s">
        <v>891</v>
      </c>
    </row>
    <row r="14" spans="1:13">
      <c r="A14" s="311" t="s">
        <v>884</v>
      </c>
      <c r="B14" s="314">
        <v>2</v>
      </c>
      <c r="C14" s="314"/>
      <c r="D14" s="314"/>
      <c r="E14" s="314"/>
      <c r="F14" s="314"/>
      <c r="G14" s="314"/>
      <c r="H14" s="314"/>
      <c r="I14" s="314"/>
      <c r="J14" s="314"/>
      <c r="K14" s="314">
        <v>2</v>
      </c>
      <c r="M14" t="s">
        <v>884</v>
      </c>
    </row>
    <row r="15" spans="1:13">
      <c r="A15" s="311" t="s">
        <v>887</v>
      </c>
      <c r="B15" s="314"/>
      <c r="C15" s="314">
        <v>2</v>
      </c>
      <c r="D15" s="314"/>
      <c r="E15" s="314"/>
      <c r="F15" s="314"/>
      <c r="G15" s="314"/>
      <c r="H15" s="314"/>
      <c r="I15" s="314"/>
      <c r="J15" s="314"/>
      <c r="K15" s="314">
        <v>2</v>
      </c>
      <c r="M15" t="s">
        <v>887</v>
      </c>
    </row>
    <row r="16" spans="1:13">
      <c r="A16" s="311" t="s">
        <v>918</v>
      </c>
      <c r="B16" s="314"/>
      <c r="C16" s="314"/>
      <c r="D16" s="314"/>
      <c r="E16" s="314"/>
      <c r="F16" s="314"/>
      <c r="G16" s="314"/>
      <c r="H16" s="314"/>
      <c r="I16" s="314"/>
      <c r="J16" s="314"/>
      <c r="K16" s="314"/>
    </row>
    <row r="17" spans="1:14">
      <c r="A17" s="311" t="s">
        <v>888</v>
      </c>
      <c r="B17" s="314"/>
      <c r="C17" s="314"/>
      <c r="D17" s="314"/>
      <c r="E17" s="314"/>
      <c r="F17" s="314">
        <v>1</v>
      </c>
      <c r="G17" s="314"/>
      <c r="H17" s="314"/>
      <c r="I17" s="314"/>
      <c r="J17" s="314"/>
      <c r="K17" s="314">
        <v>1</v>
      </c>
      <c r="M17" t="s">
        <v>888</v>
      </c>
    </row>
    <row r="18" spans="1:14">
      <c r="A18" s="311" t="s">
        <v>889</v>
      </c>
      <c r="B18" s="314"/>
      <c r="C18" s="314"/>
      <c r="D18" s="314"/>
      <c r="E18" s="314"/>
      <c r="F18" s="314">
        <v>1</v>
      </c>
      <c r="G18" s="314"/>
      <c r="H18" s="314"/>
      <c r="I18" s="314"/>
      <c r="J18" s="314"/>
      <c r="K18" s="314">
        <v>1</v>
      </c>
      <c r="M18" t="s">
        <v>889</v>
      </c>
    </row>
    <row r="19" spans="1:14">
      <c r="A19" s="311" t="s">
        <v>890</v>
      </c>
      <c r="B19" s="314"/>
      <c r="C19" s="314"/>
      <c r="D19" s="314"/>
      <c r="E19" s="314"/>
      <c r="F19" s="314">
        <v>1</v>
      </c>
      <c r="G19" s="314"/>
      <c r="H19" s="314"/>
      <c r="I19" s="314"/>
      <c r="J19" s="314"/>
      <c r="K19" s="314">
        <v>1</v>
      </c>
      <c r="M19" t="s">
        <v>890</v>
      </c>
    </row>
    <row r="20" spans="1:14">
      <c r="A20" s="311" t="s">
        <v>753</v>
      </c>
      <c r="B20" s="314"/>
      <c r="C20" s="314"/>
      <c r="D20" s="314"/>
      <c r="E20" s="314"/>
      <c r="F20" s="314"/>
      <c r="G20" s="314"/>
      <c r="H20" s="314"/>
      <c r="I20" s="314">
        <v>1</v>
      </c>
      <c r="J20" s="314"/>
      <c r="K20" s="314">
        <v>1</v>
      </c>
      <c r="M20" t="s">
        <v>753</v>
      </c>
    </row>
    <row r="21" spans="1:14">
      <c r="A21" s="311" t="s">
        <v>836</v>
      </c>
      <c r="B21" s="314"/>
      <c r="C21" s="314"/>
      <c r="D21" s="314"/>
      <c r="E21" s="314"/>
      <c r="F21" s="314"/>
      <c r="G21" s="314"/>
      <c r="H21" s="314"/>
      <c r="I21" s="314"/>
      <c r="J21" s="314">
        <v>1</v>
      </c>
      <c r="K21" s="314">
        <v>1</v>
      </c>
      <c r="M21" t="s">
        <v>836</v>
      </c>
      <c r="N21" t="s">
        <v>896</v>
      </c>
    </row>
    <row r="22" spans="1:14">
      <c r="A22" s="311" t="s">
        <v>896</v>
      </c>
      <c r="B22" s="314"/>
      <c r="C22" s="314"/>
      <c r="D22" s="314"/>
      <c r="E22" s="314"/>
      <c r="F22" s="314">
        <v>1</v>
      </c>
      <c r="G22" s="314"/>
      <c r="H22" s="314"/>
      <c r="I22" s="314"/>
      <c r="J22" s="314"/>
      <c r="K22" s="314">
        <v>1</v>
      </c>
      <c r="N22" t="s">
        <v>897</v>
      </c>
    </row>
    <row r="23" spans="1:14">
      <c r="A23" s="311" t="s">
        <v>919</v>
      </c>
      <c r="B23" s="314">
        <v>3</v>
      </c>
      <c r="C23" s="314">
        <v>8</v>
      </c>
      <c r="D23" s="314">
        <v>1</v>
      </c>
      <c r="E23" s="314">
        <v>1</v>
      </c>
      <c r="F23" s="314">
        <v>5</v>
      </c>
      <c r="G23" s="314"/>
      <c r="H23" s="314">
        <v>3</v>
      </c>
      <c r="I23" s="314">
        <v>1</v>
      </c>
      <c r="J23" s="314">
        <v>1</v>
      </c>
      <c r="K23" s="314">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8" t="s">
        <v>1330</v>
      </c>
      <c r="L1" s="318">
        <f>VALUE(RIGHT(Planning!B10,1))</f>
        <v>5</v>
      </c>
      <c r="M1" s="125" t="s">
        <v>1331</v>
      </c>
    </row>
    <row r="2" spans="1:13" s="125" customFormat="1">
      <c r="A2" s="322" t="s">
        <v>898</v>
      </c>
      <c r="B2" s="322" t="s">
        <v>1602</v>
      </c>
      <c r="C2" s="322" t="s">
        <v>883</v>
      </c>
      <c r="D2" s="322" t="s">
        <v>1615</v>
      </c>
      <c r="E2" s="322" t="s">
        <v>1158</v>
      </c>
      <c r="F2" s="322" t="s">
        <v>898</v>
      </c>
      <c r="G2" s="322" t="s">
        <v>411</v>
      </c>
      <c r="H2" s="319" t="str">
        <f t="shared" ref="H2" si="0">VLOOKUP(E2,tbl_RolePAlookup,2,FALSE)</f>
        <v>[4] Engineering</v>
      </c>
      <c r="I2" s="320">
        <f t="shared" ref="I2" si="1">VLOOKUP(C2,tbl_PAcount,L$1+1,FALSE)</f>
        <v>10</v>
      </c>
    </row>
    <row r="3" spans="1:13" s="125" customFormat="1">
      <c r="A3" s="322" t="s">
        <v>898</v>
      </c>
      <c r="B3" s="322" t="s">
        <v>1602</v>
      </c>
      <c r="C3" s="322" t="s">
        <v>884</v>
      </c>
      <c r="D3" s="322" t="s">
        <v>1614</v>
      </c>
      <c r="E3" s="322" t="s">
        <v>913</v>
      </c>
      <c r="F3" s="322" t="s">
        <v>898</v>
      </c>
      <c r="G3" s="322" t="s">
        <v>411</v>
      </c>
      <c r="H3" s="319" t="str">
        <f t="shared" ref="H3:H18" si="2">VLOOKUP(E3,tbl_RolePAlookup,2,FALSE)</f>
        <v>[4] Engineering</v>
      </c>
      <c r="I3" s="320">
        <f t="shared" ref="I3:I18" si="3">VLOOKUP(C3,tbl_PAcount,L$1+1,FALSE)</f>
        <v>10</v>
      </c>
    </row>
    <row r="4" spans="1:13" s="125" customFormat="1">
      <c r="A4" s="322" t="s">
        <v>899</v>
      </c>
      <c r="B4" s="322" t="s">
        <v>1603</v>
      </c>
      <c r="C4" s="322" t="s">
        <v>885</v>
      </c>
      <c r="D4" s="322" t="s">
        <v>1618</v>
      </c>
      <c r="E4" s="322" t="s">
        <v>912</v>
      </c>
      <c r="F4" s="322" t="s">
        <v>899</v>
      </c>
      <c r="G4" s="322" t="s">
        <v>411</v>
      </c>
      <c r="H4" s="319" t="str">
        <f t="shared" si="2"/>
        <v>[4] Engineering</v>
      </c>
      <c r="I4" s="320">
        <f t="shared" si="3"/>
        <v>6</v>
      </c>
    </row>
    <row r="5" spans="1:13" s="125" customFormat="1">
      <c r="A5" s="322" t="s">
        <v>899</v>
      </c>
      <c r="B5" s="322" t="s">
        <v>1603</v>
      </c>
      <c r="C5" s="322" t="s">
        <v>886</v>
      </c>
      <c r="D5" s="322" t="s">
        <v>1618</v>
      </c>
      <c r="E5" s="322" t="s">
        <v>912</v>
      </c>
      <c r="F5" s="322" t="s">
        <v>899</v>
      </c>
      <c r="G5" s="322" t="s">
        <v>411</v>
      </c>
      <c r="H5" s="319" t="str">
        <f t="shared" si="2"/>
        <v>[4] Engineering</v>
      </c>
      <c r="I5" s="320">
        <f t="shared" si="3"/>
        <v>14</v>
      </c>
    </row>
    <row r="6" spans="1:13" s="125" customFormat="1">
      <c r="A6" s="322" t="s">
        <v>899</v>
      </c>
      <c r="B6" s="322" t="s">
        <v>1603</v>
      </c>
      <c r="C6" s="322" t="s">
        <v>887</v>
      </c>
      <c r="D6" s="322" t="s">
        <v>1620</v>
      </c>
      <c r="E6" s="322" t="s">
        <v>1158</v>
      </c>
      <c r="F6" s="322" t="s">
        <v>899</v>
      </c>
      <c r="G6" s="322" t="s">
        <v>411</v>
      </c>
      <c r="H6" s="319" t="str">
        <f t="shared" si="2"/>
        <v>[4] Engineering</v>
      </c>
      <c r="I6" s="320">
        <f t="shared" si="3"/>
        <v>7</v>
      </c>
    </row>
    <row r="7" spans="1:13" s="125" customFormat="1">
      <c r="A7" s="322" t="s">
        <v>900</v>
      </c>
      <c r="B7" s="322" t="s">
        <v>1605</v>
      </c>
      <c r="C7" s="322" t="s">
        <v>892</v>
      </c>
      <c r="D7" s="322" t="s">
        <v>1627</v>
      </c>
      <c r="E7" s="322" t="s">
        <v>1424</v>
      </c>
      <c r="F7" s="322" t="s">
        <v>900</v>
      </c>
      <c r="G7" s="322" t="s">
        <v>411</v>
      </c>
      <c r="H7" s="319" t="str">
        <f t="shared" si="2"/>
        <v>[3] Project Management</v>
      </c>
      <c r="I7" s="320">
        <f t="shared" si="3"/>
        <v>6</v>
      </c>
    </row>
    <row r="8" spans="1:13" s="125" customFormat="1">
      <c r="A8" s="322" t="s">
        <v>900</v>
      </c>
      <c r="B8" s="322" t="s">
        <v>1605</v>
      </c>
      <c r="C8" s="322" t="s">
        <v>893</v>
      </c>
      <c r="D8" s="322" t="s">
        <v>1627</v>
      </c>
      <c r="E8" s="322" t="s">
        <v>1424</v>
      </c>
      <c r="F8" s="322" t="s">
        <v>900</v>
      </c>
      <c r="G8" s="322" t="s">
        <v>411</v>
      </c>
      <c r="H8" s="319" t="str">
        <f t="shared" si="2"/>
        <v>[3] Project Management</v>
      </c>
      <c r="I8" s="320">
        <f t="shared" si="3"/>
        <v>10</v>
      </c>
    </row>
    <row r="9" spans="1:13" s="125" customFormat="1">
      <c r="A9" s="322" t="s">
        <v>900</v>
      </c>
      <c r="B9" s="322" t="s">
        <v>1605</v>
      </c>
      <c r="C9" s="322" t="s">
        <v>894</v>
      </c>
      <c r="D9" s="322" t="s">
        <v>1627</v>
      </c>
      <c r="E9" s="322" t="s">
        <v>1424</v>
      </c>
      <c r="F9" s="322" t="s">
        <v>900</v>
      </c>
      <c r="G9" s="322" t="s">
        <v>411</v>
      </c>
      <c r="H9" s="319" t="str">
        <f t="shared" si="2"/>
        <v>[3] Project Management</v>
      </c>
      <c r="I9" s="320">
        <f t="shared" si="3"/>
        <v>15</v>
      </c>
    </row>
    <row r="10" spans="1:13" s="125" customFormat="1">
      <c r="A10" s="322" t="s">
        <v>901</v>
      </c>
      <c r="B10" s="322" t="s">
        <v>1607</v>
      </c>
      <c r="C10" s="322" t="s">
        <v>891</v>
      </c>
      <c r="D10" s="322" t="s">
        <v>1632</v>
      </c>
      <c r="E10" s="322" t="s">
        <v>1424</v>
      </c>
      <c r="F10" s="322" t="s">
        <v>901</v>
      </c>
      <c r="G10" s="322" t="s">
        <v>411</v>
      </c>
      <c r="H10" s="319" t="str">
        <f t="shared" si="2"/>
        <v>[3] Project Management</v>
      </c>
      <c r="I10" s="320">
        <f t="shared" si="3"/>
        <v>8</v>
      </c>
    </row>
    <row r="11" spans="1:13" s="125" customFormat="1">
      <c r="A11" s="322" t="s">
        <v>903</v>
      </c>
      <c r="B11" s="322" t="s">
        <v>1390</v>
      </c>
      <c r="C11" s="322" t="s">
        <v>751</v>
      </c>
      <c r="D11" s="322" t="s">
        <v>1633</v>
      </c>
      <c r="E11" s="322" t="s">
        <v>1423</v>
      </c>
      <c r="F11" s="322" t="s">
        <v>903</v>
      </c>
      <c r="G11" s="322" t="s">
        <v>411</v>
      </c>
      <c r="H11" s="319" t="str">
        <f t="shared" si="2"/>
        <v>[5] Configuration Management</v>
      </c>
      <c r="I11" s="320">
        <f t="shared" si="3"/>
        <v>7</v>
      </c>
    </row>
    <row r="12" spans="1:13" s="125" customFormat="1">
      <c r="A12" s="322" t="s">
        <v>904</v>
      </c>
      <c r="B12" s="322" t="s">
        <v>1391</v>
      </c>
      <c r="C12" s="322" t="s">
        <v>895</v>
      </c>
      <c r="D12" s="322" t="s">
        <v>1634</v>
      </c>
      <c r="E12" s="322" t="s">
        <v>1425</v>
      </c>
      <c r="F12" s="322" t="s">
        <v>904</v>
      </c>
      <c r="G12" s="322" t="s">
        <v>411</v>
      </c>
      <c r="H12" s="319" t="str">
        <f t="shared" si="2"/>
        <v>[6] Process Management</v>
      </c>
      <c r="I12" s="320">
        <f t="shared" si="3"/>
        <v>11</v>
      </c>
    </row>
    <row r="13" spans="1:13">
      <c r="A13" s="322" t="s">
        <v>904</v>
      </c>
      <c r="B13" s="322" t="s">
        <v>1391</v>
      </c>
      <c r="C13" s="322" t="s">
        <v>896</v>
      </c>
      <c r="D13" s="322" t="s">
        <v>1634</v>
      </c>
      <c r="E13" s="322" t="s">
        <v>1425</v>
      </c>
      <c r="F13" s="322" t="s">
        <v>904</v>
      </c>
      <c r="G13" s="322" t="s">
        <v>411</v>
      </c>
      <c r="H13" s="319" t="str">
        <f t="shared" si="2"/>
        <v>[6] Process Management</v>
      </c>
      <c r="I13" s="320">
        <f t="shared" si="3"/>
        <v>8</v>
      </c>
    </row>
    <row r="14" spans="1:13">
      <c r="A14" s="322" t="s">
        <v>904</v>
      </c>
      <c r="B14" s="322" t="s">
        <v>1391</v>
      </c>
      <c r="C14" s="322" t="s">
        <v>888</v>
      </c>
      <c r="D14" s="322" t="s">
        <v>1634</v>
      </c>
      <c r="E14" s="322" t="s">
        <v>1425</v>
      </c>
      <c r="F14" s="322" t="s">
        <v>904</v>
      </c>
      <c r="G14" s="322" t="s">
        <v>411</v>
      </c>
      <c r="H14" s="319" t="str">
        <f t="shared" si="2"/>
        <v>[6] Process Management</v>
      </c>
      <c r="I14" s="320">
        <f t="shared" si="3"/>
        <v>22</v>
      </c>
    </row>
    <row r="15" spans="1:13">
      <c r="A15" s="322" t="s">
        <v>904</v>
      </c>
      <c r="B15" s="322" t="s">
        <v>1391</v>
      </c>
      <c r="C15" s="322" t="s">
        <v>889</v>
      </c>
      <c r="D15" s="322" t="s">
        <v>1634</v>
      </c>
      <c r="E15" s="322" t="s">
        <v>1425</v>
      </c>
      <c r="F15" s="322" t="s">
        <v>904</v>
      </c>
      <c r="G15" s="322" t="s">
        <v>411</v>
      </c>
      <c r="H15" s="319" t="str">
        <f t="shared" si="2"/>
        <v>[6] Process Management</v>
      </c>
      <c r="I15" s="320">
        <f t="shared" si="3"/>
        <v>11</v>
      </c>
    </row>
    <row r="16" spans="1:13">
      <c r="A16" s="322" t="s">
        <v>904</v>
      </c>
      <c r="B16" s="322" t="s">
        <v>1391</v>
      </c>
      <c r="C16" s="322" t="s">
        <v>890</v>
      </c>
      <c r="D16" s="322" t="s">
        <v>1634</v>
      </c>
      <c r="E16" s="322" t="s">
        <v>1425</v>
      </c>
      <c r="F16" s="322" t="s">
        <v>904</v>
      </c>
      <c r="G16" s="322" t="s">
        <v>411</v>
      </c>
      <c r="H16" s="319" t="str">
        <f t="shared" si="2"/>
        <v>[6] Process Management</v>
      </c>
      <c r="I16" s="320">
        <f t="shared" si="3"/>
        <v>11</v>
      </c>
    </row>
    <row r="17" spans="1:9">
      <c r="A17" s="322" t="s">
        <v>905</v>
      </c>
      <c r="B17" s="322" t="s">
        <v>1392</v>
      </c>
      <c r="C17" s="322" t="s">
        <v>753</v>
      </c>
      <c r="D17" s="322" t="s">
        <v>1635</v>
      </c>
      <c r="E17" s="322" t="s">
        <v>1422</v>
      </c>
      <c r="F17" s="322" t="s">
        <v>905</v>
      </c>
      <c r="G17" s="322" t="s">
        <v>411</v>
      </c>
      <c r="H17" s="319" t="str">
        <f t="shared" si="2"/>
        <v>[7] Organisational Training</v>
      </c>
      <c r="I17" s="320">
        <f t="shared" si="3"/>
        <v>9</v>
      </c>
    </row>
    <row r="18" spans="1:9">
      <c r="A18" s="322" t="s">
        <v>906</v>
      </c>
      <c r="B18" s="322" t="s">
        <v>1393</v>
      </c>
      <c r="C18" s="322" t="s">
        <v>836</v>
      </c>
      <c r="D18" s="322" t="s">
        <v>1636</v>
      </c>
      <c r="E18" s="322" t="s">
        <v>1257</v>
      </c>
      <c r="F18" s="322" t="s">
        <v>906</v>
      </c>
      <c r="G18" s="322" t="s">
        <v>411</v>
      </c>
      <c r="H18" s="319" t="str">
        <f t="shared" si="2"/>
        <v>[8] Process Quality Assurance</v>
      </c>
      <c r="I18" s="320">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8" t="s">
        <v>1330</v>
      </c>
      <c r="E1" s="318">
        <f>VALUE(RIGHT(Planning!B10,1))</f>
        <v>5</v>
      </c>
      <c r="F1" s="125" t="s">
        <v>1331</v>
      </c>
    </row>
    <row r="3" spans="1:10" ht="29">
      <c r="A3" s="313" t="s">
        <v>917</v>
      </c>
      <c r="B3" t="s">
        <v>1329</v>
      </c>
      <c r="D3" s="420" t="s">
        <v>1339</v>
      </c>
      <c r="E3" s="420" t="s">
        <v>926</v>
      </c>
      <c r="F3" s="421" t="s">
        <v>911</v>
      </c>
      <c r="G3" s="420" t="s">
        <v>1332</v>
      </c>
      <c r="H3" s="420" t="s">
        <v>1333</v>
      </c>
      <c r="I3" s="420" t="s">
        <v>1334</v>
      </c>
      <c r="J3" s="420" t="s">
        <v>1335</v>
      </c>
    </row>
    <row r="4" spans="1:10">
      <c r="A4" s="311" t="s">
        <v>992</v>
      </c>
      <c r="B4" s="314">
        <v>39</v>
      </c>
      <c r="D4" t="s">
        <v>992</v>
      </c>
      <c r="E4" s="314">
        <v>45</v>
      </c>
      <c r="F4">
        <f t="shared" ref="F4:F9" si="0">VLOOKUP($F$3,tbl_PAcount,$E$1+1,FALSE)</f>
        <v>6</v>
      </c>
      <c r="G4" s="321">
        <f>F4+E4</f>
        <v>51</v>
      </c>
      <c r="H4">
        <v>3</v>
      </c>
      <c r="I4" s="321">
        <f>H4*G4</f>
        <v>153</v>
      </c>
      <c r="J4" s="321">
        <f>I4/60</f>
        <v>2.5499999999999998</v>
      </c>
    </row>
    <row r="5" spans="1:10">
      <c r="A5" s="311" t="s">
        <v>993</v>
      </c>
      <c r="B5" s="314">
        <v>47</v>
      </c>
      <c r="D5" t="s">
        <v>993</v>
      </c>
      <c r="E5" s="314">
        <v>41</v>
      </c>
      <c r="F5" s="310">
        <f t="shared" si="0"/>
        <v>6</v>
      </c>
      <c r="G5" s="321">
        <f t="shared" ref="G5:G9" si="1">F5+E5</f>
        <v>47</v>
      </c>
      <c r="H5" s="310">
        <v>3</v>
      </c>
      <c r="I5" s="321">
        <f t="shared" ref="I5:I9" si="2">H5*G5</f>
        <v>141</v>
      </c>
      <c r="J5" s="321">
        <f t="shared" ref="J5:J9" si="3">I5/60</f>
        <v>2.35</v>
      </c>
    </row>
    <row r="6" spans="1:10">
      <c r="A6" s="311" t="s">
        <v>994</v>
      </c>
      <c r="B6" s="314">
        <v>7</v>
      </c>
      <c r="D6" t="s">
        <v>994</v>
      </c>
      <c r="E6" s="314">
        <v>7</v>
      </c>
      <c r="F6" s="310">
        <f t="shared" si="0"/>
        <v>6</v>
      </c>
      <c r="G6" s="321">
        <f t="shared" si="1"/>
        <v>13</v>
      </c>
      <c r="H6" s="310">
        <v>3</v>
      </c>
      <c r="I6" s="321">
        <f t="shared" si="2"/>
        <v>39</v>
      </c>
      <c r="J6" s="321">
        <f t="shared" si="3"/>
        <v>0.65</v>
      </c>
    </row>
    <row r="7" spans="1:10">
      <c r="A7" s="311" t="s">
        <v>995</v>
      </c>
      <c r="B7" s="314">
        <v>63</v>
      </c>
      <c r="D7" t="s">
        <v>995</v>
      </c>
      <c r="E7" s="314">
        <v>63</v>
      </c>
      <c r="F7" s="310">
        <f t="shared" si="0"/>
        <v>6</v>
      </c>
      <c r="G7" s="321">
        <f t="shared" si="1"/>
        <v>69</v>
      </c>
      <c r="H7" s="310">
        <v>3</v>
      </c>
      <c r="I7" s="321">
        <f t="shared" si="2"/>
        <v>207</v>
      </c>
      <c r="J7" s="321">
        <f t="shared" si="3"/>
        <v>3.45</v>
      </c>
    </row>
    <row r="8" spans="1:10">
      <c r="A8" s="311" t="s">
        <v>996</v>
      </c>
      <c r="B8" s="314">
        <v>9</v>
      </c>
      <c r="D8" t="s">
        <v>996</v>
      </c>
      <c r="E8" s="314">
        <v>9</v>
      </c>
      <c r="F8" s="310">
        <f t="shared" si="0"/>
        <v>6</v>
      </c>
      <c r="G8" s="321">
        <f t="shared" si="1"/>
        <v>15</v>
      </c>
      <c r="H8" s="310">
        <v>3</v>
      </c>
      <c r="I8" s="321">
        <f t="shared" si="2"/>
        <v>45</v>
      </c>
      <c r="J8" s="321">
        <f t="shared" si="3"/>
        <v>0.75</v>
      </c>
    </row>
    <row r="9" spans="1:10">
      <c r="A9" s="311" t="s">
        <v>1002</v>
      </c>
      <c r="B9" s="314">
        <v>6</v>
      </c>
      <c r="D9" t="s">
        <v>1002</v>
      </c>
      <c r="E9" s="314">
        <v>6</v>
      </c>
      <c r="F9" s="310">
        <f t="shared" si="0"/>
        <v>6</v>
      </c>
      <c r="G9" s="321">
        <f t="shared" si="1"/>
        <v>12</v>
      </c>
      <c r="H9" s="310">
        <v>3</v>
      </c>
      <c r="I9" s="321">
        <f t="shared" si="2"/>
        <v>36</v>
      </c>
      <c r="J9" s="321">
        <f t="shared" si="3"/>
        <v>0.6</v>
      </c>
    </row>
    <row r="10" spans="1:10">
      <c r="A10" s="311" t="s">
        <v>918</v>
      </c>
      <c r="B10" s="314"/>
    </row>
    <row r="11" spans="1:10">
      <c r="A11" s="311" t="s">
        <v>919</v>
      </c>
      <c r="B11" s="314">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5" t="s">
        <v>1212</v>
      </c>
      <c r="B1" s="445"/>
      <c r="C1" s="445"/>
      <c r="D1" s="445"/>
      <c r="E1" s="445"/>
      <c r="F1" s="445"/>
      <c r="G1" s="445"/>
      <c r="H1" s="65"/>
      <c r="I1" s="140" t="s">
        <v>927</v>
      </c>
      <c r="J1" s="141" t="s">
        <v>928</v>
      </c>
      <c r="K1" s="135" t="s">
        <v>929</v>
      </c>
      <c r="L1" s="135" t="s">
        <v>930</v>
      </c>
      <c r="M1" s="136"/>
      <c r="N1" s="67"/>
      <c r="O1" s="67"/>
      <c r="P1" s="67"/>
    </row>
    <row r="2" spans="1:16" ht="14.5" customHeight="1">
      <c r="A2" s="446" t="str">
        <f>CONCATENATE(TEXT(Planning!B26,"[$-x-sysdate]dddd, mmmm dd, yyyy")," (Technology test)")</f>
        <v>Thursday, 08 April 2021 (Technology test)</v>
      </c>
      <c r="B2" s="446"/>
      <c r="C2" s="446"/>
      <c r="D2" s="446"/>
      <c r="E2" s="446"/>
      <c r="F2" s="446"/>
      <c r="G2" s="446"/>
      <c r="H2" s="65"/>
      <c r="I2" s="135"/>
      <c r="J2" s="135"/>
      <c r="K2" s="135"/>
      <c r="L2" s="136"/>
      <c r="M2" s="136"/>
      <c r="N2" s="67"/>
      <c r="O2" s="67"/>
      <c r="P2" s="67"/>
    </row>
    <row r="3" spans="1:16">
      <c r="A3" s="435" t="str">
        <f>J3</f>
        <v>Day 1-2</v>
      </c>
      <c r="B3" s="435"/>
      <c r="C3" s="438" t="str">
        <f>CONCATENATE(TEXT(I3,"[$-x-sysdate]dddd, mmmm dd, yyyy")," to ",TEXT(K3,"[$-x-sysdate]dddd, mmmm dd, yyyy"))</f>
        <v>Saturday, 10 April 2021 to Sunday, 11 April 2021</v>
      </c>
      <c r="D3" s="438"/>
      <c r="E3" s="438"/>
      <c r="F3" s="435" t="str">
        <f>A3</f>
        <v>Day 1-2</v>
      </c>
      <c r="G3" s="435"/>
      <c r="H3" s="65"/>
      <c r="I3" s="142">
        <f>Planning!B27</f>
        <v>44296</v>
      </c>
      <c r="J3" s="143" t="str">
        <f>_xlfn.CONCAT("Day 1-",L3)</f>
        <v>Day 1-2</v>
      </c>
      <c r="K3" s="144">
        <f>Planning!B27+Planning!B29-1</f>
        <v>44297</v>
      </c>
      <c r="L3" s="135">
        <f>K3-I3+1</f>
        <v>2</v>
      </c>
      <c r="M3" s="136"/>
      <c r="N3" s="67"/>
      <c r="O3" s="67"/>
      <c r="P3" s="67"/>
    </row>
    <row r="4" spans="1:16" ht="29">
      <c r="A4" s="435" t="s">
        <v>931</v>
      </c>
      <c r="B4" s="435"/>
      <c r="C4" s="68" t="str">
        <f>J11</f>
        <v>Mini team 1:ATM-5 / ATM-6 / ATM-7</v>
      </c>
      <c r="D4" s="68" t="str">
        <f>M11</f>
        <v>Mini team 2: ATM-1 / ATM-2 / ATM-3 / ATM-4</v>
      </c>
      <c r="E4" s="68" t="str">
        <f>CONCATENATE("LA team: ",'Agreement 3'!B7," and ATMs if applicable")</f>
        <v>LA team: van Zyl, Pieter and ATMs if applicable</v>
      </c>
      <c r="F4" s="435" t="s">
        <v>932</v>
      </c>
      <c r="G4" s="43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3" t="s">
        <v>933</v>
      </c>
      <c r="D5" s="433" t="s">
        <v>933</v>
      </c>
      <c r="E5" s="43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3"/>
      <c r="D6" s="433"/>
      <c r="E6" s="43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3"/>
      <c r="D7" s="433"/>
      <c r="E7" s="43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3"/>
      <c r="D8" s="433"/>
      <c r="E8" s="43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3"/>
      <c r="D9" s="433"/>
      <c r="E9" s="43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3"/>
      <c r="D10" s="433"/>
      <c r="E10" s="433"/>
      <c r="F10" s="70">
        <v>0.375</v>
      </c>
      <c r="G10" s="70">
        <v>0.41666666666666669</v>
      </c>
      <c r="H10" s="65"/>
      <c r="I10" s="144"/>
      <c r="J10" s="136"/>
      <c r="K10" s="136"/>
      <c r="L10" s="136"/>
      <c r="M10" s="136"/>
      <c r="N10" s="67"/>
      <c r="O10" s="67"/>
      <c r="P10" s="67"/>
    </row>
    <row r="11" spans="1:16" ht="18" customHeight="1">
      <c r="A11" s="70">
        <v>0.66666666666666696</v>
      </c>
      <c r="B11" s="70">
        <v>0.70833333333333337</v>
      </c>
      <c r="C11" s="433"/>
      <c r="D11" s="433"/>
      <c r="E11" s="433"/>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3"/>
      <c r="D12" s="433"/>
      <c r="E12" s="43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3"/>
      <c r="D13" s="433"/>
      <c r="E13" s="43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1" t="str">
        <f>CONCATENATE("Schedule above includes ",Planning!B28," non-working day(s).")</f>
        <v>Schedule above includes 0 non-working day(s).</v>
      </c>
      <c r="B15" s="441"/>
      <c r="C15" s="441"/>
      <c r="D15" s="441"/>
      <c r="E15" s="441"/>
      <c r="F15" s="441"/>
      <c r="G15" s="441"/>
      <c r="H15" s="65"/>
      <c r="I15" s="135"/>
      <c r="K15" s="139"/>
      <c r="L15" s="135"/>
      <c r="M15" s="136"/>
      <c r="N15" s="67"/>
      <c r="O15" s="67"/>
      <c r="P15" s="67"/>
    </row>
    <row r="16" spans="1:16">
      <c r="A16" s="439" t="str">
        <f>J4</f>
        <v>Day 3</v>
      </c>
      <c r="B16" s="439"/>
      <c r="C16" s="440">
        <f>I4</f>
        <v>44298</v>
      </c>
      <c r="D16" s="440"/>
      <c r="E16" s="440"/>
      <c r="F16" s="439" t="str">
        <f>A16</f>
        <v>Day 3</v>
      </c>
      <c r="G16" s="439"/>
      <c r="H16" s="65"/>
      <c r="I16" s="135"/>
      <c r="K16" s="139"/>
      <c r="L16" s="136"/>
      <c r="M16" s="136"/>
      <c r="N16" s="67"/>
      <c r="O16" s="67"/>
      <c r="P16" s="67"/>
    </row>
    <row r="17" spans="1:18" ht="29">
      <c r="A17" s="439" t="s">
        <v>931</v>
      </c>
      <c r="B17" s="439"/>
      <c r="C17" s="71" t="str">
        <f>C4</f>
        <v>Mini team 1:ATM-5 / ATM-6 / ATM-7</v>
      </c>
      <c r="D17" s="71" t="str">
        <f>D4</f>
        <v>Mini team 2: ATM-1 / ATM-2 / ATM-3 / ATM-4</v>
      </c>
      <c r="E17" s="71" t="str">
        <f>E4</f>
        <v>LA team: van Zyl, Pieter and ATMs if applicable</v>
      </c>
      <c r="F17" s="439" t="s">
        <v>932</v>
      </c>
      <c r="G17" s="439"/>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990</v>
      </c>
      <c r="D19" s="443"/>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4" t="s">
        <v>991</v>
      </c>
      <c r="D20" s="434"/>
      <c r="E20" s="43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4"/>
      <c r="D21" s="434"/>
      <c r="E21" s="434"/>
      <c r="F21" s="70">
        <v>0.22916666666666666</v>
      </c>
      <c r="G21" s="70">
        <v>0.25</v>
      </c>
      <c r="H21" s="65"/>
      <c r="I21" s="136"/>
      <c r="J21" s="136"/>
      <c r="K21" s="136"/>
      <c r="L21" s="136"/>
      <c r="M21" s="136"/>
      <c r="N21" s="67"/>
      <c r="O21" s="67"/>
      <c r="P21" s="67"/>
    </row>
    <row r="22" spans="1:18" ht="18.649999999999999" customHeight="1">
      <c r="A22" s="70">
        <v>0.5</v>
      </c>
      <c r="B22" s="70">
        <v>0.52083333333333337</v>
      </c>
      <c r="C22" s="433" t="s">
        <v>938</v>
      </c>
      <c r="D22" s="433"/>
      <c r="E22" s="43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3"/>
      <c r="D23" s="433"/>
      <c r="E23" s="43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6" t="s">
        <v>992</v>
      </c>
      <c r="D24" s="436"/>
      <c r="E24" s="43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6"/>
      <c r="D25" s="436"/>
      <c r="E25" s="43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6"/>
      <c r="D26" s="436"/>
      <c r="E26" s="43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6"/>
      <c r="D27" s="436"/>
      <c r="E27" s="436"/>
      <c r="F27" s="70">
        <v>0.35416666666666669</v>
      </c>
      <c r="G27" s="70">
        <v>0.375</v>
      </c>
      <c r="H27" s="65"/>
      <c r="I27" s="136"/>
      <c r="J27" s="136"/>
      <c r="K27" s="136"/>
      <c r="L27" s="136"/>
      <c r="M27" s="136"/>
      <c r="N27" s="67"/>
      <c r="O27" s="67"/>
      <c r="P27" s="67"/>
    </row>
    <row r="28" spans="1:18" ht="18.649999999999999" customHeight="1">
      <c r="A28" s="70">
        <v>0.625</v>
      </c>
      <c r="B28" s="70">
        <v>0.64583333333333337</v>
      </c>
      <c r="C28" s="433" t="s">
        <v>939</v>
      </c>
      <c r="D28" s="433"/>
      <c r="E28" s="43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6" t="s">
        <v>992</v>
      </c>
      <c r="D29" s="436"/>
      <c r="E29" s="43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6"/>
      <c r="D30" s="436"/>
      <c r="E30" s="43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6"/>
      <c r="D31" s="436"/>
      <c r="E31" s="43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6"/>
      <c r="D32" s="436"/>
      <c r="E32" s="43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3" t="s">
        <v>939</v>
      </c>
      <c r="D33" s="433"/>
      <c r="E33" s="433"/>
      <c r="F33" s="70">
        <v>0.47916666666666669</v>
      </c>
      <c r="G33" s="70">
        <v>0.5</v>
      </c>
      <c r="H33" s="65"/>
      <c r="I33" s="136"/>
      <c r="J33" s="136"/>
      <c r="K33" s="136"/>
      <c r="L33" s="136"/>
      <c r="M33" s="136"/>
      <c r="N33" s="67"/>
      <c r="O33" s="67"/>
      <c r="P33" s="67"/>
    </row>
    <row r="34" spans="1:16" ht="18.649999999999999" customHeight="1">
      <c r="A34" s="70">
        <v>0.75</v>
      </c>
      <c r="B34" s="70">
        <v>0.83333333333333337</v>
      </c>
      <c r="C34" s="433" t="s">
        <v>940</v>
      </c>
      <c r="D34" s="433"/>
      <c r="E34" s="433"/>
      <c r="F34" s="70">
        <v>0.5</v>
      </c>
      <c r="G34" s="70">
        <v>0.58333333333333337</v>
      </c>
      <c r="H34" s="65"/>
      <c r="I34" s="136"/>
      <c r="J34" s="136"/>
      <c r="K34" s="136"/>
      <c r="L34" s="136"/>
      <c r="M34" s="136"/>
      <c r="N34" s="67"/>
      <c r="O34" s="67"/>
      <c r="P34" s="67"/>
    </row>
    <row r="35" spans="1:16">
      <c r="A35" s="439" t="str">
        <f>J5</f>
        <v>Day 4</v>
      </c>
      <c r="B35" s="439"/>
      <c r="C35" s="440">
        <f>I5</f>
        <v>44299</v>
      </c>
      <c r="D35" s="440"/>
      <c r="E35" s="440"/>
      <c r="F35" s="439" t="str">
        <f>A35</f>
        <v>Day 4</v>
      </c>
      <c r="G35" s="439"/>
      <c r="H35" s="74"/>
    </row>
    <row r="36" spans="1:16" ht="29">
      <c r="A36" s="439" t="s">
        <v>931</v>
      </c>
      <c r="B36" s="439"/>
      <c r="C36" s="71" t="str">
        <f>C17</f>
        <v>Mini team 1:ATM-5 / ATM-6 / ATM-7</v>
      </c>
      <c r="D36" s="71" t="str">
        <f>D17</f>
        <v>Mini team 2: ATM-1 / ATM-2 / ATM-3 / ATM-4</v>
      </c>
      <c r="E36" s="71" t="str">
        <f>E17</f>
        <v>LA team: van Zyl, Pieter and ATMs if applicable</v>
      </c>
      <c r="F36" s="439" t="s">
        <v>932</v>
      </c>
      <c r="G36" s="439"/>
      <c r="H36" s="74"/>
    </row>
    <row r="37" spans="1:16" ht="18" customHeight="1">
      <c r="A37" s="70">
        <v>0.41666666666666669</v>
      </c>
      <c r="B37" s="70">
        <v>0.4375</v>
      </c>
      <c r="C37" s="433" t="s">
        <v>939</v>
      </c>
      <c r="D37" s="433"/>
      <c r="E37" s="72" t="s">
        <v>937</v>
      </c>
      <c r="F37" s="70">
        <v>0.16666666666666666</v>
      </c>
      <c r="G37" s="70">
        <v>0.1875</v>
      </c>
      <c r="H37" s="74"/>
    </row>
    <row r="38" spans="1:16" ht="18" customHeight="1">
      <c r="A38" s="70">
        <v>0.4375</v>
      </c>
      <c r="B38" s="70">
        <v>0.45833333333333331</v>
      </c>
      <c r="C38" s="436" t="s">
        <v>993</v>
      </c>
      <c r="D38" s="436"/>
      <c r="E38" s="436"/>
      <c r="F38" s="70">
        <v>0.1875</v>
      </c>
      <c r="G38" s="70">
        <v>0.20833333333333334</v>
      </c>
      <c r="H38" s="74"/>
    </row>
    <row r="39" spans="1:16" ht="18" customHeight="1">
      <c r="A39" s="70">
        <v>0.45833333333333331</v>
      </c>
      <c r="B39" s="70">
        <v>0.47916666666666669</v>
      </c>
      <c r="C39" s="436"/>
      <c r="D39" s="436"/>
      <c r="E39" s="436"/>
      <c r="F39" s="70">
        <v>0.20833333333333334</v>
      </c>
      <c r="G39" s="70">
        <v>0.22916666666666666</v>
      </c>
      <c r="H39" s="74"/>
    </row>
    <row r="40" spans="1:16" ht="18" customHeight="1">
      <c r="A40" s="70">
        <v>0.47916666666666669</v>
      </c>
      <c r="B40" s="70">
        <v>0.5</v>
      </c>
      <c r="C40" s="436"/>
      <c r="D40" s="436"/>
      <c r="E40" s="436"/>
      <c r="F40" s="70">
        <v>0.22916666666666666</v>
      </c>
      <c r="G40" s="70">
        <v>0.25</v>
      </c>
      <c r="H40" s="74"/>
    </row>
    <row r="41" spans="1:16" ht="18" customHeight="1">
      <c r="A41" s="70">
        <v>0.5</v>
      </c>
      <c r="B41" s="70">
        <v>0.52083333333333337</v>
      </c>
      <c r="C41" s="433" t="s">
        <v>938</v>
      </c>
      <c r="D41" s="433"/>
      <c r="E41" s="433"/>
      <c r="F41" s="70">
        <v>0.25</v>
      </c>
      <c r="G41" s="70">
        <v>0.27083333333333331</v>
      </c>
      <c r="H41" s="74"/>
    </row>
    <row r="42" spans="1:16" ht="18" customHeight="1">
      <c r="A42" s="70">
        <v>0.52083333333333337</v>
      </c>
      <c r="B42" s="70">
        <v>0.54166666666666663</v>
      </c>
      <c r="C42" s="433"/>
      <c r="D42" s="433"/>
      <c r="E42" s="433"/>
      <c r="F42" s="70">
        <v>0.27083333333333331</v>
      </c>
      <c r="G42" s="70">
        <v>0.29166666666666669</v>
      </c>
      <c r="H42" s="74"/>
    </row>
    <row r="43" spans="1:16" ht="18" customHeight="1">
      <c r="A43" s="70">
        <v>0.54166666666666663</v>
      </c>
      <c r="B43" s="70">
        <v>0.5625</v>
      </c>
      <c r="C43" s="436" t="s">
        <v>993</v>
      </c>
      <c r="D43" s="436"/>
      <c r="E43" s="436"/>
      <c r="F43" s="70">
        <v>0.29166666666666669</v>
      </c>
      <c r="G43" s="70">
        <v>0.3125</v>
      </c>
      <c r="H43" s="74"/>
    </row>
    <row r="44" spans="1:16" ht="18" customHeight="1">
      <c r="A44" s="70">
        <v>0.5625</v>
      </c>
      <c r="B44" s="70">
        <v>0.58333333333333337</v>
      </c>
      <c r="C44" s="436"/>
      <c r="D44" s="436"/>
      <c r="E44" s="436"/>
      <c r="F44" s="70">
        <v>0.3125</v>
      </c>
      <c r="G44" s="70">
        <v>0.33333333333333331</v>
      </c>
      <c r="H44" s="74"/>
    </row>
    <row r="45" spans="1:16" ht="18" customHeight="1">
      <c r="A45" s="70">
        <v>0.58333333333333337</v>
      </c>
      <c r="B45" s="70">
        <v>0.60416666666666663</v>
      </c>
      <c r="C45" s="436"/>
      <c r="D45" s="436"/>
      <c r="E45" s="436"/>
      <c r="F45" s="70">
        <v>0.33333333333333331</v>
      </c>
      <c r="G45" s="70">
        <v>0.35416666666666669</v>
      </c>
      <c r="H45" s="74"/>
    </row>
    <row r="46" spans="1:16" ht="18" customHeight="1">
      <c r="A46" s="70">
        <v>0.60416666666666663</v>
      </c>
      <c r="B46" s="70">
        <v>0.625</v>
      </c>
      <c r="C46" s="436"/>
      <c r="D46" s="436"/>
      <c r="E46" s="436"/>
      <c r="F46" s="70">
        <v>0.35416666666666669</v>
      </c>
      <c r="G46" s="70">
        <v>0.375</v>
      </c>
      <c r="H46" s="74"/>
    </row>
    <row r="47" spans="1:16" ht="18" customHeight="1">
      <c r="A47" s="70">
        <v>0.625</v>
      </c>
      <c r="B47" s="70">
        <v>0.64583333333333337</v>
      </c>
      <c r="C47" s="436"/>
      <c r="D47" s="436"/>
      <c r="E47" s="436"/>
      <c r="F47" s="70">
        <v>0.375</v>
      </c>
      <c r="G47" s="70">
        <v>0.39583333333333331</v>
      </c>
      <c r="H47" s="74"/>
    </row>
    <row r="48" spans="1:16" ht="18" customHeight="1">
      <c r="A48" s="70">
        <v>0.64583333333333337</v>
      </c>
      <c r="B48" s="70">
        <v>0.66666666666666663</v>
      </c>
      <c r="C48" s="433" t="s">
        <v>939</v>
      </c>
      <c r="D48" s="433"/>
      <c r="E48" s="433" t="s">
        <v>937</v>
      </c>
      <c r="F48" s="70">
        <v>0.39583333333333331</v>
      </c>
      <c r="G48" s="70">
        <v>0.41666666666666669</v>
      </c>
      <c r="H48" s="74"/>
    </row>
    <row r="49" spans="1:8" ht="18" customHeight="1">
      <c r="A49" s="70">
        <v>0.66666666666666663</v>
      </c>
      <c r="B49" s="70">
        <v>0.6875</v>
      </c>
      <c r="C49" s="433"/>
      <c r="D49" s="433"/>
      <c r="E49" s="433"/>
      <c r="F49" s="70">
        <v>0.41666666666666669</v>
      </c>
      <c r="G49" s="70">
        <v>0.4375</v>
      </c>
      <c r="H49" s="74"/>
    </row>
    <row r="50" spans="1:8" ht="18" customHeight="1">
      <c r="A50" s="70">
        <v>0.6875</v>
      </c>
      <c r="B50" s="70">
        <v>0.70833333333333337</v>
      </c>
      <c r="C50" s="436" t="s">
        <v>994</v>
      </c>
      <c r="D50" s="436"/>
      <c r="E50" s="436"/>
      <c r="F50" s="70">
        <v>0.4375</v>
      </c>
      <c r="G50" s="70">
        <v>0.45833333333333331</v>
      </c>
      <c r="H50" s="74"/>
    </row>
    <row r="51" spans="1:8" ht="18" customHeight="1">
      <c r="A51" s="70">
        <v>0.70833333333333337</v>
      </c>
      <c r="B51" s="70">
        <v>0.72916666666666663</v>
      </c>
      <c r="C51" s="436"/>
      <c r="D51" s="436"/>
      <c r="E51" s="436"/>
      <c r="F51" s="70">
        <v>0.45833333333333331</v>
      </c>
      <c r="G51" s="70">
        <v>0.47916666666666669</v>
      </c>
      <c r="H51" s="74"/>
    </row>
    <row r="52" spans="1:8" ht="18" customHeight="1">
      <c r="A52" s="70">
        <v>0.72916666666666663</v>
      </c>
      <c r="B52" s="70">
        <v>0.75</v>
      </c>
      <c r="C52" s="433" t="s">
        <v>939</v>
      </c>
      <c r="D52" s="433"/>
      <c r="E52" s="433"/>
      <c r="F52" s="70">
        <v>0.47916666666666669</v>
      </c>
      <c r="G52" s="70">
        <v>0.5</v>
      </c>
      <c r="H52" s="74"/>
    </row>
    <row r="53" spans="1:8" ht="18" customHeight="1">
      <c r="A53" s="70">
        <v>0.75</v>
      </c>
      <c r="B53" s="70">
        <v>0.83333333333333337</v>
      </c>
      <c r="C53" s="433" t="s">
        <v>940</v>
      </c>
      <c r="D53" s="433"/>
      <c r="E53" s="433"/>
      <c r="F53" s="70">
        <v>0.5</v>
      </c>
      <c r="G53" s="70">
        <v>0.58333333333333337</v>
      </c>
      <c r="H53" s="74"/>
    </row>
    <row r="54" spans="1:8">
      <c r="A54" s="435" t="str">
        <f>J6</f>
        <v>Day 5</v>
      </c>
      <c r="B54" s="435"/>
      <c r="C54" s="438">
        <f>I6</f>
        <v>44300</v>
      </c>
      <c r="D54" s="438"/>
      <c r="E54" s="438"/>
      <c r="F54" s="435" t="str">
        <f>A54</f>
        <v>Day 5</v>
      </c>
      <c r="G54" s="435"/>
      <c r="H54" s="74"/>
    </row>
    <row r="55" spans="1:8" ht="29">
      <c r="A55" s="435" t="s">
        <v>931</v>
      </c>
      <c r="B55" s="435"/>
      <c r="C55" s="68" t="str">
        <f>C36</f>
        <v>Mini team 1:ATM-5 / ATM-6 / ATM-7</v>
      </c>
      <c r="D55" s="68" t="str">
        <f>D36</f>
        <v>Mini team 2: ATM-1 / ATM-2 / ATM-3 / ATM-4</v>
      </c>
      <c r="E55" s="68" t="str">
        <f>E36</f>
        <v>LA team: van Zyl, Pieter and ATMs if applicable</v>
      </c>
      <c r="F55" s="435" t="s">
        <v>932</v>
      </c>
      <c r="G55" s="435"/>
      <c r="H55" s="74"/>
    </row>
    <row r="56" spans="1:8" ht="18" customHeight="1">
      <c r="A56" s="70">
        <v>0.41666666666666669</v>
      </c>
      <c r="B56" s="70">
        <v>0.4375</v>
      </c>
      <c r="C56" s="433" t="s">
        <v>941</v>
      </c>
      <c r="D56" s="433"/>
      <c r="E56" s="72" t="s">
        <v>937</v>
      </c>
      <c r="F56" s="70">
        <v>0.16666666666666666</v>
      </c>
      <c r="G56" s="70">
        <v>0.1875</v>
      </c>
      <c r="H56" s="74"/>
    </row>
    <row r="57" spans="1:8" ht="18" customHeight="1">
      <c r="A57" s="70">
        <v>0.4375</v>
      </c>
      <c r="B57" s="70">
        <v>0.45833333333333331</v>
      </c>
      <c r="C57" s="436" t="s">
        <v>995</v>
      </c>
      <c r="D57" s="436"/>
      <c r="E57" s="436"/>
      <c r="F57" s="70">
        <v>0.1875</v>
      </c>
      <c r="G57" s="70">
        <v>0.20833333333333334</v>
      </c>
      <c r="H57" s="74"/>
    </row>
    <row r="58" spans="1:8" ht="18" customHeight="1">
      <c r="A58" s="70">
        <v>0.45833333333333331</v>
      </c>
      <c r="B58" s="70">
        <v>0.47916666666666669</v>
      </c>
      <c r="C58" s="436"/>
      <c r="D58" s="436"/>
      <c r="E58" s="436"/>
      <c r="F58" s="70">
        <v>0.20833333333333334</v>
      </c>
      <c r="G58" s="70">
        <v>0.22916666666666666</v>
      </c>
      <c r="H58" s="74"/>
    </row>
    <row r="59" spans="1:8" ht="18" customHeight="1">
      <c r="A59" s="70">
        <v>0.47916666666666669</v>
      </c>
      <c r="B59" s="70">
        <v>0.5</v>
      </c>
      <c r="C59" s="436"/>
      <c r="D59" s="436"/>
      <c r="E59" s="436"/>
      <c r="F59" s="70">
        <v>0.22916666666666666</v>
      </c>
      <c r="G59" s="70">
        <v>0.25</v>
      </c>
      <c r="H59" s="74"/>
    </row>
    <row r="60" spans="1:8" ht="18" customHeight="1">
      <c r="A60" s="70">
        <v>0.5</v>
      </c>
      <c r="B60" s="70">
        <v>0.52083333333333337</v>
      </c>
      <c r="C60" s="433" t="s">
        <v>938</v>
      </c>
      <c r="D60" s="433"/>
      <c r="E60" s="433"/>
      <c r="F60" s="70">
        <v>0.25</v>
      </c>
      <c r="G60" s="70">
        <v>0.27083333333333331</v>
      </c>
      <c r="H60" s="74"/>
    </row>
    <row r="61" spans="1:8" ht="18" customHeight="1">
      <c r="A61" s="70">
        <v>0.52083333333333337</v>
      </c>
      <c r="B61" s="70">
        <v>0.54166666666666663</v>
      </c>
      <c r="C61" s="433"/>
      <c r="D61" s="433"/>
      <c r="E61" s="433"/>
      <c r="F61" s="70">
        <v>0.27083333333333331</v>
      </c>
      <c r="G61" s="70">
        <v>0.29166666666666669</v>
      </c>
      <c r="H61" s="74"/>
    </row>
    <row r="62" spans="1:8" ht="18" customHeight="1">
      <c r="A62" s="70">
        <v>0.54166666666666663</v>
      </c>
      <c r="B62" s="70">
        <v>0.5625</v>
      </c>
      <c r="C62" s="436" t="s">
        <v>995</v>
      </c>
      <c r="D62" s="436"/>
      <c r="E62" s="436"/>
      <c r="F62" s="70">
        <v>0.29166666666666669</v>
      </c>
      <c r="G62" s="70">
        <v>0.3125</v>
      </c>
      <c r="H62" s="74"/>
    </row>
    <row r="63" spans="1:8" ht="18" customHeight="1">
      <c r="A63" s="70">
        <v>0.5625</v>
      </c>
      <c r="B63" s="70">
        <v>0.58333333333333337</v>
      </c>
      <c r="C63" s="436"/>
      <c r="D63" s="436"/>
      <c r="E63" s="436"/>
      <c r="F63" s="70">
        <v>0.3125</v>
      </c>
      <c r="G63" s="70">
        <v>0.33333333333333331</v>
      </c>
      <c r="H63" s="74"/>
    </row>
    <row r="64" spans="1:8" ht="18" customHeight="1">
      <c r="A64" s="70">
        <v>0.58333333333333337</v>
      </c>
      <c r="B64" s="70">
        <v>0.60416666666666663</v>
      </c>
      <c r="C64" s="436"/>
      <c r="D64" s="436"/>
      <c r="E64" s="436"/>
      <c r="F64" s="70">
        <v>0.33333333333333331</v>
      </c>
      <c r="G64" s="70">
        <v>0.35416666666666669</v>
      </c>
      <c r="H64" s="74"/>
    </row>
    <row r="65" spans="1:8" ht="18" customHeight="1">
      <c r="A65" s="70">
        <v>0.60416666666666663</v>
      </c>
      <c r="B65" s="70">
        <v>0.625</v>
      </c>
      <c r="C65" s="436"/>
      <c r="D65" s="436"/>
      <c r="E65" s="436"/>
      <c r="F65" s="70">
        <v>0.35416666666666669</v>
      </c>
      <c r="G65" s="70">
        <v>0.375</v>
      </c>
      <c r="H65" s="74"/>
    </row>
    <row r="66" spans="1:8" ht="18" customHeight="1">
      <c r="A66" s="70">
        <v>0.625</v>
      </c>
      <c r="B66" s="70">
        <v>0.64583333333333337</v>
      </c>
      <c r="C66" s="436"/>
      <c r="D66" s="436"/>
      <c r="E66" s="436"/>
      <c r="F66" s="70">
        <v>0.375</v>
      </c>
      <c r="G66" s="70">
        <v>0.39583333333333331</v>
      </c>
      <c r="H66" s="74"/>
    </row>
    <row r="67" spans="1:8" ht="18" customHeight="1">
      <c r="A67" s="70">
        <v>0.64583333333333337</v>
      </c>
      <c r="B67" s="70">
        <v>0.66666666666666663</v>
      </c>
      <c r="C67" s="436"/>
      <c r="D67" s="436"/>
      <c r="E67" s="436"/>
      <c r="F67" s="70">
        <v>0.39583333333333331</v>
      </c>
      <c r="G67" s="70">
        <v>0.41666666666666669</v>
      </c>
      <c r="H67" s="74"/>
    </row>
    <row r="68" spans="1:8" ht="18" customHeight="1">
      <c r="A68" s="70">
        <v>0.66666666666666663</v>
      </c>
      <c r="B68" s="70">
        <v>0.6875</v>
      </c>
      <c r="C68" s="433" t="s">
        <v>939</v>
      </c>
      <c r="D68" s="433"/>
      <c r="E68" s="433"/>
      <c r="F68" s="70">
        <v>0.41666666666666669</v>
      </c>
      <c r="G68" s="70">
        <v>0.4375</v>
      </c>
      <c r="H68" s="74"/>
    </row>
    <row r="69" spans="1:8" ht="18" customHeight="1">
      <c r="A69" s="70">
        <v>0.6875</v>
      </c>
      <c r="B69" s="70">
        <v>0.70833333333333337</v>
      </c>
      <c r="C69" s="436" t="s">
        <v>996</v>
      </c>
      <c r="D69" s="436"/>
      <c r="E69" s="436"/>
      <c r="F69" s="70">
        <v>0.4375</v>
      </c>
      <c r="G69" s="70">
        <v>0.45833333333333331</v>
      </c>
      <c r="H69" s="74"/>
    </row>
    <row r="70" spans="1:8" ht="18" customHeight="1">
      <c r="A70" s="70">
        <v>0.70833333333333337</v>
      </c>
      <c r="B70" s="70">
        <v>0.72916666666666663</v>
      </c>
      <c r="C70" s="436"/>
      <c r="D70" s="436"/>
      <c r="E70" s="436"/>
      <c r="F70" s="70">
        <v>0.45833333333333331</v>
      </c>
      <c r="G70" s="70">
        <v>0.47916666666666669</v>
      </c>
      <c r="H70" s="74"/>
    </row>
    <row r="71" spans="1:8" ht="18" customHeight="1">
      <c r="A71" s="70">
        <v>0.72916666666666663</v>
      </c>
      <c r="B71" s="70">
        <v>0.75</v>
      </c>
      <c r="C71" s="433" t="s">
        <v>939</v>
      </c>
      <c r="D71" s="433"/>
      <c r="E71" s="433"/>
      <c r="F71" s="70">
        <v>0.47916666666666669</v>
      </c>
      <c r="G71" s="70">
        <v>0.5</v>
      </c>
      <c r="H71" s="74"/>
    </row>
    <row r="72" spans="1:8" ht="18" customHeight="1">
      <c r="A72" s="70">
        <v>0.75</v>
      </c>
      <c r="B72" s="70">
        <v>0.83333333333333337</v>
      </c>
      <c r="C72" s="433" t="s">
        <v>940</v>
      </c>
      <c r="D72" s="433"/>
      <c r="E72" s="433"/>
      <c r="F72" s="70">
        <v>0.5</v>
      </c>
      <c r="G72" s="70">
        <v>0.58333333333333337</v>
      </c>
      <c r="H72" s="74"/>
    </row>
    <row r="73" spans="1:8">
      <c r="A73" s="435" t="str">
        <f>J7</f>
        <v>Day 6</v>
      </c>
      <c r="B73" s="435"/>
      <c r="C73" s="438">
        <f>I7</f>
        <v>44301</v>
      </c>
      <c r="D73" s="438"/>
      <c r="E73" s="438"/>
      <c r="F73" s="435" t="str">
        <f>A73</f>
        <v>Day 6</v>
      </c>
      <c r="G73" s="435"/>
      <c r="H73" s="74"/>
    </row>
    <row r="74" spans="1:8" ht="29">
      <c r="A74" s="435" t="s">
        <v>931</v>
      </c>
      <c r="B74" s="435"/>
      <c r="C74" s="68" t="str">
        <f>C55</f>
        <v>Mini team 1:ATM-5 / ATM-6 / ATM-7</v>
      </c>
      <c r="D74" s="68" t="str">
        <f>D55</f>
        <v>Mini team 2: ATM-1 / ATM-2 / ATM-3 / ATM-4</v>
      </c>
      <c r="E74" s="68" t="str">
        <f>E55</f>
        <v>LA team: van Zyl, Pieter and ATMs if applicable</v>
      </c>
      <c r="F74" s="435" t="s">
        <v>932</v>
      </c>
      <c r="G74" s="435"/>
      <c r="H74" s="74"/>
    </row>
    <row r="75" spans="1:8" ht="18" customHeight="1">
      <c r="A75" s="70">
        <v>0.41666666666666669</v>
      </c>
      <c r="B75" s="70">
        <v>0.4375</v>
      </c>
      <c r="C75" s="433" t="s">
        <v>939</v>
      </c>
      <c r="D75" s="433"/>
      <c r="E75" s="433"/>
      <c r="F75" s="70">
        <v>0.16666666666666666</v>
      </c>
      <c r="G75" s="70">
        <v>0.1875</v>
      </c>
      <c r="H75" s="74"/>
    </row>
    <row r="76" spans="1:8" ht="18" customHeight="1">
      <c r="A76" s="70">
        <v>0.4375</v>
      </c>
      <c r="B76" s="70">
        <v>0.45833333333333331</v>
      </c>
      <c r="C76" s="436" t="s">
        <v>997</v>
      </c>
      <c r="D76" s="436"/>
      <c r="E76" s="436"/>
      <c r="F76" s="70">
        <v>0.1875</v>
      </c>
      <c r="G76" s="70">
        <v>0.20833333333333334</v>
      </c>
      <c r="H76" s="74"/>
    </row>
    <row r="77" spans="1:8" ht="18" customHeight="1">
      <c r="A77" s="70">
        <v>0.45833333333333331</v>
      </c>
      <c r="B77" s="70">
        <v>0.47916666666666669</v>
      </c>
      <c r="C77" s="436"/>
      <c r="D77" s="436"/>
      <c r="E77" s="436"/>
      <c r="F77" s="70">
        <v>0.20833333333333334</v>
      </c>
      <c r="G77" s="70">
        <v>0.22916666666666666</v>
      </c>
      <c r="H77" s="74"/>
    </row>
    <row r="78" spans="1:8" ht="18" customHeight="1">
      <c r="A78" s="70">
        <v>0.47916666666666669</v>
      </c>
      <c r="B78" s="70">
        <v>0.5</v>
      </c>
      <c r="C78" s="433" t="s">
        <v>939</v>
      </c>
      <c r="D78" s="433"/>
      <c r="E78" s="433"/>
      <c r="F78" s="70">
        <v>0.22916666666666666</v>
      </c>
      <c r="G78" s="70">
        <v>0.25</v>
      </c>
      <c r="H78" s="74"/>
    </row>
    <row r="79" spans="1:8" ht="18" customHeight="1">
      <c r="A79" s="70">
        <v>0.5</v>
      </c>
      <c r="B79" s="70">
        <v>0.52083333333333337</v>
      </c>
      <c r="C79" s="433" t="s">
        <v>938</v>
      </c>
      <c r="D79" s="433"/>
      <c r="E79" s="433"/>
      <c r="F79" s="70">
        <v>0.25</v>
      </c>
      <c r="G79" s="70">
        <v>0.27083333333333331</v>
      </c>
      <c r="H79" s="74"/>
    </row>
    <row r="80" spans="1:8" ht="18" customHeight="1">
      <c r="A80" s="70">
        <v>0.52083333333333337</v>
      </c>
      <c r="B80" s="70">
        <v>0.54166666666666663</v>
      </c>
      <c r="C80" s="433"/>
      <c r="D80" s="433"/>
      <c r="E80" s="433"/>
      <c r="F80" s="70">
        <v>0.27083333333333331</v>
      </c>
      <c r="G80" s="70">
        <v>0.29166666666666669</v>
      </c>
      <c r="H80" s="74"/>
    </row>
    <row r="81" spans="1:8" ht="18" customHeight="1">
      <c r="A81" s="70">
        <v>0.54166666666666663</v>
      </c>
      <c r="B81" s="70">
        <v>0.5625</v>
      </c>
      <c r="C81" s="437" t="s">
        <v>942</v>
      </c>
      <c r="D81" s="437"/>
      <c r="E81" s="437"/>
      <c r="F81" s="70">
        <v>0.29166666666666669</v>
      </c>
      <c r="G81" s="70">
        <v>0.3125</v>
      </c>
      <c r="H81" s="74"/>
    </row>
    <row r="82" spans="1:8" ht="18" customHeight="1">
      <c r="A82" s="70">
        <v>0.5625</v>
      </c>
      <c r="B82" s="70">
        <v>0.58333333333333337</v>
      </c>
      <c r="C82" s="437"/>
      <c r="D82" s="437"/>
      <c r="E82" s="437"/>
      <c r="F82" s="70">
        <v>0.3125</v>
      </c>
      <c r="G82" s="70">
        <v>0.33333333333333331</v>
      </c>
      <c r="H82" s="74"/>
    </row>
    <row r="83" spans="1:8" ht="18" customHeight="1">
      <c r="A83" s="70">
        <v>0.58333333333333337</v>
      </c>
      <c r="B83" s="70">
        <v>0.60416666666666663</v>
      </c>
      <c r="C83" s="437"/>
      <c r="D83" s="437"/>
      <c r="E83" s="437"/>
      <c r="F83" s="70">
        <v>0.33333333333333331</v>
      </c>
      <c r="G83" s="70">
        <v>0.35416666666666669</v>
      </c>
      <c r="H83" s="74"/>
    </row>
    <row r="84" spans="1:8" ht="18" customHeight="1">
      <c r="A84" s="70">
        <v>0.60416666666666663</v>
      </c>
      <c r="B84" s="70">
        <v>0.625</v>
      </c>
      <c r="C84" s="437"/>
      <c r="D84" s="437"/>
      <c r="E84" s="437"/>
      <c r="F84" s="70">
        <v>0.35416666666666669</v>
      </c>
      <c r="G84" s="70">
        <v>0.375</v>
      </c>
      <c r="H84" s="74"/>
    </row>
    <row r="85" spans="1:8" ht="18" customHeight="1">
      <c r="A85" s="70">
        <v>0.625</v>
      </c>
      <c r="B85" s="70">
        <v>0.64583333333333337</v>
      </c>
      <c r="C85" s="436" t="s">
        <v>998</v>
      </c>
      <c r="D85" s="436"/>
      <c r="E85" s="436"/>
      <c r="F85" s="70">
        <v>0.375</v>
      </c>
      <c r="G85" s="70">
        <v>0.39583333333333331</v>
      </c>
      <c r="H85" s="74"/>
    </row>
    <row r="86" spans="1:8" ht="18" customHeight="1">
      <c r="A86" s="70">
        <v>0.64583333333333337</v>
      </c>
      <c r="B86" s="70">
        <v>0.66666666666666663</v>
      </c>
      <c r="C86" s="436"/>
      <c r="D86" s="436"/>
      <c r="E86" s="436"/>
      <c r="F86" s="70">
        <v>0.39583333333333331</v>
      </c>
      <c r="G86" s="70">
        <v>0.41666666666666669</v>
      </c>
      <c r="H86" s="74"/>
    </row>
    <row r="87" spans="1:8" ht="18" customHeight="1">
      <c r="A87" s="70">
        <v>0.66666666666666663</v>
      </c>
      <c r="B87" s="70">
        <v>0.6875</v>
      </c>
      <c r="C87" s="433" t="s">
        <v>939</v>
      </c>
      <c r="D87" s="433"/>
      <c r="E87" s="433"/>
      <c r="F87" s="70">
        <v>0.41666666666666669</v>
      </c>
      <c r="G87" s="70">
        <v>0.4375</v>
      </c>
      <c r="H87" s="74"/>
    </row>
    <row r="88" spans="1:8" ht="18" customHeight="1">
      <c r="A88" s="70">
        <v>0.6875</v>
      </c>
      <c r="B88" s="70">
        <v>0.70833333333333337</v>
      </c>
      <c r="C88" s="433"/>
      <c r="D88" s="433"/>
      <c r="E88" s="433"/>
      <c r="F88" s="70">
        <v>0.4375</v>
      </c>
      <c r="G88" s="70">
        <v>0.45833333333333331</v>
      </c>
      <c r="H88" s="74"/>
    </row>
    <row r="89" spans="1:8" ht="18" customHeight="1">
      <c r="A89" s="70">
        <v>0.70833333333333337</v>
      </c>
      <c r="B89" s="70">
        <v>0.72916666666666663</v>
      </c>
      <c r="C89" s="433"/>
      <c r="D89" s="433"/>
      <c r="E89" s="433"/>
      <c r="F89" s="70">
        <v>0.45833333333333331</v>
      </c>
      <c r="G89" s="70">
        <v>0.47916666666666669</v>
      </c>
      <c r="H89" s="74"/>
    </row>
    <row r="90" spans="1:8" ht="18" customHeight="1">
      <c r="A90" s="70">
        <v>0.72916666666666663</v>
      </c>
      <c r="B90" s="70">
        <v>0.75</v>
      </c>
      <c r="C90" s="433"/>
      <c r="D90" s="433"/>
      <c r="E90" s="433"/>
      <c r="F90" s="70">
        <v>0.47916666666666669</v>
      </c>
      <c r="G90" s="70">
        <v>0.5</v>
      </c>
      <c r="H90" s="74"/>
    </row>
    <row r="91" spans="1:8" ht="18" customHeight="1">
      <c r="A91" s="70">
        <v>0.75</v>
      </c>
      <c r="B91" s="70">
        <v>0.83333333333333337</v>
      </c>
      <c r="C91" s="433" t="s">
        <v>940</v>
      </c>
      <c r="D91" s="433"/>
      <c r="E91" s="433"/>
      <c r="F91" s="70">
        <v>0.5</v>
      </c>
      <c r="G91" s="70">
        <v>0.58333333333333337</v>
      </c>
      <c r="H91" s="74"/>
    </row>
    <row r="92" spans="1:8">
      <c r="A92" s="435" t="str">
        <f>J8</f>
        <v>Day 7</v>
      </c>
      <c r="B92" s="435"/>
      <c r="C92" s="438">
        <f>I8</f>
        <v>44302</v>
      </c>
      <c r="D92" s="438"/>
      <c r="E92" s="438"/>
      <c r="F92" s="435" t="str">
        <f>A92</f>
        <v>Day 7</v>
      </c>
      <c r="G92" s="435"/>
      <c r="H92" s="74"/>
    </row>
    <row r="93" spans="1:8" ht="29">
      <c r="A93" s="435" t="s">
        <v>931</v>
      </c>
      <c r="B93" s="435"/>
      <c r="C93" s="68" t="str">
        <f>C74</f>
        <v>Mini team 1:ATM-5 / ATM-6 / ATM-7</v>
      </c>
      <c r="D93" s="68" t="str">
        <f>D74</f>
        <v>Mini team 2: ATM-1 / ATM-2 / ATM-3 / ATM-4</v>
      </c>
      <c r="E93" s="68" t="str">
        <f>E74</f>
        <v>LA team: van Zyl, Pieter and ATMs if applicable</v>
      </c>
      <c r="F93" s="435" t="s">
        <v>932</v>
      </c>
      <c r="G93" s="435"/>
      <c r="H93" s="74"/>
    </row>
    <row r="94" spans="1:8" ht="18" customHeight="1">
      <c r="A94" s="70">
        <v>0.41666666666666669</v>
      </c>
      <c r="B94" s="70">
        <v>0.4375</v>
      </c>
      <c r="C94" s="434" t="s">
        <v>999</v>
      </c>
      <c r="D94" s="434"/>
      <c r="E94" s="434"/>
      <c r="F94" s="70">
        <v>0.16666666666666666</v>
      </c>
      <c r="G94" s="70">
        <v>0.1875</v>
      </c>
      <c r="H94" s="74"/>
    </row>
    <row r="95" spans="1:8" ht="18" customHeight="1">
      <c r="A95" s="70">
        <v>0.4375</v>
      </c>
      <c r="B95" s="70">
        <v>0.45833333333333331</v>
      </c>
      <c r="C95" s="434"/>
      <c r="D95" s="434"/>
      <c r="E95" s="434"/>
      <c r="F95" s="70">
        <v>0.1875</v>
      </c>
      <c r="G95" s="70">
        <v>0.20833333333333334</v>
      </c>
      <c r="H95" s="74"/>
    </row>
    <row r="96" spans="1:8" ht="18" customHeight="1">
      <c r="A96" s="70">
        <v>0.45833333333333331</v>
      </c>
      <c r="B96" s="70">
        <v>0.47916666666666669</v>
      </c>
      <c r="C96" s="434" t="s">
        <v>1000</v>
      </c>
      <c r="D96" s="434"/>
      <c r="E96" s="434"/>
      <c r="F96" s="70">
        <v>0.20833333333333334</v>
      </c>
      <c r="G96" s="70">
        <v>0.22916666666666666</v>
      </c>
      <c r="H96" s="74"/>
    </row>
    <row r="97" spans="1:8" ht="18" customHeight="1">
      <c r="A97" s="70">
        <v>0.47916666666666669</v>
      </c>
      <c r="B97" s="70">
        <v>0.5</v>
      </c>
      <c r="C97" s="434"/>
      <c r="D97" s="434"/>
      <c r="E97" s="434"/>
      <c r="F97" s="70">
        <v>0.22916666666666666</v>
      </c>
      <c r="G97" s="70">
        <v>0.25</v>
      </c>
      <c r="H97" s="74"/>
    </row>
    <row r="98" spans="1:8" ht="18" customHeight="1">
      <c r="A98" s="70">
        <v>0.5</v>
      </c>
      <c r="B98" s="70">
        <v>0.52083333333333337</v>
      </c>
      <c r="C98" s="433" t="s">
        <v>938</v>
      </c>
      <c r="D98" s="433"/>
      <c r="E98" s="433"/>
      <c r="F98" s="70">
        <v>0.25</v>
      </c>
      <c r="G98" s="70">
        <v>0.27083333333333331</v>
      </c>
      <c r="H98" s="74"/>
    </row>
    <row r="99" spans="1:8" ht="18" customHeight="1">
      <c r="A99" s="70">
        <v>0.52083333333333337</v>
      </c>
      <c r="B99" s="70">
        <v>0.54166666666666663</v>
      </c>
      <c r="C99" s="433"/>
      <c r="D99" s="433"/>
      <c r="E99" s="433"/>
      <c r="F99" s="70">
        <v>0.27083333333333331</v>
      </c>
      <c r="G99" s="70">
        <v>0.29166666666666669</v>
      </c>
      <c r="H99" s="74"/>
    </row>
    <row r="100" spans="1:8" ht="18" customHeight="1">
      <c r="A100" s="70">
        <v>0.54166666666666663</v>
      </c>
      <c r="B100" s="70">
        <v>0.5625</v>
      </c>
      <c r="C100" s="433" t="s">
        <v>943</v>
      </c>
      <c r="D100" s="433"/>
      <c r="E100" s="433"/>
      <c r="F100" s="70">
        <v>0.29166666666666669</v>
      </c>
      <c r="G100" s="70">
        <v>0.3125</v>
      </c>
      <c r="H100" s="74"/>
    </row>
    <row r="101" spans="1:8" ht="18" customHeight="1">
      <c r="A101" s="70">
        <v>0.5625</v>
      </c>
      <c r="B101" s="70">
        <v>0.58333333333333337</v>
      </c>
      <c r="C101" s="433"/>
      <c r="D101" s="433"/>
      <c r="E101" s="433"/>
      <c r="F101" s="70">
        <v>0.3125</v>
      </c>
      <c r="G101" s="70">
        <v>0.33333333333333331</v>
      </c>
      <c r="H101" s="74"/>
    </row>
    <row r="102" spans="1:8" ht="18" customHeight="1">
      <c r="A102" s="70">
        <v>0.58333333333333337</v>
      </c>
      <c r="B102" s="70">
        <v>0.60416666666666663</v>
      </c>
      <c r="C102" s="433"/>
      <c r="D102" s="433"/>
      <c r="E102" s="433"/>
      <c r="F102" s="70">
        <v>0.33333333333333331</v>
      </c>
      <c r="G102" s="70">
        <v>0.35416666666666669</v>
      </c>
      <c r="H102" s="74"/>
    </row>
    <row r="103" spans="1:8" ht="18" customHeight="1">
      <c r="A103" s="70">
        <v>0.60416666666666663</v>
      </c>
      <c r="B103" s="70">
        <v>0.625</v>
      </c>
      <c r="C103" s="433"/>
      <c r="D103" s="433"/>
      <c r="E103" s="433"/>
      <c r="F103" s="70">
        <v>0.35416666666666669</v>
      </c>
      <c r="G103" s="70">
        <v>0.375</v>
      </c>
      <c r="H103" s="74"/>
    </row>
    <row r="104" spans="1:8" ht="18" customHeight="1">
      <c r="A104" s="70">
        <v>0.625</v>
      </c>
      <c r="B104" s="70">
        <v>0.64583333333333337</v>
      </c>
      <c r="C104" s="434" t="s">
        <v>1001</v>
      </c>
      <c r="D104" s="434"/>
      <c r="E104" s="434"/>
      <c r="F104" s="70">
        <v>0.375</v>
      </c>
      <c r="G104" s="70">
        <v>0.39583333333333331</v>
      </c>
      <c r="H104" s="74"/>
    </row>
    <row r="105" spans="1:8" ht="18" customHeight="1">
      <c r="A105" s="70">
        <v>0.64583333333333337</v>
      </c>
      <c r="B105" s="70">
        <v>0.66666666666666663</v>
      </c>
      <c r="C105" s="434"/>
      <c r="D105" s="434"/>
      <c r="E105" s="434"/>
      <c r="F105" s="70">
        <v>0.39583333333333331</v>
      </c>
      <c r="G105" s="70">
        <v>0.41666666666666669</v>
      </c>
      <c r="H105" s="74"/>
    </row>
    <row r="106" spans="1:8" ht="18" customHeight="1">
      <c r="A106" s="70">
        <v>0.66666666666666663</v>
      </c>
      <c r="B106" s="70">
        <v>0.6875</v>
      </c>
      <c r="C106" s="433" t="s">
        <v>944</v>
      </c>
      <c r="D106" s="433"/>
      <c r="E106" s="433"/>
      <c r="F106" s="70">
        <v>0.41666666666666669</v>
      </c>
      <c r="G106" s="70">
        <v>0.4375</v>
      </c>
      <c r="H106" s="74"/>
    </row>
    <row r="107" spans="1:8" ht="18" customHeight="1">
      <c r="A107" s="70">
        <v>0.6875</v>
      </c>
      <c r="B107" s="70">
        <v>0.70833333333333337</v>
      </c>
      <c r="C107" s="433"/>
      <c r="D107" s="433"/>
      <c r="E107" s="433"/>
      <c r="F107" s="70">
        <v>0.4375</v>
      </c>
      <c r="G107" s="70">
        <v>0.45833333333333331</v>
      </c>
      <c r="H107" s="74"/>
    </row>
    <row r="108" spans="1:8" ht="18" customHeight="1">
      <c r="A108" s="70">
        <v>0.70833333333333337</v>
      </c>
      <c r="B108" s="70">
        <v>0.72916666666666663</v>
      </c>
      <c r="C108" s="433" t="s">
        <v>945</v>
      </c>
      <c r="D108" s="433"/>
      <c r="E108" s="433"/>
      <c r="F108" s="70">
        <v>0.45833333333333331</v>
      </c>
      <c r="G108" s="70">
        <v>0.47916666666666669</v>
      </c>
      <c r="H108" s="74"/>
    </row>
    <row r="109" spans="1:8" ht="18" customHeight="1">
      <c r="A109" s="70">
        <v>0.72916666666666663</v>
      </c>
      <c r="B109" s="70">
        <v>0.75</v>
      </c>
      <c r="C109" s="433"/>
      <c r="D109" s="433"/>
      <c r="E109" s="433"/>
      <c r="F109" s="70">
        <v>0.47916666666666669</v>
      </c>
      <c r="G109" s="70">
        <v>0.5</v>
      </c>
      <c r="H109" s="74"/>
    </row>
    <row r="110" spans="1:8" ht="18" customHeight="1">
      <c r="A110" s="70">
        <v>0.75</v>
      </c>
      <c r="B110" s="70">
        <v>0.83333333333333337</v>
      </c>
      <c r="C110" s="433"/>
      <c r="D110" s="433"/>
      <c r="E110" s="433"/>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5" t="s">
        <v>1213</v>
      </c>
      <c r="B1" s="445"/>
      <c r="C1" s="445"/>
      <c r="D1" s="445"/>
      <c r="E1" s="445"/>
      <c r="F1" s="445"/>
      <c r="G1" s="445"/>
      <c r="H1" s="65"/>
      <c r="I1" s="140" t="s">
        <v>927</v>
      </c>
      <c r="J1" s="141" t="s">
        <v>928</v>
      </c>
      <c r="K1" s="135" t="s">
        <v>929</v>
      </c>
      <c r="L1" s="135" t="s">
        <v>930</v>
      </c>
      <c r="M1" s="136"/>
      <c r="N1" s="67"/>
      <c r="O1" s="67"/>
      <c r="P1" s="67"/>
    </row>
    <row r="2" spans="1:16" ht="14.5" customHeight="1">
      <c r="A2" s="446" t="str">
        <f>CONCATENATE(TEXT(Planning!B26,"[$-x-sysdate]dddd, mmmm dd, yyyy")," (Technology test)")</f>
        <v>Thursday, 08 April 2021 (Technology test)</v>
      </c>
      <c r="B2" s="446"/>
      <c r="C2" s="446"/>
      <c r="D2" s="446"/>
      <c r="E2" s="446"/>
      <c r="F2" s="446"/>
      <c r="G2" s="446"/>
      <c r="H2" s="65"/>
      <c r="I2" s="135"/>
      <c r="J2" s="135"/>
      <c r="K2" s="135"/>
      <c r="L2" s="136"/>
      <c r="M2" s="136"/>
      <c r="N2" s="67"/>
      <c r="O2" s="67"/>
      <c r="P2" s="67"/>
    </row>
    <row r="3" spans="1:16">
      <c r="A3" s="435" t="str">
        <f>J3</f>
        <v>Day 1-2</v>
      </c>
      <c r="B3" s="435"/>
      <c r="C3" s="438" t="str">
        <f>CONCATENATE(TEXT(I3,"[$-x-sysdate]dddd, mmmm dd, yyyy")," to ",TEXT(K3,"[$-x-sysdate]dddd, mmmm dd, yyyy"))</f>
        <v>Saturday, 10 April 2021 to Sunday, 11 April 2021</v>
      </c>
      <c r="D3" s="438"/>
      <c r="E3" s="438"/>
      <c r="F3" s="435" t="str">
        <f>A3</f>
        <v>Day 1-2</v>
      </c>
      <c r="G3" s="435"/>
      <c r="H3" s="65"/>
      <c r="I3" s="142">
        <f>Planning!B27</f>
        <v>44296</v>
      </c>
      <c r="J3" s="143" t="str">
        <f>_xlfn.CONCAT("Day 1-",L3)</f>
        <v>Day 1-2</v>
      </c>
      <c r="K3" s="144">
        <f>Planning!B27+Planning!B29-1</f>
        <v>44297</v>
      </c>
      <c r="L3" s="135">
        <f>K3-I3+1</f>
        <v>2</v>
      </c>
      <c r="M3" s="136"/>
      <c r="N3" s="67"/>
      <c r="O3" s="67"/>
      <c r="P3" s="67"/>
    </row>
    <row r="4" spans="1:16" ht="29">
      <c r="A4" s="435" t="s">
        <v>931</v>
      </c>
      <c r="B4" s="435"/>
      <c r="C4" s="231" t="str">
        <f>'Schedule4-1P'!C4</f>
        <v>Mini team 1:ATM-5 / ATM-6 / ATM-7</v>
      </c>
      <c r="D4" s="231" t="str">
        <f>'Schedule4-1P'!D4</f>
        <v>Mini team 2: ATM-1 / ATM-2 / ATM-3 / ATM-4</v>
      </c>
      <c r="E4" s="231" t="str">
        <f>'Schedule4-1P'!E4</f>
        <v>LA team: van Zyl, Pieter and ATMs if applicable</v>
      </c>
      <c r="F4" s="435" t="s">
        <v>932</v>
      </c>
      <c r="G4" s="43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3" t="s">
        <v>933</v>
      </c>
      <c r="D5" s="433" t="s">
        <v>933</v>
      </c>
      <c r="E5" s="43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3"/>
      <c r="D6" s="433"/>
      <c r="E6" s="43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3"/>
      <c r="D7" s="433"/>
      <c r="E7" s="43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3"/>
      <c r="D8" s="433"/>
      <c r="E8" s="43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3"/>
      <c r="D9" s="433"/>
      <c r="E9" s="43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3"/>
      <c r="D10" s="433"/>
      <c r="E10" s="433"/>
      <c r="F10" s="70">
        <v>0.375</v>
      </c>
      <c r="G10" s="70">
        <v>0.41666666666666669</v>
      </c>
      <c r="H10" s="65"/>
      <c r="I10" s="144"/>
      <c r="J10" s="136"/>
      <c r="K10" s="136"/>
      <c r="L10" s="136"/>
      <c r="M10" s="136"/>
      <c r="N10" s="67"/>
      <c r="O10" s="67"/>
      <c r="P10" s="67"/>
    </row>
    <row r="11" spans="1:16" ht="18" customHeight="1">
      <c r="A11" s="70">
        <v>0.66666666666666696</v>
      </c>
      <c r="B11" s="70">
        <v>0.70833333333333337</v>
      </c>
      <c r="C11" s="433"/>
      <c r="D11" s="433"/>
      <c r="E11" s="433"/>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3"/>
      <c r="D12" s="433"/>
      <c r="E12" s="433"/>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3"/>
      <c r="D13" s="433"/>
      <c r="E13" s="433"/>
      <c r="F13" s="70">
        <v>0.5</v>
      </c>
      <c r="G13" s="70">
        <v>0.54166666666666663</v>
      </c>
      <c r="H13" s="65"/>
      <c r="I13" s="135" t="str">
        <f>'P1PA-SS'!B95</f>
        <v>ATM-5</v>
      </c>
      <c r="K13" s="138"/>
      <c r="L13" s="135"/>
      <c r="M13" s="139"/>
      <c r="N13" s="67"/>
      <c r="O13" s="67"/>
      <c r="P13" s="67"/>
    </row>
    <row r="14" spans="1:16">
      <c r="I14" s="135"/>
      <c r="K14" s="43"/>
      <c r="L14" s="135"/>
      <c r="M14" s="139"/>
    </row>
    <row r="15" spans="1:16">
      <c r="A15" s="441" t="str">
        <f>CONCATENATE("Schedule above includes ",Planning!B28," non-working day(s).")</f>
        <v>Schedule above includes 0 non-working day(s).</v>
      </c>
      <c r="B15" s="441"/>
      <c r="C15" s="441"/>
      <c r="D15" s="441"/>
      <c r="E15" s="441"/>
      <c r="F15" s="441"/>
      <c r="G15" s="441"/>
      <c r="H15" s="65"/>
      <c r="K15" s="139"/>
      <c r="L15" s="136"/>
      <c r="M15" s="136"/>
      <c r="N15" s="67"/>
      <c r="O15" s="67"/>
      <c r="P15" s="67"/>
    </row>
    <row r="16" spans="1:16">
      <c r="A16" s="439" t="str">
        <f>J4</f>
        <v>Day 3</v>
      </c>
      <c r="B16" s="439"/>
      <c r="C16" s="440">
        <f>I4</f>
        <v>44298</v>
      </c>
      <c r="D16" s="440"/>
      <c r="E16" s="440"/>
      <c r="F16" s="439" t="str">
        <f>A16</f>
        <v>Day 3</v>
      </c>
      <c r="G16" s="439"/>
      <c r="H16" s="65"/>
      <c r="K16" s="139"/>
      <c r="L16" s="136"/>
      <c r="M16" s="136"/>
      <c r="N16" s="67"/>
      <c r="O16" s="67"/>
      <c r="P16" s="67"/>
    </row>
    <row r="17" spans="1:18" ht="29">
      <c r="A17" s="439" t="s">
        <v>931</v>
      </c>
      <c r="B17" s="439"/>
      <c r="C17" s="233" t="str">
        <f>C4</f>
        <v>Mini team 1:ATM-5 / ATM-6 / ATM-7</v>
      </c>
      <c r="D17" s="233" t="str">
        <f>D4</f>
        <v>Mini team 2: ATM-1 / ATM-2 / ATM-3 / ATM-4</v>
      </c>
      <c r="E17" s="233" t="str">
        <f>E4</f>
        <v>LA team: van Zyl, Pieter and ATMs if applicable</v>
      </c>
      <c r="F17" s="439" t="s">
        <v>932</v>
      </c>
      <c r="G17" s="439"/>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36" t="s">
        <v>990</v>
      </c>
      <c r="D19" s="436"/>
      <c r="E19" s="436"/>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4" t="s">
        <v>991</v>
      </c>
      <c r="D20" s="434"/>
      <c r="E20" s="43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4"/>
      <c r="D21" s="434"/>
      <c r="E21" s="434"/>
      <c r="F21" s="70">
        <v>0.22916666666666666</v>
      </c>
      <c r="G21" s="70">
        <v>0.25</v>
      </c>
      <c r="H21" s="65"/>
      <c r="I21" s="136"/>
      <c r="J21" s="136"/>
      <c r="K21" s="136"/>
      <c r="L21" s="136"/>
      <c r="M21" s="136"/>
      <c r="N21" s="67"/>
      <c r="O21" s="67"/>
      <c r="P21" s="67"/>
    </row>
    <row r="22" spans="1:18" ht="18.649999999999999" customHeight="1">
      <c r="A22" s="70">
        <v>0.5</v>
      </c>
      <c r="B22" s="70">
        <v>0.52083333333333337</v>
      </c>
      <c r="C22" s="433" t="s">
        <v>938</v>
      </c>
      <c r="D22" s="433"/>
      <c r="E22" s="43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3"/>
      <c r="D23" s="433"/>
      <c r="E23" s="43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6" t="s">
        <v>992</v>
      </c>
      <c r="D24" s="436"/>
      <c r="E24" s="43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6"/>
      <c r="D25" s="436"/>
      <c r="E25" s="43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6"/>
      <c r="D26" s="436"/>
      <c r="E26" s="43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6"/>
      <c r="D27" s="436"/>
      <c r="E27" s="436"/>
      <c r="F27" s="70">
        <v>0.35416666666666669</v>
      </c>
      <c r="G27" s="70">
        <v>0.375</v>
      </c>
      <c r="H27" s="65"/>
      <c r="I27" s="136"/>
      <c r="J27" s="136"/>
      <c r="K27" s="136"/>
      <c r="L27" s="136"/>
      <c r="M27" s="136"/>
      <c r="N27" s="67"/>
      <c r="O27" s="67"/>
      <c r="P27" s="67"/>
    </row>
    <row r="28" spans="1:18" ht="18.649999999999999" customHeight="1">
      <c r="A28" s="70">
        <v>0.625</v>
      </c>
      <c r="B28" s="70">
        <v>0.64583333333333337</v>
      </c>
      <c r="C28" s="433" t="s">
        <v>939</v>
      </c>
      <c r="D28" s="433"/>
      <c r="E28" s="43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6" t="s">
        <v>992</v>
      </c>
      <c r="D29" s="436"/>
      <c r="E29" s="43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6"/>
      <c r="D30" s="436"/>
      <c r="E30" s="43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6"/>
      <c r="D31" s="436"/>
      <c r="E31" s="43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6"/>
      <c r="D32" s="436"/>
      <c r="E32" s="43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3" t="s">
        <v>1131</v>
      </c>
      <c r="D33" s="433"/>
      <c r="E33" s="433"/>
      <c r="F33" s="70">
        <v>0.47916666666666669</v>
      </c>
      <c r="G33" s="70">
        <v>0.5</v>
      </c>
      <c r="H33" s="65"/>
      <c r="I33" s="136"/>
      <c r="J33" s="136"/>
      <c r="K33" s="136"/>
      <c r="L33" s="136"/>
      <c r="M33" s="136"/>
      <c r="N33" s="67"/>
      <c r="O33" s="67"/>
      <c r="P33" s="67"/>
    </row>
    <row r="34" spans="1:16" ht="18.649999999999999" customHeight="1">
      <c r="A34" s="70">
        <v>0.75</v>
      </c>
      <c r="B34" s="70">
        <v>0.83333333333333337</v>
      </c>
      <c r="C34" s="433" t="s">
        <v>940</v>
      </c>
      <c r="D34" s="433"/>
      <c r="E34" s="433"/>
      <c r="F34" s="70">
        <v>0.5</v>
      </c>
      <c r="G34" s="70">
        <v>0.58333333333333337</v>
      </c>
      <c r="H34" s="65"/>
      <c r="I34" s="136"/>
      <c r="J34" s="136"/>
      <c r="K34" s="136"/>
      <c r="L34" s="136"/>
      <c r="M34" s="136"/>
      <c r="N34" s="67"/>
      <c r="O34" s="67"/>
      <c r="P34" s="67"/>
    </row>
    <row r="35" spans="1:16">
      <c r="A35" s="439" t="str">
        <f>J5</f>
        <v>Day 4</v>
      </c>
      <c r="B35" s="439"/>
      <c r="C35" s="440">
        <f>I5</f>
        <v>44299</v>
      </c>
      <c r="D35" s="440"/>
      <c r="E35" s="440"/>
      <c r="F35" s="439" t="str">
        <f>A35</f>
        <v>Day 4</v>
      </c>
      <c r="G35" s="439"/>
      <c r="H35" s="74"/>
    </row>
    <row r="36" spans="1:16" ht="29">
      <c r="A36" s="439" t="s">
        <v>931</v>
      </c>
      <c r="B36" s="439"/>
      <c r="C36" s="233" t="str">
        <f>C17</f>
        <v>Mini team 1:ATM-5 / ATM-6 / ATM-7</v>
      </c>
      <c r="D36" s="233" t="str">
        <f>D17</f>
        <v>Mini team 2: ATM-1 / ATM-2 / ATM-3 / ATM-4</v>
      </c>
      <c r="E36" s="233" t="str">
        <f>E17</f>
        <v>LA team: van Zyl, Pieter and ATMs if applicable</v>
      </c>
      <c r="F36" s="439" t="s">
        <v>932</v>
      </c>
      <c r="G36" s="439"/>
      <c r="H36" s="74"/>
    </row>
    <row r="37" spans="1:16" ht="18" customHeight="1">
      <c r="A37" s="70">
        <v>0.41666666666666669</v>
      </c>
      <c r="B37" s="70">
        <v>0.4375</v>
      </c>
      <c r="C37" s="433" t="s">
        <v>939</v>
      </c>
      <c r="D37" s="433"/>
      <c r="E37" s="232" t="s">
        <v>937</v>
      </c>
      <c r="F37" s="70">
        <v>0.16666666666666666</v>
      </c>
      <c r="G37" s="70">
        <v>0.1875</v>
      </c>
      <c r="H37" s="74"/>
    </row>
    <row r="38" spans="1:16" ht="18" customHeight="1">
      <c r="A38" s="70">
        <v>0.4375</v>
      </c>
      <c r="B38" s="70">
        <v>0.45833333333333331</v>
      </c>
      <c r="C38" s="436" t="s">
        <v>993</v>
      </c>
      <c r="D38" s="436"/>
      <c r="E38" s="436"/>
      <c r="F38" s="70">
        <v>0.1875</v>
      </c>
      <c r="G38" s="70">
        <v>0.20833333333333334</v>
      </c>
      <c r="H38" s="74"/>
    </row>
    <row r="39" spans="1:16" ht="18" customHeight="1">
      <c r="A39" s="70">
        <v>0.45833333333333331</v>
      </c>
      <c r="B39" s="70">
        <v>0.47916666666666669</v>
      </c>
      <c r="C39" s="436"/>
      <c r="D39" s="436"/>
      <c r="E39" s="436"/>
      <c r="F39" s="70">
        <v>0.20833333333333334</v>
      </c>
      <c r="G39" s="70">
        <v>0.22916666666666666</v>
      </c>
      <c r="H39" s="74"/>
    </row>
    <row r="40" spans="1:16" ht="18" customHeight="1">
      <c r="A40" s="70">
        <v>0.47916666666666669</v>
      </c>
      <c r="B40" s="70">
        <v>0.5</v>
      </c>
      <c r="C40" s="436"/>
      <c r="D40" s="436"/>
      <c r="E40" s="436"/>
      <c r="F40" s="70">
        <v>0.22916666666666666</v>
      </c>
      <c r="G40" s="70">
        <v>0.25</v>
      </c>
      <c r="H40" s="74"/>
    </row>
    <row r="41" spans="1:16" ht="18" customHeight="1">
      <c r="A41" s="70">
        <v>0.5</v>
      </c>
      <c r="B41" s="70">
        <v>0.52083333333333337</v>
      </c>
      <c r="C41" s="433" t="s">
        <v>938</v>
      </c>
      <c r="D41" s="433"/>
      <c r="E41" s="433"/>
      <c r="F41" s="70">
        <v>0.25</v>
      </c>
      <c r="G41" s="70">
        <v>0.27083333333333331</v>
      </c>
      <c r="H41" s="74"/>
    </row>
    <row r="42" spans="1:16" ht="18" customHeight="1">
      <c r="A42" s="70">
        <v>0.52083333333333337</v>
      </c>
      <c r="B42" s="70">
        <v>0.54166666666666663</v>
      </c>
      <c r="C42" s="433"/>
      <c r="D42" s="433"/>
      <c r="E42" s="433"/>
      <c r="F42" s="70">
        <v>0.27083333333333331</v>
      </c>
      <c r="G42" s="70">
        <v>0.29166666666666669</v>
      </c>
      <c r="H42" s="74"/>
    </row>
    <row r="43" spans="1:16" ht="18" customHeight="1">
      <c r="A43" s="70">
        <v>0.54166666666666663</v>
      </c>
      <c r="B43" s="70">
        <v>0.5625</v>
      </c>
      <c r="C43" s="436" t="s">
        <v>993</v>
      </c>
      <c r="D43" s="436"/>
      <c r="E43" s="436"/>
      <c r="F43" s="70">
        <v>0.29166666666666669</v>
      </c>
      <c r="G43" s="70">
        <v>0.3125</v>
      </c>
      <c r="H43" s="74"/>
    </row>
    <row r="44" spans="1:16" ht="18" customHeight="1">
      <c r="A44" s="70">
        <v>0.5625</v>
      </c>
      <c r="B44" s="70">
        <v>0.58333333333333337</v>
      </c>
      <c r="C44" s="436"/>
      <c r="D44" s="436"/>
      <c r="E44" s="436"/>
      <c r="F44" s="70">
        <v>0.3125</v>
      </c>
      <c r="G44" s="70">
        <v>0.33333333333333331</v>
      </c>
      <c r="H44" s="74"/>
    </row>
    <row r="45" spans="1:16" ht="18" customHeight="1">
      <c r="A45" s="70">
        <v>0.58333333333333337</v>
      </c>
      <c r="B45" s="70">
        <v>0.60416666666666663</v>
      </c>
      <c r="C45" s="436"/>
      <c r="D45" s="436"/>
      <c r="E45" s="436"/>
      <c r="F45" s="70">
        <v>0.33333333333333331</v>
      </c>
      <c r="G45" s="70">
        <v>0.35416666666666669</v>
      </c>
      <c r="H45" s="74"/>
    </row>
    <row r="46" spans="1:16" ht="18" customHeight="1">
      <c r="A46" s="70">
        <v>0.60416666666666663</v>
      </c>
      <c r="B46" s="70">
        <v>0.625</v>
      </c>
      <c r="C46" s="436"/>
      <c r="D46" s="436"/>
      <c r="E46" s="436"/>
      <c r="F46" s="70">
        <v>0.35416666666666669</v>
      </c>
      <c r="G46" s="70">
        <v>0.375</v>
      </c>
      <c r="H46" s="74"/>
    </row>
    <row r="47" spans="1:16" ht="18" customHeight="1">
      <c r="A47" s="70">
        <v>0.625</v>
      </c>
      <c r="B47" s="70">
        <v>0.64583333333333337</v>
      </c>
      <c r="C47" s="436"/>
      <c r="D47" s="436"/>
      <c r="E47" s="436"/>
      <c r="F47" s="70">
        <v>0.375</v>
      </c>
      <c r="G47" s="70">
        <v>0.39583333333333331</v>
      </c>
      <c r="H47" s="74"/>
    </row>
    <row r="48" spans="1:16" ht="18" customHeight="1">
      <c r="A48" s="70">
        <v>0.64583333333333337</v>
      </c>
      <c r="B48" s="70">
        <v>0.66666666666666663</v>
      </c>
      <c r="C48" s="433" t="s">
        <v>939</v>
      </c>
      <c r="D48" s="433"/>
      <c r="E48" s="433" t="s">
        <v>937</v>
      </c>
      <c r="F48" s="70">
        <v>0.39583333333333331</v>
      </c>
      <c r="G48" s="70">
        <v>0.41666666666666669</v>
      </c>
      <c r="H48" s="74"/>
    </row>
    <row r="49" spans="1:8" ht="18" customHeight="1">
      <c r="A49" s="70">
        <v>0.66666666666666663</v>
      </c>
      <c r="B49" s="70">
        <v>0.6875</v>
      </c>
      <c r="C49" s="433"/>
      <c r="D49" s="433"/>
      <c r="E49" s="433"/>
      <c r="F49" s="70">
        <v>0.41666666666666669</v>
      </c>
      <c r="G49" s="70">
        <v>0.4375</v>
      </c>
      <c r="H49" s="74"/>
    </row>
    <row r="50" spans="1:8" ht="18" customHeight="1">
      <c r="A50" s="70">
        <v>0.6875</v>
      </c>
      <c r="B50" s="70">
        <v>0.70833333333333337</v>
      </c>
      <c r="C50" s="436" t="s">
        <v>994</v>
      </c>
      <c r="D50" s="436"/>
      <c r="E50" s="436"/>
      <c r="F50" s="70">
        <v>0.4375</v>
      </c>
      <c r="G50" s="70">
        <v>0.45833333333333331</v>
      </c>
      <c r="H50" s="74"/>
    </row>
    <row r="51" spans="1:8" ht="18" customHeight="1">
      <c r="A51" s="70">
        <v>0.70833333333333337</v>
      </c>
      <c r="B51" s="70">
        <v>0.72916666666666663</v>
      </c>
      <c r="C51" s="436"/>
      <c r="D51" s="436"/>
      <c r="E51" s="436"/>
      <c r="F51" s="70">
        <v>0.45833333333333331</v>
      </c>
      <c r="G51" s="70">
        <v>0.47916666666666669</v>
      </c>
      <c r="H51" s="74"/>
    </row>
    <row r="52" spans="1:8" ht="18" customHeight="1">
      <c r="A52" s="70">
        <v>0.72916666666666663</v>
      </c>
      <c r="B52" s="70">
        <v>0.75</v>
      </c>
      <c r="C52" s="433" t="s">
        <v>1131</v>
      </c>
      <c r="D52" s="433"/>
      <c r="E52" s="433"/>
      <c r="F52" s="70">
        <v>0.47916666666666669</v>
      </c>
      <c r="G52" s="70">
        <v>0.5</v>
      </c>
      <c r="H52" s="74"/>
    </row>
    <row r="53" spans="1:8" ht="18" customHeight="1">
      <c r="A53" s="70">
        <v>0.75</v>
      </c>
      <c r="B53" s="70">
        <v>0.83333333333333337</v>
      </c>
      <c r="C53" s="433" t="s">
        <v>940</v>
      </c>
      <c r="D53" s="433"/>
      <c r="E53" s="433"/>
      <c r="F53" s="70">
        <v>0.5</v>
      </c>
      <c r="G53" s="70">
        <v>0.58333333333333337</v>
      </c>
      <c r="H53" s="74"/>
    </row>
    <row r="54" spans="1:8">
      <c r="A54" s="435" t="str">
        <f>J6</f>
        <v>Day 5</v>
      </c>
      <c r="B54" s="435"/>
      <c r="C54" s="438">
        <f>I6</f>
        <v>44300</v>
      </c>
      <c r="D54" s="438"/>
      <c r="E54" s="438"/>
      <c r="F54" s="435" t="str">
        <f>A54</f>
        <v>Day 5</v>
      </c>
      <c r="G54" s="435"/>
      <c r="H54" s="74"/>
    </row>
    <row r="55" spans="1:8" ht="29">
      <c r="A55" s="435" t="s">
        <v>931</v>
      </c>
      <c r="B55" s="435"/>
      <c r="C55" s="231" t="str">
        <f>C36</f>
        <v>Mini team 1:ATM-5 / ATM-6 / ATM-7</v>
      </c>
      <c r="D55" s="231" t="str">
        <f>D36</f>
        <v>Mini team 2: ATM-1 / ATM-2 / ATM-3 / ATM-4</v>
      </c>
      <c r="E55" s="231" t="str">
        <f>E36</f>
        <v>LA team: van Zyl, Pieter and ATMs if applicable</v>
      </c>
      <c r="F55" s="435" t="s">
        <v>932</v>
      </c>
      <c r="G55" s="435"/>
      <c r="H55" s="74"/>
    </row>
    <row r="56" spans="1:8" ht="18" customHeight="1">
      <c r="A56" s="70">
        <v>0.41666666666666669</v>
      </c>
      <c r="B56" s="70">
        <v>0.4375</v>
      </c>
      <c r="C56" s="433" t="s">
        <v>941</v>
      </c>
      <c r="D56" s="433"/>
      <c r="E56" s="232" t="s">
        <v>937</v>
      </c>
      <c r="F56" s="70">
        <v>0.16666666666666666</v>
      </c>
      <c r="G56" s="70">
        <v>0.1875</v>
      </c>
      <c r="H56" s="74"/>
    </row>
    <row r="57" spans="1:8" ht="18" customHeight="1">
      <c r="A57" s="70">
        <v>0.4375</v>
      </c>
      <c r="B57" s="70">
        <v>0.45833333333333331</v>
      </c>
      <c r="C57" s="436" t="s">
        <v>995</v>
      </c>
      <c r="D57" s="436"/>
      <c r="E57" s="436"/>
      <c r="F57" s="70">
        <v>0.1875</v>
      </c>
      <c r="G57" s="70">
        <v>0.20833333333333334</v>
      </c>
      <c r="H57" s="74"/>
    </row>
    <row r="58" spans="1:8" ht="18" customHeight="1">
      <c r="A58" s="70">
        <v>0.45833333333333331</v>
      </c>
      <c r="B58" s="70">
        <v>0.47916666666666669</v>
      </c>
      <c r="C58" s="436"/>
      <c r="D58" s="436"/>
      <c r="E58" s="436"/>
      <c r="F58" s="70">
        <v>0.20833333333333334</v>
      </c>
      <c r="G58" s="70">
        <v>0.22916666666666666</v>
      </c>
      <c r="H58" s="74"/>
    </row>
    <row r="59" spans="1:8" ht="18" customHeight="1">
      <c r="A59" s="70">
        <v>0.47916666666666669</v>
      </c>
      <c r="B59" s="70">
        <v>0.5</v>
      </c>
      <c r="C59" s="436"/>
      <c r="D59" s="436"/>
      <c r="E59" s="436"/>
      <c r="F59" s="70">
        <v>0.22916666666666666</v>
      </c>
      <c r="G59" s="70">
        <v>0.25</v>
      </c>
      <c r="H59" s="74"/>
    </row>
    <row r="60" spans="1:8" ht="18" customHeight="1">
      <c r="A60" s="70">
        <v>0.5</v>
      </c>
      <c r="B60" s="70">
        <v>0.52083333333333337</v>
      </c>
      <c r="C60" s="433" t="s">
        <v>938</v>
      </c>
      <c r="D60" s="433"/>
      <c r="E60" s="433"/>
      <c r="F60" s="70">
        <v>0.25</v>
      </c>
      <c r="G60" s="70">
        <v>0.27083333333333331</v>
      </c>
      <c r="H60" s="74"/>
    </row>
    <row r="61" spans="1:8" ht="18" customHeight="1">
      <c r="A61" s="70">
        <v>0.52083333333333337</v>
      </c>
      <c r="B61" s="70">
        <v>0.54166666666666663</v>
      </c>
      <c r="C61" s="433"/>
      <c r="D61" s="433"/>
      <c r="E61" s="433"/>
      <c r="F61" s="70">
        <v>0.27083333333333331</v>
      </c>
      <c r="G61" s="70">
        <v>0.29166666666666669</v>
      </c>
      <c r="H61" s="74"/>
    </row>
    <row r="62" spans="1:8" ht="18" customHeight="1">
      <c r="A62" s="70">
        <v>0.54166666666666663</v>
      </c>
      <c r="B62" s="70">
        <v>0.5625</v>
      </c>
      <c r="C62" s="436" t="s">
        <v>995</v>
      </c>
      <c r="D62" s="436"/>
      <c r="E62" s="436"/>
      <c r="F62" s="70">
        <v>0.29166666666666669</v>
      </c>
      <c r="G62" s="70">
        <v>0.3125</v>
      </c>
      <c r="H62" s="74"/>
    </row>
    <row r="63" spans="1:8" ht="18" customHeight="1">
      <c r="A63" s="70">
        <v>0.5625</v>
      </c>
      <c r="B63" s="70">
        <v>0.58333333333333337</v>
      </c>
      <c r="C63" s="436"/>
      <c r="D63" s="436"/>
      <c r="E63" s="436"/>
      <c r="F63" s="70">
        <v>0.3125</v>
      </c>
      <c r="G63" s="70">
        <v>0.33333333333333331</v>
      </c>
      <c r="H63" s="74"/>
    </row>
    <row r="64" spans="1:8" ht="18" customHeight="1">
      <c r="A64" s="70">
        <v>0.58333333333333337</v>
      </c>
      <c r="B64" s="70">
        <v>0.60416666666666663</v>
      </c>
      <c r="C64" s="436"/>
      <c r="D64" s="436"/>
      <c r="E64" s="436"/>
      <c r="F64" s="70">
        <v>0.33333333333333331</v>
      </c>
      <c r="G64" s="70">
        <v>0.35416666666666669</v>
      </c>
      <c r="H64" s="74"/>
    </row>
    <row r="65" spans="1:8" ht="18" customHeight="1">
      <c r="A65" s="70">
        <v>0.60416666666666663</v>
      </c>
      <c r="B65" s="70">
        <v>0.625</v>
      </c>
      <c r="C65" s="436"/>
      <c r="D65" s="436"/>
      <c r="E65" s="436"/>
      <c r="F65" s="70">
        <v>0.35416666666666669</v>
      </c>
      <c r="G65" s="70">
        <v>0.375</v>
      </c>
      <c r="H65" s="74"/>
    </row>
    <row r="66" spans="1:8" ht="18" customHeight="1">
      <c r="A66" s="70">
        <v>0.625</v>
      </c>
      <c r="B66" s="70">
        <v>0.64583333333333337</v>
      </c>
      <c r="C66" s="436"/>
      <c r="D66" s="436"/>
      <c r="E66" s="436"/>
      <c r="F66" s="70">
        <v>0.375</v>
      </c>
      <c r="G66" s="70">
        <v>0.39583333333333331</v>
      </c>
      <c r="H66" s="74"/>
    </row>
    <row r="67" spans="1:8" ht="18" customHeight="1">
      <c r="A67" s="70">
        <v>0.64583333333333337</v>
      </c>
      <c r="B67" s="70">
        <v>0.66666666666666663</v>
      </c>
      <c r="C67" s="436"/>
      <c r="D67" s="436"/>
      <c r="E67" s="436"/>
      <c r="F67" s="70">
        <v>0.39583333333333331</v>
      </c>
      <c r="G67" s="70">
        <v>0.41666666666666669</v>
      </c>
      <c r="H67" s="74"/>
    </row>
    <row r="68" spans="1:8" ht="18" customHeight="1">
      <c r="A68" s="70">
        <v>0.66666666666666663</v>
      </c>
      <c r="B68" s="70">
        <v>0.6875</v>
      </c>
      <c r="C68" s="433" t="s">
        <v>939</v>
      </c>
      <c r="D68" s="433"/>
      <c r="E68" s="433"/>
      <c r="F68" s="70">
        <v>0.41666666666666669</v>
      </c>
      <c r="G68" s="70">
        <v>0.4375</v>
      </c>
      <c r="H68" s="74"/>
    </row>
    <row r="69" spans="1:8" ht="18" customHeight="1">
      <c r="A69" s="70">
        <v>0.6875</v>
      </c>
      <c r="B69" s="70">
        <v>0.70833333333333337</v>
      </c>
      <c r="C69" s="436" t="s">
        <v>996</v>
      </c>
      <c r="D69" s="436"/>
      <c r="E69" s="436"/>
      <c r="F69" s="70">
        <v>0.4375</v>
      </c>
      <c r="G69" s="70">
        <v>0.45833333333333331</v>
      </c>
      <c r="H69" s="74"/>
    </row>
    <row r="70" spans="1:8" ht="18" customHeight="1">
      <c r="A70" s="70">
        <v>0.70833333333333337</v>
      </c>
      <c r="B70" s="70">
        <v>0.72916666666666663</v>
      </c>
      <c r="C70" s="436"/>
      <c r="D70" s="436"/>
      <c r="E70" s="436"/>
      <c r="F70" s="70">
        <v>0.45833333333333331</v>
      </c>
      <c r="G70" s="70">
        <v>0.47916666666666669</v>
      </c>
      <c r="H70" s="74"/>
    </row>
    <row r="71" spans="1:8" ht="18" customHeight="1">
      <c r="A71" s="70">
        <v>0.72916666666666663</v>
      </c>
      <c r="B71" s="70">
        <v>0.75</v>
      </c>
      <c r="C71" s="447" t="s">
        <v>1130</v>
      </c>
      <c r="D71" s="448"/>
      <c r="E71" s="449"/>
      <c r="F71" s="70">
        <v>0.47916666666666669</v>
      </c>
      <c r="G71" s="70">
        <v>0.5</v>
      </c>
      <c r="H71" s="74"/>
    </row>
    <row r="72" spans="1:8" ht="18" customHeight="1">
      <c r="A72" s="70">
        <v>0.75</v>
      </c>
      <c r="B72" s="70">
        <v>0.83333333333333337</v>
      </c>
      <c r="C72" s="450"/>
      <c r="D72" s="451"/>
      <c r="E72" s="452"/>
      <c r="F72" s="70">
        <v>0.5</v>
      </c>
      <c r="G72" s="70">
        <v>0.58333333333333337</v>
      </c>
      <c r="H72" s="74"/>
    </row>
    <row r="73" spans="1:8">
      <c r="A73" s="435" t="str">
        <f>J7</f>
        <v>Day 6</v>
      </c>
      <c r="B73" s="435"/>
      <c r="C73" s="438">
        <f>I7</f>
        <v>44301</v>
      </c>
      <c r="D73" s="438"/>
      <c r="E73" s="438"/>
      <c r="F73" s="435" t="str">
        <f>A73</f>
        <v>Day 6</v>
      </c>
      <c r="G73" s="435"/>
      <c r="H73" s="74"/>
    </row>
    <row r="74" spans="1:8" ht="29">
      <c r="A74" s="435" t="s">
        <v>931</v>
      </c>
      <c r="B74" s="435"/>
      <c r="C74" s="231" t="str">
        <f>C55</f>
        <v>Mini team 1:ATM-5 / ATM-6 / ATM-7</v>
      </c>
      <c r="D74" s="231" t="str">
        <f>D55</f>
        <v>Mini team 2: ATM-1 / ATM-2 / ATM-3 / ATM-4</v>
      </c>
      <c r="E74" s="231" t="str">
        <f>E55</f>
        <v>LA team: van Zyl, Pieter and ATMs if applicable</v>
      </c>
      <c r="F74" s="435" t="s">
        <v>932</v>
      </c>
      <c r="G74" s="435"/>
      <c r="H74" s="74"/>
    </row>
    <row r="75" spans="1:8" ht="18" customHeight="1">
      <c r="A75" s="70">
        <v>0.41666666666666669</v>
      </c>
      <c r="B75" s="70">
        <v>0.4375</v>
      </c>
      <c r="C75" s="433" t="s">
        <v>939</v>
      </c>
      <c r="D75" s="433"/>
      <c r="E75" s="433"/>
      <c r="F75" s="70">
        <v>0.16666666666666666</v>
      </c>
      <c r="G75" s="70">
        <v>0.1875</v>
      </c>
      <c r="H75" s="74"/>
    </row>
    <row r="76" spans="1:8" ht="18" customHeight="1">
      <c r="A76" s="70">
        <v>0.4375</v>
      </c>
      <c r="B76" s="70">
        <v>0.45833333333333331</v>
      </c>
      <c r="C76" s="436" t="s">
        <v>997</v>
      </c>
      <c r="D76" s="436"/>
      <c r="E76" s="436"/>
      <c r="F76" s="70">
        <v>0.1875</v>
      </c>
      <c r="G76" s="70">
        <v>0.20833333333333334</v>
      </c>
      <c r="H76" s="74"/>
    </row>
    <row r="77" spans="1:8" ht="18" customHeight="1">
      <c r="A77" s="70">
        <v>0.45833333333333331</v>
      </c>
      <c r="B77" s="70">
        <v>0.47916666666666669</v>
      </c>
      <c r="C77" s="436"/>
      <c r="D77" s="436"/>
      <c r="E77" s="436"/>
      <c r="F77" s="70">
        <v>0.20833333333333334</v>
      </c>
      <c r="G77" s="70">
        <v>0.22916666666666666</v>
      </c>
      <c r="H77" s="74"/>
    </row>
    <row r="78" spans="1:8" ht="18" customHeight="1">
      <c r="A78" s="70">
        <v>0.47916666666666669</v>
      </c>
      <c r="B78" s="70">
        <v>0.5</v>
      </c>
      <c r="C78" s="433" t="s">
        <v>939</v>
      </c>
      <c r="D78" s="433"/>
      <c r="E78" s="433"/>
      <c r="F78" s="70">
        <v>0.22916666666666666</v>
      </c>
      <c r="G78" s="70">
        <v>0.25</v>
      </c>
      <c r="H78" s="74"/>
    </row>
    <row r="79" spans="1:8" ht="18" customHeight="1">
      <c r="A79" s="70">
        <v>0.5</v>
      </c>
      <c r="B79" s="70">
        <v>0.52083333333333337</v>
      </c>
      <c r="C79" s="433" t="s">
        <v>938</v>
      </c>
      <c r="D79" s="433"/>
      <c r="E79" s="433"/>
      <c r="F79" s="70">
        <v>0.25</v>
      </c>
      <c r="G79" s="70">
        <v>0.27083333333333331</v>
      </c>
      <c r="H79" s="74"/>
    </row>
    <row r="80" spans="1:8" ht="18" customHeight="1">
      <c r="A80" s="70">
        <v>0.52083333333333337</v>
      </c>
      <c r="B80" s="70">
        <v>0.54166666666666663</v>
      </c>
      <c r="C80" s="433"/>
      <c r="D80" s="433"/>
      <c r="E80" s="433"/>
      <c r="F80" s="70">
        <v>0.27083333333333331</v>
      </c>
      <c r="G80" s="70">
        <v>0.29166666666666669</v>
      </c>
      <c r="H80" s="74"/>
    </row>
    <row r="81" spans="1:8" ht="18" customHeight="1">
      <c r="A81" s="70">
        <v>0.54166666666666663</v>
      </c>
      <c r="B81" s="70">
        <v>0.5625</v>
      </c>
      <c r="C81" s="447" t="s">
        <v>1130</v>
      </c>
      <c r="D81" s="448"/>
      <c r="E81" s="449"/>
      <c r="F81" s="70">
        <v>0.29166666666666669</v>
      </c>
      <c r="G81" s="70">
        <v>0.3125</v>
      </c>
      <c r="H81" s="74"/>
    </row>
    <row r="82" spans="1:8" ht="18" customHeight="1">
      <c r="A82" s="70">
        <v>0.5625</v>
      </c>
      <c r="B82" s="70">
        <v>0.58333333333333337</v>
      </c>
      <c r="C82" s="450"/>
      <c r="D82" s="451"/>
      <c r="E82" s="452"/>
      <c r="F82" s="70">
        <v>0.3125</v>
      </c>
      <c r="G82" s="70">
        <v>0.33333333333333331</v>
      </c>
      <c r="H82" s="74"/>
    </row>
    <row r="83" spans="1:8" ht="18" customHeight="1">
      <c r="A83" s="70">
        <v>0.58333333333333337</v>
      </c>
      <c r="B83" s="70">
        <v>0.60416666666666663</v>
      </c>
      <c r="C83" s="453" t="s">
        <v>942</v>
      </c>
      <c r="D83" s="454"/>
      <c r="E83" s="455"/>
      <c r="F83" s="70">
        <v>0.33333333333333331</v>
      </c>
      <c r="G83" s="70">
        <v>0.35416666666666669</v>
      </c>
      <c r="H83" s="74"/>
    </row>
    <row r="84" spans="1:8" ht="18" customHeight="1">
      <c r="A84" s="70">
        <v>0.60416666666666663</v>
      </c>
      <c r="B84" s="70">
        <v>0.625</v>
      </c>
      <c r="C84" s="456"/>
      <c r="D84" s="457"/>
      <c r="E84" s="458"/>
      <c r="F84" s="70">
        <v>0.35416666666666669</v>
      </c>
      <c r="G84" s="70">
        <v>0.375</v>
      </c>
      <c r="H84" s="74"/>
    </row>
    <row r="85" spans="1:8" ht="18" customHeight="1">
      <c r="A85" s="70">
        <v>0.625</v>
      </c>
      <c r="B85" s="70">
        <v>0.64583333333333337</v>
      </c>
      <c r="C85" s="436" t="s">
        <v>998</v>
      </c>
      <c r="D85" s="436"/>
      <c r="E85" s="436"/>
      <c r="F85" s="70">
        <v>0.375</v>
      </c>
      <c r="G85" s="70">
        <v>0.39583333333333331</v>
      </c>
      <c r="H85" s="74"/>
    </row>
    <row r="86" spans="1:8" ht="18" customHeight="1">
      <c r="A86" s="70">
        <v>0.64583333333333337</v>
      </c>
      <c r="B86" s="70">
        <v>0.66666666666666663</v>
      </c>
      <c r="C86" s="436"/>
      <c r="D86" s="436"/>
      <c r="E86" s="436"/>
      <c r="F86" s="70">
        <v>0.39583333333333331</v>
      </c>
      <c r="G86" s="70">
        <v>0.41666666666666669</v>
      </c>
      <c r="H86" s="74"/>
    </row>
    <row r="87" spans="1:8" ht="18" customHeight="1">
      <c r="A87" s="70">
        <v>0.66666666666666663</v>
      </c>
      <c r="B87" s="70">
        <v>0.6875</v>
      </c>
      <c r="C87" s="433" t="s">
        <v>939</v>
      </c>
      <c r="D87" s="433"/>
      <c r="E87" s="433"/>
      <c r="F87" s="70">
        <v>0.41666666666666669</v>
      </c>
      <c r="G87" s="70">
        <v>0.4375</v>
      </c>
      <c r="H87" s="74"/>
    </row>
    <row r="88" spans="1:8" ht="18" customHeight="1">
      <c r="A88" s="70">
        <v>0.6875</v>
      </c>
      <c r="B88" s="70">
        <v>0.70833333333333337</v>
      </c>
      <c r="C88" s="433"/>
      <c r="D88" s="433"/>
      <c r="E88" s="433"/>
      <c r="F88" s="70">
        <v>0.4375</v>
      </c>
      <c r="G88" s="70">
        <v>0.45833333333333331</v>
      </c>
      <c r="H88" s="74"/>
    </row>
    <row r="89" spans="1:8" ht="18" customHeight="1">
      <c r="A89" s="70">
        <v>0.70833333333333337</v>
      </c>
      <c r="B89" s="70">
        <v>0.72916666666666663</v>
      </c>
      <c r="C89" s="433"/>
      <c r="D89" s="433"/>
      <c r="E89" s="433"/>
      <c r="F89" s="70">
        <v>0.45833333333333331</v>
      </c>
      <c r="G89" s="70">
        <v>0.47916666666666669</v>
      </c>
      <c r="H89" s="74"/>
    </row>
    <row r="90" spans="1:8" ht="18" customHeight="1">
      <c r="A90" s="70">
        <v>0.72916666666666663</v>
      </c>
      <c r="B90" s="70">
        <v>0.75</v>
      </c>
      <c r="C90" s="433"/>
      <c r="D90" s="433"/>
      <c r="E90" s="433"/>
      <c r="F90" s="70">
        <v>0.47916666666666669</v>
      </c>
      <c r="G90" s="70">
        <v>0.5</v>
      </c>
      <c r="H90" s="74"/>
    </row>
    <row r="91" spans="1:8" ht="18" customHeight="1">
      <c r="A91" s="70">
        <v>0.75</v>
      </c>
      <c r="B91" s="70">
        <v>0.83333333333333337</v>
      </c>
      <c r="C91" s="433" t="s">
        <v>940</v>
      </c>
      <c r="D91" s="433"/>
      <c r="E91" s="433"/>
      <c r="F91" s="70">
        <v>0.5</v>
      </c>
      <c r="G91" s="70">
        <v>0.58333333333333337</v>
      </c>
      <c r="H91" s="74"/>
    </row>
    <row r="92" spans="1:8">
      <c r="A92" s="435" t="str">
        <f>J8</f>
        <v>Day 7</v>
      </c>
      <c r="B92" s="435"/>
      <c r="C92" s="438">
        <f>I8</f>
        <v>44302</v>
      </c>
      <c r="D92" s="438"/>
      <c r="E92" s="438"/>
      <c r="F92" s="435" t="str">
        <f>A92</f>
        <v>Day 7</v>
      </c>
      <c r="G92" s="435"/>
      <c r="H92" s="74"/>
    </row>
    <row r="93" spans="1:8" ht="29">
      <c r="A93" s="435" t="s">
        <v>931</v>
      </c>
      <c r="B93" s="435"/>
      <c r="C93" s="231" t="str">
        <f>C74</f>
        <v>Mini team 1:ATM-5 / ATM-6 / ATM-7</v>
      </c>
      <c r="D93" s="231" t="str">
        <f>D74</f>
        <v>Mini team 2: ATM-1 / ATM-2 / ATM-3 / ATM-4</v>
      </c>
      <c r="E93" s="231" t="str">
        <f>E74</f>
        <v>LA team: van Zyl, Pieter and ATMs if applicable</v>
      </c>
      <c r="F93" s="435" t="s">
        <v>932</v>
      </c>
      <c r="G93" s="435"/>
      <c r="H93" s="74"/>
    </row>
    <row r="94" spans="1:8" ht="18" customHeight="1">
      <c r="A94" s="70">
        <v>0.41666666666666669</v>
      </c>
      <c r="B94" s="70">
        <v>0.4375</v>
      </c>
      <c r="C94" s="434" t="s">
        <v>999</v>
      </c>
      <c r="D94" s="434"/>
      <c r="E94" s="434"/>
      <c r="F94" s="70">
        <v>0.16666666666666666</v>
      </c>
      <c r="G94" s="70">
        <v>0.1875</v>
      </c>
      <c r="H94" s="74"/>
    </row>
    <row r="95" spans="1:8" ht="18" customHeight="1">
      <c r="A95" s="70">
        <v>0.4375</v>
      </c>
      <c r="B95" s="70">
        <v>0.45833333333333331</v>
      </c>
      <c r="C95" s="434"/>
      <c r="D95" s="434"/>
      <c r="E95" s="434"/>
      <c r="F95" s="70">
        <v>0.1875</v>
      </c>
      <c r="G95" s="70">
        <v>0.20833333333333334</v>
      </c>
      <c r="H95" s="74"/>
    </row>
    <row r="96" spans="1:8" ht="18" customHeight="1">
      <c r="A96" s="70">
        <v>0.45833333333333331</v>
      </c>
      <c r="B96" s="70">
        <v>0.47916666666666669</v>
      </c>
      <c r="C96" s="434" t="s">
        <v>1000</v>
      </c>
      <c r="D96" s="434"/>
      <c r="E96" s="434"/>
      <c r="F96" s="70">
        <v>0.20833333333333334</v>
      </c>
      <c r="G96" s="70">
        <v>0.22916666666666666</v>
      </c>
      <c r="H96" s="74"/>
    </row>
    <row r="97" spans="1:8" ht="18" customHeight="1">
      <c r="A97" s="70">
        <v>0.47916666666666669</v>
      </c>
      <c r="B97" s="70">
        <v>0.5</v>
      </c>
      <c r="C97" s="434"/>
      <c r="D97" s="434"/>
      <c r="E97" s="434"/>
      <c r="F97" s="70">
        <v>0.22916666666666666</v>
      </c>
      <c r="G97" s="70">
        <v>0.25</v>
      </c>
      <c r="H97" s="74"/>
    </row>
    <row r="98" spans="1:8" ht="18" customHeight="1">
      <c r="A98" s="70">
        <v>0.5</v>
      </c>
      <c r="B98" s="70">
        <v>0.52083333333333337</v>
      </c>
      <c r="C98" s="433" t="s">
        <v>938</v>
      </c>
      <c r="D98" s="433"/>
      <c r="E98" s="433"/>
      <c r="F98" s="70">
        <v>0.25</v>
      </c>
      <c r="G98" s="70">
        <v>0.27083333333333331</v>
      </c>
      <c r="H98" s="74"/>
    </row>
    <row r="99" spans="1:8" ht="18" customHeight="1">
      <c r="A99" s="70">
        <v>0.52083333333333337</v>
      </c>
      <c r="B99" s="70">
        <v>0.54166666666666663</v>
      </c>
      <c r="C99" s="433"/>
      <c r="D99" s="433"/>
      <c r="E99" s="433"/>
      <c r="F99" s="70">
        <v>0.27083333333333331</v>
      </c>
      <c r="G99" s="70">
        <v>0.29166666666666669</v>
      </c>
      <c r="H99" s="74"/>
    </row>
    <row r="100" spans="1:8" ht="18" customHeight="1">
      <c r="A100" s="70">
        <v>0.54166666666666663</v>
      </c>
      <c r="B100" s="70">
        <v>0.5625</v>
      </c>
      <c r="C100" s="433" t="s">
        <v>943</v>
      </c>
      <c r="D100" s="433"/>
      <c r="E100" s="433"/>
      <c r="F100" s="70">
        <v>0.29166666666666669</v>
      </c>
      <c r="G100" s="70">
        <v>0.3125</v>
      </c>
      <c r="H100" s="74"/>
    </row>
    <row r="101" spans="1:8" ht="18" customHeight="1">
      <c r="A101" s="70">
        <v>0.5625</v>
      </c>
      <c r="B101" s="70">
        <v>0.58333333333333337</v>
      </c>
      <c r="C101" s="433"/>
      <c r="D101" s="433"/>
      <c r="E101" s="433"/>
      <c r="F101" s="70">
        <v>0.3125</v>
      </c>
      <c r="G101" s="70">
        <v>0.33333333333333331</v>
      </c>
      <c r="H101" s="74"/>
    </row>
    <row r="102" spans="1:8" ht="18" customHeight="1">
      <c r="A102" s="70">
        <v>0.58333333333333337</v>
      </c>
      <c r="B102" s="70">
        <v>0.60416666666666663</v>
      </c>
      <c r="C102" s="433"/>
      <c r="D102" s="433"/>
      <c r="E102" s="433"/>
      <c r="F102" s="70">
        <v>0.33333333333333331</v>
      </c>
      <c r="G102" s="70">
        <v>0.35416666666666669</v>
      </c>
      <c r="H102" s="74"/>
    </row>
    <row r="103" spans="1:8" ht="18" customHeight="1">
      <c r="A103" s="70">
        <v>0.60416666666666663</v>
      </c>
      <c r="B103" s="70">
        <v>0.625</v>
      </c>
      <c r="C103" s="433"/>
      <c r="D103" s="433"/>
      <c r="E103" s="433"/>
      <c r="F103" s="70">
        <v>0.35416666666666669</v>
      </c>
      <c r="G103" s="70">
        <v>0.375</v>
      </c>
      <c r="H103" s="74"/>
    </row>
    <row r="104" spans="1:8" ht="18" customHeight="1">
      <c r="A104" s="70">
        <v>0.625</v>
      </c>
      <c r="B104" s="70">
        <v>0.64583333333333337</v>
      </c>
      <c r="C104" s="434" t="s">
        <v>1001</v>
      </c>
      <c r="D104" s="434"/>
      <c r="E104" s="434"/>
      <c r="F104" s="70">
        <v>0.375</v>
      </c>
      <c r="G104" s="70">
        <v>0.39583333333333331</v>
      </c>
      <c r="H104" s="74"/>
    </row>
    <row r="105" spans="1:8" ht="18" customHeight="1">
      <c r="A105" s="70">
        <v>0.64583333333333337</v>
      </c>
      <c r="B105" s="70">
        <v>0.66666666666666663</v>
      </c>
      <c r="C105" s="434"/>
      <c r="D105" s="434"/>
      <c r="E105" s="434"/>
      <c r="F105" s="70">
        <v>0.39583333333333331</v>
      </c>
      <c r="G105" s="70">
        <v>0.41666666666666669</v>
      </c>
      <c r="H105" s="74"/>
    </row>
    <row r="106" spans="1:8" ht="18" customHeight="1">
      <c r="A106" s="70">
        <v>0.66666666666666663</v>
      </c>
      <c r="B106" s="70">
        <v>0.6875</v>
      </c>
      <c r="C106" s="433" t="s">
        <v>944</v>
      </c>
      <c r="D106" s="433"/>
      <c r="E106" s="433"/>
      <c r="F106" s="70">
        <v>0.41666666666666669</v>
      </c>
      <c r="G106" s="70">
        <v>0.4375</v>
      </c>
      <c r="H106" s="74"/>
    </row>
    <row r="107" spans="1:8" ht="18" customHeight="1">
      <c r="A107" s="70">
        <v>0.6875</v>
      </c>
      <c r="B107" s="70">
        <v>0.70833333333333337</v>
      </c>
      <c r="C107" s="433"/>
      <c r="D107" s="433"/>
      <c r="E107" s="433"/>
      <c r="F107" s="70">
        <v>0.4375</v>
      </c>
      <c r="G107" s="70">
        <v>0.45833333333333331</v>
      </c>
      <c r="H107" s="74"/>
    </row>
    <row r="108" spans="1:8" ht="18" customHeight="1">
      <c r="A108" s="70">
        <v>0.70833333333333337</v>
      </c>
      <c r="B108" s="70">
        <v>0.72916666666666663</v>
      </c>
      <c r="C108" s="433" t="s">
        <v>945</v>
      </c>
      <c r="D108" s="433"/>
      <c r="E108" s="433"/>
      <c r="F108" s="70">
        <v>0.45833333333333331</v>
      </c>
      <c r="G108" s="70">
        <v>0.47916666666666669</v>
      </c>
      <c r="H108" s="74"/>
    </row>
    <row r="109" spans="1:8" ht="18" customHeight="1">
      <c r="A109" s="70">
        <v>0.72916666666666663</v>
      </c>
      <c r="B109" s="70">
        <v>0.75</v>
      </c>
      <c r="C109" s="433"/>
      <c r="D109" s="433"/>
      <c r="E109" s="433"/>
      <c r="F109" s="70">
        <v>0.47916666666666669</v>
      </c>
      <c r="G109" s="70">
        <v>0.5</v>
      </c>
      <c r="H109" s="74"/>
    </row>
    <row r="110" spans="1:8" ht="18" customHeight="1">
      <c r="A110" s="70">
        <v>0.75</v>
      </c>
      <c r="B110" s="70">
        <v>0.83333333333333337</v>
      </c>
      <c r="C110" s="433"/>
      <c r="D110" s="433"/>
      <c r="E110" s="433"/>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5" t="s">
        <v>1511</v>
      </c>
      <c r="B2" s="336">
        <f>Planning!B27</f>
        <v>44296</v>
      </c>
      <c r="C2" s="337">
        <f>B2+1</f>
        <v>44297</v>
      </c>
      <c r="D2" s="337">
        <f t="shared" ref="D2:G2" si="0">C2+1</f>
        <v>44298</v>
      </c>
      <c r="E2" s="337">
        <f t="shared" si="0"/>
        <v>44299</v>
      </c>
      <c r="F2" s="337">
        <f t="shared" si="0"/>
        <v>44300</v>
      </c>
      <c r="G2" s="337">
        <f t="shared" si="0"/>
        <v>44301</v>
      </c>
      <c r="H2" s="338" t="s">
        <v>1512</v>
      </c>
    </row>
    <row r="3" spans="1:8" ht="29">
      <c r="A3" s="339">
        <v>0.41666666666666702</v>
      </c>
      <c r="B3" s="472" t="s">
        <v>1513</v>
      </c>
      <c r="C3" s="340" t="s">
        <v>1514</v>
      </c>
      <c r="D3" s="341" t="s">
        <v>1515</v>
      </c>
      <c r="E3" s="341" t="s">
        <v>1515</v>
      </c>
      <c r="F3" s="459" t="s">
        <v>1516</v>
      </c>
      <c r="G3" s="459" t="s">
        <v>1517</v>
      </c>
      <c r="H3" s="342">
        <f t="shared" ref="H3:H19" si="1">+A3-0.25</f>
        <v>0.16666666666666702</v>
      </c>
    </row>
    <row r="4" spans="1:8">
      <c r="A4" s="339">
        <v>0.4375</v>
      </c>
      <c r="B4" s="472"/>
      <c r="C4" s="343" t="s">
        <v>1518</v>
      </c>
      <c r="D4" s="460" t="s">
        <v>1519</v>
      </c>
      <c r="E4" s="460" t="s">
        <v>1520</v>
      </c>
      <c r="F4" s="459"/>
      <c r="G4" s="459"/>
      <c r="H4" s="342">
        <f t="shared" si="1"/>
        <v>0.1875</v>
      </c>
    </row>
    <row r="5" spans="1:8">
      <c r="A5" s="339">
        <v>0.45833333333333398</v>
      </c>
      <c r="B5" s="473" t="s">
        <v>1521</v>
      </c>
      <c r="C5" s="471" t="s">
        <v>1522</v>
      </c>
      <c r="D5" s="460"/>
      <c r="E5" s="460"/>
      <c r="F5" s="459"/>
      <c r="G5" s="459"/>
      <c r="H5" s="342">
        <f t="shared" si="1"/>
        <v>0.20833333333333398</v>
      </c>
    </row>
    <row r="6" spans="1:8">
      <c r="A6" s="339">
        <v>0.47916666666666702</v>
      </c>
      <c r="B6" s="473"/>
      <c r="C6" s="471"/>
      <c r="D6" s="460"/>
      <c r="E6" s="460"/>
      <c r="F6" s="459"/>
      <c r="G6" s="340" t="s">
        <v>1518</v>
      </c>
      <c r="H6" s="342">
        <f t="shared" si="1"/>
        <v>0.22916666666666702</v>
      </c>
    </row>
    <row r="7" spans="1:8">
      <c r="A7" s="339">
        <v>0.5</v>
      </c>
      <c r="B7" s="473"/>
      <c r="C7" s="460" t="s">
        <v>1523</v>
      </c>
      <c r="D7" s="460"/>
      <c r="E7" s="460"/>
      <c r="F7" s="467" t="s">
        <v>938</v>
      </c>
      <c r="G7" s="467" t="s">
        <v>938</v>
      </c>
      <c r="H7" s="342">
        <f t="shared" si="1"/>
        <v>0.25</v>
      </c>
    </row>
    <row r="8" spans="1:8" ht="29">
      <c r="A8" s="339">
        <v>0.52083333333333404</v>
      </c>
      <c r="B8" s="344" t="s">
        <v>1513</v>
      </c>
      <c r="C8" s="460"/>
      <c r="D8" s="460"/>
      <c r="E8" s="460"/>
      <c r="F8" s="467"/>
      <c r="G8" s="467"/>
      <c r="H8" s="342">
        <f t="shared" si="1"/>
        <v>0.27083333333333404</v>
      </c>
    </row>
    <row r="9" spans="1:8">
      <c r="A9" s="339">
        <v>0.54166666666666696</v>
      </c>
      <c r="B9" s="466" t="s">
        <v>938</v>
      </c>
      <c r="C9" s="467" t="s">
        <v>938</v>
      </c>
      <c r="D9" s="467" t="s">
        <v>938</v>
      </c>
      <c r="E9" s="467" t="s">
        <v>938</v>
      </c>
      <c r="F9" s="340" t="s">
        <v>1518</v>
      </c>
      <c r="G9" s="471" t="s">
        <v>795</v>
      </c>
      <c r="H9" s="342">
        <f t="shared" si="1"/>
        <v>0.29166666666666696</v>
      </c>
    </row>
    <row r="10" spans="1:8">
      <c r="A10" s="339">
        <v>0.5625</v>
      </c>
      <c r="B10" s="466"/>
      <c r="C10" s="467"/>
      <c r="D10" s="467"/>
      <c r="E10" s="467"/>
      <c r="F10" s="471" t="s">
        <v>1524</v>
      </c>
      <c r="G10" s="471"/>
      <c r="H10" s="342">
        <f t="shared" si="1"/>
        <v>0.3125</v>
      </c>
    </row>
    <row r="11" spans="1:8">
      <c r="A11" s="339">
        <v>0.58333333333333304</v>
      </c>
      <c r="B11" s="472" t="s">
        <v>1525</v>
      </c>
      <c r="C11" s="460" t="s">
        <v>1526</v>
      </c>
      <c r="D11" s="460" t="s">
        <v>1527</v>
      </c>
      <c r="E11" s="460" t="s">
        <v>1528</v>
      </c>
      <c r="F11" s="471"/>
      <c r="G11" s="459" t="s">
        <v>1529</v>
      </c>
      <c r="H11" s="342">
        <f t="shared" si="1"/>
        <v>0.33333333333333304</v>
      </c>
    </row>
    <row r="12" spans="1:8">
      <c r="A12" s="339">
        <v>0.60416666666666696</v>
      </c>
      <c r="B12" s="472"/>
      <c r="C12" s="460"/>
      <c r="D12" s="460"/>
      <c r="E12" s="460"/>
      <c r="F12" s="471" t="s">
        <v>1530</v>
      </c>
      <c r="G12" s="459"/>
      <c r="H12" s="342">
        <f t="shared" si="1"/>
        <v>0.35416666666666696</v>
      </c>
    </row>
    <row r="13" spans="1:8">
      <c r="A13" s="339">
        <v>0.625</v>
      </c>
      <c r="B13" s="472"/>
      <c r="C13" s="460"/>
      <c r="D13" s="460" t="s">
        <v>1531</v>
      </c>
      <c r="E13" s="460"/>
      <c r="F13" s="471"/>
      <c r="G13" s="459"/>
      <c r="H13" s="342">
        <f t="shared" si="1"/>
        <v>0.375</v>
      </c>
    </row>
    <row r="14" spans="1:8">
      <c r="A14" s="339">
        <v>0.64583333333333304</v>
      </c>
      <c r="B14" s="472"/>
      <c r="C14" s="460"/>
      <c r="D14" s="460"/>
      <c r="E14" s="460"/>
      <c r="F14" s="459" t="s">
        <v>1517</v>
      </c>
      <c r="G14" s="474" t="s">
        <v>1532</v>
      </c>
      <c r="H14" s="342">
        <f t="shared" si="1"/>
        <v>0.39583333333333304</v>
      </c>
    </row>
    <row r="15" spans="1:8">
      <c r="A15" s="339">
        <v>0.66666666666666696</v>
      </c>
      <c r="B15" s="472"/>
      <c r="C15" s="343" t="s">
        <v>1518</v>
      </c>
      <c r="D15" s="460"/>
      <c r="E15" s="459" t="s">
        <v>1516</v>
      </c>
      <c r="F15" s="459"/>
      <c r="G15" s="474"/>
      <c r="H15" s="342">
        <f t="shared" si="1"/>
        <v>0.41666666666666696</v>
      </c>
    </row>
    <row r="16" spans="1:8">
      <c r="A16" s="339">
        <v>0.6875</v>
      </c>
      <c r="B16" s="472"/>
      <c r="C16" s="460" t="s">
        <v>1533</v>
      </c>
      <c r="D16" s="460" t="s">
        <v>1534</v>
      </c>
      <c r="E16" s="459"/>
      <c r="F16" s="459"/>
      <c r="G16" s="474"/>
      <c r="H16" s="342">
        <f t="shared" si="1"/>
        <v>0.4375</v>
      </c>
    </row>
    <row r="17" spans="1:8">
      <c r="A17" s="339">
        <v>0.70833333333333304</v>
      </c>
      <c r="B17" s="345" t="s">
        <v>1535</v>
      </c>
      <c r="C17" s="460"/>
      <c r="D17" s="460"/>
      <c r="E17" s="459"/>
      <c r="F17" s="459"/>
      <c r="G17" s="474"/>
      <c r="H17" s="342">
        <f t="shared" si="1"/>
        <v>0.45833333333333304</v>
      </c>
    </row>
    <row r="18" spans="1:8">
      <c r="A18" s="339">
        <v>0.72916666666666663</v>
      </c>
      <c r="B18" s="346" t="s">
        <v>1515</v>
      </c>
      <c r="C18" s="341" t="s">
        <v>1515</v>
      </c>
      <c r="D18" s="341" t="s">
        <v>1515</v>
      </c>
      <c r="E18" s="341" t="s">
        <v>1515</v>
      </c>
      <c r="F18" s="341" t="s">
        <v>1515</v>
      </c>
      <c r="G18" s="474"/>
      <c r="H18" s="342">
        <f t="shared" si="1"/>
        <v>0.47916666666666663</v>
      </c>
    </row>
    <row r="19" spans="1:8" ht="15" thickBot="1">
      <c r="A19" s="347">
        <v>0.75</v>
      </c>
      <c r="B19" s="468" t="s">
        <v>940</v>
      </c>
      <c r="C19" s="469"/>
      <c r="D19" s="469"/>
      <c r="E19" s="469"/>
      <c r="F19" s="469"/>
      <c r="G19" s="469"/>
      <c r="H19" s="348">
        <f t="shared" si="1"/>
        <v>0.5</v>
      </c>
    </row>
    <row r="21" spans="1:8" ht="15" thickBot="1">
      <c r="A21" s="8" t="s">
        <v>1536</v>
      </c>
    </row>
    <row r="22" spans="1:8">
      <c r="A22" s="335" t="s">
        <v>1511</v>
      </c>
      <c r="B22" s="336">
        <f>Planning!B27</f>
        <v>44296</v>
      </c>
      <c r="C22" s="336">
        <f>B22+1</f>
        <v>44297</v>
      </c>
      <c r="D22" s="336">
        <f t="shared" ref="D22:F22" si="2">C22+1</f>
        <v>44298</v>
      </c>
      <c r="E22" s="336">
        <f t="shared" si="2"/>
        <v>44299</v>
      </c>
      <c r="F22" s="336">
        <f t="shared" si="2"/>
        <v>44300</v>
      </c>
      <c r="G22" s="336">
        <f>F22+1</f>
        <v>44301</v>
      </c>
      <c r="H22" s="338" t="s">
        <v>1512</v>
      </c>
    </row>
    <row r="23" spans="1:8" ht="29">
      <c r="A23" s="339">
        <v>0.41666666666666702</v>
      </c>
      <c r="B23" s="472" t="s">
        <v>1513</v>
      </c>
      <c r="C23" s="340" t="s">
        <v>1514</v>
      </c>
      <c r="D23" s="341" t="s">
        <v>1515</v>
      </c>
      <c r="E23" s="341" t="s">
        <v>1515</v>
      </c>
      <c r="F23" s="461" t="s">
        <v>1516</v>
      </c>
      <c r="G23" s="461" t="s">
        <v>1517</v>
      </c>
      <c r="H23" s="342">
        <f t="shared" ref="H23:H39" si="3">+A23-0.25</f>
        <v>0.16666666666666702</v>
      </c>
    </row>
    <row r="24" spans="1:8">
      <c r="A24" s="339">
        <v>0.4375</v>
      </c>
      <c r="B24" s="472"/>
      <c r="C24" s="343" t="s">
        <v>1518</v>
      </c>
      <c r="D24" s="460" t="s">
        <v>1519</v>
      </c>
      <c r="E24" s="460" t="s">
        <v>1520</v>
      </c>
      <c r="F24" s="470"/>
      <c r="G24" s="470"/>
      <c r="H24" s="342">
        <f t="shared" si="3"/>
        <v>0.1875</v>
      </c>
    </row>
    <row r="25" spans="1:8">
      <c r="A25" s="339">
        <v>0.45833333333333398</v>
      </c>
      <c r="B25" s="473" t="s">
        <v>1521</v>
      </c>
      <c r="C25" s="471" t="s">
        <v>1522</v>
      </c>
      <c r="D25" s="460"/>
      <c r="E25" s="460"/>
      <c r="F25" s="470"/>
      <c r="G25" s="470"/>
      <c r="H25" s="342">
        <f t="shared" si="3"/>
        <v>0.20833333333333398</v>
      </c>
    </row>
    <row r="26" spans="1:8">
      <c r="A26" s="339">
        <v>0.47916666666666702</v>
      </c>
      <c r="B26" s="473"/>
      <c r="C26" s="471"/>
      <c r="D26" s="460"/>
      <c r="E26" s="460"/>
      <c r="F26" s="470"/>
      <c r="G26" s="470"/>
      <c r="H26" s="342">
        <f t="shared" si="3"/>
        <v>0.22916666666666702</v>
      </c>
    </row>
    <row r="27" spans="1:8">
      <c r="A27" s="339">
        <v>0.5</v>
      </c>
      <c r="B27" s="473"/>
      <c r="C27" s="460" t="s">
        <v>1523</v>
      </c>
      <c r="D27" s="460"/>
      <c r="E27" s="460"/>
      <c r="F27" s="470"/>
      <c r="G27" s="470"/>
      <c r="H27" s="342">
        <f t="shared" si="3"/>
        <v>0.25</v>
      </c>
    </row>
    <row r="28" spans="1:8" ht="29">
      <c r="A28" s="339">
        <v>0.52083333333333404</v>
      </c>
      <c r="B28" s="344" t="s">
        <v>1513</v>
      </c>
      <c r="C28" s="460"/>
      <c r="D28" s="460"/>
      <c r="E28" s="460"/>
      <c r="F28" s="462"/>
      <c r="G28" s="462"/>
      <c r="H28" s="342">
        <f t="shared" si="3"/>
        <v>0.27083333333333404</v>
      </c>
    </row>
    <row r="29" spans="1:8">
      <c r="A29" s="339">
        <v>0.54166666666666696</v>
      </c>
      <c r="B29" s="466" t="s">
        <v>938</v>
      </c>
      <c r="C29" s="467" t="s">
        <v>938</v>
      </c>
      <c r="D29" s="467" t="s">
        <v>938</v>
      </c>
      <c r="E29" s="467" t="s">
        <v>938</v>
      </c>
      <c r="F29" s="467" t="s">
        <v>938</v>
      </c>
      <c r="G29" s="467" t="s">
        <v>938</v>
      </c>
      <c r="H29" s="342">
        <f t="shared" si="3"/>
        <v>0.29166666666666696</v>
      </c>
    </row>
    <row r="30" spans="1:8">
      <c r="A30" s="339">
        <v>0.5625</v>
      </c>
      <c r="B30" s="466"/>
      <c r="C30" s="467"/>
      <c r="D30" s="467"/>
      <c r="E30" s="467"/>
      <c r="F30" s="467"/>
      <c r="G30" s="467"/>
      <c r="H30" s="342">
        <f t="shared" si="3"/>
        <v>0.3125</v>
      </c>
    </row>
    <row r="31" spans="1:8">
      <c r="A31" s="339">
        <v>0.58333333333333304</v>
      </c>
      <c r="B31" s="461" t="s">
        <v>1525</v>
      </c>
      <c r="C31" s="460" t="s">
        <v>1526</v>
      </c>
      <c r="D31" s="460" t="s">
        <v>1527</v>
      </c>
      <c r="E31" s="460" t="s">
        <v>1528</v>
      </c>
      <c r="F31" s="341" t="s">
        <v>1518</v>
      </c>
      <c r="G31" s="341" t="s">
        <v>1518</v>
      </c>
      <c r="H31" s="342">
        <f t="shared" si="3"/>
        <v>0.33333333333333304</v>
      </c>
    </row>
    <row r="32" spans="1:8">
      <c r="A32" s="339">
        <v>0.60416666666666696</v>
      </c>
      <c r="B32" s="470"/>
      <c r="C32" s="460"/>
      <c r="D32" s="460"/>
      <c r="E32" s="460"/>
      <c r="F32" s="471" t="s">
        <v>1524</v>
      </c>
      <c r="G32" s="471" t="s">
        <v>795</v>
      </c>
      <c r="H32" s="342">
        <f t="shared" si="3"/>
        <v>0.35416666666666696</v>
      </c>
    </row>
    <row r="33" spans="1:8">
      <c r="A33" s="339">
        <v>0.625</v>
      </c>
      <c r="B33" s="470"/>
      <c r="C33" s="460"/>
      <c r="D33" s="460" t="s">
        <v>1531</v>
      </c>
      <c r="E33" s="460"/>
      <c r="F33" s="471"/>
      <c r="G33" s="471"/>
      <c r="H33" s="342">
        <f t="shared" si="3"/>
        <v>0.375</v>
      </c>
    </row>
    <row r="34" spans="1:8">
      <c r="A34" s="339">
        <v>0.64583333333333304</v>
      </c>
      <c r="B34" s="470"/>
      <c r="C34" s="460"/>
      <c r="D34" s="460"/>
      <c r="E34" s="460"/>
      <c r="F34" s="471" t="s">
        <v>1530</v>
      </c>
      <c r="G34" s="463" t="s">
        <v>1537</v>
      </c>
      <c r="H34" s="342">
        <f t="shared" si="3"/>
        <v>0.39583333333333304</v>
      </c>
    </row>
    <row r="35" spans="1:8">
      <c r="A35" s="339">
        <v>0.66666666666666696</v>
      </c>
      <c r="B35" s="462"/>
      <c r="C35" s="343" t="s">
        <v>1518</v>
      </c>
      <c r="D35" s="460"/>
      <c r="E35" s="459" t="s">
        <v>1516</v>
      </c>
      <c r="F35" s="471"/>
      <c r="G35" s="464"/>
      <c r="H35" s="342">
        <f t="shared" si="3"/>
        <v>0.41666666666666696</v>
      </c>
    </row>
    <row r="36" spans="1:8">
      <c r="A36" s="339">
        <v>0.6875</v>
      </c>
      <c r="B36" s="349" t="s">
        <v>1538</v>
      </c>
      <c r="C36" s="460" t="s">
        <v>1533</v>
      </c>
      <c r="D36" s="460" t="s">
        <v>1534</v>
      </c>
      <c r="E36" s="459"/>
      <c r="F36" s="461" t="s">
        <v>1517</v>
      </c>
      <c r="G36" s="463" t="s">
        <v>1539</v>
      </c>
      <c r="H36" s="342">
        <f t="shared" si="3"/>
        <v>0.4375</v>
      </c>
    </row>
    <row r="37" spans="1:8">
      <c r="A37" s="339">
        <v>0.70833333333333304</v>
      </c>
      <c r="B37" s="345" t="s">
        <v>1535</v>
      </c>
      <c r="C37" s="460"/>
      <c r="D37" s="460"/>
      <c r="E37" s="459"/>
      <c r="F37" s="462"/>
      <c r="G37" s="464"/>
      <c r="H37" s="342">
        <f t="shared" si="3"/>
        <v>0.45833333333333304</v>
      </c>
    </row>
    <row r="38" spans="1:8">
      <c r="A38" s="339">
        <v>0.72916666666666663</v>
      </c>
      <c r="B38" s="346" t="s">
        <v>1515</v>
      </c>
      <c r="C38" s="341" t="s">
        <v>1515</v>
      </c>
      <c r="D38" s="341" t="s">
        <v>1515</v>
      </c>
      <c r="E38" s="341" t="s">
        <v>1515</v>
      </c>
      <c r="F38" s="341" t="s">
        <v>1515</v>
      </c>
      <c r="G38" s="465"/>
      <c r="H38" s="342">
        <f t="shared" si="3"/>
        <v>0.47916666666666663</v>
      </c>
    </row>
    <row r="39" spans="1:8" ht="15" thickBot="1">
      <c r="A39" s="347">
        <v>0.75</v>
      </c>
      <c r="B39" s="468" t="s">
        <v>940</v>
      </c>
      <c r="C39" s="469"/>
      <c r="D39" s="469"/>
      <c r="E39" s="469"/>
      <c r="F39" s="469"/>
      <c r="G39" s="469"/>
      <c r="H39" s="34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4" t="s">
        <v>411</v>
      </c>
      <c r="S5" s="424" t="s">
        <v>411</v>
      </c>
      <c r="W5" s="284" t="s">
        <v>411</v>
      </c>
      <c r="X5" s="284" t="s">
        <v>411</v>
      </c>
    </row>
    <row r="6" spans="1:24">
      <c r="A6" s="129" t="str">
        <f>'P1PA-SS'!A92</f>
        <v>Appraisal team member</v>
      </c>
      <c r="B6" s="131" t="str">
        <f>'P1PA-SS'!B92</f>
        <v>ATM-2</v>
      </c>
      <c r="C6" s="129" t="str">
        <f>'P1PA-SS'!V92</f>
        <v>atm2.email@gmail.com</v>
      </c>
      <c r="D6" s="128">
        <f t="shared" ref="D6:D13" si="1">COUNTIF(E6:Y6,"x")</f>
        <v>2</v>
      </c>
      <c r="G6" s="284" t="s">
        <v>411</v>
      </c>
      <c r="J6" s="424" t="s">
        <v>411</v>
      </c>
    </row>
    <row r="7" spans="1:24">
      <c r="A7" s="129" t="str">
        <f>'P1PA-SS'!A93</f>
        <v>Appraisal team member</v>
      </c>
      <c r="B7" s="131" t="str">
        <f>'P1PA-SS'!B93</f>
        <v>ATM-3</v>
      </c>
      <c r="C7" s="129" t="str">
        <f>'P1PA-SS'!V93</f>
        <v>atm3.email@gmail.com</v>
      </c>
      <c r="D7" s="128">
        <f t="shared" si="1"/>
        <v>3</v>
      </c>
      <c r="H7" s="424" t="s">
        <v>411</v>
      </c>
      <c r="T7" s="424" t="s">
        <v>411</v>
      </c>
      <c r="U7" s="424" t="s">
        <v>411</v>
      </c>
    </row>
    <row r="8" spans="1:24" s="129" customFormat="1">
      <c r="A8" s="129" t="str">
        <f>'P1PA-SS'!A94</f>
        <v>Appraisal team member</v>
      </c>
      <c r="B8" s="131" t="str">
        <f>'P1PA-SS'!B94</f>
        <v>ATM-4</v>
      </c>
      <c r="C8" s="129" t="str">
        <f>'P1PA-SS'!V94</f>
        <v>atm4.email@gmail.com</v>
      </c>
      <c r="D8" s="128">
        <f t="shared" si="1"/>
        <v>5</v>
      </c>
      <c r="E8" s="424" t="s">
        <v>411</v>
      </c>
      <c r="F8" s="424" t="s">
        <v>411</v>
      </c>
      <c r="G8" s="128"/>
      <c r="H8" s="128"/>
      <c r="I8" s="424" t="s">
        <v>411</v>
      </c>
      <c r="J8" s="128"/>
      <c r="K8" s="128"/>
      <c r="L8" s="128"/>
      <c r="M8" s="128"/>
      <c r="N8" s="424" t="s">
        <v>411</v>
      </c>
      <c r="O8" s="424"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4" t="s">
        <v>411</v>
      </c>
      <c r="M9" s="424" t="s">
        <v>411</v>
      </c>
      <c r="N9" s="128"/>
      <c r="O9" s="128"/>
      <c r="P9" s="424" t="s">
        <v>411</v>
      </c>
      <c r="Q9" s="424" t="s">
        <v>411</v>
      </c>
      <c r="R9" s="424"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4" t="s">
        <v>411</v>
      </c>
      <c r="M10" s="424" t="s">
        <v>411</v>
      </c>
      <c r="N10" s="128"/>
      <c r="O10" s="128"/>
      <c r="P10" s="424" t="s">
        <v>411</v>
      </c>
      <c r="Q10" s="424" t="s">
        <v>411</v>
      </c>
      <c r="R10" s="424"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4" t="s">
        <v>411</v>
      </c>
      <c r="M11" s="424" t="s">
        <v>411</v>
      </c>
      <c r="N11" s="128"/>
      <c r="O11" s="128"/>
      <c r="P11" s="424" t="s">
        <v>411</v>
      </c>
      <c r="Q11" s="424" t="s">
        <v>411</v>
      </c>
      <c r="R11" s="424" t="s">
        <v>411</v>
      </c>
      <c r="S11" s="128"/>
      <c r="T11" s="128"/>
      <c r="U11" s="128"/>
      <c r="V11" s="128"/>
      <c r="W11" s="128"/>
      <c r="X11" s="128"/>
    </row>
    <row r="12" spans="1:24" s="322" customFormat="1">
      <c r="A12" s="322" t="str">
        <f>'P1PA-SS'!A98</f>
        <v>Appraisal team member</v>
      </c>
      <c r="B12" s="131" t="str">
        <f>'P1PA-SS'!B98</f>
        <v>ATM-8</v>
      </c>
      <c r="C12" s="322" t="str">
        <f>'P1PA-SS'!V98</f>
        <v>atm8.email@gmail.com</v>
      </c>
      <c r="D12" s="128">
        <f t="shared" si="1"/>
        <v>0</v>
      </c>
      <c r="E12" s="128"/>
      <c r="F12" s="128"/>
      <c r="G12" s="128"/>
      <c r="H12" s="128"/>
      <c r="I12" s="128"/>
      <c r="J12" s="128"/>
      <c r="K12" s="128"/>
      <c r="L12" s="424"/>
      <c r="M12" s="424"/>
      <c r="N12" s="128"/>
      <c r="O12" s="128"/>
      <c r="P12" s="424"/>
      <c r="Q12" s="424"/>
      <c r="R12" s="424"/>
      <c r="S12" s="128"/>
      <c r="T12" s="128"/>
      <c r="U12" s="128"/>
      <c r="V12" s="128"/>
      <c r="W12" s="128"/>
      <c r="X12" s="128"/>
    </row>
    <row r="13" spans="1:24" s="322" customFormat="1">
      <c r="A13" s="322" t="str">
        <f>'P1PA-SS'!A99</f>
        <v>Appraisal team member</v>
      </c>
      <c r="B13" s="131" t="str">
        <f>'P1PA-SS'!B99</f>
        <v>ATM-9</v>
      </c>
      <c r="C13" s="322" t="str">
        <f>'P1PA-SS'!V99</f>
        <v>atm9.email@gmail.com</v>
      </c>
      <c r="D13" s="128">
        <f t="shared" si="1"/>
        <v>0</v>
      </c>
      <c r="E13" s="128"/>
      <c r="F13" s="128"/>
      <c r="G13" s="128"/>
      <c r="H13" s="128"/>
      <c r="I13" s="128"/>
      <c r="J13" s="128"/>
      <c r="K13" s="128"/>
      <c r="L13" s="424"/>
      <c r="M13" s="424"/>
      <c r="N13" s="128"/>
      <c r="O13" s="128"/>
      <c r="P13" s="424"/>
      <c r="Q13" s="424"/>
      <c r="R13" s="424"/>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4" t="s">
        <v>1716</v>
      </c>
    </row>
    <row r="22" spans="1:24">
      <c r="C22" s="424" t="s">
        <v>1717</v>
      </c>
    </row>
    <row r="23" spans="1:24">
      <c r="C23" s="149" t="s">
        <v>1718</v>
      </c>
    </row>
    <row r="24" spans="1:24">
      <c r="C24" s="286"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3" t="s">
        <v>1481</v>
      </c>
    </row>
    <row r="4" spans="1:22">
      <c r="A4" s="125" t="s">
        <v>625</v>
      </c>
      <c r="B4" s="64">
        <v>1</v>
      </c>
      <c r="C4" s="333" t="str">
        <f t="shared" ref="C4:C20" si="0">_xlfn.CONCAT(A4, " (",B4,")")</f>
        <v>ATL (1)</v>
      </c>
    </row>
    <row r="5" spans="1:22">
      <c r="A5" s="125" t="s">
        <v>1023</v>
      </c>
      <c r="B5" s="64">
        <v>4</v>
      </c>
      <c r="C5" s="333" t="str">
        <f t="shared" si="0"/>
        <v>ATM (4)</v>
      </c>
    </row>
    <row r="6" spans="1:22">
      <c r="A6" s="125" t="s">
        <v>751</v>
      </c>
      <c r="B6" s="64">
        <v>1</v>
      </c>
      <c r="C6" s="333" t="str">
        <f t="shared" si="0"/>
        <v>CM (1)</v>
      </c>
    </row>
    <row r="7" spans="1:22">
      <c r="A7" s="125" t="s">
        <v>1459</v>
      </c>
      <c r="B7" s="64">
        <v>6</v>
      </c>
      <c r="C7" s="333" t="str">
        <f t="shared" si="0"/>
        <v>Engineers (6)</v>
      </c>
    </row>
    <row r="8" spans="1:22">
      <c r="A8" s="125" t="s">
        <v>1478</v>
      </c>
      <c r="B8" s="64">
        <v>1</v>
      </c>
      <c r="C8" s="333" t="str">
        <f t="shared" si="0"/>
        <v>EPG (1)</v>
      </c>
    </row>
    <row r="9" spans="1:22">
      <c r="A9" s="125" t="s">
        <v>753</v>
      </c>
      <c r="B9" s="64">
        <v>1</v>
      </c>
      <c r="C9" s="333" t="str">
        <f t="shared" si="0"/>
        <v>OT (1)</v>
      </c>
    </row>
    <row r="10" spans="1:22">
      <c r="A10" s="125" t="s">
        <v>1483</v>
      </c>
      <c r="B10" s="64">
        <v>1</v>
      </c>
      <c r="C10" s="333" t="str">
        <f t="shared" si="0"/>
        <v>OUC (1)</v>
      </c>
    </row>
    <row r="11" spans="1:22">
      <c r="A11" s="125" t="s">
        <v>1466</v>
      </c>
      <c r="B11" s="64">
        <v>2</v>
      </c>
      <c r="C11" s="333" t="str">
        <f t="shared" si="0"/>
        <v>PMs (2)</v>
      </c>
    </row>
    <row r="12" spans="1:22">
      <c r="A12" s="125" t="s">
        <v>752</v>
      </c>
      <c r="B12" s="64">
        <v>1</v>
      </c>
      <c r="C12" s="333" t="str">
        <f t="shared" si="0"/>
        <v>PPQA (1)</v>
      </c>
    </row>
    <row r="13" spans="1:22">
      <c r="A13" s="125" t="s">
        <v>1482</v>
      </c>
      <c r="B13" s="64">
        <v>2</v>
      </c>
      <c r="C13" s="333" t="str">
        <f t="shared" si="0"/>
        <v>SM (2)</v>
      </c>
    </row>
    <row r="14" spans="1:22">
      <c r="A14" s="125" t="s">
        <v>593</v>
      </c>
      <c r="B14" s="64">
        <v>1</v>
      </c>
      <c r="C14" s="333" t="str">
        <f t="shared" si="0"/>
        <v>Sponsor (1)</v>
      </c>
    </row>
    <row r="15" spans="1:22">
      <c r="A15" s="125" t="s">
        <v>1484</v>
      </c>
      <c r="B15" s="64">
        <v>1</v>
      </c>
      <c r="C15" s="333" t="str">
        <f t="shared" si="0"/>
        <v>RI (1)</v>
      </c>
    </row>
    <row r="16" spans="1:22">
      <c r="A16" s="125" t="s">
        <v>1485</v>
      </c>
      <c r="B16" s="64">
        <f>B7+B6</f>
        <v>7</v>
      </c>
      <c r="C16" s="333" t="str">
        <f t="shared" si="0"/>
        <v>ParticipantsPrelim1 (7)</v>
      </c>
    </row>
    <row r="17" spans="1:22">
      <c r="A17" s="125" t="s">
        <v>1486</v>
      </c>
      <c r="B17" s="64">
        <f>B8+B9+B11+B12</f>
        <v>5</v>
      </c>
      <c r="C17" s="333" t="str">
        <f t="shared" si="0"/>
        <v>ParticipantsPrelim2 (5)</v>
      </c>
    </row>
    <row r="18" spans="1:22">
      <c r="A18" s="125" t="s">
        <v>1489</v>
      </c>
      <c r="B18" s="64">
        <v>5</v>
      </c>
      <c r="C18" s="333" t="str">
        <f t="shared" si="0"/>
        <v>ParticipantsTechTest (5)</v>
      </c>
    </row>
    <row r="19" spans="1:22">
      <c r="A19" s="125" t="s">
        <v>1487</v>
      </c>
      <c r="B19" s="64">
        <f>B13+B12+B11+B10+B9+B7+B6+B5</f>
        <v>18</v>
      </c>
      <c r="C19" s="333" t="str">
        <f t="shared" si="0"/>
        <v>ParticipantsOpen (18)</v>
      </c>
    </row>
    <row r="20" spans="1:22">
      <c r="A20" s="125" t="s">
        <v>1488</v>
      </c>
      <c r="B20" s="64">
        <f>B14+B13+B12+B11+B10+B8+B7+B6</f>
        <v>15</v>
      </c>
      <c r="C20" s="333" t="str">
        <f t="shared" si="0"/>
        <v>ParticipantsFinal (15)</v>
      </c>
    </row>
    <row r="21" spans="1:22" s="240" customFormat="1">
      <c r="B21" s="334"/>
      <c r="C21" s="334"/>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5" t="s">
        <v>1345</v>
      </c>
      <c r="D1" t="s">
        <v>1362</v>
      </c>
      <c r="E1" t="s">
        <v>1363</v>
      </c>
      <c r="F1" s="285" t="s">
        <v>1348</v>
      </c>
      <c r="G1" s="285"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5" t="s">
        <v>1345</v>
      </c>
      <c r="D1" t="s">
        <v>1346</v>
      </c>
      <c r="E1" t="s">
        <v>1347</v>
      </c>
      <c r="F1" s="285" t="s">
        <v>1348</v>
      </c>
      <c r="G1" s="285" t="s">
        <v>1349</v>
      </c>
      <c r="H1" t="s">
        <v>1350</v>
      </c>
      <c r="I1" s="285" t="s">
        <v>1351</v>
      </c>
      <c r="J1" s="285" t="s">
        <v>1352</v>
      </c>
      <c r="K1" s="285" t="s">
        <v>1353</v>
      </c>
      <c r="L1" s="285" t="s">
        <v>1354</v>
      </c>
      <c r="M1" t="s">
        <v>1355</v>
      </c>
      <c r="N1" s="285"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6">
        <v>44021</v>
      </c>
      <c r="L2" s="326">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6">
        <v>44086</v>
      </c>
      <c r="L3" s="326">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6">
        <v>44062</v>
      </c>
      <c r="L4" s="326">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6">
        <v>44116</v>
      </c>
      <c r="L5" s="326">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484" t="s">
        <v>1089</v>
      </c>
      <c r="C2" s="484" t="s">
        <v>1090</v>
      </c>
      <c r="D2" s="475" t="s">
        <v>1091</v>
      </c>
      <c r="E2" s="477"/>
      <c r="F2" s="478" t="s">
        <v>1092</v>
      </c>
      <c r="G2" s="480"/>
      <c r="H2" s="475" t="s">
        <v>1093</v>
      </c>
      <c r="I2" s="476"/>
      <c r="J2" s="476"/>
      <c r="K2" s="477"/>
      <c r="L2" s="478" t="s">
        <v>1094</v>
      </c>
      <c r="M2" s="479"/>
      <c r="N2" s="480"/>
      <c r="O2" s="210" t="s">
        <v>1095</v>
      </c>
      <c r="P2" s="211" t="s">
        <v>1096</v>
      </c>
      <c r="Q2" s="475" t="s">
        <v>1097</v>
      </c>
      <c r="R2" s="476"/>
      <c r="S2" s="477"/>
      <c r="T2" s="478" t="s">
        <v>1098</v>
      </c>
      <c r="U2" s="479"/>
      <c r="V2" s="480"/>
      <c r="W2" s="207" t="s">
        <v>1099</v>
      </c>
    </row>
    <row r="3" spans="2:28" ht="15.5">
      <c r="B3" s="485"/>
      <c r="C3" s="485"/>
      <c r="D3" s="287" t="s">
        <v>910</v>
      </c>
      <c r="E3" s="287" t="s">
        <v>911</v>
      </c>
      <c r="F3" s="288" t="s">
        <v>884</v>
      </c>
      <c r="G3" s="288" t="s">
        <v>883</v>
      </c>
      <c r="H3" s="287" t="s">
        <v>885</v>
      </c>
      <c r="I3" s="287" t="s">
        <v>887</v>
      </c>
      <c r="J3" s="287" t="s">
        <v>836</v>
      </c>
      <c r="K3" s="287" t="s">
        <v>886</v>
      </c>
      <c r="L3" s="288" t="s">
        <v>890</v>
      </c>
      <c r="M3" s="288" t="s">
        <v>889</v>
      </c>
      <c r="N3" s="288" t="s">
        <v>888</v>
      </c>
      <c r="O3" s="287" t="s">
        <v>891</v>
      </c>
      <c r="P3" s="288" t="s">
        <v>753</v>
      </c>
      <c r="Q3" s="287" t="s">
        <v>893</v>
      </c>
      <c r="R3" s="287" t="s">
        <v>894</v>
      </c>
      <c r="S3" s="287" t="s">
        <v>892</v>
      </c>
      <c r="T3" s="288" t="s">
        <v>895</v>
      </c>
      <c r="U3" s="288" t="s">
        <v>896</v>
      </c>
      <c r="V3" s="288"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81" t="s">
        <v>1100</v>
      </c>
      <c r="C5" s="214"/>
      <c r="D5" s="290" t="s">
        <v>1104</v>
      </c>
      <c r="E5" s="290" t="s">
        <v>1104</v>
      </c>
      <c r="F5" s="290" t="s">
        <v>1104</v>
      </c>
      <c r="G5" s="290" t="s">
        <v>1104</v>
      </c>
      <c r="H5" s="290" t="s">
        <v>1104</v>
      </c>
      <c r="I5" s="290" t="s">
        <v>1104</v>
      </c>
      <c r="J5" s="290" t="s">
        <v>1104</v>
      </c>
      <c r="K5" s="290" t="s">
        <v>1104</v>
      </c>
      <c r="L5" s="290" t="s">
        <v>1104</v>
      </c>
      <c r="M5" s="290" t="s">
        <v>1104</v>
      </c>
      <c r="N5" s="290" t="s">
        <v>1104</v>
      </c>
      <c r="O5" s="290" t="s">
        <v>1104</v>
      </c>
      <c r="P5" s="290" t="s">
        <v>1104</v>
      </c>
      <c r="Q5" s="290" t="s">
        <v>1104</v>
      </c>
      <c r="R5" s="290" t="s">
        <v>1104</v>
      </c>
      <c r="S5" s="290" t="s">
        <v>1104</v>
      </c>
      <c r="T5" s="290" t="s">
        <v>1104</v>
      </c>
      <c r="U5" s="290" t="s">
        <v>1104</v>
      </c>
      <c r="V5" s="290" t="s">
        <v>1104</v>
      </c>
      <c r="W5" s="197" t="s">
        <v>1105</v>
      </c>
    </row>
    <row r="6" spans="2:28" ht="15.5">
      <c r="B6" s="482"/>
      <c r="C6" s="288">
        <v>1.1000000000000001</v>
      </c>
      <c r="D6" s="291" t="s">
        <v>1101</v>
      </c>
      <c r="E6" s="291" t="s">
        <v>1101</v>
      </c>
      <c r="F6" s="291" t="s">
        <v>1101</v>
      </c>
      <c r="G6" s="291" t="s">
        <v>1101</v>
      </c>
      <c r="H6" s="291" t="s">
        <v>1101</v>
      </c>
      <c r="I6" s="291" t="s">
        <v>1101</v>
      </c>
      <c r="J6" s="291" t="s">
        <v>1101</v>
      </c>
      <c r="K6" s="291" t="s">
        <v>1101</v>
      </c>
      <c r="L6" s="291" t="s">
        <v>1101</v>
      </c>
      <c r="M6" s="291" t="s">
        <v>1101</v>
      </c>
      <c r="N6" s="291" t="s">
        <v>1101</v>
      </c>
      <c r="O6" s="291" t="s">
        <v>1101</v>
      </c>
      <c r="P6" s="291" t="s">
        <v>1101</v>
      </c>
      <c r="Q6" s="291" t="s">
        <v>1102</v>
      </c>
      <c r="R6" s="291" t="s">
        <v>1101</v>
      </c>
      <c r="S6" s="291" t="s">
        <v>1101</v>
      </c>
      <c r="T6" s="291" t="s">
        <v>1101</v>
      </c>
      <c r="U6" s="291" t="s">
        <v>1101</v>
      </c>
      <c r="V6" s="291" t="s">
        <v>1101</v>
      </c>
      <c r="W6" s="197" t="s">
        <v>1103</v>
      </c>
      <c r="Z6" s="196" t="s">
        <v>1101</v>
      </c>
      <c r="AB6" s="196" t="s">
        <v>1104</v>
      </c>
    </row>
    <row r="7" spans="2:28" ht="15.5">
      <c r="B7" s="482"/>
      <c r="C7" s="288">
        <v>1.2</v>
      </c>
      <c r="D7" s="291"/>
      <c r="E7" s="291"/>
      <c r="F7" s="291"/>
      <c r="G7" s="291"/>
      <c r="H7" s="291"/>
      <c r="I7" s="291" t="s">
        <v>1101</v>
      </c>
      <c r="J7" s="291"/>
      <c r="K7" s="291"/>
      <c r="L7" s="291" t="s">
        <v>1101</v>
      </c>
      <c r="M7" s="291"/>
      <c r="N7" s="291" t="s">
        <v>1101</v>
      </c>
      <c r="O7" s="291"/>
      <c r="P7" s="291"/>
      <c r="Q7" s="291" t="s">
        <v>1101</v>
      </c>
      <c r="R7" s="291" t="s">
        <v>1101</v>
      </c>
      <c r="S7" s="291"/>
      <c r="T7" s="291" t="s">
        <v>1219</v>
      </c>
      <c r="U7" s="291" t="s">
        <v>1101</v>
      </c>
      <c r="V7" s="291" t="s">
        <v>1219</v>
      </c>
      <c r="W7" s="197" t="s">
        <v>914</v>
      </c>
      <c r="Z7" s="196" t="s">
        <v>1102</v>
      </c>
      <c r="AB7" s="196" t="s">
        <v>1105</v>
      </c>
    </row>
    <row r="8" spans="2:28" ht="15.5">
      <c r="B8" s="482"/>
      <c r="C8" s="288">
        <v>1.3</v>
      </c>
      <c r="D8" s="291"/>
      <c r="E8" s="291"/>
      <c r="F8" s="291"/>
      <c r="G8" s="291"/>
      <c r="H8" s="291"/>
      <c r="I8" s="291"/>
      <c r="J8" s="291"/>
      <c r="K8" s="291"/>
      <c r="L8" s="291" t="s">
        <v>1101</v>
      </c>
      <c r="M8" s="291"/>
      <c r="N8" s="291"/>
      <c r="O8" s="291"/>
      <c r="P8" s="291"/>
      <c r="Q8" s="291"/>
      <c r="R8" s="291"/>
      <c r="S8" s="291"/>
      <c r="T8" s="291"/>
      <c r="U8" s="291"/>
      <c r="V8" s="291"/>
      <c r="W8" s="197" t="s">
        <v>1102</v>
      </c>
      <c r="Z8" s="196" t="s">
        <v>914</v>
      </c>
    </row>
    <row r="9" spans="2:28" ht="15.5">
      <c r="B9" s="483"/>
      <c r="C9" s="288">
        <v>1.4</v>
      </c>
      <c r="D9" s="291"/>
      <c r="E9" s="291"/>
      <c r="F9" s="291" t="s">
        <v>1219</v>
      </c>
      <c r="G9" s="291" t="s">
        <v>1219</v>
      </c>
      <c r="H9" s="291" t="s">
        <v>1219</v>
      </c>
      <c r="I9" s="291" t="s">
        <v>1219</v>
      </c>
      <c r="J9" s="291" t="s">
        <v>1219</v>
      </c>
      <c r="K9" s="291" t="s">
        <v>1219</v>
      </c>
      <c r="L9" s="291"/>
      <c r="M9" s="291" t="s">
        <v>1219</v>
      </c>
      <c r="N9" s="291" t="s">
        <v>1219</v>
      </c>
      <c r="O9" s="291" t="s">
        <v>1219</v>
      </c>
      <c r="P9" s="291" t="s">
        <v>1219</v>
      </c>
      <c r="Q9" s="291" t="s">
        <v>1219</v>
      </c>
      <c r="R9" s="291" t="s">
        <v>1219</v>
      </c>
      <c r="S9" s="291" t="s">
        <v>1219</v>
      </c>
      <c r="T9" s="291" t="s">
        <v>1219</v>
      </c>
      <c r="U9" s="291" t="s">
        <v>1219</v>
      </c>
      <c r="V9" s="291"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81" t="s">
        <v>1106</v>
      </c>
      <c r="C11" s="214"/>
      <c r="D11" s="289" t="s">
        <v>1104</v>
      </c>
      <c r="E11" s="289" t="s">
        <v>1104</v>
      </c>
      <c r="F11" s="289" t="s">
        <v>1104</v>
      </c>
      <c r="G11" s="289" t="s">
        <v>1104</v>
      </c>
      <c r="H11" s="289" t="s">
        <v>1104</v>
      </c>
      <c r="I11" s="289" t="s">
        <v>1104</v>
      </c>
      <c r="J11" s="289" t="s">
        <v>1104</v>
      </c>
      <c r="K11" s="289" t="s">
        <v>1104</v>
      </c>
      <c r="L11" s="289" t="s">
        <v>1104</v>
      </c>
      <c r="M11" s="289" t="s">
        <v>1104</v>
      </c>
      <c r="N11" s="289" t="s">
        <v>1104</v>
      </c>
      <c r="O11" s="289" t="s">
        <v>1104</v>
      </c>
      <c r="P11" s="289" t="s">
        <v>1104</v>
      </c>
      <c r="Q11" s="289" t="s">
        <v>1104</v>
      </c>
      <c r="R11" s="289" t="s">
        <v>1104</v>
      </c>
      <c r="S11" s="289" t="s">
        <v>1104</v>
      </c>
      <c r="T11" s="289" t="s">
        <v>1104</v>
      </c>
      <c r="U11" s="289" t="s">
        <v>1104</v>
      </c>
      <c r="V11" s="289" t="s">
        <v>1104</v>
      </c>
      <c r="W11" s="197"/>
      <c r="Z11" s="196" t="s">
        <v>1107</v>
      </c>
    </row>
    <row r="12" spans="2:28" ht="15.5">
      <c r="B12" s="482"/>
      <c r="C12" s="288">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482"/>
      <c r="C13" s="288">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482"/>
      <c r="C14" s="288">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482"/>
      <c r="C15" s="288">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482"/>
      <c r="C16" s="288">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482"/>
      <c r="C17" s="288">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482"/>
      <c r="C18" s="288">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483"/>
      <c r="C19" s="288">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81" t="s">
        <v>1108</v>
      </c>
      <c r="C21" s="214"/>
      <c r="D21" s="289" t="s">
        <v>1104</v>
      </c>
      <c r="E21" s="289" t="s">
        <v>1104</v>
      </c>
      <c r="F21" s="289" t="s">
        <v>1104</v>
      </c>
      <c r="G21" s="289" t="s">
        <v>1104</v>
      </c>
      <c r="H21" s="289" t="s">
        <v>1104</v>
      </c>
      <c r="I21" s="289" t="s">
        <v>1104</v>
      </c>
      <c r="J21" s="289" t="s">
        <v>1104</v>
      </c>
      <c r="K21" s="289" t="s">
        <v>1104</v>
      </c>
      <c r="L21" s="289" t="s">
        <v>1104</v>
      </c>
      <c r="M21" s="289" t="s">
        <v>1104</v>
      </c>
      <c r="N21" s="289" t="s">
        <v>1104</v>
      </c>
      <c r="O21" s="289" t="s">
        <v>1104</v>
      </c>
      <c r="P21" s="289" t="s">
        <v>1104</v>
      </c>
      <c r="Q21" s="289" t="s">
        <v>1104</v>
      </c>
      <c r="R21" s="289" t="s">
        <v>1104</v>
      </c>
      <c r="S21" s="289" t="s">
        <v>1104</v>
      </c>
      <c r="T21" s="289" t="s">
        <v>1104</v>
      </c>
      <c r="U21" s="289" t="s">
        <v>1104</v>
      </c>
      <c r="V21" s="214"/>
      <c r="W21" s="197"/>
    </row>
    <row r="22" spans="2:23" ht="15.5">
      <c r="B22" s="482"/>
      <c r="C22" s="288">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482"/>
      <c r="C23" s="288">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482"/>
      <c r="C24" s="288">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482"/>
      <c r="C25" s="288">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482"/>
      <c r="C26" s="288">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482"/>
      <c r="C27" s="288">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483"/>
      <c r="C28" s="288">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81" t="s">
        <v>1109</v>
      </c>
      <c r="C30" s="214"/>
      <c r="D30" s="289" t="s">
        <v>1104</v>
      </c>
      <c r="E30" s="214"/>
      <c r="F30" s="214"/>
      <c r="G30" s="214"/>
      <c r="H30" s="214"/>
      <c r="I30" s="214"/>
      <c r="J30" s="214"/>
      <c r="K30" s="214"/>
      <c r="L30" s="289" t="s">
        <v>1104</v>
      </c>
      <c r="M30" s="214"/>
      <c r="N30" s="289" t="s">
        <v>1104</v>
      </c>
      <c r="O30" s="214"/>
      <c r="P30" s="214"/>
      <c r="Q30" s="214"/>
      <c r="R30" s="289" t="s">
        <v>1104</v>
      </c>
      <c r="S30" s="214"/>
      <c r="T30" s="289" t="s">
        <v>1104</v>
      </c>
      <c r="U30" s="214"/>
      <c r="V30" s="214"/>
      <c r="W30" s="197"/>
    </row>
    <row r="31" spans="2:23" ht="15.5">
      <c r="B31" s="482"/>
      <c r="C31" s="288">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482"/>
      <c r="C32" s="288">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482"/>
      <c r="C33" s="288">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482"/>
      <c r="C34" s="288">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483"/>
      <c r="C35" s="288">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86" t="s">
        <v>1110</v>
      </c>
      <c r="C37" s="214"/>
      <c r="D37" s="214"/>
      <c r="E37" s="214"/>
      <c r="F37" s="214"/>
      <c r="G37" s="214"/>
      <c r="H37" s="214"/>
      <c r="I37" s="214"/>
      <c r="J37" s="214"/>
      <c r="K37" s="214"/>
      <c r="L37" s="214"/>
      <c r="M37" s="214"/>
      <c r="N37" s="289" t="s">
        <v>1104</v>
      </c>
      <c r="O37" s="214"/>
      <c r="P37" s="214"/>
      <c r="Q37" s="214"/>
      <c r="R37" s="214"/>
      <c r="S37" s="214"/>
      <c r="T37" s="289" t="s">
        <v>1104</v>
      </c>
      <c r="U37" s="214"/>
      <c r="V37" s="214"/>
      <c r="W37" s="197"/>
    </row>
    <row r="38" spans="2:23" ht="15.5">
      <c r="B38" s="486"/>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86"/>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86"/>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87" t="s">
        <v>1089</v>
      </c>
      <c r="C50" s="487" t="s">
        <v>1090</v>
      </c>
      <c r="D50" s="488" t="s">
        <v>1091</v>
      </c>
      <c r="E50" s="488"/>
      <c r="F50" s="489" t="s">
        <v>1092</v>
      </c>
      <c r="G50" s="489"/>
      <c r="H50" s="488" t="s">
        <v>1093</v>
      </c>
      <c r="I50" s="488"/>
      <c r="J50" s="488"/>
      <c r="K50" s="488"/>
      <c r="L50" s="489" t="s">
        <v>1094</v>
      </c>
      <c r="M50" s="489"/>
      <c r="N50" s="489"/>
      <c r="O50" s="210" t="s">
        <v>1095</v>
      </c>
      <c r="P50" s="211" t="s">
        <v>1096</v>
      </c>
      <c r="Q50" s="488" t="s">
        <v>1097</v>
      </c>
      <c r="R50" s="488"/>
      <c r="S50" s="488"/>
      <c r="T50" s="489" t="s">
        <v>1098</v>
      </c>
      <c r="U50" s="489"/>
      <c r="V50" s="489"/>
      <c r="W50" s="207" t="s">
        <v>1099</v>
      </c>
    </row>
    <row r="51" spans="2:28" ht="15.5">
      <c r="B51" s="487"/>
      <c r="C51" s="487"/>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86"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86"/>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86"/>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86"/>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86"/>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86"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86"/>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86"/>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86"/>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86"/>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86"/>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86"/>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86"/>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86"/>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86"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86"/>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86"/>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86"/>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86"/>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86"/>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86"/>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86"/>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86"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86"/>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86"/>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86"/>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86"/>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86"/>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86"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86"/>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86"/>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86"/>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3" t="s">
        <v>917</v>
      </c>
      <c r="B3" t="s">
        <v>915</v>
      </c>
    </row>
    <row r="4" spans="1:2">
      <c r="A4" s="311" t="s">
        <v>411</v>
      </c>
      <c r="B4" s="314">
        <v>17</v>
      </c>
    </row>
    <row r="5" spans="1:2">
      <c r="A5" s="126" t="s">
        <v>912</v>
      </c>
      <c r="B5" s="314">
        <v>1</v>
      </c>
    </row>
    <row r="6" spans="1:2">
      <c r="A6" s="283" t="s">
        <v>1320</v>
      </c>
      <c r="B6" s="314">
        <v>1</v>
      </c>
    </row>
    <row r="7" spans="1:2">
      <c r="A7" s="126" t="s">
        <v>1156</v>
      </c>
      <c r="B7" s="314">
        <v>1</v>
      </c>
    </row>
    <row r="8" spans="1:2">
      <c r="A8" s="283" t="s">
        <v>1314</v>
      </c>
      <c r="B8" s="314">
        <v>1</v>
      </c>
    </row>
    <row r="9" spans="1:2">
      <c r="A9" s="126" t="s">
        <v>913</v>
      </c>
      <c r="B9" s="314">
        <v>1</v>
      </c>
    </row>
    <row r="10" spans="1:2">
      <c r="A10" s="283" t="s">
        <v>1321</v>
      </c>
      <c r="B10" s="314">
        <v>1</v>
      </c>
    </row>
    <row r="11" spans="1:2">
      <c r="A11" s="126" t="s">
        <v>1158</v>
      </c>
      <c r="B11" s="314">
        <v>2</v>
      </c>
    </row>
    <row r="12" spans="1:2">
      <c r="A12" s="283" t="s">
        <v>1322</v>
      </c>
      <c r="B12" s="314">
        <v>1</v>
      </c>
    </row>
    <row r="13" spans="1:2">
      <c r="A13" s="283" t="s">
        <v>1323</v>
      </c>
      <c r="B13" s="314">
        <v>1</v>
      </c>
    </row>
    <row r="14" spans="1:2">
      <c r="A14" s="126" t="s">
        <v>1159</v>
      </c>
      <c r="B14" s="314">
        <v>5</v>
      </c>
    </row>
    <row r="15" spans="1:2">
      <c r="A15" s="283" t="s">
        <v>1313</v>
      </c>
      <c r="B15" s="314">
        <v>5</v>
      </c>
    </row>
    <row r="16" spans="1:2">
      <c r="A16" s="126" t="s">
        <v>1157</v>
      </c>
      <c r="B16" s="314">
        <v>5</v>
      </c>
    </row>
    <row r="17" spans="1:2">
      <c r="A17" s="283" t="s">
        <v>1317</v>
      </c>
      <c r="B17" s="314">
        <v>3</v>
      </c>
    </row>
    <row r="18" spans="1:2">
      <c r="A18" s="283" t="s">
        <v>1318</v>
      </c>
      <c r="B18" s="314">
        <v>1</v>
      </c>
    </row>
    <row r="19" spans="1:2">
      <c r="A19" s="283" t="s">
        <v>1319</v>
      </c>
      <c r="B19" s="314">
        <v>1</v>
      </c>
    </row>
    <row r="20" spans="1:2">
      <c r="A20" s="126" t="s">
        <v>1257</v>
      </c>
      <c r="B20" s="314">
        <v>1</v>
      </c>
    </row>
    <row r="21" spans="1:2">
      <c r="A21" s="283" t="s">
        <v>1315</v>
      </c>
      <c r="B21" s="314">
        <v>1</v>
      </c>
    </row>
    <row r="22" spans="1:2">
      <c r="A22" s="126" t="s">
        <v>1310</v>
      </c>
      <c r="B22" s="314">
        <v>1</v>
      </c>
    </row>
    <row r="23" spans="1:2">
      <c r="A23" s="283" t="s">
        <v>1316</v>
      </c>
      <c r="B23" s="314">
        <v>1</v>
      </c>
    </row>
    <row r="24" spans="1:2">
      <c r="A24" s="311" t="s">
        <v>918</v>
      </c>
      <c r="B24" s="314"/>
    </row>
    <row r="25" spans="1:2">
      <c r="A25" s="126" t="s">
        <v>918</v>
      </c>
      <c r="B25" s="314"/>
    </row>
    <row r="26" spans="1:2">
      <c r="A26" s="283" t="s">
        <v>918</v>
      </c>
      <c r="B26" s="314"/>
    </row>
    <row r="27" spans="1:2">
      <c r="A27" s="311" t="s">
        <v>919</v>
      </c>
      <c r="B27" s="314">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3" t="s">
        <v>917</v>
      </c>
    </row>
    <row r="4" spans="1:6">
      <c r="A4" s="311" t="s">
        <v>1319</v>
      </c>
    </row>
    <row r="5" spans="1:6">
      <c r="A5" s="126" t="s">
        <v>891</v>
      </c>
    </row>
    <row r="6" spans="1:6">
      <c r="A6" s="311" t="s">
        <v>1322</v>
      </c>
    </row>
    <row r="7" spans="1:6">
      <c r="A7" s="126" t="s">
        <v>883</v>
      </c>
    </row>
    <row r="8" spans="1:6">
      <c r="A8" s="311" t="s">
        <v>1320</v>
      </c>
    </row>
    <row r="9" spans="1:6">
      <c r="A9" s="126" t="s">
        <v>886</v>
      </c>
    </row>
    <row r="10" spans="1:6">
      <c r="A10" s="311" t="s">
        <v>1313</v>
      </c>
    </row>
    <row r="11" spans="1:6">
      <c r="A11" s="126" t="s">
        <v>895</v>
      </c>
    </row>
    <row r="12" spans="1:6">
      <c r="A12" s="126" t="s">
        <v>896</v>
      </c>
    </row>
    <row r="13" spans="1:6">
      <c r="A13" s="126" t="s">
        <v>888</v>
      </c>
    </row>
    <row r="14" spans="1:6">
      <c r="A14" s="126" t="s">
        <v>889</v>
      </c>
    </row>
    <row r="15" spans="1:6">
      <c r="A15" s="126" t="s">
        <v>890</v>
      </c>
    </row>
    <row r="16" spans="1:6">
      <c r="A16" s="311" t="s">
        <v>1317</v>
      </c>
    </row>
    <row r="17" spans="1:1">
      <c r="A17" s="126" t="s">
        <v>892</v>
      </c>
    </row>
    <row r="18" spans="1:1">
      <c r="A18" s="126" t="s">
        <v>893</v>
      </c>
    </row>
    <row r="19" spans="1:1">
      <c r="A19" s="126" t="s">
        <v>894</v>
      </c>
    </row>
    <row r="20" spans="1:1">
      <c r="A20" s="311" t="s">
        <v>1321</v>
      </c>
    </row>
    <row r="21" spans="1:1">
      <c r="A21" s="126" t="s">
        <v>884</v>
      </c>
    </row>
    <row r="22" spans="1:1">
      <c r="A22" s="311" t="s">
        <v>1318</v>
      </c>
    </row>
    <row r="23" spans="1:1">
      <c r="A23" s="126" t="s">
        <v>885</v>
      </c>
    </row>
    <row r="24" spans="1:1">
      <c r="A24" s="311" t="s">
        <v>1323</v>
      </c>
    </row>
    <row r="25" spans="1:1">
      <c r="A25" s="126" t="s">
        <v>887</v>
      </c>
    </row>
    <row r="26" spans="1:1">
      <c r="A26" s="311" t="s">
        <v>1314</v>
      </c>
    </row>
    <row r="27" spans="1:1">
      <c r="A27" s="126" t="s">
        <v>751</v>
      </c>
    </row>
    <row r="28" spans="1:1">
      <c r="A28" s="311" t="s">
        <v>1316</v>
      </c>
    </row>
    <row r="29" spans="1:1">
      <c r="A29" s="126" t="s">
        <v>753</v>
      </c>
    </row>
    <row r="30" spans="1:1">
      <c r="A30" s="311" t="s">
        <v>1315</v>
      </c>
    </row>
    <row r="31" spans="1:1">
      <c r="A31" s="126" t="s">
        <v>836</v>
      </c>
    </row>
    <row r="32" spans="1:1">
      <c r="A32" s="311" t="s">
        <v>918</v>
      </c>
    </row>
    <row r="33" spans="1:1">
      <c r="A33" s="126" t="s">
        <v>918</v>
      </c>
    </row>
    <row r="34" spans="1:1">
      <c r="A34" s="311"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3" t="s">
        <v>917</v>
      </c>
    </row>
    <row r="4" spans="1:6">
      <c r="A4" s="311" t="s">
        <v>968</v>
      </c>
    </row>
    <row r="5" spans="1:6">
      <c r="A5" s="126" t="s">
        <v>1314</v>
      </c>
    </row>
    <row r="6" spans="1:6">
      <c r="A6" s="311" t="s">
        <v>969</v>
      </c>
    </row>
    <row r="7" spans="1:6">
      <c r="A7" s="126" t="s">
        <v>1313</v>
      </c>
    </row>
    <row r="8" spans="1:6">
      <c r="A8" s="311" t="s">
        <v>970</v>
      </c>
    </row>
    <row r="9" spans="1:6">
      <c r="A9" s="126" t="s">
        <v>1315</v>
      </c>
    </row>
    <row r="10" spans="1:6">
      <c r="A10" s="311" t="s">
        <v>918</v>
      </c>
    </row>
    <row r="11" spans="1:6">
      <c r="A11" s="126" t="s">
        <v>918</v>
      </c>
    </row>
    <row r="12" spans="1:6">
      <c r="A12" s="311" t="s">
        <v>1306</v>
      </c>
    </row>
    <row r="13" spans="1:6">
      <c r="A13" s="126" t="s">
        <v>1317</v>
      </c>
    </row>
    <row r="14" spans="1:6">
      <c r="A14" s="311" t="s">
        <v>1307</v>
      </c>
    </row>
    <row r="15" spans="1:6">
      <c r="A15" s="126" t="s">
        <v>1322</v>
      </c>
    </row>
    <row r="16" spans="1:6">
      <c r="A16" s="126" t="s">
        <v>1321</v>
      </c>
    </row>
    <row r="17" spans="1:1">
      <c r="A17" s="311" t="s">
        <v>1308</v>
      </c>
    </row>
    <row r="18" spans="1:1">
      <c r="A18" s="126" t="s">
        <v>1318</v>
      </c>
    </row>
    <row r="19" spans="1:1">
      <c r="A19" s="126" t="s">
        <v>1320</v>
      </c>
    </row>
    <row r="20" spans="1:1">
      <c r="A20" s="126" t="s">
        <v>1323</v>
      </c>
    </row>
    <row r="21" spans="1:1">
      <c r="A21" s="311" t="s">
        <v>1309</v>
      </c>
    </row>
    <row r="22" spans="1:1">
      <c r="A22" s="126" t="s">
        <v>1319</v>
      </c>
    </row>
    <row r="23" spans="1:1">
      <c r="A23" s="311" t="s">
        <v>1311</v>
      </c>
    </row>
    <row r="24" spans="1:1">
      <c r="A24" s="126" t="s">
        <v>1316</v>
      </c>
    </row>
    <row r="25" spans="1:1">
      <c r="A25" s="311"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3" t="s">
        <v>917</v>
      </c>
    </row>
    <row r="4" spans="1:1">
      <c r="A4" s="311" t="s">
        <v>918</v>
      </c>
    </row>
    <row r="5" spans="1:1">
      <c r="A5" s="126" t="s">
        <v>918</v>
      </c>
    </row>
    <row r="6" spans="1:1">
      <c r="A6" s="311" t="s">
        <v>992</v>
      </c>
    </row>
    <row r="7" spans="1:1">
      <c r="A7" s="126" t="s">
        <v>1317</v>
      </c>
    </row>
    <row r="8" spans="1:1">
      <c r="A8" s="126" t="s">
        <v>1318</v>
      </c>
    </row>
    <row r="9" spans="1:1">
      <c r="A9" s="126" t="s">
        <v>1319</v>
      </c>
    </row>
    <row r="10" spans="1:1">
      <c r="A10" s="311" t="s">
        <v>993</v>
      </c>
    </row>
    <row r="11" spans="1:1">
      <c r="A11" s="126" t="s">
        <v>1322</v>
      </c>
    </row>
    <row r="12" spans="1:1">
      <c r="A12" s="126" t="s">
        <v>1321</v>
      </c>
    </row>
    <row r="13" spans="1:1">
      <c r="A13" s="126" t="s">
        <v>1320</v>
      </c>
    </row>
    <row r="14" spans="1:1">
      <c r="A14" s="126" t="s">
        <v>1323</v>
      </c>
    </row>
    <row r="15" spans="1:1">
      <c r="A15" s="311" t="s">
        <v>994</v>
      </c>
    </row>
    <row r="16" spans="1:1">
      <c r="A16" s="126" t="s">
        <v>1314</v>
      </c>
    </row>
    <row r="17" spans="1:1">
      <c r="A17" s="311" t="s">
        <v>995</v>
      </c>
    </row>
    <row r="18" spans="1:1">
      <c r="A18" s="126" t="s">
        <v>1313</v>
      </c>
    </row>
    <row r="19" spans="1:1">
      <c r="A19" s="311" t="s">
        <v>996</v>
      </c>
    </row>
    <row r="20" spans="1:1">
      <c r="A20" s="126" t="s">
        <v>1316</v>
      </c>
    </row>
    <row r="21" spans="1:1">
      <c r="A21" s="311" t="s">
        <v>1002</v>
      </c>
    </row>
    <row r="22" spans="1:1">
      <c r="A22" s="126" t="s">
        <v>1315</v>
      </c>
    </row>
    <row r="23" spans="1:1">
      <c r="A23" s="311"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A1" s="492" t="str">
        <f>StartupInfo!B3</f>
        <v>Software for Mars (Pty) Ltd</v>
      </c>
      <c r="B1" s="493"/>
      <c r="C1" s="493"/>
      <c r="D1" s="493"/>
      <c r="E1" s="493"/>
      <c r="F1" s="493"/>
      <c r="G1" s="493"/>
      <c r="H1" s="493"/>
      <c r="I1" s="493"/>
      <c r="J1" s="493"/>
      <c r="K1" s="493"/>
    </row>
    <row r="2" spans="1:11" ht="15" customHeight="1">
      <c r="A2" s="493"/>
      <c r="B2" s="493"/>
      <c r="C2" s="493"/>
      <c r="D2" s="493"/>
      <c r="E2" s="493"/>
      <c r="F2" s="493"/>
      <c r="G2" s="493"/>
      <c r="H2" s="493"/>
      <c r="I2" s="493"/>
      <c r="J2" s="493"/>
      <c r="K2" s="493"/>
    </row>
    <row r="3" spans="1:11" ht="15.75" customHeight="1">
      <c r="B3" s="494" t="str">
        <f>StartupInfo!B4</f>
        <v>Mars</v>
      </c>
      <c r="C3" s="495"/>
      <c r="D3" s="495"/>
      <c r="E3" s="495"/>
      <c r="F3" s="495"/>
      <c r="G3" s="495"/>
      <c r="H3" s="495"/>
      <c r="I3" s="495"/>
      <c r="J3" s="495"/>
      <c r="K3" s="236"/>
    </row>
    <row r="4" spans="1:11" ht="15" customHeight="1">
      <c r="A4" s="236"/>
      <c r="B4" s="495"/>
      <c r="C4" s="495"/>
      <c r="D4" s="495"/>
      <c r="E4" s="495"/>
      <c r="F4" s="495"/>
      <c r="G4" s="495"/>
      <c r="H4" s="495"/>
      <c r="I4" s="495"/>
      <c r="J4" s="495"/>
      <c r="K4" s="236"/>
    </row>
    <row r="5" spans="1:11">
      <c r="A5" s="237"/>
      <c r="C5" s="238"/>
      <c r="D5" s="496" t="str">
        <f>CONCATENATE("was rated on ",TEXT(Planning!B33,"dd mmmm yyyy")," at")</f>
        <v>was rated on 16 April 2021 at</v>
      </c>
      <c r="E5" s="496"/>
      <c r="F5" s="496"/>
      <c r="G5" s="496"/>
      <c r="H5" s="496"/>
      <c r="I5" s="238"/>
      <c r="J5" s="238"/>
      <c r="K5" s="237"/>
    </row>
    <row r="6" spans="1:11">
      <c r="A6" s="237"/>
      <c r="B6" s="237"/>
      <c r="C6" s="237"/>
      <c r="E6" s="497" t="str">
        <f>Planning!B10</f>
        <v>Maturity Level 5</v>
      </c>
      <c r="F6" s="497"/>
      <c r="G6" s="497"/>
      <c r="H6" s="237"/>
      <c r="I6" s="237"/>
      <c r="J6" s="237"/>
      <c r="K6" s="237"/>
    </row>
    <row r="7" spans="1:11">
      <c r="A7" s="237"/>
      <c r="B7" s="237"/>
      <c r="C7" s="237"/>
      <c r="D7" s="237"/>
      <c r="E7" s="497"/>
      <c r="F7" s="497"/>
      <c r="G7" s="497"/>
      <c r="H7" s="237"/>
      <c r="I7" s="237"/>
      <c r="J7" s="237"/>
      <c r="K7" s="237"/>
    </row>
    <row r="8" spans="1:11">
      <c r="A8" s="237"/>
      <c r="B8" s="237"/>
      <c r="C8" s="237"/>
      <c r="D8" s="237"/>
      <c r="E8" s="237"/>
      <c r="F8" s="237"/>
      <c r="G8" s="237"/>
      <c r="H8" s="237"/>
      <c r="I8" s="237"/>
      <c r="J8" s="237"/>
      <c r="K8" s="237"/>
    </row>
    <row r="9" spans="1:11">
      <c r="A9" s="237"/>
      <c r="B9" s="237"/>
      <c r="C9" s="237"/>
      <c r="D9" s="237"/>
      <c r="E9" s="237"/>
      <c r="F9" s="237"/>
      <c r="G9" s="239" t="str">
        <f>_xlfn.CONCAT("CAS ID",'Agreement 3'!B5)</f>
        <v>CAS ID53517</v>
      </c>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237"/>
      <c r="G11" s="490" t="str">
        <f>'Agreement 3'!B7</f>
        <v>van Zyl, Pieter</v>
      </c>
      <c r="H11" s="491"/>
      <c r="I11" s="491"/>
      <c r="J11" s="237"/>
      <c r="K11" s="237"/>
    </row>
    <row r="12" spans="1:11" ht="19" customHeight="1">
      <c r="A12" s="237"/>
      <c r="B12" s="237"/>
      <c r="C12" s="237"/>
      <c r="D12" s="237"/>
      <c r="E12" s="237"/>
      <c r="F12" s="237"/>
      <c r="G12" s="490" t="str">
        <f>'Agreement 3'!B9</f>
        <v>CMMI V2.0 High Maturity Lead Appraiser</v>
      </c>
      <c r="H12" s="491"/>
      <c r="I12" s="491"/>
      <c r="J12" s="237"/>
      <c r="K12" s="237"/>
    </row>
    <row r="13" spans="1:11" ht="19" customHeight="1">
      <c r="A13" s="237"/>
      <c r="B13" s="237"/>
      <c r="C13" s="237"/>
      <c r="D13" s="237"/>
      <c r="E13" s="237"/>
      <c r="F13" s="237"/>
      <c r="G13" s="490" t="str">
        <f>'Agreement 3'!B11</f>
        <v>0500535-01</v>
      </c>
      <c r="H13" s="491"/>
      <c r="I13" s="491"/>
      <c r="J13" s="237"/>
      <c r="K13" s="237"/>
    </row>
    <row r="14" spans="1:11">
      <c r="A14" s="237"/>
      <c r="B14" s="237"/>
      <c r="C14" s="237"/>
      <c r="D14" s="237"/>
      <c r="E14" s="237"/>
      <c r="F14" s="237"/>
      <c r="G14" s="237"/>
      <c r="H14" s="237"/>
      <c r="I14" s="237"/>
      <c r="J14" s="237"/>
      <c r="K14" s="237"/>
    </row>
    <row r="15" spans="1:11">
      <c r="A15" s="237"/>
      <c r="B15" s="237"/>
      <c r="C15" s="237"/>
      <c r="D15" s="237"/>
      <c r="E15" s="237"/>
      <c r="F15" s="237"/>
      <c r="G15" s="237"/>
      <c r="H15" s="237"/>
      <c r="I15" s="237"/>
      <c r="J15" s="237"/>
      <c r="K15" s="237"/>
    </row>
    <row r="16" spans="1:11">
      <c r="A16" s="237"/>
      <c r="B16" s="237"/>
      <c r="C16" s="237"/>
      <c r="D16" s="237"/>
      <c r="E16" s="237"/>
      <c r="F16" s="237"/>
      <c r="G16" s="237"/>
      <c r="H16" s="237"/>
      <c r="I16" s="237"/>
      <c r="J16" s="237"/>
      <c r="K16" s="237"/>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2" t="str">
        <f>_xlfn.CONCAT("Expiry benchmark", CHAR(13),CHAR(10),"appraisal",CHAR(13),CHAR(10),G23)</f>
        <v>Expiry benchmark_x000D_
appraisal_x000D_
16 Apr 2024</v>
      </c>
      <c r="H22" s="220"/>
      <c r="I22" s="219"/>
    </row>
    <row r="23" spans="1:9" s="8" customFormat="1" ht="23.5">
      <c r="A23" s="159" t="s">
        <v>876</v>
      </c>
      <c r="B23" s="279">
        <f>Planning!B26</f>
        <v>44294</v>
      </c>
      <c r="C23" s="160"/>
      <c r="E23" s="161"/>
      <c r="G23" s="243" t="str">
        <f>TEXT(DATE(YEAR(B21)+3,MONTH(B21),DAY(B21)),"dd mmm yyyy")</f>
        <v>16 Apr 2024</v>
      </c>
      <c r="H23" s="221"/>
      <c r="I23" s="219"/>
    </row>
    <row r="24" spans="1:9" s="8" customFormat="1" ht="23.5">
      <c r="A24" s="159"/>
      <c r="B24" s="279"/>
      <c r="C24" s="160"/>
      <c r="E24" s="161"/>
      <c r="G24" s="243"/>
      <c r="H24" s="221"/>
      <c r="I24" s="219"/>
    </row>
    <row r="25" spans="1:9" s="8" customFormat="1" ht="15.5">
      <c r="A25" s="171" t="s">
        <v>1042</v>
      </c>
      <c r="B25" s="282" t="s">
        <v>1043</v>
      </c>
      <c r="C25" s="280" t="s">
        <v>1044</v>
      </c>
      <c r="D25" s="172" t="s">
        <v>848</v>
      </c>
      <c r="E25" s="161"/>
      <c r="G25" s="173"/>
    </row>
    <row r="26" spans="1:9" s="8" customFormat="1" ht="15.5">
      <c r="A26" s="159"/>
      <c r="B26" s="281"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498" t="s">
        <v>1050</v>
      </c>
      <c r="C30" s="498"/>
      <c r="D30" s="498"/>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2" customWidth="1"/>
    <col min="2" max="2" width="83.453125" style="392" customWidth="1"/>
    <col min="3" max="3" width="6.81640625" style="392" customWidth="1"/>
    <col min="4" max="4" width="48.453125" style="392" customWidth="1"/>
    <col min="5" max="20" width="6.81640625" style="392" customWidth="1"/>
    <col min="21" max="21" width="5.81640625" style="392" customWidth="1"/>
    <col min="22" max="16384" width="8.7265625" style="392"/>
  </cols>
  <sheetData>
    <row r="1" spans="1:10">
      <c r="A1" s="388" t="s">
        <v>389</v>
      </c>
      <c r="B1" s="389" t="str">
        <f>IF(StartupInfo!B3="","",StartupInfo!B3)</f>
        <v>Software for Mars (Pty) Ltd</v>
      </c>
      <c r="D1" s="395"/>
      <c r="J1" s="396"/>
    </row>
    <row r="2" spans="1:10">
      <c r="A2" s="397" t="str">
        <f>StartupInfo!A10</f>
        <v>Country</v>
      </c>
      <c r="B2" s="390" t="str">
        <f>IF(StartupInfo!B4="","",StartupInfo!B4)</f>
        <v>Mars</v>
      </c>
      <c r="D2" s="395"/>
      <c r="J2" s="396"/>
    </row>
    <row r="3" spans="1:10" ht="29.5" customHeight="1">
      <c r="A3" s="397" t="str">
        <f>StartupInfo!A11</f>
        <v>Organization main address including City, ZIP/Postal Code, and Country</v>
      </c>
      <c r="B3" s="391" t="str">
        <f>StartupInfo!B11</f>
        <v>Room 1, Dome 1, No. 1 First Street, Base Alpha City, Tharsis, Planet04, China</v>
      </c>
    </row>
    <row r="5" spans="1:10">
      <c r="A5" s="388" t="s">
        <v>978</v>
      </c>
      <c r="B5" s="389" t="str">
        <f>StartupInfo!B20</f>
        <v>R&amp;D Department</v>
      </c>
    </row>
    <row r="6" spans="1:10">
      <c r="A6" s="397" t="s">
        <v>979</v>
      </c>
      <c r="B6" s="390" t="str">
        <f>StartupInfo!B22</f>
        <v>The company provides space exploration services…</v>
      </c>
      <c r="D6" s="405" t="str">
        <f>StartupInfo!B26</f>
        <v xml:space="preserve">If address is different from the organisation, manually enter the address in StartupInfo/below, and unhide the new address in pptxLink1, so it displays in the pptx	  </v>
      </c>
    </row>
    <row r="7" spans="1:10" hidden="1">
      <c r="A7" s="397" t="s">
        <v>429</v>
      </c>
      <c r="B7" s="391" t="str">
        <f>IF(StartupInfo!B33="","",StartupInfo!B33)</f>
        <v>Room 1, Dome 1, No. 1 First Street, Base Alpha City, Tharsis, Planet04, China</v>
      </c>
    </row>
    <row r="9" spans="1:10">
      <c r="A9" s="388" t="s">
        <v>981</v>
      </c>
      <c r="B9" s="389" t="str">
        <f>'Agreement 3'!B28</f>
        <v>Prof Kessler, Donald</v>
      </c>
    </row>
    <row r="10" spans="1:10">
      <c r="A10" s="397" t="s">
        <v>866</v>
      </c>
      <c r="B10" s="390" t="str">
        <f>'Agreement 3'!B29</f>
        <v>The Boss</v>
      </c>
    </row>
    <row r="11" spans="1:10">
      <c r="A11" s="397" t="s">
        <v>976</v>
      </c>
      <c r="B11" s="391" t="str">
        <f>StartupInfo!B39</f>
        <v>Internal</v>
      </c>
    </row>
    <row r="13" spans="1:10">
      <c r="A13" s="388" t="s">
        <v>977</v>
      </c>
      <c r="B13" s="389" t="str">
        <f>'Agreement 3'!B7</f>
        <v>van Zyl, Pieter</v>
      </c>
    </row>
    <row r="14" spans="1:10">
      <c r="A14" s="397" t="s">
        <v>982</v>
      </c>
      <c r="B14" s="390" t="str">
        <f>'Agreement 3'!B11</f>
        <v>0500535-01</v>
      </c>
    </row>
    <row r="15" spans="1:10">
      <c r="A15" s="397" t="s">
        <v>983</v>
      </c>
      <c r="B15" s="390" t="str">
        <f>'Agreement 3'!B8</f>
        <v>Demix (Pty) Ltd</v>
      </c>
    </row>
    <row r="16" spans="1:10">
      <c r="A16" s="397" t="s">
        <v>984</v>
      </c>
      <c r="B16" s="390" t="str">
        <f>'Agreement 3'!B45</f>
        <v>Demix (Pty) Ltd</v>
      </c>
    </row>
    <row r="17" spans="1:2">
      <c r="A17" s="397" t="s">
        <v>10</v>
      </c>
      <c r="B17" s="390" t="str">
        <f>'Agreement 3'!B13</f>
        <v>pieter.vanzyl@demix.org</v>
      </c>
    </row>
    <row r="19" spans="1:2">
      <c r="A19" s="388" t="s">
        <v>985</v>
      </c>
      <c r="B19" s="389" t="str">
        <f>_xlfn.CONCAT('Agreement 3'!B7," - ",'Agreement 3'!B8)</f>
        <v>van Zyl, Pieter - Demix (Pty) Ltd</v>
      </c>
    </row>
    <row r="20" spans="1:2">
      <c r="A20" s="397" t="s">
        <v>986</v>
      </c>
      <c r="B20" s="390" t="str">
        <f>_xlfn.CONCAT('P1PA-SS'!B91," - ",'P1PA-SS'!D91)</f>
        <v>ATM-1 - Demix (Pty) Ltd</v>
      </c>
    </row>
    <row r="21" spans="1:2">
      <c r="A21" s="397" t="s">
        <v>986</v>
      </c>
      <c r="B21" s="390" t="str">
        <f>_xlfn.CONCAT('P1PA-SS'!B92," - ",'P1PA-SS'!D92)</f>
        <v>ATM-2 - Demix (Pty) Ltd</v>
      </c>
    </row>
    <row r="22" spans="1:2">
      <c r="A22" s="397" t="s">
        <v>986</v>
      </c>
      <c r="B22" s="390" t="str">
        <f>_xlfn.CONCAT('P1PA-SS'!B93," - ",'P1PA-SS'!D93)</f>
        <v>ATM-3 - Demix (Pty) Ltd</v>
      </c>
    </row>
    <row r="23" spans="1:2">
      <c r="A23" s="397" t="s">
        <v>986</v>
      </c>
      <c r="B23" s="390" t="str">
        <f>_xlfn.CONCAT('P1PA-SS'!B94," - ",'P1PA-SS'!D94)</f>
        <v>ATM-4 - Demix (Pty) Ltd</v>
      </c>
    </row>
    <row r="24" spans="1:2">
      <c r="A24" s="397" t="s">
        <v>986</v>
      </c>
      <c r="B24" s="390" t="str">
        <f>_xlfn.CONCAT('P1PA-SS'!B95," - ",'P1PA-SS'!D95)</f>
        <v>ATM-5 - Demix (Pty) Ltd</v>
      </c>
    </row>
    <row r="25" spans="1:2">
      <c r="A25" s="397" t="s">
        <v>986</v>
      </c>
      <c r="B25" s="390" t="str">
        <f>_xlfn.CONCAT('P1PA-SS'!B96," - ",'P1PA-SS'!D96)</f>
        <v>ATM-6 - Demix (Pty) Ltd</v>
      </c>
    </row>
    <row r="26" spans="1:2">
      <c r="A26" s="397" t="s">
        <v>986</v>
      </c>
      <c r="B26" s="390" t="str">
        <f>_xlfn.CONCAT('P1PA-SS'!B97," - ",'P1PA-SS'!D97)</f>
        <v>ATM-7 - Demix (Pty) Ltd</v>
      </c>
    </row>
    <row r="27" spans="1:2">
      <c r="A27" s="397" t="s">
        <v>986</v>
      </c>
      <c r="B27" s="390" t="str">
        <f>_xlfn.CONCAT('P1PA-SS'!B98," - ",'P1PA-SS'!D98)</f>
        <v>ATM-8 - Demix (Pty) Ltd</v>
      </c>
    </row>
    <row r="28" spans="1:2">
      <c r="A28" s="397" t="s">
        <v>986</v>
      </c>
      <c r="B28" s="390" t="str">
        <f>_xlfn.CONCAT('P1PA-SS'!B99," - ",'P1PA-SS'!D99)</f>
        <v>ATM-9 - Demix (Pty) Ltd</v>
      </c>
    </row>
    <row r="29" spans="1:2">
      <c r="A29" s="397" t="s">
        <v>987</v>
      </c>
      <c r="B29" s="390" t="str">
        <f>_xlfn.CONCAT('Agreement 3'!B33," - ",'Agreement 3'!B34)</f>
        <v>Miss Lake, Nathalie - Software for Mars (Pty) Ltd</v>
      </c>
    </row>
    <row r="30" spans="1:2">
      <c r="A30" s="397" t="s">
        <v>27</v>
      </c>
      <c r="B30" s="390" t="str">
        <f>_xlfn.CONCAT('P1PA-SS'!B87," - ",'P1PA-SS'!D87)</f>
        <v>Miss Land, Barbara - Freelance</v>
      </c>
    </row>
    <row r="32" spans="1:2">
      <c r="A32" s="388" t="s">
        <v>1560</v>
      </c>
      <c r="B32" s="388" t="s">
        <v>382</v>
      </c>
    </row>
    <row r="33" spans="1:2" ht="32" customHeight="1">
      <c r="A33" s="397" t="s">
        <v>795</v>
      </c>
      <c r="B33" s="393" t="s">
        <v>1561</v>
      </c>
    </row>
    <row r="34" spans="1:2" ht="32" customHeight="1">
      <c r="A34" s="397" t="s">
        <v>1562</v>
      </c>
      <c r="B34" s="394" t="s">
        <v>1444</v>
      </c>
    </row>
    <row r="35" spans="1:2" ht="32" customHeight="1">
      <c r="A35" s="397" t="s">
        <v>796</v>
      </c>
      <c r="B35" s="394" t="s">
        <v>1441</v>
      </c>
    </row>
    <row r="36" spans="1:2" ht="32" customHeight="1">
      <c r="A36" s="397" t="s">
        <v>1563</v>
      </c>
      <c r="B36" s="394" t="s">
        <v>1442</v>
      </c>
    </row>
    <row r="37" spans="1:2" ht="32" customHeight="1">
      <c r="A37" s="397" t="s">
        <v>672</v>
      </c>
      <c r="B37" s="394" t="s">
        <v>1564</v>
      </c>
    </row>
    <row r="38" spans="1:2">
      <c r="A38" s="388" t="s">
        <v>1565</v>
      </c>
      <c r="B38" s="388" t="s">
        <v>382</v>
      </c>
    </row>
    <row r="39" spans="1:2" ht="35" customHeight="1">
      <c r="A39" s="397" t="s">
        <v>1566</v>
      </c>
      <c r="B39" s="394"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6" customWidth="1"/>
    <col min="20" max="20" width="5.81640625" style="386" customWidth="1"/>
    <col min="21" max="16384" width="8.7265625" style="387"/>
  </cols>
  <sheetData>
    <row r="1" spans="1:1">
      <c r="A1" s="398" t="str">
        <f>Planning!A42</f>
        <v>Business objectives</v>
      </c>
    </row>
    <row r="2" spans="1:1" ht="46.5">
      <c r="A2" s="399" t="str">
        <f>Planning!B42</f>
        <v>[BO-1] Improve production efficiency to improve productivity 
[BO-2] Improve delivery capacity
[BO-3] Reduce Code Acceptance Defects</v>
      </c>
    </row>
    <row r="3" spans="1:1">
      <c r="A3" s="398" t="str">
        <f>Planning!A54</f>
        <v>Appraisal objectives</v>
      </c>
    </row>
    <row r="4" spans="1:1" ht="31">
      <c r="A4" s="399" t="str">
        <f>Planning!B54</f>
        <v>[A1]: In support of the business objectives, understand the current strength and weaknesses of the CMMI maturity level 3 practices within the organisation [BO-1, BO-2 &amp; BO-3].</v>
      </c>
    </row>
    <row r="6" spans="1:1">
      <c r="A6" s="385" t="str">
        <f>'P1PA-R'!A3</f>
        <v>Final Findings</v>
      </c>
    </row>
    <row r="7" spans="1:1" ht="31">
      <c r="A7" s="400" t="str">
        <f>'P1PA-R'!B4</f>
        <v>The Final Findings will be presented as a PowerPoint presentation on the last on-site day, highlighting the strengths and weaknesses identified.</v>
      </c>
    </row>
    <row r="9" spans="1:1">
      <c r="A9" s="385" t="str">
        <f>'P1PA-R'!A8</f>
        <v>Sampled Project and OSF-level Practice Characterization Worksheets</v>
      </c>
    </row>
    <row r="10" spans="1:1">
      <c r="A10" s="400" t="str">
        <f>'P1PA-R'!B9</f>
        <v>OSF-level Practice Characterization Worksheets and Matrix included in the Final Findings presentation.</v>
      </c>
    </row>
    <row r="12" spans="1:1">
      <c r="A12" s="385" t="str">
        <f>'P1PA-R'!A13</f>
        <v>Sampled Project and OSF-level Ratings Worksheets</v>
      </c>
    </row>
    <row r="13" spans="1:1">
      <c r="A13" s="400" t="str">
        <f>'P1PA-R'!B14</f>
        <v>OSF-level Practice Ratings Worksheets and Matrix included in the Final Findings presentation.</v>
      </c>
    </row>
    <row r="15" spans="1:1">
      <c r="A15" s="385" t="str">
        <f>'P1PA-R'!A23</f>
        <v>Performance Report Output</v>
      </c>
    </row>
    <row r="16" spans="1:1" ht="31">
      <c r="A16" s="400" t="str">
        <f>'P1PA-R'!B24</f>
        <v>The Performance Report records the Appraisal Team's consolidated judgment as to how performance is managed and improved in the OU.</v>
      </c>
    </row>
    <row r="18" spans="1:1">
      <c r="A18" s="385" t="str">
        <f>'P1PA-R'!A28</f>
        <v>Other Optional Output</v>
      </c>
    </row>
    <row r="19" spans="1:1">
      <c r="A19" s="400" t="str">
        <f>'P1PA-R'!B29</f>
        <v>Immediately follow-up actions after the final findings are presented.</v>
      </c>
    </row>
    <row r="30" spans="1:1">
      <c r="A30" s="385" t="str">
        <f>StartupInfo!B20</f>
        <v>R&amp;D Department</v>
      </c>
    </row>
    <row r="31" spans="1:1">
      <c r="A31" s="400" t="str">
        <f>StartupInfo!B22</f>
        <v>The company provides space exploration services…</v>
      </c>
    </row>
    <row r="33" spans="1:1">
      <c r="A33" s="385" t="str">
        <f>'P1PA-SS'!A127</f>
        <v>Sampling Factors</v>
      </c>
    </row>
    <row r="34" spans="1:1">
      <c r="A34" s="406" t="str">
        <f>'P1PA-SS'!B128</f>
        <v>Type of Work</v>
      </c>
    </row>
    <row r="35" spans="1:1">
      <c r="A35" s="40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61" customWidth="1"/>
    <col min="2" max="2" width="52.36328125" style="361" customWidth="1"/>
    <col min="3" max="3" width="10.90625" style="361" customWidth="1"/>
    <col min="4" max="4" width="2.453125" style="361" customWidth="1"/>
    <col min="5" max="9" width="8.7265625" style="361"/>
    <col min="10" max="10" width="49.453125" style="361" customWidth="1"/>
    <col min="11" max="16384" width="8.7265625" style="361"/>
  </cols>
  <sheetData>
    <row r="2" spans="1:20" ht="13" customHeight="1">
      <c r="A2" s="499" t="str">
        <f>'P1PA-SS'!B76</f>
        <v>CMMI Development V2.0 (CMMI-DEV) without SAM</v>
      </c>
      <c r="B2" s="500"/>
      <c r="C2" s="500"/>
      <c r="E2" s="363" t="s">
        <v>1330</v>
      </c>
      <c r="F2" s="363">
        <f>VALUE(RIGHT(Planning!B10,1))</f>
        <v>5</v>
      </c>
      <c r="G2" s="351" t="s">
        <v>1331</v>
      </c>
      <c r="J2" s="499" t="str">
        <f>'P1PA-SS'!B76</f>
        <v>CMMI Development V2.0 (CMMI-DEV) without SAM</v>
      </c>
      <c r="K2" s="500"/>
      <c r="L2" s="500"/>
      <c r="M2" s="500"/>
      <c r="N2" s="500"/>
      <c r="O2" s="500"/>
    </row>
    <row r="3" spans="1:20" s="350" customFormat="1">
      <c r="A3" s="501" t="str">
        <f>'P1PA-SS'!B75</f>
        <v>Maturity Level 5</v>
      </c>
      <c r="B3" s="502"/>
      <c r="C3" s="502"/>
      <c r="D3" s="361"/>
      <c r="E3" s="361"/>
      <c r="F3" s="361"/>
      <c r="G3" s="366"/>
      <c r="H3" s="366"/>
      <c r="I3" s="366"/>
      <c r="J3" s="501" t="str">
        <f>'P1PA-SS'!B75</f>
        <v>Maturity Level 5</v>
      </c>
      <c r="K3" s="502"/>
      <c r="L3" s="502"/>
      <c r="M3" s="502"/>
      <c r="N3" s="502"/>
      <c r="O3" s="502"/>
      <c r="P3" s="366"/>
      <c r="Q3" s="366"/>
      <c r="R3" s="366"/>
      <c r="S3" s="366"/>
      <c r="T3" s="366"/>
    </row>
    <row r="4" spans="1:20">
      <c r="A4" s="367" t="s">
        <v>1540</v>
      </c>
      <c r="B4" s="367" t="s">
        <v>920</v>
      </c>
      <c r="C4" s="368" t="s">
        <v>1541</v>
      </c>
      <c r="F4" s="361" t="s">
        <v>1557</v>
      </c>
      <c r="J4" s="381" t="s">
        <v>920</v>
      </c>
      <c r="K4" s="382">
        <v>1</v>
      </c>
      <c r="L4" s="382">
        <v>2</v>
      </c>
      <c r="M4" s="382">
        <v>3</v>
      </c>
      <c r="N4" s="382">
        <v>4</v>
      </c>
      <c r="O4" s="382">
        <v>5</v>
      </c>
    </row>
    <row r="5" spans="1:20" ht="20.5" customHeight="1">
      <c r="A5" s="508" t="s">
        <v>1545</v>
      </c>
      <c r="B5" s="369" t="s">
        <v>1036</v>
      </c>
      <c r="C5" s="362">
        <f t="shared" ref="C5:C24" si="0">IF(F5&gt;=$F$2,$F$2,F5)</f>
        <v>3</v>
      </c>
      <c r="F5" s="361">
        <v>3</v>
      </c>
      <c r="J5" s="383" t="s">
        <v>1036</v>
      </c>
      <c r="K5" s="384" t="str">
        <f>IF($C5&gt;=K$4,"x","")</f>
        <v>x</v>
      </c>
      <c r="L5" s="384" t="str">
        <f t="shared" ref="L5:O20" si="1">IF($C5&gt;=L$4,"x","")</f>
        <v>x</v>
      </c>
      <c r="M5" s="384" t="str">
        <f t="shared" si="1"/>
        <v>x</v>
      </c>
      <c r="N5" s="384" t="str">
        <f t="shared" si="1"/>
        <v/>
      </c>
      <c r="O5" s="384" t="str">
        <f t="shared" si="1"/>
        <v/>
      </c>
    </row>
    <row r="6" spans="1:20" ht="20.5" customHeight="1">
      <c r="A6" s="508"/>
      <c r="B6" s="369" t="s">
        <v>1051</v>
      </c>
      <c r="C6" s="362">
        <f t="shared" si="0"/>
        <v>3</v>
      </c>
      <c r="F6" s="361">
        <v>3</v>
      </c>
      <c r="J6" s="383" t="s">
        <v>1051</v>
      </c>
      <c r="K6" s="384" t="str">
        <f t="shared" ref="K6:O24" si="2">IF($C6&gt;=K$4,"x","")</f>
        <v>x</v>
      </c>
      <c r="L6" s="384" t="str">
        <f t="shared" si="1"/>
        <v>x</v>
      </c>
      <c r="M6" s="384" t="str">
        <f t="shared" si="1"/>
        <v>x</v>
      </c>
      <c r="N6" s="384" t="str">
        <f t="shared" si="1"/>
        <v/>
      </c>
      <c r="O6" s="384" t="str">
        <f t="shared" si="1"/>
        <v/>
      </c>
    </row>
    <row r="7" spans="1:20" ht="20.5" customHeight="1">
      <c r="A7" s="508"/>
      <c r="B7" s="369" t="s">
        <v>1030</v>
      </c>
      <c r="C7" s="362">
        <f t="shared" si="0"/>
        <v>3</v>
      </c>
      <c r="F7" s="361">
        <v>3</v>
      </c>
      <c r="J7" s="383" t="s">
        <v>1030</v>
      </c>
      <c r="K7" s="384" t="str">
        <f t="shared" si="2"/>
        <v>x</v>
      </c>
      <c r="L7" s="384" t="str">
        <f t="shared" si="1"/>
        <v>x</v>
      </c>
      <c r="M7" s="384" t="str">
        <f t="shared" si="1"/>
        <v>x</v>
      </c>
      <c r="N7" s="384" t="str">
        <f t="shared" si="1"/>
        <v/>
      </c>
      <c r="O7" s="384" t="str">
        <f t="shared" si="1"/>
        <v/>
      </c>
    </row>
    <row r="8" spans="1:20" ht="20.5" customHeight="1">
      <c r="A8" s="508"/>
      <c r="B8" s="369" t="s">
        <v>1546</v>
      </c>
      <c r="C8" s="362">
        <f t="shared" si="0"/>
        <v>3</v>
      </c>
      <c r="F8" s="361">
        <v>3</v>
      </c>
      <c r="J8" s="383" t="s">
        <v>1546</v>
      </c>
      <c r="K8" s="384" t="str">
        <f t="shared" si="2"/>
        <v>x</v>
      </c>
      <c r="L8" s="384" t="str">
        <f t="shared" si="1"/>
        <v>x</v>
      </c>
      <c r="M8" s="384" t="str">
        <f t="shared" si="1"/>
        <v>x</v>
      </c>
      <c r="N8" s="384" t="str">
        <f t="shared" si="1"/>
        <v/>
      </c>
      <c r="O8" s="384" t="str">
        <f t="shared" si="1"/>
        <v/>
      </c>
    </row>
    <row r="9" spans="1:20" ht="20.5" customHeight="1">
      <c r="A9" s="503" t="s">
        <v>1548</v>
      </c>
      <c r="B9" s="370" t="s">
        <v>1037</v>
      </c>
      <c r="C9" s="362">
        <f t="shared" si="0"/>
        <v>3</v>
      </c>
      <c r="F9" s="361">
        <v>3</v>
      </c>
      <c r="J9" s="383" t="s">
        <v>1037</v>
      </c>
      <c r="K9" s="384" t="str">
        <f t="shared" si="2"/>
        <v>x</v>
      </c>
      <c r="L9" s="384" t="str">
        <f t="shared" si="1"/>
        <v>x</v>
      </c>
      <c r="M9" s="384" t="str">
        <f t="shared" si="1"/>
        <v>x</v>
      </c>
      <c r="N9" s="384" t="str">
        <f t="shared" si="1"/>
        <v/>
      </c>
      <c r="O9" s="384" t="str">
        <f t="shared" si="1"/>
        <v/>
      </c>
    </row>
    <row r="10" spans="1:20" ht="20.5" customHeight="1">
      <c r="A10" s="503"/>
      <c r="B10" s="370" t="s">
        <v>1038</v>
      </c>
      <c r="C10" s="362">
        <f t="shared" si="0"/>
        <v>3</v>
      </c>
      <c r="F10" s="361">
        <v>3</v>
      </c>
      <c r="J10" s="383" t="s">
        <v>1038</v>
      </c>
      <c r="K10" s="384" t="str">
        <f t="shared" si="2"/>
        <v>x</v>
      </c>
      <c r="L10" s="384" t="str">
        <f t="shared" si="1"/>
        <v>x</v>
      </c>
      <c r="M10" s="384" t="str">
        <f t="shared" si="1"/>
        <v>x</v>
      </c>
      <c r="N10" s="384" t="str">
        <f t="shared" si="1"/>
        <v/>
      </c>
      <c r="O10" s="384" t="str">
        <f t="shared" si="1"/>
        <v/>
      </c>
    </row>
    <row r="11" spans="1:20" ht="20.5" customHeight="1">
      <c r="A11" s="371" t="s">
        <v>1558</v>
      </c>
      <c r="B11" s="372" t="s">
        <v>1559</v>
      </c>
      <c r="C11" s="362">
        <f t="shared" si="0"/>
        <v>4</v>
      </c>
      <c r="F11" s="361">
        <v>4</v>
      </c>
      <c r="J11" s="383" t="s">
        <v>1559</v>
      </c>
      <c r="K11" s="384" t="str">
        <f t="shared" si="2"/>
        <v>x</v>
      </c>
      <c r="L11" s="384" t="str">
        <f t="shared" si="1"/>
        <v>x</v>
      </c>
      <c r="M11" s="384" t="str">
        <f t="shared" si="1"/>
        <v>x</v>
      </c>
      <c r="N11" s="384" t="str">
        <f t="shared" si="1"/>
        <v>x</v>
      </c>
      <c r="O11" s="384" t="str">
        <f t="shared" si="1"/>
        <v/>
      </c>
    </row>
    <row r="12" spans="1:20" ht="20.5" customHeight="1">
      <c r="A12" s="504" t="s">
        <v>1556</v>
      </c>
      <c r="B12" s="373" t="s">
        <v>1034</v>
      </c>
      <c r="C12" s="362">
        <f t="shared" si="0"/>
        <v>3</v>
      </c>
      <c r="F12" s="361">
        <v>3</v>
      </c>
      <c r="J12" s="383" t="s">
        <v>1034</v>
      </c>
      <c r="K12" s="384" t="str">
        <f t="shared" si="2"/>
        <v>x</v>
      </c>
      <c r="L12" s="384" t="str">
        <f t="shared" si="1"/>
        <v>x</v>
      </c>
      <c r="M12" s="384" t="str">
        <f t="shared" si="1"/>
        <v>x</v>
      </c>
      <c r="N12" s="384" t="str">
        <f t="shared" si="1"/>
        <v/>
      </c>
      <c r="O12" s="384" t="str">
        <f t="shared" si="1"/>
        <v/>
      </c>
    </row>
    <row r="13" spans="1:20" ht="20.5" customHeight="1">
      <c r="A13" s="504"/>
      <c r="B13" s="373" t="s">
        <v>1033</v>
      </c>
      <c r="C13" s="362">
        <f t="shared" si="0"/>
        <v>4</v>
      </c>
      <c r="F13" s="361">
        <v>4</v>
      </c>
      <c r="J13" s="383" t="s">
        <v>1033</v>
      </c>
      <c r="K13" s="384" t="str">
        <f t="shared" si="2"/>
        <v>x</v>
      </c>
      <c r="L13" s="384" t="str">
        <f t="shared" si="1"/>
        <v>x</v>
      </c>
      <c r="M13" s="384" t="str">
        <f t="shared" si="1"/>
        <v>x</v>
      </c>
      <c r="N13" s="384" t="str">
        <f t="shared" si="1"/>
        <v>x</v>
      </c>
      <c r="O13" s="384" t="str">
        <f t="shared" si="1"/>
        <v/>
      </c>
    </row>
    <row r="14" spans="1:20" ht="20.5" customHeight="1">
      <c r="A14" s="504"/>
      <c r="B14" s="373" t="s">
        <v>1549</v>
      </c>
      <c r="C14" s="362">
        <f t="shared" si="0"/>
        <v>3</v>
      </c>
      <c r="F14" s="361">
        <v>3</v>
      </c>
      <c r="J14" s="383" t="s">
        <v>1549</v>
      </c>
      <c r="K14" s="384" t="str">
        <f t="shared" si="2"/>
        <v>x</v>
      </c>
      <c r="L14" s="384" t="str">
        <f t="shared" si="1"/>
        <v>x</v>
      </c>
      <c r="M14" s="384" t="str">
        <f t="shared" si="1"/>
        <v>x</v>
      </c>
      <c r="N14" s="384" t="str">
        <f t="shared" si="1"/>
        <v/>
      </c>
      <c r="O14" s="384" t="str">
        <f t="shared" si="1"/>
        <v/>
      </c>
    </row>
    <row r="15" spans="1:20" ht="20.5" customHeight="1">
      <c r="A15" s="374" t="s">
        <v>1555</v>
      </c>
      <c r="B15" s="375" t="s">
        <v>1035</v>
      </c>
      <c r="C15" s="362">
        <f t="shared" si="0"/>
        <v>3</v>
      </c>
      <c r="F15" s="361">
        <v>3</v>
      </c>
      <c r="J15" s="383" t="s">
        <v>1035</v>
      </c>
      <c r="K15" s="384" t="str">
        <f t="shared" si="2"/>
        <v>x</v>
      </c>
      <c r="L15" s="384" t="str">
        <f t="shared" si="1"/>
        <v>x</v>
      </c>
      <c r="M15" s="384" t="str">
        <f t="shared" si="1"/>
        <v>x</v>
      </c>
      <c r="N15" s="384" t="str">
        <f t="shared" si="1"/>
        <v/>
      </c>
      <c r="O15" s="384" t="str">
        <f t="shared" si="1"/>
        <v/>
      </c>
    </row>
    <row r="16" spans="1:20" ht="20.5" customHeight="1">
      <c r="A16" s="376" t="s">
        <v>1554</v>
      </c>
      <c r="B16" s="377" t="s">
        <v>1027</v>
      </c>
      <c r="C16" s="362">
        <f t="shared" si="0"/>
        <v>3</v>
      </c>
      <c r="F16" s="361">
        <v>3</v>
      </c>
      <c r="J16" s="383" t="s">
        <v>1027</v>
      </c>
      <c r="K16" s="384" t="str">
        <f t="shared" si="2"/>
        <v>x</v>
      </c>
      <c r="L16" s="384" t="str">
        <f t="shared" si="1"/>
        <v>x</v>
      </c>
      <c r="M16" s="384" t="str">
        <f t="shared" si="1"/>
        <v>x</v>
      </c>
      <c r="N16" s="384" t="str">
        <f t="shared" si="1"/>
        <v/>
      </c>
      <c r="O16" s="384" t="str">
        <f t="shared" si="1"/>
        <v/>
      </c>
    </row>
    <row r="17" spans="1:15" ht="20.5" customHeight="1">
      <c r="A17" s="505" t="s">
        <v>1553</v>
      </c>
      <c r="B17" s="378" t="s">
        <v>1025</v>
      </c>
      <c r="C17" s="362">
        <f t="shared" si="0"/>
        <v>5</v>
      </c>
      <c r="F17" s="361">
        <v>5</v>
      </c>
      <c r="J17" s="383" t="s">
        <v>1025</v>
      </c>
      <c r="K17" s="384" t="str">
        <f t="shared" si="2"/>
        <v>x</v>
      </c>
      <c r="L17" s="384" t="str">
        <f t="shared" si="1"/>
        <v>x</v>
      </c>
      <c r="M17" s="384" t="str">
        <f t="shared" si="1"/>
        <v>x</v>
      </c>
      <c r="N17" s="384" t="str">
        <f t="shared" si="1"/>
        <v>x</v>
      </c>
      <c r="O17" s="384" t="str">
        <f t="shared" si="1"/>
        <v>x</v>
      </c>
    </row>
    <row r="18" spans="1:15" ht="20.5" customHeight="1">
      <c r="A18" s="505"/>
      <c r="B18" s="378" t="s">
        <v>1026</v>
      </c>
      <c r="C18" s="362">
        <f t="shared" si="0"/>
        <v>3</v>
      </c>
      <c r="F18" s="361">
        <v>3</v>
      </c>
      <c r="J18" s="383" t="s">
        <v>1026</v>
      </c>
      <c r="K18" s="384" t="str">
        <f t="shared" si="2"/>
        <v>x</v>
      </c>
      <c r="L18" s="384" t="str">
        <f t="shared" si="1"/>
        <v>x</v>
      </c>
      <c r="M18" s="384" t="str">
        <f t="shared" si="1"/>
        <v>x</v>
      </c>
      <c r="N18" s="384" t="str">
        <f t="shared" si="1"/>
        <v/>
      </c>
      <c r="O18" s="384" t="str">
        <f t="shared" si="1"/>
        <v/>
      </c>
    </row>
    <row r="19" spans="1:15" ht="20.5" customHeight="1">
      <c r="A19" s="505"/>
      <c r="B19" s="378" t="s">
        <v>1032</v>
      </c>
      <c r="C19" s="362">
        <f t="shared" si="0"/>
        <v>2</v>
      </c>
      <c r="F19" s="361">
        <v>2</v>
      </c>
      <c r="J19" s="383" t="s">
        <v>1032</v>
      </c>
      <c r="K19" s="384" t="str">
        <f t="shared" si="2"/>
        <v>x</v>
      </c>
      <c r="L19" s="384" t="str">
        <f t="shared" si="1"/>
        <v>x</v>
      </c>
      <c r="M19" s="384" t="str">
        <f t="shared" si="1"/>
        <v/>
      </c>
      <c r="N19" s="384" t="str">
        <f t="shared" si="1"/>
        <v/>
      </c>
      <c r="O19" s="384" t="str">
        <f t="shared" si="1"/>
        <v/>
      </c>
    </row>
    <row r="20" spans="1:15" ht="20.5" customHeight="1">
      <c r="A20" s="506" t="s">
        <v>1552</v>
      </c>
      <c r="B20" s="379" t="s">
        <v>1551</v>
      </c>
      <c r="C20" s="362">
        <f t="shared" si="0"/>
        <v>4</v>
      </c>
      <c r="F20" s="361">
        <v>4</v>
      </c>
      <c r="J20" s="383" t="s">
        <v>1551</v>
      </c>
      <c r="K20" s="384" t="str">
        <f t="shared" si="2"/>
        <v>x</v>
      </c>
      <c r="L20" s="384" t="str">
        <f t="shared" si="1"/>
        <v>x</v>
      </c>
      <c r="M20" s="384" t="str">
        <f t="shared" si="1"/>
        <v>x</v>
      </c>
      <c r="N20" s="384" t="str">
        <f t="shared" si="1"/>
        <v>x</v>
      </c>
      <c r="O20" s="384" t="str">
        <f t="shared" si="1"/>
        <v/>
      </c>
    </row>
    <row r="21" spans="1:15" ht="20.5" customHeight="1">
      <c r="A21" s="506"/>
      <c r="B21" s="379" t="s">
        <v>1550</v>
      </c>
      <c r="C21" s="362">
        <f t="shared" si="0"/>
        <v>3</v>
      </c>
      <c r="F21" s="361">
        <v>3</v>
      </c>
      <c r="J21" s="383" t="s">
        <v>1550</v>
      </c>
      <c r="K21" s="384" t="str">
        <f t="shared" si="2"/>
        <v>x</v>
      </c>
      <c r="L21" s="384" t="str">
        <f t="shared" si="2"/>
        <v>x</v>
      </c>
      <c r="M21" s="384" t="str">
        <f t="shared" si="2"/>
        <v>x</v>
      </c>
      <c r="N21" s="384" t="str">
        <f t="shared" si="2"/>
        <v/>
      </c>
      <c r="O21" s="384" t="str">
        <f t="shared" si="2"/>
        <v/>
      </c>
    </row>
    <row r="22" spans="1:15" ht="20.5" customHeight="1">
      <c r="A22" s="507" t="s">
        <v>1547</v>
      </c>
      <c r="B22" s="380" t="s">
        <v>1031</v>
      </c>
      <c r="C22" s="362">
        <f t="shared" si="0"/>
        <v>5</v>
      </c>
      <c r="F22" s="361">
        <v>5</v>
      </c>
      <c r="J22" s="383" t="s">
        <v>1031</v>
      </c>
      <c r="K22" s="384" t="str">
        <f t="shared" si="2"/>
        <v>x</v>
      </c>
      <c r="L22" s="384" t="str">
        <f t="shared" si="2"/>
        <v>x</v>
      </c>
      <c r="M22" s="384" t="str">
        <f t="shared" si="2"/>
        <v>x</v>
      </c>
      <c r="N22" s="384" t="str">
        <f t="shared" si="2"/>
        <v>x</v>
      </c>
      <c r="O22" s="384" t="str">
        <f t="shared" si="2"/>
        <v>x</v>
      </c>
    </row>
    <row r="23" spans="1:15" ht="20.5" customHeight="1">
      <c r="A23" s="507"/>
      <c r="B23" s="380" t="s">
        <v>1028</v>
      </c>
      <c r="C23" s="362">
        <f t="shared" si="0"/>
        <v>4</v>
      </c>
      <c r="F23" s="361">
        <v>4</v>
      </c>
      <c r="J23" s="383" t="s">
        <v>1028</v>
      </c>
      <c r="K23" s="384" t="str">
        <f t="shared" si="2"/>
        <v>x</v>
      </c>
      <c r="L23" s="384" t="str">
        <f t="shared" si="2"/>
        <v>x</v>
      </c>
      <c r="M23" s="384" t="str">
        <f t="shared" si="2"/>
        <v>x</v>
      </c>
      <c r="N23" s="384" t="str">
        <f t="shared" si="2"/>
        <v>x</v>
      </c>
      <c r="O23" s="384" t="str">
        <f t="shared" si="2"/>
        <v/>
      </c>
    </row>
    <row r="24" spans="1:15" ht="20.5" customHeight="1">
      <c r="A24" s="507"/>
      <c r="B24" s="380" t="s">
        <v>1029</v>
      </c>
      <c r="C24" s="362">
        <f t="shared" si="0"/>
        <v>3</v>
      </c>
      <c r="F24" s="361">
        <v>3</v>
      </c>
      <c r="J24" s="383" t="s">
        <v>1029</v>
      </c>
      <c r="K24" s="384" t="str">
        <f t="shared" si="2"/>
        <v>x</v>
      </c>
      <c r="L24" s="384" t="str">
        <f t="shared" si="2"/>
        <v>x</v>
      </c>
      <c r="M24" s="384" t="str">
        <f t="shared" si="2"/>
        <v>x</v>
      </c>
      <c r="N24" s="384" t="str">
        <f t="shared" si="2"/>
        <v/>
      </c>
      <c r="O24" s="38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5"/>
      <c r="C2" s="245"/>
    </row>
    <row r="3" spans="1:22">
      <c r="A3" s="205" t="str">
        <f>'P1PA-SS'!B128</f>
        <v>Type of Work</v>
      </c>
      <c r="B3" s="245"/>
      <c r="C3" s="245"/>
    </row>
    <row r="4" spans="1:22">
      <c r="A4" s="204" t="str">
        <f>'P1PA-SS'!B130</f>
        <v>All development projects</v>
      </c>
      <c r="B4" s="245"/>
      <c r="C4" s="245"/>
    </row>
    <row r="5" spans="1:22" ht="18.5">
      <c r="A5" s="245"/>
      <c r="B5" s="245"/>
      <c r="C5" s="245"/>
      <c r="D5" s="246"/>
      <c r="E5" s="246"/>
      <c r="F5" s="246"/>
      <c r="G5" s="246"/>
      <c r="H5" s="246"/>
      <c r="I5" s="246"/>
      <c r="J5" s="246"/>
      <c r="K5" s="246"/>
      <c r="L5" s="246"/>
      <c r="M5" s="246"/>
      <c r="N5" s="246"/>
      <c r="O5" s="246"/>
      <c r="P5" s="246"/>
      <c r="Q5" s="246"/>
      <c r="R5" s="246"/>
      <c r="S5" s="246"/>
      <c r="T5" s="246"/>
      <c r="U5" s="246"/>
    </row>
    <row r="6" spans="1:22" ht="18.5">
      <c r="A6" s="245"/>
      <c r="B6" s="245"/>
      <c r="C6" s="245"/>
      <c r="D6" s="246"/>
      <c r="E6" s="246"/>
      <c r="F6" s="246"/>
      <c r="G6" s="246"/>
      <c r="H6" s="246"/>
      <c r="I6" s="246"/>
      <c r="J6" s="246"/>
      <c r="K6" s="246"/>
      <c r="L6" s="246"/>
      <c r="M6" s="246"/>
      <c r="N6" s="246"/>
      <c r="O6" s="246"/>
      <c r="P6" s="246"/>
      <c r="Q6" s="246"/>
      <c r="R6" s="246"/>
      <c r="S6" s="246"/>
      <c r="T6" s="246"/>
      <c r="U6" s="246"/>
    </row>
    <row r="7" spans="1:22" ht="18.5">
      <c r="A7" s="245"/>
      <c r="B7" s="245"/>
      <c r="C7" s="245"/>
      <c r="D7" s="246"/>
      <c r="E7" s="246"/>
      <c r="F7" s="246"/>
      <c r="G7" s="246"/>
      <c r="H7" s="246"/>
      <c r="I7" s="246"/>
      <c r="J7" s="246"/>
      <c r="K7" s="246"/>
      <c r="L7" s="246"/>
      <c r="M7" s="246"/>
      <c r="N7" s="246"/>
      <c r="O7" s="246"/>
      <c r="P7" s="246"/>
      <c r="Q7" s="246"/>
      <c r="R7" s="246"/>
      <c r="S7" s="246"/>
      <c r="T7" s="246"/>
      <c r="U7" s="246"/>
    </row>
    <row r="8" spans="1:22" ht="18.5">
      <c r="A8" s="245"/>
      <c r="B8" s="245"/>
      <c r="C8" s="245"/>
      <c r="D8" s="246"/>
      <c r="E8" s="246"/>
      <c r="F8" s="246"/>
      <c r="G8" s="246"/>
      <c r="H8" s="246"/>
      <c r="I8" s="246"/>
      <c r="J8" s="246"/>
      <c r="K8" s="246"/>
      <c r="L8" s="246"/>
      <c r="M8" s="246"/>
      <c r="N8" s="246"/>
      <c r="O8" s="246"/>
      <c r="P8" s="246"/>
      <c r="Q8" s="246"/>
      <c r="R8" s="246"/>
      <c r="S8" s="246"/>
      <c r="T8" s="246"/>
      <c r="U8" s="246"/>
    </row>
    <row r="9" spans="1:22" ht="18.5">
      <c r="A9" s="245"/>
      <c r="B9" s="245"/>
      <c r="C9" s="245"/>
      <c r="D9" s="246"/>
      <c r="E9" s="246"/>
      <c r="F9" s="246"/>
      <c r="G9" s="246"/>
      <c r="H9" s="246"/>
      <c r="I9" s="246"/>
      <c r="J9" s="246"/>
      <c r="K9" s="246"/>
      <c r="L9" s="246"/>
      <c r="M9" s="246"/>
      <c r="N9" s="246"/>
      <c r="O9" s="246"/>
      <c r="P9" s="246"/>
      <c r="Q9" s="246"/>
      <c r="R9" s="246"/>
      <c r="S9" s="246"/>
      <c r="T9" s="246"/>
      <c r="U9" s="246"/>
    </row>
    <row r="10" spans="1:22" s="248"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7"/>
    </row>
    <row r="11" spans="1:22" s="248" customFormat="1">
      <c r="A11" s="153" t="str">
        <f>'Project&amp;Support'!B3</f>
        <v>P1-Falcon9</v>
      </c>
      <c r="B11" s="153" t="str">
        <f>'Project&amp;Support'!H3</f>
        <v>All Projects</v>
      </c>
      <c r="C11" s="153" t="str">
        <f>'Project&amp;Support'!I3</f>
        <v>Project</v>
      </c>
      <c r="D11" s="249" t="str">
        <f>IF('Project&amp;Support'!J3&lt;&gt;"",'Project&amp;Support'!J3,"")</f>
        <v>S</v>
      </c>
      <c r="E11" s="249" t="str">
        <f>IF('Project&amp;Support'!K3&lt;&gt;"",'Project&amp;Support'!K3,"")</f>
        <v>S</v>
      </c>
      <c r="F11" s="249" t="str">
        <f>IF('Project&amp;Support'!L3&lt;&gt;"",'Project&amp;Support'!L3,"")</f>
        <v/>
      </c>
      <c r="G11" s="249" t="str">
        <f>IF('Project&amp;Support'!M3&lt;&gt;"",'Project&amp;Support'!M3,"")</f>
        <v/>
      </c>
      <c r="H11" s="249" t="str">
        <f>IF('Project&amp;Support'!N3&lt;&gt;"",'Project&amp;Support'!N3,"")</f>
        <v/>
      </c>
      <c r="I11" s="249" t="str">
        <f>IF('Project&amp;Support'!O3&lt;&gt;"",'Project&amp;Support'!O3,"")</f>
        <v/>
      </c>
      <c r="J11" s="249" t="str">
        <f>IF('Project&amp;Support'!P3&lt;&gt;"",'Project&amp;Support'!P3,"")</f>
        <v/>
      </c>
      <c r="K11" s="249" t="str">
        <f>IF('Project&amp;Support'!Q3&lt;&gt;"",'Project&amp;Support'!Q3,"")</f>
        <v/>
      </c>
      <c r="L11" s="249" t="str">
        <f>IF('Project&amp;Support'!R3&lt;&gt;"",'Project&amp;Support'!R3,"")</f>
        <v/>
      </c>
      <c r="M11" s="249" t="str">
        <f>IF('Project&amp;Support'!S3&lt;&gt;"",'Project&amp;Support'!S3,"")</f>
        <v/>
      </c>
      <c r="N11" s="249" t="str">
        <f>IF('Project&amp;Support'!T3&lt;&gt;"",'Project&amp;Support'!T3,"")</f>
        <v/>
      </c>
      <c r="O11" s="249" t="str">
        <f>IF('Project&amp;Support'!U3&lt;&gt;"",'Project&amp;Support'!U3,"")</f>
        <v/>
      </c>
      <c r="P11" s="249" t="str">
        <f>IF('Project&amp;Support'!V3&lt;&gt;"",'Project&amp;Support'!V3,"")</f>
        <v/>
      </c>
      <c r="Q11" s="249" t="str">
        <f>IF('Project&amp;Support'!W3&lt;&gt;"",'Project&amp;Support'!W3,"")</f>
        <v/>
      </c>
      <c r="R11" s="249" t="str">
        <f>IF('Project&amp;Support'!X3&lt;&gt;"",'Project&amp;Support'!X3,"")</f>
        <v/>
      </c>
      <c r="S11" s="249" t="str">
        <f>IF('Project&amp;Support'!Y3&lt;&gt;"",'Project&amp;Support'!Y3,"")</f>
        <v/>
      </c>
      <c r="T11" s="249" t="str">
        <f>IF('Project&amp;Support'!Z3&lt;&gt;"",'Project&amp;Support'!Z3,"")</f>
        <v/>
      </c>
      <c r="U11" s="249" t="str">
        <f>IF('Project&amp;Support'!AA3&lt;&gt;"",'Project&amp;Support'!AA3,"")</f>
        <v/>
      </c>
      <c r="V11" s="247"/>
    </row>
    <row r="12" spans="1:22" s="248" customFormat="1">
      <c r="A12" s="153" t="str">
        <f>'Project&amp;Support'!B4</f>
        <v>P2-Raptor</v>
      </c>
      <c r="B12" s="153" t="str">
        <f>'Project&amp;Support'!H4</f>
        <v>All Projects</v>
      </c>
      <c r="C12" s="153" t="str">
        <f>'Project&amp;Support'!I4</f>
        <v>Project</v>
      </c>
      <c r="D12" s="249" t="str">
        <f>IF('Project&amp;Support'!J4&lt;&gt;"",'Project&amp;Support'!J4,"")</f>
        <v/>
      </c>
      <c r="E12" s="249" t="str">
        <f>IF('Project&amp;Support'!K4&lt;&gt;"",'Project&amp;Support'!K4,"")</f>
        <v/>
      </c>
      <c r="F12" s="249" t="str">
        <f>IF('Project&amp;Support'!L4&lt;&gt;"",'Project&amp;Support'!L4,"")</f>
        <v/>
      </c>
      <c r="G12" s="249" t="str">
        <f>IF('Project&amp;Support'!M4&lt;&gt;"",'Project&amp;Support'!M4,"")</f>
        <v>S</v>
      </c>
      <c r="H12" s="249" t="str">
        <f>IF('Project&amp;Support'!N4&lt;&gt;"",'Project&amp;Support'!N4,"")</f>
        <v>S</v>
      </c>
      <c r="I12" s="249" t="str">
        <f>IF('Project&amp;Support'!O4&lt;&gt;"",'Project&amp;Support'!O4,"")</f>
        <v>S</v>
      </c>
      <c r="J12" s="249" t="str">
        <f>IF('Project&amp;Support'!P4&lt;&gt;"",'Project&amp;Support'!P4,"")</f>
        <v/>
      </c>
      <c r="K12" s="249" t="str">
        <f>IF('Project&amp;Support'!Q4&lt;&gt;"",'Project&amp;Support'!Q4,"")</f>
        <v/>
      </c>
      <c r="L12" s="249" t="str">
        <f>IF('Project&amp;Support'!R4&lt;&gt;"",'Project&amp;Support'!R4,"")</f>
        <v/>
      </c>
      <c r="M12" s="249" t="str">
        <f>IF('Project&amp;Support'!S4&lt;&gt;"",'Project&amp;Support'!S4,"")</f>
        <v/>
      </c>
      <c r="N12" s="249" t="str">
        <f>IF('Project&amp;Support'!T4&lt;&gt;"",'Project&amp;Support'!T4,"")</f>
        <v/>
      </c>
      <c r="O12" s="249" t="str">
        <f>IF('Project&amp;Support'!U4&lt;&gt;"",'Project&amp;Support'!U4,"")</f>
        <v/>
      </c>
      <c r="P12" s="249" t="str">
        <f>IF('Project&amp;Support'!V4&lt;&gt;"",'Project&amp;Support'!V4,"")</f>
        <v/>
      </c>
      <c r="Q12" s="249" t="str">
        <f>IF('Project&amp;Support'!W4&lt;&gt;"",'Project&amp;Support'!W4,"")</f>
        <v/>
      </c>
      <c r="R12" s="249" t="str">
        <f>IF('Project&amp;Support'!X4&lt;&gt;"",'Project&amp;Support'!X4,"")</f>
        <v/>
      </c>
      <c r="S12" s="249" t="str">
        <f>IF('Project&amp;Support'!Y4&lt;&gt;"",'Project&amp;Support'!Y4,"")</f>
        <v/>
      </c>
      <c r="T12" s="249" t="str">
        <f>IF('Project&amp;Support'!Z4&lt;&gt;"",'Project&amp;Support'!Z4,"")</f>
        <v/>
      </c>
      <c r="U12" s="249" t="str">
        <f>IF('Project&amp;Support'!AA4&lt;&gt;"",'Project&amp;Support'!AA4,"")</f>
        <v/>
      </c>
      <c r="V12" s="247"/>
    </row>
    <row r="13" spans="1:22" s="248" customFormat="1">
      <c r="A13" s="153" t="str">
        <f>'Project&amp;Support'!B5</f>
        <v>P3-Starship</v>
      </c>
      <c r="B13" s="153" t="str">
        <f>'Project&amp;Support'!H5</f>
        <v>All Projects</v>
      </c>
      <c r="C13" s="153" t="str">
        <f>'Project&amp;Support'!I5</f>
        <v>Project</v>
      </c>
      <c r="D13" s="249" t="str">
        <f>IF('Project&amp;Support'!J5&lt;&gt;"",'Project&amp;Support'!J5,"")</f>
        <v/>
      </c>
      <c r="E13" s="249" t="str">
        <f>IF('Project&amp;Support'!K5&lt;&gt;"",'Project&amp;Support'!K5,"")</f>
        <v/>
      </c>
      <c r="F13" s="249" t="str">
        <f>IF('Project&amp;Support'!L5&lt;&gt;"",'Project&amp;Support'!L5,"")</f>
        <v/>
      </c>
      <c r="G13" s="249" t="str">
        <f>IF('Project&amp;Support'!M5&lt;&gt;"",'Project&amp;Support'!M5,"")</f>
        <v/>
      </c>
      <c r="H13" s="249" t="str">
        <f>IF('Project&amp;Support'!N5&lt;&gt;"",'Project&amp;Support'!N5,"")</f>
        <v/>
      </c>
      <c r="I13" s="249" t="str">
        <f>IF('Project&amp;Support'!O5&lt;&gt;"",'Project&amp;Support'!O5,"")</f>
        <v/>
      </c>
      <c r="J13" s="249" t="str">
        <f>IF('Project&amp;Support'!P5&lt;&gt;"",'Project&amp;Support'!P5,"")</f>
        <v/>
      </c>
      <c r="K13" s="249" t="str">
        <f>IF('Project&amp;Support'!Q5&lt;&gt;"",'Project&amp;Support'!Q5,"")</f>
        <v/>
      </c>
      <c r="L13" s="249" t="str">
        <f>IF('Project&amp;Support'!R5&lt;&gt;"",'Project&amp;Support'!R5,"")</f>
        <v/>
      </c>
      <c r="M13" s="249" t="str">
        <f>IF('Project&amp;Support'!S5&lt;&gt;"",'Project&amp;Support'!S5,"")</f>
        <v/>
      </c>
      <c r="N13" s="249" t="str">
        <f>IF('Project&amp;Support'!T5&lt;&gt;"",'Project&amp;Support'!T5,"")</f>
        <v/>
      </c>
      <c r="O13" s="249" t="str">
        <f>IF('Project&amp;Support'!U5&lt;&gt;"",'Project&amp;Support'!U5,"")</f>
        <v>S</v>
      </c>
      <c r="P13" s="249" t="str">
        <f>IF('Project&amp;Support'!V5&lt;&gt;"",'Project&amp;Support'!V5,"")</f>
        <v>S</v>
      </c>
      <c r="Q13" s="249" t="str">
        <f>IF('Project&amp;Support'!W5&lt;&gt;"",'Project&amp;Support'!W5,"")</f>
        <v>S</v>
      </c>
      <c r="R13" s="249" t="str">
        <f>IF('Project&amp;Support'!X5&lt;&gt;"",'Project&amp;Support'!X5,"")</f>
        <v/>
      </c>
      <c r="S13" s="249" t="str">
        <f>IF('Project&amp;Support'!Y5&lt;&gt;"",'Project&amp;Support'!Y5,"")</f>
        <v/>
      </c>
      <c r="T13" s="249" t="str">
        <f>IF('Project&amp;Support'!Z5&lt;&gt;"",'Project&amp;Support'!Z5,"")</f>
        <v/>
      </c>
      <c r="U13" s="249" t="str">
        <f>IF('Project&amp;Support'!AA5&lt;&gt;"",'Project&amp;Support'!AA5,"")</f>
        <v/>
      </c>
      <c r="V13" s="247"/>
    </row>
    <row r="14" spans="1:22" s="248" customFormat="1">
      <c r="A14" s="153" t="str">
        <f>'Project&amp;Support'!B6</f>
        <v>P4-SupperHeavy</v>
      </c>
      <c r="B14" s="153" t="str">
        <f>'Project&amp;Support'!H6</f>
        <v>All Projects</v>
      </c>
      <c r="C14" s="153" t="str">
        <f>'Project&amp;Support'!I6</f>
        <v>Project</v>
      </c>
      <c r="D14" s="249" t="str">
        <f>IF('Project&amp;Support'!J6&lt;&gt;"",'Project&amp;Support'!J6,"")</f>
        <v/>
      </c>
      <c r="E14" s="249" t="str">
        <f>IF('Project&amp;Support'!K6&lt;&gt;"",'Project&amp;Support'!K6,"")</f>
        <v/>
      </c>
      <c r="F14" s="249" t="str">
        <f>IF('Project&amp;Support'!L6&lt;&gt;"",'Project&amp;Support'!L6,"")</f>
        <v/>
      </c>
      <c r="G14" s="249" t="str">
        <f>IF('Project&amp;Support'!M6&lt;&gt;"",'Project&amp;Support'!M6,"")</f>
        <v/>
      </c>
      <c r="H14" s="249" t="str">
        <f>IF('Project&amp;Support'!N6&lt;&gt;"",'Project&amp;Support'!N6,"")</f>
        <v/>
      </c>
      <c r="I14" s="249" t="str">
        <f>IF('Project&amp;Support'!O6&lt;&gt;"",'Project&amp;Support'!O6,"")</f>
        <v/>
      </c>
      <c r="J14" s="249" t="str">
        <f>IF('Project&amp;Support'!P6&lt;&gt;"",'Project&amp;Support'!P6,"")</f>
        <v/>
      </c>
      <c r="K14" s="249" t="str">
        <f>IF('Project&amp;Support'!Q6&lt;&gt;"",'Project&amp;Support'!Q6,"")</f>
        <v/>
      </c>
      <c r="L14" s="249" t="str">
        <f>IF('Project&amp;Support'!R6&lt;&gt;"",'Project&amp;Support'!R6,"")</f>
        <v/>
      </c>
      <c r="M14" s="249" t="str">
        <f>IF('Project&amp;Support'!S6&lt;&gt;"",'Project&amp;Support'!S6,"")</f>
        <v>S</v>
      </c>
      <c r="N14" s="249" t="str">
        <f>IF('Project&amp;Support'!T6&lt;&gt;"",'Project&amp;Support'!T6,"")</f>
        <v/>
      </c>
      <c r="O14" s="249" t="str">
        <f>IF('Project&amp;Support'!U6&lt;&gt;"",'Project&amp;Support'!U6,"")</f>
        <v/>
      </c>
      <c r="P14" s="249" t="str">
        <f>IF('Project&amp;Support'!V6&lt;&gt;"",'Project&amp;Support'!V6,"")</f>
        <v/>
      </c>
      <c r="Q14" s="249" t="str">
        <f>IF('Project&amp;Support'!W6&lt;&gt;"",'Project&amp;Support'!W6,"")</f>
        <v/>
      </c>
      <c r="R14" s="249" t="str">
        <f>IF('Project&amp;Support'!X6&lt;&gt;"",'Project&amp;Support'!X6,"")</f>
        <v/>
      </c>
      <c r="S14" s="249" t="str">
        <f>IF('Project&amp;Support'!Y6&lt;&gt;"",'Project&amp;Support'!Y6,"")</f>
        <v/>
      </c>
      <c r="T14" s="249" t="str">
        <f>IF('Project&amp;Support'!Z6&lt;&gt;"",'Project&amp;Support'!Z6,"")</f>
        <v/>
      </c>
      <c r="U14" s="249" t="str">
        <f>IF('Project&amp;Support'!AA6&lt;&gt;"",'Project&amp;Support'!AA6,"")</f>
        <v/>
      </c>
      <c r="V14" s="247"/>
    </row>
    <row r="15" spans="1:22" s="248" customFormat="1">
      <c r="A15" s="153" t="str">
        <f>'Project&amp;Support'!B7</f>
        <v>S1-CM</v>
      </c>
      <c r="B15" s="153" t="str">
        <f>'Project&amp;Support'!H7</f>
        <v>All Projects</v>
      </c>
      <c r="C15" s="153" t="str">
        <f>'Project&amp;Support'!I7</f>
        <v>Support</v>
      </c>
      <c r="D15" s="249" t="str">
        <f>IF('Project&amp;Support'!J7&lt;&gt;"",'Project&amp;Support'!J7,"")</f>
        <v/>
      </c>
      <c r="E15" s="249" t="str">
        <f>IF('Project&amp;Support'!K7&lt;&gt;"",'Project&amp;Support'!K7,"")</f>
        <v/>
      </c>
      <c r="F15" s="249" t="str">
        <f>IF('Project&amp;Support'!L7&lt;&gt;"",'Project&amp;Support'!L7,"")</f>
        <v/>
      </c>
      <c r="G15" s="249" t="str">
        <f>IF('Project&amp;Support'!M7&lt;&gt;"",'Project&amp;Support'!M7,"")</f>
        <v/>
      </c>
      <c r="H15" s="249" t="str">
        <f>IF('Project&amp;Support'!N7&lt;&gt;"",'Project&amp;Support'!N7,"")</f>
        <v/>
      </c>
      <c r="I15" s="249" t="str">
        <f>IF('Project&amp;Support'!O7&lt;&gt;"",'Project&amp;Support'!O7,"")</f>
        <v/>
      </c>
      <c r="J15" s="249" t="str">
        <f>IF('Project&amp;Support'!P7&lt;&gt;"",'Project&amp;Support'!P7,"")</f>
        <v/>
      </c>
      <c r="K15" s="249" t="str">
        <f>IF('Project&amp;Support'!Q7&lt;&gt;"",'Project&amp;Support'!Q7,"")</f>
        <v/>
      </c>
      <c r="L15" s="249" t="str">
        <f>IF('Project&amp;Support'!R7&lt;&gt;"",'Project&amp;Support'!R7,"")</f>
        <v/>
      </c>
      <c r="M15" s="249" t="str">
        <f>IF('Project&amp;Support'!S7&lt;&gt;"",'Project&amp;Support'!S7,"")</f>
        <v/>
      </c>
      <c r="N15" s="249" t="str">
        <f>IF('Project&amp;Support'!T7&lt;&gt;"",'Project&amp;Support'!T7,"")</f>
        <v/>
      </c>
      <c r="O15" s="249" t="str">
        <f>IF('Project&amp;Support'!U7&lt;&gt;"",'Project&amp;Support'!U7,"")</f>
        <v/>
      </c>
      <c r="P15" s="249" t="str">
        <f>IF('Project&amp;Support'!V7&lt;&gt;"",'Project&amp;Support'!V7,"")</f>
        <v/>
      </c>
      <c r="Q15" s="249" t="str">
        <f>IF('Project&amp;Support'!W7&lt;&gt;"",'Project&amp;Support'!W7,"")</f>
        <v/>
      </c>
      <c r="R15" s="249" t="str">
        <f>IF('Project&amp;Support'!X7&lt;&gt;"",'Project&amp;Support'!X7,"")</f>
        <v/>
      </c>
      <c r="S15" s="249" t="str">
        <f>IF('Project&amp;Support'!Y7&lt;&gt;"",'Project&amp;Support'!Y7,"")</f>
        <v>s</v>
      </c>
      <c r="T15" s="249" t="str">
        <f>IF('Project&amp;Support'!Z7&lt;&gt;"",'Project&amp;Support'!Z7,"")</f>
        <v/>
      </c>
      <c r="U15" s="249" t="str">
        <f>IF('Project&amp;Support'!AA7&lt;&gt;"",'Project&amp;Support'!AA7,"")</f>
        <v/>
      </c>
      <c r="V15" s="247"/>
    </row>
    <row r="16" spans="1:22" s="248" customFormat="1">
      <c r="A16" s="153" t="str">
        <f>'Project&amp;Support'!B8</f>
        <v>S2-EPG-MA</v>
      </c>
      <c r="B16" s="153" t="str">
        <f>'Project&amp;Support'!H8</f>
        <v>All Projects</v>
      </c>
      <c r="C16" s="153" t="str">
        <f>'Project&amp;Support'!I8</f>
        <v>Support</v>
      </c>
      <c r="D16" s="249" t="str">
        <f>IF('Project&amp;Support'!J8&lt;&gt;"",'Project&amp;Support'!J8,"")</f>
        <v/>
      </c>
      <c r="E16" s="249" t="str">
        <f>IF('Project&amp;Support'!K8&lt;&gt;"",'Project&amp;Support'!K8,"")</f>
        <v/>
      </c>
      <c r="F16" s="249" t="str">
        <f>IF('Project&amp;Support'!L8&lt;&gt;"",'Project&amp;Support'!L8,"")</f>
        <v/>
      </c>
      <c r="G16" s="249" t="str">
        <f>IF('Project&amp;Support'!M8&lt;&gt;"",'Project&amp;Support'!M8,"")</f>
        <v/>
      </c>
      <c r="H16" s="249" t="str">
        <f>IF('Project&amp;Support'!N8&lt;&gt;"",'Project&amp;Support'!N8,"")</f>
        <v/>
      </c>
      <c r="I16" s="249" t="str">
        <f>IF('Project&amp;Support'!O8&lt;&gt;"",'Project&amp;Support'!O8,"")</f>
        <v/>
      </c>
      <c r="J16" s="249" t="str">
        <f>IF('Project&amp;Support'!P8&lt;&gt;"",'Project&amp;Support'!P8,"")</f>
        <v>s</v>
      </c>
      <c r="K16" s="249" t="str">
        <f>IF('Project&amp;Support'!Q8&lt;&gt;"",'Project&amp;Support'!Q8,"")</f>
        <v>s</v>
      </c>
      <c r="L16" s="249" t="str">
        <f>IF('Project&amp;Support'!R8&lt;&gt;"",'Project&amp;Support'!R8,"")</f>
        <v>s</v>
      </c>
      <c r="M16" s="249" t="str">
        <f>IF('Project&amp;Support'!S8&lt;&gt;"",'Project&amp;Support'!S8,"")</f>
        <v/>
      </c>
      <c r="N16" s="249" t="str">
        <f>IF('Project&amp;Support'!T8&lt;&gt;"",'Project&amp;Support'!T8,"")</f>
        <v/>
      </c>
      <c r="O16" s="249" t="str">
        <f>IF('Project&amp;Support'!U8&lt;&gt;"",'Project&amp;Support'!U8,"")</f>
        <v/>
      </c>
      <c r="P16" s="249" t="str">
        <f>IF('Project&amp;Support'!V8&lt;&gt;"",'Project&amp;Support'!V8,"")</f>
        <v/>
      </c>
      <c r="Q16" s="249" t="str">
        <f>IF('Project&amp;Support'!W8&lt;&gt;"",'Project&amp;Support'!W8,"")</f>
        <v/>
      </c>
      <c r="R16" s="249" t="str">
        <f>IF('Project&amp;Support'!X8&lt;&gt;"",'Project&amp;Support'!X8,"")</f>
        <v>s</v>
      </c>
      <c r="S16" s="249" t="str">
        <f>IF('Project&amp;Support'!Y8&lt;&gt;"",'Project&amp;Support'!Y8,"")</f>
        <v/>
      </c>
      <c r="T16" s="249" t="str">
        <f>IF('Project&amp;Support'!Z8&lt;&gt;"",'Project&amp;Support'!Z8,"")</f>
        <v>s</v>
      </c>
      <c r="U16" s="249" t="str">
        <f>IF('Project&amp;Support'!AA8&lt;&gt;"",'Project&amp;Support'!AA8,"")</f>
        <v/>
      </c>
      <c r="V16" s="247"/>
    </row>
    <row r="17" spans="1:22" s="248" customFormat="1">
      <c r="A17" s="153" t="str">
        <f>'Project&amp;Support'!B9</f>
        <v>S3-HR</v>
      </c>
      <c r="B17" s="153" t="str">
        <f>'Project&amp;Support'!H9</f>
        <v>All Projects</v>
      </c>
      <c r="C17" s="153" t="str">
        <f>'Project&amp;Support'!I9</f>
        <v>Support</v>
      </c>
      <c r="D17" s="249" t="str">
        <f>IF('Project&amp;Support'!J9&lt;&gt;"",'Project&amp;Support'!J9,"")</f>
        <v/>
      </c>
      <c r="E17" s="249" t="str">
        <f>IF('Project&amp;Support'!K9&lt;&gt;"",'Project&amp;Support'!K9,"")</f>
        <v/>
      </c>
      <c r="F17" s="249" t="str">
        <f>IF('Project&amp;Support'!L9&lt;&gt;"",'Project&amp;Support'!L9,"")</f>
        <v/>
      </c>
      <c r="G17" s="249" t="str">
        <f>IF('Project&amp;Support'!M9&lt;&gt;"",'Project&amp;Support'!M9,"")</f>
        <v/>
      </c>
      <c r="H17" s="249" t="str">
        <f>IF('Project&amp;Support'!N9&lt;&gt;"",'Project&amp;Support'!N9,"")</f>
        <v/>
      </c>
      <c r="I17" s="249" t="str">
        <f>IF('Project&amp;Support'!O9&lt;&gt;"",'Project&amp;Support'!O9,"")</f>
        <v/>
      </c>
      <c r="J17" s="249" t="str">
        <f>IF('Project&amp;Support'!P9&lt;&gt;"",'Project&amp;Support'!P9,"")</f>
        <v/>
      </c>
      <c r="K17" s="249" t="str">
        <f>IF('Project&amp;Support'!Q9&lt;&gt;"",'Project&amp;Support'!Q9,"")</f>
        <v/>
      </c>
      <c r="L17" s="249" t="str">
        <f>IF('Project&amp;Support'!R9&lt;&gt;"",'Project&amp;Support'!R9,"")</f>
        <v/>
      </c>
      <c r="M17" s="249" t="str">
        <f>IF('Project&amp;Support'!S9&lt;&gt;"",'Project&amp;Support'!S9,"")</f>
        <v/>
      </c>
      <c r="N17" s="249" t="str">
        <f>IF('Project&amp;Support'!T9&lt;&gt;"",'Project&amp;Support'!T9,"")</f>
        <v>s</v>
      </c>
      <c r="O17" s="249" t="str">
        <f>IF('Project&amp;Support'!U9&lt;&gt;"",'Project&amp;Support'!U9,"")</f>
        <v/>
      </c>
      <c r="P17" s="249" t="str">
        <f>IF('Project&amp;Support'!V9&lt;&gt;"",'Project&amp;Support'!V9,"")</f>
        <v/>
      </c>
      <c r="Q17" s="249" t="str">
        <f>IF('Project&amp;Support'!W9&lt;&gt;"",'Project&amp;Support'!W9,"")</f>
        <v/>
      </c>
      <c r="R17" s="249" t="str">
        <f>IF('Project&amp;Support'!X9&lt;&gt;"",'Project&amp;Support'!X9,"")</f>
        <v/>
      </c>
      <c r="S17" s="249" t="str">
        <f>IF('Project&amp;Support'!Y9&lt;&gt;"",'Project&amp;Support'!Y9,"")</f>
        <v/>
      </c>
      <c r="T17" s="249" t="str">
        <f>IF('Project&amp;Support'!Z9&lt;&gt;"",'Project&amp;Support'!Z9,"")</f>
        <v/>
      </c>
      <c r="U17" s="249" t="str">
        <f>IF('Project&amp;Support'!AA9&lt;&gt;"",'Project&amp;Support'!AA9,"")</f>
        <v/>
      </c>
      <c r="V17" s="247"/>
    </row>
    <row r="18" spans="1:22" s="248" customFormat="1">
      <c r="A18" s="153" t="str">
        <f>'Project&amp;Support'!B10</f>
        <v>S4-PPQA</v>
      </c>
      <c r="B18" s="153" t="str">
        <f>'Project&amp;Support'!H10</f>
        <v>All Projects</v>
      </c>
      <c r="C18" s="153" t="str">
        <f>'Project&amp;Support'!I10</f>
        <v>Support</v>
      </c>
      <c r="D18" s="249" t="str">
        <f>IF('Project&amp;Support'!J10&lt;&gt;"",'Project&amp;Support'!J10,"")</f>
        <v/>
      </c>
      <c r="E18" s="249" t="str">
        <f>IF('Project&amp;Support'!K10&lt;&gt;"",'Project&amp;Support'!K10,"")</f>
        <v/>
      </c>
      <c r="F18" s="249" t="str">
        <f>IF('Project&amp;Support'!L10&lt;&gt;"",'Project&amp;Support'!L10,"")</f>
        <v>s</v>
      </c>
      <c r="G18" s="249" t="str">
        <f>IF('Project&amp;Support'!M10&lt;&gt;"",'Project&amp;Support'!M10,"")</f>
        <v/>
      </c>
      <c r="H18" s="249" t="str">
        <f>IF('Project&amp;Support'!N10&lt;&gt;"",'Project&amp;Support'!N10,"")</f>
        <v/>
      </c>
      <c r="I18" s="249" t="str">
        <f>IF('Project&amp;Support'!O10&lt;&gt;"",'Project&amp;Support'!O10,"")</f>
        <v/>
      </c>
      <c r="J18" s="249" t="str">
        <f>IF('Project&amp;Support'!P10&lt;&gt;"",'Project&amp;Support'!P10,"")</f>
        <v/>
      </c>
      <c r="K18" s="249" t="str">
        <f>IF('Project&amp;Support'!Q10&lt;&gt;"",'Project&amp;Support'!Q10,"")</f>
        <v/>
      </c>
      <c r="L18" s="249" t="str">
        <f>IF('Project&amp;Support'!R10&lt;&gt;"",'Project&amp;Support'!R10,"")</f>
        <v/>
      </c>
      <c r="M18" s="249" t="str">
        <f>IF('Project&amp;Support'!S10&lt;&gt;"",'Project&amp;Support'!S10,"")</f>
        <v/>
      </c>
      <c r="N18" s="249" t="str">
        <f>IF('Project&amp;Support'!T10&lt;&gt;"",'Project&amp;Support'!T10,"")</f>
        <v/>
      </c>
      <c r="O18" s="249" t="str">
        <f>IF('Project&amp;Support'!U10&lt;&gt;"",'Project&amp;Support'!U10,"")</f>
        <v/>
      </c>
      <c r="P18" s="249" t="str">
        <f>IF('Project&amp;Support'!V10&lt;&gt;"",'Project&amp;Support'!V10,"")</f>
        <v/>
      </c>
      <c r="Q18" s="249" t="str">
        <f>IF('Project&amp;Support'!W10&lt;&gt;"",'Project&amp;Support'!W10,"")</f>
        <v/>
      </c>
      <c r="R18" s="249" t="str">
        <f>IF('Project&amp;Support'!X10&lt;&gt;"",'Project&amp;Support'!X10,"")</f>
        <v/>
      </c>
      <c r="S18" s="249" t="str">
        <f>IF('Project&amp;Support'!Y10&lt;&gt;"",'Project&amp;Support'!Y10,"")</f>
        <v/>
      </c>
      <c r="T18" s="249" t="str">
        <f>IF('Project&amp;Support'!Z10&lt;&gt;"",'Project&amp;Support'!Z10,"")</f>
        <v/>
      </c>
      <c r="U18" s="249" t="str">
        <f>IF('Project&amp;Support'!AA10&lt;&gt;"",'Project&amp;Support'!AA10,"")</f>
        <v/>
      </c>
      <c r="V18" s="247"/>
    </row>
    <row r="19" spans="1:22" s="248" customFormat="1" hidden="1">
      <c r="A19" s="153">
        <f>'Project&amp;Support'!B11</f>
        <v>0</v>
      </c>
      <c r="B19" s="153">
        <f>'Project&amp;Support'!H11</f>
        <v>0</v>
      </c>
      <c r="C19" s="153">
        <f>'Project&amp;Support'!I11</f>
        <v>0</v>
      </c>
      <c r="D19" s="249" t="str">
        <f>IF('Project&amp;Support'!J11&lt;&gt;"",'Project&amp;Support'!J11,"")</f>
        <v/>
      </c>
      <c r="E19" s="249" t="str">
        <f>IF('Project&amp;Support'!K11&lt;&gt;"",'Project&amp;Support'!K11,"")</f>
        <v/>
      </c>
      <c r="F19" s="249" t="str">
        <f>IF('Project&amp;Support'!L11&lt;&gt;"",'Project&amp;Support'!L11,"")</f>
        <v/>
      </c>
      <c r="G19" s="249" t="str">
        <f>IF('Project&amp;Support'!M11&lt;&gt;"",'Project&amp;Support'!M11,"")</f>
        <v/>
      </c>
      <c r="H19" s="249" t="str">
        <f>IF('Project&amp;Support'!N11&lt;&gt;"",'Project&amp;Support'!N11,"")</f>
        <v/>
      </c>
      <c r="I19" s="249" t="str">
        <f>IF('Project&amp;Support'!O11&lt;&gt;"",'Project&amp;Support'!O11,"")</f>
        <v/>
      </c>
      <c r="J19" s="249" t="str">
        <f>IF('Project&amp;Support'!P11&lt;&gt;"",'Project&amp;Support'!P11,"")</f>
        <v/>
      </c>
      <c r="K19" s="249" t="str">
        <f>IF('Project&amp;Support'!Q11&lt;&gt;"",'Project&amp;Support'!Q11,"")</f>
        <v/>
      </c>
      <c r="L19" s="249" t="str">
        <f>IF('Project&amp;Support'!R11&lt;&gt;"",'Project&amp;Support'!R11,"")</f>
        <v/>
      </c>
      <c r="M19" s="249" t="str">
        <f>IF('Project&amp;Support'!S11&lt;&gt;"",'Project&amp;Support'!S11,"")</f>
        <v/>
      </c>
      <c r="N19" s="249" t="str">
        <f>IF('Project&amp;Support'!T11&lt;&gt;"",'Project&amp;Support'!T11,"")</f>
        <v/>
      </c>
      <c r="O19" s="249" t="str">
        <f>IF('Project&amp;Support'!U11&lt;&gt;"",'Project&amp;Support'!U11,"")</f>
        <v/>
      </c>
      <c r="P19" s="249" t="str">
        <f>IF('Project&amp;Support'!V11&lt;&gt;"",'Project&amp;Support'!V11,"")</f>
        <v/>
      </c>
      <c r="Q19" s="249" t="str">
        <f>IF('Project&amp;Support'!W11&lt;&gt;"",'Project&amp;Support'!W11,"")</f>
        <v/>
      </c>
      <c r="R19" s="249" t="str">
        <f>IF('Project&amp;Support'!X11&lt;&gt;"",'Project&amp;Support'!X11,"")</f>
        <v/>
      </c>
      <c r="S19" s="249" t="str">
        <f>IF('Project&amp;Support'!Y11&lt;&gt;"",'Project&amp;Support'!Y11,"")</f>
        <v/>
      </c>
      <c r="T19" s="249" t="str">
        <f>IF('Project&amp;Support'!Z11&lt;&gt;"",'Project&amp;Support'!Z11,"")</f>
        <v/>
      </c>
      <c r="U19" s="249" t="str">
        <f>IF('Project&amp;Support'!AA11&lt;&gt;"",'Project&amp;Support'!AA11,"")</f>
        <v/>
      </c>
      <c r="V19" s="247"/>
    </row>
    <row r="20" spans="1:22" s="248" customFormat="1" hidden="1">
      <c r="A20" s="153">
        <f>'Project&amp;Support'!B12</f>
        <v>0</v>
      </c>
      <c r="B20" s="153">
        <f>'Project&amp;Support'!H12</f>
        <v>0</v>
      </c>
      <c r="C20" s="153">
        <f>'Project&amp;Support'!I12</f>
        <v>0</v>
      </c>
      <c r="D20" s="249" t="str">
        <f>IF('Project&amp;Support'!J12&lt;&gt;"",'Project&amp;Support'!J12,"")</f>
        <v/>
      </c>
      <c r="E20" s="249" t="str">
        <f>IF('Project&amp;Support'!K12&lt;&gt;"",'Project&amp;Support'!K12,"")</f>
        <v/>
      </c>
      <c r="F20" s="249" t="str">
        <f>IF('Project&amp;Support'!L12&lt;&gt;"",'Project&amp;Support'!L12,"")</f>
        <v/>
      </c>
      <c r="G20" s="249" t="str">
        <f>IF('Project&amp;Support'!M12&lt;&gt;"",'Project&amp;Support'!M12,"")</f>
        <v/>
      </c>
      <c r="H20" s="249" t="str">
        <f>IF('Project&amp;Support'!N12&lt;&gt;"",'Project&amp;Support'!N12,"")</f>
        <v/>
      </c>
      <c r="I20" s="249" t="str">
        <f>IF('Project&amp;Support'!O12&lt;&gt;"",'Project&amp;Support'!O12,"")</f>
        <v/>
      </c>
      <c r="J20" s="249" t="str">
        <f>IF('Project&amp;Support'!P12&lt;&gt;"",'Project&amp;Support'!P12,"")</f>
        <v/>
      </c>
      <c r="K20" s="249" t="str">
        <f>IF('Project&amp;Support'!Q12&lt;&gt;"",'Project&amp;Support'!Q12,"")</f>
        <v/>
      </c>
      <c r="L20" s="249" t="str">
        <f>IF('Project&amp;Support'!R12&lt;&gt;"",'Project&amp;Support'!R12,"")</f>
        <v/>
      </c>
      <c r="M20" s="249" t="str">
        <f>IF('Project&amp;Support'!S12&lt;&gt;"",'Project&amp;Support'!S12,"")</f>
        <v/>
      </c>
      <c r="N20" s="249" t="str">
        <f>IF('Project&amp;Support'!T12&lt;&gt;"",'Project&amp;Support'!T12,"")</f>
        <v/>
      </c>
      <c r="O20" s="249" t="str">
        <f>IF('Project&amp;Support'!U12&lt;&gt;"",'Project&amp;Support'!U12,"")</f>
        <v/>
      </c>
      <c r="P20" s="249" t="str">
        <f>IF('Project&amp;Support'!V12&lt;&gt;"",'Project&amp;Support'!V12,"")</f>
        <v/>
      </c>
      <c r="Q20" s="249" t="str">
        <f>IF('Project&amp;Support'!W12&lt;&gt;"",'Project&amp;Support'!W12,"")</f>
        <v/>
      </c>
      <c r="R20" s="249" t="str">
        <f>IF('Project&amp;Support'!X12&lt;&gt;"",'Project&amp;Support'!X12,"")</f>
        <v/>
      </c>
      <c r="S20" s="249" t="str">
        <f>IF('Project&amp;Support'!Y12&lt;&gt;"",'Project&amp;Support'!Y12,"")</f>
        <v/>
      </c>
      <c r="T20" s="249" t="str">
        <f>IF('Project&amp;Support'!Z12&lt;&gt;"",'Project&amp;Support'!Z12,"")</f>
        <v/>
      </c>
      <c r="U20" s="249" t="str">
        <f>IF('Project&amp;Support'!AA12&lt;&gt;"",'Project&amp;Support'!AA12,"")</f>
        <v/>
      </c>
      <c r="V20" s="247"/>
    </row>
    <row r="21" spans="1:22" s="248" customFormat="1" hidden="1">
      <c r="A21" s="153">
        <f>'Project&amp;Support'!B13</f>
        <v>0</v>
      </c>
      <c r="B21" s="153">
        <f>'Project&amp;Support'!H13</f>
        <v>0</v>
      </c>
      <c r="C21" s="153">
        <f>'Project&amp;Support'!I13</f>
        <v>0</v>
      </c>
      <c r="D21" s="249" t="str">
        <f>IF('Project&amp;Support'!J13&lt;&gt;"",'Project&amp;Support'!J13,"")</f>
        <v/>
      </c>
      <c r="E21" s="249" t="str">
        <f>IF('Project&amp;Support'!K13&lt;&gt;"",'Project&amp;Support'!K13,"")</f>
        <v/>
      </c>
      <c r="F21" s="249" t="str">
        <f>IF('Project&amp;Support'!L13&lt;&gt;"",'Project&amp;Support'!L13,"")</f>
        <v/>
      </c>
      <c r="G21" s="249" t="str">
        <f>IF('Project&amp;Support'!M13&lt;&gt;"",'Project&amp;Support'!M13,"")</f>
        <v/>
      </c>
      <c r="H21" s="249" t="str">
        <f>IF('Project&amp;Support'!N13&lt;&gt;"",'Project&amp;Support'!N13,"")</f>
        <v/>
      </c>
      <c r="I21" s="249" t="str">
        <f>IF('Project&amp;Support'!O13&lt;&gt;"",'Project&amp;Support'!O13,"")</f>
        <v/>
      </c>
      <c r="J21" s="249" t="str">
        <f>IF('Project&amp;Support'!P13&lt;&gt;"",'Project&amp;Support'!P13,"")</f>
        <v/>
      </c>
      <c r="K21" s="249" t="str">
        <f>IF('Project&amp;Support'!Q13&lt;&gt;"",'Project&amp;Support'!Q13,"")</f>
        <v/>
      </c>
      <c r="L21" s="249" t="str">
        <f>IF('Project&amp;Support'!R13&lt;&gt;"",'Project&amp;Support'!R13,"")</f>
        <v/>
      </c>
      <c r="M21" s="249" t="str">
        <f>IF('Project&amp;Support'!S13&lt;&gt;"",'Project&amp;Support'!S13,"")</f>
        <v/>
      </c>
      <c r="N21" s="249" t="str">
        <f>IF('Project&amp;Support'!T13&lt;&gt;"",'Project&amp;Support'!T13,"")</f>
        <v/>
      </c>
      <c r="O21" s="249" t="str">
        <f>IF('Project&amp;Support'!U13&lt;&gt;"",'Project&amp;Support'!U13,"")</f>
        <v/>
      </c>
      <c r="P21" s="249" t="str">
        <f>IF('Project&amp;Support'!V13&lt;&gt;"",'Project&amp;Support'!V13,"")</f>
        <v/>
      </c>
      <c r="Q21" s="249" t="str">
        <f>IF('Project&amp;Support'!W13&lt;&gt;"",'Project&amp;Support'!W13,"")</f>
        <v/>
      </c>
      <c r="R21" s="249" t="str">
        <f>IF('Project&amp;Support'!X13&lt;&gt;"",'Project&amp;Support'!X13,"")</f>
        <v/>
      </c>
      <c r="S21" s="249" t="str">
        <f>IF('Project&amp;Support'!Y13&lt;&gt;"",'Project&amp;Support'!Y13,"")</f>
        <v/>
      </c>
      <c r="T21" s="249" t="str">
        <f>IF('Project&amp;Support'!Z13&lt;&gt;"",'Project&amp;Support'!Z13,"")</f>
        <v/>
      </c>
      <c r="U21" s="249" t="str">
        <f>IF('Project&amp;Support'!AA13&lt;&gt;"",'Project&amp;Support'!AA13,"")</f>
        <v/>
      </c>
      <c r="V21" s="247"/>
    </row>
    <row r="22" spans="1:22" s="248" customFormat="1" hidden="1">
      <c r="A22" s="153">
        <f>'Project&amp;Support'!B14</f>
        <v>0</v>
      </c>
      <c r="B22" s="153">
        <f>'Project&amp;Support'!H14</f>
        <v>0</v>
      </c>
      <c r="C22" s="153">
        <f>'Project&amp;Support'!I14</f>
        <v>0</v>
      </c>
      <c r="D22" s="249" t="str">
        <f>IF('Project&amp;Support'!J14&lt;&gt;"",'Project&amp;Support'!J14,"")</f>
        <v/>
      </c>
      <c r="E22" s="249" t="str">
        <f>IF('Project&amp;Support'!K14&lt;&gt;"",'Project&amp;Support'!K14,"")</f>
        <v/>
      </c>
      <c r="F22" s="249" t="str">
        <f>IF('Project&amp;Support'!L14&lt;&gt;"",'Project&amp;Support'!L14,"")</f>
        <v/>
      </c>
      <c r="G22" s="249" t="str">
        <f>IF('Project&amp;Support'!M14&lt;&gt;"",'Project&amp;Support'!M14,"")</f>
        <v/>
      </c>
      <c r="H22" s="249" t="str">
        <f>IF('Project&amp;Support'!N14&lt;&gt;"",'Project&amp;Support'!N14,"")</f>
        <v/>
      </c>
      <c r="I22" s="249" t="str">
        <f>IF('Project&amp;Support'!O14&lt;&gt;"",'Project&amp;Support'!O14,"")</f>
        <v/>
      </c>
      <c r="J22" s="249" t="str">
        <f>IF('Project&amp;Support'!P14&lt;&gt;"",'Project&amp;Support'!P14,"")</f>
        <v/>
      </c>
      <c r="K22" s="249" t="str">
        <f>IF('Project&amp;Support'!Q14&lt;&gt;"",'Project&amp;Support'!Q14,"")</f>
        <v/>
      </c>
      <c r="L22" s="249" t="str">
        <f>IF('Project&amp;Support'!R14&lt;&gt;"",'Project&amp;Support'!R14,"")</f>
        <v/>
      </c>
      <c r="M22" s="249" t="str">
        <f>IF('Project&amp;Support'!S14&lt;&gt;"",'Project&amp;Support'!S14,"")</f>
        <v/>
      </c>
      <c r="N22" s="249" t="str">
        <f>IF('Project&amp;Support'!T14&lt;&gt;"",'Project&amp;Support'!T14,"")</f>
        <v/>
      </c>
      <c r="O22" s="249" t="str">
        <f>IF('Project&amp;Support'!U14&lt;&gt;"",'Project&amp;Support'!U14,"")</f>
        <v/>
      </c>
      <c r="P22" s="249" t="str">
        <f>IF('Project&amp;Support'!V14&lt;&gt;"",'Project&amp;Support'!V14,"")</f>
        <v/>
      </c>
      <c r="Q22" s="249" t="str">
        <f>IF('Project&amp;Support'!W14&lt;&gt;"",'Project&amp;Support'!W14,"")</f>
        <v/>
      </c>
      <c r="R22" s="249" t="str">
        <f>IF('Project&amp;Support'!X14&lt;&gt;"",'Project&amp;Support'!X14,"")</f>
        <v/>
      </c>
      <c r="S22" s="249" t="str">
        <f>IF('Project&amp;Support'!Y14&lt;&gt;"",'Project&amp;Support'!Y14,"")</f>
        <v/>
      </c>
      <c r="T22" s="249" t="str">
        <f>IF('Project&amp;Support'!Z14&lt;&gt;"",'Project&amp;Support'!Z14,"")</f>
        <v/>
      </c>
      <c r="U22" s="249" t="str">
        <f>IF('Project&amp;Support'!AA14&lt;&gt;"",'Project&amp;Support'!AA14,"")</f>
        <v/>
      </c>
      <c r="V22" s="247"/>
    </row>
    <row r="23" spans="1:22" s="248" customFormat="1" hidden="1">
      <c r="A23" s="153">
        <f>'Project&amp;Support'!B15</f>
        <v>0</v>
      </c>
      <c r="B23" s="153">
        <f>'Project&amp;Support'!H15</f>
        <v>0</v>
      </c>
      <c r="C23" s="153">
        <f>'Project&amp;Support'!I15</f>
        <v>0</v>
      </c>
      <c r="D23" s="249" t="str">
        <f>IF('Project&amp;Support'!J15&lt;&gt;"",'Project&amp;Support'!J15,"")</f>
        <v/>
      </c>
      <c r="E23" s="249" t="str">
        <f>IF('Project&amp;Support'!K15&lt;&gt;"",'Project&amp;Support'!K15,"")</f>
        <v/>
      </c>
      <c r="F23" s="249" t="str">
        <f>IF('Project&amp;Support'!L15&lt;&gt;"",'Project&amp;Support'!L15,"")</f>
        <v/>
      </c>
      <c r="G23" s="249" t="str">
        <f>IF('Project&amp;Support'!M15&lt;&gt;"",'Project&amp;Support'!M15,"")</f>
        <v/>
      </c>
      <c r="H23" s="249" t="str">
        <f>IF('Project&amp;Support'!N15&lt;&gt;"",'Project&amp;Support'!N15,"")</f>
        <v/>
      </c>
      <c r="I23" s="249" t="str">
        <f>IF('Project&amp;Support'!O15&lt;&gt;"",'Project&amp;Support'!O15,"")</f>
        <v/>
      </c>
      <c r="J23" s="249" t="str">
        <f>IF('Project&amp;Support'!P15&lt;&gt;"",'Project&amp;Support'!P15,"")</f>
        <v/>
      </c>
      <c r="K23" s="249" t="str">
        <f>IF('Project&amp;Support'!Q15&lt;&gt;"",'Project&amp;Support'!Q15,"")</f>
        <v/>
      </c>
      <c r="L23" s="249" t="str">
        <f>IF('Project&amp;Support'!R15&lt;&gt;"",'Project&amp;Support'!R15,"")</f>
        <v/>
      </c>
      <c r="M23" s="249" t="str">
        <f>IF('Project&amp;Support'!S15&lt;&gt;"",'Project&amp;Support'!S15,"")</f>
        <v/>
      </c>
      <c r="N23" s="249" t="str">
        <f>IF('Project&amp;Support'!T15&lt;&gt;"",'Project&amp;Support'!T15,"")</f>
        <v/>
      </c>
      <c r="O23" s="249" t="str">
        <f>IF('Project&amp;Support'!U15&lt;&gt;"",'Project&amp;Support'!U15,"")</f>
        <v/>
      </c>
      <c r="P23" s="249" t="str">
        <f>IF('Project&amp;Support'!V15&lt;&gt;"",'Project&amp;Support'!V15,"")</f>
        <v/>
      </c>
      <c r="Q23" s="249" t="str">
        <f>IF('Project&amp;Support'!W15&lt;&gt;"",'Project&amp;Support'!W15,"")</f>
        <v/>
      </c>
      <c r="R23" s="249" t="str">
        <f>IF('Project&amp;Support'!X15&lt;&gt;"",'Project&amp;Support'!X15,"")</f>
        <v/>
      </c>
      <c r="S23" s="249" t="str">
        <f>IF('Project&amp;Support'!Y15&lt;&gt;"",'Project&amp;Support'!Y15,"")</f>
        <v/>
      </c>
      <c r="T23" s="249" t="str">
        <f>IF('Project&amp;Support'!Z15&lt;&gt;"",'Project&amp;Support'!Z15,"")</f>
        <v/>
      </c>
      <c r="U23" s="249" t="str">
        <f>IF('Project&amp;Support'!AA15&lt;&gt;"",'Project&amp;Support'!AA15,"")</f>
        <v/>
      </c>
      <c r="V23" s="247"/>
    </row>
    <row r="24" spans="1:22" s="248" customFormat="1">
      <c r="A24" s="152"/>
      <c r="B24" s="152"/>
      <c r="C24" s="152"/>
      <c r="D24" s="247"/>
      <c r="E24" s="247"/>
      <c r="F24" s="247"/>
      <c r="G24" s="247"/>
      <c r="H24" s="247"/>
      <c r="I24" s="247"/>
      <c r="J24" s="247"/>
      <c r="K24" s="247"/>
      <c r="L24" s="247"/>
      <c r="M24" s="247"/>
      <c r="N24" s="247"/>
      <c r="O24" s="247"/>
      <c r="P24" s="247"/>
      <c r="Q24" s="247"/>
      <c r="R24" s="247"/>
      <c r="S24" s="247"/>
      <c r="T24" s="247"/>
      <c r="U24" s="247"/>
      <c r="V24" s="247"/>
    </row>
    <row r="25" spans="1:22" hidden="1">
      <c r="A25" s="153">
        <f>'Project&amp;Support'!B11</f>
        <v>0</v>
      </c>
      <c r="B25" s="153">
        <f>'Project&amp;Support'!H11</f>
        <v>0</v>
      </c>
      <c r="C25" s="401"/>
      <c r="D25" s="249" t="str">
        <f>IF('Project&amp;Support'!J11&lt;&gt;"",'Project&amp;Support'!J11,"")</f>
        <v/>
      </c>
      <c r="E25" s="249" t="str">
        <f>IF('Project&amp;Support'!K11&lt;&gt;"",'Project&amp;Support'!K11,"")</f>
        <v/>
      </c>
      <c r="F25" s="249" t="str">
        <f>IF('Project&amp;Support'!L11&lt;&gt;"",'Project&amp;Support'!L11,"")</f>
        <v/>
      </c>
      <c r="G25" s="249" t="str">
        <f>IF('Project&amp;Support'!M11&lt;&gt;"",'Project&amp;Support'!M11,"")</f>
        <v/>
      </c>
      <c r="H25" s="249" t="str">
        <f>IF('Project&amp;Support'!N11&lt;&gt;"",'Project&amp;Support'!N11,"")</f>
        <v/>
      </c>
      <c r="I25" s="249" t="str">
        <f>IF('Project&amp;Support'!O11&lt;&gt;"",'Project&amp;Support'!O11,"")</f>
        <v/>
      </c>
      <c r="J25" s="249" t="str">
        <f>IF('Project&amp;Support'!P11&lt;&gt;"",'Project&amp;Support'!P11,"")</f>
        <v/>
      </c>
      <c r="K25" s="249" t="str">
        <f>IF('Project&amp;Support'!Q11&lt;&gt;"",'Project&amp;Support'!Q11,"")</f>
        <v/>
      </c>
      <c r="L25" s="249" t="str">
        <f>IF('Project&amp;Support'!R11&lt;&gt;"",'Project&amp;Support'!R11,"")</f>
        <v/>
      </c>
      <c r="M25" s="249" t="str">
        <f>IF('Project&amp;Support'!S11&lt;&gt;"",'Project&amp;Support'!S11,"")</f>
        <v/>
      </c>
      <c r="N25" s="249" t="str">
        <f>IF('Project&amp;Support'!T11&lt;&gt;"",'Project&amp;Support'!T11,"")</f>
        <v/>
      </c>
      <c r="O25" s="249" t="str">
        <f>IF('Project&amp;Support'!U11&lt;&gt;"",'Project&amp;Support'!U11,"")</f>
        <v/>
      </c>
      <c r="P25" s="249" t="str">
        <f>IF('Project&amp;Support'!V11&lt;&gt;"",'Project&amp;Support'!V11,"")</f>
        <v/>
      </c>
      <c r="Q25" s="249" t="str">
        <f>IF('Project&amp;Support'!W11&lt;&gt;"",'Project&amp;Support'!W11,"")</f>
        <v/>
      </c>
      <c r="R25" s="249" t="str">
        <f>IF('Project&amp;Support'!X11&lt;&gt;"",'Project&amp;Support'!X11,"")</f>
        <v/>
      </c>
      <c r="S25" s="249" t="str">
        <f>IF('Project&amp;Support'!Y11&lt;&gt;"",'Project&amp;Support'!Y11,"")</f>
        <v/>
      </c>
      <c r="T25" s="249" t="str">
        <f>IF('Project&amp;Support'!Z11&lt;&gt;"",'Project&amp;Support'!Z11,"")</f>
        <v/>
      </c>
      <c r="U25" s="249" t="str">
        <f>IF('Project&amp;Support'!AA11&lt;&gt;"",'Project&amp;Support'!AA11,"")</f>
        <v/>
      </c>
    </row>
    <row r="26" spans="1:22" ht="18.5">
      <c r="A26" s="245"/>
      <c r="B26" s="245"/>
      <c r="C26" s="245"/>
      <c r="D26" s="246"/>
      <c r="E26" s="246"/>
      <c r="F26" s="246"/>
      <c r="G26" s="246"/>
      <c r="H26" s="246"/>
      <c r="I26" s="246"/>
      <c r="J26" s="246"/>
      <c r="K26" s="246"/>
      <c r="L26" s="246"/>
      <c r="M26" s="246"/>
      <c r="N26" s="246"/>
      <c r="O26" s="246"/>
      <c r="P26" s="246"/>
      <c r="Q26" s="246"/>
      <c r="R26" s="246"/>
      <c r="S26" s="246"/>
      <c r="T26" s="246"/>
      <c r="U26" s="246"/>
    </row>
    <row r="27" spans="1:22">
      <c r="D27" s="249" t="s">
        <v>1174</v>
      </c>
      <c r="E27" s="234" t="s">
        <v>1217</v>
      </c>
      <c r="G27" s="249"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12" t="str">
        <f>_xlfn.CONCAT('P1PA-SS'!B138,"(",'P1PA-SS'!B139,")")</f>
        <v>All projects(AP)</v>
      </c>
      <c r="B2" s="228" t="str">
        <f>'Project&amp;Support'!B3</f>
        <v>P1-Falcon9</v>
      </c>
      <c r="C2" s="229">
        <f>'Project&amp;Support'!AB3</f>
        <v>10</v>
      </c>
      <c r="D2" s="228" t="str">
        <f>'Project&amp;Support'!C3</f>
        <v>Falcon project description</v>
      </c>
      <c r="E2" s="512" t="str">
        <f>_xlfn.CONCAT(StartupInfo!B5,", ",StartupInfo!B6,", ",StartupInfo!B7,CHAR(13),CHAR(10),StartupInfo!B8,", ",StartupInfo!B9)</f>
        <v>Room 1, Dome 1, No. 1 First Street, Base Alpha City_x000D_
Tharsis, Planet04</v>
      </c>
    </row>
    <row r="3" spans="1:5" ht="63" customHeight="1">
      <c r="A3" s="512"/>
      <c r="B3" s="228" t="str">
        <f>'Project&amp;Support'!B4</f>
        <v>P2-Raptor</v>
      </c>
      <c r="C3" s="229">
        <f>'Project&amp;Support'!AB4</f>
        <v>11</v>
      </c>
      <c r="D3" s="228" t="str">
        <f>'Project&amp;Support'!C4</f>
        <v>Raptor project description</v>
      </c>
      <c r="E3" s="512"/>
    </row>
    <row r="4" spans="1:5" ht="63" customHeight="1">
      <c r="A4" s="512"/>
      <c r="B4" s="228" t="str">
        <f>'Project&amp;Support'!B5</f>
        <v>P3-Starship</v>
      </c>
      <c r="C4" s="229">
        <f>'Project&amp;Support'!AB5</f>
        <v>9</v>
      </c>
      <c r="D4" s="228" t="str">
        <f>'Project&amp;Support'!C5</f>
        <v>Startship project description</v>
      </c>
      <c r="E4" s="512"/>
    </row>
    <row r="5" spans="1:5" ht="63" customHeight="1">
      <c r="A5" s="512"/>
      <c r="B5" s="228" t="str">
        <f>'Project&amp;Support'!B6</f>
        <v>P4-SupperHeavy</v>
      </c>
      <c r="C5" s="229">
        <f>'Project&amp;Support'!AB6</f>
        <v>7</v>
      </c>
      <c r="D5" s="228" t="str">
        <f>'Project&amp;Support'!C6</f>
        <v>Super Heavy description</v>
      </c>
      <c r="E5" s="512"/>
    </row>
    <row r="6" spans="1:5" ht="42" hidden="1">
      <c r="A6" s="512"/>
      <c r="B6" s="228" t="str">
        <f>'Project&amp;Support'!B7</f>
        <v>S1-CM</v>
      </c>
      <c r="C6" s="229">
        <f>'Project&amp;Support'!AB7</f>
        <v>1</v>
      </c>
      <c r="D6" s="228" t="str">
        <f>'Project&amp;Support'!C7</f>
        <v>The Configuration Management (CM) function, manages baselines for projects and the organisation.</v>
      </c>
      <c r="E6" s="512"/>
    </row>
    <row r="7" spans="1:5" ht="105" hidden="1">
      <c r="A7" s="51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2"/>
    </row>
    <row r="8" spans="1:5" ht="63" hidden="1">
      <c r="A8" s="51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12"/>
    </row>
    <row r="9" spans="1:5" ht="42" hidden="1">
      <c r="A9" s="512"/>
      <c r="B9" s="228" t="str">
        <f>'Project&amp;Support'!B10</f>
        <v>S4-PPQA</v>
      </c>
      <c r="C9" s="229">
        <f>'Project&amp;Support'!AB10</f>
        <v>1</v>
      </c>
      <c r="D9" s="228" t="str">
        <f>'Project&amp;Support'!C10</f>
        <v xml:space="preserve">The Process and Product Quality Assurance (PPQA) team manage and performs process quality assurance. </v>
      </c>
      <c r="E9" s="512"/>
    </row>
    <row r="10" spans="1:5" ht="21" hidden="1">
      <c r="A10" s="512"/>
      <c r="B10" s="228">
        <f>'Project&amp;Support'!B11</f>
        <v>0</v>
      </c>
      <c r="C10" s="229">
        <f>'Project&amp;Support'!AB11</f>
        <v>0</v>
      </c>
      <c r="D10" s="228">
        <f>'Project&amp;Support'!C11</f>
        <v>0</v>
      </c>
      <c r="E10" s="512"/>
    </row>
    <row r="11" spans="1:5" ht="21" hidden="1">
      <c r="A11" s="512"/>
      <c r="B11" s="228">
        <f>'Project&amp;Support'!B12</f>
        <v>0</v>
      </c>
      <c r="C11" s="229">
        <f>'Project&amp;Support'!AB12</f>
        <v>0</v>
      </c>
      <c r="D11" s="228">
        <f>'Project&amp;Support'!C12</f>
        <v>0</v>
      </c>
      <c r="E11" s="51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09" t="s">
        <v>1128</v>
      </c>
      <c r="B16" s="228" t="str">
        <f>'Project&amp;Support'!B7</f>
        <v>S1-CM</v>
      </c>
      <c r="C16" s="230">
        <f>'Project&amp;Support'!AB7</f>
        <v>1</v>
      </c>
      <c r="D16" s="228" t="str">
        <f>'Project&amp;Support'!C7</f>
        <v>The Configuration Management (CM) function, manages baselines for projects and the organisation.</v>
      </c>
      <c r="E16" s="513" t="str">
        <f>StartupInfo!B11</f>
        <v>Room 1, Dome 1, No. 1 First Street, Base Alpha City, Tharsis, Planet04, China</v>
      </c>
    </row>
    <row r="17" spans="1:5" ht="105">
      <c r="A17" s="51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4"/>
    </row>
    <row r="18" spans="1:5" ht="63">
      <c r="A18" s="51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14"/>
    </row>
    <row r="19" spans="1:5" ht="42">
      <c r="A19" s="510"/>
      <c r="B19" s="228" t="str">
        <f>'Project&amp;Support'!B10</f>
        <v>S4-PPQA</v>
      </c>
      <c r="C19" s="230">
        <f>'Project&amp;Support'!AB10</f>
        <v>1</v>
      </c>
      <c r="D19" s="228" t="str">
        <f>'Project&amp;Support'!C10</f>
        <v xml:space="preserve">The Process and Product Quality Assurance (PPQA) team manage and performs process quality assurance. </v>
      </c>
      <c r="E19" s="514"/>
    </row>
    <row r="20" spans="1:5" ht="126" hidden="1" customHeight="1">
      <c r="A20" s="510"/>
      <c r="B20" s="228">
        <f>'Project&amp;Support'!B11</f>
        <v>0</v>
      </c>
      <c r="C20" s="230">
        <f>'Project&amp;Support'!AB11</f>
        <v>0</v>
      </c>
      <c r="D20" s="228">
        <f>'Project&amp;Support'!C11</f>
        <v>0</v>
      </c>
      <c r="E20" s="514"/>
    </row>
    <row r="21" spans="1:5" ht="126" hidden="1" customHeight="1">
      <c r="A21" s="511"/>
      <c r="B21" s="228">
        <f>'Project&amp;Support'!B12</f>
        <v>0</v>
      </c>
      <c r="C21" s="230">
        <f>'Project&amp;Support'!AB12</f>
        <v>0</v>
      </c>
      <c r="D21" s="228">
        <f>'Project&amp;Support'!C12</f>
        <v>0</v>
      </c>
      <c r="E21" s="51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7"/>
    <col min="2" max="2" width="39.7265625" style="387" customWidth="1"/>
    <col min="3" max="3" width="40.1796875" style="387" customWidth="1"/>
    <col min="4" max="4" width="64.26953125" style="387" customWidth="1"/>
    <col min="5" max="5" width="39.7265625" style="387" customWidth="1"/>
    <col min="6" max="16384" width="8.7265625" style="387"/>
  </cols>
  <sheetData>
    <row r="2" spans="2:5">
      <c r="B2" s="385" t="s">
        <v>1111</v>
      </c>
      <c r="C2" s="385" t="s">
        <v>1112</v>
      </c>
      <c r="D2" s="385" t="s">
        <v>1113</v>
      </c>
      <c r="E2" s="385" t="s">
        <v>848</v>
      </c>
    </row>
    <row r="3" spans="2:5" s="218" customFormat="1" ht="30" customHeight="1">
      <c r="B3" s="408" t="s">
        <v>593</v>
      </c>
      <c r="C3" s="408" t="str">
        <f>'Agreement 3'!B28</f>
        <v>Prof Kessler, Donald</v>
      </c>
      <c r="D3" s="408"/>
      <c r="E3" s="409">
        <f>'P1PA-SS'!B69</f>
        <v>44302</v>
      </c>
    </row>
    <row r="4" spans="2:5" s="218" customFormat="1" ht="30" customHeight="1">
      <c r="B4" s="408" t="s">
        <v>1115</v>
      </c>
      <c r="C4" s="408" t="str">
        <f>'Agreement 3'!B7</f>
        <v>van Zyl, Pieter</v>
      </c>
      <c r="D4" s="408"/>
      <c r="E4" s="409">
        <f>E3</f>
        <v>44302</v>
      </c>
    </row>
    <row r="5" spans="2:5" s="218" customFormat="1" ht="30" customHeight="1">
      <c r="B5" s="408" t="s">
        <v>1114</v>
      </c>
      <c r="C5" s="408" t="str">
        <f>'P1PA-SS'!B91</f>
        <v>ATM-1</v>
      </c>
      <c r="D5" s="408"/>
      <c r="E5" s="409">
        <f>E4</f>
        <v>44302</v>
      </c>
    </row>
    <row r="6" spans="2:5" s="218" customFormat="1" ht="30" customHeight="1">
      <c r="B6" s="408" t="s">
        <v>1114</v>
      </c>
      <c r="C6" s="408" t="str">
        <f>'P1PA-SS'!B92</f>
        <v>ATM-2</v>
      </c>
      <c r="D6" s="408"/>
      <c r="E6" s="409">
        <f>E5</f>
        <v>44302</v>
      </c>
    </row>
    <row r="7" spans="2:5" s="218" customFormat="1" ht="30" customHeight="1">
      <c r="B7" s="408" t="s">
        <v>1114</v>
      </c>
      <c r="C7" s="408" t="str">
        <f>'P1PA-SS'!B93</f>
        <v>ATM-3</v>
      </c>
      <c r="D7" s="408"/>
      <c r="E7" s="409">
        <f t="shared" ref="E7:E13" si="0">E6</f>
        <v>44302</v>
      </c>
    </row>
    <row r="8" spans="2:5" s="218" customFormat="1" ht="30" customHeight="1">
      <c r="B8" s="408" t="s">
        <v>1114</v>
      </c>
      <c r="C8" s="408" t="str">
        <f>'P1PA-SS'!B94</f>
        <v>ATM-4</v>
      </c>
      <c r="D8" s="408"/>
      <c r="E8" s="409">
        <f t="shared" si="0"/>
        <v>44302</v>
      </c>
    </row>
    <row r="9" spans="2:5" s="218" customFormat="1" ht="30" customHeight="1">
      <c r="B9" s="408" t="s">
        <v>1114</v>
      </c>
      <c r="C9" s="408" t="str">
        <f>'P1PA-SS'!B95</f>
        <v>ATM-5</v>
      </c>
      <c r="D9" s="408"/>
      <c r="E9" s="409">
        <f t="shared" si="0"/>
        <v>44302</v>
      </c>
    </row>
    <row r="10" spans="2:5" s="218" customFormat="1" ht="30" customHeight="1">
      <c r="B10" s="408" t="s">
        <v>1114</v>
      </c>
      <c r="C10" s="408" t="str">
        <f>'P1PA-SS'!B96</f>
        <v>ATM-6</v>
      </c>
      <c r="D10" s="408"/>
      <c r="E10" s="409">
        <f t="shared" si="0"/>
        <v>44302</v>
      </c>
    </row>
    <row r="11" spans="2:5" s="218" customFormat="1" ht="30" customHeight="1">
      <c r="B11" s="408" t="s">
        <v>1114</v>
      </c>
      <c r="C11" s="408" t="str">
        <f>'P1PA-SS'!B97</f>
        <v>ATM-7</v>
      </c>
      <c r="D11" s="408"/>
      <c r="E11" s="409">
        <f t="shared" si="0"/>
        <v>44302</v>
      </c>
    </row>
    <row r="12" spans="2:5" s="218" customFormat="1" ht="30" customHeight="1">
      <c r="B12" s="408" t="s">
        <v>1114</v>
      </c>
      <c r="C12" s="408" t="str">
        <f>'P1PA-SS'!B98</f>
        <v>ATM-8</v>
      </c>
      <c r="D12" s="408"/>
      <c r="E12" s="409">
        <f t="shared" si="0"/>
        <v>44302</v>
      </c>
    </row>
    <row r="13" spans="2:5" s="218" customFormat="1" ht="30" customHeight="1">
      <c r="B13" s="408" t="s">
        <v>1114</v>
      </c>
      <c r="C13" s="408" t="str">
        <f>'P1PA-SS'!B99</f>
        <v>ATM-9</v>
      </c>
      <c r="D13" s="408"/>
      <c r="E13" s="40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7"/>
    <col min="2" max="2" width="9.453125" style="387" customWidth="1"/>
    <col min="3" max="3" width="54.54296875" style="218" customWidth="1"/>
    <col min="4" max="4" width="61" style="218" customWidth="1"/>
    <col min="5" max="16384" width="8.7265625" style="387"/>
  </cols>
  <sheetData>
    <row r="1" spans="2:13">
      <c r="E1" s="386"/>
      <c r="F1" s="386"/>
      <c r="G1" s="386"/>
      <c r="H1" s="386"/>
      <c r="I1" s="386"/>
      <c r="J1" s="386"/>
      <c r="K1" s="386"/>
      <c r="L1" s="386"/>
      <c r="M1" s="386"/>
    </row>
    <row r="2" spans="2:13">
      <c r="B2" s="516" t="s">
        <v>1121</v>
      </c>
      <c r="C2" s="517"/>
      <c r="D2" s="517"/>
      <c r="E2" s="386"/>
      <c r="F2" s="386"/>
      <c r="G2" s="386"/>
      <c r="H2" s="386"/>
      <c r="I2" s="386"/>
      <c r="J2" s="386"/>
      <c r="K2" s="386"/>
      <c r="L2" s="386"/>
      <c r="M2" s="386"/>
    </row>
    <row r="3" spans="2:13" ht="31">
      <c r="B3" s="413">
        <v>1</v>
      </c>
      <c r="C3" s="408" t="s">
        <v>1220</v>
      </c>
      <c r="D3" s="408" t="s">
        <v>1221</v>
      </c>
    </row>
    <row r="4" spans="2:13" ht="31">
      <c r="B4" s="413">
        <v>2</v>
      </c>
      <c r="C4" s="408" t="s">
        <v>1222</v>
      </c>
      <c r="D4" s="408" t="s">
        <v>1223</v>
      </c>
    </row>
    <row r="5" spans="2:13" ht="31">
      <c r="B5" s="413">
        <v>3</v>
      </c>
      <c r="C5" s="408" t="s">
        <v>1224</v>
      </c>
      <c r="D5" s="408" t="s">
        <v>1225</v>
      </c>
    </row>
    <row r="6" spans="2:13">
      <c r="B6" s="413">
        <v>4</v>
      </c>
      <c r="C6" s="408" t="s">
        <v>1122</v>
      </c>
      <c r="D6" s="408" t="s">
        <v>1123</v>
      </c>
    </row>
    <row r="7" spans="2:13" ht="31">
      <c r="B7" s="413">
        <v>5</v>
      </c>
      <c r="C7" s="408" t="s">
        <v>1226</v>
      </c>
      <c r="D7" s="408" t="s">
        <v>1227</v>
      </c>
    </row>
    <row r="8" spans="2:13" hidden="1">
      <c r="B8" s="413">
        <v>6</v>
      </c>
      <c r="C8" s="408"/>
      <c r="D8" s="408"/>
    </row>
    <row r="9" spans="2:13" hidden="1">
      <c r="B9" s="413">
        <v>7</v>
      </c>
      <c r="C9" s="408"/>
      <c r="D9" s="408"/>
    </row>
    <row r="10" spans="2:13" hidden="1">
      <c r="B10" s="413">
        <v>8</v>
      </c>
      <c r="C10" s="408"/>
      <c r="D10" s="408"/>
    </row>
    <row r="11" spans="2:13" hidden="1">
      <c r="B11" s="413">
        <v>9</v>
      </c>
      <c r="C11" s="408"/>
      <c r="D11" s="408"/>
    </row>
    <row r="12" spans="2:13" hidden="1">
      <c r="B12" s="413">
        <v>10</v>
      </c>
      <c r="C12" s="408"/>
      <c r="D12" s="408"/>
    </row>
    <row r="13" spans="2:13" hidden="1">
      <c r="B13" s="413">
        <v>11</v>
      </c>
      <c r="C13" s="408"/>
      <c r="D13" s="408"/>
    </row>
    <row r="14" spans="2:13" hidden="1">
      <c r="B14" s="413">
        <v>12</v>
      </c>
      <c r="C14" s="408"/>
      <c r="D14" s="408"/>
    </row>
    <row r="15" spans="2:13" hidden="1">
      <c r="B15" s="413">
        <v>13</v>
      </c>
      <c r="C15" s="408"/>
      <c r="D15" s="408"/>
    </row>
    <row r="16" spans="2:13" hidden="1">
      <c r="B16" s="413">
        <v>14</v>
      </c>
      <c r="C16" s="408"/>
      <c r="D16" s="408"/>
    </row>
    <row r="17" spans="2:4">
      <c r="B17" s="217"/>
      <c r="D17" s="410"/>
    </row>
    <row r="18" spans="2:4">
      <c r="B18" s="516" t="s">
        <v>1120</v>
      </c>
      <c r="C18" s="517"/>
      <c r="D18" s="517"/>
    </row>
    <row r="19" spans="2:4" ht="31">
      <c r="B19" s="413">
        <v>1</v>
      </c>
      <c r="C19" s="408" t="s">
        <v>1228</v>
      </c>
      <c r="D19" s="408" t="s">
        <v>1229</v>
      </c>
    </row>
    <row r="20" spans="2:4" ht="46.5">
      <c r="B20" s="413">
        <v>2</v>
      </c>
      <c r="C20" s="408" t="s">
        <v>1230</v>
      </c>
      <c r="D20" s="408" t="s">
        <v>1231</v>
      </c>
    </row>
    <row r="21" spans="2:4" ht="46.5">
      <c r="B21" s="413">
        <v>3</v>
      </c>
      <c r="C21" s="408" t="s">
        <v>1232</v>
      </c>
      <c r="D21" s="408" t="s">
        <v>1233</v>
      </c>
    </row>
    <row r="22" spans="2:4" ht="46.5">
      <c r="B22" s="413">
        <v>4</v>
      </c>
      <c r="C22" s="408" t="s">
        <v>1234</v>
      </c>
      <c r="D22" s="408" t="s">
        <v>1235</v>
      </c>
    </row>
    <row r="23" spans="2:4" ht="46.5">
      <c r="B23" s="413">
        <v>5</v>
      </c>
      <c r="C23" s="408" t="s">
        <v>1236</v>
      </c>
      <c r="D23" s="408" t="s">
        <v>1237</v>
      </c>
    </row>
    <row r="24" spans="2:4" hidden="1">
      <c r="B24" s="413">
        <v>6</v>
      </c>
      <c r="C24" s="408"/>
      <c r="D24" s="408"/>
    </row>
    <row r="25" spans="2:4" hidden="1">
      <c r="B25" s="413">
        <v>7</v>
      </c>
      <c r="C25" s="408"/>
      <c r="D25" s="408"/>
    </row>
    <row r="26" spans="2:4" hidden="1">
      <c r="B26" s="413">
        <v>8</v>
      </c>
      <c r="C26" s="408"/>
      <c r="D26" s="408"/>
    </row>
    <row r="27" spans="2:4" hidden="1">
      <c r="B27" s="413">
        <v>9</v>
      </c>
      <c r="C27" s="408"/>
      <c r="D27" s="408"/>
    </row>
    <row r="28" spans="2:4" hidden="1">
      <c r="B28" s="413">
        <v>10</v>
      </c>
      <c r="C28" s="408"/>
      <c r="D28" s="408"/>
    </row>
    <row r="29" spans="2:4" hidden="1">
      <c r="B29" s="413">
        <v>11</v>
      </c>
      <c r="C29" s="408"/>
      <c r="D29" s="408"/>
    </row>
    <row r="30" spans="2:4" hidden="1">
      <c r="B30" s="413">
        <v>12</v>
      </c>
      <c r="C30" s="408"/>
      <c r="D30" s="408"/>
    </row>
    <row r="31" spans="2:4" hidden="1">
      <c r="B31" s="413">
        <v>13</v>
      </c>
      <c r="C31" s="408"/>
      <c r="D31" s="408"/>
    </row>
    <row r="32" spans="2:4" hidden="1">
      <c r="B32" s="413">
        <v>14</v>
      </c>
      <c r="C32" s="408"/>
      <c r="D32" s="408"/>
    </row>
    <row r="33" spans="2:4">
      <c r="B33" s="216"/>
      <c r="C33" s="414"/>
      <c r="D33" s="411"/>
    </row>
    <row r="95" spans="2:4" s="412" customFormat="1">
      <c r="B95" s="387"/>
      <c r="C95" s="218"/>
      <c r="D95" s="218"/>
    </row>
    <row r="96" spans="2:4" s="412" customFormat="1">
      <c r="B96" s="387"/>
      <c r="C96" s="218"/>
      <c r="D96" s="218"/>
    </row>
    <row r="107" spans="2:4">
      <c r="B107" s="412"/>
      <c r="C107" s="410"/>
      <c r="D107" s="410"/>
    </row>
    <row r="108" spans="2:4">
      <c r="B108" s="412"/>
      <c r="C108" s="410"/>
      <c r="D108" s="41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2021-03-18T14:59:07Z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