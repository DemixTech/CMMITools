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8394D3B6-A06B-4669-A8AF-B8DDBBF2FADA}" xr6:coauthVersionLast="47" xr6:coauthVersionMax="47" xr10:uidLastSave="{00000000-0000-0000-0000-000000000000}"/>
  <bookViews>
    <workbookView xWindow="-120" yWindow="-16320" windowWidth="29040" windowHeight="15720" tabRatio="859" activeTab="10"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12" r:id="rId55"/>
    <pivotCache cacheId="13" r:id="rId56"/>
    <pivotCache cacheId="14" r:id="rId57"/>
    <pivotCache cacheId="15" r:id="rId58"/>
    <pivotCache cacheId="16" r:id="rId59"/>
    <pivotCache cacheId="17"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<sst xmlns="http://schemas.openxmlformats.org/spreadsheetml/2006/main" count="4364" uniqueCount="1754">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</sst>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0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1453</v>
      </c>
      <c r="D45" s="345" t="s">
        <v>1452</v>
      </c>
      <c r="H45" s="344" t="s">
        <v>1075</v>
      </c>
      <c r="I45" s="344"/>
      <c r="J45" s="344"/>
      <c r="K45" s="344"/>
      <c r="L45" s="344"/>
    </row>
    <row r="64" spans="2:19">
      <c r="B64" s="347" t="s">
        <v>1077</v>
      </c>
      <c r="C64" s="347"/>
      <c r="D64" s="348" t="s">
        <v>1078</v>
      </c>
      <c r="F64" s="349" t="s">
        <v>1080</v>
      </c>
      <c r="G64" s="349"/>
      <c r="H64" s="349"/>
      <c r="I64" s="349"/>
      <c r="K64" s="350" t="s">
        <v>1454</v>
      </c>
      <c r="L64" s="350"/>
      <c r="M64" s="350"/>
      <c r="N64" s="350"/>
      <c r="P64" s="352" t="s">
        <v>1076</v>
      </c>
      <c r="Q64" s="351"/>
      <c r="R64" s="351"/>
      <c r="S64" s="351"/>
    </row>
    <row r="84" spans="6:8">
      <c r="F84" s="357" t="s">
        <v>1467</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1717</v>
      </c>
      <c r="B1" s="450"/>
    </row>
    <row r="2" spans="1:3" s="50" customFormat="1" ht="15.6">
      <c r="A2" s="51" t="s">
        <v>1707</v>
      </c>
      <c r="B2" s="51" t="s">
        <v>1718</v>
      </c>
      <c r="C2" s="49"/>
    </row>
    <row r="3" spans="1:3" s="50" customFormat="1" ht="15.6">
      <c r="A3" s="49" t="s">
        <v>1719</v>
      </c>
      <c r="B3" s="451" t="str">
        <f>'Agreement 3'!B42</f>
        <v>barbara.land@email.com</v>
      </c>
      <c r="C3" s="49"/>
    </row>
    <row r="4" spans="1:3" s="50" customFormat="1" ht="15.6">
      <c r="A4" s="49" t="s">
        <v>1720</v>
      </c>
      <c r="B4" s="451"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2">
        <f ca="1">Planning!B27-TODAY()</f>
        <v>-413</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1728</v>
      </c>
      <c r="B59" s="51" t="s">
        <v>1751</v>
      </c>
      <c r="C59" s="49"/>
    </row>
    <row r="60" spans="1:3" s="124" customFormat="1">
      <c r="A60" s="124" t="s">
        <v>1730</v>
      </c>
      <c r="B60" s="124" t="str">
        <f>_xlfn.CONCAT('P1PA-SS'!V92,"; ",'P1PA-SS'!V93)</f>
        <v>atm1.email@gmail.com; atm2.email@gmail.com</v>
      </c>
    </row>
    <row r="61" spans="1:3" s="124" customFormat="1">
      <c r="A61" s="124" t="s">
        <v>1708</v>
      </c>
      <c r="B61" s="124" t="str">
        <f>_xlfn.CONCAT('Agreement 3'!B16, " (CASID",'Agreement 3'!B5,") | CAS review before submission")</f>
        <v>Software for Mars (Pty) Ltd (CASID53517) | CAS review before submission</v>
      </c>
    </row>
    <row r="62" spans="1:3" s="124" customFormat="1">
      <c r="A62" s="124" t="s">
        <v>1731</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1732</v>
      </c>
      <c r="B63" s="124" t="str">
        <f>Planning!B7</f>
        <v>2021-04-12to04-16 (A5) C53517 SoftMARS</v>
      </c>
    </row>
    <row r="64" spans="1:3" s="124" customFormat="1">
      <c r="A64" s="124" t="s">
        <v>1753</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0"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7"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D15" sqref="D15"/>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6" t="s">
        <v>1573</v>
      </c>
      <c r="C21" s="302"/>
    </row>
    <row r="22" spans="1:3" ht="31.2">
      <c r="A22" s="50" t="s">
        <v>853</v>
      </c>
      <c r="B22" s="54" t="s">
        <v>347</v>
      </c>
      <c r="C22" s="49" t="s">
        <v>384</v>
      </c>
    </row>
    <row r="23" spans="1:3">
      <c r="A23" s="50" t="s">
        <v>854</v>
      </c>
      <c r="B23" s="50">
        <v>2481632</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53" t="s">
        <v>1162</v>
      </c>
      <c r="AD1" s="453"/>
      <c r="AE1" s="453"/>
      <c r="AF1" s="453"/>
      <c r="AG1" s="453"/>
      <c r="AH1" s="453"/>
      <c r="AI1" s="453"/>
      <c r="AJ1" s="453"/>
    </row>
    <row r="2" spans="1:36" s="395" customFormat="1" ht="69.599999999999994">
      <c r="A2" s="393" t="s">
        <v>871</v>
      </c>
      <c r="B2" s="393" t="s">
        <v>13</v>
      </c>
      <c r="C2" s="393" t="s">
        <v>382</v>
      </c>
      <c r="D2" s="393" t="s">
        <v>872</v>
      </c>
      <c r="E2" s="393" t="s">
        <v>1132</v>
      </c>
      <c r="F2" s="394" t="s">
        <v>1133</v>
      </c>
      <c r="G2" s="394" t="s">
        <v>1134</v>
      </c>
      <c r="H2" s="393"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602" t="s">
        <v>888</v>
      </c>
      <c r="B3" s="603" t="str">
        <f t="shared" ref="B3:B27" si="1">VLOOKUP(A3,tbl_projectNames,2,FALSE)</f>
        <v>p1Falcon9</v>
      </c>
      <c r="C3" s="602" t="s">
        <v>1518</v>
      </c>
      <c r="D3" s="602" t="s">
        <v>902</v>
      </c>
      <c r="E3" s="603"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602" t="s">
        <v>888</v>
      </c>
      <c r="B4" s="603" t="str">
        <f t="shared" si="1"/>
        <v>p1Falcon9</v>
      </c>
      <c r="C4" s="602" t="s">
        <v>1519</v>
      </c>
      <c r="D4" s="602" t="s">
        <v>903</v>
      </c>
      <c r="E4" s="603"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602" t="s">
        <v>888</v>
      </c>
      <c r="B5" s="603" t="str">
        <f t="shared" si="1"/>
        <v>p1Falcon9</v>
      </c>
      <c r="C5" s="602" t="s">
        <v>1520</v>
      </c>
      <c r="D5" s="602" t="s">
        <v>1140</v>
      </c>
      <c r="E5" s="603"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602" t="s">
        <v>888</v>
      </c>
      <c r="B6" s="603" t="str">
        <f t="shared" si="1"/>
        <v>p1Falcon9</v>
      </c>
      <c r="C6" s="602" t="s">
        <v>1521</v>
      </c>
      <c r="D6" s="602" t="s">
        <v>1275</v>
      </c>
      <c r="E6" s="603"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602" t="s">
        <v>888</v>
      </c>
      <c r="B7" s="603" t="str">
        <f t="shared" si="1"/>
        <v>p1Falcon9</v>
      </c>
      <c r="C7" s="602" t="s">
        <v>1522</v>
      </c>
      <c r="D7" s="602" t="s">
        <v>1343</v>
      </c>
      <c r="E7" s="603"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602" t="s">
        <v>889</v>
      </c>
      <c r="B8" s="603" t="str">
        <f t="shared" si="1"/>
        <v>p2Raptor</v>
      </c>
      <c r="C8" s="602" t="s">
        <v>1523</v>
      </c>
      <c r="D8" s="602" t="s">
        <v>902</v>
      </c>
      <c r="E8" s="603"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602" t="s">
        <v>889</v>
      </c>
      <c r="B9" s="603" t="str">
        <f t="shared" si="1"/>
        <v>p2Raptor</v>
      </c>
      <c r="C9" s="602" t="s">
        <v>1524</v>
      </c>
      <c r="D9" s="602" t="s">
        <v>903</v>
      </c>
      <c r="E9" s="603"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602" t="s">
        <v>889</v>
      </c>
      <c r="B10" s="603" t="str">
        <f t="shared" si="1"/>
        <v>p2Raptor</v>
      </c>
      <c r="C10" s="602" t="s">
        <v>1525</v>
      </c>
      <c r="D10" s="602" t="s">
        <v>1140</v>
      </c>
      <c r="E10" s="603"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602" t="s">
        <v>889</v>
      </c>
      <c r="B11" s="603" t="str">
        <f t="shared" si="1"/>
        <v>p2Raptor</v>
      </c>
      <c r="C11" s="602" t="s">
        <v>1526</v>
      </c>
      <c r="D11" s="602" t="s">
        <v>1275</v>
      </c>
      <c r="E11" s="603"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602" t="s">
        <v>889</v>
      </c>
      <c r="B12" s="603" t="str">
        <f t="shared" si="1"/>
        <v>p2Raptor</v>
      </c>
      <c r="C12" s="602" t="s">
        <v>1527</v>
      </c>
      <c r="D12" s="602" t="s">
        <v>1343</v>
      </c>
      <c r="E12" s="603"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602" t="s">
        <v>890</v>
      </c>
      <c r="B13" s="603" t="str">
        <f t="shared" si="1"/>
        <v>p3Starship</v>
      </c>
      <c r="C13" s="602" t="s">
        <v>1528</v>
      </c>
      <c r="D13" s="602" t="s">
        <v>902</v>
      </c>
      <c r="E13" s="603"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602" t="s">
        <v>890</v>
      </c>
      <c r="B14" s="603" t="str">
        <f t="shared" si="1"/>
        <v>p3Starship</v>
      </c>
      <c r="C14" s="602" t="s">
        <v>1529</v>
      </c>
      <c r="D14" s="602" t="s">
        <v>903</v>
      </c>
      <c r="E14" s="603"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602" t="s">
        <v>890</v>
      </c>
      <c r="B15" s="603" t="str">
        <f t="shared" si="1"/>
        <v>p3Starship</v>
      </c>
      <c r="C15" s="602" t="s">
        <v>1530</v>
      </c>
      <c r="D15" s="602" t="s">
        <v>1140</v>
      </c>
      <c r="E15" s="603"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602" t="s">
        <v>890</v>
      </c>
      <c r="B16" s="603" t="str">
        <f t="shared" si="1"/>
        <v>p3Starship</v>
      </c>
      <c r="C16" s="602" t="s">
        <v>1531</v>
      </c>
      <c r="D16" s="602" t="s">
        <v>1275</v>
      </c>
      <c r="E16" s="603"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602" t="s">
        <v>890</v>
      </c>
      <c r="B17" s="603" t="str">
        <f t="shared" si="1"/>
        <v>p3Starship</v>
      </c>
      <c r="C17" s="602" t="s">
        <v>1532</v>
      </c>
      <c r="D17" s="602" t="s">
        <v>1343</v>
      </c>
      <c r="E17" s="603"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602" t="s">
        <v>1333</v>
      </c>
      <c r="B18" s="603" t="str">
        <f t="shared" si="1"/>
        <v>p4SupperHeavy</v>
      </c>
      <c r="C18" s="602" t="s">
        <v>1533</v>
      </c>
      <c r="D18" s="602" t="s">
        <v>902</v>
      </c>
      <c r="E18" s="603"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602" t="s">
        <v>1333</v>
      </c>
      <c r="B19" s="603" t="str">
        <f t="shared" si="1"/>
        <v>p4SupperHeavy</v>
      </c>
      <c r="C19" s="602" t="s">
        <v>1534</v>
      </c>
      <c r="D19" s="602" t="s">
        <v>903</v>
      </c>
      <c r="E19" s="603"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602" t="s">
        <v>1333</v>
      </c>
      <c r="B20" s="603" t="str">
        <f t="shared" si="1"/>
        <v>p4SupperHeavy</v>
      </c>
      <c r="C20" s="602" t="s">
        <v>1535</v>
      </c>
      <c r="D20" s="602" t="s">
        <v>1140</v>
      </c>
      <c r="E20" s="603"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602" t="s">
        <v>1333</v>
      </c>
      <c r="B21" s="603" t="str">
        <f t="shared" si="1"/>
        <v>p4SupperHeavy</v>
      </c>
      <c r="C21" s="602" t="s">
        <v>1536</v>
      </c>
      <c r="D21" s="602" t="s">
        <v>1275</v>
      </c>
      <c r="E21" s="603"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602" t="s">
        <v>1333</v>
      </c>
      <c r="B22" s="603" t="str">
        <f t="shared" si="1"/>
        <v>p4SupperHeavy</v>
      </c>
      <c r="C22" s="602" t="s">
        <v>1537</v>
      </c>
      <c r="D22" s="602" t="s">
        <v>1343</v>
      </c>
      <c r="E22" s="603"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602" t="s">
        <v>893</v>
      </c>
      <c r="B23" s="603" t="str">
        <f t="shared" si="1"/>
        <v>s1CM</v>
      </c>
      <c r="C23" s="602" t="s">
        <v>1538</v>
      </c>
      <c r="D23" s="602" t="s">
        <v>1342</v>
      </c>
      <c r="E23" s="603"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602" t="s">
        <v>894</v>
      </c>
      <c r="B24" s="603" t="str">
        <f t="shared" si="1"/>
        <v>s2EPG-MA</v>
      </c>
      <c r="C24" s="602" t="s">
        <v>1539</v>
      </c>
      <c r="D24" s="602" t="s">
        <v>1344</v>
      </c>
      <c r="E24" s="603"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602" t="s">
        <v>894</v>
      </c>
      <c r="B25" s="603" t="str">
        <f t="shared" ref="B25" si="3">VLOOKUP(A25,tbl_projectNames,2,FALSE)</f>
        <v>s2EPG-MA</v>
      </c>
      <c r="C25" s="602" t="s">
        <v>1627</v>
      </c>
      <c r="D25" s="602" t="s">
        <v>1626</v>
      </c>
      <c r="E25" s="603"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602" t="s">
        <v>895</v>
      </c>
      <c r="B26" s="603" t="str">
        <f t="shared" si="1"/>
        <v>s3HR</v>
      </c>
      <c r="C26" s="602" t="s">
        <v>1540</v>
      </c>
      <c r="D26" s="602" t="s">
        <v>1341</v>
      </c>
      <c r="E26" s="603"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604" t="s">
        <v>896</v>
      </c>
      <c r="B27" s="605" t="str">
        <f t="shared" si="1"/>
        <v>s4PPQA</v>
      </c>
      <c r="C27" s="604" t="s">
        <v>1541</v>
      </c>
      <c r="D27" s="604" t="s">
        <v>1225</v>
      </c>
      <c r="E27" s="605" t="str">
        <f t="shared" si="2"/>
        <v>Process Assurance Manager function in OU</v>
      </c>
      <c r="F27" s="606"/>
      <c r="G27" s="606"/>
      <c r="H27" s="606"/>
      <c r="I27" s="606"/>
      <c r="J27" s="606"/>
      <c r="K27" s="606"/>
      <c r="L27" s="606"/>
      <c r="M27" s="606"/>
      <c r="N27" s="606"/>
      <c r="O27" s="606"/>
      <c r="P27" s="606"/>
      <c r="Q27" s="606"/>
      <c r="R27" s="606"/>
      <c r="S27" s="606" t="s">
        <v>410</v>
      </c>
      <c r="T27" s="606"/>
      <c r="U27" s="606"/>
      <c r="V27" s="606"/>
      <c r="W27" s="606"/>
      <c r="X27" s="606"/>
      <c r="Y27" s="606"/>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tabSelected="1"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607"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4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4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49"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49"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4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4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f>StartupInfo!B23</f>
        <v>2481632</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54"/>
      <c r="Y87" s="454"/>
      <c r="Z87" s="454"/>
      <c r="AA87" s="454"/>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55" t="s">
        <v>1348</v>
      </c>
      <c r="B126" s="455"/>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56" t="s">
        <v>823</v>
      </c>
      <c r="B144" s="456"/>
    </row>
    <row r="146" spans="1:3">
      <c r="A146" s="248" t="s">
        <v>779</v>
      </c>
      <c r="B146" s="249"/>
      <c r="C146" s="250"/>
    </row>
    <row r="147" spans="1:3">
      <c r="A147" s="457" t="s">
        <v>780</v>
      </c>
      <c r="B147" s="459"/>
      <c r="C147" s="251" t="s">
        <v>1146</v>
      </c>
    </row>
    <row r="148" spans="1:3" ht="15" thickBot="1">
      <c r="A148" s="458"/>
      <c r="B148" s="460"/>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55" t="s">
        <v>1405</v>
      </c>
      <c r="B114" s="455"/>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1">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1">
        <f t="shared" si="3"/>
        <v>6</v>
      </c>
    </row>
    <row r="5" spans="1:13">
      <c r="A5" s="315" t="s">
        <v>889</v>
      </c>
      <c r="B5" s="315" t="s">
        <v>1508</v>
      </c>
      <c r="C5" s="315" t="s">
        <v>876</v>
      </c>
      <c r="D5" s="315" t="s">
        <v>1523</v>
      </c>
      <c r="E5" s="315" t="s">
        <v>902</v>
      </c>
      <c r="F5" s="315" t="s">
        <v>889</v>
      </c>
      <c r="G5" s="315" t="s">
        <v>410</v>
      </c>
      <c r="H5" s="313" t="str">
        <f t="shared" si="2"/>
        <v>[4] Engineering</v>
      </c>
      <c r="I5" s="421">
        <f t="shared" si="3"/>
        <v>14</v>
      </c>
    </row>
    <row r="6" spans="1:13">
      <c r="A6" s="315" t="s">
        <v>889</v>
      </c>
      <c r="B6" s="315" t="s">
        <v>1508</v>
      </c>
      <c r="C6" s="315" t="s">
        <v>877</v>
      </c>
      <c r="D6" s="315" t="s">
        <v>1525</v>
      </c>
      <c r="E6" s="315" t="s">
        <v>1140</v>
      </c>
      <c r="F6" s="315" t="s">
        <v>889</v>
      </c>
      <c r="G6" s="315" t="s">
        <v>410</v>
      </c>
      <c r="H6" s="313" t="str">
        <f t="shared" si="2"/>
        <v>[4] Engineering</v>
      </c>
      <c r="I6" s="421">
        <f t="shared" si="3"/>
        <v>7</v>
      </c>
    </row>
    <row r="7" spans="1:13">
      <c r="A7" s="315" t="s">
        <v>890</v>
      </c>
      <c r="B7" s="315" t="s">
        <v>1510</v>
      </c>
      <c r="C7" s="315" t="s">
        <v>882</v>
      </c>
      <c r="D7" s="315" t="s">
        <v>1532</v>
      </c>
      <c r="E7" s="315" t="s">
        <v>1343</v>
      </c>
      <c r="F7" s="315" t="s">
        <v>890</v>
      </c>
      <c r="G7" s="315" t="s">
        <v>410</v>
      </c>
      <c r="H7" s="313" t="str">
        <f t="shared" si="2"/>
        <v>[3] Project Management</v>
      </c>
      <c r="I7" s="421">
        <f t="shared" si="3"/>
        <v>6</v>
      </c>
    </row>
    <row r="8" spans="1:13">
      <c r="A8" s="315" t="s">
        <v>890</v>
      </c>
      <c r="B8" s="315" t="s">
        <v>1510</v>
      </c>
      <c r="C8" s="315" t="s">
        <v>883</v>
      </c>
      <c r="D8" s="315" t="s">
        <v>1532</v>
      </c>
      <c r="E8" s="315" t="s">
        <v>1343</v>
      </c>
      <c r="F8" s="315" t="s">
        <v>890</v>
      </c>
      <c r="G8" s="315" t="s">
        <v>410</v>
      </c>
      <c r="H8" s="313" t="str">
        <f t="shared" si="2"/>
        <v>[3] Project Management</v>
      </c>
      <c r="I8" s="421">
        <f t="shared" si="3"/>
        <v>10</v>
      </c>
    </row>
    <row r="9" spans="1:13">
      <c r="A9" s="315" t="s">
        <v>890</v>
      </c>
      <c r="B9" s="315" t="s">
        <v>1510</v>
      </c>
      <c r="C9" s="315" t="s">
        <v>884</v>
      </c>
      <c r="D9" s="315" t="s">
        <v>1532</v>
      </c>
      <c r="E9" s="315" t="s">
        <v>1343</v>
      </c>
      <c r="F9" s="315" t="s">
        <v>890</v>
      </c>
      <c r="G9" s="315" t="s">
        <v>410</v>
      </c>
      <c r="H9" s="313" t="str">
        <f t="shared" si="2"/>
        <v>[3] Project Management</v>
      </c>
      <c r="I9" s="421">
        <f t="shared" si="3"/>
        <v>15</v>
      </c>
    </row>
    <row r="10" spans="1:13">
      <c r="A10" s="315" t="s">
        <v>891</v>
      </c>
      <c r="B10" s="315" t="s">
        <v>1512</v>
      </c>
      <c r="C10" s="315" t="s">
        <v>881</v>
      </c>
      <c r="D10" s="315" t="s">
        <v>1537</v>
      </c>
      <c r="E10" s="315" t="s">
        <v>1343</v>
      </c>
      <c r="F10" s="315" t="s">
        <v>891</v>
      </c>
      <c r="G10" s="315" t="s">
        <v>410</v>
      </c>
      <c r="H10" s="313" t="str">
        <f t="shared" si="2"/>
        <v>[3] Project Management</v>
      </c>
      <c r="I10" s="421">
        <f t="shared" si="3"/>
        <v>8</v>
      </c>
    </row>
    <row r="11" spans="1:13">
      <c r="A11" s="315" t="s">
        <v>893</v>
      </c>
      <c r="B11" s="315" t="s">
        <v>1334</v>
      </c>
      <c r="C11" s="315" t="s">
        <v>743</v>
      </c>
      <c r="D11" s="315" t="s">
        <v>1538</v>
      </c>
      <c r="E11" s="315" t="s">
        <v>1342</v>
      </c>
      <c r="F11" s="315" t="s">
        <v>893</v>
      </c>
      <c r="G11" s="315" t="s">
        <v>410</v>
      </c>
      <c r="H11" s="313" t="str">
        <f t="shared" si="2"/>
        <v>[5] Configuration Management</v>
      </c>
      <c r="I11" s="421">
        <f t="shared" si="3"/>
        <v>7</v>
      </c>
    </row>
    <row r="12" spans="1:13">
      <c r="A12" s="315" t="s">
        <v>894</v>
      </c>
      <c r="B12" s="315" t="s">
        <v>1335</v>
      </c>
      <c r="C12" s="315" t="s">
        <v>885</v>
      </c>
      <c r="D12" s="315" t="s">
        <v>1627</v>
      </c>
      <c r="E12" s="315" t="s">
        <v>1626</v>
      </c>
      <c r="F12" s="315" t="s">
        <v>894</v>
      </c>
      <c r="G12" s="315" t="s">
        <v>410</v>
      </c>
      <c r="H12" s="313" t="str">
        <f t="shared" si="2"/>
        <v>[6] Process Management</v>
      </c>
      <c r="I12" s="421">
        <f t="shared" si="3"/>
        <v>11</v>
      </c>
    </row>
    <row r="13" spans="1:13">
      <c r="A13" s="315" t="s">
        <v>894</v>
      </c>
      <c r="B13" s="315" t="s">
        <v>1335</v>
      </c>
      <c r="C13" s="315" t="s">
        <v>886</v>
      </c>
      <c r="D13" s="315" t="s">
        <v>1539</v>
      </c>
      <c r="E13" s="315" t="s">
        <v>1344</v>
      </c>
      <c r="F13" s="315" t="s">
        <v>894</v>
      </c>
      <c r="G13" s="315" t="s">
        <v>410</v>
      </c>
      <c r="H13" s="313" t="str">
        <f t="shared" si="2"/>
        <v>[6] Process Management</v>
      </c>
      <c r="I13" s="421">
        <f t="shared" si="3"/>
        <v>8</v>
      </c>
    </row>
    <row r="14" spans="1:13">
      <c r="A14" s="315" t="s">
        <v>894</v>
      </c>
      <c r="B14" s="315" t="s">
        <v>1335</v>
      </c>
      <c r="C14" s="315" t="s">
        <v>878</v>
      </c>
      <c r="D14" s="315" t="s">
        <v>1627</v>
      </c>
      <c r="E14" s="315" t="s">
        <v>1626</v>
      </c>
      <c r="F14" s="315" t="s">
        <v>894</v>
      </c>
      <c r="G14" s="315" t="s">
        <v>410</v>
      </c>
      <c r="H14" s="313" t="str">
        <f t="shared" si="2"/>
        <v>[6] Process Management</v>
      </c>
      <c r="I14" s="421">
        <f t="shared" si="3"/>
        <v>22</v>
      </c>
    </row>
    <row r="15" spans="1:13">
      <c r="A15" s="315" t="s">
        <v>894</v>
      </c>
      <c r="B15" s="315" t="s">
        <v>1335</v>
      </c>
      <c r="C15" s="315" t="s">
        <v>879</v>
      </c>
      <c r="D15" s="315" t="s">
        <v>1539</v>
      </c>
      <c r="E15" s="315" t="s">
        <v>1344</v>
      </c>
      <c r="F15" s="315" t="s">
        <v>894</v>
      </c>
      <c r="G15" s="315" t="s">
        <v>410</v>
      </c>
      <c r="H15" s="313" t="str">
        <f t="shared" si="2"/>
        <v>[6] Process Management</v>
      </c>
      <c r="I15" s="421">
        <f t="shared" si="3"/>
        <v>11</v>
      </c>
    </row>
    <row r="16" spans="1:13">
      <c r="A16" s="315" t="s">
        <v>894</v>
      </c>
      <c r="B16" s="315" t="s">
        <v>1335</v>
      </c>
      <c r="C16" s="315" t="s">
        <v>880</v>
      </c>
      <c r="D16" s="315" t="s">
        <v>1539</v>
      </c>
      <c r="E16" s="315" t="s">
        <v>1344</v>
      </c>
      <c r="F16" s="315" t="s">
        <v>894</v>
      </c>
      <c r="G16" s="315" t="s">
        <v>410</v>
      </c>
      <c r="H16" s="313" t="str">
        <f t="shared" si="2"/>
        <v>[6] Process Management</v>
      </c>
      <c r="I16" s="421">
        <f t="shared" si="3"/>
        <v>11</v>
      </c>
    </row>
    <row r="17" spans="1:9">
      <c r="A17" s="315" t="s">
        <v>895</v>
      </c>
      <c r="B17" s="315" t="s">
        <v>1336</v>
      </c>
      <c r="C17" s="315" t="s">
        <v>745</v>
      </c>
      <c r="D17" s="315" t="s">
        <v>1540</v>
      </c>
      <c r="E17" s="315" t="s">
        <v>1341</v>
      </c>
      <c r="F17" s="315" t="s">
        <v>895</v>
      </c>
      <c r="G17" s="315" t="s">
        <v>410</v>
      </c>
      <c r="H17" s="313" t="str">
        <f t="shared" si="2"/>
        <v>[7] Organisational Training</v>
      </c>
      <c r="I17" s="421">
        <f t="shared" si="3"/>
        <v>9</v>
      </c>
    </row>
    <row r="18" spans="1:9">
      <c r="A18" s="315" t="s">
        <v>896</v>
      </c>
      <c r="B18" s="315" t="s">
        <v>1337</v>
      </c>
      <c r="C18" s="315" t="s">
        <v>827</v>
      </c>
      <c r="D18" s="315" t="s">
        <v>1541</v>
      </c>
      <c r="E18" s="315" t="s">
        <v>1225</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09" t="s">
        <v>1289</v>
      </c>
      <c r="E3" s="409" t="s">
        <v>916</v>
      </c>
      <c r="F3" s="410" t="s">
        <v>901</v>
      </c>
      <c r="G3" s="409" t="s">
        <v>1282</v>
      </c>
      <c r="H3" s="409" t="s">
        <v>1283</v>
      </c>
      <c r="I3" s="409" t="s">
        <v>1284</v>
      </c>
      <c r="J3" s="409"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1" t="str">
        <f>_xlfn.CONCAT("Week ",T8)</f>
        <v>Week 15</v>
      </c>
      <c r="B3" s="462"/>
      <c r="C3" s="428" t="s">
        <v>1651</v>
      </c>
      <c r="D3" s="429" t="s">
        <v>1652</v>
      </c>
      <c r="E3" s="428" t="s">
        <v>1651</v>
      </c>
      <c r="F3" s="429" t="s">
        <v>1652</v>
      </c>
      <c r="G3" s="428" t="s">
        <v>1651</v>
      </c>
      <c r="H3" s="429" t="s">
        <v>1652</v>
      </c>
      <c r="I3" s="428" t="s">
        <v>1651</v>
      </c>
      <c r="J3" s="429" t="s">
        <v>1652</v>
      </c>
      <c r="K3" s="428" t="s">
        <v>1651</v>
      </c>
      <c r="L3" s="429" t="s">
        <v>1652</v>
      </c>
      <c r="M3" s="428" t="s">
        <v>1651</v>
      </c>
      <c r="N3" s="429" t="s">
        <v>1652</v>
      </c>
      <c r="O3" s="428" t="s">
        <v>1651</v>
      </c>
      <c r="P3" s="429" t="s">
        <v>1652</v>
      </c>
      <c r="Q3" s="461" t="str">
        <f>_xlfn.CONCAT("Week ",AJ8)</f>
        <v xml:space="preserve">Week </v>
      </c>
      <c r="R3" s="462"/>
    </row>
    <row r="4" spans="1:20" ht="19.95" customHeight="1">
      <c r="A4" s="463"/>
      <c r="B4" s="464"/>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63"/>
      <c r="R4" s="464"/>
      <c r="T4" s="427">
        <f>C5</f>
        <v>44296</v>
      </c>
    </row>
    <row r="5" spans="1:20" ht="19.95" customHeight="1">
      <c r="A5" s="432" t="s">
        <v>1653</v>
      </c>
      <c r="B5" s="432" t="s">
        <v>1654</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1653</v>
      </c>
      <c r="R5" s="432" t="s">
        <v>1654</v>
      </c>
      <c r="T5" s="427">
        <f>YEAR(T4)-1</f>
        <v>2020</v>
      </c>
    </row>
    <row r="6" spans="1:20" ht="19.95" customHeight="1">
      <c r="A6" s="435">
        <v>0.41666666666666669</v>
      </c>
      <c r="B6" s="435">
        <v>0.16666666666666666</v>
      </c>
      <c r="C6" s="465"/>
      <c r="D6" s="446"/>
      <c r="E6" s="465"/>
      <c r="F6" s="446"/>
      <c r="G6" s="436" t="s">
        <v>1655</v>
      </c>
      <c r="H6" s="446"/>
      <c r="I6" s="436" t="s">
        <v>1655</v>
      </c>
      <c r="J6" s="446"/>
      <c r="K6" s="436" t="s">
        <v>1655</v>
      </c>
      <c r="L6" s="446"/>
      <c r="M6" s="436" t="s">
        <v>1655</v>
      </c>
      <c r="N6" s="446"/>
      <c r="O6" s="436" t="s">
        <v>1655</v>
      </c>
      <c r="P6" s="446"/>
      <c r="Q6" s="435">
        <v>0.41666666666666669</v>
      </c>
      <c r="R6" s="435">
        <v>0.16666666666666666</v>
      </c>
      <c r="T6" s="427">
        <f>DATE(T5,12,31)</f>
        <v>44196</v>
      </c>
    </row>
    <row r="7" spans="1:20" ht="19.95" customHeight="1">
      <c r="A7" s="435">
        <v>0.4375</v>
      </c>
      <c r="B7" s="435">
        <v>0.1875</v>
      </c>
      <c r="C7" s="465"/>
      <c r="D7" s="447"/>
      <c r="E7" s="465"/>
      <c r="F7" s="447"/>
      <c r="G7" s="437" t="s">
        <v>1424</v>
      </c>
      <c r="H7" s="447"/>
      <c r="I7" s="466" t="s">
        <v>979</v>
      </c>
      <c r="J7" s="447"/>
      <c r="K7" s="477" t="s">
        <v>1656</v>
      </c>
      <c r="L7" s="447"/>
      <c r="M7" s="477" t="s">
        <v>983</v>
      </c>
      <c r="N7" s="447"/>
      <c r="O7" s="474" t="s">
        <v>1657</v>
      </c>
      <c r="P7" s="447"/>
      <c r="Q7" s="435">
        <v>0.4375</v>
      </c>
      <c r="R7" s="435">
        <v>0.1875</v>
      </c>
      <c r="T7" s="427">
        <f>T4-T6</f>
        <v>100</v>
      </c>
    </row>
    <row r="8" spans="1:20" ht="19.95" customHeight="1">
      <c r="A8" s="435">
        <v>0.45833333333333331</v>
      </c>
      <c r="B8" s="435">
        <v>0.20833333333333334</v>
      </c>
      <c r="C8" s="469" t="s">
        <v>1673</v>
      </c>
      <c r="D8" s="447"/>
      <c r="E8" s="469" t="s">
        <v>1673</v>
      </c>
      <c r="F8" s="447"/>
      <c r="G8" s="474" t="s">
        <v>1658</v>
      </c>
      <c r="H8" s="447"/>
      <c r="I8" s="466"/>
      <c r="J8" s="447"/>
      <c r="K8" s="477"/>
      <c r="L8" s="447"/>
      <c r="M8" s="477"/>
      <c r="N8" s="447"/>
      <c r="O8" s="474"/>
      <c r="P8" s="447"/>
      <c r="Q8" s="435">
        <v>0.45833333333333331</v>
      </c>
      <c r="R8" s="435">
        <v>0.20833333333333334</v>
      </c>
      <c r="T8" s="427">
        <f>ROUNDUP(T7/7,0)</f>
        <v>15</v>
      </c>
    </row>
    <row r="9" spans="1:20" ht="19.95" customHeight="1">
      <c r="A9" s="435">
        <v>0.47916666666666663</v>
      </c>
      <c r="B9" s="435">
        <v>0.22916666666666669</v>
      </c>
      <c r="C9" s="470"/>
      <c r="D9" s="447"/>
      <c r="E9" s="470"/>
      <c r="F9" s="447"/>
      <c r="G9" s="474"/>
      <c r="H9" s="447"/>
      <c r="I9" s="466"/>
      <c r="J9" s="447"/>
      <c r="K9" s="477"/>
      <c r="L9" s="447"/>
      <c r="M9" s="436" t="s">
        <v>601</v>
      </c>
      <c r="N9" s="447"/>
      <c r="O9" s="476" t="s">
        <v>1659</v>
      </c>
      <c r="P9" s="447"/>
      <c r="Q9" s="435">
        <v>0.47916666666666663</v>
      </c>
      <c r="R9" s="435">
        <v>0.22916666666666669</v>
      </c>
    </row>
    <row r="10" spans="1:20" ht="19.95" customHeight="1">
      <c r="A10" s="435">
        <v>0.49999999999999994</v>
      </c>
      <c r="B10" s="435">
        <v>0.25</v>
      </c>
      <c r="C10" s="470"/>
      <c r="D10" s="447"/>
      <c r="E10" s="470"/>
      <c r="F10" s="447"/>
      <c r="G10" s="472" t="s">
        <v>928</v>
      </c>
      <c r="H10" s="447"/>
      <c r="I10" s="475" t="s">
        <v>928</v>
      </c>
      <c r="J10" s="447"/>
      <c r="K10" s="475" t="s">
        <v>928</v>
      </c>
      <c r="L10" s="447"/>
      <c r="M10" s="475" t="s">
        <v>928</v>
      </c>
      <c r="N10" s="447"/>
      <c r="O10" s="476"/>
      <c r="P10" s="447"/>
      <c r="Q10" s="435">
        <v>0.49999999999999994</v>
      </c>
      <c r="R10" s="435">
        <v>0.25</v>
      </c>
    </row>
    <row r="11" spans="1:20" ht="19.95" customHeight="1">
      <c r="A11" s="435">
        <v>0.52083333333333326</v>
      </c>
      <c r="B11" s="435">
        <v>0.27083333333333331</v>
      </c>
      <c r="C11" s="470"/>
      <c r="D11" s="447"/>
      <c r="E11" s="470"/>
      <c r="F11" s="447"/>
      <c r="G11" s="473"/>
      <c r="H11" s="447"/>
      <c r="I11" s="475"/>
      <c r="J11" s="447"/>
      <c r="K11" s="475"/>
      <c r="L11" s="447"/>
      <c r="M11" s="475"/>
      <c r="N11" s="447"/>
      <c r="O11" s="475" t="s">
        <v>928</v>
      </c>
      <c r="P11" s="447"/>
      <c r="Q11" s="435">
        <v>0.52083333333333326</v>
      </c>
      <c r="R11" s="435">
        <v>0.27083333333333331</v>
      </c>
    </row>
    <row r="12" spans="1:20" ht="19.95" customHeight="1">
      <c r="A12" s="435">
        <v>0.54166666666666663</v>
      </c>
      <c r="B12" s="435">
        <v>0.29166666666666663</v>
      </c>
      <c r="C12" s="470"/>
      <c r="D12" s="447"/>
      <c r="E12" s="470"/>
      <c r="F12" s="447"/>
      <c r="G12" s="469" t="s">
        <v>1661</v>
      </c>
      <c r="H12" s="447"/>
      <c r="I12" s="477" t="s">
        <v>979</v>
      </c>
      <c r="J12" s="447"/>
      <c r="K12" s="477" t="s">
        <v>1656</v>
      </c>
      <c r="L12" s="447"/>
      <c r="M12" s="478" t="s">
        <v>1678</v>
      </c>
      <c r="N12" s="447"/>
      <c r="O12" s="475"/>
      <c r="P12" s="447"/>
      <c r="Q12" s="435">
        <v>0.54166666666666663</v>
      </c>
      <c r="R12" s="435">
        <v>0.29166666666666663</v>
      </c>
    </row>
    <row r="13" spans="1:20" ht="19.95" customHeight="1">
      <c r="A13" s="435">
        <v>0.5625</v>
      </c>
      <c r="B13" s="435">
        <v>0.31249999999999994</v>
      </c>
      <c r="C13" s="470"/>
      <c r="D13" s="447"/>
      <c r="E13" s="470"/>
      <c r="F13" s="447"/>
      <c r="G13" s="470"/>
      <c r="H13" s="447"/>
      <c r="I13" s="477"/>
      <c r="J13" s="447"/>
      <c r="K13" s="477"/>
      <c r="L13" s="447"/>
      <c r="M13" s="478"/>
      <c r="N13" s="447"/>
      <c r="O13" s="478" t="s">
        <v>1660</v>
      </c>
      <c r="P13" s="447"/>
      <c r="Q13" s="435">
        <v>0.5625</v>
      </c>
      <c r="R13" s="435">
        <v>0.31249999999999994</v>
      </c>
    </row>
    <row r="14" spans="1:20" ht="19.95" customHeight="1">
      <c r="A14" s="435">
        <v>0.58333333333333337</v>
      </c>
      <c r="B14" s="435">
        <v>0.33333333333333326</v>
      </c>
      <c r="C14" s="470"/>
      <c r="D14" s="447"/>
      <c r="E14" s="470"/>
      <c r="F14" s="447"/>
      <c r="G14" s="470"/>
      <c r="H14" s="447"/>
      <c r="I14" s="477"/>
      <c r="J14" s="447"/>
      <c r="K14" s="477"/>
      <c r="L14" s="447"/>
      <c r="M14" s="478"/>
      <c r="N14" s="447"/>
      <c r="O14" s="478"/>
      <c r="P14" s="447"/>
      <c r="Q14" s="435">
        <v>0.58333333333333337</v>
      </c>
      <c r="R14" s="435">
        <v>0.33333333333333326</v>
      </c>
    </row>
    <row r="15" spans="1:20" ht="19.95" customHeight="1">
      <c r="A15" s="435">
        <v>0.60416666666666674</v>
      </c>
      <c r="B15" s="435">
        <v>0.35416666666666657</v>
      </c>
      <c r="C15" s="470"/>
      <c r="D15" s="447"/>
      <c r="E15" s="470"/>
      <c r="F15" s="447"/>
      <c r="G15" s="470"/>
      <c r="H15" s="447"/>
      <c r="I15" s="477"/>
      <c r="J15" s="447"/>
      <c r="K15" s="477"/>
      <c r="L15" s="447"/>
      <c r="M15" s="478"/>
      <c r="N15" s="447"/>
      <c r="O15" s="478"/>
      <c r="P15" s="447"/>
      <c r="Q15" s="435">
        <v>0.60416666666666674</v>
      </c>
      <c r="R15" s="435">
        <v>0.35416666666666657</v>
      </c>
    </row>
    <row r="16" spans="1:20" ht="19.95" customHeight="1">
      <c r="A16" s="435">
        <v>0.62500000000000011</v>
      </c>
      <c r="B16" s="435">
        <v>0.37499999999999989</v>
      </c>
      <c r="C16" s="470"/>
      <c r="D16" s="447"/>
      <c r="E16" s="470"/>
      <c r="F16" s="447"/>
      <c r="G16" s="471"/>
      <c r="H16" s="447"/>
      <c r="I16" s="477"/>
      <c r="J16" s="447"/>
      <c r="K16" s="477"/>
      <c r="L16" s="447"/>
      <c r="M16" s="477" t="s">
        <v>1662</v>
      </c>
      <c r="N16" s="447"/>
      <c r="O16" s="476" t="s">
        <v>1681</v>
      </c>
      <c r="P16" s="447"/>
      <c r="Q16" s="435">
        <v>0.62500000000000011</v>
      </c>
      <c r="R16" s="435">
        <v>0.37499999999999989</v>
      </c>
    </row>
    <row r="17" spans="1:18" ht="19.95" customHeight="1">
      <c r="A17" s="435">
        <v>0.64583333333333348</v>
      </c>
      <c r="B17" s="435">
        <v>0.3958333333333332</v>
      </c>
      <c r="C17" s="470"/>
      <c r="D17" s="447"/>
      <c r="E17" s="470"/>
      <c r="F17" s="447"/>
      <c r="G17" s="436" t="s">
        <v>601</v>
      </c>
      <c r="H17" s="447"/>
      <c r="I17" s="478" t="s">
        <v>601</v>
      </c>
      <c r="J17" s="447"/>
      <c r="K17" s="477"/>
      <c r="L17" s="447"/>
      <c r="M17" s="477"/>
      <c r="N17" s="447"/>
      <c r="O17" s="476"/>
      <c r="P17" s="447"/>
      <c r="Q17" s="435">
        <v>0.64583333333333348</v>
      </c>
      <c r="R17" s="435">
        <v>0.3958333333333332</v>
      </c>
    </row>
    <row r="18" spans="1:18" ht="19.95" customHeight="1">
      <c r="A18" s="435">
        <v>0.66666666666666685</v>
      </c>
      <c r="B18" s="435">
        <v>0.41666666666666652</v>
      </c>
      <c r="C18" s="470"/>
      <c r="D18" s="447"/>
      <c r="E18" s="470"/>
      <c r="F18" s="447"/>
      <c r="G18" s="477" t="s">
        <v>1661</v>
      </c>
      <c r="H18" s="447"/>
      <c r="I18" s="478"/>
      <c r="J18" s="447"/>
      <c r="K18" s="436" t="s">
        <v>601</v>
      </c>
      <c r="L18" s="447"/>
      <c r="M18" s="478" t="s">
        <v>1680</v>
      </c>
      <c r="N18" s="447"/>
      <c r="O18" s="489" t="s">
        <v>1664</v>
      </c>
      <c r="P18" s="447"/>
      <c r="Q18" s="435">
        <v>0.66666666666666685</v>
      </c>
      <c r="R18" s="435">
        <v>0.41666666666666652</v>
      </c>
    </row>
    <row r="19" spans="1:18" ht="19.95" customHeight="1">
      <c r="A19" s="435">
        <v>0.68750000000000022</v>
      </c>
      <c r="B19" s="435">
        <v>0.43749999999999983</v>
      </c>
      <c r="C19" s="470"/>
      <c r="D19" s="447"/>
      <c r="E19" s="470"/>
      <c r="F19" s="447"/>
      <c r="G19" s="477"/>
      <c r="H19" s="447"/>
      <c r="I19" s="477" t="s">
        <v>1663</v>
      </c>
      <c r="J19" s="447"/>
      <c r="K19" s="477" t="s">
        <v>982</v>
      </c>
      <c r="L19" s="447"/>
      <c r="M19" s="478"/>
      <c r="N19" s="447"/>
      <c r="O19" s="489"/>
      <c r="P19" s="447"/>
      <c r="Q19" s="435">
        <v>0.68750000000000022</v>
      </c>
      <c r="R19" s="435">
        <v>0.43749999999999983</v>
      </c>
    </row>
    <row r="20" spans="1:18" ht="19.95" customHeight="1">
      <c r="A20" s="435">
        <v>0.70833333333333359</v>
      </c>
      <c r="B20" s="435">
        <v>0.45833333333333315</v>
      </c>
      <c r="C20" s="470"/>
      <c r="D20" s="447"/>
      <c r="E20" s="470"/>
      <c r="F20" s="447"/>
      <c r="G20" s="477"/>
      <c r="H20" s="447"/>
      <c r="I20" s="477"/>
      <c r="J20" s="447"/>
      <c r="K20" s="477"/>
      <c r="L20" s="447"/>
      <c r="M20" s="478"/>
      <c r="N20" s="447"/>
      <c r="O20" s="489"/>
      <c r="P20" s="447"/>
      <c r="Q20" s="435">
        <v>0.70833333333333359</v>
      </c>
      <c r="R20" s="435">
        <v>0.45833333333333315</v>
      </c>
    </row>
    <row r="21" spans="1:18" ht="19.95" customHeight="1">
      <c r="A21" s="435">
        <v>0.72916666666666696</v>
      </c>
      <c r="B21" s="435">
        <v>0.47916666666666646</v>
      </c>
      <c r="C21" s="471"/>
      <c r="D21" s="447"/>
      <c r="E21" s="471"/>
      <c r="F21" s="447"/>
      <c r="G21" s="467" t="s">
        <v>1676</v>
      </c>
      <c r="H21" s="447"/>
      <c r="I21" s="478" t="s">
        <v>1676</v>
      </c>
      <c r="J21" s="447"/>
      <c r="K21" s="478" t="s">
        <v>1676</v>
      </c>
      <c r="L21" s="447"/>
      <c r="M21" s="478"/>
      <c r="N21" s="447"/>
      <c r="O21" s="489"/>
      <c r="P21" s="447"/>
      <c r="Q21" s="435">
        <v>0.72916666666666696</v>
      </c>
      <c r="R21" s="435">
        <v>0.47916666666666646</v>
      </c>
    </row>
    <row r="22" spans="1:18" ht="19.95" customHeight="1">
      <c r="A22" s="435">
        <v>0.75000000000000033</v>
      </c>
      <c r="B22" s="435">
        <v>0.49999999999999978</v>
      </c>
      <c r="C22" s="467" t="s">
        <v>1679</v>
      </c>
      <c r="D22" s="447"/>
      <c r="E22" s="467" t="s">
        <v>1679</v>
      </c>
      <c r="F22" s="447"/>
      <c r="G22" s="468"/>
      <c r="H22" s="447"/>
      <c r="I22" s="478"/>
      <c r="J22" s="447"/>
      <c r="K22" s="478"/>
      <c r="L22" s="447"/>
      <c r="M22" s="478"/>
      <c r="N22" s="447"/>
      <c r="O22" s="479" t="s">
        <v>1677</v>
      </c>
      <c r="P22" s="447"/>
      <c r="Q22" s="435">
        <v>0.75000000000000033</v>
      </c>
      <c r="R22" s="435">
        <v>0.49999999999999978</v>
      </c>
    </row>
    <row r="23" spans="1:18" ht="19.95" customHeight="1">
      <c r="A23" s="435">
        <v>0.7708333333333337</v>
      </c>
      <c r="B23" s="435">
        <v>0.52083333333333315</v>
      </c>
      <c r="C23" s="468"/>
      <c r="D23" s="447"/>
      <c r="E23" s="468"/>
      <c r="F23" s="447"/>
      <c r="G23" s="486" t="s">
        <v>1677</v>
      </c>
      <c r="H23" s="447"/>
      <c r="I23" s="465" t="s">
        <v>1677</v>
      </c>
      <c r="J23" s="447"/>
      <c r="K23" s="465" t="s">
        <v>1677</v>
      </c>
      <c r="L23" s="447"/>
      <c r="M23" s="465" t="s">
        <v>1677</v>
      </c>
      <c r="N23" s="447"/>
      <c r="O23" s="479"/>
      <c r="P23" s="447"/>
      <c r="Q23" s="435">
        <v>0.7708333333333337</v>
      </c>
      <c r="R23" s="435">
        <v>0.52083333333333315</v>
      </c>
    </row>
    <row r="24" spans="1:18" ht="19.95" customHeight="1">
      <c r="A24" s="438">
        <v>0.79166666666666707</v>
      </c>
      <c r="B24" s="438">
        <v>0.54166666666666652</v>
      </c>
      <c r="C24" s="479" t="s">
        <v>1677</v>
      </c>
      <c r="D24" s="447"/>
      <c r="E24" s="479" t="s">
        <v>1677</v>
      </c>
      <c r="F24" s="447"/>
      <c r="G24" s="487"/>
      <c r="H24" s="447"/>
      <c r="I24" s="465"/>
      <c r="J24" s="447"/>
      <c r="K24" s="465"/>
      <c r="L24" s="447"/>
      <c r="M24" s="465"/>
      <c r="N24" s="447"/>
      <c r="O24" s="479"/>
      <c r="P24" s="447"/>
      <c r="Q24" s="438">
        <v>0.79166666666666707</v>
      </c>
      <c r="R24" s="438">
        <v>0.54166666666666652</v>
      </c>
    </row>
    <row r="25" spans="1:18" ht="19.95" customHeight="1">
      <c r="A25" s="438">
        <v>0.81250000000000044</v>
      </c>
      <c r="B25" s="438">
        <v>0.56249999999999989</v>
      </c>
      <c r="C25" s="479"/>
      <c r="D25" s="448"/>
      <c r="E25" s="479"/>
      <c r="F25" s="448"/>
      <c r="G25" s="488"/>
      <c r="H25" s="448"/>
      <c r="I25" s="465"/>
      <c r="J25" s="448"/>
      <c r="K25" s="465"/>
      <c r="L25" s="448"/>
      <c r="M25" s="465"/>
      <c r="N25" s="448"/>
      <c r="O25" s="479"/>
      <c r="P25" s="448"/>
      <c r="Q25" s="438">
        <v>0.81250000000000044</v>
      </c>
      <c r="R25" s="438">
        <v>0.56249999999999989</v>
      </c>
    </row>
    <row r="33" spans="2:15" ht="16.05" customHeight="1">
      <c r="B33" s="439" t="s">
        <v>838</v>
      </c>
      <c r="C33" s="439" t="s">
        <v>839</v>
      </c>
      <c r="D33" s="480" t="s">
        <v>1665</v>
      </c>
      <c r="E33" s="481"/>
      <c r="F33" s="481"/>
      <c r="G33" s="482"/>
      <c r="H33" s="439" t="s">
        <v>1666</v>
      </c>
      <c r="L33" s="483" t="s">
        <v>1675</v>
      </c>
      <c r="M33" s="484"/>
      <c r="N33" s="484"/>
      <c r="O33" s="485"/>
    </row>
    <row r="34" spans="2:15" ht="16.05" customHeight="1">
      <c r="B34" s="440">
        <v>1</v>
      </c>
      <c r="C34" s="441">
        <f>Planning!B24</f>
        <v>44282</v>
      </c>
      <c r="D34" s="490" t="s">
        <v>1667</v>
      </c>
      <c r="E34" s="490"/>
      <c r="F34" s="490"/>
      <c r="G34" s="490"/>
      <c r="H34" s="442" t="s">
        <v>592</v>
      </c>
      <c r="L34" s="494" t="s">
        <v>1674</v>
      </c>
      <c r="M34" s="495"/>
      <c r="N34" s="495"/>
      <c r="O34" s="496"/>
    </row>
    <row r="35" spans="2:15" ht="16.05" customHeight="1">
      <c r="B35" s="440" t="s">
        <v>1668</v>
      </c>
      <c r="C35" s="441">
        <f>G5</f>
        <v>44298</v>
      </c>
      <c r="D35" s="490" t="s">
        <v>1669</v>
      </c>
      <c r="E35" s="490"/>
      <c r="F35" s="490"/>
      <c r="G35" s="490"/>
      <c r="H35" s="442" t="s">
        <v>617</v>
      </c>
      <c r="L35" s="497" t="s">
        <v>1670</v>
      </c>
      <c r="M35" s="498"/>
      <c r="N35" s="498"/>
      <c r="O35" s="499"/>
    </row>
    <row r="36" spans="2:15" ht="16.05" customHeight="1">
      <c r="B36" s="440"/>
      <c r="C36" s="441"/>
      <c r="D36" s="490"/>
      <c r="E36" s="490"/>
      <c r="F36" s="490"/>
      <c r="G36" s="490"/>
      <c r="H36" s="442"/>
      <c r="L36" s="500" t="s">
        <v>1671</v>
      </c>
      <c r="M36" s="501"/>
      <c r="N36" s="501"/>
      <c r="O36" s="502"/>
    </row>
    <row r="37" spans="2:15" ht="16.05" customHeight="1">
      <c r="B37" s="440"/>
      <c r="C37" s="441"/>
      <c r="D37" s="490"/>
      <c r="E37" s="490"/>
      <c r="F37" s="490"/>
      <c r="G37" s="490"/>
      <c r="H37" s="442"/>
      <c r="L37" s="491" t="s">
        <v>1672</v>
      </c>
      <c r="M37" s="492"/>
      <c r="N37" s="492"/>
      <c r="O37" s="493"/>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0" t="s">
        <v>1182</v>
      </c>
      <c r="B1" s="530"/>
      <c r="C1" s="530"/>
      <c r="D1" s="530"/>
      <c r="E1" s="530"/>
      <c r="F1" s="530"/>
      <c r="G1" s="530"/>
      <c r="H1" s="65"/>
      <c r="I1" s="139" t="s">
        <v>917</v>
      </c>
      <c r="J1" s="140" t="s">
        <v>918</v>
      </c>
      <c r="K1" s="134" t="s">
        <v>919</v>
      </c>
      <c r="L1" s="134" t="s">
        <v>920</v>
      </c>
      <c r="M1" s="135"/>
      <c r="N1" s="67"/>
      <c r="O1" s="67"/>
      <c r="P1" s="67"/>
    </row>
    <row r="2" spans="1:16" ht="14.7" customHeight="1">
      <c r="A2" s="531" t="str">
        <f>CONCATENATE(TEXT(Planning!B26,"[$-x-sysdate]dddd, mmmm dd, yyyy")," (Technology test)")</f>
        <v>Thursday, 08 April 2021 (Technology test)</v>
      </c>
      <c r="B2" s="531"/>
      <c r="C2" s="531"/>
      <c r="D2" s="531"/>
      <c r="E2" s="531"/>
      <c r="F2" s="531"/>
      <c r="G2" s="531"/>
      <c r="H2" s="65"/>
      <c r="I2" s="134"/>
      <c r="J2" s="134"/>
      <c r="K2" s="134"/>
      <c r="L2" s="135"/>
      <c r="M2" s="135"/>
      <c r="N2" s="67"/>
      <c r="O2" s="67"/>
      <c r="P2" s="67"/>
    </row>
    <row r="3" spans="1:16">
      <c r="A3" s="520" t="str">
        <f>J3</f>
        <v>Day 1-2</v>
      </c>
      <c r="B3" s="520"/>
      <c r="C3" s="523" t="str">
        <f>CONCATENATE(TEXT(I3,"[$-x-sysdate]dddd, mmmm dd, yyyy")," to ",TEXT(K3,"[$-x-sysdate]dddd, mmmm dd, yyyy"))</f>
        <v>Saturday, 10 April 2021 to Sunday, 11 April 2021</v>
      </c>
      <c r="D3" s="523"/>
      <c r="E3" s="523"/>
      <c r="F3" s="520" t="str">
        <f>A3</f>
        <v>Day 1-2</v>
      </c>
      <c r="G3" s="520"/>
      <c r="H3" s="65"/>
      <c r="I3" s="141">
        <f>Planning!B27</f>
        <v>44296</v>
      </c>
      <c r="J3" s="142" t="str">
        <f>_xlfn.CONCAT("Day 1-",L3)</f>
        <v>Day 1-2</v>
      </c>
      <c r="K3" s="143">
        <f>Planning!B27+Planning!B29-1</f>
        <v>44297</v>
      </c>
      <c r="L3" s="134">
        <f>K3-I3+1</f>
        <v>2</v>
      </c>
      <c r="M3" s="135"/>
      <c r="N3" s="67"/>
      <c r="O3" s="67"/>
      <c r="P3" s="67"/>
    </row>
    <row r="4" spans="1:16" ht="28.8">
      <c r="A4" s="520" t="s">
        <v>921</v>
      </c>
      <c r="B4" s="520"/>
      <c r="C4" s="68" t="str">
        <f>J11</f>
        <v>Mini team 1:ATM-5 / ATM-6 / ATM-7</v>
      </c>
      <c r="D4" s="68" t="str">
        <f>M11</f>
        <v>Full team: ATM-1 / ATM-2 / ATM-3 / ATM-4 /ATM-5 / ATM-6 / ATM-7 / ATM-8</v>
      </c>
      <c r="E4" s="68" t="str">
        <f>CONCATENATE("LA team: ",'Agreement 3'!B7," and ATMs if applicable")</f>
        <v>LA team: van Zyl, Pieter and ATMs if applicable</v>
      </c>
      <c r="F4" s="520" t="s">
        <v>922</v>
      </c>
      <c r="G4" s="52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923</v>
      </c>
      <c r="D5" s="509" t="s">
        <v>923</v>
      </c>
      <c r="E5" s="509"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26" t="str">
        <f>CONCATENATE("Schedule above includes ",Planning!B28," non-working day(s).")</f>
        <v>Schedule above includes 0 non-working day(s).</v>
      </c>
      <c r="B15" s="526"/>
      <c r="C15" s="526"/>
      <c r="D15" s="526"/>
      <c r="E15" s="526"/>
      <c r="F15" s="526"/>
      <c r="G15" s="526"/>
      <c r="H15" s="65"/>
      <c r="I15" s="134"/>
      <c r="K15" s="138"/>
      <c r="L15" s="134" t="str">
        <f>'P1PA-SS'!B96</f>
        <v>ATM-5</v>
      </c>
      <c r="M15" s="135"/>
      <c r="N15" s="67"/>
      <c r="O15" s="67"/>
      <c r="P15" s="67"/>
    </row>
    <row r="16" spans="1:16">
      <c r="A16" s="524" t="str">
        <f>J4</f>
        <v>Day 3</v>
      </c>
      <c r="B16" s="524"/>
      <c r="C16" s="525">
        <f>I4</f>
        <v>44298</v>
      </c>
      <c r="D16" s="525"/>
      <c r="E16" s="525"/>
      <c r="F16" s="524" t="str">
        <f>A16</f>
        <v>Day 3</v>
      </c>
      <c r="G16" s="524"/>
      <c r="H16" s="65"/>
      <c r="I16" s="134"/>
      <c r="K16" s="138"/>
      <c r="L16" s="134" t="str">
        <f>'P1PA-SS'!B97</f>
        <v>ATM-6</v>
      </c>
      <c r="M16" s="135"/>
      <c r="N16" s="67"/>
      <c r="O16" s="67"/>
      <c r="P16" s="67"/>
    </row>
    <row r="17" spans="1:18" ht="28.8">
      <c r="A17" s="524" t="s">
        <v>921</v>
      </c>
      <c r="B17" s="524"/>
      <c r="C17" s="71" t="str">
        <f>C4</f>
        <v>Mini team 1:ATM-5 / ATM-6 / ATM-7</v>
      </c>
      <c r="D17" s="71" t="str">
        <f>D4</f>
        <v>Full team: ATM-1 / ATM-2 / ATM-3 / ATM-4 /ATM-5 / ATM-6 / ATM-7 / ATM-8</v>
      </c>
      <c r="E17" s="71" t="str">
        <f>E4</f>
        <v>LA team: van Zyl, Pieter and ATMs if applicable</v>
      </c>
      <c r="F17" s="524" t="s">
        <v>922</v>
      </c>
      <c r="G17" s="524"/>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7" t="s">
        <v>976</v>
      </c>
      <c r="D19" s="528"/>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9" t="s">
        <v>977</v>
      </c>
      <c r="D20" s="519"/>
      <c r="E20" s="519"/>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9"/>
      <c r="D21" s="519"/>
      <c r="E21" s="519"/>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928</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1" t="s">
        <v>978</v>
      </c>
      <c r="D24" s="521"/>
      <c r="E24" s="521"/>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1"/>
      <c r="D25" s="521"/>
      <c r="E25" s="521"/>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1"/>
      <c r="D26" s="521"/>
      <c r="E26" s="521"/>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1"/>
      <c r="D27" s="521"/>
      <c r="E27" s="521"/>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929</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1" t="s">
        <v>1635</v>
      </c>
      <c r="D29" s="521"/>
      <c r="E29" s="521"/>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1"/>
      <c r="D30" s="521"/>
      <c r="E30" s="521"/>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1"/>
      <c r="D31" s="521"/>
      <c r="E31" s="521"/>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1"/>
      <c r="D32" s="521"/>
      <c r="E32" s="521"/>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929</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930</v>
      </c>
      <c r="D34" s="509"/>
      <c r="E34" s="509"/>
      <c r="F34" s="70">
        <v>0.5</v>
      </c>
      <c r="G34" s="70">
        <v>0.58333333333333337</v>
      </c>
      <c r="H34" s="65"/>
      <c r="I34" s="135"/>
      <c r="J34" s="135"/>
      <c r="K34" s="135"/>
      <c r="L34" s="135"/>
      <c r="M34" s="135"/>
      <c r="N34" s="67"/>
      <c r="O34" s="67"/>
      <c r="P34" s="67"/>
    </row>
    <row r="35" spans="1:16">
      <c r="A35" s="524" t="str">
        <f>J5</f>
        <v>Day 4</v>
      </c>
      <c r="B35" s="524"/>
      <c r="C35" s="525">
        <f>I5</f>
        <v>44299</v>
      </c>
      <c r="D35" s="525"/>
      <c r="E35" s="525"/>
      <c r="F35" s="524" t="str">
        <f>A35</f>
        <v>Day 4</v>
      </c>
      <c r="G35" s="524"/>
      <c r="H35" s="74"/>
    </row>
    <row r="36" spans="1:16" ht="28.8">
      <c r="A36" s="524" t="s">
        <v>921</v>
      </c>
      <c r="B36" s="524"/>
      <c r="C36" s="71" t="str">
        <f>C17</f>
        <v>Mini team 1:ATM-5 / ATM-6 / ATM-7</v>
      </c>
      <c r="D36" s="71" t="str">
        <f>D17</f>
        <v>Full team: ATM-1 / ATM-2 / ATM-3 / ATM-4 /ATM-5 / ATM-6 / ATM-7 / ATM-8</v>
      </c>
      <c r="E36" s="71" t="str">
        <f>E17</f>
        <v>LA team: van Zyl, Pieter and ATMs if applicable</v>
      </c>
      <c r="F36" s="524" t="s">
        <v>922</v>
      </c>
      <c r="G36" s="524"/>
      <c r="H36" s="74"/>
    </row>
    <row r="37" spans="1:16" ht="18" customHeight="1">
      <c r="A37" s="70">
        <v>0.41666666666666669</v>
      </c>
      <c r="B37" s="70">
        <v>0.4375</v>
      </c>
      <c r="C37" s="509" t="s">
        <v>929</v>
      </c>
      <c r="D37" s="509"/>
      <c r="E37" s="72" t="s">
        <v>927</v>
      </c>
      <c r="F37" s="70">
        <v>0.16666666666666666</v>
      </c>
      <c r="G37" s="70">
        <v>0.1875</v>
      </c>
      <c r="H37" s="74"/>
    </row>
    <row r="38" spans="1:16" ht="18" customHeight="1">
      <c r="A38" s="70">
        <v>0.4375</v>
      </c>
      <c r="B38" s="70">
        <v>0.45833333333333331</v>
      </c>
      <c r="C38" s="521" t="s">
        <v>979</v>
      </c>
      <c r="D38" s="521"/>
      <c r="E38" s="521"/>
      <c r="F38" s="70">
        <v>0.1875</v>
      </c>
      <c r="G38" s="70">
        <v>0.20833333333333334</v>
      </c>
      <c r="H38" s="74"/>
    </row>
    <row r="39" spans="1:16" ht="18" customHeight="1">
      <c r="A39" s="70">
        <v>0.45833333333333331</v>
      </c>
      <c r="B39" s="70">
        <v>0.47916666666666669</v>
      </c>
      <c r="C39" s="521"/>
      <c r="D39" s="521"/>
      <c r="E39" s="521"/>
      <c r="F39" s="70">
        <v>0.20833333333333334</v>
      </c>
      <c r="G39" s="70">
        <v>0.22916666666666666</v>
      </c>
      <c r="H39" s="74"/>
    </row>
    <row r="40" spans="1:16" ht="18" customHeight="1">
      <c r="A40" s="70">
        <v>0.47916666666666669</v>
      </c>
      <c r="B40" s="70">
        <v>0.5</v>
      </c>
      <c r="C40" s="521"/>
      <c r="D40" s="521"/>
      <c r="E40" s="521"/>
      <c r="F40" s="70">
        <v>0.22916666666666666</v>
      </c>
      <c r="G40" s="70">
        <v>0.25</v>
      </c>
      <c r="H40" s="74"/>
    </row>
    <row r="41" spans="1:16" ht="18" customHeight="1">
      <c r="A41" s="70">
        <v>0.5</v>
      </c>
      <c r="B41" s="70">
        <v>0.52083333333333337</v>
      </c>
      <c r="C41" s="509" t="s">
        <v>928</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21" t="s">
        <v>1636</v>
      </c>
      <c r="D43" s="521"/>
      <c r="E43" s="521"/>
      <c r="F43" s="70">
        <v>0.29166666666666669</v>
      </c>
      <c r="G43" s="70">
        <v>0.3125</v>
      </c>
      <c r="H43" s="74"/>
    </row>
    <row r="44" spans="1:16" ht="18" customHeight="1">
      <c r="A44" s="70">
        <v>0.5625</v>
      </c>
      <c r="B44" s="70">
        <v>0.58333333333333337</v>
      </c>
      <c r="C44" s="521"/>
      <c r="D44" s="521"/>
      <c r="E44" s="521"/>
      <c r="F44" s="70">
        <v>0.3125</v>
      </c>
      <c r="G44" s="70">
        <v>0.33333333333333331</v>
      </c>
      <c r="H44" s="74"/>
    </row>
    <row r="45" spans="1:16" ht="18" customHeight="1">
      <c r="A45" s="70">
        <v>0.58333333333333337</v>
      </c>
      <c r="B45" s="70">
        <v>0.60416666666666663</v>
      </c>
      <c r="C45" s="521"/>
      <c r="D45" s="521"/>
      <c r="E45" s="521"/>
      <c r="F45" s="70">
        <v>0.33333333333333331</v>
      </c>
      <c r="G45" s="70">
        <v>0.35416666666666669</v>
      </c>
      <c r="H45" s="74"/>
    </row>
    <row r="46" spans="1:16" ht="18" customHeight="1">
      <c r="A46" s="70">
        <v>0.60416666666666663</v>
      </c>
      <c r="B46" s="70">
        <v>0.625</v>
      </c>
      <c r="C46" s="521"/>
      <c r="D46" s="521"/>
      <c r="E46" s="521"/>
      <c r="F46" s="70">
        <v>0.35416666666666669</v>
      </c>
      <c r="G46" s="70">
        <v>0.375</v>
      </c>
      <c r="H46" s="74"/>
    </row>
    <row r="47" spans="1:16" ht="18" customHeight="1">
      <c r="A47" s="70">
        <v>0.625</v>
      </c>
      <c r="B47" s="70">
        <v>0.64583333333333337</v>
      </c>
      <c r="C47" s="521"/>
      <c r="D47" s="521"/>
      <c r="E47" s="521"/>
      <c r="F47" s="70">
        <v>0.375</v>
      </c>
      <c r="G47" s="70">
        <v>0.39583333333333331</v>
      </c>
      <c r="H47" s="74"/>
    </row>
    <row r="48" spans="1:16" ht="18" customHeight="1">
      <c r="A48" s="70">
        <v>0.64583333333333337</v>
      </c>
      <c r="B48" s="70">
        <v>0.66666666666666663</v>
      </c>
      <c r="C48" s="509" t="s">
        <v>929</v>
      </c>
      <c r="D48" s="509"/>
      <c r="E48" s="509" t="s">
        <v>927</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21" t="s">
        <v>980</v>
      </c>
      <c r="D50" s="521"/>
      <c r="E50" s="521"/>
      <c r="F50" s="70">
        <v>0.4375</v>
      </c>
      <c r="G50" s="70">
        <v>0.45833333333333331</v>
      </c>
      <c r="H50" s="74"/>
    </row>
    <row r="51" spans="1:8" ht="18" customHeight="1">
      <c r="A51" s="70">
        <v>0.70833333333333337</v>
      </c>
      <c r="B51" s="70">
        <v>0.72916666666666663</v>
      </c>
      <c r="C51" s="521"/>
      <c r="D51" s="521"/>
      <c r="E51" s="521"/>
      <c r="F51" s="70">
        <v>0.45833333333333331</v>
      </c>
      <c r="G51" s="70">
        <v>0.47916666666666669</v>
      </c>
      <c r="H51" s="74"/>
    </row>
    <row r="52" spans="1:8" ht="18" customHeight="1">
      <c r="A52" s="70">
        <v>0.72916666666666663</v>
      </c>
      <c r="B52" s="70">
        <v>0.75</v>
      </c>
      <c r="C52" s="509" t="s">
        <v>929</v>
      </c>
      <c r="D52" s="509"/>
      <c r="E52" s="509"/>
      <c r="F52" s="70">
        <v>0.47916666666666669</v>
      </c>
      <c r="G52" s="70">
        <v>0.5</v>
      </c>
      <c r="H52" s="74"/>
    </row>
    <row r="53" spans="1:8" ht="18" customHeight="1">
      <c r="A53" s="70">
        <v>0.75</v>
      </c>
      <c r="B53" s="70">
        <v>0.83333333333333337</v>
      </c>
      <c r="C53" s="509" t="s">
        <v>930</v>
      </c>
      <c r="D53" s="509"/>
      <c r="E53" s="509"/>
      <c r="F53" s="70">
        <v>0.5</v>
      </c>
      <c r="G53" s="70">
        <v>0.58333333333333337</v>
      </c>
      <c r="H53" s="74"/>
    </row>
    <row r="54" spans="1:8">
      <c r="A54" s="520" t="str">
        <f>J6</f>
        <v>Day 5</v>
      </c>
      <c r="B54" s="520"/>
      <c r="C54" s="523">
        <f>I6</f>
        <v>44300</v>
      </c>
      <c r="D54" s="523"/>
      <c r="E54" s="523"/>
      <c r="F54" s="520" t="str">
        <f>A54</f>
        <v>Day 5</v>
      </c>
      <c r="G54" s="520"/>
      <c r="H54" s="74"/>
    </row>
    <row r="55" spans="1:8" ht="28.8">
      <c r="A55" s="520" t="s">
        <v>921</v>
      </c>
      <c r="B55" s="520"/>
      <c r="C55" s="68" t="str">
        <f>C36</f>
        <v>Mini team 1:ATM-5 / ATM-6 / ATM-7</v>
      </c>
      <c r="D55" s="68" t="str">
        <f>D36</f>
        <v>Full team: ATM-1 / ATM-2 / ATM-3 / ATM-4 /ATM-5 / ATM-6 / ATM-7 / ATM-8</v>
      </c>
      <c r="E55" s="68" t="str">
        <f>E36</f>
        <v>LA team: van Zyl, Pieter and ATMs if applicable</v>
      </c>
      <c r="F55" s="520" t="s">
        <v>922</v>
      </c>
      <c r="G55" s="520"/>
      <c r="H55" s="74"/>
    </row>
    <row r="56" spans="1:8" ht="18" customHeight="1">
      <c r="A56" s="70">
        <v>0.41666666666666669</v>
      </c>
      <c r="B56" s="70">
        <v>0.4375</v>
      </c>
      <c r="C56" s="509" t="s">
        <v>931</v>
      </c>
      <c r="D56" s="509"/>
      <c r="E56" s="72" t="s">
        <v>927</v>
      </c>
      <c r="F56" s="70">
        <v>0.16666666666666666</v>
      </c>
      <c r="G56" s="70">
        <v>0.1875</v>
      </c>
      <c r="H56" s="74"/>
    </row>
    <row r="57" spans="1:8" ht="18" customHeight="1">
      <c r="A57" s="70">
        <v>0.4375</v>
      </c>
      <c r="B57" s="70">
        <v>0.45833333333333331</v>
      </c>
      <c r="C57" s="521" t="s">
        <v>981</v>
      </c>
      <c r="D57" s="521"/>
      <c r="E57" s="521"/>
      <c r="F57" s="70">
        <v>0.1875</v>
      </c>
      <c r="G57" s="70">
        <v>0.20833333333333334</v>
      </c>
      <c r="H57" s="74"/>
    </row>
    <row r="58" spans="1:8" ht="18" customHeight="1">
      <c r="A58" s="70">
        <v>0.45833333333333331</v>
      </c>
      <c r="B58" s="70">
        <v>0.47916666666666669</v>
      </c>
      <c r="C58" s="521"/>
      <c r="D58" s="521"/>
      <c r="E58" s="521"/>
      <c r="F58" s="70">
        <v>0.20833333333333334</v>
      </c>
      <c r="G58" s="70">
        <v>0.22916666666666666</v>
      </c>
      <c r="H58" s="74"/>
    </row>
    <row r="59" spans="1:8" ht="18" customHeight="1">
      <c r="A59" s="70">
        <v>0.47916666666666669</v>
      </c>
      <c r="B59" s="70">
        <v>0.5</v>
      </c>
      <c r="C59" s="521"/>
      <c r="D59" s="521"/>
      <c r="E59" s="521"/>
      <c r="F59" s="70">
        <v>0.22916666666666666</v>
      </c>
      <c r="G59" s="70">
        <v>0.25</v>
      </c>
      <c r="H59" s="74"/>
    </row>
    <row r="60" spans="1:8" ht="18" customHeight="1">
      <c r="A60" s="70">
        <v>0.5</v>
      </c>
      <c r="B60" s="70">
        <v>0.52083333333333337</v>
      </c>
      <c r="C60" s="509" t="s">
        <v>928</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21" t="s">
        <v>1637</v>
      </c>
      <c r="D62" s="521"/>
      <c r="E62" s="521"/>
      <c r="F62" s="70">
        <v>0.29166666666666669</v>
      </c>
      <c r="G62" s="70">
        <v>0.3125</v>
      </c>
      <c r="H62" s="74"/>
    </row>
    <row r="63" spans="1:8" ht="18" customHeight="1">
      <c r="A63" s="70">
        <v>0.5625</v>
      </c>
      <c r="B63" s="70">
        <v>0.58333333333333337</v>
      </c>
      <c r="C63" s="521"/>
      <c r="D63" s="521"/>
      <c r="E63" s="521"/>
      <c r="F63" s="70">
        <v>0.3125</v>
      </c>
      <c r="G63" s="70">
        <v>0.33333333333333331</v>
      </c>
      <c r="H63" s="74"/>
    </row>
    <row r="64" spans="1:8" ht="18" customHeight="1">
      <c r="A64" s="70">
        <v>0.58333333333333337</v>
      </c>
      <c r="B64" s="70">
        <v>0.60416666666666663</v>
      </c>
      <c r="C64" s="521"/>
      <c r="D64" s="521"/>
      <c r="E64" s="521"/>
      <c r="F64" s="70">
        <v>0.33333333333333331</v>
      </c>
      <c r="G64" s="70">
        <v>0.35416666666666669</v>
      </c>
      <c r="H64" s="74"/>
    </row>
    <row r="65" spans="1:8" ht="18" customHeight="1">
      <c r="A65" s="70">
        <v>0.60416666666666663</v>
      </c>
      <c r="B65" s="70">
        <v>0.625</v>
      </c>
      <c r="C65" s="521"/>
      <c r="D65" s="521"/>
      <c r="E65" s="521"/>
      <c r="F65" s="70">
        <v>0.35416666666666669</v>
      </c>
      <c r="G65" s="70">
        <v>0.375</v>
      </c>
      <c r="H65" s="74"/>
    </row>
    <row r="66" spans="1:8" ht="18" customHeight="1">
      <c r="A66" s="70">
        <v>0.625</v>
      </c>
      <c r="B66" s="70">
        <v>0.64583333333333337</v>
      </c>
      <c r="C66" s="521"/>
      <c r="D66" s="521"/>
      <c r="E66" s="521"/>
      <c r="F66" s="70">
        <v>0.375</v>
      </c>
      <c r="G66" s="70">
        <v>0.39583333333333331</v>
      </c>
      <c r="H66" s="74"/>
    </row>
    <row r="67" spans="1:8" ht="18" customHeight="1">
      <c r="A67" s="70">
        <v>0.64583333333333337</v>
      </c>
      <c r="B67" s="70">
        <v>0.66666666666666663</v>
      </c>
      <c r="C67" s="521"/>
      <c r="D67" s="521"/>
      <c r="E67" s="521"/>
      <c r="F67" s="70">
        <v>0.39583333333333331</v>
      </c>
      <c r="G67" s="70">
        <v>0.41666666666666669</v>
      </c>
      <c r="H67" s="74"/>
    </row>
    <row r="68" spans="1:8" ht="18" customHeight="1">
      <c r="A68" s="70">
        <v>0.66666666666666663</v>
      </c>
      <c r="B68" s="70">
        <v>0.6875</v>
      </c>
      <c r="C68" s="509" t="s">
        <v>929</v>
      </c>
      <c r="D68" s="509"/>
      <c r="E68" s="509"/>
      <c r="F68" s="70">
        <v>0.41666666666666669</v>
      </c>
      <c r="G68" s="70">
        <v>0.4375</v>
      </c>
      <c r="H68" s="74"/>
    </row>
    <row r="69" spans="1:8" ht="18" customHeight="1">
      <c r="A69" s="70">
        <v>0.6875</v>
      </c>
      <c r="B69" s="70">
        <v>0.70833333333333337</v>
      </c>
      <c r="C69" s="521" t="s">
        <v>982</v>
      </c>
      <c r="D69" s="521"/>
      <c r="E69" s="521"/>
      <c r="F69" s="70">
        <v>0.4375</v>
      </c>
      <c r="G69" s="70">
        <v>0.45833333333333331</v>
      </c>
      <c r="H69" s="74"/>
    </row>
    <row r="70" spans="1:8" ht="18" customHeight="1">
      <c r="A70" s="70">
        <v>0.70833333333333337</v>
      </c>
      <c r="B70" s="70">
        <v>0.72916666666666663</v>
      </c>
      <c r="C70" s="521"/>
      <c r="D70" s="521"/>
      <c r="E70" s="521"/>
      <c r="F70" s="70">
        <v>0.45833333333333331</v>
      </c>
      <c r="G70" s="70">
        <v>0.47916666666666669</v>
      </c>
      <c r="H70" s="74"/>
    </row>
    <row r="71" spans="1:8" ht="18" customHeight="1">
      <c r="A71" s="70">
        <v>0.72916666666666663</v>
      </c>
      <c r="B71" s="70">
        <v>0.75</v>
      </c>
      <c r="C71" s="509" t="s">
        <v>929</v>
      </c>
      <c r="D71" s="509"/>
      <c r="E71" s="509"/>
      <c r="F71" s="70">
        <v>0.47916666666666669</v>
      </c>
      <c r="G71" s="70">
        <v>0.5</v>
      </c>
      <c r="H71" s="74"/>
    </row>
    <row r="72" spans="1:8" ht="18" customHeight="1">
      <c r="A72" s="70">
        <v>0.75</v>
      </c>
      <c r="B72" s="70">
        <v>0.83333333333333337</v>
      </c>
      <c r="C72" s="509" t="s">
        <v>930</v>
      </c>
      <c r="D72" s="509"/>
      <c r="E72" s="509"/>
      <c r="F72" s="70">
        <v>0.5</v>
      </c>
      <c r="G72" s="70">
        <v>0.58333333333333337</v>
      </c>
      <c r="H72" s="74"/>
    </row>
    <row r="73" spans="1:8">
      <c r="A73" s="520" t="str">
        <f>J7</f>
        <v>Day 6</v>
      </c>
      <c r="B73" s="520"/>
      <c r="C73" s="523">
        <f>I7</f>
        <v>44301</v>
      </c>
      <c r="D73" s="523"/>
      <c r="E73" s="523"/>
      <c r="F73" s="520" t="str">
        <f>A73</f>
        <v>Day 6</v>
      </c>
      <c r="G73" s="520"/>
      <c r="H73" s="74"/>
    </row>
    <row r="74" spans="1:8" ht="28.8">
      <c r="A74" s="520" t="s">
        <v>921</v>
      </c>
      <c r="B74" s="520"/>
      <c r="C74" s="68" t="str">
        <f>C55</f>
        <v>Mini team 1:ATM-5 / ATM-6 / ATM-7</v>
      </c>
      <c r="D74" s="68" t="str">
        <f>D55</f>
        <v>Full team: ATM-1 / ATM-2 / ATM-3 / ATM-4 /ATM-5 / ATM-6 / ATM-7 / ATM-8</v>
      </c>
      <c r="E74" s="68" t="str">
        <f>E55</f>
        <v>LA team: van Zyl, Pieter and ATMs if applicable</v>
      </c>
      <c r="F74" s="520" t="s">
        <v>922</v>
      </c>
      <c r="G74" s="520"/>
      <c r="H74" s="74"/>
    </row>
    <row r="75" spans="1:8" ht="18" customHeight="1">
      <c r="A75" s="70">
        <v>0.41666666666666669</v>
      </c>
      <c r="B75" s="70">
        <v>0.4375</v>
      </c>
      <c r="C75" s="509" t="s">
        <v>929</v>
      </c>
      <c r="D75" s="509"/>
      <c r="E75" s="509"/>
      <c r="F75" s="70">
        <v>0.16666666666666666</v>
      </c>
      <c r="G75" s="70">
        <v>0.1875</v>
      </c>
      <c r="H75" s="74"/>
    </row>
    <row r="76" spans="1:8" ht="18" customHeight="1">
      <c r="A76" s="70">
        <v>0.4375</v>
      </c>
      <c r="B76" s="70">
        <v>0.45833333333333331</v>
      </c>
      <c r="C76" s="521" t="s">
        <v>983</v>
      </c>
      <c r="D76" s="521"/>
      <c r="E76" s="521"/>
      <c r="F76" s="70">
        <v>0.1875</v>
      </c>
      <c r="G76" s="70">
        <v>0.20833333333333334</v>
      </c>
      <c r="H76" s="74"/>
    </row>
    <row r="77" spans="1:8" ht="18" customHeight="1">
      <c r="A77" s="70">
        <v>0.45833333333333331</v>
      </c>
      <c r="B77" s="70">
        <v>0.47916666666666669</v>
      </c>
      <c r="C77" s="521"/>
      <c r="D77" s="521"/>
      <c r="E77" s="521"/>
      <c r="F77" s="70">
        <v>0.20833333333333334</v>
      </c>
      <c r="G77" s="70">
        <v>0.22916666666666666</v>
      </c>
      <c r="H77" s="74"/>
    </row>
    <row r="78" spans="1:8" ht="18" customHeight="1">
      <c r="A78" s="70">
        <v>0.47916666666666669</v>
      </c>
      <c r="B78" s="70">
        <v>0.5</v>
      </c>
      <c r="C78" s="509" t="s">
        <v>929</v>
      </c>
      <c r="D78" s="509"/>
      <c r="E78" s="509"/>
      <c r="F78" s="70">
        <v>0.22916666666666666</v>
      </c>
      <c r="G78" s="70">
        <v>0.25</v>
      </c>
      <c r="H78" s="74"/>
    </row>
    <row r="79" spans="1:8" ht="18" customHeight="1">
      <c r="A79" s="70">
        <v>0.5</v>
      </c>
      <c r="B79" s="70">
        <v>0.52083333333333337</v>
      </c>
      <c r="C79" s="509" t="s">
        <v>928</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22" t="s">
        <v>932</v>
      </c>
      <c r="D81" s="522"/>
      <c r="E81" s="522"/>
      <c r="F81" s="70">
        <v>0.29166666666666669</v>
      </c>
      <c r="G81" s="70">
        <v>0.3125</v>
      </c>
      <c r="H81" s="74"/>
    </row>
    <row r="82" spans="1:8" ht="18" customHeight="1">
      <c r="A82" s="70">
        <v>0.5625</v>
      </c>
      <c r="B82" s="70">
        <v>0.58333333333333337</v>
      </c>
      <c r="C82" s="522"/>
      <c r="D82" s="522"/>
      <c r="E82" s="522"/>
      <c r="F82" s="70">
        <v>0.3125</v>
      </c>
      <c r="G82" s="70">
        <v>0.33333333333333331</v>
      </c>
      <c r="H82" s="74"/>
    </row>
    <row r="83" spans="1:8" ht="18" customHeight="1">
      <c r="A83" s="70">
        <v>0.58333333333333337</v>
      </c>
      <c r="B83" s="70">
        <v>0.60416666666666663</v>
      </c>
      <c r="C83" s="522"/>
      <c r="D83" s="522"/>
      <c r="E83" s="522"/>
      <c r="F83" s="70">
        <v>0.33333333333333331</v>
      </c>
      <c r="G83" s="70">
        <v>0.35416666666666669</v>
      </c>
      <c r="H83" s="74"/>
    </row>
    <row r="84" spans="1:8" ht="18" customHeight="1">
      <c r="A84" s="70">
        <v>0.60416666666666663</v>
      </c>
      <c r="B84" s="70">
        <v>0.625</v>
      </c>
      <c r="C84" s="522"/>
      <c r="D84" s="522"/>
      <c r="E84" s="522"/>
      <c r="F84" s="70">
        <v>0.35416666666666669</v>
      </c>
      <c r="G84" s="70">
        <v>0.375</v>
      </c>
      <c r="H84" s="74"/>
    </row>
    <row r="85" spans="1:8" ht="18" customHeight="1">
      <c r="A85" s="70">
        <v>0.625</v>
      </c>
      <c r="B85" s="70">
        <v>0.64583333333333337</v>
      </c>
      <c r="C85" s="521" t="s">
        <v>984</v>
      </c>
      <c r="D85" s="521"/>
      <c r="E85" s="521"/>
      <c r="F85" s="70">
        <v>0.375</v>
      </c>
      <c r="G85" s="70">
        <v>0.39583333333333331</v>
      </c>
      <c r="H85" s="74"/>
    </row>
    <row r="86" spans="1:8" ht="18" customHeight="1">
      <c r="A86" s="70">
        <v>0.64583333333333337</v>
      </c>
      <c r="B86" s="70">
        <v>0.66666666666666663</v>
      </c>
      <c r="C86" s="521"/>
      <c r="D86" s="521"/>
      <c r="E86" s="521"/>
      <c r="F86" s="70">
        <v>0.39583333333333331</v>
      </c>
      <c r="G86" s="70">
        <v>0.41666666666666669</v>
      </c>
      <c r="H86" s="74"/>
    </row>
    <row r="87" spans="1:8" ht="18" customHeight="1">
      <c r="A87" s="70">
        <v>0.66666666666666663</v>
      </c>
      <c r="B87" s="70">
        <v>0.6875</v>
      </c>
      <c r="C87" s="509" t="s">
        <v>929</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930</v>
      </c>
      <c r="D91" s="509"/>
      <c r="E91" s="509"/>
      <c r="F91" s="70">
        <v>0.5</v>
      </c>
      <c r="G91" s="70">
        <v>0.58333333333333337</v>
      </c>
      <c r="H91" s="74"/>
    </row>
    <row r="92" spans="1:8">
      <c r="A92" s="520" t="str">
        <f>J8</f>
        <v>Day 7</v>
      </c>
      <c r="B92" s="520"/>
      <c r="C92" s="523">
        <f>I8</f>
        <v>44302</v>
      </c>
      <c r="D92" s="523"/>
      <c r="E92" s="523"/>
      <c r="F92" s="520" t="str">
        <f>A92</f>
        <v>Day 7</v>
      </c>
      <c r="G92" s="520"/>
      <c r="H92" s="74"/>
    </row>
    <row r="93" spans="1:8" ht="28.8">
      <c r="A93" s="520" t="s">
        <v>921</v>
      </c>
      <c r="B93" s="520"/>
      <c r="C93" s="68" t="str">
        <f>C74</f>
        <v>Mini team 1:ATM-5 / ATM-6 / ATM-7</v>
      </c>
      <c r="D93" s="68" t="str">
        <f>D74</f>
        <v>Full team: ATM-1 / ATM-2 / ATM-3 / ATM-4 /ATM-5 / ATM-6 / ATM-7 / ATM-8</v>
      </c>
      <c r="E93" s="68" t="str">
        <f>E74</f>
        <v>LA team: van Zyl, Pieter and ATMs if applicable</v>
      </c>
      <c r="F93" s="520" t="s">
        <v>922</v>
      </c>
      <c r="G93" s="520"/>
      <c r="H93" s="74"/>
    </row>
    <row r="94" spans="1:8" ht="18" customHeight="1">
      <c r="A94" s="70">
        <v>0.41666666666666669</v>
      </c>
      <c r="B94" s="70">
        <v>0.4375</v>
      </c>
      <c r="C94" s="509" t="s">
        <v>929</v>
      </c>
      <c r="D94" s="509"/>
      <c r="E94" s="509"/>
      <c r="F94" s="70">
        <v>0.16666666666666666</v>
      </c>
      <c r="G94" s="70">
        <v>0.1875</v>
      </c>
      <c r="H94" s="74"/>
    </row>
    <row r="95" spans="1:8" ht="18" customHeight="1">
      <c r="A95" s="70">
        <v>0.4375</v>
      </c>
      <c r="B95" s="70">
        <v>0.45833333333333331</v>
      </c>
      <c r="C95" s="503" t="s">
        <v>985</v>
      </c>
      <c r="D95" s="504"/>
      <c r="E95" s="505"/>
      <c r="F95" s="70">
        <v>0.1875</v>
      </c>
      <c r="G95" s="70">
        <v>0.20833333333333334</v>
      </c>
      <c r="H95" s="74"/>
    </row>
    <row r="96" spans="1:8" ht="18" customHeight="1">
      <c r="A96" s="70">
        <v>0.45833333333333331</v>
      </c>
      <c r="B96" s="70">
        <v>0.47916666666666669</v>
      </c>
      <c r="C96" s="506"/>
      <c r="D96" s="507"/>
      <c r="E96" s="508"/>
      <c r="F96" s="70">
        <v>0.20833333333333334</v>
      </c>
      <c r="G96" s="70">
        <v>0.22916666666666666</v>
      </c>
      <c r="H96" s="74"/>
    </row>
    <row r="97" spans="1:8" ht="18" customHeight="1">
      <c r="A97" s="70">
        <v>0.47916666666666669</v>
      </c>
      <c r="B97" s="70">
        <v>0.5</v>
      </c>
      <c r="C97" s="503" t="s">
        <v>986</v>
      </c>
      <c r="D97" s="504"/>
      <c r="E97" s="505"/>
      <c r="F97" s="70">
        <v>0.22916666666666666</v>
      </c>
      <c r="G97" s="70">
        <v>0.25</v>
      </c>
      <c r="H97" s="74"/>
    </row>
    <row r="98" spans="1:8" ht="18" customHeight="1">
      <c r="A98" s="70">
        <v>0.5</v>
      </c>
      <c r="B98" s="70">
        <v>0.52083333333333337</v>
      </c>
      <c r="C98" s="506"/>
      <c r="D98" s="507"/>
      <c r="E98" s="508"/>
      <c r="F98" s="70">
        <v>0.25</v>
      </c>
      <c r="G98" s="70">
        <v>0.27083333333333331</v>
      </c>
      <c r="H98" s="74"/>
    </row>
    <row r="99" spans="1:8" ht="18" customHeight="1">
      <c r="A99" s="70">
        <v>0.52083333333333337</v>
      </c>
      <c r="B99" s="70">
        <v>0.54166666666666663</v>
      </c>
      <c r="C99" s="510" t="s">
        <v>928</v>
      </c>
      <c r="D99" s="511"/>
      <c r="E99" s="512"/>
      <c r="F99" s="70">
        <v>0.27083333333333331</v>
      </c>
      <c r="G99" s="70">
        <v>0.29166666666666669</v>
      </c>
      <c r="H99" s="74"/>
    </row>
    <row r="100" spans="1:8" ht="18" customHeight="1">
      <c r="A100" s="70">
        <v>0.54166666666666663</v>
      </c>
      <c r="B100" s="70">
        <v>0.5625</v>
      </c>
      <c r="C100" s="516"/>
      <c r="D100" s="517"/>
      <c r="E100" s="518"/>
      <c r="F100" s="70">
        <v>0.29166666666666669</v>
      </c>
      <c r="G100" s="70">
        <v>0.3125</v>
      </c>
      <c r="H100" s="74"/>
    </row>
    <row r="101" spans="1:8" ht="18" customHeight="1">
      <c r="A101" s="70">
        <v>0.5625</v>
      </c>
      <c r="B101" s="70">
        <v>0.58333333333333337</v>
      </c>
      <c r="C101" s="510" t="s">
        <v>1644</v>
      </c>
      <c r="D101" s="511"/>
      <c r="E101" s="512"/>
      <c r="F101" s="70">
        <v>0.3125</v>
      </c>
      <c r="G101" s="70">
        <v>0.33333333333333331</v>
      </c>
      <c r="H101" s="74"/>
    </row>
    <row r="102" spans="1:8" ht="18" customHeight="1">
      <c r="A102" s="70">
        <v>0.58333333333333337</v>
      </c>
      <c r="B102" s="70">
        <v>0.60416666666666663</v>
      </c>
      <c r="C102" s="513"/>
      <c r="D102" s="514"/>
      <c r="E102" s="515"/>
      <c r="F102" s="70">
        <v>0.33333333333333331</v>
      </c>
      <c r="G102" s="70">
        <v>0.35416666666666669</v>
      </c>
      <c r="H102" s="74"/>
    </row>
    <row r="103" spans="1:8" ht="18" customHeight="1">
      <c r="A103" s="70">
        <v>0.60416666666666663</v>
      </c>
      <c r="B103" s="70">
        <v>0.625</v>
      </c>
      <c r="C103" s="516"/>
      <c r="D103" s="517"/>
      <c r="E103" s="518"/>
      <c r="F103" s="70">
        <v>0.35416666666666669</v>
      </c>
      <c r="G103" s="70">
        <v>0.375</v>
      </c>
      <c r="H103" s="74"/>
    </row>
    <row r="104" spans="1:8" ht="18" customHeight="1">
      <c r="A104" s="70">
        <v>0.625</v>
      </c>
      <c r="B104" s="70">
        <v>0.64583333333333337</v>
      </c>
      <c r="C104" s="519" t="s">
        <v>1643</v>
      </c>
      <c r="D104" s="519"/>
      <c r="E104" s="519"/>
      <c r="F104" s="70">
        <v>0.375</v>
      </c>
      <c r="G104" s="70">
        <v>0.39583333333333331</v>
      </c>
      <c r="H104" s="74"/>
    </row>
    <row r="105" spans="1:8" ht="18" customHeight="1">
      <c r="A105" s="70">
        <v>0.64583333333333337</v>
      </c>
      <c r="B105" s="70">
        <v>0.66666666666666663</v>
      </c>
      <c r="C105" s="519"/>
      <c r="D105" s="519"/>
      <c r="E105" s="519"/>
      <c r="F105" s="70">
        <v>0.39583333333333331</v>
      </c>
      <c r="G105" s="70">
        <v>0.41666666666666669</v>
      </c>
      <c r="H105" s="74"/>
    </row>
    <row r="106" spans="1:8" ht="18" customHeight="1">
      <c r="A106" s="70">
        <v>0.66666666666666663</v>
      </c>
      <c r="B106" s="70">
        <v>0.6875</v>
      </c>
      <c r="C106" s="509" t="s">
        <v>933</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934</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0" t="s">
        <v>1183</v>
      </c>
      <c r="B1" s="530"/>
      <c r="C1" s="530"/>
      <c r="D1" s="530"/>
      <c r="E1" s="530"/>
      <c r="F1" s="530"/>
      <c r="G1" s="530"/>
      <c r="H1" s="65"/>
      <c r="I1" s="139" t="s">
        <v>917</v>
      </c>
      <c r="J1" s="140" t="s">
        <v>918</v>
      </c>
      <c r="K1" s="134" t="s">
        <v>919</v>
      </c>
      <c r="L1" s="134" t="s">
        <v>920</v>
      </c>
      <c r="M1" s="135"/>
      <c r="N1" s="67"/>
      <c r="O1" s="67"/>
      <c r="P1" s="67"/>
    </row>
    <row r="2" spans="1:16" ht="14.7" customHeight="1">
      <c r="A2" s="531" t="str">
        <f>CONCATENATE(TEXT(Planning!B26,"[$-x-sysdate]dddd, mmmm dd, yyyy")," (Technology test)")</f>
        <v>Thursday, 08 April 2021 (Technology test)</v>
      </c>
      <c r="B2" s="531"/>
      <c r="C2" s="531"/>
      <c r="D2" s="531"/>
      <c r="E2" s="531"/>
      <c r="F2" s="531"/>
      <c r="G2" s="531"/>
      <c r="H2" s="65"/>
      <c r="I2" s="134"/>
      <c r="J2" s="134"/>
      <c r="K2" s="134"/>
      <c r="L2" s="135"/>
      <c r="M2" s="135"/>
      <c r="N2" s="67"/>
      <c r="O2" s="67"/>
      <c r="P2" s="67"/>
    </row>
    <row r="3" spans="1:16">
      <c r="A3" s="520" t="str">
        <f>J3</f>
        <v>Day 1-2</v>
      </c>
      <c r="B3" s="520"/>
      <c r="C3" s="523" t="str">
        <f>CONCATENATE(TEXT(I3,"[$-x-sysdate]dddd, mmmm dd, yyyy")," to ",TEXT(K3,"[$-x-sysdate]dddd, mmmm dd, yyyy"))</f>
        <v>Saturday, 10 April 2021 to Sunday, 11 April 2021</v>
      </c>
      <c r="D3" s="523"/>
      <c r="E3" s="523"/>
      <c r="F3" s="520" t="str">
        <f>A3</f>
        <v>Day 1-2</v>
      </c>
      <c r="G3" s="520"/>
      <c r="H3" s="65"/>
      <c r="I3" s="141">
        <f>Planning!B27</f>
        <v>44296</v>
      </c>
      <c r="J3" s="142" t="str">
        <f>_xlfn.CONCAT("Day 1-",L3)</f>
        <v>Day 1-2</v>
      </c>
      <c r="K3" s="143">
        <f>Planning!B27+Planning!B29-1</f>
        <v>44297</v>
      </c>
      <c r="L3" s="134">
        <f>K3-I3+1</f>
        <v>2</v>
      </c>
      <c r="M3" s="135"/>
      <c r="N3" s="67"/>
      <c r="O3" s="67"/>
      <c r="P3" s="67"/>
    </row>
    <row r="4" spans="1:16" ht="49.5" customHeight="1">
      <c r="A4" s="520" t="s">
        <v>921</v>
      </c>
      <c r="B4" s="520"/>
      <c r="C4" s="229" t="str">
        <f>'Schedule4-1P'!C4</f>
        <v>Mini team 1:ATM-5 / ATM-6 / ATM-7</v>
      </c>
      <c r="D4" s="229" t="str">
        <f>'Schedule4-1P'!D4</f>
        <v>Full team: ATM-1 / ATM-2 / ATM-3 / ATM-4 /ATM-5 / ATM-6 / ATM-7 / ATM-8</v>
      </c>
      <c r="E4" s="229" t="str">
        <f>'Schedule4-1P'!E4</f>
        <v>LA team: van Zyl, Pieter and ATMs if applicable</v>
      </c>
      <c r="F4" s="520" t="s">
        <v>922</v>
      </c>
      <c r="G4" s="52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923</v>
      </c>
      <c r="D5" s="509" t="s">
        <v>923</v>
      </c>
      <c r="E5" s="509"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26" t="str">
        <f>CONCATENATE("Schedule above includes ",Planning!B28," non-working day(s).")</f>
        <v>Schedule above includes 0 non-working day(s).</v>
      </c>
      <c r="B15" s="526"/>
      <c r="C15" s="526"/>
      <c r="D15" s="526"/>
      <c r="E15" s="526"/>
      <c r="F15" s="526"/>
      <c r="G15" s="526"/>
      <c r="H15" s="65"/>
      <c r="K15" s="138"/>
      <c r="L15" s="134" t="str">
        <f>'P1PA-SS'!B96</f>
        <v>ATM-5</v>
      </c>
      <c r="M15" s="135"/>
      <c r="N15" s="67"/>
      <c r="O15" s="67"/>
      <c r="P15" s="67"/>
    </row>
    <row r="16" spans="1:16">
      <c r="A16" s="524" t="str">
        <f>J4</f>
        <v>Day 3</v>
      </c>
      <c r="B16" s="524"/>
      <c r="C16" s="525">
        <f>I4</f>
        <v>44298</v>
      </c>
      <c r="D16" s="525"/>
      <c r="E16" s="525"/>
      <c r="F16" s="524" t="str">
        <f>A16</f>
        <v>Day 3</v>
      </c>
      <c r="G16" s="524"/>
      <c r="H16" s="65"/>
      <c r="K16" s="138"/>
      <c r="L16" s="134" t="str">
        <f>'P1PA-SS'!B97</f>
        <v>ATM-6</v>
      </c>
      <c r="M16" s="135"/>
      <c r="N16" s="67"/>
      <c r="O16" s="67"/>
      <c r="P16" s="67"/>
    </row>
    <row r="17" spans="1:18" ht="28.8">
      <c r="A17" s="524" t="s">
        <v>921</v>
      </c>
      <c r="B17" s="524"/>
      <c r="C17" s="231" t="str">
        <f>C4</f>
        <v>Mini team 1:ATM-5 / ATM-6 / ATM-7</v>
      </c>
      <c r="D17" s="231" t="str">
        <f>D4</f>
        <v>Full team: ATM-1 / ATM-2 / ATM-3 / ATM-4 /ATM-5 / ATM-6 / ATM-7 / ATM-8</v>
      </c>
      <c r="E17" s="231" t="str">
        <f>E4</f>
        <v>LA team: van Zyl, Pieter and ATMs if applicable</v>
      </c>
      <c r="F17" s="524" t="s">
        <v>922</v>
      </c>
      <c r="G17" s="524"/>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1" t="s">
        <v>976</v>
      </c>
      <c r="D19" s="521"/>
      <c r="E19" s="521"/>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9" t="s">
        <v>977</v>
      </c>
      <c r="D20" s="519"/>
      <c r="E20" s="519"/>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9"/>
      <c r="D21" s="519"/>
      <c r="E21" s="519"/>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928</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1" t="s">
        <v>978</v>
      </c>
      <c r="D24" s="521"/>
      <c r="E24" s="521"/>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1"/>
      <c r="D25" s="521"/>
      <c r="E25" s="521"/>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1"/>
      <c r="D26" s="521"/>
      <c r="E26" s="521"/>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1"/>
      <c r="D27" s="521"/>
      <c r="E27" s="521"/>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929</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1" t="s">
        <v>978</v>
      </c>
      <c r="D29" s="521"/>
      <c r="E29" s="521"/>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1"/>
      <c r="D30" s="521"/>
      <c r="E30" s="521"/>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1"/>
      <c r="D31" s="521"/>
      <c r="E31" s="521"/>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1"/>
      <c r="D32" s="521"/>
      <c r="E32" s="521"/>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1113</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930</v>
      </c>
      <c r="D34" s="509"/>
      <c r="E34" s="509"/>
      <c r="F34" s="70">
        <v>0.5</v>
      </c>
      <c r="G34" s="70">
        <v>0.58333333333333337</v>
      </c>
      <c r="H34" s="65"/>
      <c r="I34" s="135"/>
      <c r="J34" s="135"/>
      <c r="K34" s="135"/>
      <c r="L34" s="135"/>
      <c r="M34" s="135"/>
      <c r="N34" s="67"/>
      <c r="O34" s="67"/>
      <c r="P34" s="67"/>
    </row>
    <row r="35" spans="1:16">
      <c r="A35" s="524" t="str">
        <f>J5</f>
        <v>Day 4</v>
      </c>
      <c r="B35" s="524"/>
      <c r="C35" s="525">
        <f>I5</f>
        <v>44299</v>
      </c>
      <c r="D35" s="525"/>
      <c r="E35" s="525"/>
      <c r="F35" s="524" t="str">
        <f>A35</f>
        <v>Day 4</v>
      </c>
      <c r="G35" s="524"/>
      <c r="H35" s="74"/>
    </row>
    <row r="36" spans="1:16" ht="28.8">
      <c r="A36" s="524" t="s">
        <v>921</v>
      </c>
      <c r="B36" s="524"/>
      <c r="C36" s="231" t="str">
        <f>C17</f>
        <v>Mini team 1:ATM-5 / ATM-6 / ATM-7</v>
      </c>
      <c r="D36" s="231" t="str">
        <f>D17</f>
        <v>Full team: ATM-1 / ATM-2 / ATM-3 / ATM-4 /ATM-5 / ATM-6 / ATM-7 / ATM-8</v>
      </c>
      <c r="E36" s="231" t="str">
        <f>E17</f>
        <v>LA team: van Zyl, Pieter and ATMs if applicable</v>
      </c>
      <c r="F36" s="524" t="s">
        <v>922</v>
      </c>
      <c r="G36" s="524"/>
      <c r="H36" s="74"/>
    </row>
    <row r="37" spans="1:16" ht="18" customHeight="1">
      <c r="A37" s="70">
        <v>0.41666666666666669</v>
      </c>
      <c r="B37" s="70">
        <v>0.4375</v>
      </c>
      <c r="C37" s="509" t="s">
        <v>929</v>
      </c>
      <c r="D37" s="509"/>
      <c r="E37" s="230" t="s">
        <v>927</v>
      </c>
      <c r="F37" s="70">
        <v>0.16666666666666666</v>
      </c>
      <c r="G37" s="70">
        <v>0.1875</v>
      </c>
      <c r="H37" s="74"/>
    </row>
    <row r="38" spans="1:16" ht="18" customHeight="1">
      <c r="A38" s="70">
        <v>0.4375</v>
      </c>
      <c r="B38" s="70">
        <v>0.45833333333333331</v>
      </c>
      <c r="C38" s="521" t="s">
        <v>979</v>
      </c>
      <c r="D38" s="521"/>
      <c r="E38" s="521"/>
      <c r="F38" s="70">
        <v>0.1875</v>
      </c>
      <c r="G38" s="70">
        <v>0.20833333333333334</v>
      </c>
      <c r="H38" s="74"/>
    </row>
    <row r="39" spans="1:16" ht="18" customHeight="1">
      <c r="A39" s="70">
        <v>0.45833333333333331</v>
      </c>
      <c r="B39" s="70">
        <v>0.47916666666666669</v>
      </c>
      <c r="C39" s="521"/>
      <c r="D39" s="521"/>
      <c r="E39" s="521"/>
      <c r="F39" s="70">
        <v>0.20833333333333334</v>
      </c>
      <c r="G39" s="70">
        <v>0.22916666666666666</v>
      </c>
      <c r="H39" s="74"/>
    </row>
    <row r="40" spans="1:16" ht="18" customHeight="1">
      <c r="A40" s="70">
        <v>0.47916666666666669</v>
      </c>
      <c r="B40" s="70">
        <v>0.5</v>
      </c>
      <c r="C40" s="521"/>
      <c r="D40" s="521"/>
      <c r="E40" s="521"/>
      <c r="F40" s="70">
        <v>0.22916666666666666</v>
      </c>
      <c r="G40" s="70">
        <v>0.25</v>
      </c>
      <c r="H40" s="74"/>
    </row>
    <row r="41" spans="1:16" ht="18" customHeight="1">
      <c r="A41" s="70">
        <v>0.5</v>
      </c>
      <c r="B41" s="70">
        <v>0.52083333333333337</v>
      </c>
      <c r="C41" s="509" t="s">
        <v>928</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21" t="s">
        <v>979</v>
      </c>
      <c r="D43" s="521"/>
      <c r="E43" s="521"/>
      <c r="F43" s="70">
        <v>0.29166666666666669</v>
      </c>
      <c r="G43" s="70">
        <v>0.3125</v>
      </c>
      <c r="H43" s="74"/>
    </row>
    <row r="44" spans="1:16" ht="18" customHeight="1">
      <c r="A44" s="70">
        <v>0.5625</v>
      </c>
      <c r="B44" s="70">
        <v>0.58333333333333337</v>
      </c>
      <c r="C44" s="521"/>
      <c r="D44" s="521"/>
      <c r="E44" s="521"/>
      <c r="F44" s="70">
        <v>0.3125</v>
      </c>
      <c r="G44" s="70">
        <v>0.33333333333333331</v>
      </c>
      <c r="H44" s="74"/>
    </row>
    <row r="45" spans="1:16" ht="18" customHeight="1">
      <c r="A45" s="70">
        <v>0.58333333333333337</v>
      </c>
      <c r="B45" s="70">
        <v>0.60416666666666663</v>
      </c>
      <c r="C45" s="521"/>
      <c r="D45" s="521"/>
      <c r="E45" s="521"/>
      <c r="F45" s="70">
        <v>0.33333333333333331</v>
      </c>
      <c r="G45" s="70">
        <v>0.35416666666666669</v>
      </c>
      <c r="H45" s="74"/>
    </row>
    <row r="46" spans="1:16" ht="18" customHeight="1">
      <c r="A46" s="70">
        <v>0.60416666666666663</v>
      </c>
      <c r="B46" s="70">
        <v>0.625</v>
      </c>
      <c r="C46" s="521"/>
      <c r="D46" s="521"/>
      <c r="E46" s="521"/>
      <c r="F46" s="70">
        <v>0.35416666666666669</v>
      </c>
      <c r="G46" s="70">
        <v>0.375</v>
      </c>
      <c r="H46" s="74"/>
    </row>
    <row r="47" spans="1:16" ht="18" customHeight="1">
      <c r="A47" s="70">
        <v>0.625</v>
      </c>
      <c r="B47" s="70">
        <v>0.64583333333333337</v>
      </c>
      <c r="C47" s="521"/>
      <c r="D47" s="521"/>
      <c r="E47" s="521"/>
      <c r="F47" s="70">
        <v>0.375</v>
      </c>
      <c r="G47" s="70">
        <v>0.39583333333333331</v>
      </c>
      <c r="H47" s="74"/>
    </row>
    <row r="48" spans="1:16" ht="18" customHeight="1">
      <c r="A48" s="70">
        <v>0.64583333333333337</v>
      </c>
      <c r="B48" s="70">
        <v>0.66666666666666663</v>
      </c>
      <c r="C48" s="509" t="s">
        <v>929</v>
      </c>
      <c r="D48" s="509"/>
      <c r="E48" s="509" t="s">
        <v>927</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21" t="s">
        <v>980</v>
      </c>
      <c r="D50" s="521"/>
      <c r="E50" s="521"/>
      <c r="F50" s="70">
        <v>0.4375</v>
      </c>
      <c r="G50" s="70">
        <v>0.45833333333333331</v>
      </c>
      <c r="H50" s="74"/>
    </row>
    <row r="51" spans="1:8" ht="18" customHeight="1">
      <c r="A51" s="70">
        <v>0.70833333333333337</v>
      </c>
      <c r="B51" s="70">
        <v>0.72916666666666663</v>
      </c>
      <c r="C51" s="521"/>
      <c r="D51" s="521"/>
      <c r="E51" s="521"/>
      <c r="F51" s="70">
        <v>0.45833333333333331</v>
      </c>
      <c r="G51" s="70">
        <v>0.47916666666666669</v>
      </c>
      <c r="H51" s="74"/>
    </row>
    <row r="52" spans="1:8" ht="18" customHeight="1">
      <c r="A52" s="70">
        <v>0.72916666666666663</v>
      </c>
      <c r="B52" s="70">
        <v>0.75</v>
      </c>
      <c r="C52" s="509" t="s">
        <v>1113</v>
      </c>
      <c r="D52" s="509"/>
      <c r="E52" s="509"/>
      <c r="F52" s="70">
        <v>0.47916666666666669</v>
      </c>
      <c r="G52" s="70">
        <v>0.5</v>
      </c>
      <c r="H52" s="74"/>
    </row>
    <row r="53" spans="1:8" ht="18" customHeight="1">
      <c r="A53" s="70">
        <v>0.75</v>
      </c>
      <c r="B53" s="70">
        <v>0.83333333333333337</v>
      </c>
      <c r="C53" s="509" t="s">
        <v>930</v>
      </c>
      <c r="D53" s="509"/>
      <c r="E53" s="509"/>
      <c r="F53" s="70">
        <v>0.5</v>
      </c>
      <c r="G53" s="70">
        <v>0.58333333333333337</v>
      </c>
      <c r="H53" s="74"/>
    </row>
    <row r="54" spans="1:8">
      <c r="A54" s="520" t="str">
        <f>J6</f>
        <v>Day 5</v>
      </c>
      <c r="B54" s="520"/>
      <c r="C54" s="523">
        <f>I6</f>
        <v>44300</v>
      </c>
      <c r="D54" s="523"/>
      <c r="E54" s="523"/>
      <c r="F54" s="520" t="str">
        <f>A54</f>
        <v>Day 5</v>
      </c>
      <c r="G54" s="520"/>
      <c r="H54" s="74"/>
    </row>
    <row r="55" spans="1:8" ht="28.8">
      <c r="A55" s="520" t="s">
        <v>921</v>
      </c>
      <c r="B55" s="520"/>
      <c r="C55" s="229" t="str">
        <f>C36</f>
        <v>Mini team 1:ATM-5 / ATM-6 / ATM-7</v>
      </c>
      <c r="D55" s="229" t="str">
        <f>D36</f>
        <v>Full team: ATM-1 / ATM-2 / ATM-3 / ATM-4 /ATM-5 / ATM-6 / ATM-7 / ATM-8</v>
      </c>
      <c r="E55" s="229" t="str">
        <f>E36</f>
        <v>LA team: van Zyl, Pieter and ATMs if applicable</v>
      </c>
      <c r="F55" s="520" t="s">
        <v>922</v>
      </c>
      <c r="G55" s="520"/>
      <c r="H55" s="74"/>
    </row>
    <row r="56" spans="1:8" ht="18" customHeight="1">
      <c r="A56" s="70">
        <v>0.41666666666666669</v>
      </c>
      <c r="B56" s="70">
        <v>0.4375</v>
      </c>
      <c r="C56" s="509" t="s">
        <v>931</v>
      </c>
      <c r="D56" s="509"/>
      <c r="E56" s="230" t="s">
        <v>927</v>
      </c>
      <c r="F56" s="70">
        <v>0.16666666666666666</v>
      </c>
      <c r="G56" s="70">
        <v>0.1875</v>
      </c>
      <c r="H56" s="74"/>
    </row>
    <row r="57" spans="1:8" ht="18" customHeight="1">
      <c r="A57" s="70">
        <v>0.4375</v>
      </c>
      <c r="B57" s="70">
        <v>0.45833333333333331</v>
      </c>
      <c r="C57" s="521" t="s">
        <v>981</v>
      </c>
      <c r="D57" s="521"/>
      <c r="E57" s="521"/>
      <c r="F57" s="70">
        <v>0.1875</v>
      </c>
      <c r="G57" s="70">
        <v>0.20833333333333334</v>
      </c>
      <c r="H57" s="74"/>
    </row>
    <row r="58" spans="1:8" ht="18" customHeight="1">
      <c r="A58" s="70">
        <v>0.45833333333333331</v>
      </c>
      <c r="B58" s="70">
        <v>0.47916666666666669</v>
      </c>
      <c r="C58" s="521"/>
      <c r="D58" s="521"/>
      <c r="E58" s="521"/>
      <c r="F58" s="70">
        <v>0.20833333333333334</v>
      </c>
      <c r="G58" s="70">
        <v>0.22916666666666666</v>
      </c>
      <c r="H58" s="74"/>
    </row>
    <row r="59" spans="1:8" ht="18" customHeight="1">
      <c r="A59" s="70">
        <v>0.47916666666666669</v>
      </c>
      <c r="B59" s="70">
        <v>0.5</v>
      </c>
      <c r="C59" s="521"/>
      <c r="D59" s="521"/>
      <c r="E59" s="521"/>
      <c r="F59" s="70">
        <v>0.22916666666666666</v>
      </c>
      <c r="G59" s="70">
        <v>0.25</v>
      </c>
      <c r="H59" s="74"/>
    </row>
    <row r="60" spans="1:8" ht="18" customHeight="1">
      <c r="A60" s="70">
        <v>0.5</v>
      </c>
      <c r="B60" s="70">
        <v>0.52083333333333337</v>
      </c>
      <c r="C60" s="509" t="s">
        <v>928</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21" t="s">
        <v>981</v>
      </c>
      <c r="D62" s="521"/>
      <c r="E62" s="521"/>
      <c r="F62" s="70">
        <v>0.29166666666666669</v>
      </c>
      <c r="G62" s="70">
        <v>0.3125</v>
      </c>
      <c r="H62" s="74"/>
    </row>
    <row r="63" spans="1:8" ht="18" customHeight="1">
      <c r="A63" s="70">
        <v>0.5625</v>
      </c>
      <c r="B63" s="70">
        <v>0.58333333333333337</v>
      </c>
      <c r="C63" s="521"/>
      <c r="D63" s="521"/>
      <c r="E63" s="521"/>
      <c r="F63" s="70">
        <v>0.3125</v>
      </c>
      <c r="G63" s="70">
        <v>0.33333333333333331</v>
      </c>
      <c r="H63" s="74"/>
    </row>
    <row r="64" spans="1:8" ht="18" customHeight="1">
      <c r="A64" s="70">
        <v>0.58333333333333337</v>
      </c>
      <c r="B64" s="70">
        <v>0.60416666666666663</v>
      </c>
      <c r="C64" s="521"/>
      <c r="D64" s="521"/>
      <c r="E64" s="521"/>
      <c r="F64" s="70">
        <v>0.33333333333333331</v>
      </c>
      <c r="G64" s="70">
        <v>0.35416666666666669</v>
      </c>
      <c r="H64" s="74"/>
    </row>
    <row r="65" spans="1:8" ht="18" customHeight="1">
      <c r="A65" s="70">
        <v>0.60416666666666663</v>
      </c>
      <c r="B65" s="70">
        <v>0.625</v>
      </c>
      <c r="C65" s="521"/>
      <c r="D65" s="521"/>
      <c r="E65" s="521"/>
      <c r="F65" s="70">
        <v>0.35416666666666669</v>
      </c>
      <c r="G65" s="70">
        <v>0.375</v>
      </c>
      <c r="H65" s="74"/>
    </row>
    <row r="66" spans="1:8" ht="18" customHeight="1">
      <c r="A66" s="70">
        <v>0.625</v>
      </c>
      <c r="B66" s="70">
        <v>0.64583333333333337</v>
      </c>
      <c r="C66" s="521"/>
      <c r="D66" s="521"/>
      <c r="E66" s="521"/>
      <c r="F66" s="70">
        <v>0.375</v>
      </c>
      <c r="G66" s="70">
        <v>0.39583333333333331</v>
      </c>
      <c r="H66" s="74"/>
    </row>
    <row r="67" spans="1:8" ht="18" customHeight="1">
      <c r="A67" s="70">
        <v>0.64583333333333337</v>
      </c>
      <c r="B67" s="70">
        <v>0.66666666666666663</v>
      </c>
      <c r="C67" s="521"/>
      <c r="D67" s="521"/>
      <c r="E67" s="521"/>
      <c r="F67" s="70">
        <v>0.39583333333333331</v>
      </c>
      <c r="G67" s="70">
        <v>0.41666666666666669</v>
      </c>
      <c r="H67" s="74"/>
    </row>
    <row r="68" spans="1:8" ht="18" customHeight="1">
      <c r="A68" s="70">
        <v>0.66666666666666663</v>
      </c>
      <c r="B68" s="70">
        <v>0.6875</v>
      </c>
      <c r="C68" s="509" t="s">
        <v>929</v>
      </c>
      <c r="D68" s="509"/>
      <c r="E68" s="509"/>
      <c r="F68" s="70">
        <v>0.41666666666666669</v>
      </c>
      <c r="G68" s="70">
        <v>0.4375</v>
      </c>
      <c r="H68" s="74"/>
    </row>
    <row r="69" spans="1:8" ht="18" customHeight="1">
      <c r="A69" s="70">
        <v>0.6875</v>
      </c>
      <c r="B69" s="70">
        <v>0.70833333333333337</v>
      </c>
      <c r="C69" s="521" t="s">
        <v>982</v>
      </c>
      <c r="D69" s="521"/>
      <c r="E69" s="521"/>
      <c r="F69" s="70">
        <v>0.4375</v>
      </c>
      <c r="G69" s="70">
        <v>0.45833333333333331</v>
      </c>
      <c r="H69" s="74"/>
    </row>
    <row r="70" spans="1:8" ht="18" customHeight="1">
      <c r="A70" s="70">
        <v>0.70833333333333337</v>
      </c>
      <c r="B70" s="70">
        <v>0.72916666666666663</v>
      </c>
      <c r="C70" s="521"/>
      <c r="D70" s="521"/>
      <c r="E70" s="521"/>
      <c r="F70" s="70">
        <v>0.45833333333333331</v>
      </c>
      <c r="G70" s="70">
        <v>0.47916666666666669</v>
      </c>
      <c r="H70" s="74"/>
    </row>
    <row r="71" spans="1:8" ht="18" customHeight="1">
      <c r="A71" s="70">
        <v>0.72916666666666663</v>
      </c>
      <c r="B71" s="70">
        <v>0.75</v>
      </c>
      <c r="C71" s="532" t="s">
        <v>1112</v>
      </c>
      <c r="D71" s="533"/>
      <c r="E71" s="534"/>
      <c r="F71" s="70">
        <v>0.47916666666666669</v>
      </c>
      <c r="G71" s="70">
        <v>0.5</v>
      </c>
      <c r="H71" s="74"/>
    </row>
    <row r="72" spans="1:8" ht="18" customHeight="1">
      <c r="A72" s="70">
        <v>0.75</v>
      </c>
      <c r="B72" s="70">
        <v>0.83333333333333337</v>
      </c>
      <c r="C72" s="535"/>
      <c r="D72" s="536"/>
      <c r="E72" s="537"/>
      <c r="F72" s="70">
        <v>0.5</v>
      </c>
      <c r="G72" s="70">
        <v>0.58333333333333337</v>
      </c>
      <c r="H72" s="74"/>
    </row>
    <row r="73" spans="1:8">
      <c r="A73" s="520" t="str">
        <f>J7</f>
        <v>Day 6</v>
      </c>
      <c r="B73" s="520"/>
      <c r="C73" s="523">
        <f>I7</f>
        <v>44301</v>
      </c>
      <c r="D73" s="523"/>
      <c r="E73" s="523"/>
      <c r="F73" s="520" t="str">
        <f>A73</f>
        <v>Day 6</v>
      </c>
      <c r="G73" s="520"/>
      <c r="H73" s="74"/>
    </row>
    <row r="74" spans="1:8" ht="28.8">
      <c r="A74" s="520" t="s">
        <v>921</v>
      </c>
      <c r="B74" s="520"/>
      <c r="C74" s="229" t="str">
        <f>C55</f>
        <v>Mini team 1:ATM-5 / ATM-6 / ATM-7</v>
      </c>
      <c r="D74" s="229" t="str">
        <f>D55</f>
        <v>Full team: ATM-1 / ATM-2 / ATM-3 / ATM-4 /ATM-5 / ATM-6 / ATM-7 / ATM-8</v>
      </c>
      <c r="E74" s="229" t="str">
        <f>E55</f>
        <v>LA team: van Zyl, Pieter and ATMs if applicable</v>
      </c>
      <c r="F74" s="520" t="s">
        <v>922</v>
      </c>
      <c r="G74" s="520"/>
      <c r="H74" s="74"/>
    </row>
    <row r="75" spans="1:8" ht="18" customHeight="1">
      <c r="A75" s="70">
        <v>0.41666666666666669</v>
      </c>
      <c r="B75" s="70">
        <v>0.4375</v>
      </c>
      <c r="C75" s="509" t="s">
        <v>929</v>
      </c>
      <c r="D75" s="509"/>
      <c r="E75" s="509"/>
      <c r="F75" s="70">
        <v>0.16666666666666666</v>
      </c>
      <c r="G75" s="70">
        <v>0.1875</v>
      </c>
      <c r="H75" s="74"/>
    </row>
    <row r="76" spans="1:8" ht="18" customHeight="1">
      <c r="A76" s="70">
        <v>0.4375</v>
      </c>
      <c r="B76" s="70">
        <v>0.45833333333333331</v>
      </c>
      <c r="C76" s="521" t="s">
        <v>983</v>
      </c>
      <c r="D76" s="521"/>
      <c r="E76" s="521"/>
      <c r="F76" s="70">
        <v>0.1875</v>
      </c>
      <c r="G76" s="70">
        <v>0.20833333333333334</v>
      </c>
      <c r="H76" s="74"/>
    </row>
    <row r="77" spans="1:8" ht="18" customHeight="1">
      <c r="A77" s="70">
        <v>0.45833333333333331</v>
      </c>
      <c r="B77" s="70">
        <v>0.47916666666666669</v>
      </c>
      <c r="C77" s="521"/>
      <c r="D77" s="521"/>
      <c r="E77" s="521"/>
      <c r="F77" s="70">
        <v>0.20833333333333334</v>
      </c>
      <c r="G77" s="70">
        <v>0.22916666666666666</v>
      </c>
      <c r="H77" s="74"/>
    </row>
    <row r="78" spans="1:8" ht="18" customHeight="1">
      <c r="A78" s="70">
        <v>0.47916666666666669</v>
      </c>
      <c r="B78" s="70">
        <v>0.5</v>
      </c>
      <c r="C78" s="509" t="s">
        <v>929</v>
      </c>
      <c r="D78" s="509"/>
      <c r="E78" s="509"/>
      <c r="F78" s="70">
        <v>0.22916666666666666</v>
      </c>
      <c r="G78" s="70">
        <v>0.25</v>
      </c>
      <c r="H78" s="74"/>
    </row>
    <row r="79" spans="1:8" ht="18" customHeight="1">
      <c r="A79" s="70">
        <v>0.5</v>
      </c>
      <c r="B79" s="70">
        <v>0.52083333333333337</v>
      </c>
      <c r="C79" s="509" t="s">
        <v>928</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2" t="s">
        <v>1112</v>
      </c>
      <c r="D81" s="533"/>
      <c r="E81" s="534"/>
      <c r="F81" s="70">
        <v>0.29166666666666669</v>
      </c>
      <c r="G81" s="70">
        <v>0.3125</v>
      </c>
      <c r="H81" s="74"/>
    </row>
    <row r="82" spans="1:8" ht="18" customHeight="1">
      <c r="A82" s="70">
        <v>0.5625</v>
      </c>
      <c r="B82" s="70">
        <v>0.58333333333333337</v>
      </c>
      <c r="C82" s="535"/>
      <c r="D82" s="536"/>
      <c r="E82" s="537"/>
      <c r="F82" s="70">
        <v>0.3125</v>
      </c>
      <c r="G82" s="70">
        <v>0.33333333333333331</v>
      </c>
      <c r="H82" s="74"/>
    </row>
    <row r="83" spans="1:8" ht="18" customHeight="1">
      <c r="A83" s="70">
        <v>0.58333333333333337</v>
      </c>
      <c r="B83" s="70">
        <v>0.60416666666666663</v>
      </c>
      <c r="C83" s="538" t="s">
        <v>932</v>
      </c>
      <c r="D83" s="539"/>
      <c r="E83" s="540"/>
      <c r="F83" s="70">
        <v>0.33333333333333331</v>
      </c>
      <c r="G83" s="70">
        <v>0.35416666666666669</v>
      </c>
      <c r="H83" s="74"/>
    </row>
    <row r="84" spans="1:8" ht="18" customHeight="1">
      <c r="A84" s="70">
        <v>0.60416666666666663</v>
      </c>
      <c r="B84" s="70">
        <v>0.625</v>
      </c>
      <c r="C84" s="541"/>
      <c r="D84" s="542"/>
      <c r="E84" s="543"/>
      <c r="F84" s="70">
        <v>0.35416666666666669</v>
      </c>
      <c r="G84" s="70">
        <v>0.375</v>
      </c>
      <c r="H84" s="74"/>
    </row>
    <row r="85" spans="1:8" ht="18" customHeight="1">
      <c r="A85" s="70">
        <v>0.625</v>
      </c>
      <c r="B85" s="70">
        <v>0.64583333333333337</v>
      </c>
      <c r="C85" s="521" t="s">
        <v>984</v>
      </c>
      <c r="D85" s="521"/>
      <c r="E85" s="521"/>
      <c r="F85" s="70">
        <v>0.375</v>
      </c>
      <c r="G85" s="70">
        <v>0.39583333333333331</v>
      </c>
      <c r="H85" s="74"/>
    </row>
    <row r="86" spans="1:8" ht="18" customHeight="1">
      <c r="A86" s="70">
        <v>0.64583333333333337</v>
      </c>
      <c r="B86" s="70">
        <v>0.66666666666666663</v>
      </c>
      <c r="C86" s="521"/>
      <c r="D86" s="521"/>
      <c r="E86" s="521"/>
      <c r="F86" s="70">
        <v>0.39583333333333331</v>
      </c>
      <c r="G86" s="70">
        <v>0.41666666666666669</v>
      </c>
      <c r="H86" s="74"/>
    </row>
    <row r="87" spans="1:8" ht="18" customHeight="1">
      <c r="A87" s="70">
        <v>0.66666666666666663</v>
      </c>
      <c r="B87" s="70">
        <v>0.6875</v>
      </c>
      <c r="C87" s="509" t="s">
        <v>929</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930</v>
      </c>
      <c r="D91" s="509"/>
      <c r="E91" s="509"/>
      <c r="F91" s="70">
        <v>0.5</v>
      </c>
      <c r="G91" s="70">
        <v>0.58333333333333337</v>
      </c>
      <c r="H91" s="74"/>
    </row>
    <row r="92" spans="1:8">
      <c r="A92" s="520" t="str">
        <f>J8</f>
        <v>Day 7</v>
      </c>
      <c r="B92" s="520"/>
      <c r="C92" s="523">
        <f>I8</f>
        <v>44302</v>
      </c>
      <c r="D92" s="523"/>
      <c r="E92" s="523"/>
      <c r="F92" s="520" t="str">
        <f>A92</f>
        <v>Day 7</v>
      </c>
      <c r="G92" s="520"/>
      <c r="H92" s="74"/>
    </row>
    <row r="93" spans="1:8" ht="28.8">
      <c r="A93" s="520" t="s">
        <v>921</v>
      </c>
      <c r="B93" s="520"/>
      <c r="C93" s="229" t="str">
        <f>C74</f>
        <v>Mini team 1:ATM-5 / ATM-6 / ATM-7</v>
      </c>
      <c r="D93" s="229" t="str">
        <f>D74</f>
        <v>Full team: ATM-1 / ATM-2 / ATM-3 / ATM-4 /ATM-5 / ATM-6 / ATM-7 / ATM-8</v>
      </c>
      <c r="E93" s="229" t="str">
        <f>E74</f>
        <v>LA team: van Zyl, Pieter and ATMs if applicable</v>
      </c>
      <c r="F93" s="520" t="s">
        <v>922</v>
      </c>
      <c r="G93" s="520"/>
      <c r="H93" s="74"/>
    </row>
    <row r="94" spans="1:8" ht="18" customHeight="1">
      <c r="A94" s="70">
        <v>0.41666666666666669</v>
      </c>
      <c r="B94" s="70">
        <v>0.4375</v>
      </c>
      <c r="C94" s="509" t="s">
        <v>929</v>
      </c>
      <c r="D94" s="509"/>
      <c r="E94" s="509"/>
      <c r="F94" s="70">
        <v>0.16666666666666666</v>
      </c>
      <c r="G94" s="70">
        <v>0.1875</v>
      </c>
      <c r="H94" s="74"/>
    </row>
    <row r="95" spans="1:8" ht="18" customHeight="1">
      <c r="A95" s="70">
        <v>0.4375</v>
      </c>
      <c r="B95" s="70">
        <v>0.45833333333333331</v>
      </c>
      <c r="C95" s="503" t="s">
        <v>985</v>
      </c>
      <c r="D95" s="504"/>
      <c r="E95" s="505"/>
      <c r="F95" s="70">
        <v>0.1875</v>
      </c>
      <c r="G95" s="70">
        <v>0.20833333333333334</v>
      </c>
      <c r="H95" s="74"/>
    </row>
    <row r="96" spans="1:8" ht="18" customHeight="1">
      <c r="A96" s="70">
        <v>0.45833333333333331</v>
      </c>
      <c r="B96" s="70">
        <v>0.47916666666666669</v>
      </c>
      <c r="C96" s="506"/>
      <c r="D96" s="507"/>
      <c r="E96" s="508"/>
      <c r="F96" s="70">
        <v>0.20833333333333334</v>
      </c>
      <c r="G96" s="70">
        <v>0.22916666666666666</v>
      </c>
      <c r="H96" s="74"/>
    </row>
    <row r="97" spans="1:8" ht="18" customHeight="1">
      <c r="A97" s="70">
        <v>0.47916666666666669</v>
      </c>
      <c r="B97" s="70">
        <v>0.5</v>
      </c>
      <c r="C97" s="503" t="s">
        <v>986</v>
      </c>
      <c r="D97" s="504"/>
      <c r="E97" s="505"/>
      <c r="F97" s="70">
        <v>0.22916666666666666</v>
      </c>
      <c r="G97" s="70">
        <v>0.25</v>
      </c>
      <c r="H97" s="74"/>
    </row>
    <row r="98" spans="1:8" ht="18" customHeight="1">
      <c r="A98" s="70">
        <v>0.5</v>
      </c>
      <c r="B98" s="70">
        <v>0.52083333333333337</v>
      </c>
      <c r="C98" s="506"/>
      <c r="D98" s="507"/>
      <c r="E98" s="508"/>
      <c r="F98" s="70">
        <v>0.25</v>
      </c>
      <c r="G98" s="70">
        <v>0.27083333333333331</v>
      </c>
      <c r="H98" s="74"/>
    </row>
    <row r="99" spans="1:8" ht="18" customHeight="1">
      <c r="A99" s="70">
        <v>0.52083333333333337</v>
      </c>
      <c r="B99" s="70">
        <v>0.54166666666666663</v>
      </c>
      <c r="C99" s="510" t="s">
        <v>928</v>
      </c>
      <c r="D99" s="511"/>
      <c r="E99" s="512"/>
      <c r="F99" s="70">
        <v>0.27083333333333331</v>
      </c>
      <c r="G99" s="70">
        <v>0.29166666666666669</v>
      </c>
      <c r="H99" s="74"/>
    </row>
    <row r="100" spans="1:8" ht="18" customHeight="1">
      <c r="A100" s="70">
        <v>0.54166666666666663</v>
      </c>
      <c r="B100" s="70">
        <v>0.5625</v>
      </c>
      <c r="C100" s="516"/>
      <c r="D100" s="517"/>
      <c r="E100" s="518"/>
      <c r="F100" s="70">
        <v>0.29166666666666669</v>
      </c>
      <c r="G100" s="70">
        <v>0.3125</v>
      </c>
      <c r="H100" s="74"/>
    </row>
    <row r="101" spans="1:8" ht="18" customHeight="1">
      <c r="A101" s="70">
        <v>0.5625</v>
      </c>
      <c r="B101" s="70">
        <v>0.58333333333333337</v>
      </c>
      <c r="C101" s="510" t="s">
        <v>1644</v>
      </c>
      <c r="D101" s="511"/>
      <c r="E101" s="512"/>
      <c r="F101" s="70">
        <v>0.3125</v>
      </c>
      <c r="G101" s="70">
        <v>0.33333333333333331</v>
      </c>
      <c r="H101" s="74"/>
    </row>
    <row r="102" spans="1:8" ht="18" customHeight="1">
      <c r="A102" s="70">
        <v>0.58333333333333337</v>
      </c>
      <c r="B102" s="70">
        <v>0.60416666666666663</v>
      </c>
      <c r="C102" s="513"/>
      <c r="D102" s="514"/>
      <c r="E102" s="515"/>
      <c r="F102" s="70">
        <v>0.33333333333333331</v>
      </c>
      <c r="G102" s="70">
        <v>0.35416666666666669</v>
      </c>
      <c r="H102" s="74"/>
    </row>
    <row r="103" spans="1:8" ht="18" customHeight="1">
      <c r="A103" s="70">
        <v>0.60416666666666663</v>
      </c>
      <c r="B103" s="70">
        <v>0.625</v>
      </c>
      <c r="C103" s="516"/>
      <c r="D103" s="517"/>
      <c r="E103" s="518"/>
      <c r="F103" s="70">
        <v>0.35416666666666669</v>
      </c>
      <c r="G103" s="70">
        <v>0.375</v>
      </c>
      <c r="H103" s="74"/>
    </row>
    <row r="104" spans="1:8" ht="18" customHeight="1">
      <c r="A104" s="70">
        <v>0.625</v>
      </c>
      <c r="B104" s="70">
        <v>0.64583333333333337</v>
      </c>
      <c r="C104" s="519" t="s">
        <v>1643</v>
      </c>
      <c r="D104" s="519"/>
      <c r="E104" s="519"/>
      <c r="F104" s="70">
        <v>0.375</v>
      </c>
      <c r="G104" s="70">
        <v>0.39583333333333331</v>
      </c>
      <c r="H104" s="74"/>
    </row>
    <row r="105" spans="1:8" ht="18" customHeight="1">
      <c r="A105" s="70">
        <v>0.64583333333333337</v>
      </c>
      <c r="B105" s="70">
        <v>0.66666666666666663</v>
      </c>
      <c r="C105" s="519"/>
      <c r="D105" s="519"/>
      <c r="E105" s="519"/>
      <c r="F105" s="70">
        <v>0.39583333333333331</v>
      </c>
      <c r="G105" s="70">
        <v>0.41666666666666669</v>
      </c>
      <c r="H105" s="74"/>
    </row>
    <row r="106" spans="1:8" ht="18" customHeight="1">
      <c r="A106" s="70">
        <v>0.66666666666666663</v>
      </c>
      <c r="B106" s="70">
        <v>0.6875</v>
      </c>
      <c r="C106" s="509" t="s">
        <v>933</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934</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7" t="s">
        <v>1421</v>
      </c>
      <c r="B2" s="328">
        <f>Planning!B27</f>
        <v>44296</v>
      </c>
      <c r="C2" s="329">
        <f>B2+1</f>
        <v>44297</v>
      </c>
      <c r="D2" s="329">
        <f t="shared" ref="D2:G2" si="0">C2+1</f>
        <v>44298</v>
      </c>
      <c r="E2" s="329">
        <f t="shared" si="0"/>
        <v>44299</v>
      </c>
      <c r="F2" s="329">
        <f t="shared" si="0"/>
        <v>44300</v>
      </c>
      <c r="G2" s="329">
        <f t="shared" si="0"/>
        <v>44301</v>
      </c>
      <c r="H2" s="330" t="s">
        <v>1422</v>
      </c>
    </row>
    <row r="3" spans="1:8" ht="28.8">
      <c r="A3" s="331">
        <v>0.41666666666666702</v>
      </c>
      <c r="B3" s="557" t="s">
        <v>1423</v>
      </c>
      <c r="C3" s="332" t="s">
        <v>1424</v>
      </c>
      <c r="D3" s="333" t="s">
        <v>1425</v>
      </c>
      <c r="E3" s="333" t="s">
        <v>1425</v>
      </c>
      <c r="F3" s="544" t="s">
        <v>1426</v>
      </c>
      <c r="G3" s="544" t="s">
        <v>1427</v>
      </c>
      <c r="H3" s="334">
        <f t="shared" ref="H3:H19" si="1">+A3-0.25</f>
        <v>0.16666666666666702</v>
      </c>
    </row>
    <row r="4" spans="1:8">
      <c r="A4" s="331">
        <v>0.4375</v>
      </c>
      <c r="B4" s="557"/>
      <c r="C4" s="335" t="s">
        <v>1428</v>
      </c>
      <c r="D4" s="545" t="s">
        <v>1429</v>
      </c>
      <c r="E4" s="545" t="s">
        <v>1430</v>
      </c>
      <c r="F4" s="544"/>
      <c r="G4" s="544"/>
      <c r="H4" s="334">
        <f t="shared" si="1"/>
        <v>0.1875</v>
      </c>
    </row>
    <row r="5" spans="1:8">
      <c r="A5" s="331">
        <v>0.45833333333333398</v>
      </c>
      <c r="B5" s="558" t="s">
        <v>1431</v>
      </c>
      <c r="C5" s="556" t="s">
        <v>1432</v>
      </c>
      <c r="D5" s="545"/>
      <c r="E5" s="545"/>
      <c r="F5" s="544"/>
      <c r="G5" s="544"/>
      <c r="H5" s="334">
        <f t="shared" si="1"/>
        <v>0.20833333333333398</v>
      </c>
    </row>
    <row r="6" spans="1:8">
      <c r="A6" s="331">
        <v>0.47916666666666702</v>
      </c>
      <c r="B6" s="558"/>
      <c r="C6" s="556"/>
      <c r="D6" s="545"/>
      <c r="E6" s="545"/>
      <c r="F6" s="544"/>
      <c r="G6" s="332" t="s">
        <v>1428</v>
      </c>
      <c r="H6" s="334">
        <f t="shared" si="1"/>
        <v>0.22916666666666702</v>
      </c>
    </row>
    <row r="7" spans="1:8">
      <c r="A7" s="331">
        <v>0.5</v>
      </c>
      <c r="B7" s="558"/>
      <c r="C7" s="545" t="s">
        <v>1433</v>
      </c>
      <c r="D7" s="545"/>
      <c r="E7" s="545"/>
      <c r="F7" s="552" t="s">
        <v>928</v>
      </c>
      <c r="G7" s="552" t="s">
        <v>928</v>
      </c>
      <c r="H7" s="334">
        <f t="shared" si="1"/>
        <v>0.25</v>
      </c>
    </row>
    <row r="8" spans="1:8" ht="28.8">
      <c r="A8" s="331">
        <v>0.52083333333333404</v>
      </c>
      <c r="B8" s="336" t="s">
        <v>1423</v>
      </c>
      <c r="C8" s="545"/>
      <c r="D8" s="545"/>
      <c r="E8" s="545"/>
      <c r="F8" s="552"/>
      <c r="G8" s="552"/>
      <c r="H8" s="334">
        <f t="shared" si="1"/>
        <v>0.27083333333333404</v>
      </c>
    </row>
    <row r="9" spans="1:8">
      <c r="A9" s="331">
        <v>0.54166666666666696</v>
      </c>
      <c r="B9" s="551" t="s">
        <v>928</v>
      </c>
      <c r="C9" s="552" t="s">
        <v>928</v>
      </c>
      <c r="D9" s="552" t="s">
        <v>928</v>
      </c>
      <c r="E9" s="552" t="s">
        <v>928</v>
      </c>
      <c r="F9" s="332" t="s">
        <v>1428</v>
      </c>
      <c r="G9" s="556" t="s">
        <v>786</v>
      </c>
      <c r="H9" s="334">
        <f t="shared" si="1"/>
        <v>0.29166666666666696</v>
      </c>
    </row>
    <row r="10" spans="1:8">
      <c r="A10" s="331">
        <v>0.5625</v>
      </c>
      <c r="B10" s="551"/>
      <c r="C10" s="552"/>
      <c r="D10" s="552"/>
      <c r="E10" s="552"/>
      <c r="F10" s="556" t="s">
        <v>1434</v>
      </c>
      <c r="G10" s="556"/>
      <c r="H10" s="334">
        <f t="shared" si="1"/>
        <v>0.3125</v>
      </c>
    </row>
    <row r="11" spans="1:8">
      <c r="A11" s="331">
        <v>0.58333333333333304</v>
      </c>
      <c r="B11" s="557" t="s">
        <v>1435</v>
      </c>
      <c r="C11" s="545" t="s">
        <v>1436</v>
      </c>
      <c r="D11" s="545" t="s">
        <v>1437</v>
      </c>
      <c r="E11" s="545" t="s">
        <v>1438</v>
      </c>
      <c r="F11" s="556"/>
      <c r="G11" s="544" t="s">
        <v>1439</v>
      </c>
      <c r="H11" s="334">
        <f t="shared" si="1"/>
        <v>0.33333333333333304</v>
      </c>
    </row>
    <row r="12" spans="1:8">
      <c r="A12" s="331">
        <v>0.60416666666666696</v>
      </c>
      <c r="B12" s="557"/>
      <c r="C12" s="545"/>
      <c r="D12" s="545"/>
      <c r="E12" s="545"/>
      <c r="F12" s="556" t="s">
        <v>1440</v>
      </c>
      <c r="G12" s="544"/>
      <c r="H12" s="334">
        <f t="shared" si="1"/>
        <v>0.35416666666666696</v>
      </c>
    </row>
    <row r="13" spans="1:8">
      <c r="A13" s="331">
        <v>0.625</v>
      </c>
      <c r="B13" s="557"/>
      <c r="C13" s="545"/>
      <c r="D13" s="545" t="s">
        <v>1441</v>
      </c>
      <c r="E13" s="545"/>
      <c r="F13" s="556"/>
      <c r="G13" s="544"/>
      <c r="H13" s="334">
        <f t="shared" si="1"/>
        <v>0.375</v>
      </c>
    </row>
    <row r="14" spans="1:8">
      <c r="A14" s="331">
        <v>0.64583333333333304</v>
      </c>
      <c r="B14" s="557"/>
      <c r="C14" s="545"/>
      <c r="D14" s="545"/>
      <c r="E14" s="545"/>
      <c r="F14" s="544" t="s">
        <v>1427</v>
      </c>
      <c r="G14" s="559" t="s">
        <v>1442</v>
      </c>
      <c r="H14" s="334">
        <f t="shared" si="1"/>
        <v>0.39583333333333304</v>
      </c>
    </row>
    <row r="15" spans="1:8">
      <c r="A15" s="331">
        <v>0.66666666666666696</v>
      </c>
      <c r="B15" s="557"/>
      <c r="C15" s="335" t="s">
        <v>1428</v>
      </c>
      <c r="D15" s="545"/>
      <c r="E15" s="544" t="s">
        <v>1426</v>
      </c>
      <c r="F15" s="544"/>
      <c r="G15" s="559"/>
      <c r="H15" s="334">
        <f t="shared" si="1"/>
        <v>0.41666666666666696</v>
      </c>
    </row>
    <row r="16" spans="1:8">
      <c r="A16" s="331">
        <v>0.6875</v>
      </c>
      <c r="B16" s="557"/>
      <c r="C16" s="545" t="s">
        <v>1443</v>
      </c>
      <c r="D16" s="545" t="s">
        <v>1444</v>
      </c>
      <c r="E16" s="544"/>
      <c r="F16" s="544"/>
      <c r="G16" s="559"/>
      <c r="H16" s="334">
        <f t="shared" si="1"/>
        <v>0.4375</v>
      </c>
    </row>
    <row r="17" spans="1:8">
      <c r="A17" s="331">
        <v>0.70833333333333304</v>
      </c>
      <c r="B17" s="337" t="s">
        <v>1445</v>
      </c>
      <c r="C17" s="545"/>
      <c r="D17" s="545"/>
      <c r="E17" s="544"/>
      <c r="F17" s="544"/>
      <c r="G17" s="559"/>
      <c r="H17" s="334">
        <f t="shared" si="1"/>
        <v>0.45833333333333304</v>
      </c>
    </row>
    <row r="18" spans="1:8">
      <c r="A18" s="331">
        <v>0.72916666666666663</v>
      </c>
      <c r="B18" s="338" t="s">
        <v>1425</v>
      </c>
      <c r="C18" s="333" t="s">
        <v>1425</v>
      </c>
      <c r="D18" s="333" t="s">
        <v>1425</v>
      </c>
      <c r="E18" s="333" t="s">
        <v>1425</v>
      </c>
      <c r="F18" s="333" t="s">
        <v>1425</v>
      </c>
      <c r="G18" s="559"/>
      <c r="H18" s="334">
        <f t="shared" si="1"/>
        <v>0.47916666666666663</v>
      </c>
    </row>
    <row r="19" spans="1:8" ht="15" thickBot="1">
      <c r="A19" s="339">
        <v>0.75</v>
      </c>
      <c r="B19" s="553" t="s">
        <v>930</v>
      </c>
      <c r="C19" s="554"/>
      <c r="D19" s="554"/>
      <c r="E19" s="554"/>
      <c r="F19" s="554"/>
      <c r="G19" s="554"/>
      <c r="H19" s="340">
        <f t="shared" si="1"/>
        <v>0.5</v>
      </c>
    </row>
    <row r="21" spans="1:8" ht="15" thickBot="1">
      <c r="A21" s="8" t="s">
        <v>1446</v>
      </c>
    </row>
    <row r="22" spans="1:8">
      <c r="A22" s="327" t="s">
        <v>1421</v>
      </c>
      <c r="B22" s="328">
        <f>Planning!B27</f>
        <v>44296</v>
      </c>
      <c r="C22" s="328">
        <f>B22+1</f>
        <v>44297</v>
      </c>
      <c r="D22" s="328">
        <f t="shared" ref="D22:F22" si="2">C22+1</f>
        <v>44298</v>
      </c>
      <c r="E22" s="328">
        <f t="shared" si="2"/>
        <v>44299</v>
      </c>
      <c r="F22" s="328">
        <f t="shared" si="2"/>
        <v>44300</v>
      </c>
      <c r="G22" s="328">
        <f>F22+1</f>
        <v>44301</v>
      </c>
      <c r="H22" s="330" t="s">
        <v>1422</v>
      </c>
    </row>
    <row r="23" spans="1:8" ht="28.8">
      <c r="A23" s="331">
        <v>0.41666666666666702</v>
      </c>
      <c r="B23" s="557" t="s">
        <v>1423</v>
      </c>
      <c r="C23" s="332" t="s">
        <v>1424</v>
      </c>
      <c r="D23" s="333" t="s">
        <v>1425</v>
      </c>
      <c r="E23" s="333" t="s">
        <v>1425</v>
      </c>
      <c r="F23" s="546" t="s">
        <v>1426</v>
      </c>
      <c r="G23" s="546" t="s">
        <v>1427</v>
      </c>
      <c r="H23" s="334">
        <f t="shared" ref="H23:H39" si="3">+A23-0.25</f>
        <v>0.16666666666666702</v>
      </c>
    </row>
    <row r="24" spans="1:8">
      <c r="A24" s="331">
        <v>0.4375</v>
      </c>
      <c r="B24" s="557"/>
      <c r="C24" s="335" t="s">
        <v>1428</v>
      </c>
      <c r="D24" s="545" t="s">
        <v>1429</v>
      </c>
      <c r="E24" s="545" t="s">
        <v>1430</v>
      </c>
      <c r="F24" s="555"/>
      <c r="G24" s="555"/>
      <c r="H24" s="334">
        <f t="shared" si="3"/>
        <v>0.1875</v>
      </c>
    </row>
    <row r="25" spans="1:8">
      <c r="A25" s="331">
        <v>0.45833333333333398</v>
      </c>
      <c r="B25" s="558" t="s">
        <v>1431</v>
      </c>
      <c r="C25" s="556" t="s">
        <v>1432</v>
      </c>
      <c r="D25" s="545"/>
      <c r="E25" s="545"/>
      <c r="F25" s="555"/>
      <c r="G25" s="555"/>
      <c r="H25" s="334">
        <f t="shared" si="3"/>
        <v>0.20833333333333398</v>
      </c>
    </row>
    <row r="26" spans="1:8">
      <c r="A26" s="331">
        <v>0.47916666666666702</v>
      </c>
      <c r="B26" s="558"/>
      <c r="C26" s="556"/>
      <c r="D26" s="545"/>
      <c r="E26" s="545"/>
      <c r="F26" s="555"/>
      <c r="G26" s="555"/>
      <c r="H26" s="334">
        <f t="shared" si="3"/>
        <v>0.22916666666666702</v>
      </c>
    </row>
    <row r="27" spans="1:8">
      <c r="A27" s="331">
        <v>0.5</v>
      </c>
      <c r="B27" s="558"/>
      <c r="C27" s="545" t="s">
        <v>1433</v>
      </c>
      <c r="D27" s="545"/>
      <c r="E27" s="545"/>
      <c r="F27" s="555"/>
      <c r="G27" s="555"/>
      <c r="H27" s="334">
        <f t="shared" si="3"/>
        <v>0.25</v>
      </c>
    </row>
    <row r="28" spans="1:8" ht="28.8">
      <c r="A28" s="331">
        <v>0.52083333333333404</v>
      </c>
      <c r="B28" s="336" t="s">
        <v>1423</v>
      </c>
      <c r="C28" s="545"/>
      <c r="D28" s="545"/>
      <c r="E28" s="545"/>
      <c r="F28" s="547"/>
      <c r="G28" s="547"/>
      <c r="H28" s="334">
        <f t="shared" si="3"/>
        <v>0.27083333333333404</v>
      </c>
    </row>
    <row r="29" spans="1:8">
      <c r="A29" s="331">
        <v>0.54166666666666696</v>
      </c>
      <c r="B29" s="551" t="s">
        <v>928</v>
      </c>
      <c r="C29" s="552" t="s">
        <v>928</v>
      </c>
      <c r="D29" s="552" t="s">
        <v>928</v>
      </c>
      <c r="E29" s="552" t="s">
        <v>928</v>
      </c>
      <c r="F29" s="552" t="s">
        <v>928</v>
      </c>
      <c r="G29" s="552" t="s">
        <v>928</v>
      </c>
      <c r="H29" s="334">
        <f t="shared" si="3"/>
        <v>0.29166666666666696</v>
      </c>
    </row>
    <row r="30" spans="1:8">
      <c r="A30" s="331">
        <v>0.5625</v>
      </c>
      <c r="B30" s="551"/>
      <c r="C30" s="552"/>
      <c r="D30" s="552"/>
      <c r="E30" s="552"/>
      <c r="F30" s="552"/>
      <c r="G30" s="552"/>
      <c r="H30" s="334">
        <f t="shared" si="3"/>
        <v>0.3125</v>
      </c>
    </row>
    <row r="31" spans="1:8">
      <c r="A31" s="331">
        <v>0.58333333333333304</v>
      </c>
      <c r="B31" s="546" t="s">
        <v>1435</v>
      </c>
      <c r="C31" s="545" t="s">
        <v>1436</v>
      </c>
      <c r="D31" s="545" t="s">
        <v>1437</v>
      </c>
      <c r="E31" s="545" t="s">
        <v>1438</v>
      </c>
      <c r="F31" s="333" t="s">
        <v>1428</v>
      </c>
      <c r="G31" s="333" t="s">
        <v>1428</v>
      </c>
      <c r="H31" s="334">
        <f t="shared" si="3"/>
        <v>0.33333333333333304</v>
      </c>
    </row>
    <row r="32" spans="1:8">
      <c r="A32" s="331">
        <v>0.60416666666666696</v>
      </c>
      <c r="B32" s="555"/>
      <c r="C32" s="545"/>
      <c r="D32" s="545"/>
      <c r="E32" s="545"/>
      <c r="F32" s="556" t="s">
        <v>1434</v>
      </c>
      <c r="G32" s="556" t="s">
        <v>1642</v>
      </c>
      <c r="H32" s="334">
        <f t="shared" si="3"/>
        <v>0.35416666666666696</v>
      </c>
    </row>
    <row r="33" spans="1:8">
      <c r="A33" s="331">
        <v>0.625</v>
      </c>
      <c r="B33" s="555"/>
      <c r="C33" s="545"/>
      <c r="D33" s="545" t="s">
        <v>1441</v>
      </c>
      <c r="E33" s="545"/>
      <c r="F33" s="556"/>
      <c r="G33" s="556"/>
      <c r="H33" s="334">
        <f t="shared" si="3"/>
        <v>0.375</v>
      </c>
    </row>
    <row r="34" spans="1:8">
      <c r="A34" s="331">
        <v>0.64583333333333304</v>
      </c>
      <c r="B34" s="555"/>
      <c r="C34" s="545"/>
      <c r="D34" s="545"/>
      <c r="E34" s="545"/>
      <c r="F34" s="556" t="s">
        <v>1440</v>
      </c>
      <c r="G34" s="548" t="s">
        <v>1447</v>
      </c>
      <c r="H34" s="334">
        <f t="shared" si="3"/>
        <v>0.39583333333333304</v>
      </c>
    </row>
    <row r="35" spans="1:8">
      <c r="A35" s="331">
        <v>0.66666666666666696</v>
      </c>
      <c r="B35" s="547"/>
      <c r="C35" s="335" t="s">
        <v>1428</v>
      </c>
      <c r="D35" s="545"/>
      <c r="E35" s="544" t="s">
        <v>1426</v>
      </c>
      <c r="F35" s="556"/>
      <c r="G35" s="549"/>
      <c r="H35" s="334">
        <f t="shared" si="3"/>
        <v>0.41666666666666696</v>
      </c>
    </row>
    <row r="36" spans="1:8">
      <c r="A36" s="331">
        <v>0.6875</v>
      </c>
      <c r="B36" s="341" t="s">
        <v>1448</v>
      </c>
      <c r="C36" s="545" t="s">
        <v>1443</v>
      </c>
      <c r="D36" s="545" t="s">
        <v>1444</v>
      </c>
      <c r="E36" s="544"/>
      <c r="F36" s="546" t="s">
        <v>1427</v>
      </c>
      <c r="G36" s="548" t="s">
        <v>1449</v>
      </c>
      <c r="H36" s="334">
        <f t="shared" si="3"/>
        <v>0.4375</v>
      </c>
    </row>
    <row r="37" spans="1:8">
      <c r="A37" s="331">
        <v>0.70833333333333304</v>
      </c>
      <c r="B37" s="337" t="s">
        <v>1445</v>
      </c>
      <c r="C37" s="545"/>
      <c r="D37" s="545"/>
      <c r="E37" s="544"/>
      <c r="F37" s="547"/>
      <c r="G37" s="549"/>
      <c r="H37" s="334">
        <f t="shared" si="3"/>
        <v>0.45833333333333304</v>
      </c>
    </row>
    <row r="38" spans="1:8">
      <c r="A38" s="331">
        <v>0.72916666666666663</v>
      </c>
      <c r="B38" s="338" t="s">
        <v>1425</v>
      </c>
      <c r="C38" s="333" t="s">
        <v>1425</v>
      </c>
      <c r="D38" s="333" t="s">
        <v>1425</v>
      </c>
      <c r="E38" s="333" t="s">
        <v>1425</v>
      </c>
      <c r="F38" s="333" t="s">
        <v>1425</v>
      </c>
      <c r="G38" s="550"/>
      <c r="H38" s="334">
        <f t="shared" si="3"/>
        <v>0.47916666666666663</v>
      </c>
    </row>
    <row r="39" spans="1:8" ht="15" thickBot="1">
      <c r="A39" s="339">
        <v>0.75</v>
      </c>
      <c r="B39" s="553" t="s">
        <v>930</v>
      </c>
      <c r="C39" s="554"/>
      <c r="D39" s="554"/>
      <c r="E39" s="554"/>
      <c r="F39" s="554"/>
      <c r="G39" s="554"/>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3"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5" t="s">
        <v>1394</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1372</v>
      </c>
      <c r="B7" s="64">
        <v>6</v>
      </c>
      <c r="C7" s="325" t="str">
        <f t="shared" si="0"/>
        <v>Engineers (6)</v>
      </c>
    </row>
    <row r="8" spans="1:22">
      <c r="A8" s="124" t="s">
        <v>1391</v>
      </c>
      <c r="B8" s="64">
        <v>1</v>
      </c>
      <c r="C8" s="325" t="str">
        <f t="shared" si="0"/>
        <v>EPG (1)</v>
      </c>
    </row>
    <row r="9" spans="1:22">
      <c r="A9" s="124" t="s">
        <v>745</v>
      </c>
      <c r="B9" s="64">
        <v>1</v>
      </c>
      <c r="C9" s="325" t="str">
        <f t="shared" si="0"/>
        <v>OT (1)</v>
      </c>
    </row>
    <row r="10" spans="1:22">
      <c r="A10" s="124" t="s">
        <v>1396</v>
      </c>
      <c r="B10" s="64">
        <v>1</v>
      </c>
      <c r="C10" s="325" t="str">
        <f t="shared" si="0"/>
        <v>OUC (1)</v>
      </c>
    </row>
    <row r="11" spans="1:22">
      <c r="A11" s="124" t="s">
        <v>1379</v>
      </c>
      <c r="B11" s="64">
        <v>2</v>
      </c>
      <c r="C11" s="325" t="str">
        <f t="shared" si="0"/>
        <v>PMs (2)</v>
      </c>
    </row>
    <row r="12" spans="1:22">
      <c r="A12" s="124" t="s">
        <v>744</v>
      </c>
      <c r="B12" s="64">
        <v>1</v>
      </c>
      <c r="C12" s="325" t="str">
        <f t="shared" si="0"/>
        <v>PPQA (1)</v>
      </c>
    </row>
    <row r="13" spans="1:22">
      <c r="A13" s="124" t="s">
        <v>1395</v>
      </c>
      <c r="B13" s="64">
        <v>2</v>
      </c>
      <c r="C13" s="325" t="str">
        <f t="shared" si="0"/>
        <v>SM (2)</v>
      </c>
    </row>
    <row r="14" spans="1:22">
      <c r="A14" s="124" t="s">
        <v>592</v>
      </c>
      <c r="B14" s="64">
        <v>1</v>
      </c>
      <c r="C14" s="325" t="str">
        <f t="shared" si="0"/>
        <v>Sponsor (1)</v>
      </c>
    </row>
    <row r="15" spans="1:22">
      <c r="A15" s="124" t="s">
        <v>1397</v>
      </c>
      <c r="B15" s="64">
        <v>1</v>
      </c>
      <c r="C15" s="325" t="str">
        <f t="shared" si="0"/>
        <v>RI (1)</v>
      </c>
    </row>
    <row r="16" spans="1:22">
      <c r="A16" s="124" t="s">
        <v>1398</v>
      </c>
      <c r="B16" s="325">
        <f>B7+B6</f>
        <v>7</v>
      </c>
      <c r="C16" s="325" t="str">
        <f t="shared" si="0"/>
        <v>ParticipantsPrelim1 (7)</v>
      </c>
    </row>
    <row r="17" spans="1:22">
      <c r="A17" s="124" t="s">
        <v>1399</v>
      </c>
      <c r="B17" s="325">
        <f>B8+B9+B11+B12</f>
        <v>5</v>
      </c>
      <c r="C17" s="325" t="str">
        <f t="shared" si="0"/>
        <v>ParticipantsPrelim2 (5)</v>
      </c>
    </row>
    <row r="18" spans="1:22">
      <c r="A18" s="124" t="s">
        <v>1402</v>
      </c>
      <c r="B18" s="64">
        <v>5</v>
      </c>
      <c r="C18" s="325" t="str">
        <f t="shared" si="0"/>
        <v>ParticipantsTechTest (5)</v>
      </c>
    </row>
    <row r="19" spans="1:22">
      <c r="A19" s="124" t="s">
        <v>1400</v>
      </c>
      <c r="B19" s="325">
        <f>B13+B12+B11+B10+B9+B7+B6+B5</f>
        <v>18</v>
      </c>
      <c r="C19" s="325" t="str">
        <f t="shared" si="0"/>
        <v>ParticipantsOpen (18)</v>
      </c>
    </row>
    <row r="20" spans="1:22">
      <c r="A20" s="124" t="s">
        <v>1401</v>
      </c>
      <c r="B20" s="325">
        <f>B14+B13+B12+B11+B10+B8+B7+B6</f>
        <v>15</v>
      </c>
      <c r="C20" s="325" t="str">
        <f t="shared" si="0"/>
        <v>ParticipantsFinal (15)</v>
      </c>
    </row>
    <row r="21" spans="1:22" s="236" customFormat="1">
      <c r="B21" s="326"/>
      <c r="C21" s="326"/>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69" t="s">
        <v>1071</v>
      </c>
      <c r="C2" s="569" t="s">
        <v>1072</v>
      </c>
      <c r="D2" s="560" t="s">
        <v>1073</v>
      </c>
      <c r="E2" s="562"/>
      <c r="F2" s="563" t="s">
        <v>1074</v>
      </c>
      <c r="G2" s="565"/>
      <c r="H2" s="560" t="s">
        <v>1075</v>
      </c>
      <c r="I2" s="561"/>
      <c r="J2" s="561"/>
      <c r="K2" s="562"/>
      <c r="L2" s="563" t="s">
        <v>1076</v>
      </c>
      <c r="M2" s="564"/>
      <c r="N2" s="565"/>
      <c r="O2" s="208" t="s">
        <v>1077</v>
      </c>
      <c r="P2" s="209" t="s">
        <v>1078</v>
      </c>
      <c r="Q2" s="560" t="s">
        <v>1079</v>
      </c>
      <c r="R2" s="561"/>
      <c r="S2" s="562"/>
      <c r="T2" s="563" t="s">
        <v>1080</v>
      </c>
      <c r="U2" s="564"/>
      <c r="V2" s="565"/>
      <c r="W2" s="205" t="s">
        <v>1081</v>
      </c>
    </row>
    <row r="3" spans="2:28" ht="15.6">
      <c r="B3" s="570"/>
      <c r="C3" s="570"/>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66" t="s">
        <v>1082</v>
      </c>
      <c r="C5" s="212"/>
      <c r="D5" s="284"/>
      <c r="E5" s="284"/>
      <c r="F5" s="284"/>
      <c r="G5" s="284"/>
      <c r="H5" s="284"/>
      <c r="I5" s="284"/>
      <c r="J5" s="284"/>
      <c r="K5" s="284"/>
      <c r="L5" s="284"/>
      <c r="M5" s="284"/>
      <c r="N5" s="284"/>
      <c r="O5" s="284"/>
      <c r="P5" s="284"/>
      <c r="Q5" s="284"/>
      <c r="R5" s="284"/>
      <c r="S5" s="284"/>
      <c r="T5" s="284"/>
      <c r="U5" s="284"/>
      <c r="V5" s="284"/>
      <c r="W5" s="195" t="s">
        <v>1087</v>
      </c>
      <c r="Z5" s="445" t="s">
        <v>1684</v>
      </c>
    </row>
    <row r="6" spans="2:28" ht="15" customHeight="1">
      <c r="B6" s="567"/>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67"/>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4" t="s">
        <v>1086</v>
      </c>
    </row>
    <row r="8" spans="2:28" ht="15" customHeight="1">
      <c r="B8" s="568"/>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4"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66" t="s">
        <v>1088</v>
      </c>
      <c r="C10" s="212"/>
      <c r="D10" s="283"/>
      <c r="E10" s="283"/>
      <c r="F10" s="283"/>
      <c r="G10" s="283"/>
      <c r="H10" s="283"/>
      <c r="I10" s="283"/>
      <c r="J10" s="283"/>
      <c r="K10" s="283"/>
      <c r="L10" s="283"/>
      <c r="M10" s="283"/>
      <c r="N10" s="283"/>
      <c r="O10" s="283"/>
      <c r="P10" s="283"/>
      <c r="Q10" s="283"/>
      <c r="R10" s="283"/>
      <c r="S10" s="283"/>
      <c r="T10" s="283"/>
      <c r="U10" s="283"/>
      <c r="V10" s="283"/>
      <c r="W10" s="206"/>
      <c r="Z10" s="445" t="s">
        <v>1690</v>
      </c>
    </row>
    <row r="11" spans="2:28" ht="15" customHeight="1">
      <c r="B11" s="567"/>
      <c r="C11" s="282">
        <v>2.1</v>
      </c>
      <c r="D11" s="212"/>
      <c r="E11" s="212"/>
      <c r="F11" s="212"/>
      <c r="G11" s="212"/>
      <c r="H11" s="212"/>
      <c r="I11" s="419" t="s">
        <v>1621</v>
      </c>
      <c r="J11" s="212"/>
      <c r="K11" s="212"/>
      <c r="L11" s="212"/>
      <c r="M11" s="212"/>
      <c r="N11" s="212"/>
      <c r="O11" s="212"/>
      <c r="P11" s="212"/>
      <c r="Q11" s="212"/>
      <c r="R11" s="212"/>
      <c r="S11" s="212"/>
      <c r="T11" s="212"/>
      <c r="U11" s="212"/>
      <c r="V11" s="212"/>
      <c r="W11" s="195"/>
    </row>
    <row r="12" spans="2:28" ht="15" customHeight="1">
      <c r="B12" s="567"/>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3" t="s">
        <v>1083</v>
      </c>
    </row>
    <row r="13" spans="2:28" ht="15" customHeight="1">
      <c r="B13" s="567"/>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3" t="s">
        <v>1084</v>
      </c>
    </row>
    <row r="14" spans="2:28" ht="15" customHeight="1">
      <c r="B14" s="567"/>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3" t="s">
        <v>904</v>
      </c>
    </row>
    <row r="15" spans="2:28" ht="15" customHeight="1">
      <c r="B15" s="567"/>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3" t="s">
        <v>1085</v>
      </c>
    </row>
    <row r="16" spans="2:28" ht="15" customHeight="1">
      <c r="B16" s="567"/>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3" t="s">
        <v>1089</v>
      </c>
    </row>
    <row r="17" spans="2:23" ht="15" customHeight="1">
      <c r="B17" s="567"/>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68"/>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66"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67"/>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67"/>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67"/>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67"/>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67"/>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67"/>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68"/>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66"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67"/>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67"/>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67"/>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67"/>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68"/>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1"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1"/>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1"/>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1"/>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72" t="s">
        <v>1071</v>
      </c>
      <c r="C49" s="572" t="s">
        <v>1072</v>
      </c>
      <c r="D49" s="573" t="s">
        <v>1073</v>
      </c>
      <c r="E49" s="573"/>
      <c r="F49" s="574" t="s">
        <v>1074</v>
      </c>
      <c r="G49" s="574"/>
      <c r="H49" s="573" t="s">
        <v>1075</v>
      </c>
      <c r="I49" s="573"/>
      <c r="J49" s="573"/>
      <c r="K49" s="573"/>
      <c r="L49" s="574" t="s">
        <v>1076</v>
      </c>
      <c r="M49" s="574"/>
      <c r="N49" s="574"/>
      <c r="O49" s="208" t="s">
        <v>1077</v>
      </c>
      <c r="P49" s="209" t="s">
        <v>1078</v>
      </c>
      <c r="Q49" s="573" t="s">
        <v>1079</v>
      </c>
      <c r="R49" s="573"/>
      <c r="S49" s="573"/>
      <c r="T49" s="574" t="s">
        <v>1080</v>
      </c>
      <c r="U49" s="574"/>
      <c r="V49" s="574"/>
    </row>
    <row r="50" spans="2:28" ht="93.6">
      <c r="B50" s="572"/>
      <c r="C50" s="572"/>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66"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67"/>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67"/>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68"/>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71"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71"/>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71"/>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71"/>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71"/>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71"/>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71"/>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71"/>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71"/>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1"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71"/>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71"/>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71"/>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71"/>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71"/>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71"/>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71"/>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1"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71"/>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71"/>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71"/>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71"/>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71"/>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1"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71"/>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71"/>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71"/>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76" t="str">
        <f>StartupInfo!B3</f>
        <v>Software for Mars (Pty) Ltd</v>
      </c>
      <c r="C2" s="576"/>
      <c r="D2" s="576"/>
      <c r="E2" s="576"/>
      <c r="F2" s="576"/>
      <c r="G2" s="576"/>
      <c r="H2" s="576"/>
      <c r="I2" s="576"/>
      <c r="J2" s="414"/>
      <c r="K2" s="414"/>
    </row>
    <row r="3" spans="1:11" ht="19.5" customHeight="1">
      <c r="B3" s="576" t="str">
        <f>StartupInfo!B4</f>
        <v>Mars</v>
      </c>
      <c r="C3" s="576"/>
      <c r="D3" s="576"/>
      <c r="E3" s="576"/>
      <c r="F3" s="576"/>
      <c r="G3" s="576"/>
      <c r="H3" s="576"/>
      <c r="I3" s="576"/>
      <c r="J3" s="415"/>
      <c r="K3" s="234"/>
    </row>
    <row r="4" spans="1:11" ht="24" customHeight="1">
      <c r="A4" s="235"/>
      <c r="B4" s="577" t="str">
        <f>IF(StartupInfo!B18="","",StartupInfo!B18)</f>
        <v>R&amp;D Department</v>
      </c>
      <c r="C4" s="577"/>
      <c r="D4" s="577"/>
      <c r="E4" s="577"/>
      <c r="F4" s="577"/>
      <c r="G4" s="577"/>
      <c r="H4" s="577"/>
      <c r="I4" s="577"/>
    </row>
    <row r="5" spans="1:11">
      <c r="A5" s="235"/>
      <c r="B5" s="578" t="str">
        <f>IF(StartupInfo!B19="","",StartupInfo!B19)</f>
        <v/>
      </c>
      <c r="C5" s="578"/>
      <c r="D5" s="578"/>
      <c r="E5" s="578"/>
      <c r="F5" s="578"/>
      <c r="G5" s="578"/>
      <c r="H5" s="578"/>
      <c r="I5" s="578"/>
      <c r="J5" s="235"/>
      <c r="K5" s="235"/>
    </row>
    <row r="6" spans="1:11">
      <c r="A6" s="234"/>
      <c r="B6" s="415"/>
      <c r="C6" s="415"/>
      <c r="D6" s="415"/>
      <c r="E6" s="415"/>
      <c r="F6" s="415"/>
      <c r="G6" s="415"/>
      <c r="H6" s="415"/>
      <c r="I6" s="415"/>
      <c r="J6" s="415"/>
      <c r="K6" s="234"/>
    </row>
    <row r="7" spans="1:11" s="418" customFormat="1">
      <c r="A7" s="416"/>
      <c r="B7" s="579" t="str">
        <f>CONCATENATE("was rated on ",TEXT(Planning!B33,"dd mmmm yyyy")," at ",Planning!B10)</f>
        <v>was rated on 16 April 2021 at Maturity Level 5</v>
      </c>
      <c r="C7" s="579"/>
      <c r="D7" s="579"/>
      <c r="E7" s="579"/>
      <c r="F7" s="579"/>
      <c r="G7" s="579"/>
      <c r="H7" s="579"/>
      <c r="I7" s="579"/>
      <c r="J7" s="417"/>
      <c r="K7" s="416"/>
    </row>
    <row r="8" spans="1:11">
      <c r="A8" s="235"/>
      <c r="B8" s="235"/>
      <c r="C8" s="235"/>
      <c r="E8" s="580"/>
      <c r="F8" s="580"/>
      <c r="G8" s="580"/>
      <c r="H8" s="235"/>
      <c r="I8" s="235"/>
      <c r="J8" s="235"/>
      <c r="K8" s="235"/>
    </row>
    <row r="9" spans="1:11">
      <c r="A9" s="235"/>
      <c r="B9" s="235"/>
      <c r="C9" s="235"/>
      <c r="D9" s="235"/>
      <c r="E9" s="580"/>
      <c r="F9" s="580"/>
      <c r="G9" s="580"/>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1" t="str">
        <f>_xlfn.CONCAT("CAS ID",'Agreement 3'!B5)</f>
        <v>CAS ID53517</v>
      </c>
      <c r="G11" s="581"/>
      <c r="H11" s="581"/>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75" t="str">
        <f>'Agreement 3'!B7</f>
        <v>van Zyl, Pieter</v>
      </c>
      <c r="H13" s="575"/>
      <c r="I13" s="575"/>
      <c r="J13" s="235"/>
      <c r="K13" s="235"/>
    </row>
    <row r="14" spans="1:11">
      <c r="A14" s="235"/>
      <c r="B14" s="235"/>
      <c r="C14" s="235"/>
      <c r="D14" s="235"/>
      <c r="E14" s="235"/>
      <c r="F14" s="235"/>
      <c r="G14" s="575" t="str">
        <f>'Agreement 3'!B9</f>
        <v>CMMI V2.0 High Maturity Lead Appraiser</v>
      </c>
      <c r="H14" s="575"/>
      <c r="I14" s="575"/>
      <c r="J14" s="235"/>
      <c r="K14" s="235"/>
    </row>
    <row r="15" spans="1:11">
      <c r="A15" s="235"/>
      <c r="B15" s="235"/>
      <c r="C15" s="235"/>
      <c r="D15" s="235"/>
      <c r="E15" s="235"/>
      <c r="F15" s="235"/>
      <c r="G15" s="575" t="str">
        <f>'Agreement 3'!B11</f>
        <v>0500535-01</v>
      </c>
      <c r="H15" s="575"/>
      <c r="I15" s="575"/>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2" t="s">
        <v>1648</v>
      </c>
      <c r="C31" s="582"/>
      <c r="D31" s="582"/>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1650</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1639</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1469</v>
      </c>
      <c r="B33" s="380" t="s">
        <v>382</v>
      </c>
    </row>
    <row r="34" spans="1:2" ht="31.95" customHeight="1">
      <c r="A34" s="389" t="s">
        <v>786</v>
      </c>
      <c r="B34" s="385" t="s">
        <v>1470</v>
      </c>
    </row>
    <row r="35" spans="1:2" ht="31.95" customHeight="1">
      <c r="A35" s="389" t="s">
        <v>1471</v>
      </c>
      <c r="B35" s="386" t="s">
        <v>1357</v>
      </c>
    </row>
    <row r="36" spans="1:2" ht="31.95" customHeight="1">
      <c r="A36" s="389" t="s">
        <v>787</v>
      </c>
      <c r="B36" s="386" t="s">
        <v>1354</v>
      </c>
    </row>
    <row r="37" spans="1:2" ht="31.95" customHeight="1">
      <c r="A37" s="389" t="s">
        <v>1472</v>
      </c>
      <c r="B37" s="386" t="s">
        <v>1355</v>
      </c>
    </row>
    <row r="38" spans="1:2" ht="31.95" customHeight="1">
      <c r="A38" s="389" t="s">
        <v>664</v>
      </c>
      <c r="B38" s="386" t="s">
        <v>1473</v>
      </c>
    </row>
    <row r="39" spans="1:2">
      <c r="A39" s="380" t="s">
        <v>1474</v>
      </c>
      <c r="B39" s="380" t="s">
        <v>382</v>
      </c>
    </row>
    <row r="40" spans="1:2" ht="34.950000000000003" customHeight="1">
      <c r="A40" s="389" t="s">
        <v>1475</v>
      </c>
      <c r="B40" s="386"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83" t="str">
        <f>'P1PA-SS'!B76</f>
        <v>CMMI Development V2.0 (CMMI-DEV) without SAM</v>
      </c>
      <c r="B2" s="584"/>
      <c r="C2" s="584"/>
      <c r="D2" s="583"/>
      <c r="E2" s="584"/>
      <c r="F2" s="584"/>
      <c r="G2" s="584"/>
      <c r="H2" s="584"/>
      <c r="I2" s="584"/>
      <c r="L2" s="355" t="s">
        <v>1280</v>
      </c>
      <c r="M2" s="355">
        <f>VALUE(RIGHT(Planning!B10,1))</f>
        <v>5</v>
      </c>
      <c r="N2" s="343" t="s">
        <v>1281</v>
      </c>
    </row>
    <row r="3" spans="1:16" s="342" customFormat="1">
      <c r="A3" s="585" t="str">
        <f>'P1PA-SS'!B75</f>
        <v>Maturity Level 5</v>
      </c>
      <c r="B3" s="586"/>
      <c r="C3" s="586"/>
      <c r="D3" s="585"/>
      <c r="E3" s="586"/>
      <c r="F3" s="586"/>
      <c r="G3" s="586"/>
      <c r="H3" s="586"/>
      <c r="I3" s="586"/>
      <c r="J3" s="358"/>
      <c r="K3" s="353"/>
      <c r="L3" s="353"/>
      <c r="M3" s="353"/>
      <c r="N3" s="358"/>
      <c r="O3" s="358"/>
      <c r="P3" s="358"/>
    </row>
    <row r="4" spans="1:16">
      <c r="A4" s="359" t="s">
        <v>1450</v>
      </c>
      <c r="B4" s="359" t="s">
        <v>910</v>
      </c>
      <c r="C4" s="360" t="s">
        <v>1451</v>
      </c>
      <c r="D4" s="373" t="s">
        <v>910</v>
      </c>
      <c r="E4" s="374">
        <v>1</v>
      </c>
      <c r="F4" s="374">
        <v>2</v>
      </c>
      <c r="G4" s="374">
        <v>3</v>
      </c>
      <c r="H4" s="374">
        <v>4</v>
      </c>
      <c r="I4" s="374">
        <v>5</v>
      </c>
      <c r="M4" s="353" t="s">
        <v>1466</v>
      </c>
    </row>
    <row r="5" spans="1:16" ht="20.7" customHeight="1">
      <c r="A5" s="592" t="s">
        <v>1455</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2"/>
      <c r="B6" s="361" t="s">
        <v>1034</v>
      </c>
      <c r="C6" s="354">
        <f t="shared" si="0"/>
        <v>3</v>
      </c>
      <c r="D6" s="375" t="s">
        <v>1034</v>
      </c>
      <c r="E6" s="376" t="str">
        <f t="shared" ref="E6:I24" si="2">IF($C6&gt;=E$4,"x","")</f>
        <v>x</v>
      </c>
      <c r="F6" s="376" t="str">
        <f t="shared" si="1"/>
        <v>x</v>
      </c>
      <c r="G6" s="376" t="str">
        <f t="shared" si="1"/>
        <v>x</v>
      </c>
      <c r="H6" s="376" t="str">
        <f t="shared" si="1"/>
        <v/>
      </c>
      <c r="I6" s="376" t="str">
        <f t="shared" si="1"/>
        <v/>
      </c>
      <c r="M6" s="353">
        <v>3</v>
      </c>
    </row>
    <row r="7" spans="1:16" ht="20.7" customHeight="1">
      <c r="A7" s="592"/>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2"/>
      <c r="B8" s="361" t="s">
        <v>1456</v>
      </c>
      <c r="C8" s="354">
        <f t="shared" si="0"/>
        <v>3</v>
      </c>
      <c r="D8" s="375" t="s">
        <v>1456</v>
      </c>
      <c r="E8" s="376" t="str">
        <f t="shared" si="2"/>
        <v>x</v>
      </c>
      <c r="F8" s="376" t="str">
        <f t="shared" si="1"/>
        <v>x</v>
      </c>
      <c r="G8" s="376" t="str">
        <f t="shared" si="1"/>
        <v>x</v>
      </c>
      <c r="H8" s="376" t="str">
        <f t="shared" si="1"/>
        <v/>
      </c>
      <c r="I8" s="376" t="str">
        <f t="shared" si="1"/>
        <v/>
      </c>
      <c r="M8" s="353">
        <v>3</v>
      </c>
    </row>
    <row r="9" spans="1:16" ht="20.7" customHeight="1">
      <c r="A9" s="587" t="s">
        <v>1458</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87"/>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1467</v>
      </c>
      <c r="B11" s="364" t="s">
        <v>1468</v>
      </c>
      <c r="C11" s="354">
        <f t="shared" si="0"/>
        <v>4</v>
      </c>
      <c r="D11" s="375" t="s">
        <v>1468</v>
      </c>
      <c r="E11" s="376" t="str">
        <f t="shared" si="2"/>
        <v>x</v>
      </c>
      <c r="F11" s="376" t="str">
        <f t="shared" si="1"/>
        <v>x</v>
      </c>
      <c r="G11" s="376" t="str">
        <f t="shared" si="1"/>
        <v>x</v>
      </c>
      <c r="H11" s="376" t="str">
        <f t="shared" si="1"/>
        <v>x</v>
      </c>
      <c r="I11" s="376" t="str">
        <f t="shared" si="1"/>
        <v/>
      </c>
      <c r="M11" s="353">
        <v>4</v>
      </c>
    </row>
    <row r="12" spans="1:16" ht="20.7" customHeight="1">
      <c r="A12" s="588" t="s">
        <v>1465</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88"/>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88"/>
      <c r="B14" s="365" t="s">
        <v>1459</v>
      </c>
      <c r="C14" s="354">
        <f t="shared" si="0"/>
        <v>3</v>
      </c>
      <c r="D14" s="375" t="s">
        <v>1459</v>
      </c>
      <c r="E14" s="376" t="str">
        <f t="shared" si="2"/>
        <v>x</v>
      </c>
      <c r="F14" s="376" t="str">
        <f t="shared" si="1"/>
        <v>x</v>
      </c>
      <c r="G14" s="376" t="str">
        <f t="shared" si="1"/>
        <v>x</v>
      </c>
      <c r="H14" s="376" t="str">
        <f t="shared" si="1"/>
        <v/>
      </c>
      <c r="I14" s="376" t="str">
        <f t="shared" si="1"/>
        <v/>
      </c>
      <c r="M14" s="353">
        <v>3</v>
      </c>
    </row>
    <row r="15" spans="1:16" ht="20.7" customHeight="1">
      <c r="A15" s="366" t="s">
        <v>1464</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1463</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89" t="s">
        <v>1462</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89"/>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89"/>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0" t="s">
        <v>1461</v>
      </c>
      <c r="B20" s="371" t="s">
        <v>1640</v>
      </c>
      <c r="C20" s="354">
        <f t="shared" si="0"/>
        <v>4</v>
      </c>
      <c r="D20" s="375" t="s">
        <v>1640</v>
      </c>
      <c r="E20" s="376" t="str">
        <f t="shared" si="2"/>
        <v>x</v>
      </c>
      <c r="F20" s="376" t="str">
        <f t="shared" si="1"/>
        <v>x</v>
      </c>
      <c r="G20" s="376" t="str">
        <f t="shared" si="1"/>
        <v>x</v>
      </c>
      <c r="H20" s="376" t="str">
        <f t="shared" si="1"/>
        <v>x</v>
      </c>
      <c r="I20" s="376" t="str">
        <f t="shared" si="1"/>
        <v/>
      </c>
      <c r="M20" s="353">
        <v>4</v>
      </c>
    </row>
    <row r="21" spans="1:13" ht="20.7" customHeight="1">
      <c r="A21" s="590"/>
      <c r="B21" s="371" t="s">
        <v>1460</v>
      </c>
      <c r="C21" s="354">
        <f t="shared" si="0"/>
        <v>3</v>
      </c>
      <c r="D21" s="375" t="s">
        <v>1460</v>
      </c>
      <c r="E21" s="376" t="str">
        <f t="shared" si="2"/>
        <v>x</v>
      </c>
      <c r="F21" s="376" t="str">
        <f t="shared" si="2"/>
        <v>x</v>
      </c>
      <c r="G21" s="376" t="str">
        <f t="shared" si="2"/>
        <v>x</v>
      </c>
      <c r="H21" s="376" t="str">
        <f t="shared" si="2"/>
        <v/>
      </c>
      <c r="I21" s="376" t="str">
        <f t="shared" si="2"/>
        <v/>
      </c>
      <c r="M21" s="353">
        <v>3</v>
      </c>
    </row>
    <row r="22" spans="1:13" ht="20.7" customHeight="1">
      <c r="A22" s="591" t="s">
        <v>1457</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1"/>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1"/>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596" t="str">
        <f>_xlfn.CONCAT('P1PA-SS'!B139,"(",'P1PA-SS'!B140,")")</f>
        <v>All projects(AP)</v>
      </c>
      <c r="B2" s="226" t="str">
        <f>'Project&amp;Support'!B3</f>
        <v>p1Falcon9</v>
      </c>
      <c r="C2" s="227" t="str">
        <f>'Project&amp;Support'!AB3</f>
        <v>xx</v>
      </c>
      <c r="D2" s="226" t="str">
        <f>'Project&amp;Support'!C3</f>
        <v>Falcon project description</v>
      </c>
      <c r="E2" s="596" t="str">
        <f>_xlfn.CONCAT(StartupInfo!B5,", ",StartupInfo!B6,", ",StartupInfo!B7,CHAR(13),CHAR(10),StartupInfo!B8,", ",StartupInfo!B9)</f>
        <v>Room 1, Dome 1, No. 1 First Street, Base Alpha City_x000D_
Tharsis, Planet04</v>
      </c>
    </row>
    <row r="3" spans="1:5" ht="63" customHeight="1">
      <c r="A3" s="596"/>
      <c r="B3" s="226" t="str">
        <f>'Project&amp;Support'!B4</f>
        <v>p2Raptor</v>
      </c>
      <c r="C3" s="227" t="str">
        <f>'Project&amp;Support'!AB4</f>
        <v>xx</v>
      </c>
      <c r="D3" s="226" t="str">
        <f>'Project&amp;Support'!C4</f>
        <v>Raptor project description</v>
      </c>
      <c r="E3" s="596"/>
    </row>
    <row r="4" spans="1:5" ht="63" customHeight="1">
      <c r="A4" s="596"/>
      <c r="B4" s="226" t="str">
        <f>'Project&amp;Support'!B5</f>
        <v>p3Starship</v>
      </c>
      <c r="C4" s="227" t="str">
        <f>'Project&amp;Support'!AB5</f>
        <v>xx</v>
      </c>
      <c r="D4" s="226" t="str">
        <f>'Project&amp;Support'!C5</f>
        <v>Startship project description</v>
      </c>
      <c r="E4" s="596"/>
    </row>
    <row r="5" spans="1:5" ht="63" customHeight="1">
      <c r="A5" s="596"/>
      <c r="B5" s="226" t="str">
        <f>'Project&amp;Support'!B6</f>
        <v>p4SupperHeavy</v>
      </c>
      <c r="C5" s="227" t="str">
        <f>'Project&amp;Support'!AB6</f>
        <v>xx</v>
      </c>
      <c r="D5" s="226" t="str">
        <f>'Project&amp;Support'!C6</f>
        <v>Super Heavy description</v>
      </c>
      <c r="E5" s="596"/>
    </row>
    <row r="6" spans="1:5" ht="42" hidden="1">
      <c r="A6" s="596"/>
      <c r="B6" s="226" t="s">
        <v>1641</v>
      </c>
      <c r="C6" s="227">
        <f>'Project&amp;Support'!AB7</f>
        <v>1</v>
      </c>
      <c r="D6" s="226" t="str">
        <f>'Project&amp;Support'!C7</f>
        <v>The Configuration Management (CM) function, manages baselines for projects and the organisation.</v>
      </c>
      <c r="E6" s="596"/>
    </row>
    <row r="7" spans="1:5" ht="105" hidden="1">
      <c r="A7" s="596"/>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6"/>
    </row>
    <row r="8" spans="1:5" ht="63" hidden="1">
      <c r="A8" s="596"/>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596"/>
    </row>
    <row r="9" spans="1:5" ht="42" hidden="1">
      <c r="A9" s="596"/>
      <c r="B9" s="226" t="str">
        <f>'Project&amp;Support'!B10</f>
        <v>s4PPQA</v>
      </c>
      <c r="C9" s="227">
        <f>'Project&amp;Support'!AB10</f>
        <v>1</v>
      </c>
      <c r="D9" s="226" t="str">
        <f>'Project&amp;Support'!C10</f>
        <v xml:space="preserve">The Process and Product Quality Assurance (PPQA) team manage and performs process quality assurance. </v>
      </c>
      <c r="E9" s="596"/>
    </row>
    <row r="10" spans="1:5" ht="21" hidden="1">
      <c r="A10" s="596"/>
      <c r="B10" s="226">
        <f>'Project&amp;Support'!B11</f>
        <v>0</v>
      </c>
      <c r="C10" s="227">
        <f>'Project&amp;Support'!AB11</f>
        <v>0</v>
      </c>
      <c r="D10" s="226">
        <f>'Project&amp;Support'!C11</f>
        <v>0</v>
      </c>
      <c r="E10" s="596"/>
    </row>
    <row r="11" spans="1:5" ht="21" hidden="1">
      <c r="A11" s="596"/>
      <c r="B11" s="226">
        <f>'Project&amp;Support'!B12</f>
        <v>0</v>
      </c>
      <c r="C11" s="227">
        <f>'Project&amp;Support'!AB12</f>
        <v>0</v>
      </c>
      <c r="D11" s="226">
        <f>'Project&amp;Support'!C12</f>
        <v>0</v>
      </c>
      <c r="E11" s="596"/>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593" t="s">
        <v>1110</v>
      </c>
      <c r="B16" s="226" t="str">
        <f>'Project&amp;Support'!B7</f>
        <v>s1CM</v>
      </c>
      <c r="C16" s="228">
        <f>'Project&amp;Support'!AB7</f>
        <v>1</v>
      </c>
      <c r="D16" s="226" t="str">
        <f>'Project&amp;Support'!C7</f>
        <v>The Configuration Management (CM) function, manages baselines for projects and the organisation.</v>
      </c>
      <c r="E16" s="597" t="str">
        <f>StartupInfo!B11</f>
        <v>Room 1, Dome 1, No. 1 First Street, Base Alpha City, Tharsis, Planet04, China</v>
      </c>
    </row>
    <row r="17" spans="1:5" ht="105">
      <c r="A17" s="594"/>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8"/>
    </row>
    <row r="18" spans="1:5" ht="63">
      <c r="A18" s="594"/>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598"/>
    </row>
    <row r="19" spans="1:5" ht="42">
      <c r="A19" s="594"/>
      <c r="B19" s="226" t="str">
        <f>'Project&amp;Support'!B10</f>
        <v>s4PPQA</v>
      </c>
      <c r="C19" s="228">
        <f>'Project&amp;Support'!AB10</f>
        <v>1</v>
      </c>
      <c r="D19" s="226" t="str">
        <f>'Project&amp;Support'!C10</f>
        <v xml:space="preserve">The Process and Product Quality Assurance (PPQA) team manage and performs process quality assurance. </v>
      </c>
      <c r="E19" s="598"/>
    </row>
    <row r="20" spans="1:5" ht="126" hidden="1" customHeight="1">
      <c r="A20" s="594"/>
      <c r="B20" s="226">
        <f>'Project&amp;Support'!B11</f>
        <v>0</v>
      </c>
      <c r="C20" s="228">
        <f>'Project&amp;Support'!AB11</f>
        <v>0</v>
      </c>
      <c r="D20" s="226">
        <f>'Project&amp;Support'!C11</f>
        <v>0</v>
      </c>
      <c r="E20" s="598"/>
    </row>
    <row r="21" spans="1:5" ht="126" hidden="1" customHeight="1">
      <c r="A21" s="595"/>
      <c r="B21" s="226">
        <f>'Project&amp;Support'!B12</f>
        <v>0</v>
      </c>
      <c r="C21" s="228">
        <f>'Project&amp;Support'!AB12</f>
        <v>0</v>
      </c>
      <c r="D21" s="226">
        <f>'Project&amp;Support'!C12</f>
        <v>0</v>
      </c>
      <c r="E21" s="599"/>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1093</v>
      </c>
      <c r="C2" s="377" t="s">
        <v>1094</v>
      </c>
      <c r="D2" s="377" t="s">
        <v>1095</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1097</v>
      </c>
      <c r="C4" s="399" t="str">
        <f>'Agreement 3'!B7</f>
        <v>van Zyl, Pieter</v>
      </c>
      <c r="D4" s="399"/>
      <c r="E4" s="400">
        <f>E3</f>
        <v>44302</v>
      </c>
    </row>
    <row r="5" spans="2:5" s="216" customFormat="1" ht="30" customHeight="1">
      <c r="B5" s="399" t="s">
        <v>1096</v>
      </c>
      <c r="C5" s="399" t="str">
        <f>'P1PA-SS'!B92</f>
        <v>ATM-1</v>
      </c>
      <c r="D5" s="399"/>
      <c r="E5" s="400">
        <f>E4</f>
        <v>44302</v>
      </c>
    </row>
    <row r="6" spans="2:5" s="216" customFormat="1" ht="30" customHeight="1">
      <c r="B6" s="399" t="s">
        <v>1096</v>
      </c>
      <c r="C6" s="399" t="str">
        <f>'P1PA-SS'!B93</f>
        <v>ATM-2</v>
      </c>
      <c r="D6" s="399"/>
      <c r="E6" s="400">
        <f>E5</f>
        <v>44302</v>
      </c>
    </row>
    <row r="7" spans="2:5" s="216" customFormat="1" ht="30" customHeight="1">
      <c r="B7" s="399" t="s">
        <v>1096</v>
      </c>
      <c r="C7" s="399" t="str">
        <f>'P1PA-SS'!B94</f>
        <v>ATM-3</v>
      </c>
      <c r="D7" s="399"/>
      <c r="E7" s="400">
        <f t="shared" ref="E7:E13" si="0">E6</f>
        <v>44302</v>
      </c>
    </row>
    <row r="8" spans="2:5" s="216" customFormat="1" ht="30" customHeight="1">
      <c r="B8" s="399" t="s">
        <v>1096</v>
      </c>
      <c r="C8" s="399" t="str">
        <f>'P1PA-SS'!B95</f>
        <v>ATM-4</v>
      </c>
      <c r="D8" s="399"/>
      <c r="E8" s="400">
        <f t="shared" si="0"/>
        <v>44302</v>
      </c>
    </row>
    <row r="9" spans="2:5" s="216" customFormat="1" ht="30" customHeight="1">
      <c r="B9" s="399" t="s">
        <v>1096</v>
      </c>
      <c r="C9" s="399" t="str">
        <f>'P1PA-SS'!B96</f>
        <v>ATM-5</v>
      </c>
      <c r="D9" s="399"/>
      <c r="E9" s="400">
        <f t="shared" si="0"/>
        <v>44302</v>
      </c>
    </row>
    <row r="10" spans="2:5" s="216" customFormat="1" ht="30" customHeight="1">
      <c r="B10" s="399" t="s">
        <v>1096</v>
      </c>
      <c r="C10" s="399" t="str">
        <f>'P1PA-SS'!B97</f>
        <v>ATM-6</v>
      </c>
      <c r="D10" s="399"/>
      <c r="E10" s="400">
        <f t="shared" si="0"/>
        <v>44302</v>
      </c>
    </row>
    <row r="11" spans="2:5" s="216" customFormat="1" ht="30" customHeight="1">
      <c r="B11" s="399" t="s">
        <v>1096</v>
      </c>
      <c r="C11" s="399" t="str">
        <f>'P1PA-SS'!B98</f>
        <v>ATM-7</v>
      </c>
      <c r="D11" s="399"/>
      <c r="E11" s="400">
        <f t="shared" si="0"/>
        <v>44302</v>
      </c>
    </row>
    <row r="12" spans="2:5" s="216" customFormat="1" ht="30" customHeight="1">
      <c r="B12" s="399" t="s">
        <v>1096</v>
      </c>
      <c r="C12" s="399" t="str">
        <f>'P1PA-SS'!B99</f>
        <v>ATM-8</v>
      </c>
      <c r="D12" s="399"/>
      <c r="E12" s="400">
        <f t="shared" si="0"/>
        <v>44302</v>
      </c>
    </row>
    <row r="13" spans="2:5" s="216" customFormat="1" ht="30" customHeight="1">
      <c r="B13" s="399" t="s">
        <v>1096</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0" t="s">
        <v>1103</v>
      </c>
      <c r="C2" s="601"/>
      <c r="D2" s="601"/>
      <c r="E2" s="378"/>
      <c r="F2" s="378"/>
      <c r="G2" s="378"/>
      <c r="H2" s="378"/>
      <c r="I2" s="378"/>
      <c r="J2" s="378"/>
      <c r="K2" s="378"/>
      <c r="L2" s="378"/>
      <c r="M2" s="378"/>
    </row>
    <row r="3" spans="2:13" ht="31.2">
      <c r="B3" s="404">
        <v>1</v>
      </c>
      <c r="C3" s="399" t="s">
        <v>1189</v>
      </c>
      <c r="D3" s="399" t="s">
        <v>1190</v>
      </c>
    </row>
    <row r="4" spans="2:13" ht="31.2">
      <c r="B4" s="404">
        <v>2</v>
      </c>
      <c r="C4" s="399" t="s">
        <v>1191</v>
      </c>
      <c r="D4" s="399" t="s">
        <v>1192</v>
      </c>
    </row>
    <row r="5" spans="2:13" ht="31.2">
      <c r="B5" s="404">
        <v>3</v>
      </c>
      <c r="C5" s="399" t="s">
        <v>1193</v>
      </c>
      <c r="D5" s="399" t="s">
        <v>1194</v>
      </c>
    </row>
    <row r="6" spans="2:13">
      <c r="B6" s="404">
        <v>4</v>
      </c>
      <c r="C6" s="399" t="s">
        <v>1104</v>
      </c>
      <c r="D6" s="399" t="s">
        <v>1105</v>
      </c>
    </row>
    <row r="7" spans="2:13" ht="31.2">
      <c r="B7" s="404">
        <v>5</v>
      </c>
      <c r="C7" s="399" t="s">
        <v>1195</v>
      </c>
      <c r="D7" s="399" t="s">
        <v>1196</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0" t="s">
        <v>1102</v>
      </c>
      <c r="C18" s="601"/>
      <c r="D18" s="601"/>
    </row>
    <row r="19" spans="2:4" ht="31.2">
      <c r="B19" s="404">
        <v>1</v>
      </c>
      <c r="C19" s="399" t="s">
        <v>1197</v>
      </c>
      <c r="D19" s="399" t="s">
        <v>1198</v>
      </c>
    </row>
    <row r="20" spans="2:4" ht="46.8">
      <c r="B20" s="404">
        <v>2</v>
      </c>
      <c r="C20" s="399" t="s">
        <v>1199</v>
      </c>
      <c r="D20" s="399" t="s">
        <v>1200</v>
      </c>
    </row>
    <row r="21" spans="2:4" ht="46.8">
      <c r="B21" s="404">
        <v>3</v>
      </c>
      <c r="C21" s="399" t="s">
        <v>1201</v>
      </c>
      <c r="D21" s="399" t="s">
        <v>1202</v>
      </c>
    </row>
    <row r="22" spans="2:4" ht="46.8">
      <c r="B22" s="404">
        <v>4</v>
      </c>
      <c r="C22" s="399" t="s">
        <v>1203</v>
      </c>
      <c r="D22" s="399" t="s">
        <v>1204</v>
      </c>
    </row>
    <row r="23" spans="2:4" ht="46.8">
      <c r="B23" s="404">
        <v>5</v>
      </c>
      <c r="C23" s="399" t="s">
        <v>1205</v>
      </c>
      <c r="D23" s="399" t="s">
        <v>1206</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2022-05-28T15:57:23Z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